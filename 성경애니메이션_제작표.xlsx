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A타입_제작표" sheetId="2" state="visible" r:id="rId4"/>
    <sheet name="롱폼_시즌별" sheetId="3" state="visible" r:id="rId5"/>
    <sheet name="롱폼_통합본" sheetId="4" state="visible" r:id="rId6"/>
    <sheet name="누락점검" sheetId="5" state="visible" r:id="rId7"/>
    <sheet name="권별요약" sheetId="6" state="visible" r:id="rId8"/>
    <sheet name="인물_캐릭터시트" sheetId="7" state="visible" r:id="rId9"/>
    <sheet name="교리감수_기준" sheetId="8" state="visible" r:id="rId10"/>
    <sheet name="제작템플릿" sheetId="9" state="visible" r:id="rId11"/>
    <sheet name="절기특집" sheetId="10" state="visible" r:id="rId12"/>
    <sheet name="표기통일" sheetId="11" state="visible" r:id="rId13"/>
  </sheets>
  <definedNames>
    <definedName function="false" hidden="true" localSheetId="1" name="_xlnm._FilterDatabase" vbProcedure="false">A타입_제작표!$A$1:$AD$799</definedName>
    <definedName function="false" hidden="true" localSheetId="2" name="_xlnm._FilterDatabase" vbProcedure="false">롱폼_시즌별!$A$1:$V$86</definedName>
    <definedName function="false" hidden="true" localSheetId="3" name="_xlnm._FilterDatabase" vbProcedure="false">롱폼_통합본!$A$1:$U$85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1 = </t>
        </r>
        <r>
          <rPr>
            <sz val="10"/>
            <rFont val="WenQuanYi Zen Hei"/>
            <family val="2"/>
          </rPr>
          <t xml:space="preserve">시즌</t>
        </r>
        <r>
          <rPr>
            <sz val="10"/>
            <rFont val="Arial"/>
            <family val="2"/>
          </rPr>
          <t xml:space="preserve">1(6</t>
        </r>
        <r>
          <rPr>
            <sz val="10"/>
            <rFont val="WenQuanYi Zen Hei"/>
            <family val="2"/>
          </rPr>
          <t xml:space="preserve">개월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초록</t>
        </r>
        <r>
          <rPr>
            <sz val="10"/>
            <rFont val="Arial"/>
            <family val="2"/>
          </rPr>
          <t xml:space="preserve">), 2 = </t>
        </r>
        <r>
          <rPr>
            <sz val="10"/>
            <rFont val="WenQuanYi Zen Hei"/>
            <family val="2"/>
          </rPr>
          <t xml:space="preserve">시즌</t>
        </r>
        <r>
          <rPr>
            <sz val="10"/>
            <rFont val="Arial"/>
            <family val="2"/>
          </rPr>
          <t xml:space="preserve">2. </t>
        </r>
        <r>
          <rPr>
            <sz val="10"/>
            <rFont val="WenQuanYi Zen Hei"/>
            <family val="2"/>
          </rPr>
          <t xml:space="preserve">바꾸려면 </t>
        </r>
        <r>
          <rPr>
            <sz val="10"/>
            <rFont val="Arial"/>
            <family val="2"/>
          </rPr>
          <t xml:space="preserve">data/</t>
        </r>
        <r>
          <rPr>
            <sz val="10"/>
            <rFont val="WenQuanYi Zen Hei"/>
            <family val="2"/>
          </rPr>
          <t xml:space="preserve">시즌</t>
        </r>
        <r>
          <rPr>
            <sz val="10"/>
            <rFont val="Arial"/>
            <family val="2"/>
          </rPr>
          <t xml:space="preserve">1_</t>
        </r>
        <r>
          <rPr>
            <sz val="10"/>
            <rFont val="WenQuanYi Zen Hei"/>
            <family val="2"/>
          </rPr>
          <t xml:space="preserve">선정</t>
        </r>
        <r>
          <rPr>
            <sz val="10"/>
            <rFont val="Arial"/>
            <family val="2"/>
          </rPr>
          <t xml:space="preserve">.lst </t>
        </r>
        <r>
          <rPr>
            <sz val="10"/>
            <rFont val="WenQuanYi Zen Hei"/>
            <family val="2"/>
          </rPr>
          <t xml:space="preserve">수정 후 재생성</t>
        </r>
      </text>
    </comment>
    <comment ref="E1" authorId="0">
      <text>
        <r>
          <rPr>
            <sz val="10"/>
            <rFont val="WenQuanYi Zen Hei"/>
            <family val="2"/>
          </rPr>
          <t xml:space="preserve">트랙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구약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WenQuanYi Zen Hei"/>
            <family val="2"/>
          </rPr>
          <t xml:space="preserve">신약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별 업로드 순번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시즌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을 먼저 매기고 시즌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가 이어 받음</t>
        </r>
      </text>
    </comment>
    <comment ref="S1" authorId="0">
      <text>
        <r>
          <rPr>
            <sz val="10"/>
            <rFont val="WenQuanYi Zen Hei"/>
            <family val="2"/>
          </rPr>
          <t xml:space="preserve">시즌</t>
        </r>
        <r>
          <rPr>
            <sz val="10"/>
            <rFont val="Arial"/>
            <family val="2"/>
          </rPr>
          <t xml:space="preserve">1: </t>
        </r>
        <r>
          <rPr>
            <sz val="10"/>
            <rFont val="WenQuanYi Zen Hei"/>
            <family val="2"/>
          </rPr>
          <t xml:space="preserve">건너뛴 시즌</t>
        </r>
        <r>
          <rPr>
            <sz val="10"/>
            <rFont val="Arial"/>
            <family val="2"/>
          </rPr>
          <t xml:space="preserve">2 </t>
        </r>
        <r>
          <rPr>
            <sz val="10"/>
            <rFont val="WenQuanYi Zen Hei"/>
            <family val="2"/>
          </rPr>
          <t xml:space="preserve">편 요약 → 내레이션 </t>
        </r>
        <r>
          <rPr>
            <sz val="10"/>
            <rFont val="Arial"/>
            <family val="2"/>
          </rPr>
          <t xml:space="preserve">1~2</t>
        </r>
        <r>
          <rPr>
            <sz val="10"/>
            <rFont val="WenQuanYi Zen Hei"/>
            <family val="2"/>
          </rPr>
          <t xml:space="preserve">문장으로 연결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시즌</t>
        </r>
        <r>
          <rPr>
            <sz val="10"/>
            <rFont val="Arial"/>
            <family val="2"/>
          </rPr>
          <t xml:space="preserve">2: </t>
        </r>
        <r>
          <rPr>
            <sz val="10"/>
            <rFont val="WenQuanYi Zen Hei"/>
            <family val="2"/>
          </rPr>
          <t xml:space="preserve">시즌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의 어느 편 다음 이야기인지</t>
        </r>
      </text>
    </comment>
    <comment ref="AC1" authorId="0">
      <text>
        <r>
          <rPr>
            <sz val="10"/>
            <rFont val="WenQuanYi Zen Hei"/>
            <family val="2"/>
          </rPr>
          <t xml:space="preserve">다음 편 찾기용 보조 열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WenQuanYi Zen Hei"/>
            <family val="2"/>
          </rPr>
          <t xml:space="preserve">시즌</t>
        </r>
        <r>
          <rPr>
            <sz val="10"/>
            <rFont val="Arial"/>
            <family val="2"/>
          </rPr>
          <t xml:space="preserve">1 </t>
        </r>
        <r>
          <rPr>
            <sz val="10"/>
            <rFont val="WenQuanYi Zen Hei"/>
            <family val="2"/>
          </rPr>
          <t xml:space="preserve">롱폼은 건너뛴 편이 있으므로 연결 내레이션으로 이어 붙이세요</t>
        </r>
      </text>
    </comment>
    <comment ref="P1" authorId="0">
      <text>
        <r>
          <rPr>
            <sz val="10"/>
            <rFont val="WenQuanYi Zen Hei"/>
            <family val="2"/>
          </rPr>
          <t xml:space="preserve">포함된 마지막 숏폼 공개 다음 날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1" authorId="0">
      <text>
        <r>
          <rPr>
            <sz val="10"/>
            <rFont val="WenQuanYi Zen Hei"/>
            <family val="2"/>
          </rPr>
          <t xml:space="preserve">시즌</t>
        </r>
        <r>
          <rPr>
            <sz val="10"/>
            <rFont val="Arial"/>
            <family val="2"/>
          </rPr>
          <t xml:space="preserve">1·2 </t>
        </r>
        <r>
          <rPr>
            <sz val="10"/>
            <rFont val="WenQuanYi Zen Hei"/>
            <family val="2"/>
          </rPr>
          <t xml:space="preserve">숏폼이 모두 공개된 날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통합본은 이 날 이후 정주행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교회 교육용으로 공개</t>
        </r>
      </text>
    </comment>
  </commentList>
</comments>
</file>

<file path=xl/sharedStrings.xml><?xml version="1.0" encoding="utf-8"?>
<sst xmlns="http://schemas.openxmlformats.org/spreadsheetml/2006/main" count="18461" uniqueCount="8802">
  <si>
    <r>
      <rPr>
        <b val="true"/>
        <sz val="16"/>
        <color rgb="FF1F3864"/>
        <rFont val="WenQuanYi Zen Hei"/>
        <family val="2"/>
      </rPr>
      <t xml:space="preserve">성경 애니메이션 시리즈 제작표 </t>
    </r>
    <r>
      <rPr>
        <b val="true"/>
        <sz val="16"/>
        <color rgb="FF1F3864"/>
        <rFont val="Arial"/>
        <family val="0"/>
        <charset val="1"/>
      </rPr>
      <t xml:space="preserve">(</t>
    </r>
    <r>
      <rPr>
        <b val="true"/>
        <sz val="16"/>
        <color rgb="FF1F3864"/>
        <rFont val="WenQuanYi Zen Hei"/>
        <family val="2"/>
      </rPr>
      <t xml:space="preserve">대한예수교장로회 합동측 기준</t>
    </r>
    <r>
      <rPr>
        <b val="true"/>
        <sz val="16"/>
        <color rgb="FF1F3864"/>
        <rFont val="Arial"/>
        <family val="0"/>
        <charset val="1"/>
      </rPr>
      <t xml:space="preserve">)</t>
    </r>
  </si>
  <si>
    <r>
      <rPr>
        <sz val="10"/>
        <color rgb="FF595959"/>
        <rFont val="WenQuanYi Zen Hei"/>
        <family val="2"/>
      </rPr>
      <t xml:space="preserve">창세기</t>
    </r>
    <r>
      <rPr>
        <sz val="10"/>
        <color rgb="FF595959"/>
        <rFont val="Arial"/>
        <family val="0"/>
        <charset val="1"/>
      </rPr>
      <t xml:space="preserve">~</t>
    </r>
    <r>
      <rPr>
        <sz val="10"/>
        <color rgb="FF595959"/>
        <rFont val="WenQuanYi Zen Hei"/>
        <family val="2"/>
      </rPr>
      <t xml:space="preserve">요한계시록 </t>
    </r>
    <r>
      <rPr>
        <sz val="10"/>
        <color rgb="FF595959"/>
        <rFont val="Arial"/>
        <family val="0"/>
        <charset val="1"/>
      </rPr>
      <t xml:space="preserve">66</t>
    </r>
    <r>
      <rPr>
        <sz val="10"/>
        <color rgb="FF595959"/>
        <rFont val="WenQuanYi Zen Hei"/>
        <family val="2"/>
      </rPr>
      <t xml:space="preserve">권 장면</t>
    </r>
    <r>
      <rPr>
        <sz val="10"/>
        <color rgb="FF595959"/>
        <rFont val="Arial"/>
        <family val="0"/>
        <charset val="1"/>
      </rPr>
      <t xml:space="preserve">·</t>
    </r>
    <r>
      <rPr>
        <sz val="10"/>
        <color rgb="FF595959"/>
        <rFont val="WenQuanYi Zen Hei"/>
        <family val="2"/>
      </rPr>
      <t xml:space="preserve">주제 분할 </t>
    </r>
    <r>
      <rPr>
        <sz val="10"/>
        <color rgb="FF595959"/>
        <rFont val="Arial"/>
        <family val="0"/>
        <charset val="1"/>
      </rPr>
      <t xml:space="preserve">· </t>
    </r>
    <r>
      <rPr>
        <sz val="10"/>
        <color rgb="FF595959"/>
        <rFont val="WenQuanYi Zen Hei"/>
        <family val="2"/>
      </rPr>
      <t xml:space="preserve">시즌제 </t>
    </r>
    <r>
      <rPr>
        <sz val="10"/>
        <color rgb="FF595959"/>
        <rFont val="Arial"/>
        <family val="0"/>
        <charset val="1"/>
      </rPr>
      <t xml:space="preserve">| </t>
    </r>
    <r>
      <rPr>
        <sz val="10"/>
        <color rgb="FF595959"/>
        <rFont val="WenQuanYi Zen Hei"/>
        <family val="2"/>
      </rPr>
      <t xml:space="preserve">작성일 </t>
    </r>
    <r>
      <rPr>
        <sz val="10"/>
        <color rgb="FF595959"/>
        <rFont val="Arial"/>
        <family val="0"/>
        <charset val="1"/>
      </rPr>
      <t xml:space="preserve">2026-10-22 | </t>
    </r>
    <r>
      <rPr>
        <sz val="10"/>
        <color rgb="FF595959"/>
        <rFont val="WenQuanYi Zen Hei"/>
        <family val="2"/>
      </rPr>
      <t xml:space="preserve">개역개정 표기 기준</t>
    </r>
  </si>
  <si>
    <r>
      <rPr>
        <b val="true"/>
        <sz val="12"/>
        <color rgb="FFFFFFFF"/>
        <rFont val="WenQuanYi Zen Hei"/>
        <family val="2"/>
      </rPr>
      <t xml:space="preserve">제작 변수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노란 칸만 수정하세요</t>
    </r>
    <r>
      <rPr>
        <b val="true"/>
        <sz val="12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</si>
  <si>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시리즈 이름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가칭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</si>
  <si>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분 성경</t>
    </r>
  </si>
  <si>
    <r>
      <rPr>
        <sz val="9"/>
        <color rgb="FF595959"/>
        <rFont val="WenQuanYi Zen Hei"/>
        <family val="2"/>
      </rPr>
      <t xml:space="preserve">참고 영상 분석 후 확정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유튜브 제목안에 자동 반영</t>
    </r>
  </si>
  <si>
    <r>
      <rPr>
        <b val="true"/>
        <sz val="10"/>
        <color rgb="FF000000"/>
        <rFont val="WenQuanYi Zen Hei"/>
        <family val="2"/>
      </rPr>
      <t xml:space="preserve">숏폼 </t>
    </r>
    <r>
      <rPr>
        <b val="true"/>
        <sz val="10"/>
        <color rgb="FF000000"/>
        <rFont val="Arial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편 길이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초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</si>
  <si>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WenQuanYi Zen Hei"/>
        <family val="2"/>
      </rPr>
      <t xml:space="preserve">타입 업로드본 길이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권장 </t>
    </r>
    <r>
      <rPr>
        <sz val="9"/>
        <color rgb="FF595959"/>
        <rFont val="Arial"/>
        <family val="0"/>
        <charset val="1"/>
      </rPr>
      <t xml:space="preserve">45~60</t>
    </r>
    <r>
      <rPr>
        <sz val="9"/>
        <color rgb="FF595959"/>
        <rFont val="WenQuanYi Zen Hei"/>
        <family val="2"/>
      </rPr>
      <t xml:space="preserve">초</t>
    </r>
  </si>
  <si>
    <r>
      <rPr>
        <b val="true"/>
        <sz val="10"/>
        <color rgb="FF000000"/>
        <rFont val="WenQuanYi Zen Hei"/>
        <family val="2"/>
      </rPr>
      <t xml:space="preserve">롱폼에 넣는 </t>
    </r>
    <r>
      <rPr>
        <b val="true"/>
        <sz val="10"/>
        <color rgb="FF000000"/>
        <rFont val="Arial"/>
        <family val="0"/>
        <charset val="1"/>
      </rPr>
      <t xml:space="preserve">A 1</t>
    </r>
    <r>
      <rPr>
        <b val="true"/>
        <sz val="10"/>
        <color rgb="FF000000"/>
        <rFont val="WenQuanYi Zen Hei"/>
        <family val="2"/>
      </rPr>
      <t xml:space="preserve">편 길이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초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</si>
  <si>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롱폼으로 묶을 때 다음 편 예고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약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WenQuanYi Zen Hei"/>
        <family val="2"/>
      </rPr>
      <t xml:space="preserve">초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를 뺀 길이</t>
    </r>
  </si>
  <si>
    <r>
      <rPr>
        <b val="true"/>
        <sz val="10"/>
        <color rgb="FF000000"/>
        <rFont val="WenQuanYi Zen Hei"/>
        <family val="2"/>
      </rPr>
      <t xml:space="preserve">롱폼 인트로</t>
    </r>
    <r>
      <rPr>
        <b val="true"/>
        <sz val="10"/>
        <color rgb="FF000000"/>
        <rFont val="Arial"/>
        <family val="0"/>
        <charset val="1"/>
      </rPr>
      <t xml:space="preserve">+</t>
    </r>
    <r>
      <rPr>
        <b val="true"/>
        <sz val="10"/>
        <color rgb="FF000000"/>
        <rFont val="WenQuanYi Zen Hei"/>
        <family val="2"/>
      </rPr>
      <t xml:space="preserve">아웃트로</t>
    </r>
    <r>
      <rPr>
        <b val="true"/>
        <sz val="10"/>
        <color rgb="FF000000"/>
        <rFont val="Arial"/>
        <family val="0"/>
        <charset val="1"/>
      </rPr>
      <t xml:space="preserve">+</t>
    </r>
    <r>
      <rPr>
        <b val="true"/>
        <sz val="10"/>
        <color rgb="FF000000"/>
        <rFont val="WenQuanYi Zen Hei"/>
        <family val="2"/>
      </rPr>
      <t xml:space="preserve">연결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초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</si>
  <si>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진행 캐릭터 인트로 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WenQuanYi Zen Hei"/>
        <family val="2"/>
      </rPr>
      <t xml:space="preserve">초 </t>
    </r>
    <r>
      <rPr>
        <sz val="9"/>
        <color rgb="FF595959"/>
        <rFont val="Arial"/>
        <family val="0"/>
        <charset val="1"/>
      </rPr>
      <t xml:space="preserve">+ </t>
    </r>
    <r>
      <rPr>
        <sz val="9"/>
        <color rgb="FF595959"/>
        <rFont val="WenQuanYi Zen Hei"/>
        <family val="2"/>
      </rPr>
      <t xml:space="preserve">중간 질문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WenQuanYi Zen Hei"/>
        <family val="2"/>
      </rPr>
      <t xml:space="preserve">초 </t>
    </r>
    <r>
      <rPr>
        <sz val="9"/>
        <color rgb="FF595959"/>
        <rFont val="Arial"/>
        <family val="0"/>
        <charset val="1"/>
      </rPr>
      <t xml:space="preserve">+ </t>
    </r>
    <r>
      <rPr>
        <sz val="9"/>
        <color rgb="FF595959"/>
        <rFont val="WenQuanYi Zen Hei"/>
        <family val="2"/>
      </rPr>
      <t xml:space="preserve">아웃트로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WenQuanYi Zen Hei"/>
        <family val="2"/>
      </rPr>
      <t xml:space="preserve">초 </t>
    </r>
    <r>
      <rPr>
        <sz val="9"/>
        <color rgb="FF595959"/>
        <rFont val="Arial"/>
        <family val="0"/>
        <charset val="1"/>
      </rPr>
      <t xml:space="preserve">+ </t>
    </r>
    <r>
      <rPr>
        <sz val="9"/>
        <color rgb="FF595959"/>
        <rFont val="WenQuanYi Zen Hei"/>
        <family val="2"/>
      </rPr>
      <t xml:space="preserve">연결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WenQuanYi Zen Hei"/>
        <family val="2"/>
      </rPr>
      <t xml:space="preserve">초</t>
    </r>
  </si>
  <si>
    <r>
      <rPr>
        <b val="true"/>
        <sz val="10"/>
        <color rgb="FF000000"/>
        <rFont val="WenQuanYi Zen Hei"/>
        <family val="2"/>
      </rPr>
      <t xml:space="preserve">시즌</t>
    </r>
    <r>
      <rPr>
        <b val="true"/>
        <sz val="10"/>
        <color rgb="FF000000"/>
        <rFont val="Arial"/>
        <family val="0"/>
        <charset val="1"/>
      </rPr>
      <t xml:space="preserve">1 </t>
    </r>
    <r>
      <rPr>
        <b val="true"/>
        <sz val="10"/>
        <color rgb="FF000000"/>
        <rFont val="WenQuanYi Zen Hei"/>
        <family val="2"/>
      </rPr>
      <t xml:space="preserve">시작일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월요일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</si>
  <si>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예시 날짜입니다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반드시 월요일로 입력하세요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신약 월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수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금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토 계산 기준</t>
    </r>
    <r>
      <rPr>
        <sz val="9"/>
        <color rgb="FF595959"/>
        <rFont val="Arial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</si>
  <si>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시즌</t>
    </r>
    <r>
      <rPr>
        <b val="true"/>
        <sz val="10"/>
        <color rgb="FF000000"/>
        <rFont val="Arial"/>
        <family val="0"/>
        <charset val="1"/>
      </rPr>
      <t xml:space="preserve">2 </t>
    </r>
    <r>
      <rPr>
        <b val="true"/>
        <sz val="10"/>
        <color rgb="FF000000"/>
        <rFont val="WenQuanYi Zen Hei"/>
        <family val="2"/>
      </rPr>
      <t xml:space="preserve">시작일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월요일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</si>
  <si>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기본값</t>
    </r>
    <r>
      <rPr>
        <sz val="9"/>
        <color rgb="FF595959"/>
        <rFont val="Arial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시즌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이 끝난 뒤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주 쉬고 시작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원하는 월요일 날짜를 직접 입력해도 됩니다</t>
    </r>
  </si>
  <si>
    <r>
      <rPr>
        <b val="true"/>
        <sz val="10"/>
        <color rgb="FF000000"/>
        <rFont val="WenQuanYi Zen Hei"/>
        <family val="2"/>
      </rPr>
      <t xml:space="preserve">시즌</t>
    </r>
    <r>
      <rPr>
        <b val="true"/>
        <sz val="10"/>
        <color rgb="FF000000"/>
        <rFont val="Arial"/>
        <family val="0"/>
        <charset val="1"/>
      </rPr>
      <t xml:space="preserve">1 </t>
    </r>
    <r>
      <rPr>
        <b val="true"/>
        <sz val="10"/>
        <color rgb="FF000000"/>
        <rFont val="WenQuanYi Zen Hei"/>
        <family val="2"/>
      </rPr>
      <t xml:space="preserve">목표</t>
    </r>
    <r>
      <rPr>
        <b val="true"/>
        <sz val="10"/>
        <color rgb="FF000000"/>
        <rFont val="Arial"/>
        <family val="0"/>
        <charset val="1"/>
      </rPr>
      <t xml:space="preserve">: </t>
    </r>
    <r>
      <rPr>
        <b val="true"/>
        <sz val="10"/>
        <color rgb="FF000000"/>
        <rFont val="WenQuanYi Zen Hei"/>
        <family val="2"/>
      </rPr>
      <t xml:space="preserve">구약 편수</t>
    </r>
  </si>
  <si>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개월</t>
    </r>
    <r>
      <rPr>
        <sz val="9"/>
        <color rgb="FF595959"/>
        <rFont val="Arial"/>
        <family val="0"/>
        <charset val="1"/>
      </rPr>
      <t xml:space="preserve">(26</t>
    </r>
    <r>
      <rPr>
        <sz val="9"/>
        <color rgb="FF595959"/>
        <rFont val="WenQuanYi Zen Hei"/>
        <family val="2"/>
      </rPr>
      <t xml:space="preserve">주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WenQuanYi Zen Hei"/>
        <family val="2"/>
      </rPr>
      <t xml:space="preserve">매일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편</t>
    </r>
  </si>
  <si>
    <r>
      <rPr>
        <b val="true"/>
        <sz val="10"/>
        <color rgb="FF000000"/>
        <rFont val="WenQuanYi Zen Hei"/>
        <family val="2"/>
      </rPr>
      <t xml:space="preserve">시즌</t>
    </r>
    <r>
      <rPr>
        <b val="true"/>
        <sz val="10"/>
        <color rgb="FF000000"/>
        <rFont val="Arial"/>
        <family val="0"/>
        <charset val="1"/>
      </rPr>
      <t xml:space="preserve">1 </t>
    </r>
    <r>
      <rPr>
        <b val="true"/>
        <sz val="10"/>
        <color rgb="FF000000"/>
        <rFont val="WenQuanYi Zen Hei"/>
        <family val="2"/>
      </rPr>
      <t xml:space="preserve">목표</t>
    </r>
    <r>
      <rPr>
        <b val="true"/>
        <sz val="10"/>
        <color rgb="FF000000"/>
        <rFont val="Arial"/>
        <family val="0"/>
        <charset val="1"/>
      </rPr>
      <t xml:space="preserve">: </t>
    </r>
    <r>
      <rPr>
        <b val="true"/>
        <sz val="10"/>
        <color rgb="FF000000"/>
        <rFont val="WenQuanYi Zen Hei"/>
        <family val="2"/>
      </rPr>
      <t xml:space="preserve">신약 편수</t>
    </r>
  </si>
  <si>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개월</t>
    </r>
    <r>
      <rPr>
        <sz val="9"/>
        <color rgb="FF595959"/>
        <rFont val="Arial"/>
        <family val="0"/>
        <charset val="1"/>
      </rPr>
      <t xml:space="preserve">(26</t>
    </r>
    <r>
      <rPr>
        <sz val="9"/>
        <color rgb="FF595959"/>
        <rFont val="WenQuanYi Zen Hei"/>
        <family val="2"/>
      </rPr>
      <t xml:space="preserve">주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WenQuanYi Zen Hei"/>
        <family val="2"/>
      </rPr>
      <t xml:space="preserve">주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편</t>
    </r>
  </si>
  <si>
    <t xml:space="preserve">업로드 규칙</t>
  </si>
  <si>
    <t xml:space="preserve">구약 트랙</t>
  </si>
  <si>
    <r>
      <rPr>
        <sz val="10"/>
        <color rgb="FF000000"/>
        <rFont val="WenQuanYi Zen Hei"/>
        <family val="2"/>
      </rPr>
      <t xml:space="preserve">매일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편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Arial"/>
        <family val="0"/>
        <charset val="1"/>
      </rPr>
      <t xml:space="preserve">~</t>
    </r>
    <r>
      <rPr>
        <sz val="10"/>
        <color rgb="FF000000"/>
        <rFont val="WenQuanYi Zen Hei"/>
        <family val="2"/>
      </rPr>
      <t xml:space="preserve">일</t>
    </r>
    <r>
      <rPr>
        <sz val="10"/>
        <color rgb="FF000000"/>
        <rFont val="Arial"/>
        <family val="0"/>
        <charset val="1"/>
      </rPr>
      <t xml:space="preserve">)</t>
    </r>
  </si>
  <si>
    <t xml:space="preserve">신약 트랙</t>
  </si>
  <si>
    <r>
      <rPr>
        <sz val="10"/>
        <color rgb="FF000000"/>
        <rFont val="WenQuanYi Zen Hei"/>
        <family val="2"/>
      </rPr>
      <t xml:space="preserve">주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편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토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</si>
  <si>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시즌 </t>
    </r>
    <r>
      <rPr>
        <b val="true"/>
        <sz val="10"/>
        <color rgb="FF000000"/>
        <rFont val="Arial"/>
        <family val="0"/>
        <charset val="1"/>
      </rPr>
      <t xml:space="preserve">1 (</t>
    </r>
    <r>
      <rPr>
        <b val="true"/>
        <sz val="10"/>
        <color rgb="FF000000"/>
        <rFont val="WenQuanYi Zen Hei"/>
        <family val="2"/>
      </rPr>
      <t xml:space="preserve">약 </t>
    </r>
    <r>
      <rPr>
        <b val="true"/>
        <sz val="10"/>
        <color rgb="FF000000"/>
        <rFont val="Arial"/>
        <family val="0"/>
        <charset val="1"/>
      </rPr>
      <t xml:space="preserve">6</t>
    </r>
    <r>
      <rPr>
        <b val="true"/>
        <sz val="10"/>
        <color rgb="FF000000"/>
        <rFont val="WenQuanYi Zen Hei"/>
        <family val="2"/>
      </rPr>
      <t xml:space="preserve">개월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</si>
  <si>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구원 역사의 큰 줄기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누구나 아는 이야기 위주로 고른 편을 성경 순서대로 업로드</t>
    </r>
  </si>
  <si>
    <r>
      <rPr>
        <b val="true"/>
        <sz val="10"/>
        <color rgb="FF000000"/>
        <rFont val="WenQuanYi Zen Hei"/>
        <family val="2"/>
      </rPr>
      <t xml:space="preserve">시즌 </t>
    </r>
    <r>
      <rPr>
        <b val="true"/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</si>
  <si>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WenQuanYi Zen Hei"/>
        <family val="2"/>
      </rPr>
      <t xml:space="preserve">시즌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에서 다루지 않은 나머지 편을 성경 순서대로 업로드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시즌 </t>
    </r>
    <r>
      <rPr>
        <sz val="10"/>
        <color rgb="FF000000"/>
        <rFont val="Arial"/>
        <family val="0"/>
        <charset val="1"/>
      </rPr>
      <t xml:space="preserve">1 + </t>
    </r>
    <r>
      <rPr>
        <sz val="10"/>
        <color rgb="FF000000"/>
        <rFont val="WenQuanYi Zen Hei"/>
        <family val="2"/>
      </rPr>
      <t xml:space="preserve">시즌 </t>
    </r>
    <r>
      <rPr>
        <sz val="10"/>
        <color rgb="FF000000"/>
        <rFont val="Arial"/>
        <family val="0"/>
        <charset val="1"/>
      </rPr>
      <t xml:space="preserve">2 = </t>
    </r>
    <r>
      <rPr>
        <sz val="10"/>
        <color rgb="FF000000"/>
        <rFont val="WenQuanYi Zen Hei"/>
        <family val="2"/>
      </rPr>
      <t xml:space="preserve">전체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빠짐없음</t>
    </r>
    <r>
      <rPr>
        <sz val="10"/>
        <color rgb="FF000000"/>
        <rFont val="Arial"/>
        <family val="0"/>
        <charset val="1"/>
      </rPr>
      <t xml:space="preserve">, '</t>
    </r>
    <r>
      <rPr>
        <sz val="10"/>
        <color rgb="FF000000"/>
        <rFont val="WenQuanYi Zen Hei"/>
        <family val="2"/>
      </rPr>
      <t xml:space="preserve">누락점검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시트에서 확인</t>
    </r>
    <r>
      <rPr>
        <sz val="10"/>
        <color rgb="FF000000"/>
        <rFont val="Arial"/>
        <family val="0"/>
        <charset val="1"/>
      </rPr>
      <t xml:space="preserve">)</t>
    </r>
  </si>
  <si>
    <t xml:space="preserve">회차 번호</t>
  </si>
  <si>
    <r>
      <rPr>
        <sz val="10"/>
        <color rgb="FF000000"/>
        <rFont val="WenQuanYi Zen Hei"/>
        <family val="2"/>
      </rPr>
      <t xml:space="preserve">트랙별로 이어서 매김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예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#001~#182 →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#183~). </t>
    </r>
    <r>
      <rPr>
        <sz val="10"/>
        <color rgb="FF000000"/>
        <rFont val="WenQuanYi Zen Hei"/>
        <family val="2"/>
      </rPr>
      <t xml:space="preserve">성경 순서는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코드로 유지</t>
    </r>
  </si>
  <si>
    <t xml:space="preserve">롱폼</t>
  </si>
  <si>
    <r>
      <rPr>
        <sz val="10"/>
        <color rgb="FF000000"/>
        <rFont val="WenQuanYi Zen Hei"/>
        <family val="2"/>
      </rPr>
      <t xml:space="preserve">시즌 중에는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롱폼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WenQuanYi Zen Hei"/>
        <family val="2"/>
      </rPr>
      <t xml:space="preserve">시즌별</t>
    </r>
    <r>
      <rPr>
        <sz val="10"/>
        <color rgb="FF000000"/>
        <rFont val="Arial"/>
        <family val="0"/>
        <charset val="1"/>
      </rPr>
      <t xml:space="preserve">'(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트랙별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편 이상 묶음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을 올리고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전체 완료 후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롱폼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WenQuanYi Zen Hei"/>
        <family val="2"/>
      </rPr>
      <t xml:space="preserve">통합본</t>
    </r>
    <r>
      <rPr>
        <sz val="10"/>
        <color rgb="FF000000"/>
        <rFont val="Arial"/>
        <family val="0"/>
        <charset val="1"/>
      </rPr>
      <t xml:space="preserve">'(</t>
    </r>
    <r>
      <rPr>
        <sz val="10"/>
        <color rgb="FF000000"/>
        <rFont val="WenQuanYi Zen Hei"/>
        <family val="2"/>
      </rPr>
      <t xml:space="preserve">성경 순서 </t>
    </r>
    <r>
      <rPr>
        <sz val="10"/>
        <color rgb="FF000000"/>
        <rFont val="Arial"/>
        <family val="0"/>
        <charset val="1"/>
      </rPr>
      <t xml:space="preserve">84</t>
    </r>
    <r>
      <rPr>
        <sz val="10"/>
        <color rgb="FF000000"/>
        <rFont val="WenQuanYi Zen Hei"/>
        <family val="2"/>
      </rPr>
      <t xml:space="preserve">편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을 정주행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교회 교육용으로 사용</t>
    </r>
  </si>
  <si>
    <r>
      <rPr>
        <b val="true"/>
        <sz val="12"/>
        <color rgb="FFFFFFFF"/>
        <rFont val="WenQuanYi Zen Hei"/>
        <family val="2"/>
      </rPr>
      <t xml:space="preserve">전체 규모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자동 계산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</si>
  <si>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숏폼 총 편수</t>
  </si>
  <si>
    <t xml:space="preserve">편</t>
  </si>
  <si>
    <r>
      <rPr>
        <b val="true"/>
        <sz val="10"/>
        <color rgb="FF000000"/>
        <rFont val="WenQuanYi Zen Hei"/>
        <family val="2"/>
      </rPr>
      <t xml:space="preserve">시즌</t>
    </r>
    <r>
      <rPr>
        <b val="true"/>
        <sz val="10"/>
        <color rgb="FF000000"/>
        <rFont val="Arial"/>
        <family val="0"/>
        <charset val="1"/>
      </rPr>
      <t xml:space="preserve">1 </t>
    </r>
    <r>
      <rPr>
        <b val="true"/>
        <sz val="10"/>
        <color rgb="FF000000"/>
        <rFont val="WenQuanYi Zen Hei"/>
        <family val="2"/>
      </rPr>
      <t xml:space="preserve">구약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WenQuanYi Zen Hei"/>
        <family val="2"/>
      </rPr>
      <t xml:space="preserve">신약</t>
    </r>
  </si>
  <si>
    <r>
      <rPr>
        <b val="true"/>
        <sz val="10"/>
        <color rgb="FF000000"/>
        <rFont val="WenQuanYi Zen Hei"/>
        <family val="2"/>
      </rPr>
      <t xml:space="preserve">시즌</t>
    </r>
    <r>
      <rPr>
        <b val="true"/>
        <sz val="10"/>
        <color rgb="FF000000"/>
        <rFont val="Arial"/>
        <family val="0"/>
        <charset val="1"/>
      </rPr>
      <t xml:space="preserve">2 </t>
    </r>
    <r>
      <rPr>
        <b val="true"/>
        <sz val="10"/>
        <color rgb="FF000000"/>
        <rFont val="WenQuanYi Zen Hei"/>
        <family val="2"/>
      </rPr>
      <t xml:space="preserve">구약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WenQuanYi Zen Hei"/>
        <family val="2"/>
      </rPr>
      <t xml:space="preserve">신약</t>
    </r>
  </si>
  <si>
    <r>
      <rPr>
        <b val="true"/>
        <sz val="10"/>
        <color rgb="FF000000"/>
        <rFont val="WenQuanYi Zen Hei"/>
        <family val="2"/>
      </rPr>
      <t xml:space="preserve">시즌</t>
    </r>
    <r>
      <rPr>
        <b val="true"/>
        <sz val="10"/>
        <color rgb="FF000000"/>
        <rFont val="Arial"/>
        <family val="0"/>
        <charset val="1"/>
      </rPr>
      <t xml:space="preserve">1 </t>
    </r>
    <r>
      <rPr>
        <b val="true"/>
        <sz val="10"/>
        <color rgb="FF000000"/>
        <rFont val="WenQuanYi Zen Hei"/>
        <family val="2"/>
      </rPr>
      <t xml:space="preserve">종료일</t>
    </r>
  </si>
  <si>
    <r>
      <rPr>
        <b val="true"/>
        <sz val="10"/>
        <color rgb="FF000000"/>
        <rFont val="WenQuanYi Zen Hei"/>
        <family val="2"/>
      </rPr>
      <t xml:space="preserve">시즌</t>
    </r>
    <r>
      <rPr>
        <b val="true"/>
        <sz val="10"/>
        <color rgb="FF000000"/>
        <rFont val="Arial"/>
        <family val="0"/>
        <charset val="1"/>
      </rPr>
      <t xml:space="preserve">2 </t>
    </r>
    <r>
      <rPr>
        <b val="true"/>
        <sz val="10"/>
        <color rgb="FF000000"/>
        <rFont val="WenQuanYi Zen Hei"/>
        <family val="2"/>
      </rPr>
      <t xml:space="preserve">종료일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전체 완주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</si>
  <si>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시즌</t>
    </r>
    <r>
      <rPr>
        <b val="true"/>
        <sz val="10"/>
        <color rgb="FF000000"/>
        <rFont val="Arial"/>
        <family val="0"/>
        <charset val="1"/>
      </rPr>
      <t xml:space="preserve">1 </t>
    </r>
    <r>
      <rPr>
        <b val="true"/>
        <sz val="10"/>
        <color rgb="FF000000"/>
        <rFont val="WenQuanYi Zen Hei"/>
        <family val="2"/>
      </rPr>
      <t xml:space="preserve">기간</t>
    </r>
  </si>
  <si>
    <t xml:space="preserve">주</t>
  </si>
  <si>
    <t xml:space="preserve">전체 기간</t>
  </si>
  <si>
    <r>
      <rPr>
        <sz val="9"/>
        <color rgb="FF595959"/>
        <rFont val="WenQuanYi Zen Hei"/>
        <family val="2"/>
      </rPr>
      <t xml:space="preserve">주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쉬는 주 포함</t>
    </r>
    <r>
      <rPr>
        <sz val="9"/>
        <color rgb="FF595959"/>
        <rFont val="Arial"/>
        <family val="0"/>
        <charset val="1"/>
      </rPr>
      <t xml:space="preserve">)</t>
    </r>
  </si>
  <si>
    <t xml:space="preserve">시즌별 롱폼 편수</t>
  </si>
  <si>
    <t xml:space="preserve">통합본 롱폼 편수</t>
  </si>
  <si>
    <t xml:space="preserve">숏폼 총 분량</t>
  </si>
  <si>
    <t xml:space="preserve">시간</t>
  </si>
  <si>
    <t xml:space="preserve">분할 기준</t>
  </si>
  <si>
    <r>
      <rPr>
        <b val="true"/>
        <sz val="10"/>
        <color rgb="FF000000"/>
        <rFont val="Arial"/>
        <family val="0"/>
        <charset val="1"/>
      </rPr>
      <t xml:space="preserve">A</t>
    </r>
    <r>
      <rPr>
        <b val="true"/>
        <sz val="10"/>
        <color rgb="FF000000"/>
        <rFont val="WenQuanYi Zen Hei"/>
        <family val="2"/>
      </rPr>
      <t xml:space="preserve">타입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숏폼</t>
    </r>
    <r>
      <rPr>
        <b val="true"/>
        <sz val="10"/>
        <color rgb="FF000000"/>
        <rFont val="Arial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릴스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</si>
  <si>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45~60</t>
    </r>
    <r>
      <rPr>
        <sz val="10"/>
        <color rgb="FF000000"/>
        <rFont val="WenQuanYi Zen Hei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장면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개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메시지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개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이야기 책은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장면형</t>
    </r>
    <r>
      <rPr>
        <sz val="10"/>
        <color rgb="FF000000"/>
        <rFont val="Arial"/>
        <family val="0"/>
        <charset val="1"/>
      </rPr>
      <t xml:space="preserve">', </t>
    </r>
    <r>
      <rPr>
        <sz val="10"/>
        <color rgb="FF000000"/>
        <rFont val="WenQuanYi Zen Hei"/>
        <family val="2"/>
      </rPr>
      <t xml:space="preserve">시가서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서신서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예언 등은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주제형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으로 분할</t>
    </r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</si>
  <si>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타입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편 이상을 하나의 이야기 단위로 묶어 약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분 이상</t>
    </r>
  </si>
  <si>
    <r>
      <rPr>
        <b val="true"/>
        <sz val="10"/>
        <color rgb="FF000000"/>
        <rFont val="WenQuanYi Zen Hei"/>
        <family val="2"/>
      </rPr>
      <t xml:space="preserve">진행 캐릭터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절충안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</si>
  <si>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타입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마지막 </t>
    </r>
    <r>
      <rPr>
        <sz val="10"/>
        <color rgb="FF000000"/>
        <rFont val="Arial"/>
        <family val="0"/>
        <charset val="1"/>
      </rPr>
      <t xml:space="preserve">2~3</t>
    </r>
    <r>
      <rPr>
        <sz val="10"/>
        <color rgb="FF000000"/>
        <rFont val="WenQuanYi Zen Hei"/>
        <family val="2"/>
      </rPr>
      <t xml:space="preserve">초 등장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다음 편 안내</t>
    </r>
    <r>
      <rPr>
        <sz val="10"/>
        <color rgb="FF000000"/>
        <rFont val="Arial"/>
        <family val="0"/>
        <charset val="1"/>
      </rPr>
      <t xml:space="preserve">) / </t>
    </r>
    <r>
      <rPr>
        <sz val="10"/>
        <color rgb="FF000000"/>
        <rFont val="WenQuanYi Zen Hei"/>
        <family val="2"/>
      </rPr>
      <t xml:space="preserve">롱폼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인트로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중간 질문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아웃트로 진행</t>
    </r>
  </si>
  <si>
    <t xml:space="preserve">스토리형 원칙</t>
  </si>
  <si>
    <r>
      <rPr>
        <sz val="10"/>
        <color rgb="FF000000"/>
        <rFont val="WenQuanYi Zen Hei"/>
        <family val="2"/>
      </rPr>
      <t xml:space="preserve">쉬운 말 내레이션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핵심 구절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개만 개역개정 인용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성경에 없는 대사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장면은 최소화하고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상상 장면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으로 감수</t>
    </r>
  </si>
  <si>
    <t xml:space="preserve">구속사 관점</t>
  </si>
  <si>
    <r>
      <rPr>
        <sz val="10"/>
        <color rgb="FF000000"/>
        <rFont val="WenQuanYi Zen Hei"/>
        <family val="2"/>
      </rPr>
      <t xml:space="preserve">모든 롱폼에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그리스도 연결점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을 두어 도덕 교훈에 그치지 않고 그리스도를 가리키도록 구성</t>
    </r>
  </si>
  <si>
    <r>
      <rPr>
        <b val="true"/>
        <sz val="10"/>
        <color rgb="FF000000"/>
        <rFont val="WenQuanYi Zen Hei"/>
        <family val="2"/>
      </rPr>
      <t xml:space="preserve">시즌</t>
    </r>
    <r>
      <rPr>
        <b val="true"/>
        <sz val="10"/>
        <color rgb="FF000000"/>
        <rFont val="Arial"/>
        <family val="0"/>
        <charset val="1"/>
      </rPr>
      <t xml:space="preserve">1 </t>
    </r>
    <r>
      <rPr>
        <b val="true"/>
        <sz val="10"/>
        <color rgb="FF000000"/>
        <rFont val="WenQuanYi Zen Hei"/>
        <family val="2"/>
      </rPr>
      <t xml:space="preserve">연결 내레이션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</si>
  <si>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은 중간 편을 건너뛰므로</t>
    </r>
    <r>
      <rPr>
        <sz val="10"/>
        <color rgb="FF000000"/>
        <rFont val="Arial"/>
        <family val="0"/>
        <charset val="1"/>
      </rPr>
      <t xml:space="preserve">, A</t>
    </r>
    <r>
      <rPr>
        <sz val="10"/>
        <color rgb="FF000000"/>
        <rFont val="WenQuanYi Zen Hei"/>
        <family val="2"/>
      </rPr>
      <t xml:space="preserve">타입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연결 내레이션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칸에 적힌 건너뛴 내용을 </t>
    </r>
    <r>
      <rPr>
        <sz val="10"/>
        <color rgb="FF000000"/>
        <rFont val="Arial"/>
        <family val="0"/>
        <charset val="1"/>
      </rPr>
      <t xml:space="preserve">1~2</t>
    </r>
    <r>
      <rPr>
        <sz val="10"/>
        <color rgb="FF000000"/>
        <rFont val="WenQuanYi Zen Hei"/>
        <family val="2"/>
      </rPr>
      <t xml:space="preserve">문장으로 요약해 흐름을 이어 줌</t>
    </r>
  </si>
  <si>
    <t xml:space="preserve">선별 분할한 책</t>
  </si>
  <si>
    <r>
      <rPr>
        <sz val="10"/>
        <color rgb="FF000000"/>
        <rFont val="WenQuanYi Zen Hei"/>
        <family val="2"/>
      </rPr>
      <t xml:space="preserve">시편</t>
    </r>
    <r>
      <rPr>
        <sz val="10"/>
        <color rgb="FF000000"/>
        <rFont val="Arial"/>
        <family val="0"/>
        <charset val="1"/>
      </rPr>
      <t xml:space="preserve">: 150</t>
    </r>
    <r>
      <rPr>
        <sz val="10"/>
        <color rgb="FF000000"/>
        <rFont val="WenQuanYi Zen Hei"/>
        <family val="2"/>
      </rPr>
      <t xml:space="preserve">편 중 대표 시편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WenQuanYi Zen Hei"/>
        <family val="2"/>
      </rPr>
      <t xml:space="preserve">편을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권 구조 순서로 선별</t>
    </r>
    <r>
      <rPr>
        <sz val="10"/>
        <color rgb="FF000000"/>
        <rFont val="Arial"/>
        <family val="0"/>
        <charset val="1"/>
      </rPr>
      <t xml:space="preserve">; </t>
    </r>
    <r>
      <rPr>
        <sz val="10"/>
        <color rgb="FF000000"/>
        <rFont val="WenQuanYi Zen Hei"/>
        <family val="2"/>
      </rPr>
      <t xml:space="preserve">마가복음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마태복음과 겹치는 사건은 제외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마가 고유 장면 위주 선별</t>
    </r>
    <r>
      <rPr>
        <sz val="10"/>
        <color rgb="FF000000"/>
        <rFont val="Arial"/>
        <family val="0"/>
        <charset val="1"/>
      </rPr>
      <t xml:space="preserve">; </t>
    </r>
    <r>
      <rPr>
        <sz val="10"/>
        <color rgb="FF000000"/>
        <rFont val="WenQuanYi Zen Hei"/>
        <family val="2"/>
      </rPr>
      <t xml:space="preserve">누가복음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탄생 이야기와 누가 고유 비유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장면 위주 선별</t>
    </r>
    <r>
      <rPr>
        <sz val="10"/>
        <color rgb="FF000000"/>
        <rFont val="Arial"/>
        <family val="0"/>
        <charset val="1"/>
      </rPr>
      <t xml:space="preserve">; </t>
    </r>
    <r>
      <rPr>
        <sz val="10"/>
        <color rgb="FF000000"/>
        <rFont val="WenQuanYi Zen Hei"/>
        <family val="2"/>
      </rPr>
      <t xml:space="preserve">요한복음</t>
    </r>
    <r>
      <rPr>
        <sz val="10"/>
        <color rgb="FF000000"/>
        <rFont val="Arial"/>
        <family val="0"/>
        <charset val="1"/>
      </rPr>
      <t xml:space="preserve">: 21</t>
    </r>
    <r>
      <rPr>
        <sz val="10"/>
        <color rgb="FF000000"/>
        <rFont val="WenQuanYi Zen Hei"/>
        <family val="2"/>
      </rPr>
      <t xml:space="preserve">장 전체를 다루되 일부 강화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講話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는 대표 단락으로 압축</t>
    </r>
    <r>
      <rPr>
        <sz val="10"/>
        <color rgb="FF000000"/>
        <rFont val="Arial"/>
        <family val="0"/>
        <charset val="1"/>
      </rPr>
      <t xml:space="preserve">; </t>
    </r>
    <r>
      <rPr>
        <sz val="10"/>
        <color rgb="FF000000"/>
        <rFont val="WenQuanYi Zen Hei"/>
        <family val="2"/>
      </rPr>
      <t xml:space="preserve">역대상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사무엘서와 겹치는 내용은 압축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역대기 고유 관점 중심</t>
    </r>
    <r>
      <rPr>
        <sz val="10"/>
        <color rgb="FF000000"/>
        <rFont val="Arial"/>
        <family val="0"/>
        <charset val="1"/>
      </rPr>
      <t xml:space="preserve">; </t>
    </r>
    <r>
      <rPr>
        <sz val="10"/>
        <color rgb="FF000000"/>
        <rFont val="WenQuanYi Zen Hei"/>
        <family val="2"/>
      </rPr>
      <t xml:space="preserve">역대하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열왕기와 겹치는 내용은 압축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역대기 고유 관점 중심</t>
    </r>
  </si>
  <si>
    <t xml:space="preserve">시트 구성</t>
  </si>
  <si>
    <r>
      <rPr>
        <b val="true"/>
        <sz val="10"/>
        <color rgb="FF000000"/>
        <rFont val="Arial"/>
        <family val="0"/>
        <charset val="1"/>
      </rPr>
      <t xml:space="preserve">A</t>
    </r>
    <r>
      <rPr>
        <b val="true"/>
        <sz val="10"/>
        <color rgb="FF000000"/>
        <rFont val="WenQuanYi Zen Hei"/>
        <family val="2"/>
      </rPr>
      <t xml:space="preserve">타입</t>
    </r>
    <r>
      <rPr>
        <b val="true"/>
        <sz val="10"/>
        <color rgb="FF000000"/>
        <rFont val="Arial"/>
        <family val="0"/>
        <charset val="1"/>
      </rPr>
      <t xml:space="preserve">_</t>
    </r>
    <r>
      <rPr>
        <b val="true"/>
        <sz val="10"/>
        <color rgb="FF000000"/>
        <rFont val="WenQuanYi Zen Hei"/>
        <family val="2"/>
      </rPr>
      <t xml:space="preserve">제작표</t>
    </r>
  </si>
  <si>
    <r>
      <rPr>
        <sz val="10"/>
        <color rgb="FF000000"/>
        <rFont val="WenQuanYi Zen Hei"/>
        <family val="2"/>
      </rPr>
      <t xml:space="preserve">숏폼 전체 </t>
    </r>
    <r>
      <rPr>
        <sz val="10"/>
        <color rgb="FF000000"/>
        <rFont val="Arial"/>
        <family val="0"/>
        <charset val="1"/>
      </rPr>
      <t xml:space="preserve">798</t>
    </r>
    <r>
      <rPr>
        <sz val="10"/>
        <color rgb="FF000000"/>
        <rFont val="WenQuanYi Zen Hei"/>
        <family val="2"/>
      </rPr>
      <t xml:space="preserve">편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트랙 회차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본문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제목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첫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초 훅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핵심 구절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메시지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인물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배경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교리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연출 주의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연결 내레이션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업로드일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제작 상태</t>
    </r>
  </si>
  <si>
    <r>
      <rPr>
        <b val="true"/>
        <sz val="10"/>
        <color rgb="FF000000"/>
        <rFont val="WenQuanYi Zen Hei"/>
        <family val="2"/>
      </rPr>
      <t xml:space="preserve">롱폼</t>
    </r>
    <r>
      <rPr>
        <b val="true"/>
        <sz val="10"/>
        <color rgb="FF000000"/>
        <rFont val="Arial"/>
        <family val="0"/>
        <charset val="1"/>
      </rPr>
      <t xml:space="preserve">_</t>
    </r>
    <r>
      <rPr>
        <b val="true"/>
        <sz val="10"/>
        <color rgb="FF000000"/>
        <rFont val="WenQuanYi Zen Hei"/>
        <family val="2"/>
      </rPr>
      <t xml:space="preserve">시즌별</t>
    </r>
  </si>
  <si>
    <r>
      <rPr>
        <sz val="10"/>
        <color rgb="FF000000"/>
        <rFont val="WenQuanYi Zen Hei"/>
        <family val="2"/>
      </rPr>
      <t xml:space="preserve">시즌 중 올릴 롱폼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트랙별 묶음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공개 예정일</t>
    </r>
  </si>
  <si>
    <r>
      <rPr>
        <b val="true"/>
        <sz val="10"/>
        <color rgb="FF000000"/>
        <rFont val="WenQuanYi Zen Hei"/>
        <family val="2"/>
      </rPr>
      <t xml:space="preserve">롱폼</t>
    </r>
    <r>
      <rPr>
        <b val="true"/>
        <sz val="10"/>
        <color rgb="FF000000"/>
        <rFont val="Arial"/>
        <family val="0"/>
        <charset val="1"/>
      </rPr>
      <t xml:space="preserve">_</t>
    </r>
    <r>
      <rPr>
        <b val="true"/>
        <sz val="10"/>
        <color rgb="FF000000"/>
        <rFont val="WenQuanYi Zen Hei"/>
        <family val="2"/>
      </rPr>
      <t xml:space="preserve">통합본</t>
    </r>
  </si>
  <si>
    <r>
      <rPr>
        <sz val="10"/>
        <color rgb="FF000000"/>
        <rFont val="WenQuanYi Zen Hei"/>
        <family val="2"/>
      </rPr>
      <t xml:space="preserve">성경 순서 롱폼 </t>
    </r>
    <r>
      <rPr>
        <sz val="10"/>
        <color rgb="FF000000"/>
        <rFont val="Arial"/>
        <family val="0"/>
        <charset val="1"/>
      </rPr>
      <t xml:space="preserve">84</t>
    </r>
    <r>
      <rPr>
        <sz val="10"/>
        <color rgb="FF000000"/>
        <rFont val="WenQuanYi Zen Hei"/>
        <family val="2"/>
      </rPr>
      <t xml:space="preserve">편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진행자 인트로 질문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그리스도 연결점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핵심 교리</t>
    </r>
  </si>
  <si>
    <t xml:space="preserve">누락점검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</si>
  <si>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1+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2=</t>
    </r>
    <r>
      <rPr>
        <sz val="10"/>
        <color rgb="FF000000"/>
        <rFont val="WenQuanYi Zen Hei"/>
        <family val="2"/>
      </rPr>
      <t xml:space="preserve">전체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중복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미배정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회차 연속성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권별 장 점검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모두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정상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이어야 함</t>
    </r>
    <r>
      <rPr>
        <sz val="10"/>
        <color rgb="FF000000"/>
        <rFont val="Arial"/>
        <family val="0"/>
        <charset val="1"/>
      </rPr>
      <t xml:space="preserve">)</t>
    </r>
  </si>
  <si>
    <t xml:space="preserve">권별요약</t>
  </si>
  <si>
    <r>
      <rPr>
        <sz val="10"/>
        <color rgb="FF000000"/>
        <rFont val="Arial"/>
        <family val="0"/>
        <charset val="1"/>
      </rPr>
      <t xml:space="preserve">66</t>
    </r>
    <r>
      <rPr>
        <sz val="10"/>
        <color rgb="FF000000"/>
        <rFont val="WenQuanYi Zen Hei"/>
        <family val="2"/>
      </rPr>
      <t xml:space="preserve">권별 편수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시즌별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분량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분할 방식</t>
    </r>
  </si>
  <si>
    <r>
      <rPr>
        <b val="true"/>
        <sz val="10"/>
        <color rgb="FF000000"/>
        <rFont val="WenQuanYi Zen Hei"/>
        <family val="2"/>
      </rPr>
      <t xml:space="preserve">인물</t>
    </r>
    <r>
      <rPr>
        <b val="true"/>
        <sz val="10"/>
        <color rgb="FF000000"/>
        <rFont val="Arial"/>
        <family val="0"/>
        <charset val="1"/>
      </rPr>
      <t xml:space="preserve">_</t>
    </r>
    <r>
      <rPr>
        <b val="true"/>
        <sz val="10"/>
        <color rgb="FF000000"/>
        <rFont val="WenQuanYi Zen Hei"/>
        <family val="2"/>
      </rPr>
      <t xml:space="preserve">캐릭터시트</t>
    </r>
  </si>
  <si>
    <r>
      <rPr>
        <sz val="10"/>
        <color rgb="FF000000"/>
        <rFont val="WenQuanYi Zen Hei"/>
        <family val="2"/>
      </rPr>
      <t xml:space="preserve">주요 인물 외형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의상 가안과 삼위 하나님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천사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사탄 표현 규칙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진행 캐릭터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가안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</si>
  <si>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교리감수</t>
    </r>
    <r>
      <rPr>
        <b val="true"/>
        <sz val="10"/>
        <color rgb="FF000000"/>
        <rFont val="Arial"/>
        <family val="0"/>
        <charset val="1"/>
      </rPr>
      <t xml:space="preserve">_</t>
    </r>
    <r>
      <rPr>
        <b val="true"/>
        <sz val="10"/>
        <color rgb="FF000000"/>
        <rFont val="WenQuanYi Zen Hei"/>
        <family val="2"/>
      </rPr>
      <t xml:space="preserve">기준</t>
    </r>
  </si>
  <si>
    <r>
      <rPr>
        <sz val="10"/>
        <color rgb="FF000000"/>
        <rFont val="WenQuanYi Zen Hei"/>
        <family val="2"/>
      </rPr>
      <t xml:space="preserve">합동측 신앙 표준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핵심 교리 체크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이단 해석 경계 목록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감수 절차</t>
    </r>
  </si>
  <si>
    <t xml:space="preserve">제작템플릿</t>
  </si>
  <si>
    <r>
      <rPr>
        <sz val="10"/>
        <color rgb="FF000000"/>
        <rFont val="Arial"/>
        <family val="0"/>
        <charset val="1"/>
      </rPr>
      <t xml:space="preserve">A·</t>
    </r>
    <r>
      <rPr>
        <sz val="10"/>
        <color rgb="FF000000"/>
        <rFont val="WenQuanYi Zen Hei"/>
        <family val="2"/>
      </rPr>
      <t xml:space="preserve">롱폼 구성 공식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프롬프트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블록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기술 규격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메타데이터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저작권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업로드 체크리스트</t>
    </r>
  </si>
  <si>
    <t xml:space="preserve">절기특집</t>
  </si>
  <si>
    <t xml:space="preserve">교회 절기별 추천 편성</t>
  </si>
  <si>
    <t xml:space="preserve">표기통일</t>
  </si>
  <si>
    <r>
      <rPr>
        <sz val="10"/>
        <color rgb="FF000000"/>
        <rFont val="WenQuanYi Zen Hei"/>
        <family val="2"/>
      </rPr>
      <t xml:space="preserve">개역개정 기준 용어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인명 표기</t>
    </r>
  </si>
  <si>
    <r>
      <rPr>
        <sz val="9"/>
        <color rgb="FFC00000"/>
        <rFont val="WenQuanYi Zen Hei"/>
        <family val="2"/>
      </rPr>
      <t xml:space="preserve">※ 노란 칸 </t>
    </r>
    <r>
      <rPr>
        <sz val="9"/>
        <color rgb="FFC00000"/>
        <rFont val="Arial"/>
        <family val="0"/>
        <charset val="1"/>
      </rPr>
      <t xml:space="preserve">= </t>
    </r>
    <r>
      <rPr>
        <sz val="9"/>
        <color rgb="FFC00000"/>
        <rFont val="WenQuanYi Zen Hei"/>
        <family val="2"/>
      </rPr>
      <t xml:space="preserve">수정 가능한 입력칸 </t>
    </r>
    <r>
      <rPr>
        <sz val="9"/>
        <color rgb="FFC00000"/>
        <rFont val="Arial"/>
        <family val="0"/>
        <charset val="1"/>
      </rPr>
      <t xml:space="preserve">/ </t>
    </r>
    <r>
      <rPr>
        <sz val="9"/>
        <color rgb="FFC00000"/>
        <rFont val="WenQuanYi Zen Hei"/>
        <family val="2"/>
      </rPr>
      <t xml:space="preserve">상태 열은 목록에서 선택 </t>
    </r>
    <r>
      <rPr>
        <sz val="9"/>
        <color rgb="FFC00000"/>
        <rFont val="Arial"/>
        <family val="0"/>
        <charset val="1"/>
      </rPr>
      <t xml:space="preserve">/ </t>
    </r>
    <r>
      <rPr>
        <sz val="9"/>
        <color rgb="FFC00000"/>
        <rFont val="WenQuanYi Zen Hei"/>
        <family val="2"/>
      </rPr>
      <t xml:space="preserve">그 외 숫자는 수식으로 자동 계산</t>
    </r>
  </si>
  <si>
    <r>
      <rPr>
        <sz val="9"/>
        <color rgb="FF595959"/>
        <rFont val="WenQuanYi Zen Hei"/>
        <family val="2"/>
      </rPr>
      <t xml:space="preserve">※ 시즌 배정을 바꾸려면 </t>
    </r>
    <r>
      <rPr>
        <sz val="9"/>
        <color rgb="FF595959"/>
        <rFont val="Arial"/>
        <family val="0"/>
        <charset val="1"/>
      </rPr>
      <t xml:space="preserve">data/</t>
    </r>
    <r>
      <rPr>
        <sz val="9"/>
        <color rgb="FF595959"/>
        <rFont val="WenQuanYi Zen Hei"/>
        <family val="2"/>
      </rPr>
      <t xml:space="preserve">시즌</t>
    </r>
    <r>
      <rPr>
        <sz val="9"/>
        <color rgb="FF595959"/>
        <rFont val="Arial"/>
        <family val="0"/>
        <charset val="1"/>
      </rPr>
      <t xml:space="preserve">1_</t>
    </r>
    <r>
      <rPr>
        <sz val="9"/>
        <color rgb="FF595959"/>
        <rFont val="WenQuanYi Zen Hei"/>
        <family val="2"/>
      </rPr>
      <t xml:space="preserve">선정</t>
    </r>
    <r>
      <rPr>
        <sz val="9"/>
        <color rgb="FF595959"/>
        <rFont val="Arial"/>
        <family val="0"/>
        <charset val="1"/>
      </rPr>
      <t xml:space="preserve">.lst </t>
    </r>
    <r>
      <rPr>
        <sz val="9"/>
        <color rgb="FF595959"/>
        <rFont val="WenQuanYi Zen Hei"/>
        <family val="2"/>
      </rPr>
      <t xml:space="preserve">를 고친 뒤 </t>
    </r>
    <r>
      <rPr>
        <sz val="9"/>
        <color rgb="FF595959"/>
        <rFont val="Arial"/>
        <family val="0"/>
        <charset val="1"/>
      </rPr>
      <t xml:space="preserve">scripts/build_xlsx.py </t>
    </r>
    <r>
      <rPr>
        <sz val="9"/>
        <color rgb="FF595959"/>
        <rFont val="WenQuanYi Zen Hei"/>
        <family val="2"/>
      </rPr>
      <t xml:space="preserve">로 다시 만드세요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누락 점검이 함께 실행됨</t>
    </r>
    <r>
      <rPr>
        <sz val="9"/>
        <color rgb="FF595959"/>
        <rFont val="Arial"/>
        <family val="0"/>
        <charset val="1"/>
      </rPr>
      <t xml:space="preserve">)</t>
    </r>
  </si>
  <si>
    <t xml:space="preserve">순번</t>
  </si>
  <si>
    <r>
      <rPr>
        <b val="true"/>
        <sz val="10"/>
        <color rgb="FFFFFFFF"/>
        <rFont val="Arial"/>
        <family val="0"/>
        <charset val="1"/>
      </rPr>
      <t xml:space="preserve">A</t>
    </r>
    <r>
      <rPr>
        <b val="true"/>
        <sz val="10"/>
        <color rgb="FFFFFFFF"/>
        <rFont val="WenQuanYi Zen Hei"/>
        <family val="2"/>
      </rPr>
      <t xml:space="preserve">코드</t>
    </r>
  </si>
  <si>
    <t xml:space="preserve">시즌</t>
  </si>
  <si>
    <t xml:space="preserve">트랙</t>
  </si>
  <si>
    <t xml:space="preserve">트랙 회차</t>
  </si>
  <si>
    <t xml:space="preserve">회차 표기</t>
  </si>
  <si>
    <r>
      <rPr>
        <b val="true"/>
        <sz val="10"/>
        <color rgb="FFFFFFFF"/>
        <rFont val="WenQuanYi Zen Hei"/>
        <family val="2"/>
      </rPr>
      <t xml:space="preserve">통합본 </t>
    </r>
    <r>
      <rPr>
        <b val="true"/>
        <sz val="10"/>
        <color rgb="FFFFFFFF"/>
        <rFont val="Arial"/>
        <family val="0"/>
        <charset val="1"/>
      </rPr>
      <t xml:space="preserve">B</t>
    </r>
  </si>
  <si>
    <t xml:space="preserve">시즌 롱폼</t>
  </si>
  <si>
    <t xml:space="preserve">책</t>
  </si>
  <si>
    <t xml:space="preserve">본문</t>
  </si>
  <si>
    <t xml:space="preserve">유형</t>
  </si>
  <si>
    <t xml:space="preserve">제목</t>
  </si>
  <si>
    <r>
      <rPr>
        <b val="true"/>
        <sz val="10"/>
        <color rgb="FFFFFFFF"/>
        <rFont val="WenQuanYi Zen Hei"/>
        <family val="2"/>
      </rPr>
      <t xml:space="preserve">첫 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초 훅</t>
    </r>
  </si>
  <si>
    <t xml:space="preserve">핵심 구절</t>
  </si>
  <si>
    <t xml:space="preserve">한 줄 메시지</t>
  </si>
  <si>
    <t xml:space="preserve">등장인물</t>
  </si>
  <si>
    <r>
      <rPr>
        <b val="true"/>
        <sz val="10"/>
        <color rgb="FFFFFFFF"/>
        <rFont val="WenQuanYi Zen Hei"/>
        <family val="2"/>
      </rPr>
      <t xml:space="preserve">장소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배경</t>
    </r>
  </si>
  <si>
    <r>
      <rPr>
        <b val="true"/>
        <sz val="10"/>
        <color rgb="FFFFFFFF"/>
        <rFont val="WenQuanYi Zen Hei"/>
        <family val="2"/>
      </rPr>
      <t xml:space="preserve">교리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연출 주의</t>
    </r>
  </si>
  <si>
    <t xml:space="preserve">연결 내레이션</t>
  </si>
  <si>
    <t xml:space="preserve">유튜브 제목안</t>
  </si>
  <si>
    <t xml:space="preserve">업로드 예정일</t>
  </si>
  <si>
    <t xml:space="preserve">요일</t>
  </si>
  <si>
    <t xml:space="preserve">다음 편 예고</t>
  </si>
  <si>
    <t xml:space="preserve">대본</t>
  </si>
  <si>
    <t xml:space="preserve">교리감수</t>
  </si>
  <si>
    <t xml:space="preserve">영상</t>
  </si>
  <si>
    <t xml:space="preserve">업로드</t>
  </si>
  <si>
    <t xml:space="preserve">비고</t>
  </si>
  <si>
    <t xml:space="preserve">트랙키</t>
  </si>
  <si>
    <t xml:space="preserve">시즌 내 순서</t>
  </si>
  <si>
    <t xml:space="preserve">A0001</t>
  </si>
  <si>
    <t xml:space="preserve">구약</t>
  </si>
  <si>
    <t xml:space="preserve">B001</t>
  </si>
  <si>
    <t xml:space="preserve">S1-L01</t>
  </si>
  <si>
    <t xml:space="preserve">창세기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</si>
  <si>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1:1-5</t>
    </r>
  </si>
  <si>
    <t xml:space="preserve">장면</t>
  </si>
  <si>
    <t xml:space="preserve">태초에</t>
  </si>
  <si>
    <r>
      <rPr>
        <sz val="10"/>
        <color rgb="FF000000"/>
        <rFont val="WenQuanYi Zen Hei"/>
        <family val="2"/>
      </rPr>
      <t xml:space="preserve">세상이 생기기 전엔 무엇이 있었을까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</si>
  <si>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1:1</t>
    </r>
  </si>
  <si>
    <t xml:space="preserve">모든 것은 하나님에게서 시작되었습니다</t>
  </si>
  <si>
    <r>
      <rPr>
        <sz val="10"/>
        <color rgb="FF000000"/>
        <rFont val="WenQuanYi Zen Hei"/>
        <family val="2"/>
      </rPr>
      <t xml:space="preserve">하나님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빛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음성</t>
    </r>
    <r>
      <rPr>
        <sz val="10"/>
        <color rgb="FF000000"/>
        <rFont val="Arial"/>
        <family val="0"/>
        <charset val="1"/>
      </rPr>
      <t xml:space="preserve">)</t>
    </r>
  </si>
  <si>
    <t xml:space="preserve">혼돈하고 깊은 물 위</t>
  </si>
  <si>
    <t xml:space="preserve">성부 하나님은 빛과 음성으로만 표현</t>
  </si>
  <si>
    <t xml:space="preserve">앞 편과 바로 이어짐</t>
  </si>
  <si>
    <t xml:space="preserve">미착수</t>
  </si>
  <si>
    <t xml:space="preserve">A0002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</si>
  <si>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1:6-13</t>
    </r>
  </si>
  <si>
    <t xml:space="preserve">하늘과 바다와 땅</t>
  </si>
  <si>
    <r>
      <rPr>
        <sz val="10"/>
        <color rgb="FF000000"/>
        <rFont val="WenQuanYi Zen Hei"/>
        <family val="2"/>
      </rPr>
      <t xml:space="preserve">하나님이 바다를 한쪽으로 모으셨다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</si>
  <si>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1:10</t>
    </r>
  </si>
  <si>
    <t xml:space="preserve">하나님은 혼돈을 질서로 바꾸십니다</t>
  </si>
  <si>
    <r>
      <rPr>
        <sz val="10"/>
        <color rgb="FF000000"/>
        <rFont val="WenQuanYi Zen Hei"/>
        <family val="2"/>
      </rPr>
      <t xml:space="preserve">하나님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음성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</si>
  <si>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물이 나뉘는 하늘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처음 드러난 땅</t>
    </r>
  </si>
  <si>
    <r>
      <rPr>
        <sz val="10"/>
        <color rgb="FFC00000"/>
        <rFont val="WenQuanYi Zen Hei"/>
        <family val="2"/>
      </rPr>
      <t xml:space="preserve">진화론 등 과학 논쟁 연출 지양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창조 사실에 집중</t>
    </r>
  </si>
  <si>
    <t xml:space="preserve">A0003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</si>
  <si>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1:14-25</t>
    </r>
  </si>
  <si>
    <r>
      <rPr>
        <sz val="10"/>
        <color rgb="FF000000"/>
        <rFont val="WenQuanYi Zen Hei"/>
        <family val="2"/>
      </rPr>
      <t xml:space="preserve">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그리고 생명들</t>
    </r>
  </si>
  <si>
    <r>
      <rPr>
        <sz val="10"/>
        <color rgb="FF000000"/>
        <rFont val="WenQuanYi Zen Hei"/>
        <family val="2"/>
      </rPr>
      <t xml:space="preserve">해보다 식물이 먼저 만들어졌다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</si>
  <si>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1:25</t>
    </r>
  </si>
  <si>
    <t xml:space="preserve">하나님이 지으신 모든 것이 좋았습니다</t>
  </si>
  <si>
    <r>
      <rPr>
        <sz val="10"/>
        <color rgb="FF000000"/>
        <rFont val="WenQuanYi Zen Hei"/>
        <family val="2"/>
      </rPr>
      <t xml:space="preserve">별이 빛나는 하늘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바다 생물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들짐승</t>
    </r>
  </si>
  <si>
    <t xml:space="preserve">A0004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</si>
  <si>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1:26-2:3</t>
    </r>
  </si>
  <si>
    <r>
      <rPr>
        <sz val="10"/>
        <color rgb="FF000000"/>
        <rFont val="WenQuanYi Zen Hei"/>
        <family val="2"/>
      </rPr>
      <t xml:space="preserve">하나님의 형상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사람</t>
    </r>
  </si>
  <si>
    <r>
      <rPr>
        <sz val="10"/>
        <color rgb="FF000000"/>
        <rFont val="WenQuanYi Zen Hei"/>
        <family val="2"/>
      </rPr>
      <t xml:space="preserve">사람만 특별하게 만드신 이유가 있다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</si>
  <si>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1:27</t>
    </r>
  </si>
  <si>
    <t xml:space="preserve">사람은 하나님의 형상으로 지음받은 존재입니다</t>
  </si>
  <si>
    <r>
      <rPr>
        <sz val="10"/>
        <color rgb="FF000000"/>
        <rFont val="WenQuanYi Zen Hei"/>
        <family val="2"/>
      </rPr>
      <t xml:space="preserve">아담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하와</t>
    </r>
  </si>
  <si>
    <t xml:space="preserve">에덴</t>
  </si>
  <si>
    <r>
      <rPr>
        <sz val="10"/>
        <color rgb="FFC00000"/>
        <rFont val="WenQuanYi Zen Hei"/>
        <family val="2"/>
      </rPr>
      <t xml:space="preserve">노출 없는 자연스러운 연출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실루엣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식물로 가림</t>
    </r>
    <r>
      <rPr>
        <sz val="10"/>
        <color rgb="FFC00000"/>
        <rFont val="Arial"/>
        <family val="0"/>
        <charset val="1"/>
      </rPr>
      <t xml:space="preserve">)</t>
    </r>
  </si>
  <si>
    <t xml:space="preserve">A0005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</si>
  <si>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2:4-17</t>
    </r>
  </si>
  <si>
    <t xml:space="preserve">에덴동산과 한 가지 명령</t>
  </si>
  <si>
    <r>
      <rPr>
        <sz val="10"/>
        <color rgb="FF000000"/>
        <rFont val="WenQuanYi Zen Hei"/>
        <family val="2"/>
      </rPr>
      <t xml:space="preserve">딱 하나만 먹지 말라고 하신 이유는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</si>
  <si>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2:17</t>
    </r>
  </si>
  <si>
    <t xml:space="preserve">하나님의 말씀 안에 참 자유가 있습니다</t>
  </si>
  <si>
    <t xml:space="preserve">아담</t>
  </si>
  <si>
    <r>
      <rPr>
        <sz val="10"/>
        <color rgb="FF000000"/>
        <rFont val="WenQuanYi Zen Hei"/>
        <family val="2"/>
      </rPr>
      <t xml:space="preserve">에덴동산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생명나무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선악을 알게 하는 나무</t>
    </r>
  </si>
  <si>
    <r>
      <rPr>
        <sz val="10"/>
        <color rgb="FFC00000"/>
        <rFont val="WenQuanYi Zen Hei"/>
        <family val="2"/>
      </rPr>
      <t xml:space="preserve">선악과는 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사과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로 단정하지 말고 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열매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로 표현</t>
    </r>
  </si>
  <si>
    <t xml:space="preserve">A0006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</si>
  <si>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2:18-25</t>
    </r>
  </si>
  <si>
    <t xml:space="preserve">첫 번째 가정</t>
  </si>
  <si>
    <r>
      <rPr>
        <sz val="10"/>
        <color rgb="FF000000"/>
        <rFont val="WenQuanYi Zen Hei"/>
        <family val="2"/>
      </rPr>
      <t xml:space="preserve">하나님이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좋지 않다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고 하신 단 하나는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</si>
  <si>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2:24</t>
    </r>
  </si>
  <si>
    <t xml:space="preserve">가정은 하나님이 세우신 첫 공동체입니다</t>
  </si>
  <si>
    <t xml:space="preserve">에덴동산</t>
  </si>
  <si>
    <t xml:space="preserve">A0007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</si>
  <si>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3:1-7</t>
    </r>
  </si>
  <si>
    <t xml:space="preserve">뱀의 유혹</t>
  </si>
  <si>
    <r>
      <rPr>
        <sz val="10"/>
        <color rgb="FF000000"/>
        <rFont val="WenQuanYi Zen Hei"/>
        <family val="2"/>
      </rPr>
      <t xml:space="preserve">정말 하나님이 그렇게 말씀하셨니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</si>
  <si>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3:6</t>
    </r>
  </si>
  <si>
    <t xml:space="preserve">죄는 하나님의 말씀을 의심하는 데서 시작됩니다</t>
  </si>
  <si>
    <r>
      <rPr>
        <sz val="10"/>
        <color rgb="FF000000"/>
        <rFont val="WenQuanYi Zen Hei"/>
        <family val="2"/>
      </rPr>
      <t xml:space="preserve">하와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뱀</t>
    </r>
  </si>
  <si>
    <t xml:space="preserve">선악을 알게 하는 나무 앞</t>
  </si>
  <si>
    <r>
      <rPr>
        <sz val="10"/>
        <color rgb="FFC00000"/>
        <rFont val="WenQuanYi Zen Hei"/>
        <family val="2"/>
      </rPr>
      <t xml:space="preserve">성적 타락 해석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통일교</t>
    </r>
    <r>
      <rPr>
        <sz val="10"/>
        <color rgb="FFC00000"/>
        <rFont val="Arial"/>
        <family val="0"/>
        <charset val="1"/>
      </rPr>
      <t xml:space="preserve">·JMS) </t>
    </r>
    <r>
      <rPr>
        <sz val="10"/>
        <color rgb="FFC00000"/>
        <rFont val="WenQuanYi Zen Hei"/>
        <family val="2"/>
      </rPr>
      <t xml:space="preserve">절대 금지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뱀은 뱀으로 표현</t>
    </r>
  </si>
  <si>
    <t xml:space="preserve">A0008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</si>
  <si>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3:8-13</t>
    </r>
  </si>
  <si>
    <t xml:space="preserve">네가 어디 있느냐</t>
  </si>
  <si>
    <r>
      <rPr>
        <sz val="10"/>
        <color rgb="FF000000"/>
        <rFont val="WenQuanYi Zen Hei"/>
        <family val="2"/>
      </rPr>
      <t xml:space="preserve">하나님이 정말 몰라서 물으셨을까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</si>
  <si>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3:9</t>
    </r>
  </si>
  <si>
    <t xml:space="preserve">하나님은 숨은 죄인을 먼저 찾아오십니다</t>
  </si>
  <si>
    <r>
      <rPr>
        <sz val="10"/>
        <color rgb="FF000000"/>
        <rFont val="WenQuanYi Zen Hei"/>
        <family val="2"/>
      </rPr>
      <t xml:space="preserve">아담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하나님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음성</t>
    </r>
    <r>
      <rPr>
        <sz val="10"/>
        <color rgb="FF000000"/>
        <rFont val="Arial"/>
        <family val="0"/>
        <charset val="1"/>
      </rPr>
      <t xml:space="preserve">)</t>
    </r>
  </si>
  <si>
    <t xml:space="preserve">저녁 바람 부는 동산</t>
  </si>
  <si>
    <t xml:space="preserve">A0009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</si>
  <si>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3:14-19</t>
    </r>
  </si>
  <si>
    <t xml:space="preserve">첫 번째 복음</t>
  </si>
  <si>
    <r>
      <rPr>
        <sz val="10"/>
        <color rgb="FF000000"/>
        <rFont val="WenQuanYi Zen Hei"/>
        <family val="2"/>
      </rPr>
      <t xml:space="preserve">저주의 한가운데 숨겨진 약속이 있다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</si>
  <si>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3:15</t>
    </r>
  </si>
  <si>
    <t xml:space="preserve">하나님은 심판 중에도 구원을 약속하셨습니다</t>
  </si>
  <si>
    <r>
      <rPr>
        <sz val="10"/>
        <color rgb="FF000000"/>
        <rFont val="WenQuanYi Zen Hei"/>
        <family val="2"/>
      </rPr>
      <t xml:space="preserve">하나님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음성</t>
    </r>
    <r>
      <rPr>
        <sz val="10"/>
        <color rgb="FF000000"/>
        <rFont val="Arial"/>
        <family val="0"/>
        <charset val="1"/>
      </rPr>
      <t xml:space="preserve">)·</t>
    </r>
    <r>
      <rPr>
        <sz val="10"/>
        <color rgb="FF000000"/>
        <rFont val="WenQuanYi Zen Hei"/>
        <family val="2"/>
      </rPr>
      <t xml:space="preserve">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하와</t>
    </r>
  </si>
  <si>
    <r>
      <rPr>
        <sz val="10"/>
        <color rgb="FFC00000"/>
        <rFont val="Arial"/>
        <family val="0"/>
        <charset val="1"/>
      </rPr>
      <t xml:space="preserve">3:15 </t>
    </r>
    <r>
      <rPr>
        <sz val="10"/>
        <color rgb="FFC00000"/>
        <rFont val="WenQuanYi Zen Hei"/>
        <family val="2"/>
      </rPr>
      <t xml:space="preserve">원시복음 </t>
    </r>
    <r>
      <rPr>
        <sz val="10"/>
        <color rgb="FFC00000"/>
        <rFont val="Arial"/>
        <family val="0"/>
        <charset val="1"/>
      </rPr>
      <t xml:space="preserve">= </t>
    </r>
    <r>
      <rPr>
        <sz val="10"/>
        <color rgb="FFC00000"/>
        <rFont val="WenQuanYi Zen Hei"/>
        <family val="2"/>
      </rPr>
      <t xml:space="preserve">그리스도의 승리로 연결</t>
    </r>
  </si>
  <si>
    <t xml:space="preserve">A0010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</si>
  <si>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3:20-24</t>
    </r>
  </si>
  <si>
    <t xml:space="preserve">가죽옷과 에덴 밖으로</t>
  </si>
  <si>
    <r>
      <rPr>
        <sz val="10"/>
        <color rgb="FF000000"/>
        <rFont val="WenQuanYi Zen Hei"/>
        <family val="2"/>
      </rPr>
      <t xml:space="preserve">하나님이 직접 옷을 만들어 입히셨다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</si>
  <si>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3:21</t>
    </r>
  </si>
  <si>
    <t xml:space="preserve">죄인을 덮으시는 하나님의 은혜가 시작됩니다</t>
  </si>
  <si>
    <r>
      <rPr>
        <sz val="10"/>
        <color rgb="FF000000"/>
        <rFont val="WenQuanYi Zen Hei"/>
        <family val="2"/>
      </rPr>
      <t xml:space="preserve">아담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그룹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천사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</si>
  <si>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에덴 동쪽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불 칼</t>
    </r>
  </si>
  <si>
    <r>
      <rPr>
        <sz val="10"/>
        <color rgb="FFC00000"/>
        <rFont val="WenQuanYi Zen Hei"/>
        <family val="2"/>
      </rPr>
      <t xml:space="preserve">그룹은 날개 달린 아기천사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큐피드</t>
    </r>
    <r>
      <rPr>
        <sz val="10"/>
        <color rgb="FFC00000"/>
        <rFont val="Arial"/>
        <family val="0"/>
        <charset val="1"/>
      </rPr>
      <t xml:space="preserve">)</t>
    </r>
    <r>
      <rPr>
        <sz val="10"/>
        <color rgb="FFC00000"/>
        <rFont val="WenQuanYi Zen Hei"/>
        <family val="2"/>
      </rPr>
      <t xml:space="preserve">로 표현 금지</t>
    </r>
  </si>
  <si>
    <t xml:space="preserve">A0011</t>
  </si>
  <si>
    <t xml:space="preserve">B002</t>
  </si>
  <si>
    <t xml:space="preserve">S1-L02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</si>
  <si>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4:1-8</t>
    </r>
  </si>
  <si>
    <t xml:space="preserve">가인과 아벨</t>
  </si>
  <si>
    <t xml:space="preserve">형제 사이에 처음으로 일어난 비극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</si>
  <si>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4:7</t>
    </r>
  </si>
  <si>
    <t xml:space="preserve">죄는 문 앞에 엎드려 우리를 노립니다</t>
  </si>
  <si>
    <r>
      <rPr>
        <sz val="10"/>
        <color rgb="FF000000"/>
        <rFont val="WenQuanYi Zen Hei"/>
        <family val="2"/>
      </rPr>
      <t xml:space="preserve">가인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아벨</t>
    </r>
  </si>
  <si>
    <r>
      <rPr>
        <sz val="10"/>
        <color rgb="FF000000"/>
        <rFont val="WenQuanYi Zen Hei"/>
        <family val="2"/>
      </rPr>
      <t xml:space="preserve">들판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제단</t>
    </r>
  </si>
  <si>
    <r>
      <rPr>
        <sz val="10"/>
        <color rgb="FFC00000"/>
        <rFont val="WenQuanYi Zen Hei"/>
        <family val="2"/>
      </rPr>
      <t xml:space="preserve">살해 장면 직접 묘사 금지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암시</t>
    </r>
    <r>
      <rPr>
        <sz val="10"/>
        <color rgb="FFC00000"/>
        <rFont val="Arial"/>
        <family val="0"/>
        <charset val="1"/>
      </rPr>
      <t xml:space="preserve">)</t>
    </r>
  </si>
  <si>
    <t xml:space="preserve">A0012</t>
  </si>
  <si>
    <t xml:space="preserve">S2-L01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</si>
  <si>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4:9-16</t>
    </r>
  </si>
  <si>
    <t xml:space="preserve">네 아우가 어디 있느냐</t>
  </si>
  <si>
    <r>
      <rPr>
        <sz val="10"/>
        <color rgb="FF000000"/>
        <rFont val="WenQuanYi Zen Hei"/>
        <family val="2"/>
      </rPr>
      <t xml:space="preserve">땅이 소리쳐 하나님께 호소했다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</si>
  <si>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4:10</t>
    </r>
  </si>
  <si>
    <t xml:space="preserve">하나님은 감춘 죄도 다 아십니다</t>
  </si>
  <si>
    <r>
      <rPr>
        <sz val="10"/>
        <color rgb="FF000000"/>
        <rFont val="WenQuanYi Zen Hei"/>
        <family val="2"/>
      </rPr>
      <t xml:space="preserve">가인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하나님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음성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</si>
  <si>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들판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놋 땅</t>
    </r>
  </si>
  <si>
    <t xml:space="preserve">가인의 표는 상상 묘사 지양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</si>
  <si>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#011 '</t>
    </r>
    <r>
      <rPr>
        <sz val="10"/>
        <color rgb="FF000000"/>
        <rFont val="WenQuanYi Zen Hei"/>
        <family val="2"/>
      </rPr>
      <t xml:space="preserve">가인과 아벨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</si>
  <si>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A0013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</si>
  <si>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4:17-26</t>
    </r>
  </si>
  <si>
    <t xml:space="preserve">가인의 후손과 셋</t>
  </si>
  <si>
    <t xml:space="preserve">모든 것이 무너진 뒤 시작된 한 가지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</si>
  <si>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4:26</t>
    </r>
  </si>
  <si>
    <t xml:space="preserve">하나님은 끊어지지 않는 소망의 줄을 이어 가십니다</t>
  </si>
  <si>
    <r>
      <rPr>
        <sz val="10"/>
        <color rgb="FF000000"/>
        <rFont val="WenQuanYi Zen Hei"/>
        <family val="2"/>
      </rPr>
      <t xml:space="preserve">라멕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셋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에노스</t>
    </r>
  </si>
  <si>
    <t xml:space="preserve">초기 도시</t>
  </si>
  <si>
    <t xml:space="preserve">A0014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</si>
  <si>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5:1-32</t>
    </r>
  </si>
  <si>
    <t xml:space="preserve">하나님과 동행한 에녹</t>
  </si>
  <si>
    <r>
      <rPr>
        <sz val="10"/>
        <color rgb="FF000000"/>
        <rFont val="WenQuanYi Zen Hei"/>
        <family val="2"/>
      </rPr>
      <t xml:space="preserve">죽지 않고 하늘로 간 사람이 있다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</si>
  <si>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5:24</t>
    </r>
  </si>
  <si>
    <t xml:space="preserve">하나님과 동행하는 삶이 가장 복된 삶입니다</t>
  </si>
  <si>
    <r>
      <rPr>
        <sz val="10"/>
        <color rgb="FF000000"/>
        <rFont val="WenQuanYi Zen Hei"/>
        <family val="2"/>
      </rPr>
      <t xml:space="preserve">아담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에녹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므두셀라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노아</t>
    </r>
  </si>
  <si>
    <t xml:space="preserve">족보 두루마리 연출</t>
  </si>
  <si>
    <r>
      <rPr>
        <sz val="10"/>
        <color rgb="FFC00000"/>
        <rFont val="WenQuanYi Zen Hei"/>
        <family val="2"/>
      </rPr>
      <t xml:space="preserve">에녹서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위경</t>
    </r>
    <r>
      <rPr>
        <sz val="10"/>
        <color rgb="FFC00000"/>
        <rFont val="Arial"/>
        <family val="0"/>
        <charset val="1"/>
      </rPr>
      <t xml:space="preserve">) </t>
    </r>
    <r>
      <rPr>
        <sz val="10"/>
        <color rgb="FFC00000"/>
        <rFont val="WenQuanYi Zen Hei"/>
        <family val="2"/>
      </rPr>
      <t xml:space="preserve">내용 사용 금지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</si>
  <si>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4:9-16 </t>
    </r>
    <r>
      <rPr>
        <sz val="10"/>
        <color rgb="FF1F3864"/>
        <rFont val="WenQuanYi Zen Hei"/>
        <family val="2"/>
      </rPr>
      <t xml:space="preserve">네 아우가 어디 있느냐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4:17-26 </t>
    </r>
    <r>
      <rPr>
        <sz val="10"/>
        <color rgb="FF1F3864"/>
        <rFont val="WenQuanYi Zen Hei"/>
        <family val="2"/>
      </rPr>
      <t xml:space="preserve">가인의 후손과 셋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</si>
  <si>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A0015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</si>
  <si>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6:1-8</t>
    </r>
  </si>
  <si>
    <t xml:space="preserve">은혜를 입은 노아</t>
  </si>
  <si>
    <r>
      <rPr>
        <sz val="10"/>
        <color rgb="FF000000"/>
        <rFont val="WenQuanYi Zen Hei"/>
        <family val="2"/>
      </rPr>
      <t xml:space="preserve">하나님이 사람 지으신 것을 한탄하셨다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</si>
  <si>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6:8</t>
    </r>
  </si>
  <si>
    <t xml:space="preserve">타락한 세상에서도 은혜는 있습니다</t>
  </si>
  <si>
    <t xml:space="preserve">노아</t>
  </si>
  <si>
    <t xml:space="preserve">타락한 세상</t>
  </si>
  <si>
    <r>
      <rPr>
        <sz val="10"/>
        <color rgb="FFC00000"/>
        <rFont val="Arial"/>
        <family val="0"/>
        <charset val="1"/>
      </rPr>
      <t xml:space="preserve">6:2 '</t>
    </r>
    <r>
      <rPr>
        <sz val="10"/>
        <color rgb="FFC00000"/>
        <rFont val="WenQuanYi Zen Hei"/>
        <family val="2"/>
      </rPr>
      <t xml:space="preserve">하나님의 아들들</t>
    </r>
    <r>
      <rPr>
        <sz val="10"/>
        <color rgb="FFC00000"/>
        <rFont val="Arial"/>
        <family val="0"/>
        <charset val="1"/>
      </rPr>
      <t xml:space="preserve">' </t>
    </r>
    <r>
      <rPr>
        <sz val="10"/>
        <color rgb="FFC00000"/>
        <rFont val="WenQuanYi Zen Hei"/>
        <family val="2"/>
      </rPr>
      <t xml:space="preserve">거인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외계인 해석 연출 금지</t>
    </r>
    <r>
      <rPr>
        <sz val="10"/>
        <color rgb="FFC00000"/>
        <rFont val="Arial"/>
        <family val="0"/>
        <charset val="1"/>
      </rPr>
      <t xml:space="preserve">. '</t>
    </r>
    <r>
      <rPr>
        <sz val="10"/>
        <color rgb="FFC00000"/>
        <rFont val="WenQuanYi Zen Hei"/>
        <family val="2"/>
      </rPr>
      <t xml:space="preserve">한탄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은 인간적 표현임을 설명</t>
    </r>
  </si>
  <si>
    <t xml:space="preserve">A0016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</si>
  <si>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6:9-22</t>
    </r>
  </si>
  <si>
    <t xml:space="preserve">방주를 지어라</t>
  </si>
  <si>
    <r>
      <rPr>
        <sz val="10"/>
        <color rgb="FF000000"/>
        <rFont val="WenQuanYi Zen Hei"/>
        <family val="2"/>
      </rPr>
      <t xml:space="preserve">비 한 번 안 온 땅에서 배를 만들라고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</si>
  <si>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6:22</t>
    </r>
  </si>
  <si>
    <t xml:space="preserve">믿음은 보이지 않는 것을 순종하는 것입니다</t>
  </si>
  <si>
    <r>
      <rPr>
        <sz val="10"/>
        <color rgb="FF000000"/>
        <rFont val="WenQuanYi Zen Hei"/>
        <family val="2"/>
      </rPr>
      <t xml:space="preserve">노아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야벳</t>
    </r>
  </si>
  <si>
    <t xml:space="preserve">방주 건축 현장</t>
  </si>
  <si>
    <t xml:space="preserve">A0017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</si>
  <si>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7:1-24</t>
    </r>
  </si>
  <si>
    <t xml:space="preserve">홍수</t>
  </si>
  <si>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일 동안 그친 적 없는 비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</si>
  <si>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7:23</t>
    </r>
  </si>
  <si>
    <t xml:space="preserve">하나님의 심판은 실제로 일어납니다</t>
  </si>
  <si>
    <r>
      <rPr>
        <sz val="10"/>
        <color rgb="FF000000"/>
        <rFont val="WenQuanYi Zen Hei"/>
        <family val="2"/>
      </rPr>
      <t xml:space="preserve">노아 가족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동물들</t>
    </r>
  </si>
  <si>
    <t xml:space="preserve">방주 안과 밖</t>
  </si>
  <si>
    <t xml:space="preserve">익사 장면 직접 묘사 금지</t>
  </si>
  <si>
    <t xml:space="preserve">A0018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</si>
  <si>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8:1-19</t>
    </r>
  </si>
  <si>
    <t xml:space="preserve">비둘기와 감람나무 잎</t>
  </si>
  <si>
    <t xml:space="preserve">비둘기가 물고 온 작은 잎사귀 하나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</si>
  <si>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8:11</t>
    </r>
  </si>
  <si>
    <t xml:space="preserve">하나님은 노아를 기억하셨습니다</t>
  </si>
  <si>
    <r>
      <rPr>
        <sz val="10"/>
        <color rgb="FF000000"/>
        <rFont val="WenQuanYi Zen Hei"/>
        <family val="2"/>
      </rPr>
      <t xml:space="preserve">노아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까마귀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비둘기</t>
    </r>
  </si>
  <si>
    <r>
      <rPr>
        <sz val="10"/>
        <color rgb="FF000000"/>
        <rFont val="WenQuanYi Zen Hei"/>
        <family val="2"/>
      </rPr>
      <t xml:space="preserve">아라랏 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물이 빠지는 땅</t>
    </r>
  </si>
  <si>
    <t xml:space="preserve">A0019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</si>
  <si>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8:20-9:17</t>
    </r>
  </si>
  <si>
    <t xml:space="preserve">무지개 언약</t>
  </si>
  <si>
    <r>
      <rPr>
        <sz val="10"/>
        <color rgb="FF000000"/>
        <rFont val="WenQuanYi Zen Hei"/>
        <family val="2"/>
      </rPr>
      <t xml:space="preserve">무지개가 하나님의 약속이었다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</si>
  <si>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9:13</t>
    </r>
  </si>
  <si>
    <t xml:space="preserve">하나님은 약속을 반드시 지키십니다</t>
  </si>
  <si>
    <r>
      <rPr>
        <sz val="10"/>
        <color rgb="FF000000"/>
        <rFont val="WenQuanYi Zen Hei"/>
        <family val="2"/>
      </rPr>
      <t xml:space="preserve">노아 가족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하나님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음성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</si>
  <si>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제단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무지개</t>
    </r>
  </si>
  <si>
    <t xml:space="preserve">무지개를 특정 단체 상징과 연결하지 말 것</t>
  </si>
  <si>
    <t xml:space="preserve">A0020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</si>
  <si>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9:18-29</t>
    </r>
  </si>
  <si>
    <t xml:space="preserve">노아의 실수와 세 아들</t>
  </si>
  <si>
    <r>
      <rPr>
        <sz val="10"/>
        <color rgb="FF000000"/>
        <rFont val="WenQuanYi Zen Hei"/>
        <family val="2"/>
      </rPr>
      <t xml:space="preserve">구원받은 의인도 넘어질 수 있다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</si>
  <si>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9:26</t>
    </r>
  </si>
  <si>
    <t xml:space="preserve">의인도 은혜가 필요한 죄인입니다</t>
  </si>
  <si>
    <r>
      <rPr>
        <sz val="10"/>
        <color rgb="FF000000"/>
        <rFont val="WenQuanYi Zen Hei"/>
        <family val="2"/>
      </rPr>
      <t xml:space="preserve">포도원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장막</t>
    </r>
  </si>
  <si>
    <t xml:space="preserve">노아 벗은 장면 직접 묘사 금지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</si>
  <si>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#017 '</t>
    </r>
    <r>
      <rPr>
        <sz val="10"/>
        <color rgb="FF000000"/>
        <rFont val="WenQuanYi Zen Hei"/>
        <family val="2"/>
      </rPr>
      <t xml:space="preserve">무지개 언약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</si>
  <si>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A0021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</si>
  <si>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10:1-32</t>
    </r>
  </si>
  <si>
    <t xml:space="preserve">민족들의 시작</t>
  </si>
  <si>
    <r>
      <rPr>
        <sz val="10"/>
        <color rgb="FF000000"/>
        <rFont val="WenQuanYi Zen Hei"/>
        <family val="2"/>
      </rPr>
      <t xml:space="preserve">모든 나라가 한 가족에서 나왔다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</si>
  <si>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10:32</t>
    </r>
  </si>
  <si>
    <t xml:space="preserve">모든 민족은 한 하나님 아래 있습니다</t>
  </si>
  <si>
    <t xml:space="preserve">노아의 후손들</t>
  </si>
  <si>
    <t xml:space="preserve">세계 지도 연출</t>
  </si>
  <si>
    <t xml:space="preserve">A0022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</si>
  <si>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11:1-9</t>
    </r>
  </si>
  <si>
    <t xml:space="preserve">바벨탑</t>
  </si>
  <si>
    <t xml:space="preserve">하늘까지 닿으려던 사람들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</si>
  <si>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11:9</t>
    </r>
  </si>
  <si>
    <t xml:space="preserve">하나님 없이 쌓는 이름은 무너집니다</t>
  </si>
  <si>
    <t xml:space="preserve">바벨 사람들</t>
  </si>
  <si>
    <r>
      <rPr>
        <sz val="10"/>
        <color rgb="FF000000"/>
        <rFont val="WenQuanYi Zen Hei"/>
        <family val="2"/>
      </rPr>
      <t xml:space="preserve">시날 평지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벽돌 탑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</si>
  <si>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9:18-29 </t>
    </r>
    <r>
      <rPr>
        <sz val="10"/>
        <color rgb="FF1F3864"/>
        <rFont val="WenQuanYi Zen Hei"/>
        <family val="2"/>
      </rPr>
      <t xml:space="preserve">노아의 실수와 세 아들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10:1-32 </t>
    </r>
    <r>
      <rPr>
        <sz val="10"/>
        <color rgb="FF1F3864"/>
        <rFont val="WenQuanYi Zen Hei"/>
        <family val="2"/>
      </rPr>
      <t xml:space="preserve">민족들의 시작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</si>
  <si>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A0023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</si>
  <si>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11:10-32</t>
    </r>
  </si>
  <si>
    <t xml:space="preserve">셈에서 아브람까지</t>
  </si>
  <si>
    <r>
      <rPr>
        <sz val="10"/>
        <color rgb="FF000000"/>
        <rFont val="WenQuanYi Zen Hei"/>
        <family val="2"/>
      </rPr>
      <t xml:space="preserve">하나님이 한 사람을 선택하신 이유는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</si>
  <si>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11:31</t>
    </r>
  </si>
  <si>
    <t xml:space="preserve">하나님은 한 가정을 통해 세상을 구원하실 계획을 세우셨습니다</t>
  </si>
  <si>
    <r>
      <rPr>
        <sz val="10"/>
        <color rgb="FF000000"/>
        <rFont val="WenQuanYi Zen Hei"/>
        <family val="2"/>
      </rPr>
      <t xml:space="preserve">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데라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아브람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롯</t>
    </r>
  </si>
  <si>
    <r>
      <rPr>
        <sz val="10"/>
        <color rgb="FF000000"/>
        <rFont val="WenQuanYi Zen Hei"/>
        <family val="2"/>
      </rPr>
      <t xml:space="preserve">갈대아 우르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하란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</si>
  <si>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#018 '</t>
    </r>
    <r>
      <rPr>
        <sz val="10"/>
        <color rgb="FF000000"/>
        <rFont val="WenQuanYi Zen Hei"/>
        <family val="2"/>
      </rPr>
      <t xml:space="preserve">바벨탑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</si>
  <si>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A0024</t>
  </si>
  <si>
    <t xml:space="preserve">B003</t>
  </si>
  <si>
    <t xml:space="preserve">S1-L03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</si>
  <si>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12:1-9</t>
    </r>
  </si>
  <si>
    <t xml:space="preserve">떠나라</t>
  </si>
  <si>
    <r>
      <rPr>
        <sz val="10"/>
        <color rgb="FF000000"/>
        <rFont val="Arial"/>
        <family val="0"/>
        <charset val="1"/>
      </rPr>
      <t xml:space="preserve">75</t>
    </r>
    <r>
      <rPr>
        <sz val="10"/>
        <color rgb="FF000000"/>
        <rFont val="WenQuanYi Zen Hei"/>
        <family val="2"/>
      </rPr>
      <t xml:space="preserve">세에 모든 것을 두고 떠나라고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</si>
  <si>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12:2</t>
    </r>
  </si>
  <si>
    <t xml:space="preserve">믿음은 하나님의 약속을 붙잡고 떠나는 것입니다</t>
  </si>
  <si>
    <r>
      <rPr>
        <sz val="10"/>
        <color rgb="FF000000"/>
        <rFont val="WenQuanYi Zen Hei"/>
        <family val="2"/>
      </rPr>
      <t xml:space="preserve">아브람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롯</t>
    </r>
  </si>
  <si>
    <t xml:space="preserve">하란에서 가나안 세겜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</si>
  <si>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11:10-32 </t>
    </r>
    <r>
      <rPr>
        <sz val="10"/>
        <color rgb="FF1F3864"/>
        <rFont val="WenQuanYi Zen Hei"/>
        <family val="2"/>
      </rPr>
      <t xml:space="preserve">셈에서 아브람까지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</si>
  <si>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A0025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</si>
  <si>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12:10-20</t>
    </r>
  </si>
  <si>
    <t xml:space="preserve">애굽에서의 거짓말</t>
  </si>
  <si>
    <r>
      <rPr>
        <sz val="10"/>
        <color rgb="FF000000"/>
        <rFont val="WenQuanYi Zen Hei"/>
        <family val="2"/>
      </rPr>
      <t xml:space="preserve">아내를 누이라고 소개한 믿음의 조상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</si>
  <si>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12:17</t>
    </r>
  </si>
  <si>
    <t xml:space="preserve">하나님은 우리의 실수 속에서도 약속을 지키십니다</t>
  </si>
  <si>
    <r>
      <rPr>
        <sz val="10"/>
        <color rgb="FF000000"/>
        <rFont val="WenQuanYi Zen Hei"/>
        <family val="2"/>
      </rPr>
      <t xml:space="preserve">아브람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바로</t>
    </r>
  </si>
  <si>
    <t xml:space="preserve">애굽 궁전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</si>
  <si>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#019 '</t>
    </r>
    <r>
      <rPr>
        <sz val="10"/>
        <color rgb="FF000000"/>
        <rFont val="WenQuanYi Zen Hei"/>
        <family val="2"/>
      </rPr>
      <t xml:space="preserve">떠나라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</si>
  <si>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A0026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</si>
  <si>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13:1-18</t>
    </r>
  </si>
  <si>
    <t xml:space="preserve">롯과 갈라서다</t>
  </si>
  <si>
    <r>
      <rPr>
        <sz val="10"/>
        <color rgb="FF000000"/>
        <rFont val="WenQuanYi Zen Hei"/>
        <family val="2"/>
      </rPr>
      <t xml:space="preserve">좋은 땅을 양보하면 손해일까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</si>
  <si>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13:9</t>
    </r>
  </si>
  <si>
    <t xml:space="preserve">하나님께 맡긴 사람은 양보할 수 있습니다</t>
  </si>
  <si>
    <r>
      <rPr>
        <sz val="10"/>
        <color rgb="FF000000"/>
        <rFont val="WenQuanYi Zen Hei"/>
        <family val="2"/>
      </rPr>
      <t xml:space="preserve">아브람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롯</t>
    </r>
  </si>
  <si>
    <r>
      <rPr>
        <sz val="10"/>
        <color rgb="FF000000"/>
        <rFont val="WenQuanYi Zen Hei"/>
        <family val="2"/>
      </rPr>
      <t xml:space="preserve">벧엘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요단 들판</t>
    </r>
  </si>
  <si>
    <t xml:space="preserve">A0027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</si>
  <si>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14:1-24</t>
    </r>
  </si>
  <si>
    <t xml:space="preserve">롯을 구하고 멜기세덱을 만나다</t>
  </si>
  <si>
    <r>
      <rPr>
        <sz val="10"/>
        <color rgb="FF000000"/>
        <rFont val="Arial"/>
        <family val="0"/>
        <charset val="1"/>
      </rPr>
      <t xml:space="preserve">318</t>
    </r>
    <r>
      <rPr>
        <sz val="10"/>
        <color rgb="FF000000"/>
        <rFont val="WenQuanYi Zen Hei"/>
        <family val="2"/>
      </rPr>
      <t xml:space="preserve">명으로 왕들의 연합군을 이겼다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</si>
  <si>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14:20</t>
    </r>
  </si>
  <si>
    <t xml:space="preserve">모든 승리는 하나님께로부터 옵니다</t>
  </si>
  <si>
    <r>
      <rPr>
        <sz val="10"/>
        <color rgb="FF000000"/>
        <rFont val="WenQuanYi Zen Hei"/>
        <family val="2"/>
      </rPr>
      <t xml:space="preserve">아브람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롯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멜기세덱</t>
    </r>
  </si>
  <si>
    <r>
      <rPr>
        <sz val="10"/>
        <color rgb="FF000000"/>
        <rFont val="WenQuanYi Zen Hei"/>
        <family val="2"/>
      </rPr>
      <t xml:space="preserve">단까지의 추격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살렘</t>
    </r>
  </si>
  <si>
    <r>
      <rPr>
        <sz val="10"/>
        <color rgb="FFC00000"/>
        <rFont val="WenQuanYi Zen Hei"/>
        <family val="2"/>
      </rPr>
      <t xml:space="preserve">멜기세덱 </t>
    </r>
    <r>
      <rPr>
        <sz val="10"/>
        <color rgb="FFC00000"/>
        <rFont val="Arial"/>
        <family val="0"/>
        <charset val="1"/>
      </rPr>
      <t xml:space="preserve">= </t>
    </r>
    <r>
      <rPr>
        <sz val="10"/>
        <color rgb="FFC00000"/>
        <rFont val="WenQuanYi Zen Hei"/>
        <family val="2"/>
      </rPr>
      <t xml:space="preserve">그리스도의 예표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히 </t>
    </r>
    <r>
      <rPr>
        <sz val="10"/>
        <color rgb="FFC00000"/>
        <rFont val="Arial"/>
        <family val="0"/>
        <charset val="1"/>
      </rPr>
      <t xml:space="preserve">7)</t>
    </r>
    <r>
      <rPr>
        <sz val="10"/>
        <color rgb="FFC00000"/>
        <rFont val="WenQuanYi Zen Hei"/>
        <family val="2"/>
      </rPr>
      <t xml:space="preserve">로만 설명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특정인 대입 금지</t>
    </r>
  </si>
  <si>
    <t xml:space="preserve">A0028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</si>
  <si>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15:1-21</t>
    </r>
  </si>
  <si>
    <t xml:space="preserve">하늘의 별을 세어 보라</t>
  </si>
  <si>
    <t xml:space="preserve">밤하늘의 별을 세라고 하신 이유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</si>
  <si>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15:6</t>
    </r>
  </si>
  <si>
    <t xml:space="preserve">하나님은 믿음을 의로 여기십니다</t>
  </si>
  <si>
    <r>
      <rPr>
        <sz val="10"/>
        <color rgb="FF000000"/>
        <rFont val="WenQuanYi Zen Hei"/>
        <family val="2"/>
      </rPr>
      <t xml:space="preserve">아브람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하나님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음성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</si>
  <si>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별이 가득한 밤하늘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쪼갠 제물 사이 횃불</t>
    </r>
  </si>
  <si>
    <t xml:space="preserve">이신칭의 핵심 구절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</si>
  <si>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3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12:10-20 </t>
    </r>
    <r>
      <rPr>
        <sz val="10"/>
        <color rgb="FF1F3864"/>
        <rFont val="WenQuanYi Zen Hei"/>
        <family val="2"/>
      </rPr>
      <t xml:space="preserve">애굽에서의 거짓말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13:1-18 </t>
    </r>
    <r>
      <rPr>
        <sz val="10"/>
        <color rgb="FF1F3864"/>
        <rFont val="WenQuanYi Zen Hei"/>
        <family val="2"/>
      </rPr>
      <t xml:space="preserve">롯과 갈라서다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14:1-24 </t>
    </r>
    <r>
      <rPr>
        <sz val="10"/>
        <color rgb="FF1F3864"/>
        <rFont val="WenQuanYi Zen Hei"/>
        <family val="2"/>
      </rPr>
      <t xml:space="preserve">롯을 구하고 멜기세덱을 만나다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</si>
  <si>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A0029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</si>
  <si>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16:1-16</t>
    </r>
  </si>
  <si>
    <t xml:space="preserve">하갈과 이스마엘</t>
  </si>
  <si>
    <t xml:space="preserve">기다리다 지쳐 선택한 지름길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</si>
  <si>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16:13</t>
    </r>
  </si>
  <si>
    <t xml:space="preserve">하나님은 버려진 사람도 보고 계십니다</t>
  </si>
  <si>
    <r>
      <rPr>
        <sz val="10"/>
        <color rgb="FF000000"/>
        <rFont val="WenQuanYi Zen Hei"/>
        <family val="2"/>
      </rPr>
      <t xml:space="preserve">사래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아브람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여호와의 사자</t>
    </r>
  </si>
  <si>
    <t xml:space="preserve">광야의 샘</t>
  </si>
  <si>
    <t xml:space="preserve">여호와의 사자는 빛나는 형체로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</si>
  <si>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#020 '</t>
    </r>
    <r>
      <rPr>
        <sz val="10"/>
        <color rgb="FF000000"/>
        <rFont val="WenQuanYi Zen Hei"/>
        <family val="2"/>
      </rPr>
      <t xml:space="preserve">하늘의 별을 세어 보라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</si>
  <si>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A0030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</si>
  <si>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17:1-27</t>
    </r>
  </si>
  <si>
    <t xml:space="preserve">이름이 바뀌다</t>
  </si>
  <si>
    <r>
      <rPr>
        <sz val="10"/>
        <color rgb="FF000000"/>
        <rFont val="Arial"/>
        <family val="0"/>
        <charset val="1"/>
      </rPr>
      <t xml:space="preserve">99</t>
    </r>
    <r>
      <rPr>
        <sz val="10"/>
        <color rgb="FF000000"/>
        <rFont val="WenQuanYi Zen Hei"/>
        <family val="2"/>
      </rPr>
      <t xml:space="preserve">세에 이름을 바꾼 이유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</si>
  <si>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17:5</t>
    </r>
  </si>
  <si>
    <t xml:space="preserve">하나님의 언약은 정체성을 새롭게 합니다</t>
  </si>
  <si>
    <r>
      <rPr>
        <sz val="10"/>
        <color rgb="FF000000"/>
        <rFont val="WenQuanYi Zen Hei"/>
        <family val="2"/>
      </rPr>
      <t xml:space="preserve">아브라함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사라</t>
    </r>
  </si>
  <si>
    <t xml:space="preserve">장막</t>
  </si>
  <si>
    <t xml:space="preserve">할례 장면 직접 묘사 금지</t>
  </si>
  <si>
    <t xml:space="preserve">A0031</t>
  </si>
  <si>
    <t xml:space="preserve">B004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</si>
  <si>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18:1-15</t>
    </r>
  </si>
  <si>
    <t xml:space="preserve">세 나그네</t>
  </si>
  <si>
    <r>
      <rPr>
        <sz val="10"/>
        <color rgb="FF000000"/>
        <rFont val="Arial"/>
        <family val="0"/>
        <charset val="1"/>
      </rPr>
      <t xml:space="preserve">99</t>
    </r>
    <r>
      <rPr>
        <sz val="10"/>
        <color rgb="FF000000"/>
        <rFont val="WenQuanYi Zen Hei"/>
        <family val="2"/>
      </rPr>
      <t xml:space="preserve">세 할아버지에게 아들이 생긴다고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</si>
  <si>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18:14</t>
    </r>
  </si>
  <si>
    <t xml:space="preserve">하나님께 능하지 못한 일은 없습니다</t>
  </si>
  <si>
    <r>
      <rPr>
        <sz val="10"/>
        <color rgb="FF000000"/>
        <rFont val="WenQuanYi Zen Hei"/>
        <family val="2"/>
      </rPr>
      <t xml:space="preserve">아브라함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세 사람</t>
    </r>
  </si>
  <si>
    <r>
      <rPr>
        <sz val="10"/>
        <color rgb="FF000000"/>
        <rFont val="WenQuanYi Zen Hei"/>
        <family val="2"/>
      </rPr>
      <t xml:space="preserve">마므레 상수리나무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장막</t>
    </r>
  </si>
  <si>
    <t xml:space="preserve">여호와의 현현은 얼굴 묘사 없이 빛과 실루엣으로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</si>
  <si>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16:1-16 </t>
    </r>
    <r>
      <rPr>
        <sz val="10"/>
        <color rgb="FF1F3864"/>
        <rFont val="WenQuanYi Zen Hei"/>
        <family val="2"/>
      </rPr>
      <t xml:space="preserve">하갈과 이스마엘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17:1-27 </t>
    </r>
    <r>
      <rPr>
        <sz val="10"/>
        <color rgb="FF1F3864"/>
        <rFont val="WenQuanYi Zen Hei"/>
        <family val="2"/>
      </rPr>
      <t xml:space="preserve">이름이 바뀌다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</si>
  <si>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A0032</t>
  </si>
  <si>
    <t xml:space="preserve">S2-L02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</si>
  <si>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18:16-33</t>
    </r>
  </si>
  <si>
    <t xml:space="preserve">의인 열 명만 있다면</t>
  </si>
  <si>
    <t xml:space="preserve">하나님께 여섯 번이나 다시 부탁한 사람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</si>
  <si>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18:25</t>
    </r>
  </si>
  <si>
    <t xml:space="preserve">하나님은 의로우신 재판장이십니다</t>
  </si>
  <si>
    <t xml:space="preserve">아브라함</t>
  </si>
  <si>
    <t xml:space="preserve">소돔이 내려다보이는 언덕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</si>
  <si>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#021 '</t>
    </r>
    <r>
      <rPr>
        <sz val="10"/>
        <color rgb="FF000000"/>
        <rFont val="WenQuanYi Zen Hei"/>
        <family val="2"/>
      </rPr>
      <t xml:space="preserve">세 나그네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</si>
  <si>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A0033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</si>
  <si>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19:1-29</t>
    </r>
  </si>
  <si>
    <t xml:space="preserve">소돔과 고모라</t>
  </si>
  <si>
    <r>
      <rPr>
        <sz val="10"/>
        <color rgb="FF000000"/>
        <rFont val="WenQuanYi Zen Hei"/>
        <family val="2"/>
      </rPr>
      <t xml:space="preserve">뒤를 돌아본 여인이 소금 기둥이 되었다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</si>
  <si>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19:26</t>
    </r>
  </si>
  <si>
    <t xml:space="preserve">심판에서 건져 주신 은혜를 붙잡아야 합니다</t>
  </si>
  <si>
    <r>
      <rPr>
        <sz val="10"/>
        <color rgb="FF000000"/>
        <rFont val="WenQuanYi Zen Hei"/>
        <family val="2"/>
      </rPr>
      <t xml:space="preserve">롯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롯의 아내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두 천사</t>
    </r>
  </si>
  <si>
    <r>
      <rPr>
        <sz val="10"/>
        <color rgb="FF000000"/>
        <rFont val="WenQuanYi Zen Hei"/>
        <family val="2"/>
      </rPr>
      <t xml:space="preserve">소돔 성문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불타는 성</t>
    </r>
  </si>
  <si>
    <r>
      <rPr>
        <sz val="10"/>
        <color rgb="FFC00000"/>
        <rFont val="WenQuanYi Zen Hei"/>
        <family val="2"/>
      </rPr>
      <t xml:space="preserve">성적 묘사</t>
    </r>
    <r>
      <rPr>
        <sz val="10"/>
        <color rgb="FFC00000"/>
        <rFont val="Arial"/>
        <family val="0"/>
        <charset val="1"/>
      </rPr>
      <t xml:space="preserve">·19:30-38 </t>
    </r>
    <r>
      <rPr>
        <sz val="10"/>
        <color rgb="FFC00000"/>
        <rFont val="WenQuanYi Zen Hei"/>
        <family val="2"/>
      </rPr>
      <t xml:space="preserve">장면 제외</t>
    </r>
  </si>
  <si>
    <t xml:space="preserve">A0034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</si>
  <si>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20:1-18</t>
    </r>
  </si>
  <si>
    <r>
      <rPr>
        <sz val="10"/>
        <color rgb="FF000000"/>
        <rFont val="WenQuanYi Zen Hei"/>
        <family val="2"/>
      </rPr>
      <t xml:space="preserve">같은 실수를 또</t>
    </r>
    <r>
      <rPr>
        <sz val="10"/>
        <color rgb="FF000000"/>
        <rFont val="Arial"/>
        <family val="0"/>
        <charset val="1"/>
      </rPr>
      <t xml:space="preserve">?</t>
    </r>
  </si>
  <si>
    <t xml:space="preserve">하나님이 꿈에 나타나 왕을 막으셨다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</si>
  <si>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20:6</t>
    </r>
  </si>
  <si>
    <t xml:space="preserve">하나님은 약속의 가정을 지키십니다</t>
  </si>
  <si>
    <r>
      <rPr>
        <sz val="10"/>
        <color rgb="FF000000"/>
        <rFont val="WenQuanYi Zen Hei"/>
        <family val="2"/>
      </rPr>
      <t xml:space="preserve">아브라함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아비멜렉</t>
    </r>
  </si>
  <si>
    <t xml:space="preserve">그랄</t>
  </si>
  <si>
    <t xml:space="preserve">A0035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</si>
  <si>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21:1-7</t>
    </r>
  </si>
  <si>
    <t xml:space="preserve">웃음이라는 이름의 아이</t>
  </si>
  <si>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WenQuanYi Zen Hei"/>
        <family val="2"/>
      </rPr>
      <t xml:space="preserve">세에 아버지가 된 사람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</si>
  <si>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21:6</t>
    </r>
  </si>
  <si>
    <t xml:space="preserve">하나님은 약속하신 때에 반드시 이루십니다</t>
  </si>
  <si>
    <r>
      <rPr>
        <sz val="10"/>
        <color rgb="FF000000"/>
        <rFont val="WenQuanYi Zen Hei"/>
        <family val="2"/>
      </rPr>
      <t xml:space="preserve">아브라함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이삭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</si>
  <si>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3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18:16-33 </t>
    </r>
    <r>
      <rPr>
        <sz val="10"/>
        <color rgb="FF1F3864"/>
        <rFont val="WenQuanYi Zen Hei"/>
        <family val="2"/>
      </rPr>
      <t xml:space="preserve">의인 열 명만 있다면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19:1-29 </t>
    </r>
    <r>
      <rPr>
        <sz val="10"/>
        <color rgb="FF1F3864"/>
        <rFont val="WenQuanYi Zen Hei"/>
        <family val="2"/>
      </rPr>
      <t xml:space="preserve">소돔과 고모라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20:1-18 </t>
    </r>
    <r>
      <rPr>
        <sz val="10"/>
        <color rgb="FF1F3864"/>
        <rFont val="WenQuanYi Zen Hei"/>
        <family val="2"/>
      </rPr>
      <t xml:space="preserve">같은 실수를 또</t>
    </r>
    <r>
      <rPr>
        <sz val="10"/>
        <color rgb="FF1F3864"/>
        <rFont val="Arial"/>
        <family val="0"/>
        <charset val="1"/>
      </rPr>
      <t xml:space="preserve">? → </t>
    </r>
    <r>
      <rPr>
        <sz val="10"/>
        <color rgb="FF1F3864"/>
        <rFont val="WenQuanYi Zen Hei"/>
        <family val="2"/>
      </rPr>
      <t xml:space="preserve">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</si>
  <si>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A0036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</si>
  <si>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21:8-34</t>
    </r>
  </si>
  <si>
    <t xml:space="preserve">광야에서 우는 아이</t>
  </si>
  <si>
    <t xml:space="preserve">하나님이 아이의 울음소리를 들으셨다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</si>
  <si>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21:17</t>
    </r>
  </si>
  <si>
    <t xml:space="preserve">하나님은 약한 자의 울음을 들으십니다</t>
  </si>
  <si>
    <r>
      <rPr>
        <sz val="10"/>
        <color rgb="FF000000"/>
        <rFont val="WenQuanYi Zen Hei"/>
        <family val="2"/>
      </rPr>
      <t xml:space="preserve">하갈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이스마엘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아비멜렉</t>
    </r>
  </si>
  <si>
    <t xml:space="preserve">브엘세바 광야의 샘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</si>
  <si>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#022 '</t>
    </r>
    <r>
      <rPr>
        <sz val="10"/>
        <color rgb="FF000000"/>
        <rFont val="WenQuanYi Zen Hei"/>
        <family val="2"/>
      </rPr>
      <t xml:space="preserve">웃음이라는 이름의 아이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</si>
  <si>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A0037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</si>
  <si>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22:1-19</t>
    </r>
  </si>
  <si>
    <t xml:space="preserve">모리아 산</t>
  </si>
  <si>
    <r>
      <rPr>
        <sz val="10"/>
        <color rgb="FF000000"/>
        <rFont val="WenQuanYi Zen Hei"/>
        <family val="2"/>
      </rPr>
      <t xml:space="preserve">가장 사랑하는 아들을 바치라고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</si>
  <si>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22:14</t>
    </r>
  </si>
  <si>
    <r>
      <rPr>
        <sz val="10"/>
        <color rgb="FF000000"/>
        <rFont val="WenQuanYi Zen Hei"/>
        <family val="2"/>
      </rPr>
      <t xml:space="preserve">여호와 이레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하나님이 준비하십니다</t>
    </r>
  </si>
  <si>
    <r>
      <rPr>
        <sz val="10"/>
        <color rgb="FF000000"/>
        <rFont val="WenQuanYi Zen Hei"/>
        <family val="2"/>
      </rPr>
      <t xml:space="preserve">아브라함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이삭</t>
    </r>
  </si>
  <si>
    <r>
      <rPr>
        <sz val="10"/>
        <color rgb="FF000000"/>
        <rFont val="WenQuanYi Zen Hei"/>
        <family val="2"/>
      </rPr>
      <t xml:space="preserve">모리아 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제단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숫양</t>
    </r>
  </si>
  <si>
    <r>
      <rPr>
        <sz val="10"/>
        <color rgb="FFC00000"/>
        <rFont val="WenQuanYi Zen Hei"/>
        <family val="2"/>
      </rPr>
      <t xml:space="preserve">인신제사 정당화 아님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대속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어린양 그리스도</t>
    </r>
    <r>
      <rPr>
        <sz val="10"/>
        <color rgb="FFC00000"/>
        <rFont val="Arial"/>
        <family val="0"/>
        <charset val="1"/>
      </rPr>
      <t xml:space="preserve">) </t>
    </r>
    <r>
      <rPr>
        <sz val="10"/>
        <color rgb="FFC00000"/>
        <rFont val="WenQuanYi Zen Hei"/>
        <family val="2"/>
      </rPr>
      <t xml:space="preserve">예표로 설명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칼 장면 절제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</si>
  <si>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21:8-34 </t>
    </r>
    <r>
      <rPr>
        <sz val="10"/>
        <color rgb="FF1F3864"/>
        <rFont val="WenQuanYi Zen Hei"/>
        <family val="2"/>
      </rPr>
      <t xml:space="preserve">광야에서 우는 아이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</si>
  <si>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A0038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</si>
  <si>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22:20-23:20</t>
    </r>
  </si>
  <si>
    <t xml:space="preserve">사라의 죽음과 막벨라 굴</t>
  </si>
  <si>
    <r>
      <rPr>
        <sz val="10"/>
        <color rgb="FF000000"/>
        <rFont val="WenQuanYi Zen Hei"/>
        <family val="2"/>
      </rPr>
      <t xml:space="preserve">약속의 땅에서 처음 산 땅이 무덤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</si>
  <si>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23:19</t>
    </r>
  </si>
  <si>
    <t xml:space="preserve">약속을 믿는 사람은 죽음 앞에서도 소망이 있습니다</t>
  </si>
  <si>
    <r>
      <rPr>
        <sz val="10"/>
        <color rgb="FF000000"/>
        <rFont val="WenQuanYi Zen Hei"/>
        <family val="2"/>
      </rPr>
      <t xml:space="preserve">아브라함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헷 족속 에브론</t>
    </r>
  </si>
  <si>
    <t xml:space="preserve">헤브론 막벨라 굴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</si>
  <si>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#023 '</t>
    </r>
    <r>
      <rPr>
        <sz val="10"/>
        <color rgb="FF000000"/>
        <rFont val="WenQuanYi Zen Hei"/>
        <family val="2"/>
      </rPr>
      <t xml:space="preserve">모리아 산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</si>
  <si>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A0039</t>
  </si>
  <si>
    <t xml:space="preserve">B005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</si>
  <si>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24:1-27</t>
    </r>
  </si>
  <si>
    <t xml:space="preserve">낙타에게 물을 주는 여인</t>
  </si>
  <si>
    <r>
      <rPr>
        <sz val="10"/>
        <color rgb="FF000000"/>
        <rFont val="WenQuanYi Zen Hei"/>
        <family val="2"/>
      </rPr>
      <t xml:space="preserve">기도가 끝나기도 전에 응답이 왔다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</si>
  <si>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24:12</t>
    </r>
  </si>
  <si>
    <t xml:space="preserve">하나님은 기도하는 사람의 길을 인도하십니다</t>
  </si>
  <si>
    <r>
      <rPr>
        <sz val="10"/>
        <color rgb="FF000000"/>
        <rFont val="WenQuanYi Zen Hei"/>
        <family val="2"/>
      </rPr>
      <t xml:space="preserve">아브라함의 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리브가</t>
    </r>
  </si>
  <si>
    <t xml:space="preserve">나홀 성 우물가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</si>
  <si>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22:20-23:20 </t>
    </r>
    <r>
      <rPr>
        <sz val="10"/>
        <color rgb="FF1F3864"/>
        <rFont val="WenQuanYi Zen Hei"/>
        <family val="2"/>
      </rPr>
      <t xml:space="preserve">사라의 죽음과 막벨라 굴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</si>
  <si>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A0040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</si>
  <si>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24:28-67</t>
    </r>
  </si>
  <si>
    <t xml:space="preserve">가겠나이다</t>
  </si>
  <si>
    <r>
      <rPr>
        <sz val="10"/>
        <color rgb="FF000000"/>
        <rFont val="WenQuanYi Zen Hei"/>
        <family val="2"/>
      </rPr>
      <t xml:space="preserve">처음 본 사람에게 시집가겠다고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</si>
  <si>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24:58</t>
    </r>
  </si>
  <si>
    <t xml:space="preserve">믿음은 하나님의 인도를 따라 결단하는 것입니다</t>
  </si>
  <si>
    <r>
      <rPr>
        <sz val="10"/>
        <color rgb="FF000000"/>
        <rFont val="WenQuanYi Zen Hei"/>
        <family val="2"/>
      </rPr>
      <t xml:space="preserve">리브가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라반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이삭</t>
    </r>
  </si>
  <si>
    <r>
      <rPr>
        <sz val="10"/>
        <color rgb="FF000000"/>
        <rFont val="WenQuanYi Zen Hei"/>
        <family val="2"/>
      </rPr>
      <t xml:space="preserve">브엘라해로이 들판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해 질 녘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</si>
  <si>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#024 '</t>
    </r>
    <r>
      <rPr>
        <sz val="10"/>
        <color rgb="FF000000"/>
        <rFont val="WenQuanYi Zen Hei"/>
        <family val="2"/>
      </rPr>
      <t xml:space="preserve">낙타에게 물을 주는 여인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</si>
  <si>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A0041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</si>
  <si>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25:1-18</t>
    </r>
  </si>
  <si>
    <t xml:space="preserve">아브라함의 죽음</t>
  </si>
  <si>
    <r>
      <rPr>
        <sz val="10"/>
        <color rgb="FF000000"/>
        <rFont val="Arial"/>
        <family val="0"/>
        <charset val="1"/>
      </rPr>
      <t xml:space="preserve">175</t>
    </r>
    <r>
      <rPr>
        <sz val="10"/>
        <color rgb="FF000000"/>
        <rFont val="WenQuanYi Zen Hei"/>
        <family val="2"/>
      </rPr>
      <t xml:space="preserve">년 믿음의 여정이 끝나던 날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</si>
  <si>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25:8</t>
    </r>
  </si>
  <si>
    <t xml:space="preserve">믿음의 사람은 하나님께로 돌아갑니다</t>
  </si>
  <si>
    <r>
      <rPr>
        <sz val="10"/>
        <color rgb="FF000000"/>
        <rFont val="WenQuanYi Zen Hei"/>
        <family val="2"/>
      </rPr>
      <t xml:space="preserve">아브라함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이삭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이스마엘</t>
    </r>
  </si>
  <si>
    <t xml:space="preserve">막벨라 굴</t>
  </si>
  <si>
    <t xml:space="preserve">A0042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</si>
  <si>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25:19-26</t>
    </r>
  </si>
  <si>
    <t xml:space="preserve">배 속에서부터 싸운 쌍둥이</t>
  </si>
  <si>
    <r>
      <rPr>
        <sz val="10"/>
        <color rgb="FF000000"/>
        <rFont val="WenQuanYi Zen Hei"/>
        <family val="2"/>
      </rPr>
      <t xml:space="preserve">태어나기 전부터 정해진 운명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</si>
  <si>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25:23</t>
    </r>
  </si>
  <si>
    <t xml:space="preserve">하나님의 선택은 우리의 행위보다 앞섭니다</t>
  </si>
  <si>
    <r>
      <rPr>
        <sz val="10"/>
        <color rgb="FF000000"/>
        <rFont val="WenQuanYi Zen Hei"/>
        <family val="2"/>
      </rPr>
      <t xml:space="preserve">이삭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리브가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에서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야곱</t>
    </r>
  </si>
  <si>
    <r>
      <rPr>
        <sz val="10"/>
        <color rgb="FFC00000"/>
        <rFont val="WenQuanYi Zen Hei"/>
        <family val="2"/>
      </rPr>
      <t xml:space="preserve">선택 교리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롬 </t>
    </r>
    <r>
      <rPr>
        <sz val="10"/>
        <color rgb="FFC00000"/>
        <rFont val="Arial"/>
        <family val="0"/>
        <charset val="1"/>
      </rPr>
      <t xml:space="preserve">9:11)</t>
    </r>
    <r>
      <rPr>
        <sz val="10"/>
        <color rgb="FFC00000"/>
        <rFont val="WenQuanYi Zen Hei"/>
        <family val="2"/>
      </rPr>
      <t xml:space="preserve">와 연결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숙명론으로 오해 않게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</si>
  <si>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24:28-67 </t>
    </r>
    <r>
      <rPr>
        <sz val="10"/>
        <color rgb="FF1F3864"/>
        <rFont val="WenQuanYi Zen Hei"/>
        <family val="2"/>
      </rPr>
      <t xml:space="preserve">가겠나이다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25:1-18 </t>
    </r>
    <r>
      <rPr>
        <sz val="10"/>
        <color rgb="FF1F3864"/>
        <rFont val="WenQuanYi Zen Hei"/>
        <family val="2"/>
      </rPr>
      <t xml:space="preserve">아브라함의 죽음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</si>
  <si>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A0043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</si>
  <si>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25:27-34</t>
    </r>
  </si>
  <si>
    <t xml:space="preserve">팥죽 한 그릇</t>
  </si>
  <si>
    <r>
      <rPr>
        <sz val="10"/>
        <color rgb="FF000000"/>
        <rFont val="WenQuanYi Zen Hei"/>
        <family val="2"/>
      </rPr>
      <t xml:space="preserve">배고파서 장자권을 팔았다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</si>
  <si>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25:34</t>
    </r>
  </si>
  <si>
    <t xml:space="preserve">당장의 욕심이 영원한 복을 가볍게 만듭니다</t>
  </si>
  <si>
    <r>
      <rPr>
        <sz val="10"/>
        <color rgb="FF000000"/>
        <rFont val="WenQuanYi Zen Hei"/>
        <family val="2"/>
      </rPr>
      <t xml:space="preserve">에서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야곱</t>
    </r>
  </si>
  <si>
    <t xml:space="preserve">장막 앞 화덕</t>
  </si>
  <si>
    <t xml:space="preserve">A0044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</si>
  <si>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26:1-16</t>
    </r>
  </si>
  <si>
    <t xml:space="preserve">아버지의 실수를 아들도</t>
  </si>
  <si>
    <t xml:space="preserve">아버지와 똑같은 거짓말을 한 아들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</si>
  <si>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26:3</t>
    </r>
  </si>
  <si>
    <t xml:space="preserve">하나님의 약속은 대를 이어 신실합니다</t>
  </si>
  <si>
    <r>
      <rPr>
        <sz val="10"/>
        <color rgb="FF000000"/>
        <rFont val="WenQuanYi Zen Hei"/>
        <family val="2"/>
      </rPr>
      <t xml:space="preserve">이삭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리브가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아비멜렉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</si>
  <si>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#026 '</t>
    </r>
    <r>
      <rPr>
        <sz val="10"/>
        <color rgb="FF000000"/>
        <rFont val="WenQuanYi Zen Hei"/>
        <family val="2"/>
      </rPr>
      <t xml:space="preserve">팥죽 한 그릇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</si>
  <si>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A0045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</si>
  <si>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26:17-35</t>
    </r>
  </si>
  <si>
    <t xml:space="preserve">우물을 빼앗겨도</t>
  </si>
  <si>
    <r>
      <rPr>
        <sz val="10"/>
        <color rgb="FF000000"/>
        <rFont val="WenQuanYi Zen Hei"/>
        <family val="2"/>
      </rPr>
      <t xml:space="preserve">빼앗기면 또 파고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또 빼앗기면 또 판 사람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</si>
  <si>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26:22</t>
    </r>
  </si>
  <si>
    <r>
      <rPr>
        <sz val="10"/>
        <color rgb="FF000000"/>
        <rFont val="WenQuanYi Zen Hei"/>
        <family val="2"/>
      </rPr>
      <t xml:space="preserve">하나님이 넓은 곳을 주십니다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르호보트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</si>
  <si>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이삭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그랄 목자들</t>
    </r>
  </si>
  <si>
    <t xml:space="preserve">그랄 골짜기의 우물들</t>
  </si>
  <si>
    <t xml:space="preserve">A0046</t>
  </si>
  <si>
    <t xml:space="preserve">B006</t>
  </si>
  <si>
    <t xml:space="preserve">S1-L04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</si>
  <si>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27:1-29</t>
    </r>
  </si>
  <si>
    <t xml:space="preserve">눈먼 아버지를 속이다</t>
  </si>
  <si>
    <r>
      <rPr>
        <sz val="10"/>
        <color rgb="FF000000"/>
        <rFont val="WenQuanYi Zen Hei"/>
        <family val="2"/>
      </rPr>
      <t xml:space="preserve">염소 가죽을 두르고 형인 척했다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</si>
  <si>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27:22</t>
    </r>
  </si>
  <si>
    <t xml:space="preserve">속임수로 얻은 복은 평안을 주지 못합니다</t>
  </si>
  <si>
    <r>
      <rPr>
        <sz val="10"/>
        <color rgb="FF000000"/>
        <rFont val="WenQuanYi Zen Hei"/>
        <family val="2"/>
      </rPr>
      <t xml:space="preserve">이삭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리브가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야곱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</si>
  <si>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26:1-16 </t>
    </r>
    <r>
      <rPr>
        <sz val="10"/>
        <color rgb="FF1F3864"/>
        <rFont val="WenQuanYi Zen Hei"/>
        <family val="2"/>
      </rPr>
      <t xml:space="preserve">아버지의 실수를 아들도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26:17-35 </t>
    </r>
    <r>
      <rPr>
        <sz val="10"/>
        <color rgb="FF1F3864"/>
        <rFont val="WenQuanYi Zen Hei"/>
        <family val="2"/>
      </rPr>
      <t xml:space="preserve">우물을 빼앗겨도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</si>
  <si>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A0047</t>
  </si>
  <si>
    <t xml:space="preserve">S2-L03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</si>
  <si>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27:30-28:9</t>
    </r>
  </si>
  <si>
    <t xml:space="preserve">형이 나를 죽이려 한다</t>
  </si>
  <si>
    <t xml:space="preserve">축복 하나 때문에 형제가 원수가 되다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</si>
  <si>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27:41</t>
    </r>
  </si>
  <si>
    <t xml:space="preserve">죄는 가정을 갈라 놓습니다</t>
  </si>
  <si>
    <r>
      <rPr>
        <sz val="10"/>
        <color rgb="FF000000"/>
        <rFont val="WenQuanYi Zen Hei"/>
        <family val="2"/>
      </rPr>
      <t xml:space="preserve">에서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야곱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리브가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이삭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</si>
  <si>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#027 '</t>
    </r>
    <r>
      <rPr>
        <sz val="10"/>
        <color rgb="FF000000"/>
        <rFont val="WenQuanYi Zen Hei"/>
        <family val="2"/>
      </rPr>
      <t xml:space="preserve">눈먼 아버지를 속이다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</si>
  <si>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A0048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</si>
  <si>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28:10-22</t>
    </r>
  </si>
  <si>
    <t xml:space="preserve">돌베개와 하늘 사다리</t>
  </si>
  <si>
    <t xml:space="preserve">도망자가 꿈에서 본 하늘 계단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</si>
  <si>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28:15</t>
    </r>
  </si>
  <si>
    <t xml:space="preserve">하나님은 도망자에게도 찾아오십니다</t>
  </si>
  <si>
    <r>
      <rPr>
        <sz val="10"/>
        <color rgb="FF000000"/>
        <rFont val="WenQuanYi Zen Hei"/>
        <family val="2"/>
      </rPr>
      <t xml:space="preserve">야곱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천사들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하나님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음성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</si>
  <si>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벧엘의 들판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하늘 사다리</t>
    </r>
  </si>
  <si>
    <t xml:space="preserve">사다리 위 하나님은 빛으로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</si>
  <si>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27:30-28:9 </t>
    </r>
    <r>
      <rPr>
        <sz val="10"/>
        <color rgb="FF1F3864"/>
        <rFont val="WenQuanYi Zen Hei"/>
        <family val="2"/>
      </rPr>
      <t xml:space="preserve">형이 나를 죽이려 한다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</si>
  <si>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A0049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</si>
  <si>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29:1-30</t>
    </r>
  </si>
  <si>
    <t xml:space="preserve">속이던 자가 속다</t>
  </si>
  <si>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년을 일했는데 신부가 바뀌었다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</si>
  <si>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29:25</t>
    </r>
  </si>
  <si>
    <t xml:space="preserve">우리가 뿌린 대로 거두게 하시며 하나님은 우리를 다듬으십니다</t>
  </si>
  <si>
    <r>
      <rPr>
        <sz val="10"/>
        <color rgb="FF000000"/>
        <rFont val="WenQuanYi Zen Hei"/>
        <family val="2"/>
      </rPr>
      <t xml:space="preserve">야곱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라헬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레아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라반</t>
    </r>
  </si>
  <si>
    <r>
      <rPr>
        <sz val="10"/>
        <color rgb="FF000000"/>
        <rFont val="WenQuanYi Zen Hei"/>
        <family val="2"/>
      </rPr>
      <t xml:space="preserve">하란 우물가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혼인 잔치</t>
    </r>
  </si>
  <si>
    <t xml:space="preserve">A0050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</si>
  <si>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29:31-30:24</t>
    </r>
  </si>
  <si>
    <t xml:space="preserve">사랑받지 못한 레아</t>
  </si>
  <si>
    <t xml:space="preserve">하나님은 가장 외로운 사람을 보셨다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</si>
  <si>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29:35</t>
    </r>
  </si>
  <si>
    <t xml:space="preserve">하나님은 소외된 사람을 돌아보십니다</t>
  </si>
  <si>
    <r>
      <rPr>
        <sz val="10"/>
        <color rgb="FF000000"/>
        <rFont val="WenQuanYi Zen Hei"/>
        <family val="2"/>
      </rPr>
      <t xml:space="preserve">레아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라헬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열한 아들</t>
    </r>
  </si>
  <si>
    <t xml:space="preserve">하란 장막들</t>
  </si>
  <si>
    <r>
      <rPr>
        <sz val="10"/>
        <color rgb="FFC00000"/>
        <rFont val="WenQuanYi Zen Hei"/>
        <family val="2"/>
      </rPr>
      <t xml:space="preserve">유다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메시아 계보</t>
    </r>
    <r>
      <rPr>
        <sz val="10"/>
        <color rgb="FFC00000"/>
        <rFont val="Arial"/>
        <family val="0"/>
        <charset val="1"/>
      </rPr>
      <t xml:space="preserve">) </t>
    </r>
    <r>
      <rPr>
        <sz val="10"/>
        <color rgb="FFC00000"/>
        <rFont val="WenQuanYi Zen Hei"/>
        <family val="2"/>
      </rPr>
      <t xml:space="preserve">탄생 강조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</si>
  <si>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#029 '</t>
    </r>
    <r>
      <rPr>
        <sz val="10"/>
        <color rgb="FF000000"/>
        <rFont val="WenQuanYi Zen Hei"/>
        <family val="2"/>
      </rPr>
      <t xml:space="preserve">속이던 자가 속다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</si>
  <si>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A0051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</si>
  <si>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30:25-43</t>
    </r>
  </si>
  <si>
    <t xml:space="preserve">얼룩 양 떼</t>
  </si>
  <si>
    <r>
      <rPr>
        <sz val="10"/>
        <color rgb="FF000000"/>
        <rFont val="WenQuanYi Zen Hei"/>
        <family val="2"/>
      </rPr>
      <t xml:space="preserve">아무도 원하지 않던 양으로 부자가 되다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</si>
  <si>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30:27</t>
    </r>
  </si>
  <si>
    <t xml:space="preserve">복의 근원은 꾀가 아니라 하나님입니다</t>
  </si>
  <si>
    <r>
      <rPr>
        <sz val="10"/>
        <color rgb="FF000000"/>
        <rFont val="WenQuanYi Zen Hei"/>
        <family val="2"/>
      </rPr>
      <t xml:space="preserve">야곱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라반</t>
    </r>
  </si>
  <si>
    <t xml:space="preserve">양 떼 목장</t>
  </si>
  <si>
    <r>
      <rPr>
        <sz val="10"/>
        <color rgb="FFC00000"/>
        <rFont val="WenQuanYi Zen Hei"/>
        <family val="2"/>
      </rPr>
      <t xml:space="preserve">얼룩 양 기법을 비법처럼 보이지 않게</t>
    </r>
    <r>
      <rPr>
        <sz val="10"/>
        <color rgb="FFC00000"/>
        <rFont val="Arial"/>
        <family val="0"/>
        <charset val="1"/>
      </rPr>
      <t xml:space="preserve">(31:9-12 </t>
    </r>
    <r>
      <rPr>
        <sz val="10"/>
        <color rgb="FFC00000"/>
        <rFont val="WenQuanYi Zen Hei"/>
        <family val="2"/>
      </rPr>
      <t xml:space="preserve">하나님이 하심</t>
    </r>
    <r>
      <rPr>
        <sz val="10"/>
        <color rgb="FFC00000"/>
        <rFont val="Arial"/>
        <family val="0"/>
        <charset val="1"/>
      </rPr>
      <t xml:space="preserve">)</t>
    </r>
  </si>
  <si>
    <t xml:space="preserve">A0052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</si>
  <si>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31:1-21</t>
    </r>
  </si>
  <si>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년 만의 귀향</t>
    </r>
  </si>
  <si>
    <t xml:space="preserve">하나님이 돌아가라고 하셨다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</si>
  <si>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31:3</t>
    </r>
  </si>
  <si>
    <t xml:space="preserve">하나님은 약속하신 땅으로 이끄십니다</t>
  </si>
  <si>
    <r>
      <rPr>
        <sz val="10"/>
        <color rgb="FF000000"/>
        <rFont val="WenQuanYi Zen Hei"/>
        <family val="2"/>
      </rPr>
      <t xml:space="preserve">야곱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라헬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레아</t>
    </r>
  </si>
  <si>
    <t xml:space="preserve">하란에서 길르앗</t>
  </si>
  <si>
    <t xml:space="preserve">라헬의 드라빔은 우상으로 설명</t>
  </si>
  <si>
    <t xml:space="preserve">A0053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</si>
  <si>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31:22-55</t>
    </r>
  </si>
  <si>
    <t xml:space="preserve">미스바</t>
  </si>
  <si>
    <t xml:space="preserve">장인과 사위가 돌무더기를 쌓은 이유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</si>
  <si>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31:49</t>
    </r>
  </si>
  <si>
    <t xml:space="preserve">하나님이 우리 사이를 지켜보십니다</t>
  </si>
  <si>
    <r>
      <rPr>
        <sz val="10"/>
        <color rgb="FF000000"/>
        <rFont val="WenQuanYi Zen Hei"/>
        <family val="2"/>
      </rPr>
      <t xml:space="preserve">길르앗 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돌무더기</t>
    </r>
  </si>
  <si>
    <t xml:space="preserve">A0054</t>
  </si>
  <si>
    <t xml:space="preserve">B007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</si>
  <si>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32:1-21</t>
    </r>
  </si>
  <si>
    <r>
      <rPr>
        <sz val="10"/>
        <color rgb="FF000000"/>
        <rFont val="WenQuanYi Zen Hei"/>
        <family val="2"/>
      </rPr>
      <t xml:space="preserve">형이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WenQuanYi Zen Hei"/>
        <family val="2"/>
      </rPr>
      <t xml:space="preserve">명을 데리고 온다</t>
    </r>
  </si>
  <si>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년 전 원수가 군대를 끌고 온다면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</si>
  <si>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32:11</t>
    </r>
  </si>
  <si>
    <t xml:space="preserve">두려울 때 우리는 기도합니다</t>
  </si>
  <si>
    <r>
      <rPr>
        <sz val="10"/>
        <color rgb="FF000000"/>
        <rFont val="WenQuanYi Zen Hei"/>
        <family val="2"/>
      </rPr>
      <t xml:space="preserve">야곱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하나님의 사자들</t>
    </r>
  </si>
  <si>
    <r>
      <rPr>
        <sz val="10"/>
        <color rgb="FF000000"/>
        <rFont val="WenQuanYi Zen Hei"/>
        <family val="2"/>
      </rPr>
      <t xml:space="preserve">마하나임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얍복 근처</t>
    </r>
  </si>
  <si>
    <t xml:space="preserve">A0055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</si>
  <si>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32:22-32</t>
    </r>
  </si>
  <si>
    <t xml:space="preserve">얍복강의 씨름</t>
  </si>
  <si>
    <t xml:space="preserve">밤새 하나님과 씨름한 사람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</si>
  <si>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32:28</t>
    </r>
  </si>
  <si>
    <t xml:space="preserve">하나님은 우리를 꺾으시고 새 이름을 주십니다</t>
  </si>
  <si>
    <r>
      <rPr>
        <sz val="10"/>
        <color rgb="FF000000"/>
        <rFont val="WenQuanYi Zen Hei"/>
        <family val="2"/>
      </rPr>
      <t xml:space="preserve">야곱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어떤 사람</t>
    </r>
  </si>
  <si>
    <r>
      <rPr>
        <sz val="10"/>
        <color rgb="FF000000"/>
        <rFont val="WenQuanYi Zen Hei"/>
        <family val="2"/>
      </rPr>
      <t xml:space="preserve">얍복 나루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새벽</t>
    </r>
  </si>
  <si>
    <t xml:space="preserve">씨름 상대는 얼굴 묘사 없이 실루엣으로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</si>
  <si>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5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29:31-30:24 </t>
    </r>
    <r>
      <rPr>
        <sz val="10"/>
        <color rgb="FF1F3864"/>
        <rFont val="WenQuanYi Zen Hei"/>
        <family val="2"/>
      </rPr>
      <t xml:space="preserve">사랑받지 못한 레아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30:25-43 </t>
    </r>
    <r>
      <rPr>
        <sz val="10"/>
        <color rgb="FF1F3864"/>
        <rFont val="WenQuanYi Zen Hei"/>
        <family val="2"/>
      </rPr>
      <t xml:space="preserve">얼룩 양 떼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31:1-21 20</t>
    </r>
    <r>
      <rPr>
        <sz val="10"/>
        <color rgb="FF1F3864"/>
        <rFont val="WenQuanYi Zen Hei"/>
        <family val="2"/>
      </rPr>
      <t xml:space="preserve">년 만의 귀향 외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</si>
  <si>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A0056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</si>
  <si>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33:1-20</t>
    </r>
  </si>
  <si>
    <t xml:space="preserve">형이 달려와 끌어안다</t>
  </si>
  <si>
    <r>
      <rPr>
        <sz val="10"/>
        <color rgb="FF000000"/>
        <rFont val="WenQuanYi Zen Hei"/>
        <family val="2"/>
      </rPr>
      <t xml:space="preserve">원수가 된 형과의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년 만의 재회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</si>
  <si>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33:4</t>
    </r>
  </si>
  <si>
    <t xml:space="preserve">하나님은 원수 된 마음도 녹이십니다</t>
  </si>
  <si>
    <r>
      <rPr>
        <sz val="10"/>
        <color rgb="FF000000"/>
        <rFont val="WenQuanYi Zen Hei"/>
        <family val="2"/>
      </rPr>
      <t xml:space="preserve">야곱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에서</t>
    </r>
  </si>
  <si>
    <r>
      <rPr>
        <sz val="10"/>
        <color rgb="FF000000"/>
        <rFont val="WenQuanYi Zen Hei"/>
        <family val="2"/>
      </rPr>
      <t xml:space="preserve">세일 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숙곳</t>
    </r>
  </si>
  <si>
    <t xml:space="preserve">A0057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</si>
  <si>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34:1-31</t>
    </r>
  </si>
  <si>
    <t xml:space="preserve">세겜의 비극</t>
  </si>
  <si>
    <t xml:space="preserve">복수가 더 큰 죄를 낳았다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</si>
  <si>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34:30</t>
    </r>
  </si>
  <si>
    <t xml:space="preserve">분노로 갚는 복수는 하나님의 방법이 아닙니다</t>
  </si>
  <si>
    <r>
      <rPr>
        <sz val="10"/>
        <color rgb="FF000000"/>
        <rFont val="WenQuanYi Zen Hei"/>
        <family val="2"/>
      </rPr>
      <t xml:space="preserve">야곱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시므온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레위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디나</t>
    </r>
  </si>
  <si>
    <t xml:space="preserve">세겜</t>
  </si>
  <si>
    <r>
      <rPr>
        <sz val="10"/>
        <color rgb="FFC00000"/>
        <rFont val="WenQuanYi Zen Hei"/>
        <family val="2"/>
      </rPr>
      <t xml:space="preserve">성폭력 장면 절대 묘사 금지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내레이션으로만 처리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</si>
  <si>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#031 '</t>
    </r>
    <r>
      <rPr>
        <sz val="10"/>
        <color rgb="FF000000"/>
        <rFont val="WenQuanYi Zen Hei"/>
        <family val="2"/>
      </rPr>
      <t xml:space="preserve">형이 달려와 끌어안다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</si>
  <si>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A0058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</si>
  <si>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35:1-15</t>
    </r>
  </si>
  <si>
    <t xml:space="preserve">다시 벧엘로</t>
  </si>
  <si>
    <t xml:space="preserve">우상을 땅에 묻고 다시 제단으로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</si>
  <si>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35:2</t>
    </r>
  </si>
  <si>
    <t xml:space="preserve">회복은 우상을 버리는 데서 시작됩니다</t>
  </si>
  <si>
    <t xml:space="preserve">야곱 가족</t>
  </si>
  <si>
    <t xml:space="preserve">벧엘 제단</t>
  </si>
  <si>
    <t xml:space="preserve">A0059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</si>
  <si>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35:16-29</t>
    </r>
  </si>
  <si>
    <t xml:space="preserve">라헬과 이삭의 죽음</t>
  </si>
  <si>
    <t xml:space="preserve">슬픔 속에 태어난 막내 베냐민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</si>
  <si>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35:18</t>
    </r>
  </si>
  <si>
    <t xml:space="preserve">슬픔 속에서도 하나님의 약속은 이어집니다</t>
  </si>
  <si>
    <r>
      <rPr>
        <sz val="10"/>
        <color rgb="FF000000"/>
        <rFont val="WenQuanYi Zen Hei"/>
        <family val="2"/>
      </rPr>
      <t xml:space="preserve">라헬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베냐민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이삭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에서</t>
    </r>
  </si>
  <si>
    <r>
      <rPr>
        <sz val="10"/>
        <color rgb="FF000000"/>
        <rFont val="WenQuanYi Zen Hei"/>
        <family val="2"/>
      </rPr>
      <t xml:space="preserve">베들레헴 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헤브론</t>
    </r>
  </si>
  <si>
    <t xml:space="preserve">A0060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</si>
  <si>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36:1-43</t>
    </r>
  </si>
  <si>
    <t xml:space="preserve">에서의 후손</t>
  </si>
  <si>
    <r>
      <rPr>
        <sz val="10"/>
        <color rgb="FF000000"/>
        <rFont val="WenQuanYi Zen Hei"/>
        <family val="2"/>
      </rPr>
      <t xml:space="preserve">형 에서는 어떻게 되었을까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</si>
  <si>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36:8</t>
    </r>
  </si>
  <si>
    <t xml:space="preserve">하나님은 모든 민족의 역사를 다스리십니다</t>
  </si>
  <si>
    <r>
      <rPr>
        <sz val="10"/>
        <color rgb="FF000000"/>
        <rFont val="WenQuanYi Zen Hei"/>
        <family val="2"/>
      </rPr>
      <t xml:space="preserve">에서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에돔 족장들</t>
    </r>
  </si>
  <si>
    <t xml:space="preserve">세일 산</t>
  </si>
  <si>
    <t xml:space="preserve">A0061</t>
  </si>
  <si>
    <t xml:space="preserve">B008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</si>
  <si>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37:1-11</t>
    </r>
  </si>
  <si>
    <t xml:space="preserve">꿈꾸는 소년</t>
  </si>
  <si>
    <t xml:space="preserve">형들이 내게 절하는 꿈을 꾸었다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</si>
  <si>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37:5</t>
    </r>
  </si>
  <si>
    <t xml:space="preserve">하나님은 꿈을 통해 계획을 보여 주셨습니다</t>
  </si>
  <si>
    <r>
      <rPr>
        <sz val="10"/>
        <color rgb="FF000000"/>
        <rFont val="WenQuanYi Zen Hei"/>
        <family val="2"/>
      </rPr>
      <t xml:space="preserve">요셉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야곱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형들</t>
    </r>
  </si>
  <si>
    <r>
      <rPr>
        <sz val="10"/>
        <color rgb="FF000000"/>
        <rFont val="WenQuanYi Zen Hei"/>
        <family val="2"/>
      </rPr>
      <t xml:space="preserve">헤브론 골짜기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채색옷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</si>
  <si>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4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34:1-31 </t>
    </r>
    <r>
      <rPr>
        <sz val="10"/>
        <color rgb="FF1F3864"/>
        <rFont val="WenQuanYi Zen Hei"/>
        <family val="2"/>
      </rPr>
      <t xml:space="preserve">세겜의 비극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35:1-15 </t>
    </r>
    <r>
      <rPr>
        <sz val="10"/>
        <color rgb="FF1F3864"/>
        <rFont val="WenQuanYi Zen Hei"/>
        <family val="2"/>
      </rPr>
      <t xml:space="preserve">다시 벧엘로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35:16-29 </t>
    </r>
    <r>
      <rPr>
        <sz val="10"/>
        <color rgb="FF1F3864"/>
        <rFont val="WenQuanYi Zen Hei"/>
        <family val="2"/>
      </rPr>
      <t xml:space="preserve">라헬과 이삭의 죽음 외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</si>
  <si>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A0062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</si>
  <si>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37:12-36</t>
    </r>
  </si>
  <si>
    <r>
      <rPr>
        <sz val="10"/>
        <color rgb="FF000000"/>
        <rFont val="WenQuanYi Zen Hei"/>
        <family val="2"/>
      </rPr>
      <t xml:space="preserve">은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개에 팔리다</t>
    </r>
  </si>
  <si>
    <t xml:space="preserve">형들이 동생을 구덩이에 던졌다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</si>
  <si>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37:28</t>
    </r>
  </si>
  <si>
    <t xml:space="preserve">사람의 악 가운데서도 하나님의 계획은 진행됩니다</t>
  </si>
  <si>
    <r>
      <rPr>
        <sz val="10"/>
        <color rgb="FF000000"/>
        <rFont val="WenQuanYi Zen Hei"/>
        <family val="2"/>
      </rPr>
      <t xml:space="preserve">요셉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르우벤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유다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이스마엘 상인</t>
    </r>
  </si>
  <si>
    <r>
      <rPr>
        <sz val="10"/>
        <color rgb="FF000000"/>
        <rFont val="WenQuanYi Zen Hei"/>
        <family val="2"/>
      </rPr>
      <t xml:space="preserve">도단 들판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빈 구덩이</t>
    </r>
  </si>
  <si>
    <t xml:space="preserve">A0063</t>
  </si>
  <si>
    <t xml:space="preserve">S2-L04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</si>
  <si>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38:1-30</t>
    </r>
  </si>
  <si>
    <t xml:space="preserve">유다와 다말</t>
  </si>
  <si>
    <t xml:space="preserve">메시아의 족보에 이름을 올린 여인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</si>
  <si>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38:26</t>
    </r>
  </si>
  <si>
    <t xml:space="preserve">하나님은 죄인의 가문을 통해서도 구원을 이루십니다</t>
  </si>
  <si>
    <r>
      <rPr>
        <sz val="10"/>
        <color rgb="FF000000"/>
        <rFont val="WenQuanYi Zen Hei"/>
        <family val="2"/>
      </rPr>
      <t xml:space="preserve">유다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다말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베레스</t>
    </r>
  </si>
  <si>
    <t xml:space="preserve">딤나 길</t>
  </si>
  <si>
    <r>
      <rPr>
        <sz val="10"/>
        <color rgb="FFC00000"/>
        <rFont val="WenQuanYi Zen Hei"/>
        <family val="2"/>
      </rPr>
      <t xml:space="preserve">성적 장면 완전 배제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메시아 계보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마 </t>
    </r>
    <r>
      <rPr>
        <sz val="10"/>
        <color rgb="FFC00000"/>
        <rFont val="Arial"/>
        <family val="0"/>
        <charset val="1"/>
      </rPr>
      <t xml:space="preserve">1:3) </t>
    </r>
    <r>
      <rPr>
        <sz val="10"/>
        <color rgb="FFC00000"/>
        <rFont val="WenQuanYi Zen Hei"/>
        <family val="2"/>
      </rPr>
      <t xml:space="preserve">중심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</si>
  <si>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#033 '</t>
    </r>
    <r>
      <rPr>
        <sz val="10"/>
        <color rgb="FF000000"/>
        <rFont val="WenQuanYi Zen Hei"/>
        <family val="2"/>
      </rPr>
      <t xml:space="preserve">은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개에 팔리다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</si>
  <si>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A0064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</si>
  <si>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39:1-23</t>
    </r>
  </si>
  <si>
    <t xml:space="preserve">아무도 없는 집에서</t>
  </si>
  <si>
    <r>
      <rPr>
        <sz val="10"/>
        <color rgb="FF000000"/>
        <rFont val="WenQuanYi Zen Hei"/>
        <family val="2"/>
      </rPr>
      <t xml:space="preserve">아무도 안 보는데 왜 거절했을까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</si>
  <si>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39:9</t>
    </r>
  </si>
  <si>
    <t xml:space="preserve">하나님 앞에서 사는 사람은 죄를 이깁니다</t>
  </si>
  <si>
    <r>
      <rPr>
        <sz val="10"/>
        <color rgb="FF000000"/>
        <rFont val="WenQuanYi Zen Hei"/>
        <family val="2"/>
      </rPr>
      <t xml:space="preserve">요셉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보디발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보디발의 아내</t>
    </r>
  </si>
  <si>
    <r>
      <rPr>
        <sz val="10"/>
        <color rgb="FF000000"/>
        <rFont val="WenQuanYi Zen Hei"/>
        <family val="2"/>
      </rPr>
      <t xml:space="preserve">보디발의 집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감옥</t>
    </r>
  </si>
  <si>
    <r>
      <rPr>
        <sz val="10"/>
        <color rgb="FFC00000"/>
        <rFont val="WenQuanYi Zen Hei"/>
        <family val="2"/>
      </rPr>
      <t xml:space="preserve">유혹 장면 절제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옷자락만</t>
    </r>
    <r>
      <rPr>
        <sz val="10"/>
        <color rgb="FFC00000"/>
        <rFont val="Arial"/>
        <family val="0"/>
        <charset val="1"/>
      </rPr>
      <t xml:space="preserve">)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</si>
  <si>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38:1-30 </t>
    </r>
    <r>
      <rPr>
        <sz val="10"/>
        <color rgb="FF1F3864"/>
        <rFont val="WenQuanYi Zen Hei"/>
        <family val="2"/>
      </rPr>
      <t xml:space="preserve">유다와 다말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</si>
  <si>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A0065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</si>
  <si>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40:1-23</t>
    </r>
  </si>
  <si>
    <t xml:space="preserve">감옥의 두 꿈</t>
  </si>
  <si>
    <r>
      <rPr>
        <sz val="10"/>
        <color rgb="FF000000"/>
        <rFont val="WenQuanYi Zen Hei"/>
        <family val="2"/>
      </rPr>
      <t xml:space="preserve">꿈을 풀어 주고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년 동안 잊혀지다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</si>
  <si>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40:8</t>
    </r>
  </si>
  <si>
    <t xml:space="preserve">해석은 하나님께 있습니다</t>
  </si>
  <si>
    <r>
      <rPr>
        <sz val="10"/>
        <color rgb="FF000000"/>
        <rFont val="WenQuanYi Zen Hei"/>
        <family val="2"/>
      </rPr>
      <t xml:space="preserve">요셉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술 맡은 관원장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떡 굽는 관원장</t>
    </r>
  </si>
  <si>
    <t xml:space="preserve">애굽 감옥</t>
  </si>
  <si>
    <t xml:space="preserve">처형 장면 묘사 금지</t>
  </si>
  <si>
    <t xml:space="preserve">A0066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</si>
  <si>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41:1-36</t>
    </r>
  </si>
  <si>
    <t xml:space="preserve">살진 소와 마른 소</t>
  </si>
  <si>
    <t xml:space="preserve">왕의 꿈을 아무도 풀지 못했다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</si>
  <si>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41:16</t>
    </r>
  </si>
  <si>
    <t xml:space="preserve">지혜는 내게 있지 않고 하나님께 있습니다</t>
  </si>
  <si>
    <r>
      <rPr>
        <sz val="10"/>
        <color rgb="FF000000"/>
        <rFont val="WenQuanYi Zen Hei"/>
        <family val="2"/>
      </rPr>
      <t xml:space="preserve">요셉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바로</t>
    </r>
  </si>
  <si>
    <t xml:space="preserve">바로의 궁전</t>
  </si>
  <si>
    <t xml:space="preserve">A0067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</si>
  <si>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41:37-57</t>
    </r>
  </si>
  <si>
    <t xml:space="preserve">하루 만에 총리로</t>
  </si>
  <si>
    <r>
      <rPr>
        <sz val="10"/>
        <color rgb="FF000000"/>
        <rFont val="WenQuanYi Zen Hei"/>
        <family val="2"/>
      </rPr>
      <t xml:space="preserve">감옥에서 나와 애굽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인자가 되다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</si>
  <si>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41:52</t>
    </r>
  </si>
  <si>
    <t xml:space="preserve">하나님은 고난의 땅에서 열매 맺게 하십니다</t>
  </si>
  <si>
    <r>
      <rPr>
        <sz val="10"/>
        <color rgb="FF000000"/>
        <rFont val="WenQuanYi Zen Hei"/>
        <family val="2"/>
      </rPr>
      <t xml:space="preserve">요셉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아스낫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므낫세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에브라임</t>
    </r>
  </si>
  <si>
    <r>
      <rPr>
        <sz val="10"/>
        <color rgb="FF000000"/>
        <rFont val="WenQuanYi Zen Hei"/>
        <family val="2"/>
      </rPr>
      <t xml:space="preserve">애굽 궁전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곡식 창고</t>
    </r>
  </si>
  <si>
    <t xml:space="preserve">A0068</t>
  </si>
  <si>
    <t xml:space="preserve">B009</t>
  </si>
  <si>
    <t xml:space="preserve">S1-L05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</si>
  <si>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42:1-28</t>
    </r>
  </si>
  <si>
    <t xml:space="preserve">꿈이 이루어지던 날</t>
  </si>
  <si>
    <t xml:space="preserve">형들이 총리 앞에 엎드렸다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</si>
  <si>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42:6</t>
    </r>
  </si>
  <si>
    <t xml:space="preserve">하나님의 말씀은 반드시 이루어집니다</t>
  </si>
  <si>
    <r>
      <rPr>
        <sz val="10"/>
        <color rgb="FF000000"/>
        <rFont val="WenQuanYi Zen Hei"/>
        <family val="2"/>
      </rPr>
      <t xml:space="preserve">요셉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열 형제</t>
    </r>
  </si>
  <si>
    <t xml:space="preserve">애굽 곡식 창고</t>
  </si>
  <si>
    <t xml:space="preserve">A0069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</si>
  <si>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42:29-43:34</t>
    </r>
  </si>
  <si>
    <t xml:space="preserve">막내를 데려오라</t>
  </si>
  <si>
    <t xml:space="preserve">총리가 갑자기 방에 들어가 울었다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</si>
  <si>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43:30</t>
    </r>
  </si>
  <si>
    <t xml:space="preserve">요셉은 형들을 미워하지 않았습니다</t>
  </si>
  <si>
    <r>
      <rPr>
        <sz val="10"/>
        <color rgb="FF000000"/>
        <rFont val="WenQuanYi Zen Hei"/>
        <family val="2"/>
      </rPr>
      <t xml:space="preserve">요셉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베냐민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야곱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유다</t>
    </r>
  </si>
  <si>
    <r>
      <rPr>
        <sz val="10"/>
        <color rgb="FF000000"/>
        <rFont val="WenQuanYi Zen Hei"/>
        <family val="2"/>
      </rPr>
      <t xml:space="preserve">가나안 장막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요셉의 집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</si>
  <si>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#038 '</t>
    </r>
    <r>
      <rPr>
        <sz val="10"/>
        <color rgb="FF000000"/>
        <rFont val="WenQuanYi Zen Hei"/>
        <family val="2"/>
      </rPr>
      <t xml:space="preserve">꿈이 이루어지던 날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</si>
  <si>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A0070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</si>
  <si>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44:1-34</t>
    </r>
  </si>
  <si>
    <t xml:space="preserve">은잔 사건</t>
  </si>
  <si>
    <t xml:space="preserve">제가 대신 종이 되겠습니다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</si>
  <si>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44:33</t>
    </r>
  </si>
  <si>
    <t xml:space="preserve">대신 짐을 지는 사랑이 변화의 증거입니다</t>
  </si>
  <si>
    <r>
      <rPr>
        <sz val="10"/>
        <color rgb="FF000000"/>
        <rFont val="WenQuanYi Zen Hei"/>
        <family val="2"/>
      </rPr>
      <t xml:space="preserve">요셉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유다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베냐민</t>
    </r>
  </si>
  <si>
    <t xml:space="preserve">요셉의 집</t>
  </si>
  <si>
    <t xml:space="preserve">대속의 예표로 연결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</si>
  <si>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42:29-43:34 </t>
    </r>
    <r>
      <rPr>
        <sz val="10"/>
        <color rgb="FF1F3864"/>
        <rFont val="WenQuanYi Zen Hei"/>
        <family val="2"/>
      </rPr>
      <t xml:space="preserve">막내를 데려오라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</si>
  <si>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A0071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</si>
  <si>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45:1-15</t>
    </r>
  </si>
  <si>
    <t xml:space="preserve">내가 요셉이라</t>
  </si>
  <si>
    <t xml:space="preserve">형들이 너무 놀라 대답도 못 했다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</si>
  <si>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45:5</t>
    </r>
  </si>
  <si>
    <t xml:space="preserve">하나님이 생명을 구원하시려고 나를 먼저 보내셨습니다</t>
  </si>
  <si>
    <r>
      <rPr>
        <sz val="10"/>
        <color rgb="FF000000"/>
        <rFont val="WenQuanYi Zen Hei"/>
        <family val="2"/>
      </rPr>
      <t xml:space="preserve">요셉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형제들</t>
    </r>
  </si>
  <si>
    <t xml:space="preserve">A0072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</si>
  <si>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45:16-46:7</t>
    </r>
  </si>
  <si>
    <t xml:space="preserve">요셉이 살아 있다</t>
  </si>
  <si>
    <r>
      <rPr>
        <sz val="10"/>
        <color rgb="FF000000"/>
        <rFont val="WenQuanYi Zen Hei"/>
        <family val="2"/>
      </rPr>
      <t xml:space="preserve">죽은 줄 알았던 아들이 살아 있다면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</si>
  <si>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46:3</t>
    </r>
  </si>
  <si>
    <r>
      <rPr>
        <sz val="10"/>
        <color rgb="FF000000"/>
        <rFont val="WenQuanYi Zen Hei"/>
        <family val="2"/>
      </rPr>
      <t xml:space="preserve">두려워하지 말라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하나님이 함께 가신다</t>
    </r>
  </si>
  <si>
    <r>
      <rPr>
        <sz val="10"/>
        <color rgb="FF000000"/>
        <rFont val="WenQuanYi Zen Hei"/>
        <family val="2"/>
      </rPr>
      <t xml:space="preserve">야곱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요셉의 형제들</t>
    </r>
  </si>
  <si>
    <r>
      <rPr>
        <sz val="10"/>
        <color rgb="FF000000"/>
        <rFont val="WenQuanYi Zen Hei"/>
        <family val="2"/>
      </rPr>
      <t xml:space="preserve">가나안에서 애굽으로 가는 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브엘세바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</si>
  <si>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#040 '</t>
    </r>
    <r>
      <rPr>
        <sz val="10"/>
        <color rgb="FF000000"/>
        <rFont val="WenQuanYi Zen Hei"/>
        <family val="2"/>
      </rPr>
      <t xml:space="preserve">내가 요셉이라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</si>
  <si>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A0073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</si>
  <si>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46:8-47:12</t>
    </r>
  </si>
  <si>
    <t xml:space="preserve">바로를 축복한 노인</t>
  </si>
  <si>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WenQuanYi Zen Hei"/>
        <family val="2"/>
      </rPr>
      <t xml:space="preserve">년 나그네 인생을 고백하다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</si>
  <si>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47:9</t>
    </r>
  </si>
  <si>
    <t xml:space="preserve">우리는 이 땅의 나그네입니다</t>
  </si>
  <si>
    <r>
      <rPr>
        <sz val="10"/>
        <color rgb="FF000000"/>
        <rFont val="WenQuanYi Zen Hei"/>
        <family val="2"/>
      </rPr>
      <t xml:space="preserve">야곱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바로</t>
    </r>
  </si>
  <si>
    <r>
      <rPr>
        <sz val="10"/>
        <color rgb="FF000000"/>
        <rFont val="WenQuanYi Zen Hei"/>
        <family val="2"/>
      </rPr>
      <t xml:space="preserve">고센 땅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바로의 궁전</t>
    </r>
  </si>
  <si>
    <t xml:space="preserve">A0074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</si>
  <si>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47:13-31</t>
    </r>
  </si>
  <si>
    <t xml:space="preserve">기근 속의 총리</t>
  </si>
  <si>
    <t xml:space="preserve">돈이 다 떨어지자 땅까지 팔았다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</si>
  <si>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47:25</t>
    </r>
  </si>
  <si>
    <t xml:space="preserve">하나님은 지혜로 생명을 보존하십니다</t>
  </si>
  <si>
    <r>
      <rPr>
        <sz val="10"/>
        <color rgb="FF000000"/>
        <rFont val="WenQuanYi Zen Hei"/>
        <family val="2"/>
      </rPr>
      <t xml:space="preserve">요셉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애굽 백성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야곱</t>
    </r>
  </si>
  <si>
    <t xml:space="preserve">A0075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</si>
  <si>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48:1-22</t>
    </r>
  </si>
  <si>
    <t xml:space="preserve">엇갈린 두 손</t>
  </si>
  <si>
    <r>
      <rPr>
        <sz val="10"/>
        <color rgb="FF000000"/>
        <rFont val="WenQuanYi Zen Hei"/>
        <family val="2"/>
      </rPr>
      <t xml:space="preserve">할아버지가 손을 바꿔서 축복했다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</si>
  <si>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48:14</t>
    </r>
  </si>
  <si>
    <t xml:space="preserve">하나님의 은혜는 우리의 순서를 뒤집습니다</t>
  </si>
  <si>
    <r>
      <rPr>
        <sz val="10"/>
        <color rgb="FF000000"/>
        <rFont val="WenQuanYi Zen Hei"/>
        <family val="2"/>
      </rPr>
      <t xml:space="preserve">야곱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에브라임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므낫세</t>
    </r>
  </si>
  <si>
    <t xml:space="preserve">야곱의 침상</t>
  </si>
  <si>
    <t xml:space="preserve">A0076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</si>
  <si>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49:1-28</t>
    </r>
  </si>
  <si>
    <t xml:space="preserve">열두 아들을 위한 예언</t>
  </si>
  <si>
    <t xml:space="preserve">유다에게서 왕이 나리라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</si>
  <si>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49:10</t>
    </r>
  </si>
  <si>
    <t xml:space="preserve">메시아는 유다 지파에서 오십니다</t>
  </si>
  <si>
    <r>
      <rPr>
        <sz val="10"/>
        <color rgb="FF000000"/>
        <rFont val="WenQuanYi Zen Hei"/>
        <family val="2"/>
      </rPr>
      <t xml:space="preserve">야곱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열두 아들</t>
    </r>
  </si>
  <si>
    <t xml:space="preserve">야곱의 임종 자리</t>
  </si>
  <si>
    <r>
      <rPr>
        <sz val="10"/>
        <color rgb="FFC00000"/>
        <rFont val="Arial"/>
        <family val="0"/>
        <charset val="1"/>
      </rPr>
      <t xml:space="preserve">49:10 </t>
    </r>
    <r>
      <rPr>
        <sz val="10"/>
        <color rgb="FFC00000"/>
        <rFont val="WenQuanYi Zen Hei"/>
        <family val="2"/>
      </rPr>
      <t xml:space="preserve">메시아 예언 강조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</si>
  <si>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4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45:16-46:7 </t>
    </r>
    <r>
      <rPr>
        <sz val="10"/>
        <color rgb="FF1F3864"/>
        <rFont val="WenQuanYi Zen Hei"/>
        <family val="2"/>
      </rPr>
      <t xml:space="preserve">요셉이 살아 있다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46:8-47:12 </t>
    </r>
    <r>
      <rPr>
        <sz val="10"/>
        <color rgb="FF1F3864"/>
        <rFont val="WenQuanYi Zen Hei"/>
        <family val="2"/>
      </rPr>
      <t xml:space="preserve">바로를 축복한 노인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47:13-31 </t>
    </r>
    <r>
      <rPr>
        <sz val="10"/>
        <color rgb="FF1F3864"/>
        <rFont val="WenQuanYi Zen Hei"/>
        <family val="2"/>
      </rPr>
      <t xml:space="preserve">기근 속의 총리 외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</si>
  <si>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A0077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</si>
  <si>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49:29-50:14</t>
    </r>
  </si>
  <si>
    <t xml:space="preserve">야곱의 장례</t>
  </si>
  <si>
    <r>
      <rPr>
        <sz val="10"/>
        <color rgb="FF000000"/>
        <rFont val="WenQuanYi Zen Hei"/>
        <family val="2"/>
      </rPr>
      <t xml:space="preserve">애굽 사람들이 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WenQuanYi Zen Hei"/>
        <family val="2"/>
      </rPr>
      <t xml:space="preserve">일을 울었다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</si>
  <si>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50:3</t>
    </r>
  </si>
  <si>
    <t xml:space="preserve">약속의 땅에 묻히기를 원한 믿음</t>
  </si>
  <si>
    <r>
      <rPr>
        <sz val="10"/>
        <color rgb="FF000000"/>
        <rFont val="WenQuanYi Zen Hei"/>
        <family val="2"/>
      </rPr>
      <t xml:space="preserve">요셉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형제들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애굽 신하들</t>
    </r>
  </si>
  <si>
    <t xml:space="preserve">막벨라 굴로 가는 행렬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</si>
  <si>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#041 '</t>
    </r>
    <r>
      <rPr>
        <sz val="10"/>
        <color rgb="FF000000"/>
        <rFont val="WenQuanYi Zen Hei"/>
        <family val="2"/>
      </rPr>
      <t xml:space="preserve">열두 아들을 위한 예언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</si>
  <si>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A0078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</si>
  <si>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50:15-26</t>
    </r>
  </si>
  <si>
    <t xml:space="preserve">악을 선으로</t>
  </si>
  <si>
    <t xml:space="preserve">형들이 다시 두려워하자 요셉이 한 말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</si>
  <si>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50:20</t>
    </r>
  </si>
  <si>
    <t xml:space="preserve">하나님은 악을 선으로 바꾸십니다</t>
  </si>
  <si>
    <t xml:space="preserve">애굽</t>
  </si>
  <si>
    <r>
      <rPr>
        <sz val="10"/>
        <color rgb="FFC00000"/>
        <rFont val="WenQuanYi Zen Hei"/>
        <family val="2"/>
      </rPr>
      <t xml:space="preserve">요셉의 유골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히 </t>
    </r>
    <r>
      <rPr>
        <sz val="10"/>
        <color rgb="FFC00000"/>
        <rFont val="Arial"/>
        <family val="0"/>
        <charset val="1"/>
      </rPr>
      <t xml:space="preserve">11:22) </t>
    </r>
    <r>
      <rPr>
        <sz val="10"/>
        <color rgb="FFC00000"/>
        <rFont val="WenQuanYi Zen Hei"/>
        <family val="2"/>
      </rPr>
      <t xml:space="preserve">출애굽 복선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</si>
  <si>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창 </t>
    </r>
    <r>
      <rPr>
        <sz val="10"/>
        <color rgb="FF1F3864"/>
        <rFont val="Arial"/>
        <family val="0"/>
        <charset val="1"/>
      </rPr>
      <t xml:space="preserve">49:29-50:14 </t>
    </r>
    <r>
      <rPr>
        <sz val="10"/>
        <color rgb="FF1F3864"/>
        <rFont val="WenQuanYi Zen Hei"/>
        <family val="2"/>
      </rPr>
      <t xml:space="preserve">야곱의 장례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</si>
  <si>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A0079</t>
  </si>
  <si>
    <t xml:space="preserve">B010</t>
  </si>
  <si>
    <t xml:space="preserve">출애굽기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</si>
  <si>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1:1-22</t>
    </r>
  </si>
  <si>
    <t xml:space="preserve">나일강에 던져라</t>
  </si>
  <si>
    <t xml:space="preserve">히브리 남자아이는 모두 강물에 던지라는 명령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</si>
  <si>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1:17</t>
    </r>
  </si>
  <si>
    <t xml:space="preserve">하나님을 경외하는 사람은 왕의 명령보다 하나님을 따릅니다</t>
  </si>
  <si>
    <r>
      <rPr>
        <sz val="10"/>
        <color rgb="FF000000"/>
        <rFont val="WenQuanYi Zen Hei"/>
        <family val="2"/>
      </rPr>
      <t xml:space="preserve">십브라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부아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바로</t>
    </r>
  </si>
  <si>
    <r>
      <rPr>
        <sz val="10"/>
        <color rgb="FF000000"/>
        <rFont val="WenQuanYi Zen Hei"/>
        <family val="2"/>
      </rPr>
      <t xml:space="preserve">애굽 벽돌 공장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나일강</t>
    </r>
  </si>
  <si>
    <t xml:space="preserve">영아 살해 장면 묘사 금지</t>
  </si>
  <si>
    <t xml:space="preserve">A0080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</si>
  <si>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2:1-10</t>
    </r>
  </si>
  <si>
    <t xml:space="preserve">갈대 상자</t>
  </si>
  <si>
    <t xml:space="preserve">강물에 띄운 아기가 왕궁으로 갔다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</si>
  <si>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2:10</t>
    </r>
  </si>
  <si>
    <t xml:space="preserve">하나님은 가장 위험한 곳에서 구원을 준비하십니다</t>
  </si>
  <si>
    <r>
      <rPr>
        <sz val="10"/>
        <color rgb="FF000000"/>
        <rFont val="WenQuanYi Zen Hei"/>
        <family val="2"/>
      </rPr>
      <t xml:space="preserve">요게벳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미리암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바로의 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아기 모세</t>
    </r>
  </si>
  <si>
    <t xml:space="preserve">나일강 갈대숲</t>
  </si>
  <si>
    <t xml:space="preserve">A0081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</si>
  <si>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2:11-25</t>
    </r>
  </si>
  <si>
    <t xml:space="preserve">왕자에서 도망자로</t>
  </si>
  <si>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년 왕궁 생활이 하루 만에 끝났다</t>
    </r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</si>
  <si>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2:24</t>
    </r>
  </si>
  <si>
    <t xml:space="preserve">하나님은 고통받는 백성의 신음을 들으십니다</t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</si>
  <si>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애굽 사람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이드로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십보라</t>
    </r>
  </si>
  <si>
    <r>
      <rPr>
        <sz val="10"/>
        <color rgb="FF000000"/>
        <rFont val="WenQuanYi Zen Hei"/>
        <family val="2"/>
      </rPr>
      <t xml:space="preserve">애굽 공사장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미디안 우물</t>
    </r>
  </si>
  <si>
    <t xml:space="preserve">살인 장면 직접 묘사 금지</t>
  </si>
  <si>
    <t xml:space="preserve">A0082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</si>
  <si>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3:1-12</t>
    </r>
  </si>
  <si>
    <t xml:space="preserve">불붙은 떨기나무</t>
  </si>
  <si>
    <t xml:space="preserve">불이 붙었는데 타지 않는 나무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</si>
  <si>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3:5</t>
    </r>
  </si>
  <si>
    <t xml:space="preserve">하나님은 거룩하신 분입니다</t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</si>
  <si>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하나님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불꽃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음성</t>
    </r>
    <r>
      <rPr>
        <sz val="10"/>
        <color rgb="FF000000"/>
        <rFont val="Arial"/>
        <family val="0"/>
        <charset val="1"/>
      </rPr>
      <t xml:space="preserve">)</t>
    </r>
  </si>
  <si>
    <t xml:space="preserve">호렙 산 떨기나무</t>
  </si>
  <si>
    <t xml:space="preserve">하나님은 불꽃과 음성으로만</t>
  </si>
  <si>
    <t xml:space="preserve">A0083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</si>
  <si>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3:13-4:17</t>
    </r>
  </si>
  <si>
    <t xml:space="preserve">나는 스스로 있는 자</t>
  </si>
  <si>
    <r>
      <rPr>
        <sz val="10"/>
        <color rgb="FF000000"/>
        <rFont val="WenQuanYi Zen Hei"/>
        <family val="2"/>
      </rPr>
      <t xml:space="preserve">제가 누구라고 말해야 합니까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</si>
  <si>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3:14</t>
    </r>
  </si>
  <si>
    <t xml:space="preserve">하나님은 스스로 계신 영원하신 분입니다</t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</si>
  <si>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하나님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음성</t>
    </r>
    <r>
      <rPr>
        <sz val="10"/>
        <color rgb="FF000000"/>
        <rFont val="Arial"/>
        <family val="0"/>
        <charset val="1"/>
      </rPr>
      <t xml:space="preserve">)·</t>
    </r>
    <r>
      <rPr>
        <sz val="10"/>
        <color rgb="FF000000"/>
        <rFont val="WenQuanYi Zen Hei"/>
        <family val="2"/>
      </rPr>
      <t xml:space="preserve">아론</t>
    </r>
  </si>
  <si>
    <t xml:space="preserve">호렙 산</t>
  </si>
  <si>
    <t xml:space="preserve">A0084</t>
  </si>
  <si>
    <t xml:space="preserve">S2-L05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</si>
  <si>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4:18-31</t>
    </r>
  </si>
  <si>
    <t xml:space="preserve">다시 애굽으로</t>
  </si>
  <si>
    <r>
      <rPr>
        <sz val="10"/>
        <color rgb="FF000000"/>
        <rFont val="Arial"/>
        <family val="0"/>
        <charset val="1"/>
      </rPr>
      <t xml:space="preserve">80</t>
    </r>
    <r>
      <rPr>
        <sz val="10"/>
        <color rgb="FF000000"/>
        <rFont val="WenQuanYi Zen Hei"/>
        <family val="2"/>
      </rPr>
      <t xml:space="preserve">세에 다시 시작된 사명</t>
    </r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</si>
  <si>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4:31</t>
    </r>
  </si>
  <si>
    <t xml:space="preserve">하나님은 고난받는 백성을 돌보십니다</t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</si>
  <si>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장로들</t>
    </r>
  </si>
  <si>
    <t xml:space="preserve">미디안에서 애굽으로 가는 길</t>
  </si>
  <si>
    <r>
      <rPr>
        <sz val="10"/>
        <color rgb="FFC00000"/>
        <rFont val="Arial"/>
        <family val="0"/>
        <charset val="1"/>
      </rPr>
      <t xml:space="preserve">4:24-26 </t>
    </r>
    <r>
      <rPr>
        <sz val="10"/>
        <color rgb="FFC00000"/>
        <rFont val="WenQuanYi Zen Hei"/>
        <family val="2"/>
      </rPr>
      <t xml:space="preserve">장면은 생략 또는 설명 최소화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</si>
  <si>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#047 '</t>
    </r>
    <r>
      <rPr>
        <sz val="10"/>
        <color rgb="FF000000"/>
        <rFont val="WenQuanYi Zen Hei"/>
        <family val="2"/>
      </rPr>
      <t xml:space="preserve">나는 스스로 있는 자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</si>
  <si>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A0085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</si>
  <si>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5:1-23</t>
    </r>
  </si>
  <si>
    <r>
      <rPr>
        <sz val="10"/>
        <color rgb="FF000000"/>
        <rFont val="WenQuanYi Zen Hei"/>
        <family val="2"/>
      </rPr>
      <t xml:space="preserve">벽돌은 그대로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짚은 없다</t>
    </r>
  </si>
  <si>
    <r>
      <rPr>
        <sz val="10"/>
        <color rgb="FF000000"/>
        <rFont val="WenQuanYi Zen Hei"/>
        <family val="2"/>
      </rPr>
      <t xml:space="preserve">순종했는데 오히려 더 힘들어졌다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</si>
  <si>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5:2</t>
    </r>
  </si>
  <si>
    <t xml:space="preserve">하나님을 모르는 권력은 교만합니다</t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</si>
  <si>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감독들</t>
    </r>
  </si>
  <si>
    <r>
      <rPr>
        <sz val="10"/>
        <color rgb="FF000000"/>
        <rFont val="WenQuanYi Zen Hei"/>
        <family val="2"/>
      </rPr>
      <t xml:space="preserve">바로의 궁전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벽돌 공장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</si>
  <si>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출 </t>
    </r>
    <r>
      <rPr>
        <sz val="10"/>
        <color rgb="FF1F3864"/>
        <rFont val="Arial"/>
        <family val="0"/>
        <charset val="1"/>
      </rPr>
      <t xml:space="preserve">4:18-31 </t>
    </r>
    <r>
      <rPr>
        <sz val="10"/>
        <color rgb="FF1F3864"/>
        <rFont val="WenQuanYi Zen Hei"/>
        <family val="2"/>
      </rPr>
      <t xml:space="preserve">다시 애굽으로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</si>
  <si>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A0086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</si>
  <si>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6:1-30</t>
    </r>
  </si>
  <si>
    <t xml:space="preserve">내가 여호와니라</t>
  </si>
  <si>
    <r>
      <rPr>
        <sz val="10"/>
        <color rgb="FF000000"/>
        <rFont val="WenQuanYi Zen Hei"/>
        <family val="2"/>
      </rPr>
      <t xml:space="preserve">하나님이 다섯 번 약속하신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내가 </t>
    </r>
    <r>
      <rPr>
        <sz val="10"/>
        <color rgb="FF000000"/>
        <rFont val="Arial"/>
        <family val="0"/>
        <charset val="1"/>
      </rPr>
      <t xml:space="preserve">~</t>
    </r>
    <r>
      <rPr>
        <sz val="10"/>
        <color rgb="FF000000"/>
        <rFont val="WenQuanYi Zen Hei"/>
        <family val="2"/>
      </rPr>
      <t xml:space="preserve">하리라</t>
    </r>
    <r>
      <rPr>
        <sz val="10"/>
        <color rgb="FF000000"/>
        <rFont val="Arial"/>
        <family val="0"/>
        <charset val="1"/>
      </rPr>
      <t xml:space="preserve">'</t>
    </r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</si>
  <si>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6:7</t>
    </r>
  </si>
  <si>
    <t xml:space="preserve">하나님은 자기 백성을 반드시 구원하십니다</t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</si>
  <si>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하나님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음성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</si>
  <si>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#048 '</t>
    </r>
    <r>
      <rPr>
        <sz val="10"/>
        <color rgb="FF000000"/>
        <rFont val="WenQuanYi Zen Hei"/>
        <family val="2"/>
      </rPr>
      <t xml:space="preserve">벽돌은 그대로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짚은 없다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</si>
  <si>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A0087</t>
  </si>
  <si>
    <t xml:space="preserve">B011</t>
  </si>
  <si>
    <t xml:space="preserve">S1-L06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</si>
  <si>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7:1-13</t>
    </r>
  </si>
  <si>
    <t xml:space="preserve">뱀을 삼킨 지팡이</t>
  </si>
  <si>
    <t xml:space="preserve">애굽 술사들의 뱀을 모세의 뱀이 삼켰다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</si>
  <si>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7:12</t>
    </r>
  </si>
  <si>
    <t xml:space="preserve">하나님의 능력은 모든 속임수보다 큽니다</t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</si>
  <si>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술사들</t>
    </r>
  </si>
  <si>
    <t xml:space="preserve">술사 마술 장면을 신비화하지 않게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</si>
  <si>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출 </t>
    </r>
    <r>
      <rPr>
        <sz val="10"/>
        <color rgb="FF1F3864"/>
        <rFont val="Arial"/>
        <family val="0"/>
        <charset val="1"/>
      </rPr>
      <t xml:space="preserve">6:1-30 </t>
    </r>
    <r>
      <rPr>
        <sz val="10"/>
        <color rgb="FF1F3864"/>
        <rFont val="WenQuanYi Zen Hei"/>
        <family val="2"/>
      </rPr>
      <t xml:space="preserve">내가 여호와니라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</si>
  <si>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A0088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</si>
  <si>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7:14-25</t>
    </r>
  </si>
  <si>
    <t xml:space="preserve">피로 변한 나일강</t>
  </si>
  <si>
    <t xml:space="preserve">애굽의 생명줄이 피로 변했다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</si>
  <si>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7:17</t>
    </r>
  </si>
  <si>
    <t xml:space="preserve">여호와만이 참 하나님이십니다</t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</si>
  <si>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바로</t>
    </r>
  </si>
  <si>
    <t xml:space="preserve">나일강</t>
  </si>
  <si>
    <t xml:space="preserve">A0089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</si>
  <si>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8:1-15</t>
    </r>
  </si>
  <si>
    <t xml:space="preserve">개구리 재앙</t>
  </si>
  <si>
    <t xml:space="preserve">침대 위까지 올라온 개구리들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</si>
  <si>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8:10</t>
    </r>
  </si>
  <si>
    <t xml:space="preserve">하나님 같은 분은 없습니다</t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</si>
  <si>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바로</t>
    </r>
  </si>
  <si>
    <t xml:space="preserve">애굽 궁전과 집들</t>
  </si>
  <si>
    <t xml:space="preserve">A0090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</si>
  <si>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8:16-32</t>
    </r>
  </si>
  <si>
    <t xml:space="preserve">이와 파리</t>
  </si>
  <si>
    <t xml:space="preserve">술사들도 이건 하나님의 손가락이라고 인정했다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</si>
  <si>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8:19</t>
    </r>
  </si>
  <si>
    <t xml:space="preserve">하나님은 자기 백성을 구별하십니다</t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</si>
  <si>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술사들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바로</t>
    </r>
  </si>
  <si>
    <r>
      <rPr>
        <sz val="10"/>
        <color rgb="FF000000"/>
        <rFont val="WenQuanYi Zen Hei"/>
        <family val="2"/>
      </rPr>
      <t xml:space="preserve">애굽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고센 땅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</si>
  <si>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#051 '</t>
    </r>
    <r>
      <rPr>
        <sz val="10"/>
        <color rgb="FF000000"/>
        <rFont val="WenQuanYi Zen Hei"/>
        <family val="2"/>
      </rPr>
      <t xml:space="preserve">개구리 재앙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</si>
  <si>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A0091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</si>
  <si>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9:1-12</t>
    </r>
  </si>
  <si>
    <t xml:space="preserve">가축 돌림병과 악성 종기</t>
  </si>
  <si>
    <t xml:space="preserve">애굽 가축은 죽었는데 이스라엘 가축은 멀쩡했다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</si>
  <si>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9:4</t>
    </r>
  </si>
  <si>
    <t xml:space="preserve">하나님은 자기 백성을 지키십니다</t>
  </si>
  <si>
    <t xml:space="preserve">애굽 목장</t>
  </si>
  <si>
    <t xml:space="preserve">A0092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</si>
  <si>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9:13-35</t>
    </r>
  </si>
  <si>
    <t xml:space="preserve">불덩이 섞인 우박</t>
  </si>
  <si>
    <t xml:space="preserve">애굽 역사상 한 번도 없던 우박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</si>
  <si>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9:16</t>
    </r>
  </si>
  <si>
    <t xml:space="preserve">하나님은 온 세상에 이름을 알리십니다</t>
  </si>
  <si>
    <t xml:space="preserve">우박이 쏟아지는 애굽 들판</t>
  </si>
  <si>
    <t xml:space="preserve">A0093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</si>
  <si>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10:1-20</t>
    </r>
  </si>
  <si>
    <t xml:space="preserve">메뚜기 떼</t>
  </si>
  <si>
    <t xml:space="preserve">푸른 것이 하나도 남지 않았다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</si>
  <si>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10:2</t>
    </r>
  </si>
  <si>
    <t xml:space="preserve">하나님의 일을 자녀에게 전하라</t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</si>
  <si>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신하들</t>
    </r>
  </si>
  <si>
    <t xml:space="preserve">메뚜기로 뒤덮인 하늘</t>
  </si>
  <si>
    <t xml:space="preserve">A0094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</si>
  <si>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10:21-29</t>
    </r>
  </si>
  <si>
    <t xml:space="preserve">사흘간의 흑암</t>
  </si>
  <si>
    <t xml:space="preserve">애굽은 캄캄한데 이스라엘에는 빛이 있었다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</si>
  <si>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10:23</t>
    </r>
  </si>
  <si>
    <t xml:space="preserve">하나님의 백성에게는 빛이 있습니다</t>
  </si>
  <si>
    <r>
      <rPr>
        <sz val="10"/>
        <color rgb="FF000000"/>
        <rFont val="WenQuanYi Zen Hei"/>
        <family val="2"/>
      </rPr>
      <t xml:space="preserve">흑암의 애굽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빛나는 고센</t>
    </r>
  </si>
  <si>
    <t xml:space="preserve">A0095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</si>
  <si>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11:1-12:28</t>
    </r>
  </si>
  <si>
    <t xml:space="preserve">문설주의 피</t>
  </si>
  <si>
    <t xml:space="preserve">피를 보면 넘어가리라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</si>
  <si>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12:13</t>
    </r>
  </si>
  <si>
    <t xml:space="preserve">어린양의 피가 우리를 구원합니다</t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</si>
  <si>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이스라엘 가정들</t>
    </r>
  </si>
  <si>
    <r>
      <rPr>
        <sz val="10"/>
        <color rgb="FF000000"/>
        <rFont val="WenQuanYi Zen Hei"/>
        <family val="2"/>
      </rPr>
      <t xml:space="preserve">이스라엘의 집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문설주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유월절 식탁</t>
    </r>
  </si>
  <si>
    <r>
      <rPr>
        <sz val="10"/>
        <color rgb="FFC00000"/>
        <rFont val="WenQuanYi Zen Hei"/>
        <family val="2"/>
      </rPr>
      <t xml:space="preserve">그리스도 연결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고전 </t>
    </r>
    <r>
      <rPr>
        <sz val="10"/>
        <color rgb="FFC00000"/>
        <rFont val="Arial"/>
        <family val="0"/>
        <charset val="1"/>
      </rPr>
      <t xml:space="preserve">5:7). </t>
    </r>
    <r>
      <rPr>
        <sz val="10"/>
        <color rgb="FFC00000"/>
        <rFont val="WenQuanYi Zen Hei"/>
        <family val="2"/>
      </rPr>
      <t xml:space="preserve">하나님의교회 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유월절 지켜야 구원</t>
    </r>
    <r>
      <rPr>
        <sz val="10"/>
        <color rgb="FFC00000"/>
        <rFont val="Arial"/>
        <family val="0"/>
        <charset val="1"/>
      </rPr>
      <t xml:space="preserve">' </t>
    </r>
    <r>
      <rPr>
        <sz val="10"/>
        <color rgb="FFC00000"/>
        <rFont val="WenQuanYi Zen Hei"/>
        <family val="2"/>
      </rPr>
      <t xml:space="preserve">주장 배제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</si>
  <si>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5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출 </t>
    </r>
    <r>
      <rPr>
        <sz val="10"/>
        <color rgb="FF1F3864"/>
        <rFont val="Arial"/>
        <family val="0"/>
        <charset val="1"/>
      </rPr>
      <t xml:space="preserve">8:16-32 </t>
    </r>
    <r>
      <rPr>
        <sz val="10"/>
        <color rgb="FF1F3864"/>
        <rFont val="WenQuanYi Zen Hei"/>
        <family val="2"/>
      </rPr>
      <t xml:space="preserve">이와 파리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출 </t>
    </r>
    <r>
      <rPr>
        <sz val="10"/>
        <color rgb="FF1F3864"/>
        <rFont val="Arial"/>
        <family val="0"/>
        <charset val="1"/>
      </rPr>
      <t xml:space="preserve">9:1-12 </t>
    </r>
    <r>
      <rPr>
        <sz val="10"/>
        <color rgb="FF1F3864"/>
        <rFont val="WenQuanYi Zen Hei"/>
        <family val="2"/>
      </rPr>
      <t xml:space="preserve">가축 돌림병과 악성 종기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출 </t>
    </r>
    <r>
      <rPr>
        <sz val="10"/>
        <color rgb="FF1F3864"/>
        <rFont val="Arial"/>
        <family val="0"/>
        <charset val="1"/>
      </rPr>
      <t xml:space="preserve">9:13-35 </t>
    </r>
    <r>
      <rPr>
        <sz val="10"/>
        <color rgb="FF1F3864"/>
        <rFont val="WenQuanYi Zen Hei"/>
        <family val="2"/>
      </rPr>
      <t xml:space="preserve">불덩이 섞인 우박 외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</si>
  <si>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A0096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</si>
  <si>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12:29-51</t>
    </r>
  </si>
  <si>
    <r>
      <rPr>
        <sz val="10"/>
        <color rgb="FF000000"/>
        <rFont val="Arial"/>
        <family val="0"/>
        <charset val="1"/>
      </rPr>
      <t xml:space="preserve">430</t>
    </r>
    <r>
      <rPr>
        <sz val="10"/>
        <color rgb="FF000000"/>
        <rFont val="WenQuanYi Zen Hei"/>
        <family val="2"/>
      </rPr>
      <t xml:space="preserve">년 만의 해방</t>
    </r>
  </si>
  <si>
    <t xml:space="preserve">한밤중에 애굽 전역에 울음소리가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</si>
  <si>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12:41</t>
    </r>
  </si>
  <si>
    <t xml:space="preserve">하나님은 약속하신 날에 구원하십니다</t>
  </si>
  <si>
    <r>
      <rPr>
        <sz val="10"/>
        <color rgb="FF000000"/>
        <rFont val="WenQuanYi Zen Hei"/>
        <family val="2"/>
      </rPr>
      <t xml:space="preserve">바로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이스라엘 백성</t>
    </r>
  </si>
  <si>
    <r>
      <rPr>
        <sz val="10"/>
        <color rgb="FF000000"/>
        <rFont val="WenQuanYi Zen Hei"/>
        <family val="2"/>
      </rPr>
      <t xml:space="preserve">애굽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출발하는 행렬</t>
    </r>
  </si>
  <si>
    <r>
      <rPr>
        <sz val="10"/>
        <color rgb="FFC00000"/>
        <rFont val="WenQuanYi Zen Hei"/>
        <family val="2"/>
      </rPr>
      <t xml:space="preserve">장자 죽음 직접 묘사 금지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울음소리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그림자로만</t>
    </r>
  </si>
  <si>
    <t xml:space="preserve">A0097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</si>
  <si>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13:1-22</t>
    </r>
  </si>
  <si>
    <t xml:space="preserve">구름 기둥과 불 기둥</t>
  </si>
  <si>
    <r>
      <rPr>
        <sz val="10"/>
        <color rgb="FF000000"/>
        <rFont val="WenQuanYi Zen Hei"/>
        <family val="2"/>
      </rPr>
      <t xml:space="preserve">낮에는 구름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밤에는 불이 길을 안내했다</t>
    </r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</si>
  <si>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13:21</t>
    </r>
  </si>
  <si>
    <t xml:space="preserve">하나님은 길을 인도하십니다</t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</si>
  <si>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</si>
  <si>
    <r>
      <rPr>
        <sz val="10"/>
        <color rgb="FF000000"/>
        <rFont val="WenQuanYi Zen Hei"/>
        <family val="2"/>
      </rPr>
      <t xml:space="preserve">광야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구름 기둥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불 기둥</t>
    </r>
  </si>
  <si>
    <t xml:space="preserve">요셉의 유골 운반 장면 포함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</si>
  <si>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#053 '430</t>
    </r>
    <r>
      <rPr>
        <sz val="10"/>
        <color rgb="FF000000"/>
        <rFont val="WenQuanYi Zen Hei"/>
        <family val="2"/>
      </rPr>
      <t xml:space="preserve">년 만의 해방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</si>
  <si>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A0098</t>
  </si>
  <si>
    <t xml:space="preserve">B012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</si>
  <si>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14:1-14</t>
    </r>
  </si>
  <si>
    <r>
      <rPr>
        <sz val="10"/>
        <color rgb="FF000000"/>
        <rFont val="WenQuanYi Zen Hei"/>
        <family val="2"/>
      </rPr>
      <t xml:space="preserve">앞은 바다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뒤는 군대</t>
    </r>
  </si>
  <si>
    <r>
      <rPr>
        <sz val="10"/>
        <color rgb="FF000000"/>
        <rFont val="WenQuanYi Zen Hei"/>
        <family val="2"/>
      </rPr>
      <t xml:space="preserve">도망칠 곳이 하나도 없다면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</si>
  <si>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14:14</t>
    </r>
  </si>
  <si>
    <t xml:space="preserve">여호와께서 너희를 위하여 싸우시리니</t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</si>
  <si>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바로의 군대</t>
    </r>
  </si>
  <si>
    <t xml:space="preserve">홍해 앞 바닷가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</si>
  <si>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출 </t>
    </r>
    <r>
      <rPr>
        <sz val="10"/>
        <color rgb="FF1F3864"/>
        <rFont val="Arial"/>
        <family val="0"/>
        <charset val="1"/>
      </rPr>
      <t xml:space="preserve">13:1-22 </t>
    </r>
    <r>
      <rPr>
        <sz val="10"/>
        <color rgb="FF1F3864"/>
        <rFont val="WenQuanYi Zen Hei"/>
        <family val="2"/>
      </rPr>
      <t xml:space="preserve">구름 기둥과 불 기둥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</si>
  <si>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A0099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</si>
  <si>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14:15-31</t>
    </r>
  </si>
  <si>
    <t xml:space="preserve">바다가 갈라지다</t>
  </si>
  <si>
    <t xml:space="preserve">바다 한가운데 마른 길이 생겼다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</si>
  <si>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14:21</t>
    </r>
  </si>
  <si>
    <t xml:space="preserve">하나님은 길이 없는 곳에 길을 내십니다</t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</si>
  <si>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애굽 군대</t>
    </r>
  </si>
  <si>
    <r>
      <rPr>
        <sz val="10"/>
        <color rgb="FF000000"/>
        <rFont val="WenQuanYi Zen Hei"/>
        <family val="2"/>
      </rPr>
      <t xml:space="preserve">갈라진 홍해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물벽</t>
    </r>
  </si>
  <si>
    <t xml:space="preserve">애굽 군대 익사 장면 직접 묘사 금지</t>
  </si>
  <si>
    <t xml:space="preserve">A0100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</si>
  <si>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15:1-21</t>
    </r>
  </si>
  <si>
    <t xml:space="preserve">구원의 노래</t>
  </si>
  <si>
    <t xml:space="preserve">바다를 건넌 뒤 모두가 노래했다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</si>
  <si>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15:2</t>
    </r>
  </si>
  <si>
    <t xml:space="preserve">여호와는 나의 힘이요 노래시며 구원이시로다</t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</si>
  <si>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미리암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여인들</t>
    </r>
  </si>
  <si>
    <r>
      <rPr>
        <sz val="10"/>
        <color rgb="FF000000"/>
        <rFont val="WenQuanYi Zen Hei"/>
        <family val="2"/>
      </rPr>
      <t xml:space="preserve">홍해 건너편 해변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소고</t>
    </r>
  </si>
  <si>
    <t xml:space="preserve">A0101</t>
  </si>
  <si>
    <t xml:space="preserve">S2-L06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</si>
  <si>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15:22-27</t>
    </r>
  </si>
  <si>
    <t xml:space="preserve">쓴 물이 단물로</t>
  </si>
  <si>
    <r>
      <rPr>
        <sz val="10"/>
        <color rgb="FF000000"/>
        <rFont val="WenQuanYi Zen Hei"/>
        <family val="2"/>
      </rPr>
      <t xml:space="preserve">사흘 만에 찾은 물이 써서 못 마신다면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</si>
  <si>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15:26</t>
    </r>
  </si>
  <si>
    <t xml:space="preserve">나는 너희를 치료하는 여호와임이라</t>
  </si>
  <si>
    <r>
      <rPr>
        <sz val="10"/>
        <color rgb="FF000000"/>
        <rFont val="WenQuanYi Zen Hei"/>
        <family val="2"/>
      </rPr>
      <t xml:space="preserve">마라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엘림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</si>
  <si>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#056 '</t>
    </r>
    <r>
      <rPr>
        <sz val="10"/>
        <color rgb="FF000000"/>
        <rFont val="WenQuanYi Zen Hei"/>
        <family val="2"/>
      </rPr>
      <t xml:space="preserve">구원의 노래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</si>
  <si>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A0102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</si>
  <si>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16:1-36</t>
    </r>
  </si>
  <si>
    <t xml:space="preserve">하늘에서 내린 빵</t>
  </si>
  <si>
    <t xml:space="preserve">매일 아침 하늘에서 음식이 내렸다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</si>
  <si>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16:4</t>
    </r>
  </si>
  <si>
    <t xml:space="preserve">하나님은 날마다 필요한 것을 주십니다</t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</si>
  <si>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</si>
  <si>
    <r>
      <rPr>
        <sz val="10"/>
        <color rgb="FF000000"/>
        <rFont val="WenQuanYi Zen Hei"/>
        <family val="2"/>
      </rPr>
      <t xml:space="preserve">신 광야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하얀 만나</t>
    </r>
  </si>
  <si>
    <r>
      <rPr>
        <sz val="10"/>
        <color rgb="FFC00000"/>
        <rFont val="WenQuanYi Zen Hei"/>
        <family val="2"/>
      </rPr>
      <t xml:space="preserve">요 </t>
    </r>
    <r>
      <rPr>
        <sz val="10"/>
        <color rgb="FFC00000"/>
        <rFont val="Arial"/>
        <family val="0"/>
        <charset val="1"/>
      </rPr>
      <t xml:space="preserve">6:35 </t>
    </r>
    <r>
      <rPr>
        <sz val="10"/>
        <color rgb="FFC00000"/>
        <rFont val="WenQuanYi Zen Hei"/>
        <family val="2"/>
      </rPr>
      <t xml:space="preserve">생명의 떡과 연결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</si>
  <si>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출 </t>
    </r>
    <r>
      <rPr>
        <sz val="10"/>
        <color rgb="FF1F3864"/>
        <rFont val="Arial"/>
        <family val="0"/>
        <charset val="1"/>
      </rPr>
      <t xml:space="preserve">15:22-27 </t>
    </r>
    <r>
      <rPr>
        <sz val="10"/>
        <color rgb="FF1F3864"/>
        <rFont val="WenQuanYi Zen Hei"/>
        <family val="2"/>
      </rPr>
      <t xml:space="preserve">쓴 물이 단물로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</si>
  <si>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A0103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</si>
  <si>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17:1-7</t>
    </r>
  </si>
  <si>
    <t xml:space="preserve">반석에서 물이</t>
  </si>
  <si>
    <t xml:space="preserve">바위를 쳤더니 물이 터졌다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</si>
  <si>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17:6</t>
    </r>
  </si>
  <si>
    <t xml:space="preserve">하나님은 메마른 곳에서도 생수를 주십니다</t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</si>
  <si>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장로들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</si>
  <si>
    <t xml:space="preserve">르비딤 호렙 반석</t>
  </si>
  <si>
    <r>
      <rPr>
        <sz val="10"/>
        <color rgb="FFC00000"/>
        <rFont val="WenQuanYi Zen Hei"/>
        <family val="2"/>
      </rPr>
      <t xml:space="preserve">고전 </t>
    </r>
    <r>
      <rPr>
        <sz val="10"/>
        <color rgb="FFC00000"/>
        <rFont val="Arial"/>
        <family val="0"/>
        <charset val="1"/>
      </rPr>
      <t xml:space="preserve">10:4 </t>
    </r>
    <r>
      <rPr>
        <sz val="10"/>
        <color rgb="FFC00000"/>
        <rFont val="WenQuanYi Zen Hei"/>
        <family val="2"/>
      </rPr>
      <t xml:space="preserve">반석 </t>
    </r>
    <r>
      <rPr>
        <sz val="10"/>
        <color rgb="FFC00000"/>
        <rFont val="Arial"/>
        <family val="0"/>
        <charset val="1"/>
      </rPr>
      <t xml:space="preserve">= </t>
    </r>
    <r>
      <rPr>
        <sz val="10"/>
        <color rgb="FFC00000"/>
        <rFont val="WenQuanYi Zen Hei"/>
        <family val="2"/>
      </rPr>
      <t xml:space="preserve">그리스도</t>
    </r>
  </si>
  <si>
    <t xml:space="preserve">A0104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</si>
  <si>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17:8-16</t>
    </r>
  </si>
  <si>
    <t xml:space="preserve">모세의 손</t>
  </si>
  <si>
    <r>
      <rPr>
        <sz val="10"/>
        <color rgb="FF000000"/>
        <rFont val="WenQuanYi Zen Hei"/>
        <family val="2"/>
      </rPr>
      <t xml:space="preserve">손이 내려가면 지고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올라가면 이긴다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</si>
  <si>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17:11</t>
    </r>
  </si>
  <si>
    <r>
      <rPr>
        <sz val="10"/>
        <color rgb="FF000000"/>
        <rFont val="WenQuanYi Zen Hei"/>
        <family val="2"/>
      </rPr>
      <t xml:space="preserve">싸움은 기도로 이깁니다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여호와 닛시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</si>
  <si>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여호수아</t>
    </r>
  </si>
  <si>
    <t xml:space="preserve">르비딤 언덕과 전쟁터</t>
  </si>
  <si>
    <t xml:space="preserve">전투 장면 유혈 묘사 금지</t>
  </si>
  <si>
    <t xml:space="preserve">A0105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</si>
  <si>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18:1-27</t>
    </r>
  </si>
  <si>
    <t xml:space="preserve">혼자 다 하려다 지친 리더</t>
  </si>
  <si>
    <t xml:space="preserve">장인이 사위에게 해 준 조언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</si>
  <si>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18:18</t>
    </r>
  </si>
  <si>
    <t xml:space="preserve">하나님의 일은 함께 나누어 감당합니다</t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</si>
  <si>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이드로</t>
    </r>
  </si>
  <si>
    <t xml:space="preserve">광야 진영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</si>
  <si>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#059 '</t>
    </r>
    <r>
      <rPr>
        <sz val="10"/>
        <color rgb="FF000000"/>
        <rFont val="WenQuanYi Zen Hei"/>
        <family val="2"/>
      </rPr>
      <t xml:space="preserve">모세의 손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</si>
  <si>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A0106</t>
  </si>
  <si>
    <t xml:space="preserve">B013</t>
  </si>
  <si>
    <t xml:space="preserve">S1-L07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</si>
  <si>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19:1-25</t>
    </r>
  </si>
  <si>
    <t xml:space="preserve">불타는 시내산</t>
  </si>
  <si>
    <t xml:space="preserve">산 전체가 연기로 뒤덮이고 떨렸다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</si>
  <si>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19:5</t>
    </r>
  </si>
  <si>
    <t xml:space="preserve">하나님은 자기 백성을 소유로 삼으십니다</t>
  </si>
  <si>
    <r>
      <rPr>
        <sz val="10"/>
        <color rgb="FF000000"/>
        <rFont val="WenQuanYi Zen Hei"/>
        <family val="2"/>
      </rPr>
      <t xml:space="preserve">시내산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우레와 번개</t>
    </r>
  </si>
  <si>
    <r>
      <rPr>
        <sz val="10"/>
        <color rgb="FFC00000"/>
        <rFont val="WenQuanYi Zen Hei"/>
        <family val="2"/>
      </rPr>
      <t xml:space="preserve">하나님은 연기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불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나팔 소리로만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</si>
  <si>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출 </t>
    </r>
    <r>
      <rPr>
        <sz val="10"/>
        <color rgb="FF1F3864"/>
        <rFont val="Arial"/>
        <family val="0"/>
        <charset val="1"/>
      </rPr>
      <t xml:space="preserve">18:1-27 </t>
    </r>
    <r>
      <rPr>
        <sz val="10"/>
        <color rgb="FF1F3864"/>
        <rFont val="WenQuanYi Zen Hei"/>
        <family val="2"/>
      </rPr>
      <t xml:space="preserve">혼자 다 하려다 지친 리더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</si>
  <si>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A0107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</si>
  <si>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20:1-11</t>
    </r>
  </si>
  <si>
    <t xml:space="preserve">십계명 ① 하나님 사랑</t>
  </si>
  <si>
    <r>
      <rPr>
        <sz val="10"/>
        <color rgb="FF000000"/>
        <rFont val="WenQuanYi Zen Hei"/>
        <family val="2"/>
      </rPr>
      <t xml:space="preserve">첫 번째 계명은 무엇일까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</si>
  <si>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20:3</t>
    </r>
  </si>
  <si>
    <t xml:space="preserve">구원하신 하나님만 섬기라</t>
  </si>
  <si>
    <t xml:space="preserve">시내산</t>
  </si>
  <si>
    <r>
      <rPr>
        <sz val="10"/>
        <color rgb="FFC00000"/>
        <rFont val="Arial"/>
        <family val="0"/>
        <charset val="1"/>
      </rPr>
      <t xml:space="preserve">20:2 '</t>
    </r>
    <r>
      <rPr>
        <sz val="10"/>
        <color rgb="FFC00000"/>
        <rFont val="WenQuanYi Zen Hei"/>
        <family val="2"/>
      </rPr>
      <t xml:space="preserve">구원</t>
    </r>
    <r>
      <rPr>
        <sz val="10"/>
        <color rgb="FFC00000"/>
        <rFont val="Arial"/>
        <family val="0"/>
        <charset val="1"/>
      </rPr>
      <t xml:space="preserve">' </t>
    </r>
    <r>
      <rPr>
        <sz val="10"/>
        <color rgb="FFC00000"/>
        <rFont val="WenQuanYi Zen Hei"/>
        <family val="2"/>
      </rPr>
      <t xml:space="preserve">먼저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율법은 구원 조건이 아님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안식교 토요 안식 의무 주장 배제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주일 성수는 웨신 </t>
    </r>
    <r>
      <rPr>
        <sz val="10"/>
        <color rgb="FFC00000"/>
        <rFont val="Arial"/>
        <family val="0"/>
        <charset val="1"/>
      </rPr>
      <t xml:space="preserve">21</t>
    </r>
    <r>
      <rPr>
        <sz val="10"/>
        <color rgb="FFC00000"/>
        <rFont val="WenQuanYi Zen Hei"/>
        <family val="2"/>
      </rPr>
      <t xml:space="preserve">장</t>
    </r>
    <r>
      <rPr>
        <sz val="10"/>
        <color rgb="FFC00000"/>
        <rFont val="Arial"/>
        <family val="0"/>
        <charset val="1"/>
      </rPr>
      <t xml:space="preserve">)</t>
    </r>
  </si>
  <si>
    <t xml:space="preserve">A0108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</si>
  <si>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20:12-17</t>
    </r>
  </si>
  <si>
    <t xml:space="preserve">십계명 ② 이웃 사랑</t>
  </si>
  <si>
    <r>
      <rPr>
        <sz val="10"/>
        <color rgb="FF000000"/>
        <rFont val="WenQuanYi Zen Hei"/>
        <family val="2"/>
      </rPr>
      <t xml:space="preserve">부모 공경이 왜 다섯 번째일까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</si>
  <si>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20:12</t>
    </r>
  </si>
  <si>
    <t xml:space="preserve">하나님을 사랑하는 사람은 이웃을 사랑합니다</t>
  </si>
  <si>
    <t xml:space="preserve">시내산 아래</t>
  </si>
  <si>
    <t xml:space="preserve">A0109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</si>
  <si>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20:18-23:33</t>
    </r>
  </si>
  <si>
    <t xml:space="preserve">주제</t>
  </si>
  <si>
    <t xml:space="preserve">약자를 지키는 법</t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</si>
  <si>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천 년 전 율법이 나그네를 보호했다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</si>
  <si>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23:9</t>
    </r>
  </si>
  <si>
    <t xml:space="preserve">하나님의 법은 약한 사람을 보호합니다</t>
  </si>
  <si>
    <t xml:space="preserve">시내산 진영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</si>
  <si>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#062 '</t>
    </r>
    <r>
      <rPr>
        <sz val="10"/>
        <color rgb="FF000000"/>
        <rFont val="WenQuanYi Zen Hei"/>
        <family val="2"/>
      </rPr>
      <t xml:space="preserve">십계명 ② 이웃 사랑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</si>
  <si>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A0110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</si>
  <si>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24:1-18</t>
    </r>
  </si>
  <si>
    <t xml:space="preserve">피로 맺은 약속</t>
  </si>
  <si>
    <t xml:space="preserve">피를 백성에게 뿌린 이유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</si>
  <si>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24:8</t>
    </r>
  </si>
  <si>
    <t xml:space="preserve">언약은 피로 맺어집니다</t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</si>
  <si>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아론</t>
    </r>
    <r>
      <rPr>
        <sz val="10"/>
        <color rgb="FF000000"/>
        <rFont val="Arial"/>
        <family val="0"/>
        <charset val="1"/>
      </rPr>
      <t xml:space="preserve">·70</t>
    </r>
    <r>
      <rPr>
        <sz val="10"/>
        <color rgb="FF000000"/>
        <rFont val="WenQuanYi Zen Hei"/>
        <family val="2"/>
      </rPr>
      <t xml:space="preserve">장로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</si>
  <si>
    <t xml:space="preserve">시내산 제단</t>
  </si>
  <si>
    <r>
      <rPr>
        <sz val="10"/>
        <color rgb="FFC00000"/>
        <rFont val="WenQuanYi Zen Hei"/>
        <family val="2"/>
      </rPr>
      <t xml:space="preserve">히 </t>
    </r>
    <r>
      <rPr>
        <sz val="10"/>
        <color rgb="FFC00000"/>
        <rFont val="Arial"/>
        <family val="0"/>
        <charset val="1"/>
      </rPr>
      <t xml:space="preserve">9:20, </t>
    </r>
    <r>
      <rPr>
        <sz val="10"/>
        <color rgb="FFC00000"/>
        <rFont val="WenQuanYi Zen Hei"/>
        <family val="2"/>
      </rPr>
      <t xml:space="preserve">마 </t>
    </r>
    <r>
      <rPr>
        <sz val="10"/>
        <color rgb="FFC00000"/>
        <rFont val="Arial"/>
        <family val="0"/>
        <charset val="1"/>
      </rPr>
      <t xml:space="preserve">26:28</t>
    </r>
    <r>
      <rPr>
        <sz val="10"/>
        <color rgb="FFC00000"/>
        <rFont val="WenQuanYi Zen Hei"/>
        <family val="2"/>
      </rPr>
      <t xml:space="preserve">과 연결</t>
    </r>
  </si>
  <si>
    <t xml:space="preserve">A0111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</si>
  <si>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25:1-27:21</t>
    </r>
  </si>
  <si>
    <t xml:space="preserve">하나님이 함께 사시는 텐트</t>
  </si>
  <si>
    <r>
      <rPr>
        <sz val="10"/>
        <color rgb="FF000000"/>
        <rFont val="WenQuanYi Zen Hei"/>
        <family val="2"/>
      </rPr>
      <t xml:space="preserve">하나님이 왜 텐트를 지으라고 하셨을까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</si>
  <si>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25:8</t>
    </r>
  </si>
  <si>
    <t xml:space="preserve">하나님은 백성 가운데 거하기 원하십니다</t>
  </si>
  <si>
    <t xml:space="preserve">모세</t>
  </si>
  <si>
    <r>
      <rPr>
        <sz val="10"/>
        <color rgb="FF000000"/>
        <rFont val="WenQuanYi Zen Hei"/>
        <family val="2"/>
      </rPr>
      <t xml:space="preserve">성막 설계도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언약궤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등잔대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떡상</t>
    </r>
  </si>
  <si>
    <r>
      <rPr>
        <sz val="10"/>
        <color rgb="FFC00000"/>
        <rFont val="WenQuanYi Zen Hei"/>
        <family val="2"/>
      </rPr>
      <t xml:space="preserve">요 </t>
    </r>
    <r>
      <rPr>
        <sz val="10"/>
        <color rgb="FFC00000"/>
        <rFont val="Arial"/>
        <family val="0"/>
        <charset val="1"/>
      </rPr>
      <t xml:space="preserve">1:14(</t>
    </r>
    <r>
      <rPr>
        <sz val="10"/>
        <color rgb="FFC00000"/>
        <rFont val="WenQuanYi Zen Hei"/>
        <family val="2"/>
      </rPr>
      <t xml:space="preserve">말씀이 육신이 되어 거하시매</t>
    </r>
    <r>
      <rPr>
        <sz val="10"/>
        <color rgb="FFC00000"/>
        <rFont val="Arial"/>
        <family val="0"/>
        <charset val="1"/>
      </rPr>
      <t xml:space="preserve">)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</si>
  <si>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출 </t>
    </r>
    <r>
      <rPr>
        <sz val="10"/>
        <color rgb="FF1F3864"/>
        <rFont val="Arial"/>
        <family val="0"/>
        <charset val="1"/>
      </rPr>
      <t xml:space="preserve">20:18-23:33 </t>
    </r>
    <r>
      <rPr>
        <sz val="10"/>
        <color rgb="FF1F3864"/>
        <rFont val="WenQuanYi Zen Hei"/>
        <family val="2"/>
      </rPr>
      <t xml:space="preserve">약자를 지키는 법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출 </t>
    </r>
    <r>
      <rPr>
        <sz val="10"/>
        <color rgb="FF1F3864"/>
        <rFont val="Arial"/>
        <family val="0"/>
        <charset val="1"/>
      </rPr>
      <t xml:space="preserve">24:1-18 </t>
    </r>
    <r>
      <rPr>
        <sz val="10"/>
        <color rgb="FF1F3864"/>
        <rFont val="WenQuanYi Zen Hei"/>
        <family val="2"/>
      </rPr>
      <t xml:space="preserve">피로 맺은 약속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</si>
  <si>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A0112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</si>
  <si>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28:1-29:46</t>
    </r>
  </si>
  <si>
    <t xml:space="preserve">대제사장의 옷</t>
  </si>
  <si>
    <t xml:space="preserve">가슴에 열두 지파 이름을 품은 사람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</si>
  <si>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28:29</t>
    </r>
  </si>
  <si>
    <t xml:space="preserve">중보자는 백성을 마음에 품고 하나님 앞에 섭니다</t>
  </si>
  <si>
    <r>
      <rPr>
        <sz val="10"/>
        <color rgb="FF000000"/>
        <rFont val="WenQuanYi Zen Hei"/>
        <family val="2"/>
      </rPr>
      <t xml:space="preserve">아론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제사장들</t>
    </r>
  </si>
  <si>
    <r>
      <rPr>
        <sz val="10"/>
        <color rgb="FF000000"/>
        <rFont val="WenQuanYi Zen Hei"/>
        <family val="2"/>
      </rPr>
      <t xml:space="preserve">성막 앞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대제사장 옷</t>
    </r>
  </si>
  <si>
    <r>
      <rPr>
        <sz val="10"/>
        <color rgb="FFC00000"/>
        <rFont val="WenQuanYi Zen Hei"/>
        <family val="2"/>
      </rPr>
      <t xml:space="preserve">히 </t>
    </r>
    <r>
      <rPr>
        <sz val="10"/>
        <color rgb="FFC00000"/>
        <rFont val="Arial"/>
        <family val="0"/>
        <charset val="1"/>
      </rPr>
      <t xml:space="preserve">4:14 </t>
    </r>
    <r>
      <rPr>
        <sz val="10"/>
        <color rgb="FFC00000"/>
        <rFont val="WenQuanYi Zen Hei"/>
        <family val="2"/>
      </rPr>
      <t xml:space="preserve">큰 대제사장 그리스도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</si>
  <si>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#063 '</t>
    </r>
    <r>
      <rPr>
        <sz val="10"/>
        <color rgb="FF000000"/>
        <rFont val="WenQuanYi Zen Hei"/>
        <family val="2"/>
      </rPr>
      <t xml:space="preserve">하나님이 함께 사시는 텐트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</si>
  <si>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A0113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</si>
  <si>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30:1-31:18</t>
    </r>
  </si>
  <si>
    <t xml:space="preserve">하나님이 부르신 기술자</t>
  </si>
  <si>
    <r>
      <rPr>
        <sz val="10"/>
        <color rgb="FF000000"/>
        <rFont val="WenQuanYi Zen Hei"/>
        <family val="2"/>
      </rPr>
      <t xml:space="preserve">하나님이 예술가를 부르셨다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</si>
  <si>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31:3</t>
    </r>
  </si>
  <si>
    <t xml:space="preserve">모든 재능은 하나님의 일을 위한 선물입니다</t>
  </si>
  <si>
    <r>
      <rPr>
        <sz val="10"/>
        <color rgb="FF000000"/>
        <rFont val="WenQuanYi Zen Hei"/>
        <family val="2"/>
      </rPr>
      <t xml:space="preserve">브살렐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오홀리압</t>
    </r>
  </si>
  <si>
    <t xml:space="preserve">성막 공방</t>
  </si>
  <si>
    <t xml:space="preserve">안식일 규례는 그리스도 안에서의 안식으로 설명</t>
  </si>
  <si>
    <t xml:space="preserve">A0114</t>
  </si>
  <si>
    <t xml:space="preserve">B014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</si>
  <si>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32:1-14</t>
    </r>
  </si>
  <si>
    <t xml:space="preserve">금송아지</t>
  </si>
  <si>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일을 못 기다리고 신을 만들었다</t>
    </r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</si>
  <si>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32:4</t>
    </r>
  </si>
  <si>
    <t xml:space="preserve">기다리지 못하는 마음이 우상을 만듭니다</t>
  </si>
  <si>
    <r>
      <rPr>
        <sz val="10"/>
        <color rgb="FF000000"/>
        <rFont val="WenQuanYi Zen Hei"/>
        <family val="2"/>
      </rPr>
      <t xml:space="preserve">아론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모세</t>
    </r>
  </si>
  <si>
    <r>
      <rPr>
        <sz val="10"/>
        <color rgb="FF000000"/>
        <rFont val="WenQuanYi Zen Hei"/>
        <family val="2"/>
      </rPr>
      <t xml:space="preserve">시내산 아래 진영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금송아지</t>
    </r>
  </si>
  <si>
    <r>
      <rPr>
        <sz val="10"/>
        <color rgb="FFC00000"/>
        <rFont val="WenQuanYi Zen Hei"/>
        <family val="2"/>
      </rPr>
      <t xml:space="preserve">하나님이 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뜻을 돌이키심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은 인간적 표현임을 설명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</si>
  <si>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출 </t>
    </r>
    <r>
      <rPr>
        <sz val="10"/>
        <color rgb="FF1F3864"/>
        <rFont val="Arial"/>
        <family val="0"/>
        <charset val="1"/>
      </rPr>
      <t xml:space="preserve">28:1-29:46 </t>
    </r>
    <r>
      <rPr>
        <sz val="10"/>
        <color rgb="FF1F3864"/>
        <rFont val="WenQuanYi Zen Hei"/>
        <family val="2"/>
      </rPr>
      <t xml:space="preserve">대제사장의 옷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출 </t>
    </r>
    <r>
      <rPr>
        <sz val="10"/>
        <color rgb="FF1F3864"/>
        <rFont val="Arial"/>
        <family val="0"/>
        <charset val="1"/>
      </rPr>
      <t xml:space="preserve">30:1-31:18 </t>
    </r>
    <r>
      <rPr>
        <sz val="10"/>
        <color rgb="FF1F3864"/>
        <rFont val="WenQuanYi Zen Hei"/>
        <family val="2"/>
      </rPr>
      <t xml:space="preserve">하나님이 부르신 기술자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</si>
  <si>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A0115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</si>
  <si>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32:15-35</t>
    </r>
  </si>
  <si>
    <t xml:space="preserve">깨어진 돌판</t>
  </si>
  <si>
    <t xml:space="preserve">모세가 하나님이 쓰신 돌판을 깨뜨렸다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</si>
  <si>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32:26</t>
    </r>
  </si>
  <si>
    <t xml:space="preserve">누구든지 여호와의 편에 있는 자는 나아오라</t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</si>
  <si>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여호수아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레위인</t>
    </r>
  </si>
  <si>
    <t xml:space="preserve">진영</t>
  </si>
  <si>
    <t xml:space="preserve">처벌 장면 직접 묘사 금지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</si>
  <si>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#064 '</t>
    </r>
    <r>
      <rPr>
        <sz val="10"/>
        <color rgb="FF000000"/>
        <rFont val="WenQuanYi Zen Hei"/>
        <family val="2"/>
      </rPr>
      <t xml:space="preserve">금송아지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</si>
  <si>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A0116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</si>
  <si>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33:1-23</t>
    </r>
  </si>
  <si>
    <t xml:space="preserve">주의 영광을 보여 주소서</t>
  </si>
  <si>
    <r>
      <rPr>
        <sz val="10"/>
        <color rgb="FF000000"/>
        <rFont val="WenQuanYi Zen Hei"/>
        <family val="2"/>
      </rPr>
      <t xml:space="preserve">하나님 얼굴을 보면 죽는다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</si>
  <si>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33:14</t>
    </r>
  </si>
  <si>
    <t xml:space="preserve">하나님의 임재가 가장 큰 복입니다</t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</si>
  <si>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하나님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빛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</si>
  <si>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회막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반석 틈</t>
    </r>
  </si>
  <si>
    <r>
      <rPr>
        <sz val="10"/>
        <color rgb="FFC00000"/>
        <rFont val="WenQuanYi Zen Hei"/>
        <family val="2"/>
      </rPr>
      <t xml:space="preserve">하나님의 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등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은 빛으로만 표현</t>
    </r>
  </si>
  <si>
    <t xml:space="preserve">A0117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</si>
  <si>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34:1-35</t>
    </r>
  </si>
  <si>
    <t xml:space="preserve">빛나는 얼굴</t>
  </si>
  <si>
    <t xml:space="preserve">모세의 얼굴이 빛나서 가렸다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</si>
  <si>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34:6</t>
    </r>
  </si>
  <si>
    <t xml:space="preserve">하나님은 자비롭고 은혜로우신 분입니다</t>
  </si>
  <si>
    <r>
      <rPr>
        <sz val="10"/>
        <color rgb="FF000000"/>
        <rFont val="WenQuanYi Zen Hei"/>
        <family val="2"/>
      </rPr>
      <t xml:space="preserve">시내산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수건 쓴 모세</t>
    </r>
  </si>
  <si>
    <t xml:space="preserve">A0118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</si>
  <si>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35:1-36:7</t>
    </r>
  </si>
  <si>
    <r>
      <rPr>
        <sz val="10"/>
        <color rgb="FF000000"/>
        <rFont val="WenQuanYi Zen Hei"/>
        <family val="2"/>
      </rPr>
      <t xml:space="preserve">그만 가져오세요</t>
    </r>
    <r>
      <rPr>
        <sz val="10"/>
        <color rgb="FF000000"/>
        <rFont val="Arial"/>
        <family val="0"/>
        <charset val="1"/>
      </rPr>
      <t xml:space="preserve">!</t>
    </r>
  </si>
  <si>
    <t xml:space="preserve">헌물이 너무 많아서 그만 내라고 했다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</si>
  <si>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36:5</t>
    </r>
  </si>
  <si>
    <t xml:space="preserve">자원하는 마음이 하나님의 일을 이룹니다</t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</si>
  <si>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브살렐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</si>
  <si>
    <t xml:space="preserve">헌금 강요 메시지 금지</t>
  </si>
  <si>
    <t xml:space="preserve">A0119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</si>
  <si>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36:8-39:43</t>
    </r>
  </si>
  <si>
    <t xml:space="preserve">성막을 만들다</t>
  </si>
  <si>
    <t xml:space="preserve">하나님이 보여 주신 그대로 만들었다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</si>
  <si>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39:43</t>
    </r>
  </si>
  <si>
    <t xml:space="preserve">말씀대로 순종할 때 하나님이 기뻐하십니다</t>
  </si>
  <si>
    <r>
      <rPr>
        <sz val="10"/>
        <color rgb="FF000000"/>
        <rFont val="WenQuanYi Zen Hei"/>
        <family val="2"/>
      </rPr>
      <t xml:space="preserve">브살렐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장인들</t>
    </r>
  </si>
  <si>
    <t xml:space="preserve">성막 제작 현장</t>
  </si>
  <si>
    <t xml:space="preserve">A0120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</si>
  <si>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40:1-38</t>
    </r>
  </si>
  <si>
    <t xml:space="preserve">영광이 성막에 가득하다</t>
  </si>
  <si>
    <t xml:space="preserve">모세도 들어갈 수 없을 만큼 가득한 영광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</si>
  <si>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40:34</t>
    </r>
  </si>
  <si>
    <t xml:space="preserve">하나님은 자기 백성 가운데 계십니다</t>
  </si>
  <si>
    <r>
      <rPr>
        <sz val="10"/>
        <color rgb="FF000000"/>
        <rFont val="WenQuanYi Zen Hei"/>
        <family val="2"/>
      </rPr>
      <t xml:space="preserve">완성된 성막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구름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</si>
  <si>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5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출 </t>
    </r>
    <r>
      <rPr>
        <sz val="10"/>
        <color rgb="FF1F3864"/>
        <rFont val="Arial"/>
        <family val="0"/>
        <charset val="1"/>
      </rPr>
      <t xml:space="preserve">32:15-35 </t>
    </r>
    <r>
      <rPr>
        <sz val="10"/>
        <color rgb="FF1F3864"/>
        <rFont val="WenQuanYi Zen Hei"/>
        <family val="2"/>
      </rPr>
      <t xml:space="preserve">깨어진 돌판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출 </t>
    </r>
    <r>
      <rPr>
        <sz val="10"/>
        <color rgb="FF1F3864"/>
        <rFont val="Arial"/>
        <family val="0"/>
        <charset val="1"/>
      </rPr>
      <t xml:space="preserve">33:1-23 </t>
    </r>
    <r>
      <rPr>
        <sz val="10"/>
        <color rgb="FF1F3864"/>
        <rFont val="WenQuanYi Zen Hei"/>
        <family val="2"/>
      </rPr>
      <t xml:space="preserve">주의 영광을 보여 주소서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출 </t>
    </r>
    <r>
      <rPr>
        <sz val="10"/>
        <color rgb="FF1F3864"/>
        <rFont val="Arial"/>
        <family val="0"/>
        <charset val="1"/>
      </rPr>
      <t xml:space="preserve">34:1-35 </t>
    </r>
    <r>
      <rPr>
        <sz val="10"/>
        <color rgb="FF1F3864"/>
        <rFont val="WenQuanYi Zen Hei"/>
        <family val="2"/>
      </rPr>
      <t xml:space="preserve">빛나는 얼굴 외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</si>
  <si>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A0121</t>
  </si>
  <si>
    <t xml:space="preserve">B015</t>
  </si>
  <si>
    <t xml:space="preserve">S2-L07</t>
  </si>
  <si>
    <t xml:space="preserve">레위기</t>
  </si>
  <si>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1:1-3:17</t>
    </r>
  </si>
  <si>
    <r>
      <rPr>
        <sz val="10"/>
        <color rgb="FF000000"/>
        <rFont val="WenQuanYi Zen Hei"/>
        <family val="2"/>
      </rPr>
      <t xml:space="preserve">왜 동물을 바쳤을까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</si>
  <si>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천 년 전 사람들은 왜 동물을 제물로 드렸을까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</si>
  <si>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1:4</t>
    </r>
  </si>
  <si>
    <t xml:space="preserve">죄인은 대신 죽는 제물을 통해 하나님께 나아갑니다</t>
  </si>
  <si>
    <r>
      <rPr>
        <sz val="10"/>
        <color rgb="FF000000"/>
        <rFont val="WenQuanYi Zen Hei"/>
        <family val="2"/>
      </rPr>
      <t xml:space="preserve">제사장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예배자</t>
    </r>
  </si>
  <si>
    <r>
      <rPr>
        <sz val="10"/>
        <color rgb="FF000000"/>
        <rFont val="WenQuanYi Zen Hei"/>
        <family val="2"/>
      </rPr>
      <t xml:space="preserve">성막 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번제단</t>
    </r>
  </si>
  <si>
    <t xml:space="preserve">제사 도살 장면 직접 묘사 금지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</si>
  <si>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#065 '</t>
    </r>
    <r>
      <rPr>
        <sz val="10"/>
        <color rgb="FF000000"/>
        <rFont val="WenQuanYi Zen Hei"/>
        <family val="2"/>
      </rPr>
      <t xml:space="preserve">영광이 성막에 가득하다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</si>
  <si>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A0122</t>
  </si>
  <si>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4:1-7:38</t>
    </r>
  </si>
  <si>
    <r>
      <rPr>
        <sz val="10"/>
        <color rgb="FF000000"/>
        <rFont val="WenQuanYi Zen Hei"/>
        <family val="2"/>
      </rPr>
      <t xml:space="preserve">모르고 지은 죄도 죄일까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</si>
  <si>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실수로 지은 죄도 용서가 필요할까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</si>
  <si>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4:20</t>
    </r>
  </si>
  <si>
    <t xml:space="preserve">모든 죄는 속죄가 필요합니다</t>
  </si>
  <si>
    <r>
      <rPr>
        <sz val="10"/>
        <color rgb="FF000000"/>
        <rFont val="WenQuanYi Zen Hei"/>
        <family val="2"/>
      </rPr>
      <t xml:space="preserve">제사장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</si>
  <si>
    <t xml:space="preserve">성막 뜰</t>
  </si>
  <si>
    <t xml:space="preserve">A0123</t>
  </si>
  <si>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8:1-10:7</t>
    </r>
  </si>
  <si>
    <t xml:space="preserve">다른 불</t>
  </si>
  <si>
    <t xml:space="preserve">제사장 첫 주에 두 아들이 죽었다</t>
  </si>
  <si>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10:3</t>
    </r>
  </si>
  <si>
    <t xml:space="preserve">하나님은 거룩하게 섬김받기를 원하십니다</t>
  </si>
  <si>
    <r>
      <rPr>
        <sz val="10"/>
        <color rgb="FF000000"/>
        <rFont val="WenQuanYi Zen Hei"/>
        <family val="2"/>
      </rPr>
      <t xml:space="preserve">아론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나답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아비후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모세</t>
    </r>
  </si>
  <si>
    <r>
      <rPr>
        <sz val="10"/>
        <color rgb="FF000000"/>
        <rFont val="WenQuanYi Zen Hei"/>
        <family val="2"/>
      </rPr>
      <t xml:space="preserve">성막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불</t>
    </r>
  </si>
  <si>
    <r>
      <rPr>
        <sz val="10"/>
        <color rgb="FFC00000"/>
        <rFont val="WenQuanYi Zen Hei"/>
        <family val="2"/>
      </rPr>
      <t xml:space="preserve">죽음 장면 직접 묘사 금지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불빛으로 암시</t>
    </r>
  </si>
  <si>
    <t xml:space="preserve">A0124</t>
  </si>
  <si>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11:1-15:33</t>
    </r>
  </si>
  <si>
    <r>
      <rPr>
        <sz val="10"/>
        <color rgb="FF000000"/>
        <rFont val="WenQuanYi Zen Hei"/>
        <family val="2"/>
      </rPr>
      <t xml:space="preserve">먹어도 되는 것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안 되는 것</t>
    </r>
  </si>
  <si>
    <r>
      <rPr>
        <sz val="10"/>
        <color rgb="FF000000"/>
        <rFont val="WenQuanYi Zen Hei"/>
        <family val="2"/>
      </rPr>
      <t xml:space="preserve">돼지고기는 왜 먹지 말라고 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</si>
  <si>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11:45</t>
    </r>
  </si>
  <si>
    <t xml:space="preserve">하나님의 백성은 구별된 삶을 삽니다</t>
  </si>
  <si>
    <r>
      <rPr>
        <sz val="10"/>
        <color rgb="FFC00000"/>
        <rFont val="WenQuanYi Zen Hei"/>
        <family val="2"/>
      </rPr>
      <t xml:space="preserve">음식법은 그리스도 안에서 성취됨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막 </t>
    </r>
    <r>
      <rPr>
        <sz val="10"/>
        <color rgb="FFC00000"/>
        <rFont val="Arial"/>
        <family val="0"/>
        <charset val="1"/>
      </rPr>
      <t xml:space="preserve">7:19, </t>
    </r>
    <r>
      <rPr>
        <sz val="10"/>
        <color rgb="FFC00000"/>
        <rFont val="WenQuanYi Zen Hei"/>
        <family val="2"/>
      </rPr>
      <t xml:space="preserve">행 </t>
    </r>
    <r>
      <rPr>
        <sz val="10"/>
        <color rgb="FFC00000"/>
        <rFont val="Arial"/>
        <family val="0"/>
        <charset val="1"/>
      </rPr>
      <t xml:space="preserve">10). </t>
    </r>
    <r>
      <rPr>
        <sz val="10"/>
        <color rgb="FFC00000"/>
        <rFont val="WenQuanYi Zen Hei"/>
        <family val="2"/>
      </rPr>
      <t xml:space="preserve">문자적 준수 강요 금지</t>
    </r>
  </si>
  <si>
    <t xml:space="preserve">A0125</t>
  </si>
  <si>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16:1-34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</si>
  <si>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년에 단 하루</t>
    </r>
  </si>
  <si>
    <r>
      <rPr>
        <sz val="10"/>
        <color rgb="FF000000"/>
        <rFont val="WenQuanYi Zen Hei"/>
        <family val="2"/>
      </rPr>
      <t xml:space="preserve">대제사장이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년에 한 번만 들어간 방</t>
    </r>
  </si>
  <si>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16:30</t>
    </r>
  </si>
  <si>
    <t xml:space="preserve">속죄의 피로 죄가 덮입니다</t>
  </si>
  <si>
    <r>
      <rPr>
        <sz val="10"/>
        <color rgb="FF000000"/>
        <rFont val="WenQuanYi Zen Hei"/>
        <family val="2"/>
      </rPr>
      <t xml:space="preserve">아론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두 염소</t>
    </r>
  </si>
  <si>
    <r>
      <rPr>
        <sz val="10"/>
        <color rgb="FF000000"/>
        <rFont val="WenQuanYi Zen Hei"/>
        <family val="2"/>
      </rPr>
      <t xml:space="preserve">지성소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속죄소</t>
    </r>
  </si>
  <si>
    <r>
      <rPr>
        <sz val="10"/>
        <color rgb="FFC00000"/>
        <rFont val="WenQuanYi Zen Hei"/>
        <family val="2"/>
      </rPr>
      <t xml:space="preserve">히 </t>
    </r>
    <r>
      <rPr>
        <sz val="10"/>
        <color rgb="FFC00000"/>
        <rFont val="Arial"/>
        <family val="0"/>
        <charset val="1"/>
      </rPr>
      <t xml:space="preserve">9:12</t>
    </r>
    <r>
      <rPr>
        <sz val="10"/>
        <color rgb="FFC00000"/>
        <rFont val="WenQuanYi Zen Hei"/>
        <family val="2"/>
      </rPr>
      <t xml:space="preserve">와 연결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아사셀 염소 </t>
    </r>
    <r>
      <rPr>
        <sz val="10"/>
        <color rgb="FFC00000"/>
        <rFont val="Arial"/>
        <family val="0"/>
        <charset val="1"/>
      </rPr>
      <t xml:space="preserve">= </t>
    </r>
    <r>
      <rPr>
        <sz val="10"/>
        <color rgb="FFC00000"/>
        <rFont val="WenQuanYi Zen Hei"/>
        <family val="2"/>
      </rPr>
      <t xml:space="preserve">죄를 지고 가심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</si>
  <si>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4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레 </t>
    </r>
    <r>
      <rPr>
        <sz val="10"/>
        <color rgb="FF1F3864"/>
        <rFont val="Arial"/>
        <family val="0"/>
        <charset val="1"/>
      </rPr>
      <t xml:space="preserve">1:1-3:17 </t>
    </r>
    <r>
      <rPr>
        <sz val="10"/>
        <color rgb="FF1F3864"/>
        <rFont val="WenQuanYi Zen Hei"/>
        <family val="2"/>
      </rPr>
      <t xml:space="preserve">왜 동물을 바쳤을까</t>
    </r>
    <r>
      <rPr>
        <sz val="10"/>
        <color rgb="FF1F3864"/>
        <rFont val="Arial"/>
        <family val="0"/>
        <charset val="1"/>
      </rPr>
      <t xml:space="preserve">?, </t>
    </r>
    <r>
      <rPr>
        <sz val="10"/>
        <color rgb="FF1F3864"/>
        <rFont val="WenQuanYi Zen Hei"/>
        <family val="2"/>
      </rPr>
      <t xml:space="preserve">레 </t>
    </r>
    <r>
      <rPr>
        <sz val="10"/>
        <color rgb="FF1F3864"/>
        <rFont val="Arial"/>
        <family val="0"/>
        <charset val="1"/>
      </rPr>
      <t xml:space="preserve">4:1-7:38 </t>
    </r>
    <r>
      <rPr>
        <sz val="10"/>
        <color rgb="FF1F3864"/>
        <rFont val="WenQuanYi Zen Hei"/>
        <family val="2"/>
      </rPr>
      <t xml:space="preserve">모르고 지은 죄도 죄일까</t>
    </r>
    <r>
      <rPr>
        <sz val="10"/>
        <color rgb="FF1F3864"/>
        <rFont val="Arial"/>
        <family val="0"/>
        <charset val="1"/>
      </rPr>
      <t xml:space="preserve">?, </t>
    </r>
    <r>
      <rPr>
        <sz val="10"/>
        <color rgb="FF1F3864"/>
        <rFont val="WenQuanYi Zen Hei"/>
        <family val="2"/>
      </rPr>
      <t xml:space="preserve">레 </t>
    </r>
    <r>
      <rPr>
        <sz val="10"/>
        <color rgb="FF1F3864"/>
        <rFont val="Arial"/>
        <family val="0"/>
        <charset val="1"/>
      </rPr>
      <t xml:space="preserve">8:1-10:7 </t>
    </r>
    <r>
      <rPr>
        <sz val="10"/>
        <color rgb="FF1F3864"/>
        <rFont val="WenQuanYi Zen Hei"/>
        <family val="2"/>
      </rPr>
      <t xml:space="preserve">다른 불 외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</si>
  <si>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A0126</t>
  </si>
  <si>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17:1-18:30</t>
    </r>
  </si>
  <si>
    <t xml:space="preserve">피는 생명이다</t>
  </si>
  <si>
    <t xml:space="preserve">피를 먹지 말라고 한 이유</t>
  </si>
  <si>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17:11</t>
    </r>
  </si>
  <si>
    <r>
      <rPr>
        <sz val="10"/>
        <color rgb="FF000000"/>
        <rFont val="WenQuanYi Zen Hei"/>
        <family val="2"/>
      </rPr>
      <t xml:space="preserve">생명은 피에 있고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피가 죄를 속합니다</t>
    </r>
  </si>
  <si>
    <r>
      <rPr>
        <sz val="10"/>
        <color rgb="FFC00000"/>
        <rFont val="Arial"/>
        <family val="0"/>
        <charset val="1"/>
      </rPr>
      <t xml:space="preserve">18</t>
    </r>
    <r>
      <rPr>
        <sz val="10"/>
        <color rgb="FFC00000"/>
        <rFont val="WenQuanYi Zen Hei"/>
        <family val="2"/>
      </rPr>
      <t xml:space="preserve">장 성 관련 금지는 직접 묘사 없이 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거룩한 가정</t>
    </r>
    <r>
      <rPr>
        <sz val="10"/>
        <color rgb="FFC00000"/>
        <rFont val="Arial"/>
        <family val="0"/>
        <charset val="1"/>
      </rPr>
      <t xml:space="preserve">' </t>
    </r>
    <r>
      <rPr>
        <sz val="10"/>
        <color rgb="FFC00000"/>
        <rFont val="WenQuanYi Zen Hei"/>
        <family val="2"/>
      </rPr>
      <t xml:space="preserve">원칙으로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수혈거부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여호와의증인</t>
    </r>
    <r>
      <rPr>
        <sz val="10"/>
        <color rgb="FFC00000"/>
        <rFont val="Arial"/>
        <family val="0"/>
        <charset val="1"/>
      </rPr>
      <t xml:space="preserve">) </t>
    </r>
    <r>
      <rPr>
        <sz val="10"/>
        <color rgb="FFC00000"/>
        <rFont val="WenQuanYi Zen Hei"/>
        <family val="2"/>
      </rPr>
      <t xml:space="preserve">해석 배제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</si>
  <si>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#066 '1</t>
    </r>
    <r>
      <rPr>
        <sz val="10"/>
        <color rgb="FF000000"/>
        <rFont val="WenQuanYi Zen Hei"/>
        <family val="2"/>
      </rPr>
      <t xml:space="preserve">년에 단 하루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</si>
  <si>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A0127</t>
  </si>
  <si>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19:1-37</t>
    </r>
  </si>
  <si>
    <t xml:space="preserve">네 이웃을 네 몸과 같이</t>
  </si>
  <si>
    <t xml:space="preserve">예수님이 인용하신 레위기 한 구절</t>
  </si>
  <si>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19:18</t>
    </r>
  </si>
  <si>
    <t xml:space="preserve">거룩한 삶은 이웃 사랑으로 드러납니다</t>
  </si>
  <si>
    <r>
      <rPr>
        <sz val="10"/>
        <color rgb="FF000000"/>
        <rFont val="WenQuanYi Zen Hei"/>
        <family val="2"/>
      </rPr>
      <t xml:space="preserve">밭의 이삭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나그네</t>
    </r>
  </si>
  <si>
    <t xml:space="preserve">A0128</t>
  </si>
  <si>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20:1-22:33</t>
    </r>
  </si>
  <si>
    <t xml:space="preserve">구별된 백성</t>
  </si>
  <si>
    <r>
      <rPr>
        <sz val="10"/>
        <color rgb="FF000000"/>
        <rFont val="WenQuanYi Zen Hei"/>
        <family val="2"/>
      </rPr>
      <t xml:space="preserve">너희는 거룩하라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나도 거룩함이라</t>
    </r>
  </si>
  <si>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20:26</t>
    </r>
  </si>
  <si>
    <t xml:space="preserve">하나님은 우리를 거룩하게 하시는 분입니다</t>
  </si>
  <si>
    <t xml:space="preserve">성막</t>
  </si>
  <si>
    <t xml:space="preserve">몰렉 제사 묘사 금지</t>
  </si>
  <si>
    <t xml:space="preserve">A0129</t>
  </si>
  <si>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23:1-44</t>
    </r>
  </si>
  <si>
    <t xml:space="preserve">이스라엘의 일곱 절기</t>
  </si>
  <si>
    <t xml:space="preserve">일곱 축제 안에 숨은 예수님 이야기</t>
  </si>
  <si>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23:2</t>
    </r>
  </si>
  <si>
    <t xml:space="preserve">절기는 그리스도를 가리키는 그림자입니다</t>
  </si>
  <si>
    <t xml:space="preserve">백성</t>
  </si>
  <si>
    <r>
      <rPr>
        <sz val="10"/>
        <color rgb="FF000000"/>
        <rFont val="WenQuanYi Zen Hei"/>
        <family val="2"/>
      </rPr>
      <t xml:space="preserve">유월절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초막절 풍경</t>
    </r>
  </si>
  <si>
    <r>
      <rPr>
        <sz val="10"/>
        <color rgb="FFC00000"/>
        <rFont val="WenQuanYi Zen Hei"/>
        <family val="2"/>
      </rPr>
      <t xml:space="preserve">유월절→십자가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초실절→부활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오순절→성령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절기 준수 구원론 배제</t>
    </r>
  </si>
  <si>
    <t xml:space="preserve">A0130</t>
  </si>
  <si>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24:1-23</t>
    </r>
  </si>
  <si>
    <t xml:space="preserve">등불과 진설병</t>
  </si>
  <si>
    <r>
      <rPr>
        <sz val="10"/>
        <color rgb="FF000000"/>
        <rFont val="WenQuanYi Zen Hei"/>
        <family val="2"/>
      </rPr>
      <t xml:space="preserve">꺼지지 않는 등불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매주 바뀌는 떡</t>
    </r>
  </si>
  <si>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24:2</t>
    </r>
  </si>
  <si>
    <t xml:space="preserve">하나님 앞의 빛은 꺼지지 않아야 합니다</t>
  </si>
  <si>
    <t xml:space="preserve">성소</t>
  </si>
  <si>
    <t xml:space="preserve">A0131</t>
  </si>
  <si>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25:1-55</t>
    </r>
  </si>
  <si>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WenQuanYi Zen Hei"/>
        <family val="2"/>
      </rPr>
      <t xml:space="preserve">년마다 모든 것이 돌아간다</t>
    </r>
  </si>
  <si>
    <r>
      <rPr>
        <sz val="10"/>
        <color rgb="FF000000"/>
        <rFont val="WenQuanYi Zen Hei"/>
        <family val="2"/>
      </rPr>
      <t xml:space="preserve">빚도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땅도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종도 자유가 되는 해</t>
    </r>
  </si>
  <si>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25:10</t>
    </r>
  </si>
  <si>
    <t xml:space="preserve">희년은 그리스도가 주시는 참 자유를 보여 줍니다</t>
  </si>
  <si>
    <t xml:space="preserve">나팔 부는 들판</t>
  </si>
  <si>
    <r>
      <rPr>
        <sz val="10"/>
        <color rgb="FFC00000"/>
        <rFont val="WenQuanYi Zen Hei"/>
        <family val="2"/>
      </rPr>
      <t xml:space="preserve">눅 </t>
    </r>
    <r>
      <rPr>
        <sz val="10"/>
        <color rgb="FFC00000"/>
        <rFont val="Arial"/>
        <family val="0"/>
        <charset val="1"/>
      </rPr>
      <t xml:space="preserve">4:19</t>
    </r>
    <r>
      <rPr>
        <sz val="10"/>
        <color rgb="FFC00000"/>
        <rFont val="WenQuanYi Zen Hei"/>
        <family val="2"/>
      </rPr>
      <t xml:space="preserve">와 연결</t>
    </r>
  </si>
  <si>
    <t xml:space="preserve">A0132</t>
  </si>
  <si>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26:1-27:34</t>
    </r>
  </si>
  <si>
    <t xml:space="preserve">순종과 복</t>
  </si>
  <si>
    <t xml:space="preserve">나는 너희 하나님이 되고 너희는 내 백성이 되리라</t>
  </si>
  <si>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26:12</t>
    </r>
  </si>
  <si>
    <t xml:space="preserve">하나님은 언약 백성과 함께 거하십니다</t>
  </si>
  <si>
    <t xml:space="preserve">번영신학 공식화 금지</t>
  </si>
  <si>
    <t xml:space="preserve">A0133</t>
  </si>
  <si>
    <t xml:space="preserve">B016</t>
  </si>
  <si>
    <t xml:space="preserve">S2-L08</t>
  </si>
  <si>
    <t xml:space="preserve">민수기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</si>
  <si>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1:1-4:49</t>
    </r>
  </si>
  <si>
    <t xml:space="preserve">광야의 대형</t>
  </si>
  <si>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WenQuanYi Zen Hei"/>
        <family val="2"/>
      </rPr>
      <t xml:space="preserve">만 명이 하나님 중심으로 진을 쳤다</t>
    </r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</si>
  <si>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2:2</t>
    </r>
  </si>
  <si>
    <t xml:space="preserve">하나님의 백성은 하나님을 중심으로 삽니다</t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</si>
  <si>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지파 지도자들</t>
    </r>
  </si>
  <si>
    <t xml:space="preserve">성막 둘레 열두 지파 진영</t>
  </si>
  <si>
    <t xml:space="preserve">A0134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</si>
  <si>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5:1-6:27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</si>
  <si>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천 년 된 축복기도</t>
    </r>
  </si>
  <si>
    <t xml:space="preserve">지금도 예배 끝에 하는 그 축복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</si>
  <si>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6:24</t>
    </r>
  </si>
  <si>
    <t xml:space="preserve">여호와는 네게 복을 주시고 너를 지키시기를 원하노라</t>
  </si>
  <si>
    <r>
      <rPr>
        <sz val="10"/>
        <color rgb="FF000000"/>
        <rFont val="WenQuanYi Zen Hei"/>
        <family val="2"/>
      </rPr>
      <t xml:space="preserve">아론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제사장들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나실인</t>
    </r>
  </si>
  <si>
    <t xml:space="preserve">성막 앞</t>
  </si>
  <si>
    <t xml:space="preserve">A0135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</si>
  <si>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7:1-9:23</t>
    </r>
  </si>
  <si>
    <t xml:space="preserve">구름이 움직이면</t>
  </si>
  <si>
    <r>
      <rPr>
        <sz val="10"/>
        <color rgb="FF000000"/>
        <rFont val="WenQuanYi Zen Hei"/>
        <family val="2"/>
      </rPr>
      <t xml:space="preserve">구름이 떠오르면 출발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머물면 멈춤</t>
    </r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</si>
  <si>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9:17</t>
    </r>
  </si>
  <si>
    <t xml:space="preserve">하나님의 인도에 맞춰 움직입니다</t>
  </si>
  <si>
    <t xml:space="preserve">성막 위 구름</t>
  </si>
  <si>
    <t xml:space="preserve">A0136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</si>
  <si>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10:1-36</t>
    </r>
  </si>
  <si>
    <t xml:space="preserve">은 나팔과 출발</t>
  </si>
  <si>
    <t xml:space="preserve">시내산을 떠나 약속의 땅으로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</si>
  <si>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10:35</t>
    </r>
  </si>
  <si>
    <t xml:space="preserve">여호와여 일어나소서</t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</si>
  <si>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호밥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</si>
  <si>
    <t xml:space="preserve">시내 광야에서 바란 광야</t>
  </si>
  <si>
    <t xml:space="preserve">A0137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</si>
  <si>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11:1-35</t>
    </r>
  </si>
  <si>
    <t xml:space="preserve">만나가 지겹다</t>
  </si>
  <si>
    <t xml:space="preserve">고기가 먹고 싶다고 울었다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</si>
  <si>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11:23</t>
    </r>
  </si>
  <si>
    <t xml:space="preserve">여호와의 손이 짧으냐</t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</si>
  <si>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  <r>
      <rPr>
        <sz val="10"/>
        <color rgb="FF000000"/>
        <rFont val="Arial"/>
        <family val="0"/>
        <charset val="1"/>
      </rPr>
      <t xml:space="preserve">·70</t>
    </r>
    <r>
      <rPr>
        <sz val="10"/>
        <color rgb="FF000000"/>
        <rFont val="WenQuanYi Zen Hei"/>
        <family val="2"/>
      </rPr>
      <t xml:space="preserve">장로</t>
    </r>
  </si>
  <si>
    <r>
      <rPr>
        <sz val="10"/>
        <color rgb="FF000000"/>
        <rFont val="WenQuanYi Zen Hei"/>
        <family val="2"/>
      </rPr>
      <t xml:space="preserve">광야 진영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메추라기</t>
    </r>
  </si>
  <si>
    <t xml:space="preserve">A0138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</si>
  <si>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12:1-16</t>
    </r>
  </si>
  <si>
    <t xml:space="preserve">모세를 비방한 누나</t>
  </si>
  <si>
    <t xml:space="preserve">모세는 온유함이 세상에서 가장 뛰어났다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</si>
  <si>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12:3</t>
    </r>
  </si>
  <si>
    <t xml:space="preserve">하나님이 세우신 사람을 함부로 비방하지 않습니다</t>
  </si>
  <si>
    <r>
      <rPr>
        <sz val="10"/>
        <color rgb="FF000000"/>
        <rFont val="WenQuanYi Zen Hei"/>
        <family val="2"/>
      </rPr>
      <t xml:space="preserve">미리암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모세</t>
    </r>
  </si>
  <si>
    <t xml:space="preserve">회막 앞</t>
  </si>
  <si>
    <t xml:space="preserve">나병 묘사 과도 금지</t>
  </si>
  <si>
    <t xml:space="preserve">A0139</t>
  </si>
  <si>
    <t xml:space="preserve">S1-L08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</si>
  <si>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13:1-33</t>
    </r>
  </si>
  <si>
    <t xml:space="preserve">열두 정탐꾼</t>
  </si>
  <si>
    <t xml:space="preserve">우리는 메뚜기 같았다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</si>
  <si>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13:30</t>
    </r>
  </si>
  <si>
    <t xml:space="preserve">믿음은 하나님의 크기로 문제를 봅니다</t>
  </si>
  <si>
    <r>
      <rPr>
        <sz val="10"/>
        <color rgb="FF000000"/>
        <rFont val="WenQuanYi Zen Hei"/>
        <family val="2"/>
      </rPr>
      <t xml:space="preserve">갈렙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여호수아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정탐꾼들</t>
    </r>
  </si>
  <si>
    <r>
      <rPr>
        <sz val="10"/>
        <color rgb="FF000000"/>
        <rFont val="WenQuanYi Zen Hei"/>
        <family val="2"/>
      </rPr>
      <t xml:space="preserve">가나안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거대한 포도송이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</si>
  <si>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13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레 </t>
    </r>
    <r>
      <rPr>
        <sz val="10"/>
        <color rgb="FF1F3864"/>
        <rFont val="Arial"/>
        <family val="0"/>
        <charset val="1"/>
      </rPr>
      <t xml:space="preserve">17:1-18:30 </t>
    </r>
    <r>
      <rPr>
        <sz val="10"/>
        <color rgb="FF1F3864"/>
        <rFont val="WenQuanYi Zen Hei"/>
        <family val="2"/>
      </rPr>
      <t xml:space="preserve">피는 생명이다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레 </t>
    </r>
    <r>
      <rPr>
        <sz val="10"/>
        <color rgb="FF1F3864"/>
        <rFont val="Arial"/>
        <family val="0"/>
        <charset val="1"/>
      </rPr>
      <t xml:space="preserve">19:1-37 </t>
    </r>
    <r>
      <rPr>
        <sz val="10"/>
        <color rgb="FF1F3864"/>
        <rFont val="WenQuanYi Zen Hei"/>
        <family val="2"/>
      </rPr>
      <t xml:space="preserve">네 이웃을 네 몸과 같이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레 </t>
    </r>
    <r>
      <rPr>
        <sz val="10"/>
        <color rgb="FF1F3864"/>
        <rFont val="Arial"/>
        <family val="0"/>
        <charset val="1"/>
      </rPr>
      <t xml:space="preserve">20:1-22:33 </t>
    </r>
    <r>
      <rPr>
        <sz val="10"/>
        <color rgb="FF1F3864"/>
        <rFont val="WenQuanYi Zen Hei"/>
        <family val="2"/>
      </rPr>
      <t xml:space="preserve">구별된 백성 외 </t>
    </r>
    <r>
      <rPr>
        <sz val="10"/>
        <color rgb="FF1F3864"/>
        <rFont val="Arial"/>
        <family val="0"/>
        <charset val="1"/>
      </rPr>
      <t xml:space="preserve">10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</si>
  <si>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A0140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</si>
  <si>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14:1-45</t>
    </r>
  </si>
  <si>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년의 광야</t>
    </r>
  </si>
  <si>
    <r>
      <rPr>
        <sz val="10"/>
        <color rgb="FF000000"/>
        <rFont val="WenQuanYi Zen Hei"/>
        <family val="2"/>
      </rPr>
      <t xml:space="preserve">하루가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년이 되었다</t>
    </r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</si>
  <si>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14:24</t>
    </r>
  </si>
  <si>
    <t xml:space="preserve">하나님을 온전히 따르는 사람</t>
  </si>
  <si>
    <r>
      <rPr>
        <sz val="10"/>
        <color rgb="FF000000"/>
        <rFont val="WenQuanYi Zen Hei"/>
        <family val="2"/>
      </rPr>
      <t xml:space="preserve">갈렙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여호수아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</si>
  <si>
    <t xml:space="preserve">바란 광야</t>
  </si>
  <si>
    <t xml:space="preserve">A0141</t>
  </si>
  <si>
    <t xml:space="preserve">B017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</si>
  <si>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15:1-41</t>
    </r>
  </si>
  <si>
    <t xml:space="preserve">옷자락의 파란 끈</t>
  </si>
  <si>
    <r>
      <rPr>
        <sz val="10"/>
        <color rgb="FF000000"/>
        <rFont val="WenQuanYi Zen Hei"/>
        <family val="2"/>
      </rPr>
      <t xml:space="preserve">옷술을 보며 무엇을 기억했을까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</si>
  <si>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15:39</t>
    </r>
  </si>
  <si>
    <t xml:space="preserve">하나님의 말씀을 기억하며 삽니다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</si>
  <si>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#068 '40</t>
    </r>
    <r>
      <rPr>
        <sz val="10"/>
        <color rgb="FF000000"/>
        <rFont val="WenQuanYi Zen Hei"/>
        <family val="2"/>
      </rPr>
      <t xml:space="preserve">년의 광야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</si>
  <si>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A0142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</si>
  <si>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16:1-50</t>
    </r>
  </si>
  <si>
    <t xml:space="preserve">고라의 반역</t>
  </si>
  <si>
    <t xml:space="preserve">땅이 입을 벌렸다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</si>
  <si>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16:28</t>
    </r>
  </si>
  <si>
    <t xml:space="preserve">하나님이 세우신 질서를 거역하면 안 됩니다</t>
  </si>
  <si>
    <r>
      <rPr>
        <sz val="10"/>
        <color rgb="FF000000"/>
        <rFont val="WenQuanYi Zen Hei"/>
        <family val="2"/>
      </rPr>
      <t xml:space="preserve">고라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다단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아비람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아론</t>
    </r>
  </si>
  <si>
    <r>
      <rPr>
        <sz val="10"/>
        <color rgb="FF000000"/>
        <rFont val="WenQuanYi Zen Hei"/>
        <family val="2"/>
      </rPr>
      <t xml:space="preserve">진영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갈라지는 땅</t>
    </r>
  </si>
  <si>
    <t xml:space="preserve">직접적인 죽음 묘사 금지</t>
  </si>
  <si>
    <t xml:space="preserve">A0143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</si>
  <si>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17:1-13</t>
    </r>
  </si>
  <si>
    <t xml:space="preserve">싹 난 지팡이</t>
  </si>
  <si>
    <t xml:space="preserve">마른 지팡이에서 하룻밤에 꽃이 피었다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</si>
  <si>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17:8</t>
    </r>
  </si>
  <si>
    <t xml:space="preserve">하나님이 택하신 사람을 하나님이 증명하십니다</t>
  </si>
  <si>
    <r>
      <rPr>
        <sz val="10"/>
        <color rgb="FF000000"/>
        <rFont val="WenQuanYi Zen Hei"/>
        <family val="2"/>
      </rPr>
      <t xml:space="preserve">아론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모세</t>
    </r>
  </si>
  <si>
    <t xml:space="preserve">회막</t>
  </si>
  <si>
    <t xml:space="preserve">A0144</t>
  </si>
  <si>
    <t xml:space="preserve">S2-L09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</si>
  <si>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18:1-19:22</t>
    </r>
  </si>
  <si>
    <t xml:space="preserve">붉은 암송아지</t>
  </si>
  <si>
    <r>
      <rPr>
        <sz val="10"/>
        <color rgb="FF000000"/>
        <rFont val="WenQuanYi Zen Hei"/>
        <family val="2"/>
      </rPr>
      <t xml:space="preserve">불에 태운 재로 정결하게 했다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</si>
  <si>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19:9</t>
    </r>
  </si>
  <si>
    <t xml:space="preserve">정결은 하나님이 주신 방법으로만 됩니다</t>
  </si>
  <si>
    <t xml:space="preserve">진영 밖</t>
  </si>
  <si>
    <r>
      <rPr>
        <sz val="10"/>
        <color rgb="FFC00000"/>
        <rFont val="WenQuanYi Zen Hei"/>
        <family val="2"/>
      </rPr>
      <t xml:space="preserve">히 </t>
    </r>
    <r>
      <rPr>
        <sz val="10"/>
        <color rgb="FFC00000"/>
        <rFont val="Arial"/>
        <family val="0"/>
        <charset val="1"/>
      </rPr>
      <t xml:space="preserve">9:13-14</t>
    </r>
    <r>
      <rPr>
        <sz val="10"/>
        <color rgb="FFC00000"/>
        <rFont val="WenQuanYi Zen Hei"/>
        <family val="2"/>
      </rPr>
      <t xml:space="preserve">와 연결</t>
    </r>
  </si>
  <si>
    <t xml:space="preserve">A0145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</si>
  <si>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20:1-13</t>
    </r>
  </si>
  <si>
    <t xml:space="preserve">한 번의 분노</t>
  </si>
  <si>
    <t xml:space="preserve">모세가 약속의 땅에 못 들어간 이유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</si>
  <si>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20:12</t>
    </r>
  </si>
  <si>
    <t xml:space="preserve">하나님을 거룩하게 드러내야 합니다</t>
  </si>
  <si>
    <r>
      <rPr>
        <sz val="10"/>
        <color rgb="FF000000"/>
        <rFont val="WenQuanYi Zen Hei"/>
        <family val="2"/>
      </rPr>
      <t xml:space="preserve">므리바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반석</t>
    </r>
  </si>
  <si>
    <t xml:space="preserve">A0146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</si>
  <si>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20:14-21:9</t>
    </r>
  </si>
  <si>
    <t xml:space="preserve">놋뱀</t>
  </si>
  <si>
    <t xml:space="preserve">뱀에 물린 사람이 놋뱀을 보면 살았다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</si>
  <si>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21:8</t>
    </r>
  </si>
  <si>
    <t xml:space="preserve">바라보는 자는 삽니다</t>
  </si>
  <si>
    <r>
      <rPr>
        <sz val="10"/>
        <color rgb="FF000000"/>
        <rFont val="WenQuanYi Zen Hei"/>
        <family val="2"/>
      </rPr>
      <t xml:space="preserve">호르 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불뱀이 있는 광야</t>
    </r>
  </si>
  <si>
    <r>
      <rPr>
        <sz val="10"/>
        <color rgb="FFC00000"/>
        <rFont val="WenQuanYi Zen Hei"/>
        <family val="2"/>
      </rPr>
      <t xml:space="preserve">요 </t>
    </r>
    <r>
      <rPr>
        <sz val="10"/>
        <color rgb="FFC00000"/>
        <rFont val="Arial"/>
        <family val="0"/>
        <charset val="1"/>
      </rPr>
      <t xml:space="preserve">3:14 </t>
    </r>
    <r>
      <rPr>
        <sz val="10"/>
        <color rgb="FFC00000"/>
        <rFont val="WenQuanYi Zen Hei"/>
        <family val="2"/>
      </rPr>
      <t xml:space="preserve">연결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놋뱀 숭배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왕하 </t>
    </r>
    <r>
      <rPr>
        <sz val="10"/>
        <color rgb="FFC00000"/>
        <rFont val="Arial"/>
        <family val="0"/>
        <charset val="1"/>
      </rPr>
      <t xml:space="preserve">18:4) </t>
    </r>
    <r>
      <rPr>
        <sz val="10"/>
        <color rgb="FFC00000"/>
        <rFont val="WenQuanYi Zen Hei"/>
        <family val="2"/>
      </rPr>
      <t xml:space="preserve">경계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</si>
  <si>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5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민 </t>
    </r>
    <r>
      <rPr>
        <sz val="10"/>
        <color rgb="FF1F3864"/>
        <rFont val="Arial"/>
        <family val="0"/>
        <charset val="1"/>
      </rPr>
      <t xml:space="preserve">15:1-41 </t>
    </r>
    <r>
      <rPr>
        <sz val="10"/>
        <color rgb="FF1F3864"/>
        <rFont val="WenQuanYi Zen Hei"/>
        <family val="2"/>
      </rPr>
      <t xml:space="preserve">옷자락의 파란 끈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민 </t>
    </r>
    <r>
      <rPr>
        <sz val="10"/>
        <color rgb="FF1F3864"/>
        <rFont val="Arial"/>
        <family val="0"/>
        <charset val="1"/>
      </rPr>
      <t xml:space="preserve">16:1-50 </t>
    </r>
    <r>
      <rPr>
        <sz val="10"/>
        <color rgb="FF1F3864"/>
        <rFont val="WenQuanYi Zen Hei"/>
        <family val="2"/>
      </rPr>
      <t xml:space="preserve">고라의 반역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민 </t>
    </r>
    <r>
      <rPr>
        <sz val="10"/>
        <color rgb="FF1F3864"/>
        <rFont val="Arial"/>
        <family val="0"/>
        <charset val="1"/>
      </rPr>
      <t xml:space="preserve">17:1-13 </t>
    </r>
    <r>
      <rPr>
        <sz val="10"/>
        <color rgb="FF1F3864"/>
        <rFont val="WenQuanYi Zen Hei"/>
        <family val="2"/>
      </rPr>
      <t xml:space="preserve">싹 난 지팡이 외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</si>
  <si>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A0147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</si>
  <si>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21:10-35</t>
    </r>
  </si>
  <si>
    <t xml:space="preserve">시혼과 옥을 이기다</t>
  </si>
  <si>
    <r>
      <rPr>
        <sz val="10"/>
        <color rgb="FF000000"/>
        <rFont val="WenQuanYi Zen Hei"/>
        <family val="2"/>
      </rPr>
      <t xml:space="preserve">거인 왕 옥의 침대 길이가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규빗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</si>
  <si>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21:34</t>
    </r>
  </si>
  <si>
    <r>
      <rPr>
        <sz val="10"/>
        <color rgb="FF000000"/>
        <rFont val="WenQuanYi Zen Hei"/>
        <family val="2"/>
      </rPr>
      <t xml:space="preserve">두려워하지 말라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내가 그를 네 손에 넘겼노라</t>
    </r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</si>
  <si>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이스라엘 군대</t>
    </r>
  </si>
  <si>
    <t xml:space="preserve">요단 동편 아모리 땅</t>
  </si>
  <si>
    <t xml:space="preserve">전쟁 유혈 묘사 금지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</si>
  <si>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#069 '</t>
    </r>
    <r>
      <rPr>
        <sz val="10"/>
        <color rgb="FF000000"/>
        <rFont val="WenQuanYi Zen Hei"/>
        <family val="2"/>
      </rPr>
      <t xml:space="preserve">놋뱀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</si>
  <si>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A0148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</si>
  <si>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22:1-41</t>
    </r>
  </si>
  <si>
    <t xml:space="preserve">말하는 나귀</t>
  </si>
  <si>
    <t xml:space="preserve">나귀가 주인에게 말을 했다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</si>
  <si>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22:28</t>
    </r>
  </si>
  <si>
    <t xml:space="preserve">하나님은 나귀를 통해서도 말씀하십니다</t>
  </si>
  <si>
    <r>
      <rPr>
        <sz val="10"/>
        <color rgb="FF000000"/>
        <rFont val="WenQuanYi Zen Hei"/>
        <family val="2"/>
      </rPr>
      <t xml:space="preserve">발람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나귀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여호와의 사자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발락</t>
    </r>
  </si>
  <si>
    <r>
      <rPr>
        <sz val="10"/>
        <color rgb="FF000000"/>
        <rFont val="WenQuanYi Zen Hei"/>
        <family val="2"/>
      </rPr>
      <t xml:space="preserve">모압 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포도원 담</t>
    </r>
  </si>
  <si>
    <t xml:space="preserve">여호와의 사자는 빛과 칼 실루엣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</si>
  <si>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민 </t>
    </r>
    <r>
      <rPr>
        <sz val="10"/>
        <color rgb="FF1F3864"/>
        <rFont val="Arial"/>
        <family val="0"/>
        <charset val="1"/>
      </rPr>
      <t xml:space="preserve">21:10-35 </t>
    </r>
    <r>
      <rPr>
        <sz val="10"/>
        <color rgb="FF1F3864"/>
        <rFont val="WenQuanYi Zen Hei"/>
        <family val="2"/>
      </rPr>
      <t xml:space="preserve">시혼과 옥을 이기다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</si>
  <si>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A0149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</si>
  <si>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23:1-24:25</t>
    </r>
  </si>
  <si>
    <t xml:space="preserve">저주하러 왔다가 축복하다</t>
  </si>
  <si>
    <t xml:space="preserve">돈 받고 저주하러 온 예언자가 네 번이나 축복했다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</si>
  <si>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24:17</t>
    </r>
  </si>
  <si>
    <t xml:space="preserve">한 별이 야곱에게서 나오리라</t>
  </si>
  <si>
    <r>
      <rPr>
        <sz val="10"/>
        <color rgb="FF000000"/>
        <rFont val="WenQuanYi Zen Hei"/>
        <family val="2"/>
      </rPr>
      <t xml:space="preserve">발람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발락</t>
    </r>
  </si>
  <si>
    <r>
      <rPr>
        <sz val="10"/>
        <color rgb="FF000000"/>
        <rFont val="WenQuanYi Zen Hei"/>
        <family val="2"/>
      </rPr>
      <t xml:space="preserve">모압 높은 곳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일곱 제단</t>
    </r>
  </si>
  <si>
    <r>
      <rPr>
        <sz val="10"/>
        <color rgb="FFC00000"/>
        <rFont val="Arial"/>
        <family val="0"/>
        <charset val="1"/>
      </rPr>
      <t xml:space="preserve">24:17 </t>
    </r>
    <r>
      <rPr>
        <sz val="10"/>
        <color rgb="FFC00000"/>
        <rFont val="WenQuanYi Zen Hei"/>
        <family val="2"/>
      </rPr>
      <t xml:space="preserve">메시아 예언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</si>
  <si>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#070 '</t>
    </r>
    <r>
      <rPr>
        <sz val="10"/>
        <color rgb="FF000000"/>
        <rFont val="WenQuanYi Zen Hei"/>
        <family val="2"/>
      </rPr>
      <t xml:space="preserve">말하는 나귀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</si>
  <si>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A0150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</si>
  <si>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25:1-18</t>
    </r>
  </si>
  <si>
    <t xml:space="preserve">바알브올</t>
  </si>
  <si>
    <t xml:space="preserve">가장 가까이 와서 무너진 백성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</si>
  <si>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25:11</t>
    </r>
  </si>
  <si>
    <t xml:space="preserve">하나님을 향한 열심이 공동체를 지킵니다</t>
  </si>
  <si>
    <r>
      <rPr>
        <sz val="10"/>
        <color rgb="FF000000"/>
        <rFont val="WenQuanYi Zen Hei"/>
        <family val="2"/>
      </rPr>
      <t xml:space="preserve">비느하스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</si>
  <si>
    <t xml:space="preserve">싯딤</t>
  </si>
  <si>
    <r>
      <rPr>
        <sz val="10"/>
        <color rgb="FFC00000"/>
        <rFont val="WenQuanYi Zen Hei"/>
        <family val="2"/>
      </rPr>
      <t xml:space="preserve">성적 장면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처형 묘사 금지</t>
    </r>
  </si>
  <si>
    <t xml:space="preserve">A0151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</si>
  <si>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26:1-27:23</t>
    </r>
  </si>
  <si>
    <t xml:space="preserve">새 세대와 새 지도자</t>
  </si>
  <si>
    <t xml:space="preserve">슬로브핫의 딸들이 용기를 냈다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</si>
  <si>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27:18</t>
    </r>
  </si>
  <si>
    <t xml:space="preserve">하나님은 다음 지도자를 준비하십니다</t>
  </si>
  <si>
    <r>
      <rPr>
        <sz val="10"/>
        <color rgb="FF000000"/>
        <rFont val="WenQuanYi Zen Hei"/>
        <family val="2"/>
      </rPr>
      <t xml:space="preserve">슬로브핫의 딸들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여호수아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모세</t>
    </r>
  </si>
  <si>
    <t xml:space="preserve">모압 평지</t>
  </si>
  <si>
    <t xml:space="preserve">A0152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</si>
  <si>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28:1-30:16</t>
    </r>
  </si>
  <si>
    <t xml:space="preserve">날마다 드리는 예배</t>
  </si>
  <si>
    <r>
      <rPr>
        <sz val="10"/>
        <color rgb="FF000000"/>
        <rFont val="WenQuanYi Zen Hei"/>
        <family val="2"/>
      </rPr>
      <t xml:space="preserve">매일 아침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매일 저녁</t>
    </r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</si>
  <si>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30:2</t>
    </r>
  </si>
  <si>
    <t xml:space="preserve">하나님께 드린 약속은 지켜야 합니다</t>
  </si>
  <si>
    <t xml:space="preserve">A0153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</si>
  <si>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31:1-32:42</t>
    </r>
  </si>
  <si>
    <t xml:space="preserve">요단 동편의 두 지파 반</t>
  </si>
  <si>
    <t xml:space="preserve">강 이쪽에 남겠다고 한 지파들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</si>
  <si>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32:23</t>
    </r>
  </si>
  <si>
    <t xml:space="preserve">숨긴 죄는 반드시 드러납니다</t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</si>
  <si>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르우벤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갓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므낫세 반 지파</t>
    </r>
  </si>
  <si>
    <t xml:space="preserve">요단 동편 목초지</t>
  </si>
  <si>
    <r>
      <rPr>
        <sz val="10"/>
        <color rgb="FFC00000"/>
        <rFont val="Arial"/>
        <family val="0"/>
        <charset val="1"/>
      </rPr>
      <t xml:space="preserve">31</t>
    </r>
    <r>
      <rPr>
        <sz val="10"/>
        <color rgb="FFC00000"/>
        <rFont val="WenQuanYi Zen Hei"/>
        <family val="2"/>
      </rPr>
      <t xml:space="preserve">장 전쟁 장면은 내레이션으로 최소화</t>
    </r>
  </si>
  <si>
    <t xml:space="preserve">A0154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</si>
  <si>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33:1-36:13</t>
    </r>
  </si>
  <si>
    <t xml:space="preserve">도피성</t>
  </si>
  <si>
    <t xml:space="preserve">실수로 사람을 죽였다면 도망칠 성이 있었다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</si>
  <si>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35:11</t>
    </r>
  </si>
  <si>
    <t xml:space="preserve">하나님은 피할 곳을 마련하십니다</t>
  </si>
  <si>
    <t xml:space="preserve">여섯 도피성 지도</t>
  </si>
  <si>
    <r>
      <rPr>
        <sz val="10"/>
        <color rgb="FFC00000"/>
        <rFont val="WenQuanYi Zen Hei"/>
        <family val="2"/>
      </rPr>
      <t xml:space="preserve">그리스도 </t>
    </r>
    <r>
      <rPr>
        <sz val="10"/>
        <color rgb="FFC00000"/>
        <rFont val="Arial"/>
        <family val="0"/>
        <charset val="1"/>
      </rPr>
      <t xml:space="preserve">= </t>
    </r>
    <r>
      <rPr>
        <sz val="10"/>
        <color rgb="FFC00000"/>
        <rFont val="WenQuanYi Zen Hei"/>
        <family val="2"/>
      </rPr>
      <t xml:space="preserve">우리의 피난처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히 </t>
    </r>
    <r>
      <rPr>
        <sz val="10"/>
        <color rgb="FFC00000"/>
        <rFont val="Arial"/>
        <family val="0"/>
        <charset val="1"/>
      </rPr>
      <t xml:space="preserve">6:18)</t>
    </r>
  </si>
  <si>
    <t xml:space="preserve">A0155</t>
  </si>
  <si>
    <t xml:space="preserve">B018</t>
  </si>
  <si>
    <t xml:space="preserve">S2-L10</t>
  </si>
  <si>
    <t xml:space="preserve">신명기</t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</si>
  <si>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1:1-3:29</t>
    </r>
  </si>
  <si>
    <t xml:space="preserve">아버지가 아들을 안듯</t>
  </si>
  <si>
    <r>
      <rPr>
        <sz val="10"/>
        <color rgb="FF000000"/>
        <rFont val="WenQuanYi Zen Hei"/>
        <family val="2"/>
      </rPr>
      <t xml:space="preserve">광야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년을 돌아보니 보이는 것</t>
    </r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</si>
  <si>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1:31</t>
    </r>
  </si>
  <si>
    <t xml:space="preserve">하나님은 아버지처럼 우리를 안고 오셨습니다</t>
  </si>
  <si>
    <t xml:space="preserve">A0156</t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</si>
  <si>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4:1-49</t>
    </r>
  </si>
  <si>
    <t xml:space="preserve">여호와 외에 다른 신은 없다</t>
  </si>
  <si>
    <r>
      <rPr>
        <sz val="10"/>
        <color rgb="FF000000"/>
        <rFont val="WenQuanYi Zen Hei"/>
        <family val="2"/>
      </rPr>
      <t xml:space="preserve">왜 하나님은 모양이 없으셨을까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</si>
  <si>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4:39</t>
    </r>
  </si>
  <si>
    <t xml:space="preserve">여호와만이 하나님이십니다</t>
  </si>
  <si>
    <r>
      <rPr>
        <sz val="10"/>
        <color rgb="FFC00000"/>
        <rFont val="WenQuanYi Zen Hei"/>
        <family val="2"/>
      </rPr>
      <t xml:space="preserve">하나님 형상 표현 금지 원칙 근거</t>
    </r>
    <r>
      <rPr>
        <sz val="10"/>
        <color rgb="FFC00000"/>
        <rFont val="Arial"/>
        <family val="0"/>
        <charset val="1"/>
      </rPr>
      <t xml:space="preserve">(4:15-16)</t>
    </r>
  </si>
  <si>
    <t xml:space="preserve">A0157</t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</si>
  <si>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5:1-33</t>
    </r>
  </si>
  <si>
    <t xml:space="preserve">다시 들려준 십계명</t>
  </si>
  <si>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년 뒤 다시 십계명을 외친 이유</t>
    </r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</si>
  <si>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5:29</t>
    </r>
  </si>
  <si>
    <t xml:space="preserve">말씀을 지키는 마음이 복의 길입니다</t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</si>
  <si>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새 세대</t>
    </r>
  </si>
  <si>
    <t xml:space="preserve">A0158</t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</si>
  <si>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6:1-25</t>
    </r>
  </si>
  <si>
    <t xml:space="preserve">들으라 이스라엘아</t>
  </si>
  <si>
    <t xml:space="preserve">이스라엘 아이들이 매일 외운 한 문장</t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</si>
  <si>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6:5</t>
    </r>
  </si>
  <si>
    <t xml:space="preserve">마음과 뜻과 힘을 다하여 하나님을 사랑하라</t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</si>
  <si>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부모와 자녀</t>
    </r>
  </si>
  <si>
    <r>
      <rPr>
        <sz val="10"/>
        <color rgb="FF000000"/>
        <rFont val="WenQuanYi Zen Hei"/>
        <family val="2"/>
      </rPr>
      <t xml:space="preserve">이스라엘 가정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문설주</t>
    </r>
  </si>
  <si>
    <t xml:space="preserve">가정 신앙교육 강조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</si>
  <si>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9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민 </t>
    </r>
    <r>
      <rPr>
        <sz val="10"/>
        <color rgb="FF1F3864"/>
        <rFont val="Arial"/>
        <family val="0"/>
        <charset val="1"/>
      </rPr>
      <t xml:space="preserve">23:1-24:25 </t>
    </r>
    <r>
      <rPr>
        <sz val="10"/>
        <color rgb="FF1F3864"/>
        <rFont val="WenQuanYi Zen Hei"/>
        <family val="2"/>
      </rPr>
      <t xml:space="preserve">저주하러 왔다가 축복하다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민 </t>
    </r>
    <r>
      <rPr>
        <sz val="10"/>
        <color rgb="FF1F3864"/>
        <rFont val="Arial"/>
        <family val="0"/>
        <charset val="1"/>
      </rPr>
      <t xml:space="preserve">25:1-18 </t>
    </r>
    <r>
      <rPr>
        <sz val="10"/>
        <color rgb="FF1F3864"/>
        <rFont val="WenQuanYi Zen Hei"/>
        <family val="2"/>
      </rPr>
      <t xml:space="preserve">바알브올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민 </t>
    </r>
    <r>
      <rPr>
        <sz val="10"/>
        <color rgb="FF1F3864"/>
        <rFont val="Arial"/>
        <family val="0"/>
        <charset val="1"/>
      </rPr>
      <t xml:space="preserve">26:1-27:23 </t>
    </r>
    <r>
      <rPr>
        <sz val="10"/>
        <color rgb="FF1F3864"/>
        <rFont val="WenQuanYi Zen Hei"/>
        <family val="2"/>
      </rPr>
      <t xml:space="preserve">새 세대와 새 지도자 외 </t>
    </r>
    <r>
      <rPr>
        <sz val="10"/>
        <color rgb="FF1F3864"/>
        <rFont val="Arial"/>
        <family val="0"/>
        <charset val="1"/>
      </rPr>
      <t xml:space="preserve">6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</si>
  <si>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A0159</t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</si>
  <si>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7:1-26</t>
    </r>
  </si>
  <si>
    <r>
      <rPr>
        <sz val="10"/>
        <color rgb="FF000000"/>
        <rFont val="WenQuanYi Zen Hei"/>
        <family val="2"/>
      </rPr>
      <t xml:space="preserve">왜 우리를 택하셨을까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</si>
  <si>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많아서도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잘나서도 아니었다</t>
    </r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</si>
  <si>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7:8</t>
    </r>
  </si>
  <si>
    <t xml:space="preserve">하나님의 선택은 오직 사랑 때문입니다</t>
  </si>
  <si>
    <r>
      <rPr>
        <sz val="10"/>
        <color rgb="FFC00000"/>
        <rFont val="WenQuanYi Zen Hei"/>
        <family val="2"/>
      </rPr>
      <t xml:space="preserve">무조건적 선택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합동 예정론</t>
    </r>
    <r>
      <rPr>
        <sz val="10"/>
        <color rgb="FFC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</si>
  <si>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#071 '</t>
    </r>
    <r>
      <rPr>
        <sz val="10"/>
        <color rgb="FF000000"/>
        <rFont val="WenQuanYi Zen Hei"/>
        <family val="2"/>
      </rPr>
      <t xml:space="preserve">들으라 이스라엘아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</si>
  <si>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A0160</t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</si>
  <si>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8:1-20</t>
    </r>
  </si>
  <si>
    <t xml:space="preserve">떡으로만 살지 않는다</t>
  </si>
  <si>
    <t xml:space="preserve">광야에서 배고프게 하신 이유</t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</si>
  <si>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8:3</t>
    </r>
  </si>
  <si>
    <t xml:space="preserve">사람은 하나님의 말씀으로 삽니다</t>
  </si>
  <si>
    <r>
      <rPr>
        <sz val="10"/>
        <color rgb="FF000000"/>
        <rFont val="WenQuanYi Zen Hei"/>
        <family val="2"/>
      </rPr>
      <t xml:space="preserve">광야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만나</t>
    </r>
  </si>
  <si>
    <r>
      <rPr>
        <sz val="10"/>
        <color rgb="FFC00000"/>
        <rFont val="WenQuanYi Zen Hei"/>
        <family val="2"/>
      </rPr>
      <t xml:space="preserve">마 </t>
    </r>
    <r>
      <rPr>
        <sz val="10"/>
        <color rgb="FFC00000"/>
        <rFont val="Arial"/>
        <family val="0"/>
        <charset val="1"/>
      </rPr>
      <t xml:space="preserve">4:4 </t>
    </r>
    <r>
      <rPr>
        <sz val="10"/>
        <color rgb="FFC00000"/>
        <rFont val="WenQuanYi Zen Hei"/>
        <family val="2"/>
      </rPr>
      <t xml:space="preserve">예수님이 인용</t>
    </r>
  </si>
  <si>
    <t xml:space="preserve">A0161</t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</si>
  <si>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9:1-11:32</t>
    </r>
  </si>
  <si>
    <t xml:space="preserve">너희가 의로워서가 아니다</t>
  </si>
  <si>
    <t xml:space="preserve">약속의 땅을 받은 진짜 이유</t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</si>
  <si>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9:6</t>
    </r>
  </si>
  <si>
    <t xml:space="preserve">모든 것이 은혜입니다</t>
  </si>
  <si>
    <t xml:space="preserve">행위 구원 배제</t>
  </si>
  <si>
    <t xml:space="preserve">A0162</t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</si>
  <si>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12:1-16:17</t>
    </r>
  </si>
  <si>
    <t xml:space="preserve">하나님이 택하신 곳에서</t>
  </si>
  <si>
    <t xml:space="preserve">아무 데서나 예배하지 말라고 한 이유</t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</si>
  <si>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16:16</t>
    </r>
  </si>
  <si>
    <t xml:space="preserve">예배는 하나님이 정하신 방식으로 드립니다</t>
  </si>
  <si>
    <t xml:space="preserve">절기에 모인 백성</t>
  </si>
  <si>
    <t xml:space="preserve">A0163</t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</si>
  <si>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16:18-20:20</t>
    </r>
  </si>
  <si>
    <t xml:space="preserve">나 같은 선지자</t>
  </si>
  <si>
    <t xml:space="preserve">모세가 예언한 또 한 명의 선지자</t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</si>
  <si>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18:15</t>
    </r>
  </si>
  <si>
    <t xml:space="preserve">하나님은 더 큰 선지자를 보내실 것입니다</t>
  </si>
  <si>
    <r>
      <rPr>
        <sz val="10"/>
        <color rgb="FFC00000"/>
        <rFont val="WenQuanYi Zen Hei"/>
        <family val="2"/>
      </rPr>
      <t xml:space="preserve">행 </t>
    </r>
    <r>
      <rPr>
        <sz val="10"/>
        <color rgb="FFC00000"/>
        <rFont val="Arial"/>
        <family val="0"/>
        <charset val="1"/>
      </rPr>
      <t xml:space="preserve">3:22 </t>
    </r>
    <r>
      <rPr>
        <sz val="10"/>
        <color rgb="FFC00000"/>
        <rFont val="WenQuanYi Zen Hei"/>
        <family val="2"/>
      </rPr>
      <t xml:space="preserve">그리스도</t>
    </r>
    <r>
      <rPr>
        <sz val="10"/>
        <color rgb="FFC00000"/>
        <rFont val="Arial"/>
        <family val="0"/>
        <charset val="1"/>
      </rPr>
      <t xml:space="preserve">. 18:10-12 </t>
    </r>
    <r>
      <rPr>
        <sz val="10"/>
        <color rgb="FFC00000"/>
        <rFont val="WenQuanYi Zen Hei"/>
        <family val="2"/>
      </rPr>
      <t xml:space="preserve">점술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강신술 금지 강조</t>
    </r>
  </si>
  <si>
    <t xml:space="preserve">A0164</t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</si>
  <si>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21:1-26:19</t>
    </r>
  </si>
  <si>
    <t xml:space="preserve">이삭을 남겨 두라</t>
  </si>
  <si>
    <t xml:space="preserve">추수할 때 일부러 남겨 두라는 법</t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</si>
  <si>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24:19</t>
    </r>
  </si>
  <si>
    <t xml:space="preserve">하나님의 백성은 가난한 이웃을 기억합니다</t>
  </si>
  <si>
    <t xml:space="preserve">추수하는 밭</t>
  </si>
  <si>
    <t xml:space="preserve">A0165</t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</si>
  <si>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27:1-28:68</t>
    </r>
  </si>
  <si>
    <t xml:space="preserve">축복과 저주</t>
  </si>
  <si>
    <t xml:space="preserve">두 산에서 외친 축복과 저주</t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</si>
  <si>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28:2</t>
    </r>
  </si>
  <si>
    <t xml:space="preserve">순종의 길에 복이 있습니다</t>
  </si>
  <si>
    <t xml:space="preserve">그리심 산과 에발 산</t>
  </si>
  <si>
    <t xml:space="preserve">A0166</t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</si>
  <si>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29:1-30:20</t>
    </r>
  </si>
  <si>
    <t xml:space="preserve">생명을 택하라</t>
  </si>
  <si>
    <t xml:space="preserve">오늘 생명과 사망을 네 앞에 두었다</t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</si>
  <si>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30:19</t>
    </r>
  </si>
  <si>
    <t xml:space="preserve">생명의 길은 하나님을 사랑하는 것입니다</t>
  </si>
  <si>
    <r>
      <rPr>
        <sz val="10"/>
        <color rgb="FFC00000"/>
        <rFont val="Arial"/>
        <family val="0"/>
        <charset val="1"/>
      </rPr>
      <t xml:space="preserve">30:6 </t>
    </r>
    <r>
      <rPr>
        <sz val="10"/>
        <color rgb="FFC00000"/>
        <rFont val="WenQuanYi Zen Hei"/>
        <family val="2"/>
      </rPr>
      <t xml:space="preserve">마음의 할례는 하나님이 주심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은혜</t>
    </r>
    <r>
      <rPr>
        <sz val="10"/>
        <color rgb="FFC00000"/>
        <rFont val="Arial"/>
        <family val="0"/>
        <charset val="1"/>
      </rPr>
      <t xml:space="preserve">)</t>
    </r>
  </si>
  <si>
    <t xml:space="preserve">A0167</t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</si>
  <si>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31:1-32:52</t>
    </r>
  </si>
  <si>
    <t xml:space="preserve">강하고 담대하라</t>
  </si>
  <si>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WenQuanYi Zen Hei"/>
        <family val="2"/>
      </rPr>
      <t xml:space="preserve">세 모세가 후계자에게 한 말</t>
    </r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</si>
  <si>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31:6</t>
    </r>
  </si>
  <si>
    <t xml:space="preserve">하나님이 너와 함께 가시리라</t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</si>
  <si>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여호수아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</si>
  <si>
    <r>
      <rPr>
        <sz val="10"/>
        <color rgb="FF000000"/>
        <rFont val="WenQuanYi Zen Hei"/>
        <family val="2"/>
      </rPr>
      <t xml:space="preserve">모압 평지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회막</t>
    </r>
  </si>
  <si>
    <t xml:space="preserve">A0168</t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</si>
  <si>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33:1-34:12</t>
    </r>
  </si>
  <si>
    <t xml:space="preserve">느보산에서 본 약속의 땅</t>
  </si>
  <si>
    <t xml:space="preserve">들어가지 못한 땅을 바라본 모세</t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</si>
  <si>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34:10</t>
    </r>
  </si>
  <si>
    <t xml:space="preserve">하나님과 대면하여 알던 사람</t>
  </si>
  <si>
    <t xml:space="preserve">느보산 비스가 꼭대기</t>
  </si>
  <si>
    <t xml:space="preserve">모세의 무덤 위치 상상 묘사 금지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</si>
  <si>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9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신 </t>
    </r>
    <r>
      <rPr>
        <sz val="10"/>
        <color rgb="FF1F3864"/>
        <rFont val="Arial"/>
        <family val="0"/>
        <charset val="1"/>
      </rPr>
      <t xml:space="preserve">7:1-26 </t>
    </r>
    <r>
      <rPr>
        <sz val="10"/>
        <color rgb="FF1F3864"/>
        <rFont val="WenQuanYi Zen Hei"/>
        <family val="2"/>
      </rPr>
      <t xml:space="preserve">왜 우리를 택하셨을까</t>
    </r>
    <r>
      <rPr>
        <sz val="10"/>
        <color rgb="FF1F3864"/>
        <rFont val="Arial"/>
        <family val="0"/>
        <charset val="1"/>
      </rPr>
      <t xml:space="preserve">?, </t>
    </r>
    <r>
      <rPr>
        <sz val="10"/>
        <color rgb="FF1F3864"/>
        <rFont val="WenQuanYi Zen Hei"/>
        <family val="2"/>
      </rPr>
      <t xml:space="preserve">신 </t>
    </r>
    <r>
      <rPr>
        <sz val="10"/>
        <color rgb="FF1F3864"/>
        <rFont val="Arial"/>
        <family val="0"/>
        <charset val="1"/>
      </rPr>
      <t xml:space="preserve">8:1-20 </t>
    </r>
    <r>
      <rPr>
        <sz val="10"/>
        <color rgb="FF1F3864"/>
        <rFont val="WenQuanYi Zen Hei"/>
        <family val="2"/>
      </rPr>
      <t xml:space="preserve">떡으로만 살지 않는다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신 </t>
    </r>
    <r>
      <rPr>
        <sz val="10"/>
        <color rgb="FF1F3864"/>
        <rFont val="Arial"/>
        <family val="0"/>
        <charset val="1"/>
      </rPr>
      <t xml:space="preserve">9:1-11:32 </t>
    </r>
    <r>
      <rPr>
        <sz val="10"/>
        <color rgb="FF1F3864"/>
        <rFont val="WenQuanYi Zen Hei"/>
        <family val="2"/>
      </rPr>
      <t xml:space="preserve">너희가 의로워서가 아니다 외 </t>
    </r>
    <r>
      <rPr>
        <sz val="10"/>
        <color rgb="FF1F3864"/>
        <rFont val="Arial"/>
        <family val="0"/>
        <charset val="1"/>
      </rPr>
      <t xml:space="preserve">6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</si>
  <si>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A0169</t>
  </si>
  <si>
    <t xml:space="preserve">B019</t>
  </si>
  <si>
    <t xml:space="preserve">여호수아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</si>
  <si>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1:1-18</t>
    </r>
  </si>
  <si>
    <t xml:space="preserve">모세가 죽은 뒤 홀로 남은 지도자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</si>
  <si>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1:9</t>
    </r>
  </si>
  <si>
    <t xml:space="preserve">하나님이 어디로 가든지 함께하십니다</t>
  </si>
  <si>
    <r>
      <rPr>
        <sz val="10"/>
        <color rgb="FF000000"/>
        <rFont val="WenQuanYi Zen Hei"/>
        <family val="2"/>
      </rPr>
      <t xml:space="preserve">여호수아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하나님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음성</t>
    </r>
    <r>
      <rPr>
        <sz val="10"/>
        <color rgb="FF000000"/>
        <rFont val="Arial"/>
        <family val="0"/>
        <charset val="1"/>
      </rPr>
      <t xml:space="preserve">)</t>
    </r>
  </si>
  <si>
    <t xml:space="preserve">요단 동편 진영</t>
  </si>
  <si>
    <t xml:space="preserve">A0170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</si>
  <si>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2:1-24</t>
    </r>
  </si>
  <si>
    <t xml:space="preserve">붉은 줄</t>
  </si>
  <si>
    <t xml:space="preserve">적국의 여인이 정탐꾼을 숨겨 주었다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</si>
  <si>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2:11</t>
    </r>
  </si>
  <si>
    <t xml:space="preserve">하나님은 믿는 이방인도 구원하십니다</t>
  </si>
  <si>
    <r>
      <rPr>
        <sz val="10"/>
        <color rgb="FF000000"/>
        <rFont val="WenQuanYi Zen Hei"/>
        <family val="2"/>
      </rPr>
      <t xml:space="preserve">라합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두 정탐꾼</t>
    </r>
  </si>
  <si>
    <t xml:space="preserve">여리고 성벽 위의 집</t>
  </si>
  <si>
    <r>
      <rPr>
        <sz val="10"/>
        <color rgb="FFC00000"/>
        <rFont val="WenQuanYi Zen Hei"/>
        <family val="2"/>
      </rPr>
      <t xml:space="preserve">라합의 직업은 직접 묘사 금지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마 </t>
    </r>
    <r>
      <rPr>
        <sz val="10"/>
        <color rgb="FFC00000"/>
        <rFont val="Arial"/>
        <family val="0"/>
        <charset val="1"/>
      </rPr>
      <t xml:space="preserve">1:5 </t>
    </r>
    <r>
      <rPr>
        <sz val="10"/>
        <color rgb="FFC00000"/>
        <rFont val="WenQuanYi Zen Hei"/>
        <family val="2"/>
      </rPr>
      <t xml:space="preserve">예수님 족보</t>
    </r>
  </si>
  <si>
    <t xml:space="preserve">A0171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</si>
  <si>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3:1-4:24</t>
    </r>
  </si>
  <si>
    <t xml:space="preserve">멈춰 선 요단강</t>
  </si>
  <si>
    <t xml:space="preserve">제사장의 발이 물에 닿자 강이 멈췄다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</si>
  <si>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3:17</t>
    </r>
  </si>
  <si>
    <t xml:space="preserve">하나님은 순종의 발걸음 앞에서 길을 여십니다</t>
  </si>
  <si>
    <r>
      <rPr>
        <sz val="10"/>
        <color rgb="FF000000"/>
        <rFont val="WenQuanYi Zen Hei"/>
        <family val="2"/>
      </rPr>
      <t xml:space="preserve">여호수아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제사장들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언약궤</t>
    </r>
  </si>
  <si>
    <r>
      <rPr>
        <sz val="10"/>
        <color rgb="FF000000"/>
        <rFont val="WenQuanYi Zen Hei"/>
        <family val="2"/>
      </rPr>
      <t xml:space="preserve">범람한 요단강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열두 돌</t>
    </r>
  </si>
  <si>
    <t xml:space="preserve">A0172</t>
  </si>
  <si>
    <t xml:space="preserve">S2-L11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</si>
  <si>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5:1-15</t>
    </r>
  </si>
  <si>
    <t xml:space="preserve">여호와의 군대 대장</t>
  </si>
  <si>
    <t xml:space="preserve">칼을 든 사람이 여호수아 앞에 섰다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</si>
  <si>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5:14</t>
    </r>
  </si>
  <si>
    <t xml:space="preserve">우리가 하나님 편에 서야 합니다</t>
  </si>
  <si>
    <r>
      <rPr>
        <sz val="10"/>
        <color rgb="FF000000"/>
        <rFont val="WenQuanYi Zen Hei"/>
        <family val="2"/>
      </rPr>
      <t xml:space="preserve">여호수아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여호와의 군대 대장</t>
    </r>
  </si>
  <si>
    <t xml:space="preserve">여리고 근처 길갈</t>
  </si>
  <si>
    <t xml:space="preserve">군대 대장은 얼굴 없이 빛나는 실루엣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</si>
  <si>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#075 '</t>
    </r>
    <r>
      <rPr>
        <sz val="10"/>
        <color rgb="FF000000"/>
        <rFont val="WenQuanYi Zen Hei"/>
        <family val="2"/>
      </rPr>
      <t xml:space="preserve">멈춰 선 요단강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</si>
  <si>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A0173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</si>
  <si>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6:1-27</t>
    </r>
  </si>
  <si>
    <t xml:space="preserve">무너진 여리고 성</t>
  </si>
  <si>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일 동안 돌기만 했는데 성벽이 무너졌다</t>
    </r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</si>
  <si>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6:20</t>
    </r>
  </si>
  <si>
    <t xml:space="preserve">믿음은 이해되지 않아도 순종하는 것입니다</t>
  </si>
  <si>
    <r>
      <rPr>
        <sz val="10"/>
        <color rgb="FF000000"/>
        <rFont val="WenQuanYi Zen Hei"/>
        <family val="2"/>
      </rPr>
      <t xml:space="preserve">여호수아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제사장들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라합</t>
    </r>
  </si>
  <si>
    <r>
      <rPr>
        <sz val="10"/>
        <color rgb="FF000000"/>
        <rFont val="WenQuanYi Zen Hei"/>
        <family val="2"/>
      </rPr>
      <t xml:space="preserve">여리고 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양각 나팔</t>
    </r>
  </si>
  <si>
    <t xml:space="preserve">성 함락 후 학살 장면 묘사 금지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</si>
  <si>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수 </t>
    </r>
    <r>
      <rPr>
        <sz val="10"/>
        <color rgb="FF1F3864"/>
        <rFont val="Arial"/>
        <family val="0"/>
        <charset val="1"/>
      </rPr>
      <t xml:space="preserve">5:1-15 </t>
    </r>
    <r>
      <rPr>
        <sz val="10"/>
        <color rgb="FF1F3864"/>
        <rFont val="WenQuanYi Zen Hei"/>
        <family val="2"/>
      </rPr>
      <t xml:space="preserve">여호와의 군대 대장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</si>
  <si>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A0174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</si>
  <si>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7:1-26</t>
    </r>
  </si>
  <si>
    <t xml:space="preserve">숨겨 둔 외투 한 벌</t>
  </si>
  <si>
    <t xml:space="preserve">작은 성에서 대패한 이유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</si>
  <si>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7:11</t>
    </r>
  </si>
  <si>
    <t xml:space="preserve">숨긴 죄는 공동체 전체를 무너뜨립니다</t>
  </si>
  <si>
    <r>
      <rPr>
        <sz val="10"/>
        <color rgb="FF000000"/>
        <rFont val="WenQuanYi Zen Hei"/>
        <family val="2"/>
      </rPr>
      <t xml:space="preserve">아간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여호수아</t>
    </r>
  </si>
  <si>
    <r>
      <rPr>
        <sz val="10"/>
        <color rgb="FF000000"/>
        <rFont val="WenQuanYi Zen Hei"/>
        <family val="2"/>
      </rPr>
      <t xml:space="preserve">아이 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아골 골짜기</t>
    </r>
  </si>
  <si>
    <t xml:space="preserve">A0175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</si>
  <si>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8:1-35</t>
    </r>
  </si>
  <si>
    <t xml:space="preserve">다시 일어서다</t>
  </si>
  <si>
    <t xml:space="preserve">실패한 그 성을 다시 공격하라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</si>
  <si>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8:1</t>
    </r>
  </si>
  <si>
    <t xml:space="preserve">회개 후에 하나님은 다시 승리를 주십니다</t>
  </si>
  <si>
    <r>
      <rPr>
        <sz val="10"/>
        <color rgb="FF000000"/>
        <rFont val="WenQuanYi Zen Hei"/>
        <family val="2"/>
      </rPr>
      <t xml:space="preserve">여호수아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</si>
  <si>
    <r>
      <rPr>
        <sz val="10"/>
        <color rgb="FF000000"/>
        <rFont val="WenQuanYi Zen Hei"/>
        <family val="2"/>
      </rPr>
      <t xml:space="preserve">아이 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에발 산 제단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</si>
  <si>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#077 '</t>
    </r>
    <r>
      <rPr>
        <sz val="10"/>
        <color rgb="FF000000"/>
        <rFont val="WenQuanYi Zen Hei"/>
        <family val="2"/>
      </rPr>
      <t xml:space="preserve">숨겨 둔 외투 한 벌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</si>
  <si>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A0176</t>
  </si>
  <si>
    <t xml:space="preserve">B020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</si>
  <si>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9:1-27</t>
    </r>
  </si>
  <si>
    <t xml:space="preserve">기브온의 속임수</t>
  </si>
  <si>
    <t xml:space="preserve">낡은 옷과 곰팡이 핀 빵에 속았다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</si>
  <si>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9:14</t>
    </r>
  </si>
  <si>
    <t xml:space="preserve">모든 결정을 하나님께 물어야 합니다</t>
  </si>
  <si>
    <r>
      <rPr>
        <sz val="10"/>
        <color rgb="FF000000"/>
        <rFont val="WenQuanYi Zen Hei"/>
        <family val="2"/>
      </rPr>
      <t xml:space="preserve">여호수아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기브온 사람들</t>
    </r>
  </si>
  <si>
    <t xml:space="preserve">길갈 진영</t>
  </si>
  <si>
    <t xml:space="preserve">A0177</t>
  </si>
  <si>
    <t xml:space="preserve">S1-L09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</si>
  <si>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10:1-15</t>
    </r>
  </si>
  <si>
    <t xml:space="preserve">태양아 멈추라</t>
  </si>
  <si>
    <t xml:space="preserve">해가 하루 종일 멈춰 섰다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</si>
  <si>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10:13</t>
    </r>
  </si>
  <si>
    <t xml:space="preserve">하나님은 기도하는 자를 위해 싸우십니다</t>
  </si>
  <si>
    <r>
      <rPr>
        <sz val="10"/>
        <color rgb="FF000000"/>
        <rFont val="WenQuanYi Zen Hei"/>
        <family val="2"/>
      </rPr>
      <t xml:space="preserve">여호수아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다섯 왕</t>
    </r>
  </si>
  <si>
    <r>
      <rPr>
        <sz val="10"/>
        <color rgb="FF000000"/>
        <rFont val="WenQuanYi Zen Hei"/>
        <family val="2"/>
      </rPr>
      <t xml:space="preserve">기브온 상공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우박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</si>
  <si>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수 </t>
    </r>
    <r>
      <rPr>
        <sz val="10"/>
        <color rgb="FF1F3864"/>
        <rFont val="Arial"/>
        <family val="0"/>
        <charset val="1"/>
      </rPr>
      <t xml:space="preserve">8:1-35 </t>
    </r>
    <r>
      <rPr>
        <sz val="10"/>
        <color rgb="FF1F3864"/>
        <rFont val="WenQuanYi Zen Hei"/>
        <family val="2"/>
      </rPr>
      <t xml:space="preserve">다시 일어서다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수 </t>
    </r>
    <r>
      <rPr>
        <sz val="10"/>
        <color rgb="FF1F3864"/>
        <rFont val="Arial"/>
        <family val="0"/>
        <charset val="1"/>
      </rPr>
      <t xml:space="preserve">9:1-27 </t>
    </r>
    <r>
      <rPr>
        <sz val="10"/>
        <color rgb="FF1F3864"/>
        <rFont val="WenQuanYi Zen Hei"/>
        <family val="2"/>
      </rPr>
      <t xml:space="preserve">기브온의 속임수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</si>
  <si>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A0178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</si>
  <si>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10:16-12:24</t>
    </r>
  </si>
  <si>
    <t xml:space="preserve">가나안 정복 전쟁</t>
  </si>
  <si>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WenQuanYi Zen Hei"/>
        <family val="2"/>
      </rPr>
      <t xml:space="preserve">명의 왕을 이기다</t>
    </r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</si>
  <si>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11:23</t>
    </r>
  </si>
  <si>
    <t xml:space="preserve">하나님은 약속하신 땅을 주셨습니다</t>
  </si>
  <si>
    <r>
      <rPr>
        <sz val="10"/>
        <color rgb="FF000000"/>
        <rFont val="WenQuanYi Zen Hei"/>
        <family val="2"/>
      </rPr>
      <t xml:space="preserve">여호수아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이스라엘 군대</t>
    </r>
  </si>
  <si>
    <t xml:space="preserve">가나안 지도</t>
  </si>
  <si>
    <r>
      <rPr>
        <sz val="10"/>
        <color rgb="FFC00000"/>
        <rFont val="WenQuanYi Zen Hei"/>
        <family val="2"/>
      </rPr>
      <t xml:space="preserve">헤렘은 가나안 죄악에 대한 하나님의 심판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창 </t>
    </r>
    <r>
      <rPr>
        <sz val="10"/>
        <color rgb="FFC00000"/>
        <rFont val="Arial"/>
        <family val="0"/>
        <charset val="1"/>
      </rPr>
      <t xml:space="preserve">15:16)</t>
    </r>
    <r>
      <rPr>
        <sz val="10"/>
        <color rgb="FFC00000"/>
        <rFont val="WenQuanYi Zen Hei"/>
        <family val="2"/>
      </rPr>
      <t xml:space="preserve">임을 설명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잔혹 묘사 금지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</si>
  <si>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#078 '</t>
    </r>
    <r>
      <rPr>
        <sz val="10"/>
        <color rgb="FF000000"/>
        <rFont val="WenQuanYi Zen Hei"/>
        <family val="2"/>
      </rPr>
      <t xml:space="preserve">태양아 멈추라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</si>
  <si>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A0179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</si>
  <si>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13:1-14:5</t>
    </r>
  </si>
  <si>
    <t xml:space="preserve">땅을 나누다</t>
  </si>
  <si>
    <t xml:space="preserve">아직 정복할 땅이 많이 남았다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</si>
  <si>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13:1</t>
    </r>
  </si>
  <si>
    <t xml:space="preserve">하나님의 일은 끝까지 이어집니다</t>
  </si>
  <si>
    <r>
      <rPr>
        <sz val="10"/>
        <color rgb="FF000000"/>
        <rFont val="WenQuanYi Zen Hei"/>
        <family val="2"/>
      </rPr>
      <t xml:space="preserve">여호수아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엘르아살</t>
    </r>
  </si>
  <si>
    <t xml:space="preserve">땅 분배 제비뽑기</t>
  </si>
  <si>
    <t xml:space="preserve">A0180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</si>
  <si>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14:6-15</t>
    </r>
  </si>
  <si>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WenQuanYi Zen Hei"/>
        <family val="2"/>
      </rPr>
      <t xml:space="preserve">세 갈렙</t>
    </r>
  </si>
  <si>
    <t xml:space="preserve">이 산지를 내게 주소서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</si>
  <si>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14:12</t>
    </r>
  </si>
  <si>
    <t xml:space="preserve">믿음은 나이와 상관없습니다</t>
  </si>
  <si>
    <r>
      <rPr>
        <sz val="10"/>
        <color rgb="FF000000"/>
        <rFont val="WenQuanYi Zen Hei"/>
        <family val="2"/>
      </rPr>
      <t xml:space="preserve">갈렙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여호수아</t>
    </r>
  </si>
  <si>
    <t xml:space="preserve">헤브론 산지</t>
  </si>
  <si>
    <t xml:space="preserve">A0181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</si>
  <si>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15:1-19:51</t>
    </r>
  </si>
  <si>
    <t xml:space="preserve">열두 지파의 기업</t>
  </si>
  <si>
    <r>
      <rPr>
        <sz val="10"/>
        <color rgb="FF000000"/>
        <rFont val="WenQuanYi Zen Hei"/>
        <family val="2"/>
      </rPr>
      <t xml:space="preserve">각 지파가 받은 땅은 어디였을까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</si>
  <si>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18:1</t>
    </r>
  </si>
  <si>
    <t xml:space="preserve">하나님은 각 사람에게 몫을 주십니다</t>
  </si>
  <si>
    <t xml:space="preserve">지파 지도자들</t>
  </si>
  <si>
    <r>
      <rPr>
        <sz val="10"/>
        <color rgb="FF000000"/>
        <rFont val="WenQuanYi Zen Hei"/>
        <family val="2"/>
      </rPr>
      <t xml:space="preserve">실로 회막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지도</t>
    </r>
  </si>
  <si>
    <t xml:space="preserve">A0182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</si>
  <si>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20:1-21:45</t>
    </r>
  </si>
  <si>
    <t xml:space="preserve">하나도 남김없이</t>
  </si>
  <si>
    <t xml:space="preserve">하나님의 약속은 하나도 빠짐없이 이루어졌다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</si>
  <si>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21:45</t>
    </r>
  </si>
  <si>
    <t xml:space="preserve">하나님은 약속을 다 지키십니다</t>
  </si>
  <si>
    <r>
      <rPr>
        <sz val="10"/>
        <color rgb="FF000000"/>
        <rFont val="WenQuanYi Zen Hei"/>
        <family val="2"/>
      </rPr>
      <t xml:space="preserve">여호수아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레위인</t>
    </r>
  </si>
  <si>
    <r>
      <rPr>
        <sz val="10"/>
        <color rgb="FF000000"/>
        <rFont val="WenQuanYi Zen Hei"/>
        <family val="2"/>
      </rPr>
      <t xml:space="preserve">도피성들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레위인 성읍</t>
    </r>
  </si>
  <si>
    <t xml:space="preserve">A0183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</si>
  <si>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22:1-34</t>
    </r>
  </si>
  <si>
    <t xml:space="preserve">요단 강가의 큰 제단</t>
  </si>
  <si>
    <t xml:space="preserve">오해로 전쟁이 날 뻔했다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</si>
  <si>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22:34</t>
    </r>
  </si>
  <si>
    <t xml:space="preserve">대화가 분열을 막습니다</t>
  </si>
  <si>
    <r>
      <rPr>
        <sz val="10"/>
        <color rgb="FF000000"/>
        <rFont val="WenQuanYi Zen Hei"/>
        <family val="2"/>
      </rPr>
      <t xml:space="preserve">비느하스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동편 지파</t>
    </r>
  </si>
  <si>
    <t xml:space="preserve">요단 강가 제단</t>
  </si>
  <si>
    <t xml:space="preserve">A0184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</si>
  <si>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23:1-24:33</t>
    </r>
  </si>
  <si>
    <t xml:space="preserve">나와 내 집은</t>
  </si>
  <si>
    <t xml:space="preserve">떠나기 전 마지막으로 남긴 결단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</si>
  <si>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24:15</t>
    </r>
  </si>
  <si>
    <t xml:space="preserve">오직 나와 내 집은 여호와를 섬기겠노라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</si>
  <si>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6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수 </t>
    </r>
    <r>
      <rPr>
        <sz val="10"/>
        <color rgb="FF1F3864"/>
        <rFont val="Arial"/>
        <family val="0"/>
        <charset val="1"/>
      </rPr>
      <t xml:space="preserve">10:16-12:24 </t>
    </r>
    <r>
      <rPr>
        <sz val="10"/>
        <color rgb="FF1F3864"/>
        <rFont val="WenQuanYi Zen Hei"/>
        <family val="2"/>
      </rPr>
      <t xml:space="preserve">가나안 정복 전쟁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수 </t>
    </r>
    <r>
      <rPr>
        <sz val="10"/>
        <color rgb="FF1F3864"/>
        <rFont val="Arial"/>
        <family val="0"/>
        <charset val="1"/>
      </rPr>
      <t xml:space="preserve">13:1-14:5 </t>
    </r>
    <r>
      <rPr>
        <sz val="10"/>
        <color rgb="FF1F3864"/>
        <rFont val="WenQuanYi Zen Hei"/>
        <family val="2"/>
      </rPr>
      <t xml:space="preserve">땅을 나누다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수 </t>
    </r>
    <r>
      <rPr>
        <sz val="10"/>
        <color rgb="FF1F3864"/>
        <rFont val="Arial"/>
        <family val="0"/>
        <charset val="1"/>
      </rPr>
      <t xml:space="preserve">14:6-15 85</t>
    </r>
    <r>
      <rPr>
        <sz val="10"/>
        <color rgb="FF1F3864"/>
        <rFont val="WenQuanYi Zen Hei"/>
        <family val="2"/>
      </rPr>
      <t xml:space="preserve">세 갈렙 외 </t>
    </r>
    <r>
      <rPr>
        <sz val="10"/>
        <color rgb="FF1F3864"/>
        <rFont val="Arial"/>
        <family val="0"/>
        <charset val="1"/>
      </rPr>
      <t xml:space="preserve">3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</si>
  <si>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A0185</t>
  </si>
  <si>
    <t xml:space="preserve">B021</t>
  </si>
  <si>
    <t xml:space="preserve">S2-L12</t>
  </si>
  <si>
    <t xml:space="preserve">사사기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</si>
  <si>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1:1-2:5</t>
    </r>
  </si>
  <si>
    <t xml:space="preserve">끝내지 못한 정복</t>
  </si>
  <si>
    <t xml:space="preserve">가나안 사람을 다 쫓아내지 않았다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</si>
  <si>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2:2</t>
    </r>
  </si>
  <si>
    <t xml:space="preserve">불완전한 순종은 올무가 됩니다</t>
  </si>
  <si>
    <r>
      <rPr>
        <sz val="10"/>
        <color rgb="FF000000"/>
        <rFont val="WenQuanYi Zen Hei"/>
        <family val="2"/>
      </rPr>
      <t xml:space="preserve">유다 지파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여호와의 사자</t>
    </r>
  </si>
  <si>
    <r>
      <rPr>
        <sz val="10"/>
        <color rgb="FF000000"/>
        <rFont val="WenQuanYi Zen Hei"/>
        <family val="2"/>
      </rPr>
      <t xml:space="preserve">가나안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보김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</si>
  <si>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#079 '</t>
    </r>
    <r>
      <rPr>
        <sz val="10"/>
        <color rgb="FF000000"/>
        <rFont val="WenQuanYi Zen Hei"/>
        <family val="2"/>
      </rPr>
      <t xml:space="preserve">나와 내 집은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</si>
  <si>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A0186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</si>
  <si>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2:6-3:6</t>
    </r>
  </si>
  <si>
    <t xml:space="preserve">여호와를 알지 못하는 세대</t>
  </si>
  <si>
    <t xml:space="preserve">단 한 세대 만에 하나님을 잊었다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</si>
  <si>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2:10</t>
    </r>
  </si>
  <si>
    <t xml:space="preserve">신앙은 다음 세대에 전해져야 합니다</t>
  </si>
  <si>
    <r>
      <rPr>
        <sz val="10"/>
        <color rgb="FF000000"/>
        <rFont val="WenQuanYi Zen Hei"/>
        <family val="2"/>
      </rPr>
      <t xml:space="preserve">가나안 마을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바알 제단</t>
    </r>
  </si>
  <si>
    <t xml:space="preserve">A0187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</si>
  <si>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3:7-31</t>
    </r>
  </si>
  <si>
    <t xml:space="preserve">왼손잡이 구원자</t>
  </si>
  <si>
    <t xml:space="preserve">칼을 오른쪽 허벅지에 숨긴 사사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</si>
  <si>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3:15</t>
    </r>
  </si>
  <si>
    <t xml:space="preserve">하나님은 부르짖을 때 구원자를 세우십니다</t>
  </si>
  <si>
    <r>
      <rPr>
        <sz val="10"/>
        <color rgb="FF000000"/>
        <rFont val="WenQuanYi Zen Hei"/>
        <family val="2"/>
      </rPr>
      <t xml:space="preserve">옷니엘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에훗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삼갈</t>
    </r>
  </si>
  <si>
    <t xml:space="preserve">모압 왕궁</t>
  </si>
  <si>
    <t xml:space="preserve">에훗의 암살 장면 직접 묘사 금지</t>
  </si>
  <si>
    <t xml:space="preserve">A0188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</si>
  <si>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4:1-24</t>
    </r>
  </si>
  <si>
    <t xml:space="preserve">드보라와 바락</t>
  </si>
  <si>
    <t xml:space="preserve">여자 사사와 겁 많은 장군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</si>
  <si>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4:14</t>
    </r>
  </si>
  <si>
    <t xml:space="preserve">여호와께서 너보다 앞서 나가시리라</t>
  </si>
  <si>
    <r>
      <rPr>
        <sz val="10"/>
        <color rgb="FF000000"/>
        <rFont val="WenQuanYi Zen Hei"/>
        <family val="2"/>
      </rPr>
      <t xml:space="preserve">드보라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바락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야엘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시스라</t>
    </r>
  </si>
  <si>
    <r>
      <rPr>
        <sz val="10"/>
        <color rgb="FF000000"/>
        <rFont val="WenQuanYi Zen Hei"/>
        <family val="2"/>
      </rPr>
      <t xml:space="preserve">다볼 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기손 강</t>
    </r>
  </si>
  <si>
    <t xml:space="preserve">장막 말뚝 장면 묘사 금지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</si>
  <si>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3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삿 </t>
    </r>
    <r>
      <rPr>
        <sz val="10"/>
        <color rgb="FF1F3864"/>
        <rFont val="Arial"/>
        <family val="0"/>
        <charset val="1"/>
      </rPr>
      <t xml:space="preserve">1:1-2:5 </t>
    </r>
    <r>
      <rPr>
        <sz val="10"/>
        <color rgb="FF1F3864"/>
        <rFont val="WenQuanYi Zen Hei"/>
        <family val="2"/>
      </rPr>
      <t xml:space="preserve">끝내지 못한 정복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삿 </t>
    </r>
    <r>
      <rPr>
        <sz val="10"/>
        <color rgb="FF1F3864"/>
        <rFont val="Arial"/>
        <family val="0"/>
        <charset val="1"/>
      </rPr>
      <t xml:space="preserve">2:6-3:6 </t>
    </r>
    <r>
      <rPr>
        <sz val="10"/>
        <color rgb="FF1F3864"/>
        <rFont val="WenQuanYi Zen Hei"/>
        <family val="2"/>
      </rPr>
      <t xml:space="preserve">여호와를 알지 못하는 세대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삿 </t>
    </r>
    <r>
      <rPr>
        <sz val="10"/>
        <color rgb="FF1F3864"/>
        <rFont val="Arial"/>
        <family val="0"/>
        <charset val="1"/>
      </rPr>
      <t xml:space="preserve">3:7-31 </t>
    </r>
    <r>
      <rPr>
        <sz val="10"/>
        <color rgb="FF1F3864"/>
        <rFont val="WenQuanYi Zen Hei"/>
        <family val="2"/>
      </rPr>
      <t xml:space="preserve">왼손잡이 구원자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</si>
  <si>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A0189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</si>
  <si>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5:1-31</t>
    </r>
  </si>
  <si>
    <t xml:space="preserve">드보라의 노래</t>
  </si>
  <si>
    <t xml:space="preserve">별들도 하늘에서 싸웠다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</si>
  <si>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5:31</t>
    </r>
  </si>
  <si>
    <t xml:space="preserve">하나님을 사랑하는 자는 해처럼 빛납니다</t>
  </si>
  <si>
    <r>
      <rPr>
        <sz val="10"/>
        <color rgb="FF000000"/>
        <rFont val="WenQuanYi Zen Hei"/>
        <family val="2"/>
      </rPr>
      <t xml:space="preserve">드보라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바락</t>
    </r>
  </si>
  <si>
    <t xml:space="preserve">승리의 들판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</si>
  <si>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#080 '</t>
    </r>
    <r>
      <rPr>
        <sz val="10"/>
        <color rgb="FF000000"/>
        <rFont val="WenQuanYi Zen Hei"/>
        <family val="2"/>
      </rPr>
      <t xml:space="preserve">드보라와 바락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</si>
  <si>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A0190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</si>
  <si>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6:1-24</t>
    </r>
  </si>
  <si>
    <t xml:space="preserve">큰 용사여</t>
  </si>
  <si>
    <t xml:space="preserve">숨어서 밀을 타작하던 겁쟁이를 부르셨다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</si>
  <si>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6:12</t>
    </r>
  </si>
  <si>
    <t xml:space="preserve">하나님은 연약한 사람을 부르십니다</t>
  </si>
  <si>
    <r>
      <rPr>
        <sz val="10"/>
        <color rgb="FF000000"/>
        <rFont val="WenQuanYi Zen Hei"/>
        <family val="2"/>
      </rPr>
      <t xml:space="preserve">기드온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여호와의 사자</t>
    </r>
  </si>
  <si>
    <t xml:space="preserve">오브라 포도주 틀</t>
  </si>
  <si>
    <t xml:space="preserve">여호와의 사자는 빛으로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</si>
  <si>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삿 </t>
    </r>
    <r>
      <rPr>
        <sz val="10"/>
        <color rgb="FF1F3864"/>
        <rFont val="Arial"/>
        <family val="0"/>
        <charset val="1"/>
      </rPr>
      <t xml:space="preserve">5:1-31 </t>
    </r>
    <r>
      <rPr>
        <sz val="10"/>
        <color rgb="FF1F3864"/>
        <rFont val="WenQuanYi Zen Hei"/>
        <family val="2"/>
      </rPr>
      <t xml:space="preserve">드보라의 노래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</si>
  <si>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A0191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</si>
  <si>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6:25-40</t>
    </r>
  </si>
  <si>
    <t xml:space="preserve">양털 시험</t>
  </si>
  <si>
    <t xml:space="preserve">이슬로 두 번이나 확인한 믿음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</si>
  <si>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6:40</t>
    </r>
  </si>
  <si>
    <t xml:space="preserve">하나님은 연약한 믿음도 붙잡아 주십니다</t>
  </si>
  <si>
    <t xml:space="preserve">기드온</t>
  </si>
  <si>
    <r>
      <rPr>
        <sz val="10"/>
        <color rgb="FF000000"/>
        <rFont val="WenQuanYi Zen Hei"/>
        <family val="2"/>
      </rPr>
      <t xml:space="preserve">오브라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타작마당 양털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</si>
  <si>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#081 '</t>
    </r>
    <r>
      <rPr>
        <sz val="10"/>
        <color rgb="FF000000"/>
        <rFont val="WenQuanYi Zen Hei"/>
        <family val="2"/>
      </rPr>
      <t xml:space="preserve">큰 용사여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</si>
  <si>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A0192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</si>
  <si>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7:1-25</t>
    </r>
  </si>
  <si>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WenQuanYi Zen Hei"/>
        <family val="2"/>
      </rPr>
      <t xml:space="preserve">명의 용사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</si>
  <si>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천 명에서 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WenQuanYi Zen Hei"/>
        <family val="2"/>
      </rPr>
      <t xml:space="preserve">명으로</t>
    </r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</si>
  <si>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7:7</t>
    </r>
  </si>
  <si>
    <t xml:space="preserve">하나님은 숫자가 아니라 능력으로 이기십니다</t>
  </si>
  <si>
    <r>
      <rPr>
        <sz val="10"/>
        <color rgb="FF000000"/>
        <rFont val="WenQuanYi Zen Hei"/>
        <family val="2"/>
      </rPr>
      <t xml:space="preserve">기드온</t>
    </r>
    <r>
      <rPr>
        <sz val="10"/>
        <color rgb="FF000000"/>
        <rFont val="Arial"/>
        <family val="0"/>
        <charset val="1"/>
      </rPr>
      <t xml:space="preserve">·300 </t>
    </r>
    <r>
      <rPr>
        <sz val="10"/>
        <color rgb="FF000000"/>
        <rFont val="WenQuanYi Zen Hei"/>
        <family val="2"/>
      </rPr>
      <t xml:space="preserve">용사</t>
    </r>
  </si>
  <si>
    <r>
      <rPr>
        <sz val="10"/>
        <color rgb="FF000000"/>
        <rFont val="WenQuanYi Zen Hei"/>
        <family val="2"/>
      </rPr>
      <t xml:space="preserve">하롯 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미디안 진영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횃불과 항아리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</si>
  <si>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삿 </t>
    </r>
    <r>
      <rPr>
        <sz val="10"/>
        <color rgb="FF1F3864"/>
        <rFont val="Arial"/>
        <family val="0"/>
        <charset val="1"/>
      </rPr>
      <t xml:space="preserve">6:25-40 </t>
    </r>
    <r>
      <rPr>
        <sz val="10"/>
        <color rgb="FF1F3864"/>
        <rFont val="WenQuanYi Zen Hei"/>
        <family val="2"/>
      </rPr>
      <t xml:space="preserve">양털 시험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</si>
  <si>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A0193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</si>
  <si>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8:1-35</t>
    </r>
  </si>
  <si>
    <t xml:space="preserve">승리 후의 실수</t>
  </si>
  <si>
    <t xml:space="preserve">큰 승리 뒤에 만든 금 에봇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</si>
  <si>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8:23</t>
    </r>
  </si>
  <si>
    <t xml:space="preserve">여호와께서 너희를 다스리시리라</t>
  </si>
  <si>
    <r>
      <rPr>
        <sz val="10"/>
        <color rgb="FF000000"/>
        <rFont val="WenQuanYi Zen Hei"/>
        <family val="2"/>
      </rPr>
      <t xml:space="preserve">기드온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</si>
  <si>
    <t xml:space="preserve">오브라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</si>
  <si>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#082 '300</t>
    </r>
    <r>
      <rPr>
        <sz val="10"/>
        <color rgb="FF000000"/>
        <rFont val="WenQuanYi Zen Hei"/>
        <family val="2"/>
      </rPr>
      <t xml:space="preserve">명의 용사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</si>
  <si>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A0194</t>
  </si>
  <si>
    <t xml:space="preserve">B022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</si>
  <si>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9:1-57</t>
    </r>
  </si>
  <si>
    <t xml:space="preserve">가시나무 왕</t>
  </si>
  <si>
    <r>
      <rPr>
        <sz val="10"/>
        <color rgb="FF000000"/>
        <rFont val="WenQuanYi Zen Hei"/>
        <family val="2"/>
      </rPr>
      <t xml:space="preserve">형제 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WenQuanYi Zen Hei"/>
        <family val="2"/>
      </rPr>
      <t xml:space="preserve">명을 죽이고 왕이 된 사람</t>
    </r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</si>
  <si>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9:15</t>
    </r>
  </si>
  <si>
    <t xml:space="preserve">하나님 없는 권력은 스스로 무너집니다</t>
  </si>
  <si>
    <r>
      <rPr>
        <sz val="10"/>
        <color rgb="FF000000"/>
        <rFont val="WenQuanYi Zen Hei"/>
        <family val="2"/>
      </rPr>
      <t xml:space="preserve">아비멜렉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요담</t>
    </r>
  </si>
  <si>
    <r>
      <rPr>
        <sz val="10"/>
        <color rgb="FF000000"/>
        <rFont val="WenQuanYi Zen Hei"/>
        <family val="2"/>
      </rPr>
      <t xml:space="preserve">세겜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그리심 산</t>
    </r>
  </si>
  <si>
    <t xml:space="preserve">학살 장면 묘사 금지</t>
  </si>
  <si>
    <t xml:space="preserve">A0195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</si>
  <si>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10:1-11:28</t>
    </r>
  </si>
  <si>
    <t xml:space="preserve">쫓겨난 아들 입다</t>
  </si>
  <si>
    <t xml:space="preserve">버림받은 사람이 지도자가 되다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</si>
  <si>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10:16</t>
    </r>
  </si>
  <si>
    <t xml:space="preserve">하나님은 백성의 고통을 차마 보지 못하십니다</t>
  </si>
  <si>
    <r>
      <rPr>
        <sz val="10"/>
        <color rgb="FF000000"/>
        <rFont val="WenQuanYi Zen Hei"/>
        <family val="2"/>
      </rPr>
      <t xml:space="preserve">입다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길르앗 장로들</t>
    </r>
  </si>
  <si>
    <t xml:space="preserve">길르앗 돕 땅</t>
  </si>
  <si>
    <t xml:space="preserve">A0196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</si>
  <si>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11:29-40</t>
    </r>
  </si>
  <si>
    <t xml:space="preserve">입다의 서원</t>
  </si>
  <si>
    <t xml:space="preserve">함부로 한 약속이 부른 슬픔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</si>
  <si>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11:35</t>
    </r>
  </si>
  <si>
    <t xml:space="preserve">하나님 앞에서 하는 말은 신중해야 합니다</t>
  </si>
  <si>
    <r>
      <rPr>
        <sz val="10"/>
        <color rgb="FF000000"/>
        <rFont val="WenQuanYi Zen Hei"/>
        <family val="2"/>
      </rPr>
      <t xml:space="preserve">입다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입다의 딸</t>
    </r>
  </si>
  <si>
    <t xml:space="preserve">미스바 집 앞</t>
  </si>
  <si>
    <r>
      <rPr>
        <sz val="10"/>
        <color rgb="FFC00000"/>
        <rFont val="WenQuanYi Zen Hei"/>
        <family val="2"/>
      </rPr>
      <t xml:space="preserve">딸의 결말 해석 논쟁 언급 최소화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장면 묘사 금지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무모한 서원 경계</t>
    </r>
  </si>
  <si>
    <t xml:space="preserve">A0197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</si>
  <si>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12:1-15</t>
    </r>
  </si>
  <si>
    <t xml:space="preserve">쉽볼렛</t>
  </si>
  <si>
    <t xml:space="preserve">발음 하나로 생사가 갈렸다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</si>
  <si>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12:6</t>
    </r>
  </si>
  <si>
    <t xml:space="preserve">형제끼리의 다툼은 비극을 낳습니다</t>
  </si>
  <si>
    <r>
      <rPr>
        <sz val="10"/>
        <color rgb="FF000000"/>
        <rFont val="WenQuanYi Zen Hei"/>
        <family val="2"/>
      </rPr>
      <t xml:space="preserve">입다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에브라임 사람들</t>
    </r>
  </si>
  <si>
    <t xml:space="preserve">요단 나루</t>
  </si>
  <si>
    <t xml:space="preserve">살해 장면 묘사 금지</t>
  </si>
  <si>
    <t xml:space="preserve">A0198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</si>
  <si>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13:1-25</t>
    </r>
  </si>
  <si>
    <t xml:space="preserve">삼손의 탄생</t>
  </si>
  <si>
    <t xml:space="preserve">태어나기 전부터 정해진 나실인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</si>
  <si>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13:5</t>
    </r>
  </si>
  <si>
    <t xml:space="preserve">하나님은 구원자를 미리 준비하십니다</t>
  </si>
  <si>
    <r>
      <rPr>
        <sz val="10"/>
        <color rgb="FF000000"/>
        <rFont val="WenQuanYi Zen Hei"/>
        <family val="2"/>
      </rPr>
      <t xml:space="preserve">마노아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마노아의 아내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여호와의 사자</t>
    </r>
  </si>
  <si>
    <r>
      <rPr>
        <sz val="10"/>
        <color rgb="FF000000"/>
        <rFont val="WenQuanYi Zen Hei"/>
        <family val="2"/>
      </rPr>
      <t xml:space="preserve">소라 들판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제단 불꽃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</si>
  <si>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5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삿 </t>
    </r>
    <r>
      <rPr>
        <sz val="10"/>
        <color rgb="FF1F3864"/>
        <rFont val="Arial"/>
        <family val="0"/>
        <charset val="1"/>
      </rPr>
      <t xml:space="preserve">8:1-35 </t>
    </r>
    <r>
      <rPr>
        <sz val="10"/>
        <color rgb="FF1F3864"/>
        <rFont val="WenQuanYi Zen Hei"/>
        <family val="2"/>
      </rPr>
      <t xml:space="preserve">승리 후의 실수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삿 </t>
    </r>
    <r>
      <rPr>
        <sz val="10"/>
        <color rgb="FF1F3864"/>
        <rFont val="Arial"/>
        <family val="0"/>
        <charset val="1"/>
      </rPr>
      <t xml:space="preserve">9:1-57 </t>
    </r>
    <r>
      <rPr>
        <sz val="10"/>
        <color rgb="FF1F3864"/>
        <rFont val="WenQuanYi Zen Hei"/>
        <family val="2"/>
      </rPr>
      <t xml:space="preserve">가시나무 왕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삿 </t>
    </r>
    <r>
      <rPr>
        <sz val="10"/>
        <color rgb="FF1F3864"/>
        <rFont val="Arial"/>
        <family val="0"/>
        <charset val="1"/>
      </rPr>
      <t xml:space="preserve">10:1-11:28 </t>
    </r>
    <r>
      <rPr>
        <sz val="10"/>
        <color rgb="FF1F3864"/>
        <rFont val="WenQuanYi Zen Hei"/>
        <family val="2"/>
      </rPr>
      <t xml:space="preserve">쫓겨난 아들 입다 외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</si>
  <si>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A0199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</si>
  <si>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14:1-20</t>
    </r>
  </si>
  <si>
    <t xml:space="preserve">사자와 수수께끼</t>
  </si>
  <si>
    <t xml:space="preserve">맨손으로 사자를 찢은 청년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</si>
  <si>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14:6</t>
    </r>
  </si>
  <si>
    <t xml:space="preserve">힘은 하나님의 영이 주시는 것입니다</t>
  </si>
  <si>
    <r>
      <rPr>
        <sz val="10"/>
        <color rgb="FF000000"/>
        <rFont val="WenQuanYi Zen Hei"/>
        <family val="2"/>
      </rPr>
      <t xml:space="preserve">삼손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딤나 여인</t>
    </r>
  </si>
  <si>
    <t xml:space="preserve">딤나 포도원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</si>
  <si>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#083 '</t>
    </r>
    <r>
      <rPr>
        <sz val="10"/>
        <color rgb="FF000000"/>
        <rFont val="WenQuanYi Zen Hei"/>
        <family val="2"/>
      </rPr>
      <t xml:space="preserve">삼손의 탄생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</si>
  <si>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A0200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</si>
  <si>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15:1-20</t>
    </r>
  </si>
  <si>
    <t xml:space="preserve">나귀 턱뼈</t>
  </si>
  <si>
    <t xml:space="preserve">턱뼈 하나로 천 명을 이겼다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</si>
  <si>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15:18</t>
    </r>
  </si>
  <si>
    <t xml:space="preserve">하나님은 목마른 자를 살리십니다</t>
  </si>
  <si>
    <r>
      <rPr>
        <sz val="10"/>
        <color rgb="FF000000"/>
        <rFont val="WenQuanYi Zen Hei"/>
        <family val="2"/>
      </rPr>
      <t xml:space="preserve">삼손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블레셋 사람들</t>
    </r>
  </si>
  <si>
    <r>
      <rPr>
        <sz val="10"/>
        <color rgb="FF000000"/>
        <rFont val="WenQuanYi Zen Hei"/>
        <family val="2"/>
      </rPr>
      <t xml:space="preserve">레히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엔학고레 샘</t>
    </r>
  </si>
  <si>
    <t xml:space="preserve">전투 유혈 묘사 금지</t>
  </si>
  <si>
    <t xml:space="preserve">A0201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</si>
  <si>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16:1-22</t>
    </r>
  </si>
  <si>
    <t xml:space="preserve">머리카락의 비밀</t>
  </si>
  <si>
    <t xml:space="preserve">가장 큰 힘이 가장 약한 곳에서 무너졌다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</si>
  <si>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16:20</t>
    </r>
  </si>
  <si>
    <t xml:space="preserve">하나님이 떠나신 줄도 모르는 것이 가장 큰 위험입니다</t>
  </si>
  <si>
    <r>
      <rPr>
        <sz val="10"/>
        <color rgb="FF000000"/>
        <rFont val="WenQuanYi Zen Hei"/>
        <family val="2"/>
      </rPr>
      <t xml:space="preserve">삼손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들릴라</t>
    </r>
  </si>
  <si>
    <t xml:space="preserve">소렉 골짜기</t>
  </si>
  <si>
    <r>
      <rPr>
        <sz val="10"/>
        <color rgb="FFC00000"/>
        <rFont val="WenQuanYi Zen Hei"/>
        <family val="2"/>
      </rPr>
      <t xml:space="preserve">유혹 장면 절제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눈 뽑는 장면 묘사 금지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</si>
  <si>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삿 </t>
    </r>
    <r>
      <rPr>
        <sz val="10"/>
        <color rgb="FF1F3864"/>
        <rFont val="Arial"/>
        <family val="0"/>
        <charset val="1"/>
      </rPr>
      <t xml:space="preserve">14:1-20 </t>
    </r>
    <r>
      <rPr>
        <sz val="10"/>
        <color rgb="FF1F3864"/>
        <rFont val="WenQuanYi Zen Hei"/>
        <family val="2"/>
      </rPr>
      <t xml:space="preserve">사자와 수수께끼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삿 </t>
    </r>
    <r>
      <rPr>
        <sz val="10"/>
        <color rgb="FF1F3864"/>
        <rFont val="Arial"/>
        <family val="0"/>
        <charset val="1"/>
      </rPr>
      <t xml:space="preserve">15:1-20 </t>
    </r>
    <r>
      <rPr>
        <sz val="10"/>
        <color rgb="FF1F3864"/>
        <rFont val="WenQuanYi Zen Hei"/>
        <family val="2"/>
      </rPr>
      <t xml:space="preserve">나귀 턱뼈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</si>
  <si>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A0202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</si>
  <si>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16:23-31</t>
    </r>
  </si>
  <si>
    <t xml:space="preserve">삼손의 마지막 기도</t>
  </si>
  <si>
    <t xml:space="preserve">이번 한 번만 강하게 하소서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</si>
  <si>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16:28</t>
    </r>
  </si>
  <si>
    <t xml:space="preserve">하나님은 마지막 기도도 들으십니다</t>
  </si>
  <si>
    <r>
      <rPr>
        <sz val="10"/>
        <color rgb="FF000000"/>
        <rFont val="WenQuanYi Zen Hei"/>
        <family val="2"/>
      </rPr>
      <t xml:space="preserve">삼손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블레셋 방백들</t>
    </r>
  </si>
  <si>
    <t xml:space="preserve">다곤 신전</t>
  </si>
  <si>
    <t xml:space="preserve">A0203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</si>
  <si>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17:1-18:31</t>
    </r>
  </si>
  <si>
    <t xml:space="preserve">내 소견에 옳은 대로</t>
  </si>
  <si>
    <r>
      <rPr>
        <sz val="10"/>
        <color rgb="FF000000"/>
        <rFont val="WenQuanYi Zen Hei"/>
        <family val="2"/>
      </rPr>
      <t xml:space="preserve">은 </t>
    </r>
    <r>
      <rPr>
        <sz val="10"/>
        <color rgb="FF000000"/>
        <rFont val="Arial"/>
        <family val="0"/>
        <charset val="1"/>
      </rPr>
      <t xml:space="preserve">1,100</t>
    </r>
    <r>
      <rPr>
        <sz val="10"/>
        <color rgb="FF000000"/>
        <rFont val="WenQuanYi Zen Hei"/>
        <family val="2"/>
      </rPr>
      <t xml:space="preserve">개로 만든 우상</t>
    </r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</si>
  <si>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17:6</t>
    </r>
  </si>
  <si>
    <t xml:space="preserve">하나님 없이 각자 옳다고 하면 혼란이 옵니다</t>
  </si>
  <si>
    <r>
      <rPr>
        <sz val="10"/>
        <color rgb="FF000000"/>
        <rFont val="WenQuanYi Zen Hei"/>
        <family val="2"/>
      </rPr>
      <t xml:space="preserve">미가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레위인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단 지파</t>
    </r>
  </si>
  <si>
    <r>
      <rPr>
        <sz val="10"/>
        <color rgb="FF000000"/>
        <rFont val="WenQuanYi Zen Hei"/>
        <family val="2"/>
      </rPr>
      <t xml:space="preserve">에브라임 산지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단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</si>
  <si>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#085 '</t>
    </r>
    <r>
      <rPr>
        <sz val="10"/>
        <color rgb="FF000000"/>
        <rFont val="WenQuanYi Zen Hei"/>
        <family val="2"/>
      </rPr>
      <t xml:space="preserve">삼손의 마지막 기도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</si>
  <si>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A0204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</si>
  <si>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19:1-21:25</t>
    </r>
  </si>
  <si>
    <t xml:space="preserve">왕이 없던 시대의 비극</t>
  </si>
  <si>
    <t xml:space="preserve">이스라엘 지파들끼리 전쟁이 났다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</si>
  <si>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21:25</t>
    </r>
  </si>
  <si>
    <t xml:space="preserve">참 왕이 필요합니다</t>
  </si>
  <si>
    <r>
      <rPr>
        <sz val="10"/>
        <color rgb="FF000000"/>
        <rFont val="WenQuanYi Zen Hei"/>
        <family val="2"/>
      </rPr>
      <t xml:space="preserve">레위인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이스라엘 지파들</t>
    </r>
  </si>
  <si>
    <r>
      <rPr>
        <sz val="10"/>
        <color rgb="FF000000"/>
        <rFont val="WenQuanYi Zen Hei"/>
        <family val="2"/>
      </rPr>
      <t xml:space="preserve">기브아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미스바</t>
    </r>
  </si>
  <si>
    <r>
      <rPr>
        <sz val="10"/>
        <color rgb="FFC00000"/>
        <rFont val="Arial"/>
        <family val="0"/>
        <charset val="1"/>
      </rPr>
      <t xml:space="preserve">19</t>
    </r>
    <r>
      <rPr>
        <sz val="10"/>
        <color rgb="FFC00000"/>
        <rFont val="WenQuanYi Zen Hei"/>
        <family val="2"/>
      </rPr>
      <t xml:space="preserve">장 폭력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성범죄 절대 묘사 금지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내레이션으로 요약</t>
    </r>
  </si>
  <si>
    <t xml:space="preserve">A0205</t>
  </si>
  <si>
    <t xml:space="preserve">B023</t>
  </si>
  <si>
    <t xml:space="preserve">S1-L10</t>
  </si>
  <si>
    <t xml:space="preserve">룻기</t>
  </si>
  <si>
    <r>
      <rPr>
        <sz val="10"/>
        <color rgb="FF000000"/>
        <rFont val="WenQuanYi Zen Hei"/>
        <family val="2"/>
      </rPr>
      <t xml:space="preserve">룻 </t>
    </r>
    <r>
      <rPr>
        <sz val="10"/>
        <color rgb="FF000000"/>
        <rFont val="Arial"/>
        <family val="0"/>
        <charset val="1"/>
      </rPr>
      <t xml:space="preserve">1:1-22</t>
    </r>
  </si>
  <si>
    <t xml:space="preserve">어머니가 가시는 곳에 나도</t>
  </si>
  <si>
    <t xml:space="preserve">모든 것을 잃은 시어머니를 따라간 며느리</t>
  </si>
  <si>
    <r>
      <rPr>
        <sz val="10"/>
        <color rgb="FF000000"/>
        <rFont val="WenQuanYi Zen Hei"/>
        <family val="2"/>
      </rPr>
      <t xml:space="preserve">룻 </t>
    </r>
    <r>
      <rPr>
        <sz val="10"/>
        <color rgb="FF000000"/>
        <rFont val="Arial"/>
        <family val="0"/>
        <charset val="1"/>
      </rPr>
      <t xml:space="preserve">1:16</t>
    </r>
  </si>
  <si>
    <t xml:space="preserve">하나님을 따르는 결단이 인생을 바꿉니다</t>
  </si>
  <si>
    <r>
      <rPr>
        <sz val="10"/>
        <color rgb="FF000000"/>
        <rFont val="WenQuanYi Zen Hei"/>
        <family val="2"/>
      </rPr>
      <t xml:space="preserve">나오미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룻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오르바</t>
    </r>
  </si>
  <si>
    <r>
      <rPr>
        <sz val="10"/>
        <color rgb="FF000000"/>
        <rFont val="WenQuanYi Zen Hei"/>
        <family val="2"/>
      </rPr>
      <t xml:space="preserve">모압 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베들레헴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</si>
  <si>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삿 </t>
    </r>
    <r>
      <rPr>
        <sz val="10"/>
        <color rgb="FF1F3864"/>
        <rFont val="Arial"/>
        <family val="0"/>
        <charset val="1"/>
      </rPr>
      <t xml:space="preserve">17:1-18:31 </t>
    </r>
    <r>
      <rPr>
        <sz val="10"/>
        <color rgb="FF1F3864"/>
        <rFont val="WenQuanYi Zen Hei"/>
        <family val="2"/>
      </rPr>
      <t xml:space="preserve">내 소견에 옳은 대로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삿 </t>
    </r>
    <r>
      <rPr>
        <sz val="10"/>
        <color rgb="FF1F3864"/>
        <rFont val="Arial"/>
        <family val="0"/>
        <charset val="1"/>
      </rPr>
      <t xml:space="preserve">19:1-21:25 </t>
    </r>
    <r>
      <rPr>
        <sz val="10"/>
        <color rgb="FF1F3864"/>
        <rFont val="WenQuanYi Zen Hei"/>
        <family val="2"/>
      </rPr>
      <t xml:space="preserve">왕이 없던 시대의 비극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</si>
  <si>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A0206</t>
  </si>
  <si>
    <r>
      <rPr>
        <sz val="10"/>
        <color rgb="FF000000"/>
        <rFont val="WenQuanYi Zen Hei"/>
        <family val="2"/>
      </rPr>
      <t xml:space="preserve">룻 </t>
    </r>
    <r>
      <rPr>
        <sz val="10"/>
        <color rgb="FF000000"/>
        <rFont val="Arial"/>
        <family val="0"/>
        <charset val="1"/>
      </rPr>
      <t xml:space="preserve">2:1-23</t>
    </r>
  </si>
  <si>
    <t xml:space="preserve">우연히 들어간 밭</t>
  </si>
  <si>
    <t xml:space="preserve">하필 그 밭이 보아스의 밭이었다</t>
  </si>
  <si>
    <r>
      <rPr>
        <sz val="10"/>
        <color rgb="FF000000"/>
        <rFont val="WenQuanYi Zen Hei"/>
        <family val="2"/>
      </rPr>
      <t xml:space="preserve">룻 </t>
    </r>
    <r>
      <rPr>
        <sz val="10"/>
        <color rgb="FF000000"/>
        <rFont val="Arial"/>
        <family val="0"/>
        <charset val="1"/>
      </rPr>
      <t xml:space="preserve">2:12</t>
    </r>
  </si>
  <si>
    <t xml:space="preserve">하나님의 날개 아래 피하는 자에게 은혜가 있습니다</t>
  </si>
  <si>
    <r>
      <rPr>
        <sz val="10"/>
        <color rgb="FF000000"/>
        <rFont val="WenQuanYi Zen Hei"/>
        <family val="2"/>
      </rPr>
      <t xml:space="preserve">룻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보아스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나오미</t>
    </r>
  </si>
  <si>
    <t xml:space="preserve">보리 추수하는 밭</t>
  </si>
  <si>
    <t xml:space="preserve">A0207</t>
  </si>
  <si>
    <t xml:space="preserve">S2-L13</t>
  </si>
  <si>
    <r>
      <rPr>
        <sz val="10"/>
        <color rgb="FF000000"/>
        <rFont val="WenQuanYi Zen Hei"/>
        <family val="2"/>
      </rPr>
      <t xml:space="preserve">룻 </t>
    </r>
    <r>
      <rPr>
        <sz val="10"/>
        <color rgb="FF000000"/>
        <rFont val="Arial"/>
        <family val="0"/>
        <charset val="1"/>
      </rPr>
      <t xml:space="preserve">3:1-18</t>
    </r>
  </si>
  <si>
    <t xml:space="preserve">기업 무를 자</t>
  </si>
  <si>
    <t xml:space="preserve">밤에 타작마당에 찾아간 이유</t>
  </si>
  <si>
    <r>
      <rPr>
        <sz val="10"/>
        <color rgb="FF000000"/>
        <rFont val="WenQuanYi Zen Hei"/>
        <family val="2"/>
      </rPr>
      <t xml:space="preserve">룻 </t>
    </r>
    <r>
      <rPr>
        <sz val="10"/>
        <color rgb="FF000000"/>
        <rFont val="Arial"/>
        <family val="0"/>
        <charset val="1"/>
      </rPr>
      <t xml:space="preserve">3:9</t>
    </r>
  </si>
  <si>
    <t xml:space="preserve">은혜를 구하는 자에게 은혜가 임합니다</t>
  </si>
  <si>
    <t xml:space="preserve">타작마당</t>
  </si>
  <si>
    <r>
      <rPr>
        <sz val="10"/>
        <color rgb="FFC00000"/>
        <rFont val="WenQuanYi Zen Hei"/>
        <family val="2"/>
      </rPr>
      <t xml:space="preserve">고대 관습으로 설명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성적 오해 소지 연출 금지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</si>
  <si>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#087 '</t>
    </r>
    <r>
      <rPr>
        <sz val="10"/>
        <color rgb="FF000000"/>
        <rFont val="WenQuanYi Zen Hei"/>
        <family val="2"/>
      </rPr>
      <t xml:space="preserve">우연히 들어간 밭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</si>
  <si>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A0208</t>
  </si>
  <si>
    <r>
      <rPr>
        <sz val="10"/>
        <color rgb="FF000000"/>
        <rFont val="WenQuanYi Zen Hei"/>
        <family val="2"/>
      </rPr>
      <t xml:space="preserve">룻 </t>
    </r>
    <r>
      <rPr>
        <sz val="10"/>
        <color rgb="FF000000"/>
        <rFont val="Arial"/>
        <family val="0"/>
        <charset val="1"/>
      </rPr>
      <t xml:space="preserve">4:1-12</t>
    </r>
  </si>
  <si>
    <t xml:space="preserve">성문에서의 결정</t>
  </si>
  <si>
    <t xml:space="preserve">자기 손해를 감수하고 값을 치른 사람</t>
  </si>
  <si>
    <r>
      <rPr>
        <sz val="10"/>
        <color rgb="FF000000"/>
        <rFont val="WenQuanYi Zen Hei"/>
        <family val="2"/>
      </rPr>
      <t xml:space="preserve">룻 </t>
    </r>
    <r>
      <rPr>
        <sz val="10"/>
        <color rgb="FF000000"/>
        <rFont val="Arial"/>
        <family val="0"/>
        <charset val="1"/>
      </rPr>
      <t xml:space="preserve">4:10</t>
    </r>
  </si>
  <si>
    <t xml:space="preserve">참된 구속자는 값을 치릅니다</t>
  </si>
  <si>
    <r>
      <rPr>
        <sz val="10"/>
        <color rgb="FF000000"/>
        <rFont val="WenQuanYi Zen Hei"/>
        <family val="2"/>
      </rPr>
      <t xml:space="preserve">보아스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친족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장로들</t>
    </r>
  </si>
  <si>
    <t xml:space="preserve">베들레헴 성문</t>
  </si>
  <si>
    <r>
      <rPr>
        <sz val="10"/>
        <color rgb="FFC00000"/>
        <rFont val="WenQuanYi Zen Hei"/>
        <family val="2"/>
      </rPr>
      <t xml:space="preserve">그리스도 </t>
    </r>
    <r>
      <rPr>
        <sz val="10"/>
        <color rgb="FFC00000"/>
        <rFont val="Arial"/>
        <family val="0"/>
        <charset val="1"/>
      </rPr>
      <t xml:space="preserve">= </t>
    </r>
    <r>
      <rPr>
        <sz val="10"/>
        <color rgb="FFC00000"/>
        <rFont val="WenQuanYi Zen Hei"/>
        <family val="2"/>
      </rPr>
      <t xml:space="preserve">기업 무를 자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</si>
  <si>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룻 </t>
    </r>
    <r>
      <rPr>
        <sz val="10"/>
        <color rgb="FF1F3864"/>
        <rFont val="Arial"/>
        <family val="0"/>
        <charset val="1"/>
      </rPr>
      <t xml:space="preserve">3:1-18 </t>
    </r>
    <r>
      <rPr>
        <sz val="10"/>
        <color rgb="FF1F3864"/>
        <rFont val="WenQuanYi Zen Hei"/>
        <family val="2"/>
      </rPr>
      <t xml:space="preserve">기업 무를 자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</si>
  <si>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A0209</t>
  </si>
  <si>
    <r>
      <rPr>
        <sz val="10"/>
        <color rgb="FF000000"/>
        <rFont val="WenQuanYi Zen Hei"/>
        <family val="2"/>
      </rPr>
      <t xml:space="preserve">룻 </t>
    </r>
    <r>
      <rPr>
        <sz val="10"/>
        <color rgb="FF000000"/>
        <rFont val="Arial"/>
        <family val="0"/>
        <charset val="1"/>
      </rPr>
      <t xml:space="preserve">4:13-22</t>
    </r>
  </si>
  <si>
    <t xml:space="preserve">다윗의 증조할머니</t>
  </si>
  <si>
    <t xml:space="preserve">모압 여인이 왕의 족보에 들어가다</t>
  </si>
  <si>
    <r>
      <rPr>
        <sz val="10"/>
        <color rgb="FF000000"/>
        <rFont val="WenQuanYi Zen Hei"/>
        <family val="2"/>
      </rPr>
      <t xml:space="preserve">룻 </t>
    </r>
    <r>
      <rPr>
        <sz val="10"/>
        <color rgb="FF000000"/>
        <rFont val="Arial"/>
        <family val="0"/>
        <charset val="1"/>
      </rPr>
      <t xml:space="preserve">4:17</t>
    </r>
  </si>
  <si>
    <t xml:space="preserve">하나님은 버려진 사람을 통해 왕을 준비하십니다</t>
  </si>
  <si>
    <r>
      <rPr>
        <sz val="10"/>
        <color rgb="FF000000"/>
        <rFont val="WenQuanYi Zen Hei"/>
        <family val="2"/>
      </rPr>
      <t xml:space="preserve">룻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보아스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나오미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오벳</t>
    </r>
  </si>
  <si>
    <t xml:space="preserve">베들레헴</t>
  </si>
  <si>
    <r>
      <rPr>
        <sz val="10"/>
        <color rgb="FFC00000"/>
        <rFont val="WenQuanYi Zen Hei"/>
        <family val="2"/>
      </rPr>
      <t xml:space="preserve">마 </t>
    </r>
    <r>
      <rPr>
        <sz val="10"/>
        <color rgb="FFC00000"/>
        <rFont val="Arial"/>
        <family val="0"/>
        <charset val="1"/>
      </rPr>
      <t xml:space="preserve">1:5 </t>
    </r>
    <r>
      <rPr>
        <sz val="10"/>
        <color rgb="FFC00000"/>
        <rFont val="WenQuanYi Zen Hei"/>
        <family val="2"/>
      </rPr>
      <t xml:space="preserve">연결</t>
    </r>
  </si>
  <si>
    <t xml:space="preserve">A0210</t>
  </si>
  <si>
    <t xml:space="preserve">사무엘상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</si>
  <si>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1:1-28</t>
    </r>
  </si>
  <si>
    <t xml:space="preserve">한나의 기도</t>
  </si>
  <si>
    <t xml:space="preserve">입술만 움직이며 기도한 여인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</si>
  <si>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1:27</t>
    </r>
  </si>
  <si>
    <t xml:space="preserve">하나님은 마음의 기도를 들으십니다</t>
  </si>
  <si>
    <r>
      <rPr>
        <sz val="10"/>
        <color rgb="FF000000"/>
        <rFont val="WenQuanYi Zen Hei"/>
        <family val="2"/>
      </rPr>
      <t xml:space="preserve">한나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엘가나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엘리</t>
    </r>
  </si>
  <si>
    <t xml:space="preserve">실로 성막</t>
  </si>
  <si>
    <t xml:space="preserve">A0211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</si>
  <si>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2:1-36</t>
    </r>
  </si>
  <si>
    <t xml:space="preserve">한나의 노래와 엘리의 아들들</t>
  </si>
  <si>
    <t xml:space="preserve">기도의 어머니와 망가진 제사장 아들들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</si>
  <si>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2:30</t>
    </r>
  </si>
  <si>
    <t xml:space="preserve">나를 존중히 여기는 자를 내가 존중히 여기리라</t>
  </si>
  <si>
    <r>
      <rPr>
        <sz val="10"/>
        <color rgb="FF000000"/>
        <rFont val="WenQuanYi Zen Hei"/>
        <family val="2"/>
      </rPr>
      <t xml:space="preserve">한나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엘리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홉니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비느하스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어린 사무엘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</si>
  <si>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#090 '</t>
    </r>
    <r>
      <rPr>
        <sz val="10"/>
        <color rgb="FF000000"/>
        <rFont val="WenQuanYi Zen Hei"/>
        <family val="2"/>
      </rPr>
      <t xml:space="preserve">한나의 기도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</si>
  <si>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A0212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</si>
  <si>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3:1-21</t>
    </r>
  </si>
  <si>
    <t xml:space="preserve">말씀하옵소서</t>
  </si>
  <si>
    <t xml:space="preserve">한밤중에 소년의 이름을 부른 목소리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</si>
  <si>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3:10</t>
    </r>
  </si>
  <si>
    <t xml:space="preserve">말씀하옵소서 주의 종이 듣겠나이다</t>
  </si>
  <si>
    <r>
      <rPr>
        <sz val="10"/>
        <color rgb="FF000000"/>
        <rFont val="WenQuanYi Zen Hei"/>
        <family val="2"/>
      </rPr>
      <t xml:space="preserve">사무엘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엘리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하나님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음성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</si>
  <si>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실로 성막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등불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</si>
  <si>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삼상 </t>
    </r>
    <r>
      <rPr>
        <sz val="10"/>
        <color rgb="FF1F3864"/>
        <rFont val="Arial"/>
        <family val="0"/>
        <charset val="1"/>
      </rPr>
      <t xml:space="preserve">2:1-36 </t>
    </r>
    <r>
      <rPr>
        <sz val="10"/>
        <color rgb="FF1F3864"/>
        <rFont val="WenQuanYi Zen Hei"/>
        <family val="2"/>
      </rPr>
      <t xml:space="preserve">한나의 노래와 엘리의 아들들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</si>
  <si>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A0213</t>
  </si>
  <si>
    <t xml:space="preserve">B024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</si>
  <si>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4:1-22</t>
    </r>
  </si>
  <si>
    <t xml:space="preserve">빼앗긴 언약궤</t>
  </si>
  <si>
    <t xml:space="preserve">언약궤를 부적처럼 들고 나갔다가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</si>
  <si>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4:21</t>
    </r>
  </si>
  <si>
    <r>
      <rPr>
        <sz val="10"/>
        <color rgb="FF000000"/>
        <rFont val="WenQuanYi Zen Hei"/>
        <family val="2"/>
      </rPr>
      <t xml:space="preserve">하나님은 부적이 아닙니다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이가봇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</si>
  <si>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엘리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홉니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비느하스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블레셋</t>
    </r>
  </si>
  <si>
    <t xml:space="preserve">에벤에셀 전쟁터</t>
  </si>
  <si>
    <r>
      <rPr>
        <sz val="10"/>
        <color rgb="FFC00000"/>
        <rFont val="WenQuanYi Zen Hei"/>
        <family val="2"/>
      </rPr>
      <t xml:space="preserve">전사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죽음 묘사 절제</t>
    </r>
  </si>
  <si>
    <t xml:space="preserve">A0214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</si>
  <si>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5:1-6:21</t>
    </r>
  </si>
  <si>
    <t xml:space="preserve">쓰러진 다곤</t>
  </si>
  <si>
    <t xml:space="preserve">블레셋 신상이 언약궤 앞에 엎드렸다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</si>
  <si>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5:3</t>
    </r>
  </si>
  <si>
    <t xml:space="preserve">여호와 앞에 모든 우상은 무너집니다</t>
  </si>
  <si>
    <t xml:space="preserve">블레셋 사람들</t>
  </si>
  <si>
    <r>
      <rPr>
        <sz val="10"/>
        <color rgb="FF000000"/>
        <rFont val="WenQuanYi Zen Hei"/>
        <family val="2"/>
      </rPr>
      <t xml:space="preserve">아스돗 다곤 신전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벧세메스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</si>
  <si>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#092 '</t>
    </r>
    <r>
      <rPr>
        <sz val="10"/>
        <color rgb="FF000000"/>
        <rFont val="WenQuanYi Zen Hei"/>
        <family val="2"/>
      </rPr>
      <t xml:space="preserve">빼앗긴 언약궤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</si>
  <si>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A0215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</si>
  <si>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7:1-17</t>
    </r>
  </si>
  <si>
    <t xml:space="preserve">에벤에셀</t>
  </si>
  <si>
    <t xml:space="preserve">여기까지 우리를 도우셨다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</si>
  <si>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7:12</t>
    </r>
  </si>
  <si>
    <t xml:space="preserve">여기까지 여호와께서 우리를 도우셨습니다</t>
  </si>
  <si>
    <r>
      <rPr>
        <sz val="10"/>
        <color rgb="FF000000"/>
        <rFont val="WenQuanYi Zen Hei"/>
        <family val="2"/>
      </rPr>
      <t xml:space="preserve">사무엘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</si>
  <si>
    <r>
      <rPr>
        <sz val="10"/>
        <color rgb="FF000000"/>
        <rFont val="WenQuanYi Zen Hei"/>
        <family val="2"/>
      </rPr>
      <t xml:space="preserve">미스바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돌 기념비</t>
    </r>
  </si>
  <si>
    <t xml:space="preserve">A0216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</si>
  <si>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8:1-22</t>
    </r>
  </si>
  <si>
    <t xml:space="preserve">우리에게도 왕을</t>
  </si>
  <si>
    <t xml:space="preserve">백성이 버린 것은 사무엘이 아니었다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</si>
  <si>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8:7</t>
    </r>
  </si>
  <si>
    <t xml:space="preserve">그들이 나를 버려 왕이 되지 못하게 함이니라</t>
  </si>
  <si>
    <r>
      <rPr>
        <sz val="10"/>
        <color rgb="FF000000"/>
        <rFont val="WenQuanYi Zen Hei"/>
        <family val="2"/>
      </rPr>
      <t xml:space="preserve">사무엘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장로들</t>
    </r>
  </si>
  <si>
    <t xml:space="preserve">라마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</si>
  <si>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삼상 </t>
    </r>
    <r>
      <rPr>
        <sz val="10"/>
        <color rgb="FF1F3864"/>
        <rFont val="Arial"/>
        <family val="0"/>
        <charset val="1"/>
      </rPr>
      <t xml:space="preserve">5:1-6:21 </t>
    </r>
    <r>
      <rPr>
        <sz val="10"/>
        <color rgb="FF1F3864"/>
        <rFont val="WenQuanYi Zen Hei"/>
        <family val="2"/>
      </rPr>
      <t xml:space="preserve">쓰러진 다곤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삼상 </t>
    </r>
    <r>
      <rPr>
        <sz val="10"/>
        <color rgb="FF1F3864"/>
        <rFont val="Arial"/>
        <family val="0"/>
        <charset val="1"/>
      </rPr>
      <t xml:space="preserve">7:1-17 </t>
    </r>
    <r>
      <rPr>
        <sz val="10"/>
        <color rgb="FF1F3864"/>
        <rFont val="WenQuanYi Zen Hei"/>
        <family val="2"/>
      </rPr>
      <t xml:space="preserve">에벤에셀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</si>
  <si>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A0217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</si>
  <si>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9:1-10:27</t>
    </r>
  </si>
  <si>
    <t xml:space="preserve">나귀 찾다가 왕이 되다</t>
  </si>
  <si>
    <t xml:space="preserve">잃어버린 나귀를 찾으러 갔는데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</si>
  <si>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10:1</t>
    </r>
  </si>
  <si>
    <t xml:space="preserve">하나님은 뜻밖의 길로 인도하십니다</t>
  </si>
  <si>
    <r>
      <rPr>
        <sz val="10"/>
        <color rgb="FF000000"/>
        <rFont val="WenQuanYi Zen Hei"/>
        <family val="2"/>
      </rPr>
      <t xml:space="preserve">사울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사무엘</t>
    </r>
  </si>
  <si>
    <r>
      <rPr>
        <sz val="10"/>
        <color rgb="FF000000"/>
        <rFont val="WenQuanYi Zen Hei"/>
        <family val="2"/>
      </rPr>
      <t xml:space="preserve">숩 땅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미스바</t>
    </r>
  </si>
  <si>
    <t xml:space="preserve">A0218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</si>
  <si>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11:1-12:25</t>
    </r>
  </si>
  <si>
    <t xml:space="preserve">사울의 첫 승리와 사무엘의 고별</t>
  </si>
  <si>
    <t xml:space="preserve">기도를 쉬는 죄를 짓지 않겠다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</si>
  <si>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12:24</t>
    </r>
  </si>
  <si>
    <t xml:space="preserve">하나님이 행하신 큰일을 생각하라</t>
  </si>
  <si>
    <r>
      <rPr>
        <sz val="10"/>
        <color rgb="FF000000"/>
        <rFont val="WenQuanYi Zen Hei"/>
        <family val="2"/>
      </rPr>
      <t xml:space="preserve">사울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사무엘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</si>
  <si>
    <r>
      <rPr>
        <sz val="10"/>
        <color rgb="FF000000"/>
        <rFont val="WenQuanYi Zen Hei"/>
        <family val="2"/>
      </rPr>
      <t xml:space="preserve">야베스 길르앗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길갈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</si>
  <si>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#094 '</t>
    </r>
    <r>
      <rPr>
        <sz val="10"/>
        <color rgb="FF000000"/>
        <rFont val="WenQuanYi Zen Hei"/>
        <family val="2"/>
      </rPr>
      <t xml:space="preserve">나귀 찾다가 왕이 되다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</si>
  <si>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A0219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</si>
  <si>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13:1-23</t>
    </r>
  </si>
  <si>
    <t xml:space="preserve">기다리지 못한 왕</t>
  </si>
  <si>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일을 못 기다리고 제사를 드렸다</t>
    </r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</si>
  <si>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13:14</t>
    </r>
  </si>
  <si>
    <t xml:space="preserve">하나님은 마음에 맞는 사람을 찾으십니다</t>
  </si>
  <si>
    <t xml:space="preserve">길갈</t>
  </si>
  <si>
    <t xml:space="preserve">A0220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</si>
  <si>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14:1-52</t>
    </r>
  </si>
  <si>
    <t xml:space="preserve">요나단과 무기 든 소년</t>
  </si>
  <si>
    <t xml:space="preserve">단 두 명이 블레셋 진영으로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</si>
  <si>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14:6</t>
    </r>
  </si>
  <si>
    <t xml:space="preserve">여호와의 구원은 사람의 많고 적음에 달리지 않았습니다</t>
  </si>
  <si>
    <r>
      <rPr>
        <sz val="10"/>
        <color rgb="FF000000"/>
        <rFont val="WenQuanYi Zen Hei"/>
        <family val="2"/>
      </rPr>
      <t xml:space="preserve">요나단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무기 든 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사울</t>
    </r>
  </si>
  <si>
    <t xml:space="preserve">믹마스 절벽</t>
  </si>
  <si>
    <t xml:space="preserve">A0221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</si>
  <si>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15:1-35</t>
    </r>
  </si>
  <si>
    <t xml:space="preserve">순종이 제사보다 낫다</t>
  </si>
  <si>
    <t xml:space="preserve">양 떼를 남긴 진짜 이유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</si>
  <si>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15:22</t>
    </r>
  </si>
  <si>
    <t xml:space="preserve">하나님은 제물보다 순종을 원하십니다</t>
  </si>
  <si>
    <r>
      <rPr>
        <sz val="10"/>
        <color rgb="FF000000"/>
        <rFont val="WenQuanYi Zen Hei"/>
        <family val="2"/>
      </rPr>
      <t xml:space="preserve">사울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사무엘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아각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</si>
  <si>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3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삼상 </t>
    </r>
    <r>
      <rPr>
        <sz val="10"/>
        <color rgb="FF1F3864"/>
        <rFont val="Arial"/>
        <family val="0"/>
        <charset val="1"/>
      </rPr>
      <t xml:space="preserve">11:1-12:25 </t>
    </r>
    <r>
      <rPr>
        <sz val="10"/>
        <color rgb="FF1F3864"/>
        <rFont val="WenQuanYi Zen Hei"/>
        <family val="2"/>
      </rPr>
      <t xml:space="preserve">사울의 첫 승리와 사무엘의 고별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삼상 </t>
    </r>
    <r>
      <rPr>
        <sz val="10"/>
        <color rgb="FF1F3864"/>
        <rFont val="Arial"/>
        <family val="0"/>
        <charset val="1"/>
      </rPr>
      <t xml:space="preserve">13:1-23 </t>
    </r>
    <r>
      <rPr>
        <sz val="10"/>
        <color rgb="FF1F3864"/>
        <rFont val="WenQuanYi Zen Hei"/>
        <family val="2"/>
      </rPr>
      <t xml:space="preserve">기다리지 못한 왕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삼상 </t>
    </r>
    <r>
      <rPr>
        <sz val="10"/>
        <color rgb="FF1F3864"/>
        <rFont val="Arial"/>
        <family val="0"/>
        <charset val="1"/>
      </rPr>
      <t xml:space="preserve">14:1-52 </t>
    </r>
    <r>
      <rPr>
        <sz val="10"/>
        <color rgb="FF1F3864"/>
        <rFont val="WenQuanYi Zen Hei"/>
        <family val="2"/>
      </rPr>
      <t xml:space="preserve">요나단과 무기 든 소년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</si>
  <si>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A0222</t>
  </si>
  <si>
    <t xml:space="preserve">B025</t>
  </si>
  <si>
    <t xml:space="preserve">S1-L11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</si>
  <si>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16:1-13</t>
    </r>
  </si>
  <si>
    <t xml:space="preserve">중심을 보시는 하나님</t>
  </si>
  <si>
    <t xml:space="preserve">막내 목동이 왕으로 뽑혔다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</si>
  <si>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16:7</t>
    </r>
  </si>
  <si>
    <t xml:space="preserve">하나님은 외모가 아니라 중심을 보십니다</t>
  </si>
  <si>
    <r>
      <rPr>
        <sz val="10"/>
        <color rgb="FF000000"/>
        <rFont val="WenQuanYi Zen Hei"/>
        <family val="2"/>
      </rPr>
      <t xml:space="preserve">사무엘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형들</t>
    </r>
  </si>
  <si>
    <t xml:space="preserve">A0223</t>
  </si>
  <si>
    <t xml:space="preserve">S2-L14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</si>
  <si>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16:14-23</t>
    </r>
  </si>
  <si>
    <t xml:space="preserve">수금 타는 소년</t>
  </si>
  <si>
    <t xml:space="preserve">다윗이 연주하면 사울이 편안해졌다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</si>
  <si>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16:23</t>
    </r>
  </si>
  <si>
    <t xml:space="preserve">하나님은 작은 재능도 쓰십니다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</si>
  <si>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사울</t>
    </r>
  </si>
  <si>
    <t xml:space="preserve">사울의 궁전</t>
  </si>
  <si>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악령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은 하나님 주권 아래 있음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공포 연출 금지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</si>
  <si>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#096 '</t>
    </r>
    <r>
      <rPr>
        <sz val="10"/>
        <color rgb="FF000000"/>
        <rFont val="WenQuanYi Zen Hei"/>
        <family val="2"/>
      </rPr>
      <t xml:space="preserve">중심을 보시는 하나님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</si>
  <si>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A0224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</si>
  <si>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17:1-30</t>
    </r>
  </si>
  <si>
    <t xml:space="preserve">거인 골리앗</t>
  </si>
  <si>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일 동안 아무도 나서지 못했다</t>
    </r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</si>
  <si>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17:26</t>
    </r>
  </si>
  <si>
    <t xml:space="preserve">살아 계신 하나님의 군대를 모욕하다니</t>
  </si>
  <si>
    <r>
      <rPr>
        <sz val="10"/>
        <color rgb="FF000000"/>
        <rFont val="WenQuanYi Zen Hei"/>
        <family val="2"/>
      </rPr>
      <t xml:space="preserve">골리앗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엘리압</t>
    </r>
  </si>
  <si>
    <t xml:space="preserve">엘라 골짜기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</si>
  <si>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삼상 </t>
    </r>
    <r>
      <rPr>
        <sz val="10"/>
        <color rgb="FF1F3864"/>
        <rFont val="Arial"/>
        <family val="0"/>
        <charset val="1"/>
      </rPr>
      <t xml:space="preserve">16:14-23 </t>
    </r>
    <r>
      <rPr>
        <sz val="10"/>
        <color rgb="FF1F3864"/>
        <rFont val="WenQuanYi Zen Hei"/>
        <family val="2"/>
      </rPr>
      <t xml:space="preserve">수금 타는 소년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</si>
  <si>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A0225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</si>
  <si>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17:31-58</t>
    </r>
  </si>
  <si>
    <t xml:space="preserve">물맷돌 다섯 개</t>
  </si>
  <si>
    <t xml:space="preserve">소년이 거인 앞으로 달려갔다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</si>
  <si>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17:45</t>
    </r>
  </si>
  <si>
    <t xml:space="preserve">나는 만군의 여호와의 이름으로 나아가노라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</si>
  <si>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골리앗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사울</t>
    </r>
  </si>
  <si>
    <t xml:space="preserve">목 베는 장면 묘사 금지</t>
  </si>
  <si>
    <t xml:space="preserve">A0226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</si>
  <si>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18:1-30</t>
    </r>
  </si>
  <si>
    <t xml:space="preserve">요나단의 우정과 사울의 질투</t>
  </si>
  <si>
    <t xml:space="preserve">천천과 만만이라는 노래 한 구절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</si>
  <si>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18:1</t>
    </r>
  </si>
  <si>
    <t xml:space="preserve">참된 우정은 자기 것을 내어 줍니다</t>
  </si>
  <si>
    <r>
      <rPr>
        <sz val="10"/>
        <color rgb="FF000000"/>
        <rFont val="WenQuanYi Zen Hei"/>
        <family val="2"/>
      </rPr>
      <t xml:space="preserve">요나단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미갈</t>
    </r>
  </si>
  <si>
    <t xml:space="preserve">A0227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</si>
  <si>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19:1-24</t>
    </r>
  </si>
  <si>
    <t xml:space="preserve">창으로 도망치다</t>
  </si>
  <si>
    <t xml:space="preserve">아내가 남편을 창문으로 내려 보냈다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</si>
  <si>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19:12</t>
    </r>
  </si>
  <si>
    <t xml:space="preserve">하나님은 피할 길을 주십니다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</si>
  <si>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미갈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사울</t>
    </r>
  </si>
  <si>
    <r>
      <rPr>
        <sz val="10"/>
        <color rgb="FF000000"/>
        <rFont val="WenQuanYi Zen Hei"/>
        <family val="2"/>
      </rPr>
      <t xml:space="preserve">다윗의 집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라마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</si>
  <si>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#099 '</t>
    </r>
    <r>
      <rPr>
        <sz val="10"/>
        <color rgb="FF000000"/>
        <rFont val="WenQuanYi Zen Hei"/>
        <family val="2"/>
      </rPr>
      <t xml:space="preserve">요나단의 우정과 사울의 질투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</si>
  <si>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A0228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</si>
  <si>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20:1-42</t>
    </r>
  </si>
  <si>
    <t xml:space="preserve">요나단의 화살</t>
  </si>
  <si>
    <t xml:space="preserve">화살이 멀리 날아가면 도망쳐라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</si>
  <si>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20:42</t>
    </r>
  </si>
  <si>
    <t xml:space="preserve">하나님 앞에서 맺은 우정</t>
  </si>
  <si>
    <r>
      <rPr>
        <sz val="10"/>
        <color rgb="FF000000"/>
        <rFont val="WenQuanYi Zen Hei"/>
        <family val="2"/>
      </rPr>
      <t xml:space="preserve">요나단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다윗</t>
    </r>
  </si>
  <si>
    <t xml:space="preserve">들판의 돌 옆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</si>
  <si>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삼상 </t>
    </r>
    <r>
      <rPr>
        <sz val="10"/>
        <color rgb="FF1F3864"/>
        <rFont val="Arial"/>
        <family val="0"/>
        <charset val="1"/>
      </rPr>
      <t xml:space="preserve">19:1-24 </t>
    </r>
    <r>
      <rPr>
        <sz val="10"/>
        <color rgb="FF1F3864"/>
        <rFont val="WenQuanYi Zen Hei"/>
        <family val="2"/>
      </rPr>
      <t xml:space="preserve">창으로 도망치다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</si>
  <si>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A0229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</si>
  <si>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21:1-22:23</t>
    </r>
  </si>
  <si>
    <t xml:space="preserve">놉과 아둘람 굴</t>
  </si>
  <si>
    <r>
      <rPr>
        <sz val="10"/>
        <color rgb="FF000000"/>
        <rFont val="WenQuanYi Zen Hei"/>
        <family val="2"/>
      </rPr>
      <t xml:space="preserve">도망자 다윗에게 모인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WenQuanYi Zen Hei"/>
        <family val="2"/>
      </rPr>
      <t xml:space="preserve">명</t>
    </r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</si>
  <si>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22:2</t>
    </r>
  </si>
  <si>
    <t xml:space="preserve">하나님은 상처 입은 사람들을 모으십니다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</si>
  <si>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아히멜렉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도엑</t>
    </r>
  </si>
  <si>
    <r>
      <rPr>
        <sz val="10"/>
        <color rgb="FF000000"/>
        <rFont val="WenQuanYi Zen Hei"/>
        <family val="2"/>
      </rPr>
      <t xml:space="preserve">놉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아둘람 굴</t>
    </r>
  </si>
  <si>
    <t xml:space="preserve">제사장 학살 장면 묘사 금지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</si>
  <si>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#100 '</t>
    </r>
    <r>
      <rPr>
        <sz val="10"/>
        <color rgb="FF000000"/>
        <rFont val="WenQuanYi Zen Hei"/>
        <family val="2"/>
      </rPr>
      <t xml:space="preserve">요나단의 화살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</si>
  <si>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A0230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</si>
  <si>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23:1-29</t>
    </r>
  </si>
  <si>
    <t xml:space="preserve">광야의 다윗</t>
  </si>
  <si>
    <t xml:space="preserve">요나단이 다윗을 찾아가 힘을 주었다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</si>
  <si>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23:16</t>
    </r>
  </si>
  <si>
    <t xml:space="preserve">하나님 안에서 서로의 힘이 됩니다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</si>
  <si>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요나단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사울</t>
    </r>
  </si>
  <si>
    <r>
      <rPr>
        <sz val="10"/>
        <color rgb="FF000000"/>
        <rFont val="WenQuanYi Zen Hei"/>
        <family val="2"/>
      </rPr>
      <t xml:space="preserve">그일라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십 광야</t>
    </r>
  </si>
  <si>
    <t xml:space="preserve">A0231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</si>
  <si>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24:1-22</t>
    </r>
  </si>
  <si>
    <t xml:space="preserve">동굴 속의 기회</t>
  </si>
  <si>
    <t xml:space="preserve">원수의 옷자락만 자른 사람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</si>
  <si>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24:6</t>
    </r>
  </si>
  <si>
    <t xml:space="preserve">하나님이 세우신 사람을 내 손으로 치지 않습니다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</si>
  <si>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부하들</t>
    </r>
  </si>
  <si>
    <t xml:space="preserve">엔게디 동굴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</si>
  <si>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삼상 </t>
    </r>
    <r>
      <rPr>
        <sz val="10"/>
        <color rgb="FF1F3864"/>
        <rFont val="Arial"/>
        <family val="0"/>
        <charset val="1"/>
      </rPr>
      <t xml:space="preserve">21:1-22:23 </t>
    </r>
    <r>
      <rPr>
        <sz val="10"/>
        <color rgb="FF1F3864"/>
        <rFont val="WenQuanYi Zen Hei"/>
        <family val="2"/>
      </rPr>
      <t xml:space="preserve">놉과 아둘람 굴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삼상 </t>
    </r>
    <r>
      <rPr>
        <sz val="10"/>
        <color rgb="FF1F3864"/>
        <rFont val="Arial"/>
        <family val="0"/>
        <charset val="1"/>
      </rPr>
      <t xml:space="preserve">23:1-29 </t>
    </r>
    <r>
      <rPr>
        <sz val="10"/>
        <color rgb="FF1F3864"/>
        <rFont val="WenQuanYi Zen Hei"/>
        <family val="2"/>
      </rPr>
      <t xml:space="preserve">광야의 다윗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</si>
  <si>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A0232</t>
  </si>
  <si>
    <t xml:space="preserve">B026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</si>
  <si>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25:1-44</t>
    </r>
  </si>
  <si>
    <t xml:space="preserve">지혜로운 아비가일</t>
  </si>
  <si>
    <t xml:space="preserve">화난 다윗을 막아선 여인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</si>
  <si>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25:33</t>
    </r>
  </si>
  <si>
    <t xml:space="preserve">지혜로운 말 한마디가 피 흘림을 막습니다</t>
  </si>
  <si>
    <r>
      <rPr>
        <sz val="10"/>
        <color rgb="FF000000"/>
        <rFont val="WenQuanYi Zen Hei"/>
        <family val="2"/>
      </rPr>
      <t xml:space="preserve">아비가일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나발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다윗</t>
    </r>
  </si>
  <si>
    <r>
      <rPr>
        <sz val="10"/>
        <color rgb="FF000000"/>
        <rFont val="WenQuanYi Zen Hei"/>
        <family val="2"/>
      </rPr>
      <t xml:space="preserve">갈멜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광야 길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</si>
  <si>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#101 '</t>
    </r>
    <r>
      <rPr>
        <sz val="10"/>
        <color rgb="FF000000"/>
        <rFont val="WenQuanYi Zen Hei"/>
        <family val="2"/>
      </rPr>
      <t xml:space="preserve">동굴 속의 기회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</si>
  <si>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A0233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</si>
  <si>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26:1-25</t>
    </r>
  </si>
  <si>
    <t xml:space="preserve">다시 살려 준 사울</t>
  </si>
  <si>
    <t xml:space="preserve">창과 물병만 가지고 나왔다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</si>
  <si>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26:23</t>
    </r>
  </si>
  <si>
    <t xml:space="preserve">여호와께서 각 사람에게 그의 공의와 신실을 갚으시리니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</si>
  <si>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아비새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아브넬</t>
    </r>
  </si>
  <si>
    <t xml:space="preserve">십 광야 진영</t>
  </si>
  <si>
    <t xml:space="preserve">A0234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</si>
  <si>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27:1-28:2</t>
    </r>
  </si>
  <si>
    <t xml:space="preserve">적국으로 피한 다윗</t>
  </si>
  <si>
    <t xml:space="preserve">지쳐서 블레셋으로 도망치다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</si>
  <si>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27:1</t>
    </r>
  </si>
  <si>
    <t xml:space="preserve">낙심할 때도 하나님은 우리를 떠나지 않으십니다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</si>
  <si>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아기스</t>
    </r>
  </si>
  <si>
    <r>
      <rPr>
        <sz val="10"/>
        <color rgb="FF000000"/>
        <rFont val="WenQuanYi Zen Hei"/>
        <family val="2"/>
      </rPr>
      <t xml:space="preserve">가드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시글락</t>
    </r>
  </si>
  <si>
    <t xml:space="preserve">A0235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</si>
  <si>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28:3-25</t>
    </r>
  </si>
  <si>
    <t xml:space="preserve">엔돌의 신접한 여인</t>
  </si>
  <si>
    <t xml:space="preserve">하나님이 대답하지 않으시자 사울이 찾아간 곳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</si>
  <si>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28:6</t>
    </r>
  </si>
  <si>
    <t xml:space="preserve">하나님을 떠나 다른 길을 찾으면 멸망합니다</t>
  </si>
  <si>
    <r>
      <rPr>
        <sz val="10"/>
        <color rgb="FF000000"/>
        <rFont val="WenQuanYi Zen Hei"/>
        <family val="2"/>
      </rPr>
      <t xml:space="preserve">사울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신접한 여인</t>
    </r>
  </si>
  <si>
    <t xml:space="preserve">엔돌</t>
  </si>
  <si>
    <r>
      <rPr>
        <sz val="10"/>
        <color rgb="FFC00000"/>
        <rFont val="WenQuanYi Zen Hei"/>
        <family val="2"/>
      </rPr>
      <t xml:space="preserve">강신술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영매 미화 금지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신 </t>
    </r>
    <r>
      <rPr>
        <sz val="10"/>
        <color rgb="FFC00000"/>
        <rFont val="Arial"/>
        <family val="0"/>
        <charset val="1"/>
      </rPr>
      <t xml:space="preserve">18:10-12). </t>
    </r>
    <r>
      <rPr>
        <sz val="10"/>
        <color rgb="FFC00000"/>
        <rFont val="WenQuanYi Zen Hei"/>
        <family val="2"/>
      </rPr>
      <t xml:space="preserve">공포 연출 금지</t>
    </r>
  </si>
  <si>
    <t xml:space="preserve">A0236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</si>
  <si>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29:1-30:31</t>
    </r>
  </si>
  <si>
    <t xml:space="preserve">불타 버린 시글락</t>
  </si>
  <si>
    <t xml:space="preserve">가족을 다 잃고 부하들까지 돌을 들었다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</si>
  <si>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30:6</t>
    </r>
  </si>
  <si>
    <t xml:space="preserve">다윗은 여호와를 힘입고 용기를 얻었습니다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</si>
  <si>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아비아달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부하들</t>
    </r>
  </si>
  <si>
    <r>
      <rPr>
        <sz val="10"/>
        <color rgb="FF000000"/>
        <rFont val="WenQuanYi Zen Hei"/>
        <family val="2"/>
      </rPr>
      <t xml:space="preserve">불탄 시글락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브솔 시내</t>
    </r>
  </si>
  <si>
    <t xml:space="preserve">A0237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</si>
  <si>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31:1-13</t>
    </r>
  </si>
  <si>
    <t xml:space="preserve">사울의 마지막</t>
  </si>
  <si>
    <t xml:space="preserve">길보아 산에서 끝난 첫 번째 왕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</si>
  <si>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31:4</t>
    </r>
  </si>
  <si>
    <t xml:space="preserve">하나님을 떠난 왕의 슬픈 끝</t>
  </si>
  <si>
    <r>
      <rPr>
        <sz val="10"/>
        <color rgb="FF000000"/>
        <rFont val="WenQuanYi Zen Hei"/>
        <family val="2"/>
      </rPr>
      <t xml:space="preserve">사울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요나단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무기 든 자</t>
    </r>
  </si>
  <si>
    <t xml:space="preserve">길보아 산</t>
  </si>
  <si>
    <t xml:space="preserve">자결 장면 직접 묘사 금지</t>
  </si>
  <si>
    <t xml:space="preserve">A0238</t>
  </si>
  <si>
    <t xml:space="preserve">사무엘하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</si>
  <si>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1:1-27</t>
    </r>
  </si>
  <si>
    <t xml:space="preserve">활의 노래</t>
  </si>
  <si>
    <t xml:space="preserve">원수의 죽음 앞에서 운 다윗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</si>
  <si>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1:19</t>
    </r>
  </si>
  <si>
    <t xml:space="preserve">미움보다 큰 사랑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</si>
  <si>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아말렉 청년</t>
    </r>
  </si>
  <si>
    <t xml:space="preserve">시글락</t>
  </si>
  <si>
    <t xml:space="preserve">A0239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</si>
  <si>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2:1-11</t>
    </r>
  </si>
  <si>
    <t xml:space="preserve">올라가리이까</t>
  </si>
  <si>
    <t xml:space="preserve">왕이 되기 전에 먼저 물은 질문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</si>
  <si>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2:1</t>
    </r>
  </si>
  <si>
    <t xml:space="preserve">모든 걸음을 하나님께 묻습니다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</si>
  <si>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유다 사람들</t>
    </r>
  </si>
  <si>
    <t xml:space="preserve">헤브론</t>
  </si>
  <si>
    <t xml:space="preserve">A0240</t>
  </si>
  <si>
    <t xml:space="preserve">B027</t>
  </si>
  <si>
    <t xml:space="preserve">S2-L15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</si>
  <si>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2:12-3:39</t>
    </r>
  </si>
  <si>
    <t xml:space="preserve">내전과 아브넬</t>
  </si>
  <si>
    <t xml:space="preserve">다윗의 집은 점점 강해지고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</si>
  <si>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3:1</t>
    </r>
  </si>
  <si>
    <t xml:space="preserve">하나님이 세우시는 나라는 점점 강해집니다</t>
  </si>
  <si>
    <r>
      <rPr>
        <sz val="10"/>
        <color rgb="FF000000"/>
        <rFont val="WenQuanYi Zen Hei"/>
        <family val="2"/>
      </rPr>
      <t xml:space="preserve">요압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아브넬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이스보셋</t>
    </r>
  </si>
  <si>
    <r>
      <rPr>
        <sz val="10"/>
        <color rgb="FF000000"/>
        <rFont val="WenQuanYi Zen Hei"/>
        <family val="2"/>
      </rPr>
      <t xml:space="preserve">기브온 못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헤브론</t>
    </r>
  </si>
  <si>
    <t xml:space="preserve">A0241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</si>
  <si>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4:1-12</t>
    </r>
  </si>
  <si>
    <t xml:space="preserve">이스보셋의 죽음</t>
  </si>
  <si>
    <r>
      <rPr>
        <sz val="10"/>
        <color rgb="FF000000"/>
        <rFont val="WenQuanYi Zen Hei"/>
        <family val="2"/>
      </rPr>
      <t xml:space="preserve">선물로 가져온 원수의 머리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다윗의 반응은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</si>
  <si>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4:9</t>
    </r>
  </si>
  <si>
    <t xml:space="preserve">하나님은 악한 방법으로 이룬 일을 기뻐하지 않으십니다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</si>
  <si>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레갑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바아나</t>
    </r>
  </si>
  <si>
    <r>
      <rPr>
        <sz val="10"/>
        <color rgb="FFC00000"/>
        <rFont val="WenQuanYi Zen Hei"/>
        <family val="2"/>
      </rPr>
      <t xml:space="preserve">머리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처형 묘사 금지</t>
    </r>
  </si>
  <si>
    <t xml:space="preserve">A0242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</si>
  <si>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5:1-25</t>
    </r>
  </si>
  <si>
    <t xml:space="preserve">예루살렘 정복</t>
  </si>
  <si>
    <t xml:space="preserve">아무도 못 들어간다던 성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</si>
  <si>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5:10</t>
    </r>
  </si>
  <si>
    <t xml:space="preserve">만군의 하나님 여호와께서 함께 계시니라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</si>
  <si>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요압</t>
    </r>
  </si>
  <si>
    <t xml:space="preserve">예루살렘 시온 산성</t>
  </si>
  <si>
    <t xml:space="preserve">A0243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</si>
  <si>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6:1-23</t>
    </r>
  </si>
  <si>
    <t xml:space="preserve">언약궤 앞에서 춤추다</t>
  </si>
  <si>
    <t xml:space="preserve">왕이 체면도 잊고 춤을 추었다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</si>
  <si>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6:14</t>
    </r>
  </si>
  <si>
    <t xml:space="preserve">하나님 앞에서 온 힘을 다해 기뻐합니다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</si>
  <si>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웃사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미갈</t>
    </r>
  </si>
  <si>
    <t xml:space="preserve">예루살렘 행렬</t>
  </si>
  <si>
    <t xml:space="preserve">웃사 죽음 장면 절제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</si>
  <si>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삼상 </t>
    </r>
    <r>
      <rPr>
        <sz val="10"/>
        <color rgb="FF1F3864"/>
        <rFont val="Arial"/>
        <family val="0"/>
        <charset val="1"/>
      </rPr>
      <t xml:space="preserve">25:1-44 </t>
    </r>
    <r>
      <rPr>
        <sz val="10"/>
        <color rgb="FF1F3864"/>
        <rFont val="WenQuanYi Zen Hei"/>
        <family val="2"/>
      </rPr>
      <t xml:space="preserve">지혜로운 아비가일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삼상 </t>
    </r>
    <r>
      <rPr>
        <sz val="10"/>
        <color rgb="FF1F3864"/>
        <rFont val="Arial"/>
        <family val="0"/>
        <charset val="1"/>
      </rPr>
      <t xml:space="preserve">26:1-25 </t>
    </r>
    <r>
      <rPr>
        <sz val="10"/>
        <color rgb="FF1F3864"/>
        <rFont val="WenQuanYi Zen Hei"/>
        <family val="2"/>
      </rPr>
      <t xml:space="preserve">다시 살려 준 사울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삼상 </t>
    </r>
    <r>
      <rPr>
        <sz val="10"/>
        <color rgb="FF1F3864"/>
        <rFont val="Arial"/>
        <family val="0"/>
        <charset val="1"/>
      </rPr>
      <t xml:space="preserve">27:1-28:2 </t>
    </r>
    <r>
      <rPr>
        <sz val="10"/>
        <color rgb="FF1F3864"/>
        <rFont val="WenQuanYi Zen Hei"/>
        <family val="2"/>
      </rPr>
      <t xml:space="preserve">적국으로 피한 다윗 외 </t>
    </r>
    <r>
      <rPr>
        <sz val="10"/>
        <color rgb="FF1F3864"/>
        <rFont val="Arial"/>
        <family val="0"/>
        <charset val="1"/>
      </rPr>
      <t xml:space="preserve">8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</si>
  <si>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A0244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</si>
  <si>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7:1-29</t>
    </r>
  </si>
  <si>
    <t xml:space="preserve">영원한 왕국의 약속</t>
  </si>
  <si>
    <t xml:space="preserve">다윗이 하나님께 집을 지어 드리려 하자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</si>
  <si>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7:16</t>
    </r>
  </si>
  <si>
    <t xml:space="preserve">네 왕위가 영원히 견고하리라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</si>
  <si>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나단</t>
    </r>
  </si>
  <si>
    <t xml:space="preserve">다윗의 궁전</t>
  </si>
  <si>
    <t xml:space="preserve">그리스도의 영원한 왕국과 연결</t>
  </si>
  <si>
    <t xml:space="preserve">A0245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</si>
  <si>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8:1-18</t>
    </r>
  </si>
  <si>
    <t xml:space="preserve">다윗의 승리</t>
  </si>
  <si>
    <t xml:space="preserve">어디로 가든지 이기게 하셨다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</si>
  <si>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8:14</t>
    </r>
  </si>
  <si>
    <t xml:space="preserve">승리는 하나님이 주십니다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</si>
  <si>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군대</t>
    </r>
  </si>
  <si>
    <t xml:space="preserve">이스라엘 주변 나라들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</si>
  <si>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#103 '</t>
    </r>
    <r>
      <rPr>
        <sz val="10"/>
        <color rgb="FF000000"/>
        <rFont val="WenQuanYi Zen Hei"/>
        <family val="2"/>
      </rPr>
      <t xml:space="preserve">영원한 왕국의 약속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</si>
  <si>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A0246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</si>
  <si>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9:1-13</t>
    </r>
  </si>
  <si>
    <t xml:space="preserve">왕의 식탁</t>
  </si>
  <si>
    <t xml:space="preserve">원수 집안의 장애인 손자를 초대하다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</si>
  <si>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9:7</t>
    </r>
  </si>
  <si>
    <t xml:space="preserve">은혜는 자격 없는 자를 식탁에 앉힙니다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</si>
  <si>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므비보셋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시바</t>
    </r>
  </si>
  <si>
    <t xml:space="preserve">다윗의 궁전 식탁</t>
  </si>
  <si>
    <t xml:space="preserve">복음의 그림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</si>
  <si>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삼하 </t>
    </r>
    <r>
      <rPr>
        <sz val="10"/>
        <color rgb="FF1F3864"/>
        <rFont val="Arial"/>
        <family val="0"/>
        <charset val="1"/>
      </rPr>
      <t xml:space="preserve">8:1-18 </t>
    </r>
    <r>
      <rPr>
        <sz val="10"/>
        <color rgb="FF1F3864"/>
        <rFont val="WenQuanYi Zen Hei"/>
        <family val="2"/>
      </rPr>
      <t xml:space="preserve">다윗의 승리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</si>
  <si>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A0247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</si>
  <si>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10:1-19</t>
    </r>
  </si>
  <si>
    <t xml:space="preserve">암몬과의 전쟁</t>
  </si>
  <si>
    <t xml:space="preserve">친절을 모욕으로 갚은 왕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</si>
  <si>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10:12</t>
    </r>
  </si>
  <si>
    <r>
      <rPr>
        <sz val="10"/>
        <color rgb="FF000000"/>
        <rFont val="WenQuanYi Zen Hei"/>
        <family val="2"/>
      </rPr>
      <t xml:space="preserve">담대하라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여호와께서 선히 여기시는 대로 하시기를</t>
    </r>
  </si>
  <si>
    <r>
      <rPr>
        <sz val="10"/>
        <color rgb="FF000000"/>
        <rFont val="WenQuanYi Zen Hei"/>
        <family val="2"/>
      </rPr>
      <t xml:space="preserve">요압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아비새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다윗</t>
    </r>
  </si>
  <si>
    <t xml:space="preserve">랍바 근처 전쟁터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</si>
  <si>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#104 '</t>
    </r>
    <r>
      <rPr>
        <sz val="10"/>
        <color rgb="FF000000"/>
        <rFont val="WenQuanYi Zen Hei"/>
        <family val="2"/>
      </rPr>
      <t xml:space="preserve">왕의 식탁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</si>
  <si>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A0248</t>
  </si>
  <si>
    <t xml:space="preserve">B028</t>
  </si>
  <si>
    <t xml:space="preserve">S1-L12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</si>
  <si>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11:1-27</t>
    </r>
  </si>
  <si>
    <t xml:space="preserve">왕궁 옥상에서</t>
  </si>
  <si>
    <t xml:space="preserve">전쟁터에 있어야 할 때 집에 있었다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</si>
  <si>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11:27</t>
    </r>
  </si>
  <si>
    <t xml:space="preserve">하나님은 감춘 죄를 보십니다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</si>
  <si>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밧세바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우리아</t>
    </r>
  </si>
  <si>
    <r>
      <rPr>
        <sz val="10"/>
        <color rgb="FF000000"/>
        <rFont val="WenQuanYi Zen Hei"/>
        <family val="2"/>
      </rPr>
      <t xml:space="preserve">왕궁 옥상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랍바 전쟁터</t>
    </r>
  </si>
  <si>
    <t xml:space="preserve">성적 장면 절대 묘사 금지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</si>
  <si>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삼하 </t>
    </r>
    <r>
      <rPr>
        <sz val="10"/>
        <color rgb="FF1F3864"/>
        <rFont val="Arial"/>
        <family val="0"/>
        <charset val="1"/>
      </rPr>
      <t xml:space="preserve">10:1-19 </t>
    </r>
    <r>
      <rPr>
        <sz val="10"/>
        <color rgb="FF1F3864"/>
        <rFont val="WenQuanYi Zen Hei"/>
        <family val="2"/>
      </rPr>
      <t xml:space="preserve">암몬과의 전쟁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</si>
  <si>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A0249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</si>
  <si>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12:1-25</t>
    </r>
  </si>
  <si>
    <t xml:space="preserve">당신이 그 사람이라</t>
  </si>
  <si>
    <t xml:space="preserve">선지자가 왕에게 들려준 이야기 하나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</si>
  <si>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12:7</t>
    </r>
  </si>
  <si>
    <t xml:space="preserve">하나님은 죄를 깨닫게 하시고 회개로 부르십니다</t>
  </si>
  <si>
    <r>
      <rPr>
        <sz val="10"/>
        <color rgb="FF000000"/>
        <rFont val="WenQuanYi Zen Hei"/>
        <family val="2"/>
      </rPr>
      <t xml:space="preserve">나단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다윗</t>
    </r>
  </si>
  <si>
    <r>
      <rPr>
        <sz val="10"/>
        <color rgb="FFC00000"/>
        <rFont val="WenQuanYi Zen Hei"/>
        <family val="2"/>
      </rPr>
      <t xml:space="preserve">시 </t>
    </r>
    <r>
      <rPr>
        <sz val="10"/>
        <color rgb="FFC00000"/>
        <rFont val="Arial"/>
        <family val="0"/>
        <charset val="1"/>
      </rPr>
      <t xml:space="preserve">51</t>
    </r>
    <r>
      <rPr>
        <sz val="10"/>
        <color rgb="FFC00000"/>
        <rFont val="WenQuanYi Zen Hei"/>
        <family val="2"/>
      </rPr>
      <t xml:space="preserve">편과 연결</t>
    </r>
  </si>
  <si>
    <t xml:space="preserve">A0250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</si>
  <si>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13:1-39</t>
    </r>
  </si>
  <si>
    <t xml:space="preserve">무너진 가정</t>
  </si>
  <si>
    <t xml:space="preserve">왕의 아들들 사이에 일어난 비극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</si>
  <si>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13:22</t>
    </r>
  </si>
  <si>
    <t xml:space="preserve">죄는 가정에 깊은 상처를 남깁니다</t>
  </si>
  <si>
    <r>
      <rPr>
        <sz val="10"/>
        <color rgb="FF000000"/>
        <rFont val="WenQuanYi Zen Hei"/>
        <family val="2"/>
      </rPr>
      <t xml:space="preserve">암논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다말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압살롬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다윗</t>
    </r>
  </si>
  <si>
    <r>
      <rPr>
        <sz val="10"/>
        <color rgb="FFC00000"/>
        <rFont val="WenQuanYi Zen Hei"/>
        <family val="2"/>
      </rPr>
      <t xml:space="preserve">성범죄 장면 절대 묘사 금지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내레이션 처리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</si>
  <si>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#106 '</t>
    </r>
    <r>
      <rPr>
        <sz val="10"/>
        <color rgb="FF000000"/>
        <rFont val="WenQuanYi Zen Hei"/>
        <family val="2"/>
      </rPr>
      <t xml:space="preserve">당신이 그 사람이라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</si>
  <si>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A0251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</si>
  <si>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14:1-33</t>
    </r>
  </si>
  <si>
    <t xml:space="preserve">돌아온 압살롬</t>
  </si>
  <si>
    <t xml:space="preserve">하나님은 버린 자를 그대로 두지 않으신다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</si>
  <si>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14:14</t>
    </r>
  </si>
  <si>
    <t xml:space="preserve">하나님은 쫓겨난 자를 돌아오게 할 방법을 마련하십니다</t>
  </si>
  <si>
    <r>
      <rPr>
        <sz val="10"/>
        <color rgb="FF000000"/>
        <rFont val="WenQuanYi Zen Hei"/>
        <family val="2"/>
      </rPr>
      <t xml:space="preserve">요압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드고아 여인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압살롬</t>
    </r>
  </si>
  <si>
    <t xml:space="preserve">예루살렘</t>
  </si>
  <si>
    <t xml:space="preserve">A0252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</si>
  <si>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15:1-37</t>
    </r>
  </si>
  <si>
    <t xml:space="preserve">맨발로 울며 떠난 왕</t>
  </si>
  <si>
    <t xml:space="preserve">아들에게 쫓겨난 아버지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</si>
  <si>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15:30</t>
    </r>
  </si>
  <si>
    <t xml:space="preserve">고난 속에서도 하나님께 맡깁니다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</si>
  <si>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압살롬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잇대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후새</t>
    </r>
  </si>
  <si>
    <t xml:space="preserve">감람산 길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</si>
  <si>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삼하 </t>
    </r>
    <r>
      <rPr>
        <sz val="10"/>
        <color rgb="FF1F3864"/>
        <rFont val="Arial"/>
        <family val="0"/>
        <charset val="1"/>
      </rPr>
      <t xml:space="preserve">13:1-39 </t>
    </r>
    <r>
      <rPr>
        <sz val="10"/>
        <color rgb="FF1F3864"/>
        <rFont val="WenQuanYi Zen Hei"/>
        <family val="2"/>
      </rPr>
      <t xml:space="preserve">무너진 가정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삼하 </t>
    </r>
    <r>
      <rPr>
        <sz val="10"/>
        <color rgb="FF1F3864"/>
        <rFont val="Arial"/>
        <family val="0"/>
        <charset val="1"/>
      </rPr>
      <t xml:space="preserve">14:1-33 </t>
    </r>
    <r>
      <rPr>
        <sz val="10"/>
        <color rgb="FF1F3864"/>
        <rFont val="WenQuanYi Zen Hei"/>
        <family val="2"/>
      </rPr>
      <t xml:space="preserve">돌아온 압살롬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</si>
  <si>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A0253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</si>
  <si>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16:1-23</t>
    </r>
  </si>
  <si>
    <t xml:space="preserve">저주를 참은 왕</t>
  </si>
  <si>
    <t xml:space="preserve">돌을 던지며 저주하는 사람을 그냥 두다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</si>
  <si>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16:12</t>
    </r>
  </si>
  <si>
    <t xml:space="preserve">하나님께서 원통함을 감찰하시리라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</si>
  <si>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시므이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아비새</t>
    </r>
  </si>
  <si>
    <t xml:space="preserve">바후림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</si>
  <si>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#107 '</t>
    </r>
    <r>
      <rPr>
        <sz val="10"/>
        <color rgb="FF000000"/>
        <rFont val="WenQuanYi Zen Hei"/>
        <family val="2"/>
      </rPr>
      <t xml:space="preserve">맨발로 울며 떠난 왕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</si>
  <si>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A0254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</si>
  <si>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17:1-29</t>
    </r>
  </si>
  <si>
    <t xml:space="preserve">무너진 계략</t>
  </si>
  <si>
    <t xml:space="preserve">가장 뛰어난 책사의 계략이 무너지다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</si>
  <si>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17:14</t>
    </r>
  </si>
  <si>
    <t xml:space="preserve">하나님이 악한 계략을 꺾으십니다</t>
  </si>
  <si>
    <r>
      <rPr>
        <sz val="10"/>
        <color rgb="FF000000"/>
        <rFont val="WenQuanYi Zen Hei"/>
        <family val="2"/>
      </rPr>
      <t xml:space="preserve">아히도벨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후새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압살롬</t>
    </r>
  </si>
  <si>
    <r>
      <rPr>
        <sz val="10"/>
        <color rgb="FF000000"/>
        <rFont val="WenQuanYi Zen Hei"/>
        <family val="2"/>
      </rPr>
      <t xml:space="preserve">예루살렘 궁전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마하나임</t>
    </r>
  </si>
  <si>
    <t xml:space="preserve">아히도벨 자결 묘사 금지</t>
  </si>
  <si>
    <t xml:space="preserve">A0255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</si>
  <si>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18:1-33</t>
    </r>
  </si>
  <si>
    <t xml:space="preserve">내 아들 압살롬아</t>
  </si>
  <si>
    <t xml:space="preserve">전쟁에서 이겼는데 왕은 울었다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</si>
  <si>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18:33</t>
    </r>
  </si>
  <si>
    <t xml:space="preserve">원수가 된 자녀를 향한 아버지의 사랑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</si>
  <si>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압살롬</t>
    </r>
  </si>
  <si>
    <r>
      <rPr>
        <sz val="10"/>
        <color rgb="FF000000"/>
        <rFont val="WenQuanYi Zen Hei"/>
        <family val="2"/>
      </rPr>
      <t xml:space="preserve">에브라임 수풀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성문 다락</t>
    </r>
  </si>
  <si>
    <t xml:space="preserve">압살롬 죽음 묘사 절제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</si>
  <si>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삼하 </t>
    </r>
    <r>
      <rPr>
        <sz val="10"/>
        <color rgb="FF1F3864"/>
        <rFont val="Arial"/>
        <family val="0"/>
        <charset val="1"/>
      </rPr>
      <t xml:space="preserve">16:1-23 </t>
    </r>
    <r>
      <rPr>
        <sz val="10"/>
        <color rgb="FF1F3864"/>
        <rFont val="WenQuanYi Zen Hei"/>
        <family val="2"/>
      </rPr>
      <t xml:space="preserve">저주를 참은 왕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삼하 </t>
    </r>
    <r>
      <rPr>
        <sz val="10"/>
        <color rgb="FF1F3864"/>
        <rFont val="Arial"/>
        <family val="0"/>
        <charset val="1"/>
      </rPr>
      <t xml:space="preserve">17:1-29 </t>
    </r>
    <r>
      <rPr>
        <sz val="10"/>
        <color rgb="FF1F3864"/>
        <rFont val="WenQuanYi Zen Hei"/>
        <family val="2"/>
      </rPr>
      <t xml:space="preserve">무너진 계략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</si>
  <si>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A0256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</si>
  <si>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19:1-20:26</t>
    </r>
  </si>
  <si>
    <r>
      <rPr>
        <sz val="10"/>
        <color rgb="FF000000"/>
        <rFont val="WenQuanYi Zen Hei"/>
        <family val="2"/>
      </rPr>
      <t xml:space="preserve">돌아온 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흔들리는 나라</t>
    </r>
  </si>
  <si>
    <t xml:space="preserve">다시 왕궁으로 돌아가는 길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</si>
  <si>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19:14</t>
    </r>
  </si>
  <si>
    <t xml:space="preserve">하나님은 무너진 나라를 회복하십니다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</si>
  <si>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므비보셋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바실래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세바</t>
    </r>
  </si>
  <si>
    <r>
      <rPr>
        <sz val="10"/>
        <color rgb="FF000000"/>
        <rFont val="WenQuanYi Zen Hei"/>
        <family val="2"/>
      </rPr>
      <t xml:space="preserve">요단 나루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예루살렘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</si>
  <si>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#108 '</t>
    </r>
    <r>
      <rPr>
        <sz val="10"/>
        <color rgb="FF000000"/>
        <rFont val="WenQuanYi Zen Hei"/>
        <family val="2"/>
      </rPr>
      <t xml:space="preserve">내 아들 압살롬아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</si>
  <si>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A0257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</si>
  <si>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21:1-22:51</t>
    </r>
  </si>
  <si>
    <t xml:space="preserve">다윗의 감사 노래</t>
  </si>
  <si>
    <t xml:space="preserve">평생의 전쟁을 돌아보며 부른 노래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</si>
  <si>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22:2</t>
    </r>
  </si>
  <si>
    <t xml:space="preserve">여호와는 나의 반석이요 요새요 나를 건지시는 자시요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</si>
  <si>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리스바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용사들</t>
    </r>
  </si>
  <si>
    <r>
      <rPr>
        <sz val="10"/>
        <color rgb="FFC00000"/>
        <rFont val="Arial"/>
        <family val="0"/>
        <charset val="1"/>
      </rPr>
      <t xml:space="preserve">21</t>
    </r>
    <r>
      <rPr>
        <sz val="10"/>
        <color rgb="FFC00000"/>
        <rFont val="WenQuanYi Zen Hei"/>
        <family val="2"/>
      </rPr>
      <t xml:space="preserve">장 처형 장면 묘사 금지</t>
    </r>
  </si>
  <si>
    <t xml:space="preserve">A0258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</si>
  <si>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23:1-24:25</t>
    </r>
  </si>
  <si>
    <t xml:space="preserve">값없이 드리지 않겠다</t>
  </si>
  <si>
    <t xml:space="preserve">공짜로 주겠다는 땅을 굳이 값을 치르고 산 이유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</si>
  <si>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24:24</t>
    </r>
  </si>
  <si>
    <t xml:space="preserve">값없이 번제를 드리지 아니하리라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</si>
  <si>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용사들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아라우나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갓</t>
    </r>
  </si>
  <si>
    <r>
      <rPr>
        <sz val="10"/>
        <color rgb="FF000000"/>
        <rFont val="WenQuanYi Zen Hei"/>
        <family val="2"/>
      </rPr>
      <t xml:space="preserve">아라우나 타작마당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훗날 성전 터</t>
    </r>
    <r>
      <rPr>
        <sz val="10"/>
        <color rgb="FF000000"/>
        <rFont val="Arial"/>
        <family val="0"/>
        <charset val="1"/>
      </rPr>
      <t xml:space="preserve">)</t>
    </r>
  </si>
  <si>
    <t xml:space="preserve">역병 장면 절제</t>
  </si>
  <si>
    <t xml:space="preserve">A0259</t>
  </si>
  <si>
    <t xml:space="preserve">B029</t>
  </si>
  <si>
    <t xml:space="preserve">S2-L16</t>
  </si>
  <si>
    <t xml:space="preserve">열왕기상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</si>
  <si>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1:1-53</t>
    </r>
  </si>
  <si>
    <r>
      <rPr>
        <sz val="10"/>
        <color rgb="FF000000"/>
        <rFont val="WenQuanYi Zen Hei"/>
        <family val="2"/>
      </rPr>
      <t xml:space="preserve">누가 왕이 될까</t>
    </r>
    <r>
      <rPr>
        <sz val="10"/>
        <color rgb="FF000000"/>
        <rFont val="Arial"/>
        <family val="0"/>
        <charset val="1"/>
      </rPr>
      <t xml:space="preserve">?</t>
    </r>
  </si>
  <si>
    <t xml:space="preserve">늙은 다윗 몰래 스스로 왕이 된 아들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</si>
  <si>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1:39</t>
    </r>
  </si>
  <si>
    <t xml:space="preserve">하나님이 정하신 왕이 세워집니다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</si>
  <si>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솔로몬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아도니야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나단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밧세바</t>
    </r>
  </si>
  <si>
    <r>
      <rPr>
        <sz val="10"/>
        <color rgb="FF000000"/>
        <rFont val="WenQuanYi Zen Hei"/>
        <family val="2"/>
      </rPr>
      <t xml:space="preserve">기혼 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예루살렘</t>
    </r>
  </si>
  <si>
    <t xml:space="preserve">A0260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</si>
  <si>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2:1-46</t>
    </r>
  </si>
  <si>
    <t xml:space="preserve">다윗의 유언</t>
  </si>
  <si>
    <t xml:space="preserve">대장부가 되라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</si>
  <si>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2:3</t>
    </r>
  </si>
  <si>
    <t xml:space="preserve">하나님의 길로 행하는 것이 형통의 길입니다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</si>
  <si>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솔로몬</t>
    </r>
  </si>
  <si>
    <r>
      <rPr>
        <sz val="10"/>
        <color rgb="FF000000"/>
        <rFont val="WenQuanYi Zen Hei"/>
        <family val="2"/>
      </rPr>
      <t xml:space="preserve">다윗의 침상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예루살렘</t>
    </r>
  </si>
  <si>
    <t xml:space="preserve">A0261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</si>
  <si>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3:1-15</t>
    </r>
  </si>
  <si>
    <t xml:space="preserve">무엇을 줄까 너는 구하라</t>
  </si>
  <si>
    <t xml:space="preserve">하나님이 꿈에서 물으셨다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</si>
  <si>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3:9</t>
    </r>
  </si>
  <si>
    <t xml:space="preserve">듣는 마음을 구하는 자에게 지혜를 주십니다</t>
  </si>
  <si>
    <r>
      <rPr>
        <sz val="10"/>
        <color rgb="FF000000"/>
        <rFont val="WenQuanYi Zen Hei"/>
        <family val="2"/>
      </rPr>
      <t xml:space="preserve">솔로몬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하나님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음성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</si>
  <si>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기브온 산당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밤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</si>
  <si>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5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삼하 </t>
    </r>
    <r>
      <rPr>
        <sz val="10"/>
        <color rgb="FF1F3864"/>
        <rFont val="Arial"/>
        <family val="0"/>
        <charset val="1"/>
      </rPr>
      <t xml:space="preserve">19:1-20:26 </t>
    </r>
    <r>
      <rPr>
        <sz val="10"/>
        <color rgb="FF1F3864"/>
        <rFont val="WenQuanYi Zen Hei"/>
        <family val="2"/>
      </rPr>
      <t xml:space="preserve">돌아온 왕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흔들리는 나라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삼하 </t>
    </r>
    <r>
      <rPr>
        <sz val="10"/>
        <color rgb="FF1F3864"/>
        <rFont val="Arial"/>
        <family val="0"/>
        <charset val="1"/>
      </rPr>
      <t xml:space="preserve">21:1-22:51 </t>
    </r>
    <r>
      <rPr>
        <sz val="10"/>
        <color rgb="FF1F3864"/>
        <rFont val="WenQuanYi Zen Hei"/>
        <family val="2"/>
      </rPr>
      <t xml:space="preserve">다윗의 감사 노래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삼하 </t>
    </r>
    <r>
      <rPr>
        <sz val="10"/>
        <color rgb="FF1F3864"/>
        <rFont val="Arial"/>
        <family val="0"/>
        <charset val="1"/>
      </rPr>
      <t xml:space="preserve">23:1-24:25 </t>
    </r>
    <r>
      <rPr>
        <sz val="10"/>
        <color rgb="FF1F3864"/>
        <rFont val="WenQuanYi Zen Hei"/>
        <family val="2"/>
      </rPr>
      <t xml:space="preserve">값없이 드리지 않겠다 외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</si>
  <si>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A0262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</si>
  <si>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3:16-28</t>
    </r>
  </si>
  <si>
    <t xml:space="preserve">두 엄마와 한 아기</t>
  </si>
  <si>
    <t xml:space="preserve">아기를 반으로 나누라는 판결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</si>
  <si>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3:28</t>
    </r>
  </si>
  <si>
    <t xml:space="preserve">하나님의 지혜는 진실을 드러냅니다</t>
  </si>
  <si>
    <r>
      <rPr>
        <sz val="10"/>
        <color rgb="FF000000"/>
        <rFont val="WenQuanYi Zen Hei"/>
        <family val="2"/>
      </rPr>
      <t xml:space="preserve">솔로몬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두 여인</t>
    </r>
  </si>
  <si>
    <t xml:space="preserve">왕의 재판정</t>
  </si>
  <si>
    <r>
      <rPr>
        <sz val="10"/>
        <color rgb="FFC00000"/>
        <rFont val="WenQuanYi Zen Hei"/>
        <family val="2"/>
      </rPr>
      <t xml:space="preserve">칼로 아기를 위협하는 장면 긴장감만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위해 묘사 금지</t>
    </r>
  </si>
  <si>
    <t xml:space="preserve">A0263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</si>
  <si>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4:1-34</t>
    </r>
  </si>
  <si>
    <t xml:space="preserve">세상에서 가장 지혜로운 왕</t>
  </si>
  <si>
    <r>
      <rPr>
        <sz val="10"/>
        <color rgb="FF000000"/>
        <rFont val="WenQuanYi Zen Hei"/>
        <family val="2"/>
      </rPr>
      <t xml:space="preserve">잠언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천 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노래 </t>
    </r>
    <r>
      <rPr>
        <sz val="10"/>
        <color rgb="FF000000"/>
        <rFont val="Arial"/>
        <family val="0"/>
        <charset val="1"/>
      </rPr>
      <t xml:space="preserve">1,005</t>
    </r>
    <r>
      <rPr>
        <sz val="10"/>
        <color rgb="FF000000"/>
        <rFont val="WenQuanYi Zen Hei"/>
        <family val="2"/>
      </rPr>
      <t xml:space="preserve">편</t>
    </r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</si>
  <si>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4:29</t>
    </r>
  </si>
  <si>
    <t xml:space="preserve">지혜는 하나님이 주시는 선물입니다</t>
  </si>
  <si>
    <t xml:space="preserve">솔로몬</t>
  </si>
  <si>
    <t xml:space="preserve">이스라엘 전성기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</si>
  <si>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#110 '</t>
    </r>
    <r>
      <rPr>
        <sz val="10"/>
        <color rgb="FF000000"/>
        <rFont val="WenQuanYi Zen Hei"/>
        <family val="2"/>
      </rPr>
      <t xml:space="preserve">두 엄마와 한 아기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</si>
  <si>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A0264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</si>
  <si>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5:1-6:38</t>
    </r>
  </si>
  <si>
    <t xml:space="preserve">성전을 짓다</t>
  </si>
  <si>
    <t xml:space="preserve">망치 소리 하나 없이 지은 성전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</si>
  <si>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6:13</t>
    </r>
  </si>
  <si>
    <t xml:space="preserve">하나님은 백성 가운데 거하시기를 원하십니다</t>
  </si>
  <si>
    <r>
      <rPr>
        <sz val="10"/>
        <color rgb="FF000000"/>
        <rFont val="WenQuanYi Zen Hei"/>
        <family val="2"/>
      </rPr>
      <t xml:space="preserve">솔로몬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히람</t>
    </r>
  </si>
  <si>
    <r>
      <rPr>
        <sz val="10"/>
        <color rgb="FF000000"/>
        <rFont val="WenQuanYi Zen Hei"/>
        <family val="2"/>
      </rPr>
      <t xml:space="preserve">레바논 백향목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성전 건축 현장</t>
    </r>
  </si>
  <si>
    <t xml:space="preserve">A0265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</si>
  <si>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7:1-51</t>
    </r>
  </si>
  <si>
    <t xml:space="preserve">성전의 기구들</t>
  </si>
  <si>
    <t xml:space="preserve">놋바다와 두 기둥 야긴과 보아스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</si>
  <si>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7:51</t>
    </r>
  </si>
  <si>
    <t xml:space="preserve">모든 것을 하나님께 드립니다</t>
  </si>
  <si>
    <r>
      <rPr>
        <sz val="10"/>
        <color rgb="FF000000"/>
        <rFont val="WenQuanYi Zen Hei"/>
        <family val="2"/>
      </rPr>
      <t xml:space="preserve">솔로몬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히람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놋쇠 장인</t>
    </r>
    <r>
      <rPr>
        <sz val="10"/>
        <color rgb="FF000000"/>
        <rFont val="Arial"/>
        <family val="0"/>
        <charset val="1"/>
      </rPr>
      <t xml:space="preserve">)</t>
    </r>
  </si>
  <si>
    <t xml:space="preserve">성전 뜰</t>
  </si>
  <si>
    <t xml:space="preserve">A0266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</si>
  <si>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8:1-66</t>
    </r>
  </si>
  <si>
    <t xml:space="preserve">성전 봉헌 기도</t>
  </si>
  <si>
    <t xml:space="preserve">하늘도 주를 담을 수 없다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</si>
  <si>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8:27</t>
    </r>
  </si>
  <si>
    <t xml:space="preserve">하나님은 어디서나 기도를 들으십니다</t>
  </si>
  <si>
    <r>
      <rPr>
        <sz val="10"/>
        <color rgb="FF000000"/>
        <rFont val="WenQuanYi Zen Hei"/>
        <family val="2"/>
      </rPr>
      <t xml:space="preserve">솔로몬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제사장들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</si>
  <si>
    <r>
      <rPr>
        <sz val="10"/>
        <color rgb="FF000000"/>
        <rFont val="WenQuanYi Zen Hei"/>
        <family val="2"/>
      </rPr>
      <t xml:space="preserve">성전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구름 가득한 영광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</si>
  <si>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3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왕상 </t>
    </r>
    <r>
      <rPr>
        <sz val="10"/>
        <color rgb="FF1F3864"/>
        <rFont val="Arial"/>
        <family val="0"/>
        <charset val="1"/>
      </rPr>
      <t xml:space="preserve">4:1-34 </t>
    </r>
    <r>
      <rPr>
        <sz val="10"/>
        <color rgb="FF1F3864"/>
        <rFont val="WenQuanYi Zen Hei"/>
        <family val="2"/>
      </rPr>
      <t xml:space="preserve">세상에서 가장 지혜로운 왕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왕상 </t>
    </r>
    <r>
      <rPr>
        <sz val="10"/>
        <color rgb="FF1F3864"/>
        <rFont val="Arial"/>
        <family val="0"/>
        <charset val="1"/>
      </rPr>
      <t xml:space="preserve">5:1-6:38 </t>
    </r>
    <r>
      <rPr>
        <sz val="10"/>
        <color rgb="FF1F3864"/>
        <rFont val="WenQuanYi Zen Hei"/>
        <family val="2"/>
      </rPr>
      <t xml:space="preserve">성전을 짓다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왕상 </t>
    </r>
    <r>
      <rPr>
        <sz val="10"/>
        <color rgb="FF1F3864"/>
        <rFont val="Arial"/>
        <family val="0"/>
        <charset val="1"/>
      </rPr>
      <t xml:space="preserve">7:1-51 </t>
    </r>
    <r>
      <rPr>
        <sz val="10"/>
        <color rgb="FF1F3864"/>
        <rFont val="WenQuanYi Zen Hei"/>
        <family val="2"/>
      </rPr>
      <t xml:space="preserve">성전의 기구들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</si>
  <si>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A0267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</si>
  <si>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9:1-10:29</t>
    </r>
  </si>
  <si>
    <t xml:space="preserve">스바 여왕의 방문</t>
  </si>
  <si>
    <t xml:space="preserve">먼 나라 여왕이 직접 확인하러 왔다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</si>
  <si>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10:9</t>
    </r>
  </si>
  <si>
    <t xml:space="preserve">하나님이 왕을 세우신 것은 정의를 위함입니다</t>
  </si>
  <si>
    <r>
      <rPr>
        <sz val="10"/>
        <color rgb="FF000000"/>
        <rFont val="WenQuanYi Zen Hei"/>
        <family val="2"/>
      </rPr>
      <t xml:space="preserve">솔로몬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스바 여왕</t>
    </r>
  </si>
  <si>
    <t xml:space="preserve">솔로몬의 궁전</t>
  </si>
  <si>
    <t xml:space="preserve">A0268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</si>
  <si>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11:1-43</t>
    </r>
  </si>
  <si>
    <t xml:space="preserve">마음이 돌아서다</t>
  </si>
  <si>
    <t xml:space="preserve">가장 지혜로운 왕이 우상을 섬겼다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</si>
  <si>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11:4</t>
    </r>
  </si>
  <si>
    <t xml:space="preserve">마음을 지키지 않으면 지혜도 무너집니다</t>
  </si>
  <si>
    <r>
      <rPr>
        <sz val="10"/>
        <color rgb="FF000000"/>
        <rFont val="WenQuanYi Zen Hei"/>
        <family val="2"/>
      </rPr>
      <t xml:space="preserve">솔로몬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아히야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여로보암</t>
    </r>
  </si>
  <si>
    <r>
      <rPr>
        <sz val="10"/>
        <color rgb="FF000000"/>
        <rFont val="WenQuanYi Zen Hei"/>
        <family val="2"/>
      </rPr>
      <t xml:space="preserve">예루살렘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이방 산당들</t>
    </r>
  </si>
  <si>
    <t xml:space="preserve">후궁 관련 성적 연출 금지</t>
  </si>
  <si>
    <t xml:space="preserve">A0269</t>
  </si>
  <si>
    <t xml:space="preserve">B030</t>
  </si>
  <si>
    <t xml:space="preserve">S1-L13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</si>
  <si>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12:1-24</t>
    </r>
  </si>
  <si>
    <t xml:space="preserve">나라가 둘로 나뉘다</t>
  </si>
  <si>
    <t xml:space="preserve">무거운 멍에를 더 무겁게 하겠다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</si>
  <si>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12:15</t>
    </r>
  </si>
  <si>
    <t xml:space="preserve">하나님은 역사 속에서 말씀을 이루십니다</t>
  </si>
  <si>
    <r>
      <rPr>
        <sz val="10"/>
        <color rgb="FF000000"/>
        <rFont val="WenQuanYi Zen Hei"/>
        <family val="2"/>
      </rPr>
      <t xml:space="preserve">르호보암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여로보암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</si>
  <si>
    <t xml:space="preserve">A0270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</si>
  <si>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12:25-13:34</t>
    </r>
  </si>
  <si>
    <t xml:space="preserve">금송아지와 하나님의 사람</t>
  </si>
  <si>
    <t xml:space="preserve">왕의 손이 말라 버렸다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</si>
  <si>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12:28</t>
    </r>
  </si>
  <si>
    <t xml:space="preserve">편리한 예배는 우상숭배가 됩니다</t>
  </si>
  <si>
    <r>
      <rPr>
        <sz val="10"/>
        <color rgb="FF000000"/>
        <rFont val="WenQuanYi Zen Hei"/>
        <family val="2"/>
      </rPr>
      <t xml:space="preserve">여로보암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하나님의 사람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늙은 선지자</t>
    </r>
  </si>
  <si>
    <t xml:space="preserve">사자 장면 절제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</si>
  <si>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#114 '</t>
    </r>
    <r>
      <rPr>
        <sz val="10"/>
        <color rgb="FF000000"/>
        <rFont val="WenQuanYi Zen Hei"/>
        <family val="2"/>
      </rPr>
      <t xml:space="preserve">나라가 둘로 나뉘다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</si>
  <si>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A0271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</si>
  <si>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14:1-31</t>
    </r>
  </si>
  <si>
    <t xml:space="preserve">변장한 왕비</t>
  </si>
  <si>
    <t xml:space="preserve">변장하고 선지자를 찾아간 왕비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</si>
  <si>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14:8</t>
    </r>
  </si>
  <si>
    <t xml:space="preserve">하나님은 온 마음으로 따르는 자를 기억하십니다</t>
  </si>
  <si>
    <r>
      <rPr>
        <sz val="10"/>
        <color rgb="FF000000"/>
        <rFont val="WenQuanYi Zen Hei"/>
        <family val="2"/>
      </rPr>
      <t xml:space="preserve">아히야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여로보암의 아내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르호보암</t>
    </r>
  </si>
  <si>
    <r>
      <rPr>
        <sz val="10"/>
        <color rgb="FF000000"/>
        <rFont val="WenQuanYi Zen Hei"/>
        <family val="2"/>
      </rPr>
      <t xml:space="preserve">실로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예루살렘</t>
    </r>
  </si>
  <si>
    <t xml:space="preserve">A0272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</si>
  <si>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15:1-16:34</t>
    </r>
  </si>
  <si>
    <t xml:space="preserve">남과 북의 왕들</t>
  </si>
  <si>
    <r>
      <rPr>
        <sz val="10"/>
        <color rgb="FF000000"/>
        <rFont val="WenQuanYi Zen Hei"/>
        <family val="2"/>
      </rPr>
      <t xml:space="preserve">좋은 왕과 나쁜 왕은 무엇이 달랐을까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</si>
  <si>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15:11</t>
    </r>
  </si>
  <si>
    <t xml:space="preserve">왕의 기준은 여호와 보시기에 정직했는가입니다</t>
  </si>
  <si>
    <r>
      <rPr>
        <sz val="10"/>
        <color rgb="FF000000"/>
        <rFont val="WenQuanYi Zen Hei"/>
        <family val="2"/>
      </rPr>
      <t xml:space="preserve">아사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오므리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이세벨</t>
    </r>
  </si>
  <si>
    <r>
      <rPr>
        <sz val="10"/>
        <color rgb="FF000000"/>
        <rFont val="WenQuanYi Zen Hei"/>
        <family val="2"/>
      </rPr>
      <t xml:space="preserve">예루살렘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사마리아</t>
    </r>
  </si>
  <si>
    <t xml:space="preserve">A0273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</si>
  <si>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17:1-7</t>
    </r>
  </si>
  <si>
    <t xml:space="preserve">까마귀가 날라 준 음식</t>
  </si>
  <si>
    <t xml:space="preserve">까마귀가 아침저녁으로 빵과 고기를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</si>
  <si>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17:6</t>
    </r>
  </si>
  <si>
    <t xml:space="preserve">하나님은 놀라운 방법으로 먹이십니다</t>
  </si>
  <si>
    <r>
      <rPr>
        <sz val="10"/>
        <color rgb="FF000000"/>
        <rFont val="WenQuanYi Zen Hei"/>
        <family val="2"/>
      </rPr>
      <t xml:space="preserve">엘리야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까마귀</t>
    </r>
  </si>
  <si>
    <t xml:space="preserve">그릿 시냇가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</si>
  <si>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3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왕상 </t>
    </r>
    <r>
      <rPr>
        <sz val="10"/>
        <color rgb="FF1F3864"/>
        <rFont val="Arial"/>
        <family val="0"/>
        <charset val="1"/>
      </rPr>
      <t xml:space="preserve">12:25-13:34 </t>
    </r>
    <r>
      <rPr>
        <sz val="10"/>
        <color rgb="FF1F3864"/>
        <rFont val="WenQuanYi Zen Hei"/>
        <family val="2"/>
      </rPr>
      <t xml:space="preserve">금송아지와 하나님의 사람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왕상 </t>
    </r>
    <r>
      <rPr>
        <sz val="10"/>
        <color rgb="FF1F3864"/>
        <rFont val="Arial"/>
        <family val="0"/>
        <charset val="1"/>
      </rPr>
      <t xml:space="preserve">14:1-31 </t>
    </r>
    <r>
      <rPr>
        <sz val="10"/>
        <color rgb="FF1F3864"/>
        <rFont val="WenQuanYi Zen Hei"/>
        <family val="2"/>
      </rPr>
      <t xml:space="preserve">변장한 왕비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왕상 </t>
    </r>
    <r>
      <rPr>
        <sz val="10"/>
        <color rgb="FF1F3864"/>
        <rFont val="Arial"/>
        <family val="0"/>
        <charset val="1"/>
      </rPr>
      <t xml:space="preserve">15:1-16:34 </t>
    </r>
    <r>
      <rPr>
        <sz val="10"/>
        <color rgb="FF1F3864"/>
        <rFont val="WenQuanYi Zen Hei"/>
        <family val="2"/>
      </rPr>
      <t xml:space="preserve">남과 북의 왕들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</si>
  <si>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A0274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</si>
  <si>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17:8-24</t>
    </r>
  </si>
  <si>
    <t xml:space="preserve">과부의 마지막 밀가루</t>
  </si>
  <si>
    <t xml:space="preserve">떨어지지 않는 통의 가루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</si>
  <si>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17:16</t>
    </r>
  </si>
  <si>
    <t xml:space="preserve">하나님은 순종하는 자의 필요를 채우십니다</t>
  </si>
  <si>
    <r>
      <rPr>
        <sz val="10"/>
        <color rgb="FF000000"/>
        <rFont val="WenQuanYi Zen Hei"/>
        <family val="2"/>
      </rPr>
      <t xml:space="preserve">엘리야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사르밧 과부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아들</t>
    </r>
  </si>
  <si>
    <t xml:space="preserve">사르밧</t>
  </si>
  <si>
    <t xml:space="preserve">A0275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</si>
  <si>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18:1-24</t>
    </r>
  </si>
  <si>
    <t xml:space="preserve">누가 참 하나님인가</t>
  </si>
  <si>
    <r>
      <rPr>
        <sz val="10"/>
        <color rgb="FF000000"/>
        <rFont val="Arial"/>
        <family val="0"/>
        <charset val="1"/>
      </rPr>
      <t xml:space="preserve">450 </t>
    </r>
    <r>
      <rPr>
        <sz val="10"/>
        <color rgb="FF000000"/>
        <rFont val="WenQuanYi Zen Hei"/>
        <family val="2"/>
      </rPr>
      <t xml:space="preserve">대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의 대결</t>
    </r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</si>
  <si>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18:21</t>
    </r>
  </si>
  <si>
    <t xml:space="preserve">머뭇거리지 말고 참 하나님을 따르라</t>
  </si>
  <si>
    <r>
      <rPr>
        <sz val="10"/>
        <color rgb="FF000000"/>
        <rFont val="WenQuanYi Zen Hei"/>
        <family val="2"/>
      </rPr>
      <t xml:space="preserve">엘리야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오바댜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바알 선지자들</t>
    </r>
  </si>
  <si>
    <t xml:space="preserve">갈멜 산</t>
  </si>
  <si>
    <t xml:space="preserve">A0276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</si>
  <si>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18:25-40</t>
    </r>
  </si>
  <si>
    <t xml:space="preserve">하늘에서 내린 불</t>
  </si>
  <si>
    <t xml:space="preserve">물을 세 번이나 부었는데 불이 붙었다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</si>
  <si>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18:39</t>
    </r>
  </si>
  <si>
    <t xml:space="preserve">여호와 그는 하나님이시로다</t>
  </si>
  <si>
    <r>
      <rPr>
        <sz val="10"/>
        <color rgb="FF000000"/>
        <rFont val="WenQuanYi Zen Hei"/>
        <family val="2"/>
      </rPr>
      <t xml:space="preserve">엘리야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바알 선지자들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</si>
  <si>
    <t xml:space="preserve">갈멜 산 제단</t>
  </si>
  <si>
    <t xml:space="preserve">바알 선지자 처형 장면 묘사 금지</t>
  </si>
  <si>
    <t xml:space="preserve">A0277</t>
  </si>
  <si>
    <t xml:space="preserve">B031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</si>
  <si>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18:41-19:8</t>
    </r>
  </si>
  <si>
    <t xml:space="preserve">로뎀나무 아래</t>
  </si>
  <si>
    <t xml:space="preserve">큰 승리 직후 죽고 싶다고 한 선지자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</si>
  <si>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19:7</t>
    </r>
  </si>
  <si>
    <t xml:space="preserve">하나님은 지친 종을 먹이고 쉬게 하십니다</t>
  </si>
  <si>
    <r>
      <rPr>
        <sz val="10"/>
        <color rgb="FF000000"/>
        <rFont val="WenQuanYi Zen Hei"/>
        <family val="2"/>
      </rPr>
      <t xml:space="preserve">엘리야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천사</t>
    </r>
  </si>
  <si>
    <r>
      <rPr>
        <sz val="10"/>
        <color rgb="FF000000"/>
        <rFont val="WenQuanYi Zen Hei"/>
        <family val="2"/>
      </rPr>
      <t xml:space="preserve">갈멜 꼭대기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브엘세바 광야 로뎀나무</t>
    </r>
  </si>
  <si>
    <r>
      <rPr>
        <sz val="10"/>
        <color rgb="FFC00000"/>
        <rFont val="WenQuanYi Zen Hei"/>
        <family val="2"/>
      </rPr>
      <t xml:space="preserve">천사는 사람 형상의 빛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날개 과장 금지</t>
    </r>
  </si>
  <si>
    <t xml:space="preserve">A0278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</si>
  <si>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19:9-21</t>
    </r>
  </si>
  <si>
    <t xml:space="preserve">세미한 소리</t>
  </si>
  <si>
    <t xml:space="preserve">바람도 지진도 불도 아니었다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</si>
  <si>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19:12</t>
    </r>
  </si>
  <si>
    <t xml:space="preserve">하나님은 조용한 음성으로 말씀하십니다</t>
  </si>
  <si>
    <r>
      <rPr>
        <sz val="10"/>
        <color rgb="FF000000"/>
        <rFont val="WenQuanYi Zen Hei"/>
        <family val="2"/>
      </rPr>
      <t xml:space="preserve">엘리야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엘리사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하나님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음성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</si>
  <si>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호렙 산 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밭 가는 엘리사</t>
    </r>
  </si>
  <si>
    <t xml:space="preserve">A0279</t>
  </si>
  <si>
    <t xml:space="preserve">S2-L17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</si>
  <si>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20:1-43</t>
    </r>
  </si>
  <si>
    <t xml:space="preserve">산의 신이냐 골짜기의 신이냐</t>
  </si>
  <si>
    <t xml:space="preserve">아람 왕의 큰 착각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</si>
  <si>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20:28</t>
    </r>
  </si>
  <si>
    <t xml:space="preserve">여호와는 온 땅의 하나님이십니다</t>
  </si>
  <si>
    <r>
      <rPr>
        <sz val="10"/>
        <color rgb="FF000000"/>
        <rFont val="WenQuanYi Zen Hei"/>
        <family val="2"/>
      </rPr>
      <t xml:space="preserve">아합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벤하닷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선지자</t>
    </r>
  </si>
  <si>
    <r>
      <rPr>
        <sz val="10"/>
        <color rgb="FF000000"/>
        <rFont val="WenQuanYi Zen Hei"/>
        <family val="2"/>
      </rPr>
      <t xml:space="preserve">사마리아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아벡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</si>
  <si>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#120 '</t>
    </r>
    <r>
      <rPr>
        <sz val="10"/>
        <color rgb="FF000000"/>
        <rFont val="WenQuanYi Zen Hei"/>
        <family val="2"/>
      </rPr>
      <t xml:space="preserve">세미한 소리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</si>
  <si>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A0280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</si>
  <si>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21:1-29</t>
    </r>
  </si>
  <si>
    <t xml:space="preserve">나봇의 포도원</t>
  </si>
  <si>
    <t xml:space="preserve">포도원 하나 때문에 사람을 죽였다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</si>
  <si>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21:29</t>
    </r>
  </si>
  <si>
    <t xml:space="preserve">하나님은 회개하는 자를 보십니다</t>
  </si>
  <si>
    <r>
      <rPr>
        <sz val="10"/>
        <color rgb="FF000000"/>
        <rFont val="WenQuanYi Zen Hei"/>
        <family val="2"/>
      </rPr>
      <t xml:space="preserve">아합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이세벨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나봇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엘리야</t>
    </r>
  </si>
  <si>
    <t xml:space="preserve">이스르엘 포도원</t>
  </si>
  <si>
    <t xml:space="preserve">A0281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</si>
  <si>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22:1-53</t>
    </r>
  </si>
  <si>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WenQuanYi Zen Hei"/>
        <family val="2"/>
      </rPr>
      <t xml:space="preserve">대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</si>
  <si>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10"/>
        <color rgb="FF000000"/>
        <rFont val="WenQuanYi Zen Hei"/>
        <family val="2"/>
      </rPr>
      <t xml:space="preserve">모든 선지자가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이긴다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고 할 때 한 사람만</t>
    </r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</si>
  <si>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22:14</t>
    </r>
  </si>
  <si>
    <t xml:space="preserve">여호와께서 내게 말씀하시는 것만 말하리라</t>
  </si>
  <si>
    <r>
      <rPr>
        <sz val="10"/>
        <color rgb="FF000000"/>
        <rFont val="WenQuanYi Zen Hei"/>
        <family val="2"/>
      </rPr>
      <t xml:space="preserve">미가야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여호사밧</t>
    </r>
  </si>
  <si>
    <r>
      <rPr>
        <sz val="10"/>
        <color rgb="FF000000"/>
        <rFont val="WenQuanYi Zen Hei"/>
        <family val="2"/>
      </rPr>
      <t xml:space="preserve">사마리아 성문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길르앗 라못</t>
    </r>
  </si>
  <si>
    <t xml:space="preserve">아합의 죽음 묘사 절제</t>
  </si>
  <si>
    <t xml:space="preserve">A0282</t>
  </si>
  <si>
    <t xml:space="preserve">열왕기하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</si>
  <si>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1:1-18</t>
    </r>
  </si>
  <si>
    <t xml:space="preserve">에그론의 신에게 묻다</t>
  </si>
  <si>
    <t xml:space="preserve">이스라엘에 하나님이 없어서 다른 신에게 묻느냐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</si>
  <si>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1:3</t>
    </r>
  </si>
  <si>
    <t xml:space="preserve">하나님 외에 다른 데서 답을 찾지 않습니다</t>
  </si>
  <si>
    <r>
      <rPr>
        <sz val="10"/>
        <color rgb="FF000000"/>
        <rFont val="WenQuanYi Zen Hei"/>
        <family val="2"/>
      </rPr>
      <t xml:space="preserve">아하시야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엘리야</t>
    </r>
  </si>
  <si>
    <r>
      <rPr>
        <sz val="10"/>
        <color rgb="FF000000"/>
        <rFont val="WenQuanYi Zen Hei"/>
        <family val="2"/>
      </rPr>
      <t xml:space="preserve">사마리아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산꼭대기</t>
    </r>
  </si>
  <si>
    <t xml:space="preserve">불 내려오는 장면 절제</t>
  </si>
  <si>
    <t xml:space="preserve">A0283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</si>
  <si>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2:1-14</t>
    </r>
  </si>
  <si>
    <t xml:space="preserve">불병거와 회오리바람</t>
  </si>
  <si>
    <t xml:space="preserve">하늘로 올라간 선지자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</si>
  <si>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2:9</t>
    </r>
  </si>
  <si>
    <t xml:space="preserve">갑절의 영감이 내게 있게 하소서</t>
  </si>
  <si>
    <r>
      <rPr>
        <sz val="10"/>
        <color rgb="FF000000"/>
        <rFont val="WenQuanYi Zen Hei"/>
        <family val="2"/>
      </rPr>
      <t xml:space="preserve">엘리야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엘리사</t>
    </r>
  </si>
  <si>
    <r>
      <rPr>
        <sz val="10"/>
        <color rgb="FF000000"/>
        <rFont val="WenQuanYi Zen Hei"/>
        <family val="2"/>
      </rPr>
      <t xml:space="preserve">요단 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불말과 불병거</t>
    </r>
  </si>
  <si>
    <r>
      <rPr>
        <sz val="10"/>
        <color rgb="FFC00000"/>
        <rFont val="WenQuanYi Zen Hei"/>
        <family val="2"/>
      </rPr>
      <t xml:space="preserve">자칭 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엘리야</t>
    </r>
    <r>
      <rPr>
        <sz val="10"/>
        <color rgb="FFC00000"/>
        <rFont val="Arial"/>
        <family val="0"/>
        <charset val="1"/>
      </rPr>
      <t xml:space="preserve">'·</t>
    </r>
    <r>
      <rPr>
        <sz val="10"/>
        <color rgb="FFC00000"/>
        <rFont val="WenQuanYi Zen Hei"/>
        <family val="2"/>
      </rPr>
      <t xml:space="preserve">재림 교주 이단 경계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</si>
  <si>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4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왕상 </t>
    </r>
    <r>
      <rPr>
        <sz val="10"/>
        <color rgb="FF1F3864"/>
        <rFont val="Arial"/>
        <family val="0"/>
        <charset val="1"/>
      </rPr>
      <t xml:space="preserve">20:1-43 </t>
    </r>
    <r>
      <rPr>
        <sz val="10"/>
        <color rgb="FF1F3864"/>
        <rFont val="WenQuanYi Zen Hei"/>
        <family val="2"/>
      </rPr>
      <t xml:space="preserve">산의 신이냐 골짜기의 신이냐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왕상 </t>
    </r>
    <r>
      <rPr>
        <sz val="10"/>
        <color rgb="FF1F3864"/>
        <rFont val="Arial"/>
        <family val="0"/>
        <charset val="1"/>
      </rPr>
      <t xml:space="preserve">21:1-29 </t>
    </r>
    <r>
      <rPr>
        <sz val="10"/>
        <color rgb="FF1F3864"/>
        <rFont val="WenQuanYi Zen Hei"/>
        <family val="2"/>
      </rPr>
      <t xml:space="preserve">나봇의 포도원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왕상 </t>
    </r>
    <r>
      <rPr>
        <sz val="10"/>
        <color rgb="FF1F3864"/>
        <rFont val="Arial"/>
        <family val="0"/>
        <charset val="1"/>
      </rPr>
      <t xml:space="preserve">22:1-53 400 </t>
    </r>
    <r>
      <rPr>
        <sz val="10"/>
        <color rgb="FF1F3864"/>
        <rFont val="WenQuanYi Zen Hei"/>
        <family val="2"/>
      </rPr>
      <t xml:space="preserve">대 </t>
    </r>
    <r>
      <rPr>
        <sz val="10"/>
        <color rgb="FF1F3864"/>
        <rFont val="Arial"/>
        <family val="0"/>
        <charset val="1"/>
      </rPr>
      <t xml:space="preserve">1 </t>
    </r>
    <r>
      <rPr>
        <sz val="10"/>
        <color rgb="FF1F3864"/>
        <rFont val="WenQuanYi Zen Hei"/>
        <family val="2"/>
      </rPr>
      <t xml:space="preserve">외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</si>
  <si>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A0284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</si>
  <si>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2:15-25</t>
    </r>
  </si>
  <si>
    <t xml:space="preserve">엘리사의 첫 기적</t>
  </si>
  <si>
    <t xml:space="preserve">소금 한 그릇으로 고친 샘물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</si>
  <si>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2:21</t>
    </r>
  </si>
  <si>
    <t xml:space="preserve">하나님은 죽음의 물을 생명의 물로 바꾸십니다</t>
  </si>
  <si>
    <r>
      <rPr>
        <sz val="10"/>
        <color rgb="FF000000"/>
        <rFont val="WenQuanYi Zen Hei"/>
        <family val="2"/>
      </rPr>
      <t xml:space="preserve">엘리사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여리고 사람들</t>
    </r>
  </si>
  <si>
    <t xml:space="preserve">여리고 샘</t>
  </si>
  <si>
    <t xml:space="preserve">곰 장면은 묘사 금지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</si>
  <si>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#121 '</t>
    </r>
    <r>
      <rPr>
        <sz val="10"/>
        <color rgb="FF000000"/>
        <rFont val="WenQuanYi Zen Hei"/>
        <family val="2"/>
      </rPr>
      <t xml:space="preserve">불병거와 회오리바람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</si>
  <si>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A0285</t>
  </si>
  <si>
    <t xml:space="preserve">B032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</si>
  <si>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3:1-27</t>
    </r>
  </si>
  <si>
    <t xml:space="preserve">골짜기에 물이 가득</t>
  </si>
  <si>
    <t xml:space="preserve">비도 바람도 없이 골짜기에 물이 찼다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</si>
  <si>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3:17</t>
    </r>
  </si>
  <si>
    <t xml:space="preserve">하나님께는 이것이 작은 일입니다</t>
  </si>
  <si>
    <r>
      <rPr>
        <sz val="10"/>
        <color rgb="FF000000"/>
        <rFont val="WenQuanYi Zen Hei"/>
        <family val="2"/>
      </rPr>
      <t xml:space="preserve">엘리사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여호람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여호사밧</t>
    </r>
  </si>
  <si>
    <t xml:space="preserve">에돔 광야 골짜기</t>
  </si>
  <si>
    <r>
      <rPr>
        <sz val="10"/>
        <color rgb="FFC00000"/>
        <rFont val="Arial"/>
        <family val="0"/>
        <charset val="1"/>
      </rPr>
      <t xml:space="preserve">3:27 </t>
    </r>
    <r>
      <rPr>
        <sz val="10"/>
        <color rgb="FFC00000"/>
        <rFont val="WenQuanYi Zen Hei"/>
        <family val="2"/>
      </rPr>
      <t xml:space="preserve">인신제사 장면 절대 묘사 금지</t>
    </r>
  </si>
  <si>
    <t xml:space="preserve">A0286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</si>
  <si>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4:1-7</t>
    </r>
  </si>
  <si>
    <t xml:space="preserve">과부의 기름병</t>
  </si>
  <si>
    <t xml:space="preserve">빈 그릇을 빌리러 다닌 엄마와 아들들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</si>
  <si>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4:6</t>
    </r>
  </si>
  <si>
    <t xml:space="preserve">하나님은 믿음의 그릇만큼 채우십니다</t>
  </si>
  <si>
    <r>
      <rPr>
        <sz val="10"/>
        <color rgb="FF000000"/>
        <rFont val="WenQuanYi Zen Hei"/>
        <family val="2"/>
      </rPr>
      <t xml:space="preserve">엘리사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과부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두 아들</t>
    </r>
  </si>
  <si>
    <t xml:space="preserve">과부의 집</t>
  </si>
  <si>
    <t xml:space="preserve">A0287</t>
  </si>
  <si>
    <t xml:space="preserve">S1-L14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</si>
  <si>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4:8-37</t>
    </r>
  </si>
  <si>
    <t xml:space="preserve">수넴 여인의 아들</t>
  </si>
  <si>
    <t xml:space="preserve">선물로 받은 아들이 죽었다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</si>
  <si>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4:35</t>
    </r>
  </si>
  <si>
    <t xml:space="preserve">하나님은 죽음에서도 생명을 주십니다</t>
  </si>
  <si>
    <r>
      <rPr>
        <sz val="10"/>
        <color rgb="FF000000"/>
        <rFont val="WenQuanYi Zen Hei"/>
        <family val="2"/>
      </rPr>
      <t xml:space="preserve">엘리사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수넴 여인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게하시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아들</t>
    </r>
  </si>
  <si>
    <r>
      <rPr>
        <sz val="10"/>
        <color rgb="FF000000"/>
        <rFont val="WenQuanYi Zen Hei"/>
        <family val="2"/>
      </rPr>
      <t xml:space="preserve">수넴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갈멜 산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</si>
  <si>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3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왕하 </t>
    </r>
    <r>
      <rPr>
        <sz val="10"/>
        <color rgb="FF1F3864"/>
        <rFont val="Arial"/>
        <family val="0"/>
        <charset val="1"/>
      </rPr>
      <t xml:space="preserve">2:15-25 </t>
    </r>
    <r>
      <rPr>
        <sz val="10"/>
        <color rgb="FF1F3864"/>
        <rFont val="WenQuanYi Zen Hei"/>
        <family val="2"/>
      </rPr>
      <t xml:space="preserve">엘리사의 첫 기적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왕하 </t>
    </r>
    <r>
      <rPr>
        <sz val="10"/>
        <color rgb="FF1F3864"/>
        <rFont val="Arial"/>
        <family val="0"/>
        <charset val="1"/>
      </rPr>
      <t xml:space="preserve">3:1-27 </t>
    </r>
    <r>
      <rPr>
        <sz val="10"/>
        <color rgb="FF1F3864"/>
        <rFont val="WenQuanYi Zen Hei"/>
        <family val="2"/>
      </rPr>
      <t xml:space="preserve">골짜기에 물이 가득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왕하 </t>
    </r>
    <r>
      <rPr>
        <sz val="10"/>
        <color rgb="FF1F3864"/>
        <rFont val="Arial"/>
        <family val="0"/>
        <charset val="1"/>
      </rPr>
      <t xml:space="preserve">4:1-7 </t>
    </r>
    <r>
      <rPr>
        <sz val="10"/>
        <color rgb="FF1F3864"/>
        <rFont val="WenQuanYi Zen Hei"/>
        <family val="2"/>
      </rPr>
      <t xml:space="preserve">과부의 기름병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</si>
  <si>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A0288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</si>
  <si>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4:38-44</t>
    </r>
  </si>
  <si>
    <r>
      <rPr>
        <sz val="10"/>
        <color rgb="FF000000"/>
        <rFont val="WenQuanYi Zen Hei"/>
        <family val="2"/>
      </rPr>
      <t xml:space="preserve">국 속의 독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보리떡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개</t>
    </r>
  </si>
  <si>
    <r>
      <rPr>
        <sz val="10"/>
        <color rgb="FF000000"/>
        <rFont val="WenQuanYi Zen Hei"/>
        <family val="2"/>
      </rPr>
      <t xml:space="preserve">떡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개로 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WenQuanYi Zen Hei"/>
        <family val="2"/>
      </rPr>
      <t xml:space="preserve">명이 먹고 남았다</t>
    </r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</si>
  <si>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4:44</t>
    </r>
  </si>
  <si>
    <t xml:space="preserve">하나님의 말씀대로 넉넉합니다</t>
  </si>
  <si>
    <r>
      <rPr>
        <sz val="10"/>
        <color rgb="FF000000"/>
        <rFont val="WenQuanYi Zen Hei"/>
        <family val="2"/>
      </rPr>
      <t xml:space="preserve">엘리사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선지자의 제자들</t>
    </r>
  </si>
  <si>
    <t xml:space="preserve">오병이어와 연결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</si>
  <si>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#122 '</t>
    </r>
    <r>
      <rPr>
        <sz val="10"/>
        <color rgb="FF000000"/>
        <rFont val="WenQuanYi Zen Hei"/>
        <family val="2"/>
      </rPr>
      <t xml:space="preserve">수넴 여인의 아들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</si>
  <si>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A0289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</si>
  <si>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5:1-19</t>
    </r>
  </si>
  <si>
    <t xml:space="preserve">요단강에 일곱 번</t>
  </si>
  <si>
    <t xml:space="preserve">장군이 어린 여종의 말을 들었다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</si>
  <si>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5:14</t>
    </r>
  </si>
  <si>
    <t xml:space="preserve">은혜는 겸손히 순종할 때 받습니다</t>
  </si>
  <si>
    <r>
      <rPr>
        <sz val="10"/>
        <color rgb="FF000000"/>
        <rFont val="WenQuanYi Zen Hei"/>
        <family val="2"/>
      </rPr>
      <t xml:space="preserve">나아만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어린 여종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엘리사</t>
    </r>
  </si>
  <si>
    <r>
      <rPr>
        <sz val="10"/>
        <color rgb="FF000000"/>
        <rFont val="WenQuanYi Zen Hei"/>
        <family val="2"/>
      </rPr>
      <t xml:space="preserve">아람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요단강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</si>
  <si>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왕하 </t>
    </r>
    <r>
      <rPr>
        <sz val="10"/>
        <color rgb="FF1F3864"/>
        <rFont val="Arial"/>
        <family val="0"/>
        <charset val="1"/>
      </rPr>
      <t xml:space="preserve">4:38-44 </t>
    </r>
    <r>
      <rPr>
        <sz val="10"/>
        <color rgb="FF1F3864"/>
        <rFont val="WenQuanYi Zen Hei"/>
        <family val="2"/>
      </rPr>
      <t xml:space="preserve">국 속의 독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보리떡 </t>
    </r>
    <r>
      <rPr>
        <sz val="10"/>
        <color rgb="FF1F3864"/>
        <rFont val="Arial"/>
        <family val="0"/>
        <charset val="1"/>
      </rPr>
      <t xml:space="preserve">20</t>
    </r>
    <r>
      <rPr>
        <sz val="10"/>
        <color rgb="FF1F3864"/>
        <rFont val="WenQuanYi Zen Hei"/>
        <family val="2"/>
      </rPr>
      <t xml:space="preserve">개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</si>
  <si>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A0290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</si>
  <si>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5:20-27</t>
    </r>
  </si>
  <si>
    <t xml:space="preserve">게하시의 거짓말</t>
  </si>
  <si>
    <t xml:space="preserve">선물을 몰래 받으러 달려간 종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</si>
  <si>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5:26</t>
    </r>
  </si>
  <si>
    <t xml:space="preserve">탐심은 은혜를 더럽힙니다</t>
  </si>
  <si>
    <r>
      <rPr>
        <sz val="10"/>
        <color rgb="FF000000"/>
        <rFont val="WenQuanYi Zen Hei"/>
        <family val="2"/>
      </rPr>
      <t xml:space="preserve">게하시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나아만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엘리사</t>
    </r>
  </si>
  <si>
    <t xml:space="preserve">사마리아 길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</si>
  <si>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#123 '</t>
    </r>
    <r>
      <rPr>
        <sz val="10"/>
        <color rgb="FF000000"/>
        <rFont val="WenQuanYi Zen Hei"/>
        <family val="2"/>
      </rPr>
      <t xml:space="preserve">요단강에 일곱 번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</si>
  <si>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A0291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</si>
  <si>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6:1-7</t>
    </r>
  </si>
  <si>
    <t xml:space="preserve">떠오른 도끼</t>
  </si>
  <si>
    <t xml:space="preserve">빌린 도끼가 물에 빠졌다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</si>
  <si>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6:6</t>
    </r>
  </si>
  <si>
    <t xml:space="preserve">하나님은 작은 걱정도 돌보십니다</t>
  </si>
  <si>
    <r>
      <rPr>
        <sz val="10"/>
        <color rgb="FF000000"/>
        <rFont val="WenQuanYi Zen Hei"/>
        <family val="2"/>
      </rPr>
      <t xml:space="preserve">엘리사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선지자의 제자</t>
    </r>
  </si>
  <si>
    <t xml:space="preserve">요단 강가</t>
  </si>
  <si>
    <t xml:space="preserve">A0292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</si>
  <si>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6:8-23</t>
    </r>
  </si>
  <si>
    <t xml:space="preserve">불말과 불병거</t>
  </si>
  <si>
    <t xml:space="preserve">우리 편이 더 많다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</si>
  <si>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6:16</t>
    </r>
  </si>
  <si>
    <t xml:space="preserve">우리와 함께한 자가 그들보다 많으니라</t>
  </si>
  <si>
    <r>
      <rPr>
        <sz val="10"/>
        <color rgb="FF000000"/>
        <rFont val="WenQuanYi Zen Hei"/>
        <family val="2"/>
      </rPr>
      <t xml:space="preserve">엘리사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아람 군대</t>
    </r>
  </si>
  <si>
    <r>
      <rPr>
        <sz val="10"/>
        <color rgb="FF000000"/>
        <rFont val="WenQuanYi Zen Hei"/>
        <family val="2"/>
      </rPr>
      <t xml:space="preserve">도단 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불말이 가득한 산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</si>
  <si>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왕하 </t>
    </r>
    <r>
      <rPr>
        <sz val="10"/>
        <color rgb="FF1F3864"/>
        <rFont val="Arial"/>
        <family val="0"/>
        <charset val="1"/>
      </rPr>
      <t xml:space="preserve">5:20-27 </t>
    </r>
    <r>
      <rPr>
        <sz val="10"/>
        <color rgb="FF1F3864"/>
        <rFont val="WenQuanYi Zen Hei"/>
        <family val="2"/>
      </rPr>
      <t xml:space="preserve">게하시의 거짓말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왕하 </t>
    </r>
    <r>
      <rPr>
        <sz val="10"/>
        <color rgb="FF1F3864"/>
        <rFont val="Arial"/>
        <family val="0"/>
        <charset val="1"/>
      </rPr>
      <t xml:space="preserve">6:1-7 </t>
    </r>
    <r>
      <rPr>
        <sz val="10"/>
        <color rgb="FF1F3864"/>
        <rFont val="WenQuanYi Zen Hei"/>
        <family val="2"/>
      </rPr>
      <t xml:space="preserve">떠오른 도끼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</si>
  <si>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A0293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</si>
  <si>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6:24-7:20</t>
    </r>
  </si>
  <si>
    <t xml:space="preserve">네 명의 나병환자</t>
  </si>
  <si>
    <t xml:space="preserve">버려진 사람들이 가장 먼저 기쁜 소식을 알았다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</si>
  <si>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7:9</t>
    </r>
  </si>
  <si>
    <t xml:space="preserve">좋은 소식을 혼자 두지 않습니다</t>
  </si>
  <si>
    <r>
      <rPr>
        <sz val="10"/>
        <color rgb="FF000000"/>
        <rFont val="WenQuanYi Zen Hei"/>
        <family val="2"/>
      </rPr>
      <t xml:space="preserve">네 나병환자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엘리사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왕</t>
    </r>
  </si>
  <si>
    <r>
      <rPr>
        <sz val="10"/>
        <color rgb="FF000000"/>
        <rFont val="WenQuanYi Zen Hei"/>
        <family val="2"/>
      </rPr>
      <t xml:space="preserve">사마리아 성문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빈 아람 진영</t>
    </r>
  </si>
  <si>
    <r>
      <rPr>
        <sz val="10"/>
        <color rgb="FFC00000"/>
        <rFont val="Arial"/>
        <family val="0"/>
        <charset val="1"/>
      </rPr>
      <t xml:space="preserve">6:28-29 </t>
    </r>
    <r>
      <rPr>
        <sz val="10"/>
        <color rgb="FFC00000"/>
        <rFont val="WenQuanYi Zen Hei"/>
        <family val="2"/>
      </rPr>
      <t xml:space="preserve">장면 절대 묘사 금지</t>
    </r>
  </si>
  <si>
    <t xml:space="preserve">A0294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</si>
  <si>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8:1-29</t>
    </r>
  </si>
  <si>
    <t xml:space="preserve">돌려받은 땅</t>
  </si>
  <si>
    <t xml:space="preserve">딱 그 순간에 왕 앞에 선 여인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</si>
  <si>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8:6</t>
    </r>
  </si>
  <si>
    <t xml:space="preserve">하나님의 때는 정확합니다</t>
  </si>
  <si>
    <r>
      <rPr>
        <sz val="10"/>
        <color rgb="FF000000"/>
        <rFont val="WenQuanYi Zen Hei"/>
        <family val="2"/>
      </rPr>
      <t xml:space="preserve">수넴 여인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게하시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하사엘</t>
    </r>
  </si>
  <si>
    <r>
      <rPr>
        <sz val="10"/>
        <color rgb="FF000000"/>
        <rFont val="WenQuanYi Zen Hei"/>
        <family val="2"/>
      </rPr>
      <t xml:space="preserve">사마리아 궁전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다메섹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</si>
  <si>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#125 '</t>
    </r>
    <r>
      <rPr>
        <sz val="10"/>
        <color rgb="FF000000"/>
        <rFont val="WenQuanYi Zen Hei"/>
        <family val="2"/>
      </rPr>
      <t xml:space="preserve">네 명의 나병환자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</si>
  <si>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A0295</t>
  </si>
  <si>
    <t xml:space="preserve">B033</t>
  </si>
  <si>
    <t xml:space="preserve">S2-L18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</si>
  <si>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9:1-37</t>
    </r>
  </si>
  <si>
    <t xml:space="preserve">예후의 질주</t>
  </si>
  <si>
    <t xml:space="preserve">미친 듯이 병거를 모는 사람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</si>
  <si>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9:6</t>
    </r>
  </si>
  <si>
    <r>
      <rPr>
        <sz val="10"/>
        <color rgb="FF000000"/>
        <rFont val="WenQuanYi Zen Hei"/>
        <family val="2"/>
      </rPr>
      <t xml:space="preserve">예후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이세벨</t>
    </r>
  </si>
  <si>
    <t xml:space="preserve">이스르엘</t>
  </si>
  <si>
    <t xml:space="preserve">이세벨 죽음 장면 묘사 금지</t>
  </si>
  <si>
    <t xml:space="preserve">A0296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</si>
  <si>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10:1-36</t>
    </r>
  </si>
  <si>
    <t xml:space="preserve">반쪽짜리 개혁</t>
  </si>
  <si>
    <t xml:space="preserve">바알은 없앴지만 금송아지는 남겼다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</si>
  <si>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10:31</t>
    </r>
  </si>
  <si>
    <t xml:space="preserve">온 마음으로 따라야 합니다</t>
  </si>
  <si>
    <t xml:space="preserve">예후</t>
  </si>
  <si>
    <t xml:space="preserve">사마리아 바알 신당</t>
  </si>
  <si>
    <t xml:space="preserve">A0297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</si>
  <si>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11:1-21</t>
    </r>
  </si>
  <si>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년 동안 숨겨진 아기 왕</t>
    </r>
  </si>
  <si>
    <r>
      <rPr>
        <sz val="10"/>
        <color rgb="FF000000"/>
        <rFont val="WenQuanYi Zen Hei"/>
        <family val="2"/>
      </rPr>
      <t xml:space="preserve">왕족을 다 죽인 할머니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살아남은 아기</t>
    </r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</si>
  <si>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11:3</t>
    </r>
  </si>
  <si>
    <t xml:space="preserve">하나님은 다윗의 등불을 끄지 않으십니다</t>
  </si>
  <si>
    <r>
      <rPr>
        <sz val="10"/>
        <color rgb="FF000000"/>
        <rFont val="WenQuanYi Zen Hei"/>
        <family val="2"/>
      </rPr>
      <t xml:space="preserve">아달랴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여호세바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여호야다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요아스</t>
    </r>
  </si>
  <si>
    <r>
      <rPr>
        <sz val="10"/>
        <color rgb="FF000000"/>
        <rFont val="WenQuanYi Zen Hei"/>
        <family val="2"/>
      </rPr>
      <t xml:space="preserve">성전 골방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즉위식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</si>
  <si>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3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왕하 </t>
    </r>
    <r>
      <rPr>
        <sz val="10"/>
        <color rgb="FF1F3864"/>
        <rFont val="Arial"/>
        <family val="0"/>
        <charset val="1"/>
      </rPr>
      <t xml:space="preserve">8:1-29 </t>
    </r>
    <r>
      <rPr>
        <sz val="10"/>
        <color rgb="FF1F3864"/>
        <rFont val="WenQuanYi Zen Hei"/>
        <family val="2"/>
      </rPr>
      <t xml:space="preserve">돌려받은 땅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왕하 </t>
    </r>
    <r>
      <rPr>
        <sz val="10"/>
        <color rgb="FF1F3864"/>
        <rFont val="Arial"/>
        <family val="0"/>
        <charset val="1"/>
      </rPr>
      <t xml:space="preserve">9:1-37 </t>
    </r>
    <r>
      <rPr>
        <sz val="10"/>
        <color rgb="FF1F3864"/>
        <rFont val="WenQuanYi Zen Hei"/>
        <family val="2"/>
      </rPr>
      <t xml:space="preserve">예후의 질주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왕하 </t>
    </r>
    <r>
      <rPr>
        <sz val="10"/>
        <color rgb="FF1F3864"/>
        <rFont val="Arial"/>
        <family val="0"/>
        <charset val="1"/>
      </rPr>
      <t xml:space="preserve">10:1-36 </t>
    </r>
    <r>
      <rPr>
        <sz val="10"/>
        <color rgb="FF1F3864"/>
        <rFont val="WenQuanYi Zen Hei"/>
        <family val="2"/>
      </rPr>
      <t xml:space="preserve">반쪽짜리 개혁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</si>
  <si>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A0298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</si>
  <si>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12:1-21</t>
    </r>
  </si>
  <si>
    <t xml:space="preserve">성전을 수리하다</t>
  </si>
  <si>
    <t xml:space="preserve">헌금함을 처음 만든 왕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</si>
  <si>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12:2</t>
    </r>
  </si>
  <si>
    <t xml:space="preserve">가르치는 스승이 있을 때 바르게 행했습니다</t>
  </si>
  <si>
    <r>
      <rPr>
        <sz val="10"/>
        <color rgb="FF000000"/>
        <rFont val="WenQuanYi Zen Hei"/>
        <family val="2"/>
      </rPr>
      <t xml:space="preserve">요아스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여호야다</t>
    </r>
  </si>
  <si>
    <t xml:space="preserve">예루살렘 성전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</si>
  <si>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#126 '6</t>
    </r>
    <r>
      <rPr>
        <sz val="10"/>
        <color rgb="FF000000"/>
        <rFont val="WenQuanYi Zen Hei"/>
        <family val="2"/>
      </rPr>
      <t xml:space="preserve">년 동안 숨겨진 아기 왕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</si>
  <si>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A0299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</si>
  <si>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13:1-25</t>
    </r>
  </si>
  <si>
    <t xml:space="preserve">엘리사의 뼈</t>
  </si>
  <si>
    <t xml:space="preserve">죽은 사람이 엘리사의 뼈에 닿자 살아났다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</si>
  <si>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13:21</t>
    </r>
  </si>
  <si>
    <t xml:space="preserve">생명은 하나님께 있습니다</t>
  </si>
  <si>
    <r>
      <rPr>
        <sz val="10"/>
        <color rgb="FF000000"/>
        <rFont val="WenQuanYi Zen Hei"/>
        <family val="2"/>
      </rPr>
      <t xml:space="preserve">엘리사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요아스 왕</t>
    </r>
  </si>
  <si>
    <t xml:space="preserve">엘리사의 무덤</t>
  </si>
  <si>
    <t xml:space="preserve">성인 유골 숭배 근거 아님</t>
  </si>
  <si>
    <t xml:space="preserve">A0300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</si>
  <si>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14:1-16:20</t>
    </r>
  </si>
  <si>
    <t xml:space="preserve">흔들리는 두 왕국</t>
  </si>
  <si>
    <t xml:space="preserve">하나님은 아직 이스라엘을 버리지 않으셨다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</si>
  <si>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14:27</t>
    </r>
  </si>
  <si>
    <t xml:space="preserve">하나님의 인내는 크십니다</t>
  </si>
  <si>
    <r>
      <rPr>
        <sz val="10"/>
        <color rgb="FF000000"/>
        <rFont val="WenQuanYi Zen Hei"/>
        <family val="2"/>
      </rPr>
      <t xml:space="preserve">아마샤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여로보암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아사랴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아하스</t>
    </r>
  </si>
  <si>
    <r>
      <rPr>
        <sz val="10"/>
        <color rgb="FFC00000"/>
        <rFont val="Arial"/>
        <family val="0"/>
        <charset val="1"/>
      </rPr>
      <t xml:space="preserve">16:3 </t>
    </r>
    <r>
      <rPr>
        <sz val="10"/>
        <color rgb="FFC00000"/>
        <rFont val="WenQuanYi Zen Hei"/>
        <family val="2"/>
      </rPr>
      <t xml:space="preserve">인신제사 묘사 금지</t>
    </r>
  </si>
  <si>
    <t xml:space="preserve">A0301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</si>
  <si>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17:1-41</t>
    </r>
  </si>
  <si>
    <t xml:space="preserve">북이스라엘의 멸망</t>
  </si>
  <si>
    <r>
      <rPr>
        <sz val="10"/>
        <color rgb="FF000000"/>
        <rFont val="WenQuanYi Zen Hei"/>
        <family val="2"/>
      </rPr>
      <t xml:space="preserve">왜 이스라엘은 망했을까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</si>
  <si>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17:13</t>
    </r>
  </si>
  <si>
    <t xml:space="preserve">하나님의 경고를 듣지 않은 결과입니다</t>
  </si>
  <si>
    <r>
      <rPr>
        <sz val="10"/>
        <color rgb="FF000000"/>
        <rFont val="WenQuanYi Zen Hei"/>
        <family val="2"/>
      </rPr>
      <t xml:space="preserve">호세아 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앗수르 군대</t>
    </r>
  </si>
  <si>
    <r>
      <rPr>
        <sz val="10"/>
        <color rgb="FF000000"/>
        <rFont val="WenQuanYi Zen Hei"/>
        <family val="2"/>
      </rPr>
      <t xml:space="preserve">사마리아 함락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포로 행렬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</si>
  <si>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3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왕하 </t>
    </r>
    <r>
      <rPr>
        <sz val="10"/>
        <color rgb="FF1F3864"/>
        <rFont val="Arial"/>
        <family val="0"/>
        <charset val="1"/>
      </rPr>
      <t xml:space="preserve">12:1-21 </t>
    </r>
    <r>
      <rPr>
        <sz val="10"/>
        <color rgb="FF1F3864"/>
        <rFont val="WenQuanYi Zen Hei"/>
        <family val="2"/>
      </rPr>
      <t xml:space="preserve">성전을 수리하다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왕하 </t>
    </r>
    <r>
      <rPr>
        <sz val="10"/>
        <color rgb="FF1F3864"/>
        <rFont val="Arial"/>
        <family val="0"/>
        <charset val="1"/>
      </rPr>
      <t xml:space="preserve">13:1-25 </t>
    </r>
    <r>
      <rPr>
        <sz val="10"/>
        <color rgb="FF1F3864"/>
        <rFont val="WenQuanYi Zen Hei"/>
        <family val="2"/>
      </rPr>
      <t xml:space="preserve">엘리사의 뼈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왕하 </t>
    </r>
    <r>
      <rPr>
        <sz val="10"/>
        <color rgb="FF1F3864"/>
        <rFont val="Arial"/>
        <family val="0"/>
        <charset val="1"/>
      </rPr>
      <t xml:space="preserve">14:1-16:20 </t>
    </r>
    <r>
      <rPr>
        <sz val="10"/>
        <color rgb="FF1F3864"/>
        <rFont val="WenQuanYi Zen Hei"/>
        <family val="2"/>
      </rPr>
      <t xml:space="preserve">흔들리는 두 왕국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</si>
  <si>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A0302</t>
  </si>
  <si>
    <t xml:space="preserve">B034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</si>
  <si>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18:1-37</t>
    </r>
  </si>
  <si>
    <t xml:space="preserve">히스기야와 랍사게</t>
  </si>
  <si>
    <t xml:space="preserve">앗수르 장군이 하나님을 조롱했다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</si>
  <si>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18:5</t>
    </r>
  </si>
  <si>
    <t xml:space="preserve">여호와를 의지하는 왕</t>
  </si>
  <si>
    <r>
      <rPr>
        <sz val="10"/>
        <color rgb="FF000000"/>
        <rFont val="WenQuanYi Zen Hei"/>
        <family val="2"/>
      </rPr>
      <t xml:space="preserve">히스기야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랍사게</t>
    </r>
  </si>
  <si>
    <t xml:space="preserve">예루살렘 성벽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</si>
  <si>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#127 '</t>
    </r>
    <r>
      <rPr>
        <sz val="10"/>
        <color rgb="FF000000"/>
        <rFont val="WenQuanYi Zen Hei"/>
        <family val="2"/>
      </rPr>
      <t xml:space="preserve">북이스라엘의 멸망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</si>
  <si>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A0303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</si>
  <si>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19:1-37</t>
    </r>
  </si>
  <si>
    <t xml:space="preserve">편지를 펴 놓고 기도하다</t>
  </si>
  <si>
    <r>
      <rPr>
        <sz val="10"/>
        <color rgb="FF000000"/>
        <rFont val="WenQuanYi Zen Hei"/>
        <family val="2"/>
      </rPr>
      <t xml:space="preserve">하룻밤에 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WenQuanYi Zen Hei"/>
        <family val="2"/>
      </rPr>
      <t xml:space="preserve">만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천 명이</t>
    </r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</si>
  <si>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19:19</t>
    </r>
  </si>
  <si>
    <t xml:space="preserve">천하 만국이 주만 하나님이신 줄 알게 하옵소서</t>
  </si>
  <si>
    <r>
      <rPr>
        <sz val="10"/>
        <color rgb="FF000000"/>
        <rFont val="WenQuanYi Zen Hei"/>
        <family val="2"/>
      </rPr>
      <t xml:space="preserve">히스기야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이사야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여호와의 사자</t>
    </r>
  </si>
  <si>
    <r>
      <rPr>
        <sz val="10"/>
        <color rgb="FF000000"/>
        <rFont val="WenQuanYi Zen Hei"/>
        <family val="2"/>
      </rPr>
      <t xml:space="preserve">성전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앗수르 진영</t>
    </r>
  </si>
  <si>
    <t xml:space="preserve">죽음 장면 직접 묘사 금지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</si>
  <si>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왕하 </t>
    </r>
    <r>
      <rPr>
        <sz val="10"/>
        <color rgb="FF1F3864"/>
        <rFont val="Arial"/>
        <family val="0"/>
        <charset val="1"/>
      </rPr>
      <t xml:space="preserve">18:1-37 </t>
    </r>
    <r>
      <rPr>
        <sz val="10"/>
        <color rgb="FF1F3864"/>
        <rFont val="WenQuanYi Zen Hei"/>
        <family val="2"/>
      </rPr>
      <t xml:space="preserve">히스기야와 랍사게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</si>
  <si>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A0304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</si>
  <si>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20:1-21</t>
    </r>
  </si>
  <si>
    <r>
      <rPr>
        <sz val="10"/>
        <color rgb="FF000000"/>
        <rFont val="WenQuanYi Zen Hei"/>
        <family val="2"/>
      </rPr>
      <t xml:space="preserve">생명 </t>
    </r>
    <r>
      <rPr>
        <sz val="10"/>
        <color rgb="FF000000"/>
        <rFont val="Arial"/>
        <family val="0"/>
        <charset val="1"/>
      </rPr>
      <t xml:space="preserve">15</t>
    </r>
    <r>
      <rPr>
        <sz val="10"/>
        <color rgb="FF000000"/>
        <rFont val="WenQuanYi Zen Hei"/>
        <family val="2"/>
      </rPr>
      <t xml:space="preserve">년 연장</t>
    </r>
  </si>
  <si>
    <t xml:space="preserve">해 그림자가 뒤로 물러갔다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</si>
  <si>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20:5</t>
    </r>
  </si>
  <si>
    <t xml:space="preserve">내가 네 기도를 들었고 네 눈물을 보았노라</t>
  </si>
  <si>
    <r>
      <rPr>
        <sz val="10"/>
        <color rgb="FF000000"/>
        <rFont val="WenQuanYi Zen Hei"/>
        <family val="2"/>
      </rPr>
      <t xml:space="preserve">히스기야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이사야</t>
    </r>
  </si>
  <si>
    <r>
      <rPr>
        <sz val="10"/>
        <color rgb="FF000000"/>
        <rFont val="WenQuanYi Zen Hei"/>
        <family val="2"/>
      </rPr>
      <t xml:space="preserve">히스기야의 침상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해시계 계단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</si>
  <si>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#128 '</t>
    </r>
    <r>
      <rPr>
        <sz val="10"/>
        <color rgb="FF000000"/>
        <rFont val="WenQuanYi Zen Hei"/>
        <family val="2"/>
      </rPr>
      <t xml:space="preserve">편지를 펴 놓고 기도하다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</si>
  <si>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A0305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</si>
  <si>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21:1-26</t>
    </r>
  </si>
  <si>
    <t xml:space="preserve">가장 악한 왕 므낫세</t>
  </si>
  <si>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WenQuanYi Zen Hei"/>
        <family val="2"/>
      </rPr>
      <t xml:space="preserve">년 동안 다스린 최악의 왕</t>
    </r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</si>
  <si>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21:9</t>
    </r>
  </si>
  <si>
    <t xml:space="preserve">죄는 나라 전체를 무너뜨립니다</t>
  </si>
  <si>
    <r>
      <rPr>
        <sz val="10"/>
        <color rgb="FF000000"/>
        <rFont val="WenQuanYi Zen Hei"/>
        <family val="2"/>
      </rPr>
      <t xml:space="preserve">므낫세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아몬</t>
    </r>
  </si>
  <si>
    <r>
      <rPr>
        <sz val="10"/>
        <color rgb="FFC00000"/>
        <rFont val="Arial"/>
        <family val="0"/>
        <charset val="1"/>
      </rPr>
      <t xml:space="preserve">21:6 </t>
    </r>
    <r>
      <rPr>
        <sz val="10"/>
        <color rgb="FFC00000"/>
        <rFont val="WenQuanYi Zen Hei"/>
        <family val="2"/>
      </rPr>
      <t xml:space="preserve">인신제사 묘사 금지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대하 </t>
    </r>
    <r>
      <rPr>
        <sz val="10"/>
        <color rgb="FFC00000"/>
        <rFont val="Arial"/>
        <family val="0"/>
        <charset val="1"/>
      </rPr>
      <t xml:space="preserve">33</t>
    </r>
    <r>
      <rPr>
        <sz val="10"/>
        <color rgb="FFC00000"/>
        <rFont val="WenQuanYi Zen Hei"/>
        <family val="2"/>
      </rPr>
      <t xml:space="preserve">장 회개와 연결</t>
    </r>
  </si>
  <si>
    <t xml:space="preserve">A0306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</si>
  <si>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22:1-20</t>
    </r>
  </si>
  <si>
    <t xml:space="preserve">성전에서 발견된 책</t>
  </si>
  <si>
    <t xml:space="preserve">잊혀진 율법책이 발견되었다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</si>
  <si>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22:19</t>
    </r>
  </si>
  <si>
    <t xml:space="preserve">말씀 앞에서 마음이 부드러워진 자</t>
  </si>
  <si>
    <r>
      <rPr>
        <sz val="10"/>
        <color rgb="FF000000"/>
        <rFont val="WenQuanYi Zen Hei"/>
        <family val="2"/>
      </rPr>
      <t xml:space="preserve">요시야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힐기야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훌다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</si>
  <si>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왕하 </t>
    </r>
    <r>
      <rPr>
        <sz val="10"/>
        <color rgb="FF1F3864"/>
        <rFont val="Arial"/>
        <family val="0"/>
        <charset val="1"/>
      </rPr>
      <t xml:space="preserve">20:1-21 </t>
    </r>
    <r>
      <rPr>
        <sz val="10"/>
        <color rgb="FF1F3864"/>
        <rFont val="WenQuanYi Zen Hei"/>
        <family val="2"/>
      </rPr>
      <t xml:space="preserve">생명 </t>
    </r>
    <r>
      <rPr>
        <sz val="10"/>
        <color rgb="FF1F3864"/>
        <rFont val="Arial"/>
        <family val="0"/>
        <charset val="1"/>
      </rPr>
      <t xml:space="preserve">15</t>
    </r>
    <r>
      <rPr>
        <sz val="10"/>
        <color rgb="FF1F3864"/>
        <rFont val="WenQuanYi Zen Hei"/>
        <family val="2"/>
      </rPr>
      <t xml:space="preserve">년 연장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왕하 </t>
    </r>
    <r>
      <rPr>
        <sz val="10"/>
        <color rgb="FF1F3864"/>
        <rFont val="Arial"/>
        <family val="0"/>
        <charset val="1"/>
      </rPr>
      <t xml:space="preserve">21:1-26 </t>
    </r>
    <r>
      <rPr>
        <sz val="10"/>
        <color rgb="FF1F3864"/>
        <rFont val="WenQuanYi Zen Hei"/>
        <family val="2"/>
      </rPr>
      <t xml:space="preserve">가장 악한 왕 므낫세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</si>
  <si>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A0307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</si>
  <si>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23:1-30</t>
    </r>
  </si>
  <si>
    <t xml:space="preserve">요시야의 개혁</t>
  </si>
  <si>
    <t xml:space="preserve">이런 왕은 전에도 후에도 없었다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</si>
  <si>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23:25</t>
    </r>
  </si>
  <si>
    <t xml:space="preserve">온 마음과 뜻과 힘을 다하여 여호와께 돌아온 왕</t>
  </si>
  <si>
    <r>
      <rPr>
        <sz val="10"/>
        <color rgb="FF000000"/>
        <rFont val="WenQuanYi Zen Hei"/>
        <family val="2"/>
      </rPr>
      <t xml:space="preserve">요시야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</si>
  <si>
    <r>
      <rPr>
        <sz val="10"/>
        <color rgb="FF000000"/>
        <rFont val="WenQuanYi Zen Hei"/>
        <family val="2"/>
      </rPr>
      <t xml:space="preserve">성전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무너지는 산당들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</si>
  <si>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#129 '</t>
    </r>
    <r>
      <rPr>
        <sz val="10"/>
        <color rgb="FF000000"/>
        <rFont val="WenQuanYi Zen Hei"/>
        <family val="2"/>
      </rPr>
      <t xml:space="preserve">성전에서 발견된 책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</si>
  <si>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A0308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</si>
  <si>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23:31-24:20</t>
    </r>
  </si>
  <si>
    <t xml:space="preserve">무너지는 유다</t>
  </si>
  <si>
    <r>
      <rPr>
        <sz val="10"/>
        <color rgb="FF000000"/>
        <rFont val="WenQuanYi Zen Hei"/>
        <family val="2"/>
      </rPr>
      <t xml:space="preserve">바벨론 포로가 시작되다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다니엘의 시대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</si>
  <si>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24:3</t>
    </r>
  </si>
  <si>
    <t xml:space="preserve">하나님의 경고는 실제로 이루어집니다</t>
  </si>
  <si>
    <r>
      <rPr>
        <sz val="10"/>
        <color rgb="FF000000"/>
        <rFont val="WenQuanYi Zen Hei"/>
        <family val="2"/>
      </rPr>
      <t xml:space="preserve">여호아하스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여호야김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여호야긴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느부갓네살</t>
    </r>
  </si>
  <si>
    <r>
      <rPr>
        <sz val="10"/>
        <color rgb="FF000000"/>
        <rFont val="WenQuanYi Zen Hei"/>
        <family val="2"/>
      </rPr>
      <t xml:space="preserve">예루살렘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바벨론 길</t>
    </r>
  </si>
  <si>
    <t xml:space="preserve">A0309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</si>
  <si>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25:1-30</t>
    </r>
  </si>
  <si>
    <t xml:space="preserve">예루살렘 함락과 작은 소망</t>
  </si>
  <si>
    <t xml:space="preserve">모든 것이 무너진 뒤 감옥에서 풀려난 왕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</si>
  <si>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25:29</t>
    </r>
  </si>
  <si>
    <t xml:space="preserve">하나님은 심판 중에도 약속의 등불을 남기십니다</t>
  </si>
  <si>
    <r>
      <rPr>
        <sz val="10"/>
        <color rgb="FF000000"/>
        <rFont val="WenQuanYi Zen Hei"/>
        <family val="2"/>
      </rPr>
      <t xml:space="preserve">시드기야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느부갓네살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여호야긴</t>
    </r>
  </si>
  <si>
    <r>
      <rPr>
        <sz val="10"/>
        <color rgb="FF000000"/>
        <rFont val="WenQuanYi Zen Hei"/>
        <family val="2"/>
      </rPr>
      <t xml:space="preserve">불타는 예루살렘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바벨론 왕궁</t>
    </r>
  </si>
  <si>
    <t xml:space="preserve">시드기야 형벌 묘사 금지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</si>
  <si>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왕하 </t>
    </r>
    <r>
      <rPr>
        <sz val="10"/>
        <color rgb="FF1F3864"/>
        <rFont val="Arial"/>
        <family val="0"/>
        <charset val="1"/>
      </rPr>
      <t xml:space="preserve">23:1-30 </t>
    </r>
    <r>
      <rPr>
        <sz val="10"/>
        <color rgb="FF1F3864"/>
        <rFont val="WenQuanYi Zen Hei"/>
        <family val="2"/>
      </rPr>
      <t xml:space="preserve">요시야의 개혁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왕하 </t>
    </r>
    <r>
      <rPr>
        <sz val="10"/>
        <color rgb="FF1F3864"/>
        <rFont val="Arial"/>
        <family val="0"/>
        <charset val="1"/>
      </rPr>
      <t xml:space="preserve">23:31-24:20 </t>
    </r>
    <r>
      <rPr>
        <sz val="10"/>
        <color rgb="FF1F3864"/>
        <rFont val="WenQuanYi Zen Hei"/>
        <family val="2"/>
      </rPr>
      <t xml:space="preserve">무너지는 유다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</si>
  <si>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A0310</t>
  </si>
  <si>
    <t xml:space="preserve">B035</t>
  </si>
  <si>
    <t xml:space="preserve">S2-L19</t>
  </si>
  <si>
    <t xml:space="preserve">역대상</t>
  </si>
  <si>
    <r>
      <rPr>
        <sz val="10"/>
        <color rgb="FF000000"/>
        <rFont val="WenQuanYi Zen Hei"/>
        <family val="2"/>
      </rPr>
      <t xml:space="preserve">대상 </t>
    </r>
    <r>
      <rPr>
        <sz val="10"/>
        <color rgb="FF000000"/>
        <rFont val="Arial"/>
        <family val="0"/>
        <charset val="1"/>
      </rPr>
      <t xml:space="preserve">1:1-9:44</t>
    </r>
  </si>
  <si>
    <t xml:space="preserve">아담부터 시작하는 족보</t>
  </si>
  <si>
    <r>
      <rPr>
        <sz val="10"/>
        <color rgb="FF000000"/>
        <rFont val="WenQuanYi Zen Hei"/>
        <family val="2"/>
      </rPr>
      <t xml:space="preserve">이 긴 이름들을 왜 기록했을까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</si>
  <si>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대상 </t>
    </r>
    <r>
      <rPr>
        <sz val="10"/>
        <color rgb="FF000000"/>
        <rFont val="Arial"/>
        <family val="0"/>
        <charset val="1"/>
      </rPr>
      <t xml:space="preserve">9:1</t>
    </r>
  </si>
  <si>
    <t xml:space="preserve">하나님은 한 사람 한 사람을 기억하십니다</t>
  </si>
  <si>
    <t xml:space="preserve">아담에서 포로 귀환자까지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</si>
  <si>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#130 '</t>
    </r>
    <r>
      <rPr>
        <sz val="10"/>
        <color rgb="FF000000"/>
        <rFont val="WenQuanYi Zen Hei"/>
        <family val="2"/>
      </rPr>
      <t xml:space="preserve">예루살렘 함락과 작은 소망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</si>
  <si>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A0311</t>
  </si>
  <si>
    <r>
      <rPr>
        <sz val="10"/>
        <color rgb="FF000000"/>
        <rFont val="WenQuanYi Zen Hei"/>
        <family val="2"/>
      </rPr>
      <t xml:space="preserve">대상 </t>
    </r>
    <r>
      <rPr>
        <sz val="10"/>
        <color rgb="FF000000"/>
        <rFont val="Arial"/>
        <family val="0"/>
        <charset val="1"/>
      </rPr>
      <t xml:space="preserve">4:9-10</t>
    </r>
  </si>
  <si>
    <t xml:space="preserve">야베스의 기도</t>
  </si>
  <si>
    <t xml:space="preserve">고통이라는 이름을 가진 사람의 기도</t>
  </si>
  <si>
    <r>
      <rPr>
        <sz val="10"/>
        <color rgb="FF000000"/>
        <rFont val="WenQuanYi Zen Hei"/>
        <family val="2"/>
      </rPr>
      <t xml:space="preserve">대상 </t>
    </r>
    <r>
      <rPr>
        <sz val="10"/>
        <color rgb="FF000000"/>
        <rFont val="Arial"/>
        <family val="0"/>
        <charset val="1"/>
      </rPr>
      <t xml:space="preserve">4:10</t>
    </r>
  </si>
  <si>
    <t xml:space="preserve">하나님은 고통 속에서 부르짖는 기도를 들으십니다</t>
  </si>
  <si>
    <t xml:space="preserve">야베스</t>
  </si>
  <si>
    <t xml:space="preserve">유다 땅</t>
  </si>
  <si>
    <r>
      <rPr>
        <sz val="10"/>
        <color rgb="FFC00000"/>
        <rFont val="WenQuanYi Zen Hei"/>
        <family val="2"/>
      </rPr>
      <t xml:space="preserve">번영신학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기복 기도 공식화 금지</t>
    </r>
  </si>
  <si>
    <t xml:space="preserve">A0312</t>
  </si>
  <si>
    <r>
      <rPr>
        <sz val="10"/>
        <color rgb="FF000000"/>
        <rFont val="WenQuanYi Zen Hei"/>
        <family val="2"/>
      </rPr>
      <t xml:space="preserve">대상 </t>
    </r>
    <r>
      <rPr>
        <sz val="10"/>
        <color rgb="FF000000"/>
        <rFont val="Arial"/>
        <family val="0"/>
        <charset val="1"/>
      </rPr>
      <t xml:space="preserve">10:1-12:40</t>
    </r>
  </si>
  <si>
    <t xml:space="preserve">다윗에게 모인 용사들</t>
  </si>
  <si>
    <t xml:space="preserve">하나님이 다윗을 점점 강하게 하셨다</t>
  </si>
  <si>
    <r>
      <rPr>
        <sz val="10"/>
        <color rgb="FF000000"/>
        <rFont val="WenQuanYi Zen Hei"/>
        <family val="2"/>
      </rPr>
      <t xml:space="preserve">대상 </t>
    </r>
    <r>
      <rPr>
        <sz val="10"/>
        <color rgb="FF000000"/>
        <rFont val="Arial"/>
        <family val="0"/>
        <charset val="1"/>
      </rPr>
      <t xml:space="preserve">11:9</t>
    </r>
  </si>
  <si>
    <t xml:space="preserve">만군의 여호와께서 함께 계시니 점점 강성하여 가니라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</si>
  <si>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용사들</t>
    </r>
  </si>
  <si>
    <r>
      <rPr>
        <sz val="10"/>
        <color rgb="FF000000"/>
        <rFont val="WenQuanYi Zen Hei"/>
        <family val="2"/>
      </rPr>
      <t xml:space="preserve">헤브론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시글락</t>
    </r>
  </si>
  <si>
    <t xml:space="preserve">A0313</t>
  </si>
  <si>
    <r>
      <rPr>
        <sz val="10"/>
        <color rgb="FF000000"/>
        <rFont val="WenQuanYi Zen Hei"/>
        <family val="2"/>
      </rPr>
      <t xml:space="preserve">대상 </t>
    </r>
    <r>
      <rPr>
        <sz val="10"/>
        <color rgb="FF000000"/>
        <rFont val="Arial"/>
        <family val="0"/>
        <charset val="1"/>
      </rPr>
      <t xml:space="preserve">13:1-16:43</t>
    </r>
  </si>
  <si>
    <t xml:space="preserve">언약궤를 맞이하다</t>
  </si>
  <si>
    <t xml:space="preserve">다윗이 만든 감사 찬양</t>
  </si>
  <si>
    <r>
      <rPr>
        <sz val="10"/>
        <color rgb="FF000000"/>
        <rFont val="WenQuanYi Zen Hei"/>
        <family val="2"/>
      </rPr>
      <t xml:space="preserve">대상 </t>
    </r>
    <r>
      <rPr>
        <sz val="10"/>
        <color rgb="FF000000"/>
        <rFont val="Arial"/>
        <family val="0"/>
        <charset val="1"/>
      </rPr>
      <t xml:space="preserve">16:34</t>
    </r>
  </si>
  <si>
    <t xml:space="preserve">여호와께 감사하라 그는 선하시며 그 인자하심이 영원함이로다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</si>
  <si>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레위인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아삽</t>
    </r>
  </si>
  <si>
    <r>
      <rPr>
        <sz val="10"/>
        <color rgb="FF000000"/>
        <rFont val="WenQuanYi Zen Hei"/>
        <family val="2"/>
      </rPr>
      <t xml:space="preserve">예루살렘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언약궤 행렬</t>
    </r>
  </si>
  <si>
    <t xml:space="preserve">A0314</t>
  </si>
  <si>
    <r>
      <rPr>
        <sz val="10"/>
        <color rgb="FF000000"/>
        <rFont val="WenQuanYi Zen Hei"/>
        <family val="2"/>
      </rPr>
      <t xml:space="preserve">대상 </t>
    </r>
    <r>
      <rPr>
        <sz val="10"/>
        <color rgb="FF000000"/>
        <rFont val="Arial"/>
        <family val="0"/>
        <charset val="1"/>
      </rPr>
      <t xml:space="preserve">17:1-21:30</t>
    </r>
  </si>
  <si>
    <t xml:space="preserve">오르난의 타작마당</t>
  </si>
  <si>
    <t xml:space="preserve">성전이 세워질 자리가 정해진 날</t>
  </si>
  <si>
    <r>
      <rPr>
        <sz val="10"/>
        <color rgb="FF000000"/>
        <rFont val="WenQuanYi Zen Hei"/>
        <family val="2"/>
      </rPr>
      <t xml:space="preserve">대상 </t>
    </r>
    <r>
      <rPr>
        <sz val="10"/>
        <color rgb="FF000000"/>
        <rFont val="Arial"/>
        <family val="0"/>
        <charset val="1"/>
      </rPr>
      <t xml:space="preserve">21:26</t>
    </r>
  </si>
  <si>
    <t xml:space="preserve">하나님은 회개하는 기도에 불로 응답하셨습니다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</si>
  <si>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갓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오르난</t>
    </r>
  </si>
  <si>
    <t xml:space="preserve">오르난 타작마당</t>
  </si>
  <si>
    <t xml:space="preserve">A0315</t>
  </si>
  <si>
    <r>
      <rPr>
        <sz val="10"/>
        <color rgb="FF000000"/>
        <rFont val="WenQuanYi Zen Hei"/>
        <family val="2"/>
      </rPr>
      <t xml:space="preserve">대상 </t>
    </r>
    <r>
      <rPr>
        <sz val="10"/>
        <color rgb="FF000000"/>
        <rFont val="Arial"/>
        <family val="0"/>
        <charset val="1"/>
      </rPr>
      <t xml:space="preserve">22:1-27:34</t>
    </r>
  </si>
  <si>
    <t xml:space="preserve">성전을 준비하는 다윗</t>
  </si>
  <si>
    <t xml:space="preserve">짓지는 못해도 모든 것을 준비했다</t>
  </si>
  <si>
    <r>
      <rPr>
        <sz val="10"/>
        <color rgb="FF000000"/>
        <rFont val="WenQuanYi Zen Hei"/>
        <family val="2"/>
      </rPr>
      <t xml:space="preserve">대상 </t>
    </r>
    <r>
      <rPr>
        <sz val="10"/>
        <color rgb="FF000000"/>
        <rFont val="Arial"/>
        <family val="0"/>
        <charset val="1"/>
      </rPr>
      <t xml:space="preserve">22:5</t>
    </r>
  </si>
  <si>
    <t xml:space="preserve">다음 세대를 위해 준비하는 믿음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</si>
  <si>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솔로몬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레위인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찬양대</t>
    </r>
  </si>
  <si>
    <t xml:space="preserve">성전 자재 창고</t>
  </si>
  <si>
    <t xml:space="preserve">A0316</t>
  </si>
  <si>
    <r>
      <rPr>
        <sz val="10"/>
        <color rgb="FF000000"/>
        <rFont val="WenQuanYi Zen Hei"/>
        <family val="2"/>
      </rPr>
      <t xml:space="preserve">대상 </t>
    </r>
    <r>
      <rPr>
        <sz val="10"/>
        <color rgb="FF000000"/>
        <rFont val="Arial"/>
        <family val="0"/>
        <charset val="1"/>
      </rPr>
      <t xml:space="preserve">28:1-29:30</t>
    </r>
  </si>
  <si>
    <t xml:space="preserve">나라와 권세가 주께 있사오니</t>
  </si>
  <si>
    <t xml:space="preserve">다윗의 마지막 기도</t>
  </si>
  <si>
    <r>
      <rPr>
        <sz val="10"/>
        <color rgb="FF000000"/>
        <rFont val="WenQuanYi Zen Hei"/>
        <family val="2"/>
      </rPr>
      <t xml:space="preserve">대상 </t>
    </r>
    <r>
      <rPr>
        <sz val="10"/>
        <color rgb="FF000000"/>
        <rFont val="Arial"/>
        <family val="0"/>
        <charset val="1"/>
      </rPr>
      <t xml:space="preserve">29:11</t>
    </r>
  </si>
  <si>
    <t xml:space="preserve">모든 것이 주께 속하였습니다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</si>
  <si>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솔로몬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</si>
  <si>
    <t xml:space="preserve">예루살렘 대회</t>
  </si>
  <si>
    <t xml:space="preserve">A0317</t>
  </si>
  <si>
    <t xml:space="preserve">B036</t>
  </si>
  <si>
    <t xml:space="preserve">S2-L20</t>
  </si>
  <si>
    <t xml:space="preserve">역대하</t>
  </si>
  <si>
    <r>
      <rPr>
        <sz val="10"/>
        <color rgb="FF000000"/>
        <rFont val="WenQuanYi Zen Hei"/>
        <family val="2"/>
      </rPr>
      <t xml:space="preserve">대하 </t>
    </r>
    <r>
      <rPr>
        <sz val="10"/>
        <color rgb="FF000000"/>
        <rFont val="Arial"/>
        <family val="0"/>
        <charset val="1"/>
      </rPr>
      <t xml:space="preserve">1:1-9:31</t>
    </r>
  </si>
  <si>
    <t xml:space="preserve">내 백성이 스스로 낮추고</t>
  </si>
  <si>
    <t xml:space="preserve">성전 봉헌 밤에 하나님이 하신 약속</t>
  </si>
  <si>
    <r>
      <rPr>
        <sz val="10"/>
        <color rgb="FF000000"/>
        <rFont val="WenQuanYi Zen Hei"/>
        <family val="2"/>
      </rPr>
      <t xml:space="preserve">대하 </t>
    </r>
    <r>
      <rPr>
        <sz val="10"/>
        <color rgb="FF000000"/>
        <rFont val="Arial"/>
        <family val="0"/>
        <charset val="1"/>
      </rPr>
      <t xml:space="preserve">7:14</t>
    </r>
  </si>
  <si>
    <t xml:space="preserve">겸손히 기도하고 돌이키면 고치시겠다고 약속하셨습니다</t>
  </si>
  <si>
    <r>
      <rPr>
        <sz val="10"/>
        <color rgb="FF000000"/>
        <rFont val="WenQuanYi Zen Hei"/>
        <family val="2"/>
      </rPr>
      <t xml:space="preserve">성전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불과 영광</t>
    </r>
  </si>
  <si>
    <t xml:space="preserve">A0318</t>
  </si>
  <si>
    <r>
      <rPr>
        <sz val="10"/>
        <color rgb="FF000000"/>
        <rFont val="WenQuanYi Zen Hei"/>
        <family val="2"/>
      </rPr>
      <t xml:space="preserve">대하 </t>
    </r>
    <r>
      <rPr>
        <sz val="10"/>
        <color rgb="FF000000"/>
        <rFont val="Arial"/>
        <family val="0"/>
        <charset val="1"/>
      </rPr>
      <t xml:space="preserve">10:1-19:11</t>
    </r>
  </si>
  <si>
    <t xml:space="preserve">온 땅을 두루 살피시는 하나님</t>
  </si>
  <si>
    <t xml:space="preserve">하나님의 눈은 지금도 찾고 계신다</t>
  </si>
  <si>
    <r>
      <rPr>
        <sz val="10"/>
        <color rgb="FF000000"/>
        <rFont val="WenQuanYi Zen Hei"/>
        <family val="2"/>
      </rPr>
      <t xml:space="preserve">대하 </t>
    </r>
    <r>
      <rPr>
        <sz val="10"/>
        <color rgb="FF000000"/>
        <rFont val="Arial"/>
        <family val="0"/>
        <charset val="1"/>
      </rPr>
      <t xml:space="preserve">16:9</t>
    </r>
  </si>
  <si>
    <t xml:space="preserve">하나님은 온 마음으로 향하는 자를 찾으십니다</t>
  </si>
  <si>
    <r>
      <rPr>
        <sz val="10"/>
        <color rgb="FF000000"/>
        <rFont val="WenQuanYi Zen Hei"/>
        <family val="2"/>
      </rPr>
      <t xml:space="preserve">르호보암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여호사밧</t>
    </r>
  </si>
  <si>
    <t xml:space="preserve">A0319</t>
  </si>
  <si>
    <t xml:space="preserve">S1-L15</t>
  </si>
  <si>
    <r>
      <rPr>
        <sz val="10"/>
        <color rgb="FF000000"/>
        <rFont val="WenQuanYi Zen Hei"/>
        <family val="2"/>
      </rPr>
      <t xml:space="preserve">대하 </t>
    </r>
    <r>
      <rPr>
        <sz val="10"/>
        <color rgb="FF000000"/>
        <rFont val="Arial"/>
        <family val="0"/>
        <charset val="1"/>
      </rPr>
      <t xml:space="preserve">20:1-30</t>
    </r>
  </si>
  <si>
    <t xml:space="preserve">찬양대가 앞장선 전쟁</t>
  </si>
  <si>
    <t xml:space="preserve">군대보다 찬양대를 먼저 보낸 왕</t>
  </si>
  <si>
    <r>
      <rPr>
        <sz val="10"/>
        <color rgb="FF000000"/>
        <rFont val="WenQuanYi Zen Hei"/>
        <family val="2"/>
      </rPr>
      <t xml:space="preserve">대하 </t>
    </r>
    <r>
      <rPr>
        <sz val="10"/>
        <color rgb="FF000000"/>
        <rFont val="Arial"/>
        <family val="0"/>
        <charset val="1"/>
      </rPr>
      <t xml:space="preserve">20:15</t>
    </r>
  </si>
  <si>
    <t xml:space="preserve">이 전쟁은 너희에게 속한 것이 아니요 하나님께 속한 것이니라</t>
  </si>
  <si>
    <r>
      <rPr>
        <sz val="10"/>
        <color rgb="FF000000"/>
        <rFont val="WenQuanYi Zen Hei"/>
        <family val="2"/>
      </rPr>
      <t xml:space="preserve">여호사밧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야하시엘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찬양대</t>
    </r>
  </si>
  <si>
    <r>
      <rPr>
        <sz val="10"/>
        <color rgb="FF000000"/>
        <rFont val="WenQuanYi Zen Hei"/>
        <family val="2"/>
      </rPr>
      <t xml:space="preserve">드고아 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브라가 골짜기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</si>
  <si>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9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대상 </t>
    </r>
    <r>
      <rPr>
        <sz val="10"/>
        <color rgb="FF1F3864"/>
        <rFont val="Arial"/>
        <family val="0"/>
        <charset val="1"/>
      </rPr>
      <t xml:space="preserve">1:1-9:44 </t>
    </r>
    <r>
      <rPr>
        <sz val="10"/>
        <color rgb="FF1F3864"/>
        <rFont val="WenQuanYi Zen Hei"/>
        <family val="2"/>
      </rPr>
      <t xml:space="preserve">아담부터 시작하는 족보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대상 </t>
    </r>
    <r>
      <rPr>
        <sz val="10"/>
        <color rgb="FF1F3864"/>
        <rFont val="Arial"/>
        <family val="0"/>
        <charset val="1"/>
      </rPr>
      <t xml:space="preserve">4:9-10 </t>
    </r>
    <r>
      <rPr>
        <sz val="10"/>
        <color rgb="FF1F3864"/>
        <rFont val="WenQuanYi Zen Hei"/>
        <family val="2"/>
      </rPr>
      <t xml:space="preserve">야베스의 기도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대상 </t>
    </r>
    <r>
      <rPr>
        <sz val="10"/>
        <color rgb="FF1F3864"/>
        <rFont val="Arial"/>
        <family val="0"/>
        <charset val="1"/>
      </rPr>
      <t xml:space="preserve">10:1-12:40 </t>
    </r>
    <r>
      <rPr>
        <sz val="10"/>
        <color rgb="FF1F3864"/>
        <rFont val="WenQuanYi Zen Hei"/>
        <family val="2"/>
      </rPr>
      <t xml:space="preserve">다윗에게 모인 용사들 외 </t>
    </r>
    <r>
      <rPr>
        <sz val="10"/>
        <color rgb="FF1F3864"/>
        <rFont val="Arial"/>
        <family val="0"/>
        <charset val="1"/>
      </rPr>
      <t xml:space="preserve">6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</si>
  <si>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A0320</t>
  </si>
  <si>
    <r>
      <rPr>
        <sz val="10"/>
        <color rgb="FF000000"/>
        <rFont val="WenQuanYi Zen Hei"/>
        <family val="2"/>
      </rPr>
      <t xml:space="preserve">대하 </t>
    </r>
    <r>
      <rPr>
        <sz val="10"/>
        <color rgb="FF000000"/>
        <rFont val="Arial"/>
        <family val="0"/>
        <charset val="1"/>
      </rPr>
      <t xml:space="preserve">20:31-28:27</t>
    </r>
  </si>
  <si>
    <t xml:space="preserve">교만해진 왕들</t>
  </si>
  <si>
    <t xml:space="preserve">강해지자 마음이 높아졌다</t>
  </si>
  <si>
    <r>
      <rPr>
        <sz val="10"/>
        <color rgb="FF000000"/>
        <rFont val="WenQuanYi Zen Hei"/>
        <family val="2"/>
      </rPr>
      <t xml:space="preserve">대하 </t>
    </r>
    <r>
      <rPr>
        <sz val="10"/>
        <color rgb="FF000000"/>
        <rFont val="Arial"/>
        <family val="0"/>
        <charset val="1"/>
      </rPr>
      <t xml:space="preserve">26:16</t>
    </r>
  </si>
  <si>
    <t xml:space="preserve">교만은 넘어짐의 앞잡이입니다</t>
  </si>
  <si>
    <r>
      <rPr>
        <sz val="10"/>
        <color rgb="FF000000"/>
        <rFont val="WenQuanYi Zen Hei"/>
        <family val="2"/>
      </rPr>
      <t xml:space="preserve">요아스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아마샤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웃시야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아하스</t>
    </r>
  </si>
  <si>
    <t xml:space="preserve">성전 분향단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</si>
  <si>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#131 '</t>
    </r>
    <r>
      <rPr>
        <sz val="10"/>
        <color rgb="FF000000"/>
        <rFont val="WenQuanYi Zen Hei"/>
        <family val="2"/>
      </rPr>
      <t xml:space="preserve">찬양대가 앞장선 전쟁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</si>
  <si>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A0321</t>
  </si>
  <si>
    <r>
      <rPr>
        <sz val="10"/>
        <color rgb="FF000000"/>
        <rFont val="WenQuanYi Zen Hei"/>
        <family val="2"/>
      </rPr>
      <t xml:space="preserve">대하 </t>
    </r>
    <r>
      <rPr>
        <sz val="10"/>
        <color rgb="FF000000"/>
        <rFont val="Arial"/>
        <family val="0"/>
        <charset val="1"/>
      </rPr>
      <t xml:space="preserve">29:1-32:33</t>
    </r>
  </si>
  <si>
    <t xml:space="preserve">히스기야의 유월절</t>
  </si>
  <si>
    <t xml:space="preserve">떠나간 형제들에게 보낸 초대장</t>
  </si>
  <si>
    <r>
      <rPr>
        <sz val="10"/>
        <color rgb="FF000000"/>
        <rFont val="WenQuanYi Zen Hei"/>
        <family val="2"/>
      </rPr>
      <t xml:space="preserve">대하 </t>
    </r>
    <r>
      <rPr>
        <sz val="10"/>
        <color rgb="FF000000"/>
        <rFont val="Arial"/>
        <family val="0"/>
        <charset val="1"/>
      </rPr>
      <t xml:space="preserve">30:9</t>
    </r>
  </si>
  <si>
    <t xml:space="preserve">하나님은 은혜로우시고 자비하셔서 돌아오는 자를 외면하지 않으십니다</t>
  </si>
  <si>
    <r>
      <rPr>
        <sz val="10"/>
        <color rgb="FF000000"/>
        <rFont val="WenQuanYi Zen Hei"/>
        <family val="2"/>
      </rPr>
      <t xml:space="preserve">히스기야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</si>
  <si>
    <r>
      <rPr>
        <sz val="10"/>
        <color rgb="FF000000"/>
        <rFont val="WenQuanYi Zen Hei"/>
        <family val="2"/>
      </rPr>
      <t xml:space="preserve">성전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유월절 대회</t>
    </r>
  </si>
  <si>
    <t xml:space="preserve">A0322</t>
  </si>
  <si>
    <r>
      <rPr>
        <sz val="10"/>
        <color rgb="FF000000"/>
        <rFont val="WenQuanYi Zen Hei"/>
        <family val="2"/>
      </rPr>
      <t xml:space="preserve">대하 </t>
    </r>
    <r>
      <rPr>
        <sz val="10"/>
        <color rgb="FF000000"/>
        <rFont val="Arial"/>
        <family val="0"/>
        <charset val="1"/>
      </rPr>
      <t xml:space="preserve">33:1-20</t>
    </r>
  </si>
  <si>
    <t xml:space="preserve">가장 악한 왕의 회개</t>
  </si>
  <si>
    <t xml:space="preserve">쇠사슬에 묶여 끌려간 뒤에 드린 기도</t>
  </si>
  <si>
    <r>
      <rPr>
        <sz val="10"/>
        <color rgb="FF000000"/>
        <rFont val="WenQuanYi Zen Hei"/>
        <family val="2"/>
      </rPr>
      <t xml:space="preserve">대하 </t>
    </r>
    <r>
      <rPr>
        <sz val="10"/>
        <color rgb="FF000000"/>
        <rFont val="Arial"/>
        <family val="0"/>
        <charset val="1"/>
      </rPr>
      <t xml:space="preserve">33:13</t>
    </r>
  </si>
  <si>
    <t xml:space="preserve">하나님은 가장 악한 죄인의 회개도 받으십니다</t>
  </si>
  <si>
    <t xml:space="preserve">므낫세</t>
  </si>
  <si>
    <r>
      <rPr>
        <sz val="10"/>
        <color rgb="FF000000"/>
        <rFont val="WenQuanYi Zen Hei"/>
        <family val="2"/>
      </rPr>
      <t xml:space="preserve">바벨론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예루살렘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</si>
  <si>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대하 </t>
    </r>
    <r>
      <rPr>
        <sz val="10"/>
        <color rgb="FF1F3864"/>
        <rFont val="Arial"/>
        <family val="0"/>
        <charset val="1"/>
      </rPr>
      <t xml:space="preserve">20:31-28:27 </t>
    </r>
    <r>
      <rPr>
        <sz val="10"/>
        <color rgb="FF1F3864"/>
        <rFont val="WenQuanYi Zen Hei"/>
        <family val="2"/>
      </rPr>
      <t xml:space="preserve">교만해진 왕들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대하 </t>
    </r>
    <r>
      <rPr>
        <sz val="10"/>
        <color rgb="FF1F3864"/>
        <rFont val="Arial"/>
        <family val="0"/>
        <charset val="1"/>
      </rPr>
      <t xml:space="preserve">29:1-32:33 </t>
    </r>
    <r>
      <rPr>
        <sz val="10"/>
        <color rgb="FF1F3864"/>
        <rFont val="WenQuanYi Zen Hei"/>
        <family val="2"/>
      </rPr>
      <t xml:space="preserve">히스기야의 유월절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</si>
  <si>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A0323</t>
  </si>
  <si>
    <r>
      <rPr>
        <sz val="10"/>
        <color rgb="FF000000"/>
        <rFont val="WenQuanYi Zen Hei"/>
        <family val="2"/>
      </rPr>
      <t xml:space="preserve">대하 </t>
    </r>
    <r>
      <rPr>
        <sz val="10"/>
        <color rgb="FF000000"/>
        <rFont val="Arial"/>
        <family val="0"/>
        <charset val="1"/>
      </rPr>
      <t xml:space="preserve">33:21-35:27</t>
    </r>
  </si>
  <si>
    <t xml:space="preserve">어려서부터 하나님을 찾은 왕</t>
  </si>
  <si>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WenQuanYi Zen Hei"/>
        <family val="2"/>
      </rPr>
      <t xml:space="preserve">세에 하나님을 찾기 시작한 소년 왕</t>
    </r>
  </si>
  <si>
    <r>
      <rPr>
        <sz val="10"/>
        <color rgb="FF000000"/>
        <rFont val="WenQuanYi Zen Hei"/>
        <family val="2"/>
      </rPr>
      <t xml:space="preserve">대하 </t>
    </r>
    <r>
      <rPr>
        <sz val="10"/>
        <color rgb="FF000000"/>
        <rFont val="Arial"/>
        <family val="0"/>
        <charset val="1"/>
      </rPr>
      <t xml:space="preserve">34:3</t>
    </r>
  </si>
  <si>
    <t xml:space="preserve">어린 나이에도 하나님을 찾을 수 있습니다</t>
  </si>
  <si>
    <t xml:space="preserve">요시야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</si>
  <si>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#132 '</t>
    </r>
    <r>
      <rPr>
        <sz val="10"/>
        <color rgb="FF000000"/>
        <rFont val="WenQuanYi Zen Hei"/>
        <family val="2"/>
      </rPr>
      <t xml:space="preserve">가장 악한 왕의 회개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</si>
  <si>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A0324</t>
  </si>
  <si>
    <r>
      <rPr>
        <sz val="10"/>
        <color rgb="FF000000"/>
        <rFont val="WenQuanYi Zen Hei"/>
        <family val="2"/>
      </rPr>
      <t xml:space="preserve">대하 </t>
    </r>
    <r>
      <rPr>
        <sz val="10"/>
        <color rgb="FF000000"/>
        <rFont val="Arial"/>
        <family val="0"/>
        <charset val="1"/>
      </rPr>
      <t xml:space="preserve">36:1-23</t>
    </r>
  </si>
  <si>
    <t xml:space="preserve">무너짐과 새로운 시작</t>
  </si>
  <si>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WenQuanYi Zen Hei"/>
        <family val="2"/>
      </rPr>
      <t xml:space="preserve">년 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이방 왕이 돌아가라고 명령했다</t>
    </r>
  </si>
  <si>
    <r>
      <rPr>
        <sz val="10"/>
        <color rgb="FF000000"/>
        <rFont val="WenQuanYi Zen Hei"/>
        <family val="2"/>
      </rPr>
      <t xml:space="preserve">대하 </t>
    </r>
    <r>
      <rPr>
        <sz val="10"/>
        <color rgb="FF000000"/>
        <rFont val="Arial"/>
        <family val="0"/>
        <charset val="1"/>
      </rPr>
      <t xml:space="preserve">36:23</t>
    </r>
  </si>
  <si>
    <t xml:space="preserve">하나님은 약속하신 때에 회복을 시작하십니다</t>
  </si>
  <si>
    <r>
      <rPr>
        <sz val="10"/>
        <color rgb="FF000000"/>
        <rFont val="WenQuanYi Zen Hei"/>
        <family val="2"/>
      </rPr>
      <t xml:space="preserve">시드기야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느부갓네살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고레스</t>
    </r>
  </si>
  <si>
    <r>
      <rPr>
        <sz val="10"/>
        <color rgb="FF000000"/>
        <rFont val="WenQuanYi Zen Hei"/>
        <family val="2"/>
      </rPr>
      <t xml:space="preserve">불탄 성전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페르시아 궁전</t>
    </r>
  </si>
  <si>
    <t xml:space="preserve">A0325</t>
  </si>
  <si>
    <t xml:space="preserve">B037</t>
  </si>
  <si>
    <t xml:space="preserve">에스라</t>
  </si>
  <si>
    <r>
      <rPr>
        <sz val="10"/>
        <color rgb="FF000000"/>
        <rFont val="WenQuanYi Zen Hei"/>
        <family val="2"/>
      </rPr>
      <t xml:space="preserve">스 </t>
    </r>
    <r>
      <rPr>
        <sz val="10"/>
        <color rgb="FF000000"/>
        <rFont val="Arial"/>
        <family val="0"/>
        <charset val="1"/>
      </rPr>
      <t xml:space="preserve">1:1-11</t>
    </r>
  </si>
  <si>
    <t xml:space="preserve">고레스의 칙령</t>
  </si>
  <si>
    <t xml:space="preserve">이방 왕의 마음을 움직이신 하나님</t>
  </si>
  <si>
    <r>
      <rPr>
        <sz val="10"/>
        <color rgb="FF000000"/>
        <rFont val="WenQuanYi Zen Hei"/>
        <family val="2"/>
      </rPr>
      <t xml:space="preserve">스 </t>
    </r>
    <r>
      <rPr>
        <sz val="10"/>
        <color rgb="FF000000"/>
        <rFont val="Arial"/>
        <family val="0"/>
        <charset val="1"/>
      </rPr>
      <t xml:space="preserve">1:1</t>
    </r>
  </si>
  <si>
    <t xml:space="preserve">하나님은 왕의 마음도 움직이십니다</t>
  </si>
  <si>
    <r>
      <rPr>
        <sz val="10"/>
        <color rgb="FF000000"/>
        <rFont val="WenQuanYi Zen Hei"/>
        <family val="2"/>
      </rPr>
      <t xml:space="preserve">고레스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세스바살</t>
    </r>
  </si>
  <si>
    <t xml:space="preserve">페르시아 궁전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</si>
  <si>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대하 </t>
    </r>
    <r>
      <rPr>
        <sz val="10"/>
        <color rgb="FF1F3864"/>
        <rFont val="Arial"/>
        <family val="0"/>
        <charset val="1"/>
      </rPr>
      <t xml:space="preserve">33:21-35:27 </t>
    </r>
    <r>
      <rPr>
        <sz val="10"/>
        <color rgb="FF1F3864"/>
        <rFont val="WenQuanYi Zen Hei"/>
        <family val="2"/>
      </rPr>
      <t xml:space="preserve">어려서부터 하나님을 찾은 왕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대하 </t>
    </r>
    <r>
      <rPr>
        <sz val="10"/>
        <color rgb="FF1F3864"/>
        <rFont val="Arial"/>
        <family val="0"/>
        <charset val="1"/>
      </rPr>
      <t xml:space="preserve">36:1-23 </t>
    </r>
    <r>
      <rPr>
        <sz val="10"/>
        <color rgb="FF1F3864"/>
        <rFont val="WenQuanYi Zen Hei"/>
        <family val="2"/>
      </rPr>
      <t xml:space="preserve">무너짐과 새로운 시작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</si>
  <si>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A0326</t>
  </si>
  <si>
    <r>
      <rPr>
        <sz val="10"/>
        <color rgb="FF000000"/>
        <rFont val="WenQuanYi Zen Hei"/>
        <family val="2"/>
      </rPr>
      <t xml:space="preserve">스 </t>
    </r>
    <r>
      <rPr>
        <sz val="10"/>
        <color rgb="FF000000"/>
        <rFont val="Arial"/>
        <family val="0"/>
        <charset val="1"/>
      </rPr>
      <t xml:space="preserve">2:1-70</t>
    </r>
  </si>
  <si>
    <t xml:space="preserve">돌아온 사람들의 명단</t>
  </si>
  <si>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만 명이 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WenQuanYi Zen Hei"/>
        <family val="2"/>
      </rPr>
      <t xml:space="preserve">년 만에 고향으로</t>
    </r>
  </si>
  <si>
    <r>
      <rPr>
        <sz val="10"/>
        <color rgb="FF000000"/>
        <rFont val="WenQuanYi Zen Hei"/>
        <family val="2"/>
      </rPr>
      <t xml:space="preserve">스 </t>
    </r>
    <r>
      <rPr>
        <sz val="10"/>
        <color rgb="FF000000"/>
        <rFont val="Arial"/>
        <family val="0"/>
        <charset val="1"/>
      </rPr>
      <t xml:space="preserve">2:68</t>
    </r>
  </si>
  <si>
    <t xml:space="preserve">하나님은 돌아오는 한 사람 한 사람을 기억하십니다</t>
  </si>
  <si>
    <r>
      <rPr>
        <sz val="10"/>
        <color rgb="FF000000"/>
        <rFont val="WenQuanYi Zen Hei"/>
        <family val="2"/>
      </rPr>
      <t xml:space="preserve">스룹바벨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예수아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귀환자들</t>
    </r>
  </si>
  <si>
    <t xml:space="preserve">바벨론에서 예루살렘 길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</si>
  <si>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#133 '</t>
    </r>
    <r>
      <rPr>
        <sz val="10"/>
        <color rgb="FF000000"/>
        <rFont val="WenQuanYi Zen Hei"/>
        <family val="2"/>
      </rPr>
      <t xml:space="preserve">고레스의 칙령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</si>
  <si>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A0327</t>
  </si>
  <si>
    <r>
      <rPr>
        <sz val="10"/>
        <color rgb="FF000000"/>
        <rFont val="WenQuanYi Zen Hei"/>
        <family val="2"/>
      </rPr>
      <t xml:space="preserve">스 </t>
    </r>
    <r>
      <rPr>
        <sz val="10"/>
        <color rgb="FF000000"/>
        <rFont val="Arial"/>
        <family val="0"/>
        <charset val="1"/>
      </rPr>
      <t xml:space="preserve">3:1-13</t>
    </r>
  </si>
  <si>
    <t xml:space="preserve">울음과 함성</t>
  </si>
  <si>
    <t xml:space="preserve">성전 기초를 놓던 날 어떤 이는 울고 어떤 이는 외쳤다</t>
  </si>
  <si>
    <r>
      <rPr>
        <sz val="10"/>
        <color rgb="FF000000"/>
        <rFont val="WenQuanYi Zen Hei"/>
        <family val="2"/>
      </rPr>
      <t xml:space="preserve">스 </t>
    </r>
    <r>
      <rPr>
        <sz val="10"/>
        <color rgb="FF000000"/>
        <rFont val="Arial"/>
        <family val="0"/>
        <charset val="1"/>
      </rPr>
      <t xml:space="preserve">3:11</t>
    </r>
  </si>
  <si>
    <t xml:space="preserve">주는 선하시므로 그의 인자하심이 영원하시도다</t>
  </si>
  <si>
    <r>
      <rPr>
        <sz val="10"/>
        <color rgb="FF000000"/>
        <rFont val="WenQuanYi Zen Hei"/>
        <family val="2"/>
      </rPr>
      <t xml:space="preserve">스룹바벨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예수아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노인들</t>
    </r>
  </si>
  <si>
    <t xml:space="preserve">예루살렘 성전 터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</si>
  <si>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스 </t>
    </r>
    <r>
      <rPr>
        <sz val="10"/>
        <color rgb="FF1F3864"/>
        <rFont val="Arial"/>
        <family val="0"/>
        <charset val="1"/>
      </rPr>
      <t xml:space="preserve">2:1-70 </t>
    </r>
    <r>
      <rPr>
        <sz val="10"/>
        <color rgb="FF1F3864"/>
        <rFont val="WenQuanYi Zen Hei"/>
        <family val="2"/>
      </rPr>
      <t xml:space="preserve">돌아온 사람들의 명단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</si>
  <si>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A0328</t>
  </si>
  <si>
    <r>
      <rPr>
        <sz val="10"/>
        <color rgb="FF000000"/>
        <rFont val="WenQuanYi Zen Hei"/>
        <family val="2"/>
      </rPr>
      <t xml:space="preserve">스 </t>
    </r>
    <r>
      <rPr>
        <sz val="10"/>
        <color rgb="FF000000"/>
        <rFont val="Arial"/>
        <family val="0"/>
        <charset val="1"/>
      </rPr>
      <t xml:space="preserve">4:1-24</t>
    </r>
  </si>
  <si>
    <t xml:space="preserve">멈춰 버린 공사</t>
  </si>
  <si>
    <r>
      <rPr>
        <sz val="10"/>
        <color rgb="FF000000"/>
        <rFont val="WenQuanYi Zen Hei"/>
        <family val="2"/>
      </rPr>
      <t xml:space="preserve">방해 때문에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WenQuanYi Zen Hei"/>
        <family val="2"/>
      </rPr>
      <t xml:space="preserve">년 동안 멈추다</t>
    </r>
  </si>
  <si>
    <r>
      <rPr>
        <sz val="10"/>
        <color rgb="FF000000"/>
        <rFont val="WenQuanYi Zen Hei"/>
        <family val="2"/>
      </rPr>
      <t xml:space="preserve">스 </t>
    </r>
    <r>
      <rPr>
        <sz val="10"/>
        <color rgb="FF000000"/>
        <rFont val="Arial"/>
        <family val="0"/>
        <charset val="1"/>
      </rPr>
      <t xml:space="preserve">4:4</t>
    </r>
  </si>
  <si>
    <t xml:space="preserve">하나님의 일에는 방해가 따릅니다</t>
  </si>
  <si>
    <r>
      <rPr>
        <sz val="10"/>
        <color rgb="FF000000"/>
        <rFont val="WenQuanYi Zen Hei"/>
        <family val="2"/>
      </rPr>
      <t xml:space="preserve">대적들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아닥사스다</t>
    </r>
  </si>
  <si>
    <t xml:space="preserve">예루살렘 공사장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</si>
  <si>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#134 '</t>
    </r>
    <r>
      <rPr>
        <sz val="10"/>
        <color rgb="FF000000"/>
        <rFont val="WenQuanYi Zen Hei"/>
        <family val="2"/>
      </rPr>
      <t xml:space="preserve">울음과 함성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</si>
  <si>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A0329</t>
  </si>
  <si>
    <r>
      <rPr>
        <sz val="10"/>
        <color rgb="FF000000"/>
        <rFont val="WenQuanYi Zen Hei"/>
        <family val="2"/>
      </rPr>
      <t xml:space="preserve">스 </t>
    </r>
    <r>
      <rPr>
        <sz val="10"/>
        <color rgb="FF000000"/>
        <rFont val="Arial"/>
        <family val="0"/>
        <charset val="1"/>
      </rPr>
      <t xml:space="preserve">5:1-6:22</t>
    </r>
  </si>
  <si>
    <t xml:space="preserve">성전 완공</t>
  </si>
  <si>
    <t xml:space="preserve">두 선지자의 격려로 다시 시작하다</t>
  </si>
  <si>
    <r>
      <rPr>
        <sz val="10"/>
        <color rgb="FF000000"/>
        <rFont val="WenQuanYi Zen Hei"/>
        <family val="2"/>
      </rPr>
      <t xml:space="preserve">스 </t>
    </r>
    <r>
      <rPr>
        <sz val="10"/>
        <color rgb="FF000000"/>
        <rFont val="Arial"/>
        <family val="0"/>
        <charset val="1"/>
      </rPr>
      <t xml:space="preserve">6:14</t>
    </r>
  </si>
  <si>
    <t xml:space="preserve">하나님의 말씀을 따라 일할 때 완성됩니다</t>
  </si>
  <si>
    <r>
      <rPr>
        <sz val="10"/>
        <color rgb="FF000000"/>
        <rFont val="WenQuanYi Zen Hei"/>
        <family val="2"/>
      </rPr>
      <t xml:space="preserve">학개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스가랴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스룹바벨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다리오</t>
    </r>
  </si>
  <si>
    <r>
      <rPr>
        <sz val="10"/>
        <color rgb="FF000000"/>
        <rFont val="WenQuanYi Zen Hei"/>
        <family val="2"/>
      </rPr>
      <t xml:space="preserve">완공된 제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성전</t>
    </r>
  </si>
  <si>
    <t xml:space="preserve">A0330</t>
  </si>
  <si>
    <r>
      <rPr>
        <sz val="10"/>
        <color rgb="FF000000"/>
        <rFont val="WenQuanYi Zen Hei"/>
        <family val="2"/>
      </rPr>
      <t xml:space="preserve">스 </t>
    </r>
    <r>
      <rPr>
        <sz val="10"/>
        <color rgb="FF000000"/>
        <rFont val="Arial"/>
        <family val="0"/>
        <charset val="1"/>
      </rPr>
      <t xml:space="preserve">7:1-28</t>
    </r>
  </si>
  <si>
    <t xml:space="preserve">말씀을 연구한 학자</t>
  </si>
  <si>
    <t xml:space="preserve">에스라가 결심한 세 가지</t>
  </si>
  <si>
    <r>
      <rPr>
        <sz val="10"/>
        <color rgb="FF000000"/>
        <rFont val="WenQuanYi Zen Hei"/>
        <family val="2"/>
      </rPr>
      <t xml:space="preserve">스 </t>
    </r>
    <r>
      <rPr>
        <sz val="10"/>
        <color rgb="FF000000"/>
        <rFont val="Arial"/>
        <family val="0"/>
        <charset val="1"/>
      </rPr>
      <t xml:space="preserve">7:10</t>
    </r>
  </si>
  <si>
    <t xml:space="preserve">말씀을 연구하고 지키고 가르치기로 결심하다</t>
  </si>
  <si>
    <r>
      <rPr>
        <sz val="10"/>
        <color rgb="FF000000"/>
        <rFont val="WenQuanYi Zen Hei"/>
        <family val="2"/>
      </rPr>
      <t xml:space="preserve">에스라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아닥사스다</t>
    </r>
  </si>
  <si>
    <t xml:space="preserve">A0331</t>
  </si>
  <si>
    <r>
      <rPr>
        <sz val="10"/>
        <color rgb="FF000000"/>
        <rFont val="WenQuanYi Zen Hei"/>
        <family val="2"/>
      </rPr>
      <t xml:space="preserve">스 </t>
    </r>
    <r>
      <rPr>
        <sz val="10"/>
        <color rgb="FF000000"/>
        <rFont val="Arial"/>
        <family val="0"/>
        <charset val="1"/>
      </rPr>
      <t xml:space="preserve">8:1-36</t>
    </r>
  </si>
  <si>
    <t xml:space="preserve">군대 대신 금식</t>
  </si>
  <si>
    <t xml:space="preserve">위험한 길에 호위병을 요청하지 않은 이유</t>
  </si>
  <si>
    <r>
      <rPr>
        <sz val="10"/>
        <color rgb="FF000000"/>
        <rFont val="WenQuanYi Zen Hei"/>
        <family val="2"/>
      </rPr>
      <t xml:space="preserve">스 </t>
    </r>
    <r>
      <rPr>
        <sz val="10"/>
        <color rgb="FF000000"/>
        <rFont val="Arial"/>
        <family val="0"/>
        <charset val="1"/>
      </rPr>
      <t xml:space="preserve">8:23</t>
    </r>
  </si>
  <si>
    <t xml:space="preserve">하나님은 금식하며 구하는 기도를 들으십니다</t>
  </si>
  <si>
    <r>
      <rPr>
        <sz val="10"/>
        <color rgb="FF000000"/>
        <rFont val="WenQuanYi Zen Hei"/>
        <family val="2"/>
      </rPr>
      <t xml:space="preserve">에스라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귀환자들</t>
    </r>
  </si>
  <si>
    <t xml:space="preserve">아하와 강가</t>
  </si>
  <si>
    <t xml:space="preserve">A0332</t>
  </si>
  <si>
    <r>
      <rPr>
        <sz val="10"/>
        <color rgb="FF000000"/>
        <rFont val="WenQuanYi Zen Hei"/>
        <family val="2"/>
      </rPr>
      <t xml:space="preserve">스 </t>
    </r>
    <r>
      <rPr>
        <sz val="10"/>
        <color rgb="FF000000"/>
        <rFont val="Arial"/>
        <family val="0"/>
        <charset val="1"/>
      </rPr>
      <t xml:space="preserve">9:1-10:44</t>
    </r>
  </si>
  <si>
    <t xml:space="preserve">에스라의 회개 기도</t>
  </si>
  <si>
    <t xml:space="preserve">백성의 죄를 자기 죄처럼 부끄러워한 사람</t>
  </si>
  <si>
    <r>
      <rPr>
        <sz val="10"/>
        <color rgb="FF000000"/>
        <rFont val="WenQuanYi Zen Hei"/>
        <family val="2"/>
      </rPr>
      <t xml:space="preserve">스 </t>
    </r>
    <r>
      <rPr>
        <sz val="10"/>
        <color rgb="FF000000"/>
        <rFont val="Arial"/>
        <family val="0"/>
        <charset val="1"/>
      </rPr>
      <t xml:space="preserve">9:6</t>
    </r>
  </si>
  <si>
    <t xml:space="preserve">진정한 회개는 죄를 부끄러워하는 것입니다</t>
  </si>
  <si>
    <r>
      <rPr>
        <sz val="10"/>
        <color rgb="FF000000"/>
        <rFont val="WenQuanYi Zen Hei"/>
        <family val="2"/>
      </rPr>
      <t xml:space="preserve">에스라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</si>
  <si>
    <r>
      <rPr>
        <sz val="10"/>
        <color rgb="FF000000"/>
        <rFont val="WenQuanYi Zen Hei"/>
        <family val="2"/>
      </rPr>
      <t xml:space="preserve">성전 앞 광장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비</t>
    </r>
  </si>
  <si>
    <t xml:space="preserve">민족 차별이 아닌 신앙 정체성 문제로 설명</t>
  </si>
  <si>
    <t xml:space="preserve">A0333</t>
  </si>
  <si>
    <t xml:space="preserve">B038</t>
  </si>
  <si>
    <t xml:space="preserve">느헤미야</t>
  </si>
  <si>
    <r>
      <rPr>
        <sz val="10"/>
        <color rgb="FF000000"/>
        <rFont val="WenQuanYi Zen Hei"/>
        <family val="2"/>
      </rPr>
      <t xml:space="preserve">느 </t>
    </r>
    <r>
      <rPr>
        <sz val="10"/>
        <color rgb="FF000000"/>
        <rFont val="Arial"/>
        <family val="0"/>
        <charset val="1"/>
      </rPr>
      <t xml:space="preserve">1:1-11</t>
    </r>
  </si>
  <si>
    <t xml:space="preserve">무너진 성벽 소식</t>
  </si>
  <si>
    <t xml:space="preserve">왕의 술 맡은 관원이 울며 기도했다</t>
  </si>
  <si>
    <r>
      <rPr>
        <sz val="10"/>
        <color rgb="FF000000"/>
        <rFont val="WenQuanYi Zen Hei"/>
        <family val="2"/>
      </rPr>
      <t xml:space="preserve">느 </t>
    </r>
    <r>
      <rPr>
        <sz val="10"/>
        <color rgb="FF000000"/>
        <rFont val="Arial"/>
        <family val="0"/>
        <charset val="1"/>
      </rPr>
      <t xml:space="preserve">1:4</t>
    </r>
  </si>
  <si>
    <t xml:space="preserve">기도는 모든 일의 시작입니다</t>
  </si>
  <si>
    <r>
      <rPr>
        <sz val="10"/>
        <color rgb="FF000000"/>
        <rFont val="WenQuanYi Zen Hei"/>
        <family val="2"/>
      </rPr>
      <t xml:space="preserve">느헤미야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하나니</t>
    </r>
  </si>
  <si>
    <t xml:space="preserve">수산 궁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</si>
  <si>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5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스 </t>
    </r>
    <r>
      <rPr>
        <sz val="10"/>
        <color rgb="FF1F3864"/>
        <rFont val="Arial"/>
        <family val="0"/>
        <charset val="1"/>
      </rPr>
      <t xml:space="preserve">4:1-24 </t>
    </r>
    <r>
      <rPr>
        <sz val="10"/>
        <color rgb="FF1F3864"/>
        <rFont val="WenQuanYi Zen Hei"/>
        <family val="2"/>
      </rPr>
      <t xml:space="preserve">멈춰 버린 공사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스 </t>
    </r>
    <r>
      <rPr>
        <sz val="10"/>
        <color rgb="FF1F3864"/>
        <rFont val="Arial"/>
        <family val="0"/>
        <charset val="1"/>
      </rPr>
      <t xml:space="preserve">5:1-6:22 </t>
    </r>
    <r>
      <rPr>
        <sz val="10"/>
        <color rgb="FF1F3864"/>
        <rFont val="WenQuanYi Zen Hei"/>
        <family val="2"/>
      </rPr>
      <t xml:space="preserve">성전 완공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스 </t>
    </r>
    <r>
      <rPr>
        <sz val="10"/>
        <color rgb="FF1F3864"/>
        <rFont val="Arial"/>
        <family val="0"/>
        <charset val="1"/>
      </rPr>
      <t xml:space="preserve">7:1-28 </t>
    </r>
    <r>
      <rPr>
        <sz val="10"/>
        <color rgb="FF1F3864"/>
        <rFont val="WenQuanYi Zen Hei"/>
        <family val="2"/>
      </rPr>
      <t xml:space="preserve">말씀을 연구한 학자 외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</si>
  <si>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A0334</t>
  </si>
  <si>
    <r>
      <rPr>
        <sz val="10"/>
        <color rgb="FF000000"/>
        <rFont val="WenQuanYi Zen Hei"/>
        <family val="2"/>
      </rPr>
      <t xml:space="preserve">느 </t>
    </r>
    <r>
      <rPr>
        <sz val="10"/>
        <color rgb="FF000000"/>
        <rFont val="Arial"/>
        <family val="0"/>
        <charset val="1"/>
      </rPr>
      <t xml:space="preserve">2:1-20</t>
    </r>
  </si>
  <si>
    <t xml:space="preserve">왕의 허락</t>
  </si>
  <si>
    <t xml:space="preserve">왕 앞에서 짧게 드린 기도 한마디</t>
  </si>
  <si>
    <r>
      <rPr>
        <sz val="10"/>
        <color rgb="FF000000"/>
        <rFont val="WenQuanYi Zen Hei"/>
        <family val="2"/>
      </rPr>
      <t xml:space="preserve">느 </t>
    </r>
    <r>
      <rPr>
        <sz val="10"/>
        <color rgb="FF000000"/>
        <rFont val="Arial"/>
        <family val="0"/>
        <charset val="1"/>
      </rPr>
      <t xml:space="preserve">2:18</t>
    </r>
  </si>
  <si>
    <t xml:space="preserve">하나님의 선한 손이 도우셨다</t>
  </si>
  <si>
    <r>
      <rPr>
        <sz val="10"/>
        <color rgb="FF000000"/>
        <rFont val="WenQuanYi Zen Hei"/>
        <family val="2"/>
      </rPr>
      <t xml:space="preserve">느헤미야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아닥사스다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산발랏</t>
    </r>
  </si>
  <si>
    <r>
      <rPr>
        <sz val="10"/>
        <color rgb="FF000000"/>
        <rFont val="WenQuanYi Zen Hei"/>
        <family val="2"/>
      </rPr>
      <t xml:space="preserve">수산 궁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밤의 예루살렘 성벽</t>
    </r>
  </si>
  <si>
    <t xml:space="preserve">A0335</t>
  </si>
  <si>
    <t xml:space="preserve">S2-L21</t>
  </si>
  <si>
    <r>
      <rPr>
        <sz val="10"/>
        <color rgb="FF000000"/>
        <rFont val="WenQuanYi Zen Hei"/>
        <family val="2"/>
      </rPr>
      <t xml:space="preserve">느 </t>
    </r>
    <r>
      <rPr>
        <sz val="10"/>
        <color rgb="FF000000"/>
        <rFont val="Arial"/>
        <family val="0"/>
        <charset val="1"/>
      </rPr>
      <t xml:space="preserve">3:1-32</t>
    </r>
  </si>
  <si>
    <t xml:space="preserve">각자 맡은 구간</t>
  </si>
  <si>
    <r>
      <rPr>
        <sz val="10"/>
        <color rgb="FF000000"/>
        <rFont val="WenQuanYi Zen Hei"/>
        <family val="2"/>
      </rPr>
      <t xml:space="preserve">제사장도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금장색도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딸들도 함께 쌓았다</t>
    </r>
  </si>
  <si>
    <r>
      <rPr>
        <sz val="10"/>
        <color rgb="FF000000"/>
        <rFont val="WenQuanYi Zen Hei"/>
        <family val="2"/>
      </rPr>
      <t xml:space="preserve">느 </t>
    </r>
    <r>
      <rPr>
        <sz val="10"/>
        <color rgb="FF000000"/>
        <rFont val="Arial"/>
        <family val="0"/>
        <charset val="1"/>
      </rPr>
      <t xml:space="preserve">3:28</t>
    </r>
  </si>
  <si>
    <t xml:space="preserve">모두가 자기 앞의 일을 맡을 때 완성됩니다</t>
  </si>
  <si>
    <r>
      <rPr>
        <sz val="10"/>
        <color rgb="FF000000"/>
        <rFont val="WenQuanYi Zen Hei"/>
        <family val="2"/>
      </rPr>
      <t xml:space="preserve">엘리아십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살룸의 딸들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</si>
  <si>
    <t xml:space="preserve">성벽 공사 구간들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</si>
  <si>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#136 '</t>
    </r>
    <r>
      <rPr>
        <sz val="10"/>
        <color rgb="FF000000"/>
        <rFont val="WenQuanYi Zen Hei"/>
        <family val="2"/>
      </rPr>
      <t xml:space="preserve">왕의 허락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</si>
  <si>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A0336</t>
  </si>
  <si>
    <r>
      <rPr>
        <sz val="10"/>
        <color rgb="FF000000"/>
        <rFont val="WenQuanYi Zen Hei"/>
        <family val="2"/>
      </rPr>
      <t xml:space="preserve">느 </t>
    </r>
    <r>
      <rPr>
        <sz val="10"/>
        <color rgb="FF000000"/>
        <rFont val="Arial"/>
        <family val="0"/>
        <charset val="1"/>
      </rPr>
      <t xml:space="preserve">4:1-23</t>
    </r>
  </si>
  <si>
    <r>
      <rPr>
        <sz val="10"/>
        <color rgb="FF000000"/>
        <rFont val="WenQuanYi Zen Hei"/>
        <family val="2"/>
      </rPr>
      <t xml:space="preserve">한 손엔 연장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한 손엔 무기</t>
    </r>
  </si>
  <si>
    <t xml:space="preserve">조롱과 위협 속에서 계속 쌓았다</t>
  </si>
  <si>
    <r>
      <rPr>
        <sz val="10"/>
        <color rgb="FF000000"/>
        <rFont val="WenQuanYi Zen Hei"/>
        <family val="2"/>
      </rPr>
      <t xml:space="preserve">느 </t>
    </r>
    <r>
      <rPr>
        <sz val="10"/>
        <color rgb="FF000000"/>
        <rFont val="Arial"/>
        <family val="0"/>
        <charset val="1"/>
      </rPr>
      <t xml:space="preserve">4:17</t>
    </r>
  </si>
  <si>
    <t xml:space="preserve">기도하며 깨어 일합니다</t>
  </si>
  <si>
    <r>
      <rPr>
        <sz val="10"/>
        <color rgb="FF000000"/>
        <rFont val="WenQuanYi Zen Hei"/>
        <family val="2"/>
      </rPr>
      <t xml:space="preserve">느헤미야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산발랏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도비야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</si>
  <si>
    <t xml:space="preserve">성벽 위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</si>
  <si>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느 </t>
    </r>
    <r>
      <rPr>
        <sz val="10"/>
        <color rgb="FF1F3864"/>
        <rFont val="Arial"/>
        <family val="0"/>
        <charset val="1"/>
      </rPr>
      <t xml:space="preserve">3:1-32 </t>
    </r>
    <r>
      <rPr>
        <sz val="10"/>
        <color rgb="FF1F3864"/>
        <rFont val="WenQuanYi Zen Hei"/>
        <family val="2"/>
      </rPr>
      <t xml:space="preserve">각자 맡은 구간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</si>
  <si>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A0337</t>
  </si>
  <si>
    <r>
      <rPr>
        <sz val="10"/>
        <color rgb="FF000000"/>
        <rFont val="WenQuanYi Zen Hei"/>
        <family val="2"/>
      </rPr>
      <t xml:space="preserve">느 </t>
    </r>
    <r>
      <rPr>
        <sz val="10"/>
        <color rgb="FF000000"/>
        <rFont val="Arial"/>
        <family val="0"/>
        <charset val="1"/>
      </rPr>
      <t xml:space="preserve">5:1-19</t>
    </r>
  </si>
  <si>
    <t xml:space="preserve">가난한 형제의 눈물</t>
  </si>
  <si>
    <t xml:space="preserve">성벽보다 먼저 고쳐야 할 것</t>
  </si>
  <si>
    <r>
      <rPr>
        <sz val="10"/>
        <color rgb="FF000000"/>
        <rFont val="WenQuanYi Zen Hei"/>
        <family val="2"/>
      </rPr>
      <t xml:space="preserve">느 </t>
    </r>
    <r>
      <rPr>
        <sz val="10"/>
        <color rgb="FF000000"/>
        <rFont val="Arial"/>
        <family val="0"/>
        <charset val="1"/>
      </rPr>
      <t xml:space="preserve">5:9</t>
    </r>
  </si>
  <si>
    <t xml:space="preserve">하나님을 경외하는 자는 형제를 착취하지 않습니다</t>
  </si>
  <si>
    <r>
      <rPr>
        <sz val="10"/>
        <color rgb="FF000000"/>
        <rFont val="WenQuanYi Zen Hei"/>
        <family val="2"/>
      </rPr>
      <t xml:space="preserve">느헤미야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귀족들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가난한 백성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</si>
  <si>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#137 '</t>
    </r>
    <r>
      <rPr>
        <sz val="10"/>
        <color rgb="FF000000"/>
        <rFont val="WenQuanYi Zen Hei"/>
        <family val="2"/>
      </rPr>
      <t xml:space="preserve">한 손엔 연장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한 손엔 무기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</si>
  <si>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A0338</t>
  </si>
  <si>
    <r>
      <rPr>
        <sz val="10"/>
        <color rgb="FF000000"/>
        <rFont val="WenQuanYi Zen Hei"/>
        <family val="2"/>
      </rPr>
      <t xml:space="preserve">느 </t>
    </r>
    <r>
      <rPr>
        <sz val="10"/>
        <color rgb="FF000000"/>
        <rFont val="Arial"/>
        <family val="0"/>
        <charset val="1"/>
      </rPr>
      <t xml:space="preserve">6:1-19</t>
    </r>
  </si>
  <si>
    <r>
      <rPr>
        <sz val="10"/>
        <color rgb="FF000000"/>
        <rFont val="Arial"/>
        <family val="0"/>
        <charset val="1"/>
      </rPr>
      <t xml:space="preserve">52</t>
    </r>
    <r>
      <rPr>
        <sz val="10"/>
        <color rgb="FF000000"/>
        <rFont val="WenQuanYi Zen Hei"/>
        <family val="2"/>
      </rPr>
      <t xml:space="preserve">일 만의 완성</t>
    </r>
  </si>
  <si>
    <t xml:space="preserve">대적들도 하나님이 하셨음을 알았다</t>
  </si>
  <si>
    <r>
      <rPr>
        <sz val="10"/>
        <color rgb="FF000000"/>
        <rFont val="WenQuanYi Zen Hei"/>
        <family val="2"/>
      </rPr>
      <t xml:space="preserve">느 </t>
    </r>
    <r>
      <rPr>
        <sz val="10"/>
        <color rgb="FF000000"/>
        <rFont val="Arial"/>
        <family val="0"/>
        <charset val="1"/>
      </rPr>
      <t xml:space="preserve">6:16</t>
    </r>
  </si>
  <si>
    <t xml:space="preserve">하나님이 하신 일은 원수도 압니다</t>
  </si>
  <si>
    <r>
      <rPr>
        <sz val="10"/>
        <color rgb="FF000000"/>
        <rFont val="WenQuanYi Zen Hei"/>
        <family val="2"/>
      </rPr>
      <t xml:space="preserve">느헤미야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산발랏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스마야</t>
    </r>
  </si>
  <si>
    <t xml:space="preserve">완성된 성벽</t>
  </si>
  <si>
    <t xml:space="preserve">A0339</t>
  </si>
  <si>
    <r>
      <rPr>
        <sz val="10"/>
        <color rgb="FF000000"/>
        <rFont val="WenQuanYi Zen Hei"/>
        <family val="2"/>
      </rPr>
      <t xml:space="preserve">느 </t>
    </r>
    <r>
      <rPr>
        <sz val="10"/>
        <color rgb="FF000000"/>
        <rFont val="Arial"/>
        <family val="0"/>
        <charset val="1"/>
      </rPr>
      <t xml:space="preserve">7:1-8:18</t>
    </r>
  </si>
  <si>
    <t xml:space="preserve">수문 앞의 말씀</t>
  </si>
  <si>
    <t xml:space="preserve">말씀을 듣고 온 백성이 울었다</t>
  </si>
  <si>
    <r>
      <rPr>
        <sz val="10"/>
        <color rgb="FF000000"/>
        <rFont val="WenQuanYi Zen Hei"/>
        <family val="2"/>
      </rPr>
      <t xml:space="preserve">느 </t>
    </r>
    <r>
      <rPr>
        <sz val="10"/>
        <color rgb="FF000000"/>
        <rFont val="Arial"/>
        <family val="0"/>
        <charset val="1"/>
      </rPr>
      <t xml:space="preserve">8:10</t>
    </r>
  </si>
  <si>
    <t xml:space="preserve">여호와로 인하여 기뻐하는 것이 너희의 힘이니라</t>
  </si>
  <si>
    <r>
      <rPr>
        <sz val="10"/>
        <color rgb="FF000000"/>
        <rFont val="WenQuanYi Zen Hei"/>
        <family val="2"/>
      </rPr>
      <t xml:space="preserve">에스라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느헤미야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</si>
  <si>
    <r>
      <rPr>
        <sz val="10"/>
        <color rgb="FF000000"/>
        <rFont val="WenQuanYi Zen Hei"/>
        <family val="2"/>
      </rPr>
      <t xml:space="preserve">수문 앞 광장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나무 강단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</si>
  <si>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느 </t>
    </r>
    <r>
      <rPr>
        <sz val="10"/>
        <color rgb="FF1F3864"/>
        <rFont val="Arial"/>
        <family val="0"/>
        <charset val="1"/>
      </rPr>
      <t xml:space="preserve">5:1-19 </t>
    </r>
    <r>
      <rPr>
        <sz val="10"/>
        <color rgb="FF1F3864"/>
        <rFont val="WenQuanYi Zen Hei"/>
        <family val="2"/>
      </rPr>
      <t xml:space="preserve">가난한 형제의 눈물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느 </t>
    </r>
    <r>
      <rPr>
        <sz val="10"/>
        <color rgb="FF1F3864"/>
        <rFont val="Arial"/>
        <family val="0"/>
        <charset val="1"/>
      </rPr>
      <t xml:space="preserve">6:1-19 52</t>
    </r>
    <r>
      <rPr>
        <sz val="10"/>
        <color rgb="FF1F3864"/>
        <rFont val="WenQuanYi Zen Hei"/>
        <family val="2"/>
      </rPr>
      <t xml:space="preserve">일 만의 완성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</si>
  <si>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A0340</t>
  </si>
  <si>
    <r>
      <rPr>
        <sz val="10"/>
        <color rgb="FF000000"/>
        <rFont val="WenQuanYi Zen Hei"/>
        <family val="2"/>
      </rPr>
      <t xml:space="preserve">느 </t>
    </r>
    <r>
      <rPr>
        <sz val="10"/>
        <color rgb="FF000000"/>
        <rFont val="Arial"/>
        <family val="0"/>
        <charset val="1"/>
      </rPr>
      <t xml:space="preserve">9:1-10:39</t>
    </r>
  </si>
  <si>
    <t xml:space="preserve">역사를 돌아보는 기도</t>
  </si>
  <si>
    <t xml:space="preserve">우리는 배반했지만 주는 버리지 않으셨다</t>
  </si>
  <si>
    <r>
      <rPr>
        <sz val="10"/>
        <color rgb="FF000000"/>
        <rFont val="WenQuanYi Zen Hei"/>
        <family val="2"/>
      </rPr>
      <t xml:space="preserve">느 </t>
    </r>
    <r>
      <rPr>
        <sz val="10"/>
        <color rgb="FF000000"/>
        <rFont val="Arial"/>
        <family val="0"/>
        <charset val="1"/>
      </rPr>
      <t xml:space="preserve">9:17</t>
    </r>
  </si>
  <si>
    <t xml:space="preserve">주는 용서하시는 하나님이십니다</t>
  </si>
  <si>
    <r>
      <rPr>
        <sz val="10"/>
        <color rgb="FF000000"/>
        <rFont val="WenQuanYi Zen Hei"/>
        <family val="2"/>
      </rPr>
      <t xml:space="preserve">레위인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</si>
  <si>
    <r>
      <rPr>
        <sz val="10"/>
        <color rgb="FF000000"/>
        <rFont val="WenQuanYi Zen Hei"/>
        <family val="2"/>
      </rPr>
      <t xml:space="preserve">성전 앞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금식하는 백성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</si>
  <si>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#138 '</t>
    </r>
    <r>
      <rPr>
        <sz val="10"/>
        <color rgb="FF000000"/>
        <rFont val="WenQuanYi Zen Hei"/>
        <family val="2"/>
      </rPr>
      <t xml:space="preserve">수문 앞의 말씀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</si>
  <si>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A0341</t>
  </si>
  <si>
    <r>
      <rPr>
        <sz val="10"/>
        <color rgb="FF000000"/>
        <rFont val="WenQuanYi Zen Hei"/>
        <family val="2"/>
      </rPr>
      <t xml:space="preserve">느 </t>
    </r>
    <r>
      <rPr>
        <sz val="10"/>
        <color rgb="FF000000"/>
        <rFont val="Arial"/>
        <family val="0"/>
        <charset val="1"/>
      </rPr>
      <t xml:space="preserve">11:1-13:31</t>
    </r>
  </si>
  <si>
    <t xml:space="preserve">봉헌의 기쁨과 다시 하는 개혁</t>
  </si>
  <si>
    <t xml:space="preserve">기쁨의 소리가 멀리까지 들렸다</t>
  </si>
  <si>
    <r>
      <rPr>
        <sz val="10"/>
        <color rgb="FF000000"/>
        <rFont val="WenQuanYi Zen Hei"/>
        <family val="2"/>
      </rPr>
      <t xml:space="preserve">느 </t>
    </r>
    <r>
      <rPr>
        <sz val="10"/>
        <color rgb="FF000000"/>
        <rFont val="Arial"/>
        <family val="0"/>
        <charset val="1"/>
      </rPr>
      <t xml:space="preserve">12:43</t>
    </r>
  </si>
  <si>
    <t xml:space="preserve">하나님이 주신 기쁨</t>
  </si>
  <si>
    <r>
      <rPr>
        <sz val="10"/>
        <color rgb="FF000000"/>
        <rFont val="WenQuanYi Zen Hei"/>
        <family val="2"/>
      </rPr>
      <t xml:space="preserve">느헤미야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찬양대</t>
    </r>
  </si>
  <si>
    <t xml:space="preserve">성벽 위 두 찬양대 행렬</t>
  </si>
  <si>
    <t xml:space="preserve">A0342</t>
  </si>
  <si>
    <t xml:space="preserve">B039</t>
  </si>
  <si>
    <t xml:space="preserve">에스더</t>
  </si>
  <si>
    <r>
      <rPr>
        <sz val="10"/>
        <color rgb="FF000000"/>
        <rFont val="WenQuanYi Zen Hei"/>
        <family val="2"/>
      </rPr>
      <t xml:space="preserve">에 </t>
    </r>
    <r>
      <rPr>
        <sz val="10"/>
        <color rgb="FF000000"/>
        <rFont val="Arial"/>
        <family val="0"/>
        <charset val="1"/>
      </rPr>
      <t xml:space="preserve">1:1-22</t>
    </r>
  </si>
  <si>
    <t xml:space="preserve">거절한 왕비</t>
  </si>
  <si>
    <t xml:space="preserve">왕의 명령을 거절한 왕비가 폐위되다</t>
  </si>
  <si>
    <r>
      <rPr>
        <sz val="10"/>
        <color rgb="FF000000"/>
        <rFont val="WenQuanYi Zen Hei"/>
        <family val="2"/>
      </rPr>
      <t xml:space="preserve">에 </t>
    </r>
    <r>
      <rPr>
        <sz val="10"/>
        <color rgb="FF000000"/>
        <rFont val="Arial"/>
        <family val="0"/>
        <charset val="1"/>
      </rPr>
      <t xml:space="preserve">1:12</t>
    </r>
  </si>
  <si>
    <t xml:space="preserve">하나님은 보이지 않는 곳에서 길을 준비하십니다</t>
  </si>
  <si>
    <r>
      <rPr>
        <sz val="10"/>
        <color rgb="FF000000"/>
        <rFont val="WenQuanYi Zen Hei"/>
        <family val="2"/>
      </rPr>
      <t xml:space="preserve">아하수에로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와스디</t>
    </r>
  </si>
  <si>
    <t xml:space="preserve">수산 궁 연회장</t>
  </si>
  <si>
    <t xml:space="preserve">연회 장면 선정성 금지</t>
  </si>
  <si>
    <t xml:space="preserve">A0343</t>
  </si>
  <si>
    <t xml:space="preserve">S1-L16</t>
  </si>
  <si>
    <r>
      <rPr>
        <sz val="10"/>
        <color rgb="FF000000"/>
        <rFont val="WenQuanYi Zen Hei"/>
        <family val="2"/>
      </rPr>
      <t xml:space="preserve">에 </t>
    </r>
    <r>
      <rPr>
        <sz val="10"/>
        <color rgb="FF000000"/>
        <rFont val="Arial"/>
        <family val="0"/>
        <charset val="1"/>
      </rPr>
      <t xml:space="preserve">2:1-18</t>
    </r>
  </si>
  <si>
    <t xml:space="preserve">새 왕비</t>
  </si>
  <si>
    <t xml:space="preserve">포로의 딸이 페르시아 왕비가 되었다</t>
  </si>
  <si>
    <r>
      <rPr>
        <sz val="10"/>
        <color rgb="FF000000"/>
        <rFont val="WenQuanYi Zen Hei"/>
        <family val="2"/>
      </rPr>
      <t xml:space="preserve">에 </t>
    </r>
    <r>
      <rPr>
        <sz val="10"/>
        <color rgb="FF000000"/>
        <rFont val="Arial"/>
        <family val="0"/>
        <charset val="1"/>
      </rPr>
      <t xml:space="preserve">2:17</t>
    </r>
  </si>
  <si>
    <t xml:space="preserve">하나님은 때를 위해 사람을 세우십니다</t>
  </si>
  <si>
    <r>
      <rPr>
        <sz val="10"/>
        <color rgb="FF000000"/>
        <rFont val="WenQuanYi Zen Hei"/>
        <family val="2"/>
      </rPr>
      <t xml:space="preserve">에스더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모르드개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헤개</t>
    </r>
  </si>
  <si>
    <t xml:space="preserve">수산 궁 후궁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</si>
  <si>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3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느 </t>
    </r>
    <r>
      <rPr>
        <sz val="10"/>
        <color rgb="FF1F3864"/>
        <rFont val="Arial"/>
        <family val="0"/>
        <charset val="1"/>
      </rPr>
      <t xml:space="preserve">9:1-10:39 </t>
    </r>
    <r>
      <rPr>
        <sz val="10"/>
        <color rgb="FF1F3864"/>
        <rFont val="WenQuanYi Zen Hei"/>
        <family val="2"/>
      </rPr>
      <t xml:space="preserve">역사를 돌아보는 기도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느 </t>
    </r>
    <r>
      <rPr>
        <sz val="10"/>
        <color rgb="FF1F3864"/>
        <rFont val="Arial"/>
        <family val="0"/>
        <charset val="1"/>
      </rPr>
      <t xml:space="preserve">11:1-13:31 </t>
    </r>
    <r>
      <rPr>
        <sz val="10"/>
        <color rgb="FF1F3864"/>
        <rFont val="WenQuanYi Zen Hei"/>
        <family val="2"/>
      </rPr>
      <t xml:space="preserve">봉헌의 기쁨과 다시 하는 개혁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에 </t>
    </r>
    <r>
      <rPr>
        <sz val="10"/>
        <color rgb="FF1F3864"/>
        <rFont val="Arial"/>
        <family val="0"/>
        <charset val="1"/>
      </rPr>
      <t xml:space="preserve">1:1-22 </t>
    </r>
    <r>
      <rPr>
        <sz val="10"/>
        <color rgb="FF1F3864"/>
        <rFont val="WenQuanYi Zen Hei"/>
        <family val="2"/>
      </rPr>
      <t xml:space="preserve">거절한 왕비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</si>
  <si>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A0344</t>
  </si>
  <si>
    <r>
      <rPr>
        <sz val="10"/>
        <color rgb="FF000000"/>
        <rFont val="WenQuanYi Zen Hei"/>
        <family val="2"/>
      </rPr>
      <t xml:space="preserve">에 </t>
    </r>
    <r>
      <rPr>
        <sz val="10"/>
        <color rgb="FF000000"/>
        <rFont val="Arial"/>
        <family val="0"/>
        <charset val="1"/>
      </rPr>
      <t xml:space="preserve">2:19-23</t>
    </r>
  </si>
  <si>
    <t xml:space="preserve">기록된 충성</t>
  </si>
  <si>
    <t xml:space="preserve">모르드개가 왕의 암살 음모를 막았다</t>
  </si>
  <si>
    <r>
      <rPr>
        <sz val="10"/>
        <color rgb="FF000000"/>
        <rFont val="WenQuanYi Zen Hei"/>
        <family val="2"/>
      </rPr>
      <t xml:space="preserve">에 </t>
    </r>
    <r>
      <rPr>
        <sz val="10"/>
        <color rgb="FF000000"/>
        <rFont val="Arial"/>
        <family val="0"/>
        <charset val="1"/>
      </rPr>
      <t xml:space="preserve">2:22</t>
    </r>
  </si>
  <si>
    <t xml:space="preserve">선한 일은 잊혀진 것 같아도 기록됩니다</t>
  </si>
  <si>
    <r>
      <rPr>
        <sz val="10"/>
        <color rgb="FF000000"/>
        <rFont val="WenQuanYi Zen Hei"/>
        <family val="2"/>
      </rPr>
      <t xml:space="preserve">모르드개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에스더</t>
    </r>
  </si>
  <si>
    <t xml:space="preserve">궁궐 대문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</si>
  <si>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#139 '</t>
    </r>
    <r>
      <rPr>
        <sz val="10"/>
        <color rgb="FF000000"/>
        <rFont val="WenQuanYi Zen Hei"/>
        <family val="2"/>
      </rPr>
      <t xml:space="preserve">새 왕비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</si>
  <si>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A0345</t>
  </si>
  <si>
    <r>
      <rPr>
        <sz val="10"/>
        <color rgb="FF000000"/>
        <rFont val="WenQuanYi Zen Hei"/>
        <family val="2"/>
      </rPr>
      <t xml:space="preserve">에 </t>
    </r>
    <r>
      <rPr>
        <sz val="10"/>
        <color rgb="FF000000"/>
        <rFont val="Arial"/>
        <family val="0"/>
        <charset val="1"/>
      </rPr>
      <t xml:space="preserve">3:1-15</t>
    </r>
  </si>
  <si>
    <t xml:space="preserve">하만의 음모</t>
  </si>
  <si>
    <t xml:space="preserve">절하지 않은 한 사람 때문에 민족을 죽이려 하다</t>
  </si>
  <si>
    <r>
      <rPr>
        <sz val="10"/>
        <color rgb="FF000000"/>
        <rFont val="WenQuanYi Zen Hei"/>
        <family val="2"/>
      </rPr>
      <t xml:space="preserve">에 </t>
    </r>
    <r>
      <rPr>
        <sz val="10"/>
        <color rgb="FF000000"/>
        <rFont val="Arial"/>
        <family val="0"/>
        <charset val="1"/>
      </rPr>
      <t xml:space="preserve">3:6</t>
    </r>
  </si>
  <si>
    <t xml:space="preserve">교만한 미움은 큰 악을 꾸밉니다</t>
  </si>
  <si>
    <r>
      <rPr>
        <sz val="10"/>
        <color rgb="FF000000"/>
        <rFont val="WenQuanYi Zen Hei"/>
        <family val="2"/>
      </rPr>
      <t xml:space="preserve">하만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모르드개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아하수에로</t>
    </r>
  </si>
  <si>
    <r>
      <rPr>
        <sz val="10"/>
        <color rgb="FF000000"/>
        <rFont val="WenQuanYi Zen Hei"/>
        <family val="2"/>
      </rPr>
      <t xml:space="preserve">수산 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제비뽑기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부르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</si>
  <si>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에 </t>
    </r>
    <r>
      <rPr>
        <sz val="10"/>
        <color rgb="FF1F3864"/>
        <rFont val="Arial"/>
        <family val="0"/>
        <charset val="1"/>
      </rPr>
      <t xml:space="preserve">2:19-23 </t>
    </r>
    <r>
      <rPr>
        <sz val="10"/>
        <color rgb="FF1F3864"/>
        <rFont val="WenQuanYi Zen Hei"/>
        <family val="2"/>
      </rPr>
      <t xml:space="preserve">기록된 충성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</si>
  <si>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A0346</t>
  </si>
  <si>
    <r>
      <rPr>
        <sz val="10"/>
        <color rgb="FF000000"/>
        <rFont val="WenQuanYi Zen Hei"/>
        <family val="2"/>
      </rPr>
      <t xml:space="preserve">에 </t>
    </r>
    <r>
      <rPr>
        <sz val="10"/>
        <color rgb="FF000000"/>
        <rFont val="Arial"/>
        <family val="0"/>
        <charset val="1"/>
      </rPr>
      <t xml:space="preserve">4:1-17</t>
    </r>
  </si>
  <si>
    <t xml:space="preserve">죽으면 죽으리라</t>
  </si>
  <si>
    <t xml:space="preserve">이때를 위함이 아닌지 누가 알겠느냐</t>
  </si>
  <si>
    <r>
      <rPr>
        <sz val="10"/>
        <color rgb="FF000000"/>
        <rFont val="WenQuanYi Zen Hei"/>
        <family val="2"/>
      </rPr>
      <t xml:space="preserve">에 </t>
    </r>
    <r>
      <rPr>
        <sz val="10"/>
        <color rgb="FF000000"/>
        <rFont val="Arial"/>
        <family val="0"/>
        <charset val="1"/>
      </rPr>
      <t xml:space="preserve">4:14</t>
    </r>
  </si>
  <si>
    <t xml:space="preserve">하나님은 지금 이 자리에 우리를 두셨습니다</t>
  </si>
  <si>
    <r>
      <rPr>
        <sz val="10"/>
        <color rgb="FF000000"/>
        <rFont val="WenQuanYi Zen Hei"/>
        <family val="2"/>
      </rPr>
      <t xml:space="preserve">에스더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모르드개</t>
    </r>
  </si>
  <si>
    <r>
      <rPr>
        <sz val="10"/>
        <color rgb="FF000000"/>
        <rFont val="WenQuanYi Zen Hei"/>
        <family val="2"/>
      </rPr>
      <t xml:space="preserve">궁궐 대문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금식하는 에스더</t>
    </r>
  </si>
  <si>
    <t xml:space="preserve">A0347</t>
  </si>
  <si>
    <r>
      <rPr>
        <sz val="10"/>
        <color rgb="FF000000"/>
        <rFont val="WenQuanYi Zen Hei"/>
        <family val="2"/>
      </rPr>
      <t xml:space="preserve">에 </t>
    </r>
    <r>
      <rPr>
        <sz val="10"/>
        <color rgb="FF000000"/>
        <rFont val="Arial"/>
        <family val="0"/>
        <charset val="1"/>
      </rPr>
      <t xml:space="preserve">5:1-14</t>
    </r>
  </si>
  <si>
    <t xml:space="preserve">왕 앞으로</t>
  </si>
  <si>
    <t xml:space="preserve">부르지 않았는데 왕 앞에 섰다</t>
  </si>
  <si>
    <r>
      <rPr>
        <sz val="10"/>
        <color rgb="FF000000"/>
        <rFont val="WenQuanYi Zen Hei"/>
        <family val="2"/>
      </rPr>
      <t xml:space="preserve">에 </t>
    </r>
    <r>
      <rPr>
        <sz val="10"/>
        <color rgb="FF000000"/>
        <rFont val="Arial"/>
        <family val="0"/>
        <charset val="1"/>
      </rPr>
      <t xml:space="preserve">5:2</t>
    </r>
  </si>
  <si>
    <t xml:space="preserve">하나님은 용기 있는 순종을 높이십니다</t>
  </si>
  <si>
    <r>
      <rPr>
        <sz val="10"/>
        <color rgb="FF000000"/>
        <rFont val="WenQuanYi Zen Hei"/>
        <family val="2"/>
      </rPr>
      <t xml:space="preserve">에스더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아하수에로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하만</t>
    </r>
  </si>
  <si>
    <r>
      <rPr>
        <sz val="10"/>
        <color rgb="FF000000"/>
        <rFont val="WenQuanYi Zen Hei"/>
        <family val="2"/>
      </rPr>
      <t xml:space="preserve">왕의 어전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잔치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</si>
  <si>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#141 '</t>
    </r>
    <r>
      <rPr>
        <sz val="10"/>
        <color rgb="FF000000"/>
        <rFont val="WenQuanYi Zen Hei"/>
        <family val="2"/>
      </rPr>
      <t xml:space="preserve">죽으면 죽으리라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</si>
  <si>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A0348</t>
  </si>
  <si>
    <r>
      <rPr>
        <sz val="10"/>
        <color rgb="FF000000"/>
        <rFont val="WenQuanYi Zen Hei"/>
        <family val="2"/>
      </rPr>
      <t xml:space="preserve">에 </t>
    </r>
    <r>
      <rPr>
        <sz val="10"/>
        <color rgb="FF000000"/>
        <rFont val="Arial"/>
        <family val="0"/>
        <charset val="1"/>
      </rPr>
      <t xml:space="preserve">6:1-14</t>
    </r>
  </si>
  <si>
    <t xml:space="preserve">잠 못 이룬 왕</t>
  </si>
  <si>
    <t xml:space="preserve">그날 밤 왕이 우연히 읽은 기록</t>
  </si>
  <si>
    <r>
      <rPr>
        <sz val="10"/>
        <color rgb="FF000000"/>
        <rFont val="WenQuanYi Zen Hei"/>
        <family val="2"/>
      </rPr>
      <t xml:space="preserve">에 </t>
    </r>
    <r>
      <rPr>
        <sz val="10"/>
        <color rgb="FF000000"/>
        <rFont val="Arial"/>
        <family val="0"/>
        <charset val="1"/>
      </rPr>
      <t xml:space="preserve">6:1</t>
    </r>
  </si>
  <si>
    <t xml:space="preserve">하나님은 왕의 잠까지 다스리십니다</t>
  </si>
  <si>
    <r>
      <rPr>
        <sz val="10"/>
        <color rgb="FF000000"/>
        <rFont val="WenQuanYi Zen Hei"/>
        <family val="2"/>
      </rPr>
      <t xml:space="preserve">아하수에로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모르드개</t>
    </r>
  </si>
  <si>
    <r>
      <rPr>
        <sz val="10"/>
        <color rgb="FF000000"/>
        <rFont val="WenQuanYi Zen Hei"/>
        <family val="2"/>
      </rPr>
      <t xml:space="preserve">왕의 침실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수산 거리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</si>
  <si>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에 </t>
    </r>
    <r>
      <rPr>
        <sz val="10"/>
        <color rgb="FF1F3864"/>
        <rFont val="Arial"/>
        <family val="0"/>
        <charset val="1"/>
      </rPr>
      <t xml:space="preserve">5:1-14 </t>
    </r>
    <r>
      <rPr>
        <sz val="10"/>
        <color rgb="FF1F3864"/>
        <rFont val="WenQuanYi Zen Hei"/>
        <family val="2"/>
      </rPr>
      <t xml:space="preserve">왕 앞으로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</si>
  <si>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A0349</t>
  </si>
  <si>
    <r>
      <rPr>
        <sz val="10"/>
        <color rgb="FF000000"/>
        <rFont val="WenQuanYi Zen Hei"/>
        <family val="2"/>
      </rPr>
      <t xml:space="preserve">에 </t>
    </r>
    <r>
      <rPr>
        <sz val="10"/>
        <color rgb="FF000000"/>
        <rFont val="Arial"/>
        <family val="0"/>
        <charset val="1"/>
      </rPr>
      <t xml:space="preserve">7:1-10</t>
    </r>
  </si>
  <si>
    <t xml:space="preserve">뒤바뀐 운명</t>
  </si>
  <si>
    <t xml:space="preserve">자기가 만든 나무에 자기가 달리다</t>
  </si>
  <si>
    <r>
      <rPr>
        <sz val="10"/>
        <color rgb="FF000000"/>
        <rFont val="WenQuanYi Zen Hei"/>
        <family val="2"/>
      </rPr>
      <t xml:space="preserve">에 </t>
    </r>
    <r>
      <rPr>
        <sz val="10"/>
        <color rgb="FF000000"/>
        <rFont val="Arial"/>
        <family val="0"/>
        <charset val="1"/>
      </rPr>
      <t xml:space="preserve">7:10</t>
    </r>
  </si>
  <si>
    <t xml:space="preserve">악은 결국 스스로 무너집니다</t>
  </si>
  <si>
    <t xml:space="preserve">두 번째 잔치</t>
  </si>
  <si>
    <t xml:space="preserve">A0350</t>
  </si>
  <si>
    <r>
      <rPr>
        <sz val="10"/>
        <color rgb="FF000000"/>
        <rFont val="WenQuanYi Zen Hei"/>
        <family val="2"/>
      </rPr>
      <t xml:space="preserve">에 </t>
    </r>
    <r>
      <rPr>
        <sz val="10"/>
        <color rgb="FF000000"/>
        <rFont val="Arial"/>
        <family val="0"/>
        <charset val="1"/>
      </rPr>
      <t xml:space="preserve">8:1-17</t>
    </r>
  </si>
  <si>
    <t xml:space="preserve">새로운 조서</t>
  </si>
  <si>
    <t xml:space="preserve">슬픔의 날이 기쁨의 날로 바뀌었다</t>
  </si>
  <si>
    <r>
      <rPr>
        <sz val="10"/>
        <color rgb="FF000000"/>
        <rFont val="WenQuanYi Zen Hei"/>
        <family val="2"/>
      </rPr>
      <t xml:space="preserve">에 </t>
    </r>
    <r>
      <rPr>
        <sz val="10"/>
        <color rgb="FF000000"/>
        <rFont val="Arial"/>
        <family val="0"/>
        <charset val="1"/>
      </rPr>
      <t xml:space="preserve">8:16</t>
    </r>
  </si>
  <si>
    <t xml:space="preserve">하나님은 슬픔을 기쁨으로 바꾸십니다</t>
  </si>
  <si>
    <r>
      <rPr>
        <sz val="10"/>
        <color rgb="FF000000"/>
        <rFont val="WenQuanYi Zen Hei"/>
        <family val="2"/>
      </rPr>
      <t xml:space="preserve">수산 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기뻐하는 유다인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</si>
  <si>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#143 '</t>
    </r>
    <r>
      <rPr>
        <sz val="10"/>
        <color rgb="FF000000"/>
        <rFont val="WenQuanYi Zen Hei"/>
        <family val="2"/>
      </rPr>
      <t xml:space="preserve">뒤바뀐 운명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</si>
  <si>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A0351</t>
  </si>
  <si>
    <r>
      <rPr>
        <sz val="10"/>
        <color rgb="FF000000"/>
        <rFont val="WenQuanYi Zen Hei"/>
        <family val="2"/>
      </rPr>
      <t xml:space="preserve">에 </t>
    </r>
    <r>
      <rPr>
        <sz val="10"/>
        <color rgb="FF000000"/>
        <rFont val="Arial"/>
        <family val="0"/>
        <charset val="1"/>
      </rPr>
      <t xml:space="preserve">9:1-10:3</t>
    </r>
  </si>
  <si>
    <t xml:space="preserve">부림절</t>
  </si>
  <si>
    <t xml:space="preserve">지금도 지키는 구원의 축제</t>
  </si>
  <si>
    <r>
      <rPr>
        <sz val="10"/>
        <color rgb="FF000000"/>
        <rFont val="WenQuanYi Zen Hei"/>
        <family val="2"/>
      </rPr>
      <t xml:space="preserve">에 </t>
    </r>
    <r>
      <rPr>
        <sz val="10"/>
        <color rgb="FF000000"/>
        <rFont val="Arial"/>
        <family val="0"/>
        <charset val="1"/>
      </rPr>
      <t xml:space="preserve">9:22</t>
    </r>
  </si>
  <si>
    <t xml:space="preserve">하나님의 구원을 기억하고 나눕니다</t>
  </si>
  <si>
    <r>
      <rPr>
        <sz val="10"/>
        <color rgb="FF000000"/>
        <rFont val="WenQuanYi Zen Hei"/>
        <family val="2"/>
      </rPr>
      <t xml:space="preserve">모르드개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에스더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유다인</t>
    </r>
  </si>
  <si>
    <t xml:space="preserve">부림절 축제</t>
  </si>
  <si>
    <r>
      <rPr>
        <sz val="10"/>
        <color rgb="FFC00000"/>
        <rFont val="WenQuanYi Zen Hei"/>
        <family val="2"/>
      </rPr>
      <t xml:space="preserve">전투 장면 유혈 묘사 금지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하나님 이름 없지만 섭리 강조</t>
    </r>
  </si>
  <si>
    <t xml:space="preserve">A0352</t>
  </si>
  <si>
    <t xml:space="preserve">B040</t>
  </si>
  <si>
    <t xml:space="preserve">욥기</t>
  </si>
  <si>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1:1-12</t>
    </r>
  </si>
  <si>
    <t xml:space="preserve">하늘에서 오간 대화</t>
  </si>
  <si>
    <t xml:space="preserve">하나님이 먼저 자랑하신 사람</t>
  </si>
  <si>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1:8</t>
    </r>
  </si>
  <si>
    <t xml:space="preserve">하나님은 우리를 아시고 다스리십니다</t>
  </si>
  <si>
    <r>
      <rPr>
        <sz val="10"/>
        <color rgb="FF000000"/>
        <rFont val="WenQuanYi Zen Hei"/>
        <family val="2"/>
      </rPr>
      <t xml:space="preserve">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하나님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빛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</si>
  <si>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우스 땅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하늘 보좌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빛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</si>
  <si>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C00000"/>
        <rFont val="WenQuanYi Zen Hei"/>
        <family val="2"/>
      </rPr>
      <t xml:space="preserve">사탄은 하나님 허락 아래 제한된 존재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뿔 달린 악마 이미지 금지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</si>
  <si>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에 </t>
    </r>
    <r>
      <rPr>
        <sz val="10"/>
        <color rgb="FF1F3864"/>
        <rFont val="Arial"/>
        <family val="0"/>
        <charset val="1"/>
      </rPr>
      <t xml:space="preserve">8:1-17 </t>
    </r>
    <r>
      <rPr>
        <sz val="10"/>
        <color rgb="FF1F3864"/>
        <rFont val="WenQuanYi Zen Hei"/>
        <family val="2"/>
      </rPr>
      <t xml:space="preserve">새로운 조서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에 </t>
    </r>
    <r>
      <rPr>
        <sz val="10"/>
        <color rgb="FF1F3864"/>
        <rFont val="Arial"/>
        <family val="0"/>
        <charset val="1"/>
      </rPr>
      <t xml:space="preserve">9:1-10:3 </t>
    </r>
    <r>
      <rPr>
        <sz val="10"/>
        <color rgb="FF1F3864"/>
        <rFont val="WenQuanYi Zen Hei"/>
        <family val="2"/>
      </rPr>
      <t xml:space="preserve">부림절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</si>
  <si>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A0353</t>
  </si>
  <si>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1:13-22</t>
    </r>
  </si>
  <si>
    <t xml:space="preserve">하루에 모든 것을 잃다</t>
  </si>
  <si>
    <t xml:space="preserve">네 명의 전령이 연달아 달려왔다</t>
  </si>
  <si>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1:21</t>
    </r>
  </si>
  <si>
    <t xml:space="preserve">주신 이도 여호와시요 거두신 이도 여호와시오니</t>
  </si>
  <si>
    <r>
      <rPr>
        <sz val="10"/>
        <color rgb="FF000000"/>
        <rFont val="WenQuanYi Zen Hei"/>
        <family val="2"/>
      </rPr>
      <t xml:space="preserve">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전령들</t>
    </r>
  </si>
  <si>
    <r>
      <rPr>
        <sz val="10"/>
        <color rgb="FF000000"/>
        <rFont val="WenQuanYi Zen Hei"/>
        <family val="2"/>
      </rPr>
      <t xml:space="preserve">무너진 집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빈 목장</t>
    </r>
  </si>
  <si>
    <t xml:space="preserve">자녀 죽음 장면 묘사 금지</t>
  </si>
  <si>
    <t xml:space="preserve">A0354</t>
  </si>
  <si>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2:1-13</t>
    </r>
  </si>
  <si>
    <t xml:space="preserve">재 위에 앉은 욥</t>
  </si>
  <si>
    <t xml:space="preserve">아내마저 하나님을 욕하라고 했다</t>
  </si>
  <si>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2:10</t>
    </r>
  </si>
  <si>
    <r>
      <rPr>
        <sz val="10"/>
        <color rgb="FF000000"/>
        <rFont val="WenQuanYi Zen Hei"/>
        <family val="2"/>
      </rPr>
      <t xml:space="preserve">좋은 것도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어려운 것도 하나님 손 안에 있습니다</t>
    </r>
  </si>
  <si>
    <r>
      <rPr>
        <sz val="10"/>
        <color rgb="FF000000"/>
        <rFont val="WenQuanYi Zen Hei"/>
        <family val="2"/>
      </rPr>
      <t xml:space="preserve">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욥의 아내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세 친구</t>
    </r>
  </si>
  <si>
    <t xml:space="preserve">잿더미</t>
  </si>
  <si>
    <t xml:space="preserve">질병 묘사 과도 금지</t>
  </si>
  <si>
    <t xml:space="preserve">A0355</t>
  </si>
  <si>
    <t xml:space="preserve">S2-L22</t>
  </si>
  <si>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3:1-26</t>
    </r>
  </si>
  <si>
    <t xml:space="preserve">욥의 탄식</t>
  </si>
  <si>
    <t xml:space="preserve">차라리 태어나지 않았더라면</t>
  </si>
  <si>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3:26</t>
    </r>
  </si>
  <si>
    <t xml:space="preserve">하나님 앞에서 정직하게 울어도 됩니다</t>
  </si>
  <si>
    <t xml:space="preserve">욥</t>
  </si>
  <si>
    <r>
      <rPr>
        <sz val="10"/>
        <color rgb="FF000000"/>
        <rFont val="WenQuanYi Zen Hei"/>
        <family val="2"/>
      </rPr>
      <t xml:space="preserve">잿더미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밤</t>
    </r>
  </si>
  <si>
    <t xml:space="preserve">자살 미화로 읽히지 않게 연출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</si>
  <si>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#146 '</t>
    </r>
    <r>
      <rPr>
        <sz val="10"/>
        <color rgb="FF000000"/>
        <rFont val="WenQuanYi Zen Hei"/>
        <family val="2"/>
      </rPr>
      <t xml:space="preserve">재 위에 앉은 욥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</si>
  <si>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A0356</t>
  </si>
  <si>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4:1-14:22</t>
    </r>
  </si>
  <si>
    <t xml:space="preserve">네가 죄를 지어서 그래</t>
  </si>
  <si>
    <r>
      <rPr>
        <sz val="10"/>
        <color rgb="FF000000"/>
        <rFont val="WenQuanYi Zen Hei"/>
        <family val="2"/>
      </rPr>
      <t xml:space="preserve">친구들이 내린 결론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정말 맞을까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</si>
  <si>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13:15</t>
    </r>
  </si>
  <si>
    <t xml:space="preserve">하나님이 나를 죽이실지라도 나는 그를 의뢰하리니</t>
  </si>
  <si>
    <r>
      <rPr>
        <sz val="10"/>
        <color rgb="FF000000"/>
        <rFont val="WenQuanYi Zen Hei"/>
        <family val="2"/>
      </rPr>
      <t xml:space="preserve">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엘리바스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빌닷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소발</t>
    </r>
  </si>
  <si>
    <t xml:space="preserve">잿더미 주변</t>
  </si>
  <si>
    <t xml:space="preserve">A0357</t>
  </si>
  <si>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15:1-21:34</t>
    </r>
  </si>
  <si>
    <t xml:space="preserve">나의 대속자가 살아 계시니</t>
  </si>
  <si>
    <t xml:space="preserve">가장 깊은 절망 속에서 터져 나온 고백</t>
  </si>
  <si>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19:25</t>
    </r>
  </si>
  <si>
    <t xml:space="preserve">나의 대속자가 살아 계십니다</t>
  </si>
  <si>
    <r>
      <rPr>
        <sz val="10"/>
        <color rgb="FF000000"/>
        <rFont val="WenQuanYi Zen Hei"/>
        <family val="2"/>
      </rPr>
      <t xml:space="preserve">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친구들</t>
    </r>
  </si>
  <si>
    <t xml:space="preserve">그리스도의 부활 소망과 연결</t>
  </si>
  <si>
    <t xml:space="preserve">A0358</t>
  </si>
  <si>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22:1-31:40</t>
    </r>
  </si>
  <si>
    <t xml:space="preserve">정금같이 나오리라</t>
  </si>
  <si>
    <t xml:space="preserve">하나님이 안 보여도 하나님은 나를 보신다</t>
  </si>
  <si>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23:10</t>
    </r>
  </si>
  <si>
    <t xml:space="preserve">단련하신 후에는 정금같이 나오리라</t>
  </si>
  <si>
    <t xml:space="preserve">A0359</t>
  </si>
  <si>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32:1-37:24</t>
    </r>
  </si>
  <si>
    <t xml:space="preserve">젊은 엘리후</t>
  </si>
  <si>
    <t xml:space="preserve">어른들이 다 말한 뒤에 입을 연 청년</t>
  </si>
  <si>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36:15</t>
    </r>
  </si>
  <si>
    <t xml:space="preserve">하나님은 고난을 통해서도 말씀하십니다</t>
  </si>
  <si>
    <r>
      <rPr>
        <sz val="10"/>
        <color rgb="FF000000"/>
        <rFont val="WenQuanYi Zen Hei"/>
        <family val="2"/>
      </rPr>
      <t xml:space="preserve">엘리후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욥</t>
    </r>
  </si>
  <si>
    <t xml:space="preserve">폭풍이 다가오는 하늘</t>
  </si>
  <si>
    <t xml:space="preserve">A0360</t>
  </si>
  <si>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38:1-40:5</t>
    </r>
  </si>
  <si>
    <t xml:space="preserve">폭풍 속의 음성</t>
  </si>
  <si>
    <t xml:space="preserve">내가 땅의 기초를 놓을 때 네가 어디 있었느냐</t>
  </si>
  <si>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38:4</t>
    </r>
  </si>
  <si>
    <t xml:space="preserve">하나님은 우리가 다 알 수 없는 분이십니다</t>
  </si>
  <si>
    <r>
      <rPr>
        <sz val="10"/>
        <color rgb="FF000000"/>
        <rFont val="WenQuanYi Zen Hei"/>
        <family val="2"/>
      </rPr>
      <t xml:space="preserve">하나님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폭풍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음성</t>
    </r>
    <r>
      <rPr>
        <sz val="10"/>
        <color rgb="FF000000"/>
        <rFont val="Arial"/>
        <family val="0"/>
        <charset val="1"/>
      </rPr>
      <t xml:space="preserve">)·</t>
    </r>
    <r>
      <rPr>
        <sz val="10"/>
        <color rgb="FF000000"/>
        <rFont val="WenQuanYi Zen Hei"/>
        <family val="2"/>
      </rPr>
      <t xml:space="preserve">욥</t>
    </r>
  </si>
  <si>
    <r>
      <rPr>
        <sz val="10"/>
        <color rgb="FF000000"/>
        <rFont val="WenQuanYi Zen Hei"/>
        <family val="2"/>
      </rPr>
      <t xml:space="preserve">폭풍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바다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들짐승</t>
    </r>
  </si>
  <si>
    <t xml:space="preserve">하나님은 폭풍과 음성으로만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</si>
  <si>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5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욥 </t>
    </r>
    <r>
      <rPr>
        <sz val="10"/>
        <color rgb="FF1F3864"/>
        <rFont val="Arial"/>
        <family val="0"/>
        <charset val="1"/>
      </rPr>
      <t xml:space="preserve">3:1-26 </t>
    </r>
    <r>
      <rPr>
        <sz val="10"/>
        <color rgb="FF1F3864"/>
        <rFont val="WenQuanYi Zen Hei"/>
        <family val="2"/>
      </rPr>
      <t xml:space="preserve">욥의 탄식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욥 </t>
    </r>
    <r>
      <rPr>
        <sz val="10"/>
        <color rgb="FF1F3864"/>
        <rFont val="Arial"/>
        <family val="0"/>
        <charset val="1"/>
      </rPr>
      <t xml:space="preserve">4:1-14:22 </t>
    </r>
    <r>
      <rPr>
        <sz val="10"/>
        <color rgb="FF1F3864"/>
        <rFont val="WenQuanYi Zen Hei"/>
        <family val="2"/>
      </rPr>
      <t xml:space="preserve">네가 죄를 지어서 그래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욥 </t>
    </r>
    <r>
      <rPr>
        <sz val="10"/>
        <color rgb="FF1F3864"/>
        <rFont val="Arial"/>
        <family val="0"/>
        <charset val="1"/>
      </rPr>
      <t xml:space="preserve">15:1-21:34 </t>
    </r>
    <r>
      <rPr>
        <sz val="10"/>
        <color rgb="FF1F3864"/>
        <rFont val="WenQuanYi Zen Hei"/>
        <family val="2"/>
      </rPr>
      <t xml:space="preserve">나의 대속자가 살아 계시니 외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</si>
  <si>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A0361</t>
  </si>
  <si>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40:6-42:6</t>
    </r>
  </si>
  <si>
    <t xml:space="preserve">이제는 눈으로 주를 뵈옵나이다</t>
  </si>
  <si>
    <t xml:space="preserve">질문이 사라지고 남은 한 가지</t>
  </si>
  <si>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42:5</t>
    </r>
  </si>
  <si>
    <t xml:space="preserve">고난을 지나 하나님을 더 깊이 알게 됩니다</t>
  </si>
  <si>
    <r>
      <rPr>
        <sz val="10"/>
        <color rgb="FF000000"/>
        <rFont val="WenQuanYi Zen Hei"/>
        <family val="2"/>
      </rPr>
      <t xml:space="preserve">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하나님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음성</t>
    </r>
    <r>
      <rPr>
        <sz val="10"/>
        <color rgb="FF000000"/>
        <rFont val="Arial"/>
        <family val="0"/>
        <charset val="1"/>
      </rPr>
      <t xml:space="preserve">)</t>
    </r>
  </si>
  <si>
    <t xml:space="preserve">폭풍이 지나간 하늘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</si>
  <si>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#147 '</t>
    </r>
    <r>
      <rPr>
        <sz val="10"/>
        <color rgb="FF000000"/>
        <rFont val="WenQuanYi Zen Hei"/>
        <family val="2"/>
      </rPr>
      <t xml:space="preserve">폭풍 속의 음성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</si>
  <si>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A0362</t>
  </si>
  <si>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42:7-17</t>
    </r>
  </si>
  <si>
    <t xml:space="preserve">갑절의 회복</t>
  </si>
  <si>
    <t xml:space="preserve">친구들을 위해 기도할 때</t>
  </si>
  <si>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42:10</t>
    </r>
  </si>
  <si>
    <t xml:space="preserve">하나님은 끝내 선하십니다</t>
  </si>
  <si>
    <r>
      <rPr>
        <sz val="10"/>
        <color rgb="FF000000"/>
        <rFont val="WenQuanYi Zen Hei"/>
        <family val="2"/>
      </rPr>
      <t xml:space="preserve">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친구들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새 가족</t>
    </r>
  </si>
  <si>
    <t xml:space="preserve">회복된 집</t>
  </si>
  <si>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신앙 </t>
    </r>
    <r>
      <rPr>
        <sz val="10"/>
        <color rgb="FFC00000"/>
        <rFont val="Arial"/>
        <family val="0"/>
        <charset val="1"/>
      </rPr>
      <t xml:space="preserve">= </t>
    </r>
    <r>
      <rPr>
        <sz val="10"/>
        <color rgb="FFC00000"/>
        <rFont val="WenQuanYi Zen Hei"/>
        <family val="2"/>
      </rPr>
      <t xml:space="preserve">번영</t>
    </r>
    <r>
      <rPr>
        <sz val="10"/>
        <color rgb="FFC00000"/>
        <rFont val="Arial"/>
        <family val="0"/>
        <charset val="1"/>
      </rPr>
      <t xml:space="preserve">' </t>
    </r>
    <r>
      <rPr>
        <sz val="10"/>
        <color rgb="FFC00000"/>
        <rFont val="WenQuanYi Zen Hei"/>
        <family val="2"/>
      </rPr>
      <t xml:space="preserve">공식화 금지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</si>
  <si>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욥 </t>
    </r>
    <r>
      <rPr>
        <sz val="10"/>
        <color rgb="FF1F3864"/>
        <rFont val="Arial"/>
        <family val="0"/>
        <charset val="1"/>
      </rPr>
      <t xml:space="preserve">40:6-42:6 </t>
    </r>
    <r>
      <rPr>
        <sz val="10"/>
        <color rgb="FF1F3864"/>
        <rFont val="WenQuanYi Zen Hei"/>
        <family val="2"/>
      </rPr>
      <t xml:space="preserve">이제는 눈으로 주를 뵈옵나이다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</si>
  <si>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A0363</t>
  </si>
  <si>
    <t xml:space="preserve">B041</t>
  </si>
  <si>
    <t xml:space="preserve">S1-L17</t>
  </si>
  <si>
    <t xml:space="preserve">시편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</si>
  <si>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편</t>
    </r>
  </si>
  <si>
    <t xml:space="preserve">복 있는 사람</t>
  </si>
  <si>
    <r>
      <rPr>
        <sz val="10"/>
        <color rgb="FF000000"/>
        <rFont val="WenQuanYi Zen Hei"/>
        <family val="2"/>
      </rPr>
      <t xml:space="preserve">가장 복 있는 사람은 누구일까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</si>
  <si>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1:2</t>
    </r>
  </si>
  <si>
    <t xml:space="preserve">복 있는 사람은 말씀을 즐거워하고 묵상합니다</t>
  </si>
  <si>
    <t xml:space="preserve">다윗 시대 예배자</t>
  </si>
  <si>
    <t xml:space="preserve">시냇가에 심은 나무</t>
  </si>
  <si>
    <t xml:space="preserve">A0364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</si>
  <si>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편</t>
    </r>
  </si>
  <si>
    <t xml:space="preserve">하나님의 아들</t>
  </si>
  <si>
    <t xml:space="preserve">세상 왕들이 하나님을 대적할 때</t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</si>
  <si>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2:7</t>
    </r>
  </si>
  <si>
    <t xml:space="preserve">너는 내 아들이라</t>
  </si>
  <si>
    <t xml:space="preserve">메시아 왕</t>
  </si>
  <si>
    <r>
      <rPr>
        <sz val="10"/>
        <color rgb="FF000000"/>
        <rFont val="WenQuanYi Zen Hei"/>
        <family val="2"/>
      </rPr>
      <t xml:space="preserve">시온 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열방</t>
    </r>
  </si>
  <si>
    <r>
      <rPr>
        <sz val="10"/>
        <color rgb="FFC00000"/>
        <rFont val="WenQuanYi Zen Hei"/>
        <family val="2"/>
      </rPr>
      <t xml:space="preserve">히 </t>
    </r>
    <r>
      <rPr>
        <sz val="10"/>
        <color rgb="FFC00000"/>
        <rFont val="Arial"/>
        <family val="0"/>
        <charset val="1"/>
      </rPr>
      <t xml:space="preserve">1:5 </t>
    </r>
    <r>
      <rPr>
        <sz val="10"/>
        <color rgb="FFC00000"/>
        <rFont val="WenQuanYi Zen Hei"/>
        <family val="2"/>
      </rPr>
      <t xml:space="preserve">그리스도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</si>
  <si>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#149 '</t>
    </r>
    <r>
      <rPr>
        <sz val="10"/>
        <color rgb="FF000000"/>
        <rFont val="WenQuanYi Zen Hei"/>
        <family val="2"/>
      </rPr>
      <t xml:space="preserve">복 있는 사람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</si>
  <si>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A0365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</si>
  <si>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편</t>
    </r>
  </si>
  <si>
    <t xml:space="preserve">사람이 무엇이기에</t>
  </si>
  <si>
    <t xml:space="preserve">우주를 바라보다 터져 나온 질문</t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</si>
  <si>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8:4</t>
    </r>
  </si>
  <si>
    <t xml:space="preserve">작은 사람을 기억하시는 크신 하나님</t>
  </si>
  <si>
    <t xml:space="preserve">다윗</t>
  </si>
  <si>
    <t xml:space="preserve">별이 가득한 밤하늘</t>
  </si>
  <si>
    <t xml:space="preserve">A0366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</si>
  <si>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19</t>
    </r>
    <r>
      <rPr>
        <sz val="10"/>
        <color rgb="FF000000"/>
        <rFont val="WenQuanYi Zen Hei"/>
        <family val="2"/>
      </rPr>
      <t xml:space="preserve">편</t>
    </r>
  </si>
  <si>
    <t xml:space="preserve">하늘이 말하고 있다</t>
  </si>
  <si>
    <t xml:space="preserve">소리 없이 말하는 하늘</t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</si>
  <si>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19:1</t>
    </r>
  </si>
  <si>
    <t xml:space="preserve">창조는 하나님의 영광을 선포합니다</t>
  </si>
  <si>
    <t xml:space="preserve">해 뜨는 하늘</t>
  </si>
  <si>
    <t xml:space="preserve">A0367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</si>
  <si>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WenQuanYi Zen Hei"/>
        <family val="2"/>
      </rPr>
      <t xml:space="preserve">편</t>
    </r>
  </si>
  <si>
    <t xml:space="preserve">나의 하나님 어찌하여</t>
  </si>
  <si>
    <t xml:space="preserve">예수님이 십자가에서 외치신 시편</t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</si>
  <si>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22:1</t>
    </r>
  </si>
  <si>
    <t xml:space="preserve">버림받으신 그리스도로 우리는 버림받지 않습니다</t>
  </si>
  <si>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십자가 예언</t>
    </r>
  </si>
  <si>
    <r>
      <rPr>
        <sz val="10"/>
        <color rgb="FF000000"/>
        <rFont val="WenQuanYi Zen Hei"/>
        <family val="2"/>
      </rPr>
      <t xml:space="preserve">광야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십자가 실루엣</t>
    </r>
  </si>
  <si>
    <r>
      <rPr>
        <sz val="10"/>
        <color rgb="FFC00000"/>
        <rFont val="WenQuanYi Zen Hei"/>
        <family val="2"/>
      </rPr>
      <t xml:space="preserve">마 </t>
    </r>
    <r>
      <rPr>
        <sz val="10"/>
        <color rgb="FFC00000"/>
        <rFont val="Arial"/>
        <family val="0"/>
        <charset val="1"/>
      </rPr>
      <t xml:space="preserve">27:46 </t>
    </r>
    <r>
      <rPr>
        <sz val="10"/>
        <color rgb="FFC00000"/>
        <rFont val="WenQuanYi Zen Hei"/>
        <family val="2"/>
      </rPr>
      <t xml:space="preserve">연결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십자가 장면은 실루엣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</si>
  <si>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3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시편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 하나님의 아들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시편 </t>
    </r>
    <r>
      <rPr>
        <sz val="10"/>
        <color rgb="FF1F3864"/>
        <rFont val="Arial"/>
        <family val="0"/>
        <charset val="1"/>
      </rPr>
      <t xml:space="preserve">8</t>
    </r>
    <r>
      <rPr>
        <sz val="10"/>
        <color rgb="FF1F3864"/>
        <rFont val="WenQuanYi Zen Hei"/>
        <family val="2"/>
      </rPr>
      <t xml:space="preserve">편 사람이 무엇이기에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시편 </t>
    </r>
    <r>
      <rPr>
        <sz val="10"/>
        <color rgb="FF1F3864"/>
        <rFont val="Arial"/>
        <family val="0"/>
        <charset val="1"/>
      </rPr>
      <t xml:space="preserve">19</t>
    </r>
    <r>
      <rPr>
        <sz val="10"/>
        <color rgb="FF1F3864"/>
        <rFont val="WenQuanYi Zen Hei"/>
        <family val="2"/>
      </rPr>
      <t xml:space="preserve">편 하늘이 말하고 있다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</si>
  <si>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A0368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</si>
  <si>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23</t>
    </r>
    <r>
      <rPr>
        <sz val="10"/>
        <color rgb="FF000000"/>
        <rFont val="WenQuanYi Zen Hei"/>
        <family val="2"/>
      </rPr>
      <t xml:space="preserve">편</t>
    </r>
  </si>
  <si>
    <t xml:space="preserve">여호와는 나의 목자</t>
  </si>
  <si>
    <t xml:space="preserve">세상에서 가장 많이 외운 시</t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</si>
  <si>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23:1</t>
    </r>
  </si>
  <si>
    <t xml:space="preserve">여호와가 나의 목자시니 부족함이 없습니다</t>
  </si>
  <si>
    <r>
      <rPr>
        <sz val="10"/>
        <color rgb="FF000000"/>
        <rFont val="WenQuanYi Zen Hei"/>
        <family val="2"/>
      </rPr>
      <t xml:space="preserve">목동 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양 떼</t>
    </r>
  </si>
  <si>
    <r>
      <rPr>
        <sz val="10"/>
        <color rgb="FF000000"/>
        <rFont val="WenQuanYi Zen Hei"/>
        <family val="2"/>
      </rPr>
      <t xml:space="preserve">푸른 초장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쉴 만한 물가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어두운 골짜기</t>
    </r>
  </si>
  <si>
    <r>
      <rPr>
        <sz val="10"/>
        <color rgb="FFC00000"/>
        <rFont val="WenQuanYi Zen Hei"/>
        <family val="2"/>
      </rPr>
      <t xml:space="preserve">요 </t>
    </r>
    <r>
      <rPr>
        <sz val="10"/>
        <color rgb="FFC00000"/>
        <rFont val="Arial"/>
        <family val="0"/>
        <charset val="1"/>
      </rPr>
      <t xml:space="preserve">10:11 </t>
    </r>
    <r>
      <rPr>
        <sz val="10"/>
        <color rgb="FFC00000"/>
        <rFont val="WenQuanYi Zen Hei"/>
        <family val="2"/>
      </rPr>
      <t xml:space="preserve">선한 목자</t>
    </r>
  </si>
  <si>
    <t xml:space="preserve">A0369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</si>
  <si>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27</t>
    </r>
    <r>
      <rPr>
        <sz val="10"/>
        <color rgb="FF000000"/>
        <rFont val="WenQuanYi Zen Hei"/>
        <family val="2"/>
      </rPr>
      <t xml:space="preserve">편</t>
    </r>
  </si>
  <si>
    <t xml:space="preserve">여호와는 나의 빛</t>
  </si>
  <si>
    <t xml:space="preserve">두려울 때 붙잡는 한 가지</t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</si>
  <si>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27:1</t>
    </r>
  </si>
  <si>
    <t xml:space="preserve">여호와는 나의 빛이요 나의 구원이시니</t>
  </si>
  <si>
    <r>
      <rPr>
        <sz val="10"/>
        <color rgb="FF000000"/>
        <rFont val="WenQuanYi Zen Hei"/>
        <family val="2"/>
      </rPr>
      <t xml:space="preserve">어두운 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성전의 빛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</si>
  <si>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#151 '</t>
    </r>
    <r>
      <rPr>
        <sz val="10"/>
        <color rgb="FF000000"/>
        <rFont val="WenQuanYi Zen Hei"/>
        <family val="2"/>
      </rPr>
      <t xml:space="preserve">여호와는 나의 목자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</si>
  <si>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A0370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</si>
  <si>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WenQuanYi Zen Hei"/>
        <family val="2"/>
      </rPr>
      <t xml:space="preserve">편</t>
    </r>
  </si>
  <si>
    <t xml:space="preserve">용서받은 사람의 기쁨</t>
  </si>
  <si>
    <r>
      <rPr>
        <sz val="10"/>
        <color rgb="FF000000"/>
        <rFont val="WenQuanYi Zen Hei"/>
        <family val="2"/>
      </rPr>
      <t xml:space="preserve">숨기면 뼈가 마르고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고백하면 자유롭다</t>
    </r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</si>
  <si>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32:1</t>
    </r>
  </si>
  <si>
    <t xml:space="preserve">허물의 사함을 받은 자는 복이 있습니다</t>
  </si>
  <si>
    <r>
      <rPr>
        <sz val="10"/>
        <color rgb="FFC00000"/>
        <rFont val="WenQuanYi Zen Hei"/>
        <family val="2"/>
      </rPr>
      <t xml:space="preserve">롬 </t>
    </r>
    <r>
      <rPr>
        <sz val="10"/>
        <color rgb="FFC00000"/>
        <rFont val="Arial"/>
        <family val="0"/>
        <charset val="1"/>
      </rPr>
      <t xml:space="preserve">4:7 </t>
    </r>
    <r>
      <rPr>
        <sz val="10"/>
        <color rgb="FFC00000"/>
        <rFont val="WenQuanYi Zen Hei"/>
        <family val="2"/>
      </rPr>
      <t xml:space="preserve">이신칭의 연결</t>
    </r>
  </si>
  <si>
    <t xml:space="preserve">A0371</t>
  </si>
  <si>
    <t xml:space="preserve">B042</t>
  </si>
  <si>
    <t xml:space="preserve">S2-L23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</si>
  <si>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42</t>
    </r>
    <r>
      <rPr>
        <sz val="10"/>
        <color rgb="FF000000"/>
        <rFont val="WenQuanYi Zen Hei"/>
        <family val="2"/>
      </rPr>
      <t xml:space="preserve">편</t>
    </r>
  </si>
  <si>
    <t xml:space="preserve">사슴이 시냇물을 찾듯</t>
  </si>
  <si>
    <t xml:space="preserve">목마른 사슴처럼 하나님을 찾다</t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</si>
  <si>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42:1</t>
    </r>
  </si>
  <si>
    <t xml:space="preserve">내 영혼이 주를 찾기에 갈급합니다</t>
  </si>
  <si>
    <t xml:space="preserve">고라 자손</t>
  </si>
  <si>
    <r>
      <rPr>
        <sz val="10"/>
        <color rgb="FF000000"/>
        <rFont val="WenQuanYi Zen Hei"/>
        <family val="2"/>
      </rPr>
      <t xml:space="preserve">광야의 사슴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시냇물</t>
    </r>
  </si>
  <si>
    <t xml:space="preserve">A0372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</si>
  <si>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WenQuanYi Zen Hei"/>
        <family val="2"/>
      </rPr>
      <t xml:space="preserve">편</t>
    </r>
  </si>
  <si>
    <t xml:space="preserve">하나님은 우리의 피난처</t>
  </si>
  <si>
    <t xml:space="preserve">산이 바다에 빠져도</t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</si>
  <si>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46:1</t>
    </r>
  </si>
  <si>
    <t xml:space="preserve">하나님은 우리의 피난처시요 힘이시니</t>
  </si>
  <si>
    <r>
      <rPr>
        <sz val="10"/>
        <color rgb="FF000000"/>
        <rFont val="WenQuanYi Zen Hei"/>
        <family val="2"/>
      </rPr>
      <t xml:space="preserve">흔들리는 땅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견고한 성</t>
    </r>
  </si>
  <si>
    <t xml:space="preserve">A0373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</si>
  <si>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51</t>
    </r>
    <r>
      <rPr>
        <sz val="10"/>
        <color rgb="FF000000"/>
        <rFont val="WenQuanYi Zen Hei"/>
        <family val="2"/>
      </rPr>
      <t xml:space="preserve">편</t>
    </r>
  </si>
  <si>
    <t xml:space="preserve">정한 마음을 창조하소서</t>
  </si>
  <si>
    <t xml:space="preserve">큰 죄를 지은 왕의 회개 기도</t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</si>
  <si>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51:10</t>
    </r>
  </si>
  <si>
    <t xml:space="preserve">하나님은 상한 심령을 멸시하지 않으십니다</t>
  </si>
  <si>
    <r>
      <rPr>
        <sz val="10"/>
        <color rgb="FF000000"/>
        <rFont val="WenQuanYi Zen Hei"/>
        <family val="2"/>
      </rPr>
      <t xml:space="preserve">어두운 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무릎 꿇은 왕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</si>
  <si>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4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시편 </t>
    </r>
    <r>
      <rPr>
        <sz val="10"/>
        <color rgb="FF1F3864"/>
        <rFont val="Arial"/>
        <family val="0"/>
        <charset val="1"/>
      </rPr>
      <t xml:space="preserve">27</t>
    </r>
    <r>
      <rPr>
        <sz val="10"/>
        <color rgb="FF1F3864"/>
        <rFont val="WenQuanYi Zen Hei"/>
        <family val="2"/>
      </rPr>
      <t xml:space="preserve">편 여호와는 나의 빛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시편 </t>
    </r>
    <r>
      <rPr>
        <sz val="10"/>
        <color rgb="FF1F3864"/>
        <rFont val="Arial"/>
        <family val="0"/>
        <charset val="1"/>
      </rPr>
      <t xml:space="preserve">32</t>
    </r>
    <r>
      <rPr>
        <sz val="10"/>
        <color rgb="FF1F3864"/>
        <rFont val="WenQuanYi Zen Hei"/>
        <family val="2"/>
      </rPr>
      <t xml:space="preserve">편 용서받은 사람의 기쁨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시편 </t>
    </r>
    <r>
      <rPr>
        <sz val="10"/>
        <color rgb="FF1F3864"/>
        <rFont val="Arial"/>
        <family val="0"/>
        <charset val="1"/>
      </rPr>
      <t xml:space="preserve">42</t>
    </r>
    <r>
      <rPr>
        <sz val="10"/>
        <color rgb="FF1F3864"/>
        <rFont val="WenQuanYi Zen Hei"/>
        <family val="2"/>
      </rPr>
      <t xml:space="preserve">편 사슴이 시냇물을 찾듯 외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</si>
  <si>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A0374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</si>
  <si>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62</t>
    </r>
    <r>
      <rPr>
        <sz val="10"/>
        <color rgb="FF000000"/>
        <rFont val="WenQuanYi Zen Hei"/>
        <family val="2"/>
      </rPr>
      <t xml:space="preserve">편</t>
    </r>
  </si>
  <si>
    <t xml:space="preserve">잠잠히 하나님만</t>
  </si>
  <si>
    <r>
      <rPr>
        <sz val="10"/>
        <color rgb="FF000000"/>
        <rFont val="WenQuanYi Zen Hei"/>
        <family val="2"/>
      </rPr>
      <t xml:space="preserve">기다림도 기도가 될 수 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</si>
  <si>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62:5</t>
    </r>
  </si>
  <si>
    <t xml:space="preserve">나의 소망은 그로부터 나오는도다</t>
  </si>
  <si>
    <t xml:space="preserve">고요한 새벽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</si>
  <si>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#152 '</t>
    </r>
    <r>
      <rPr>
        <sz val="10"/>
        <color rgb="FF000000"/>
        <rFont val="WenQuanYi Zen Hei"/>
        <family val="2"/>
      </rPr>
      <t xml:space="preserve">정한 마음을 창조하소서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</si>
  <si>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A0375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</si>
  <si>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63</t>
    </r>
    <r>
      <rPr>
        <sz val="10"/>
        <color rgb="FF000000"/>
        <rFont val="WenQuanYi Zen Hei"/>
        <family val="2"/>
      </rPr>
      <t xml:space="preserve">편</t>
    </r>
  </si>
  <si>
    <t xml:space="preserve">광야에서 부른 노래</t>
  </si>
  <si>
    <t xml:space="preserve">물 없는 땅에서 하나님을 찾다</t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</si>
  <si>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63:1</t>
    </r>
  </si>
  <si>
    <t xml:space="preserve">주의 인자하심이 생명보다 나으므로</t>
  </si>
  <si>
    <t xml:space="preserve">유다 광야</t>
  </si>
  <si>
    <t xml:space="preserve">A0376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</si>
  <si>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73</t>
    </r>
    <r>
      <rPr>
        <sz val="10"/>
        <color rgb="FF000000"/>
        <rFont val="WenQuanYi Zen Hei"/>
        <family val="2"/>
      </rPr>
      <t xml:space="preserve">편</t>
    </r>
  </si>
  <si>
    <t xml:space="preserve">악인이 잘되는 것 같을 때</t>
  </si>
  <si>
    <r>
      <rPr>
        <sz val="10"/>
        <color rgb="FF000000"/>
        <rFont val="WenQuanYi Zen Hei"/>
        <family val="2"/>
      </rPr>
      <t xml:space="preserve">나만 바보같이 산 걸까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</si>
  <si>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73:17</t>
    </r>
  </si>
  <si>
    <t xml:space="preserve">하나님 앞에 설 때 비로소 보입니다</t>
  </si>
  <si>
    <t xml:space="preserve">아삽</t>
  </si>
  <si>
    <t xml:space="preserve">A0377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</si>
  <si>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84</t>
    </r>
    <r>
      <rPr>
        <sz val="10"/>
        <color rgb="FF000000"/>
        <rFont val="WenQuanYi Zen Hei"/>
        <family val="2"/>
      </rPr>
      <t xml:space="preserve">편</t>
    </r>
  </si>
  <si>
    <t xml:space="preserve">주의 집에서의 하루</t>
  </si>
  <si>
    <t xml:space="preserve">천 날보다 나은 하루</t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</si>
  <si>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84:10</t>
    </r>
  </si>
  <si>
    <t xml:space="preserve">하나님과 함께하는 것이 가장 좋습니다</t>
  </si>
  <si>
    <r>
      <rPr>
        <sz val="10"/>
        <color rgb="FF000000"/>
        <rFont val="WenQuanYi Zen Hei"/>
        <family val="2"/>
      </rPr>
      <t xml:space="preserve">성전 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참새 둥지</t>
    </r>
  </si>
  <si>
    <t xml:space="preserve">A0378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</si>
  <si>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89</t>
    </r>
    <r>
      <rPr>
        <sz val="10"/>
        <color rgb="FF000000"/>
        <rFont val="WenQuanYi Zen Hei"/>
        <family val="2"/>
      </rPr>
      <t xml:space="preserve">편</t>
    </r>
  </si>
  <si>
    <t xml:space="preserve">영원한 언약</t>
  </si>
  <si>
    <r>
      <rPr>
        <sz val="10"/>
        <color rgb="FF000000"/>
        <rFont val="WenQuanYi Zen Hei"/>
        <family val="2"/>
      </rPr>
      <t xml:space="preserve">하나님이 다윗에게 하신 약속은 어떻게 되었을까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</si>
  <si>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89:1</t>
    </r>
  </si>
  <si>
    <t xml:space="preserve">여호와의 인자하심을 영원히 노래하리라</t>
  </si>
  <si>
    <t xml:space="preserve">에단</t>
  </si>
  <si>
    <t xml:space="preserve">다윗의 왕좌</t>
  </si>
  <si>
    <t xml:space="preserve">그리스도의 영원한 왕위와 연결</t>
  </si>
  <si>
    <t xml:space="preserve">A0379</t>
  </si>
  <si>
    <t xml:space="preserve">B043</t>
  </si>
  <si>
    <t xml:space="preserve">S2-L24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</si>
  <si>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WenQuanYi Zen Hei"/>
        <family val="2"/>
      </rPr>
      <t xml:space="preserve">편</t>
    </r>
  </si>
  <si>
    <t xml:space="preserve">우리의 날 계수함을 가르치소서</t>
  </si>
  <si>
    <t xml:space="preserve">모세가 쓴 유일한 시</t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</si>
  <si>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90:12</t>
    </r>
  </si>
  <si>
    <t xml:space="preserve">인생의 짧음을 알 때 지혜가 생깁니다</t>
  </si>
  <si>
    <r>
      <rPr>
        <sz val="10"/>
        <color rgb="FF000000"/>
        <rFont val="WenQuanYi Zen Hei"/>
        <family val="2"/>
      </rPr>
      <t xml:space="preserve">광야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흐르는 시간</t>
    </r>
  </si>
  <si>
    <t xml:space="preserve">A0380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</si>
  <si>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91</t>
    </r>
    <r>
      <rPr>
        <sz val="10"/>
        <color rgb="FF000000"/>
        <rFont val="WenQuanYi Zen Hei"/>
        <family val="2"/>
      </rPr>
      <t xml:space="preserve">편</t>
    </r>
  </si>
  <si>
    <t xml:space="preserve">전능자의 그늘 아래</t>
  </si>
  <si>
    <t xml:space="preserve">하나님의 날개 아래 숨는 사람</t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</si>
  <si>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91:2</t>
    </r>
  </si>
  <si>
    <t xml:space="preserve">그는 나의 피난처요 요새요 내가 의뢰하는 하나님</t>
  </si>
  <si>
    <t xml:space="preserve">성도</t>
  </si>
  <si>
    <t xml:space="preserve">날개 그늘</t>
  </si>
  <si>
    <r>
      <rPr>
        <sz val="10"/>
        <color rgb="FFC00000"/>
        <rFont val="WenQuanYi Zen Hei"/>
        <family val="2"/>
      </rPr>
      <t xml:space="preserve">부적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주문처럼 사용하는 것 금지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마 </t>
    </r>
    <r>
      <rPr>
        <sz val="10"/>
        <color rgb="FFC00000"/>
        <rFont val="Arial"/>
        <family val="0"/>
        <charset val="1"/>
      </rPr>
      <t xml:space="preserve">4:6 </t>
    </r>
    <r>
      <rPr>
        <sz val="10"/>
        <color rgb="FFC00000"/>
        <rFont val="WenQuanYi Zen Hei"/>
        <family val="2"/>
      </rPr>
      <t xml:space="preserve">사탄의 오용 참고</t>
    </r>
    <r>
      <rPr>
        <sz val="10"/>
        <color rgb="FFC00000"/>
        <rFont val="Arial"/>
        <family val="0"/>
        <charset val="1"/>
      </rPr>
      <t xml:space="preserve">)</t>
    </r>
  </si>
  <si>
    <t xml:space="preserve">A0381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</si>
  <si>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95</t>
    </r>
    <r>
      <rPr>
        <sz val="10"/>
        <color rgb="FF000000"/>
        <rFont val="WenQuanYi Zen Hei"/>
        <family val="2"/>
      </rPr>
      <t xml:space="preserve">편</t>
    </r>
  </si>
  <si>
    <t xml:space="preserve">오라 우리가 경배하자</t>
  </si>
  <si>
    <r>
      <rPr>
        <sz val="10"/>
        <color rgb="FF000000"/>
        <rFont val="WenQuanYi Zen Hei"/>
        <family val="2"/>
      </rPr>
      <t xml:space="preserve">예배는 어떻게 시작될까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</si>
  <si>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95:6</t>
    </r>
  </si>
  <si>
    <t xml:space="preserve">우리를 지으신 여호와 앞에 무릎을 꿇자</t>
  </si>
  <si>
    <t xml:space="preserve">예배자들</t>
  </si>
  <si>
    <t xml:space="preserve">성전 앞 행렬</t>
  </si>
  <si>
    <t xml:space="preserve">A0382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</si>
  <si>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WenQuanYi Zen Hei"/>
        <family val="2"/>
      </rPr>
      <t xml:space="preserve">편</t>
    </r>
  </si>
  <si>
    <t xml:space="preserve">감사의 노래</t>
  </si>
  <si>
    <t xml:space="preserve">감사하며 그 문에 들어가라</t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</si>
  <si>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100:4</t>
    </r>
  </si>
  <si>
    <t xml:space="preserve">감사함으로 그의 문에 들어갑니다</t>
  </si>
  <si>
    <t xml:space="preserve">성전 문</t>
  </si>
  <si>
    <t xml:space="preserve">A0383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</si>
  <si>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WenQuanYi Zen Hei"/>
        <family val="2"/>
      </rPr>
      <t xml:space="preserve">편</t>
    </r>
  </si>
  <si>
    <t xml:space="preserve">은택을 잊지 말라</t>
  </si>
  <si>
    <t xml:space="preserve">하나님이 해 주신 일을 세어 보면</t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</si>
  <si>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103:2</t>
    </r>
  </si>
  <si>
    <t xml:space="preserve">내 영혼아 여호와를 송축하라</t>
  </si>
  <si>
    <t xml:space="preserve">A0384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</si>
  <si>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104</t>
    </r>
    <r>
      <rPr>
        <sz val="10"/>
        <color rgb="FF000000"/>
        <rFont val="WenQuanYi Zen Hei"/>
        <family val="2"/>
      </rPr>
      <t xml:space="preserve">편</t>
    </r>
  </si>
  <si>
    <t xml:space="preserve">창조를 노래하다</t>
  </si>
  <si>
    <t xml:space="preserve">하나님이 만드신 세상 구석구석</t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</si>
  <si>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104:24</t>
    </r>
  </si>
  <si>
    <t xml:space="preserve">주의 지혜로 그들을 다 지으셨으니</t>
  </si>
  <si>
    <t xml:space="preserve">시인</t>
  </si>
  <si>
    <r>
      <rPr>
        <sz val="10"/>
        <color rgb="FF000000"/>
        <rFont val="WenQuanYi Zen Hei"/>
        <family val="2"/>
      </rPr>
      <t xml:space="preserve">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바다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들짐승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새</t>
    </r>
  </si>
  <si>
    <t xml:space="preserve">A0385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</si>
  <si>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106</t>
    </r>
    <r>
      <rPr>
        <sz val="10"/>
        <color rgb="FF000000"/>
        <rFont val="WenQuanYi Zen Hei"/>
        <family val="2"/>
      </rPr>
      <t xml:space="preserve">편</t>
    </r>
  </si>
  <si>
    <t xml:space="preserve">그래도 구원하신 하나님</t>
  </si>
  <si>
    <r>
      <rPr>
        <sz val="10"/>
        <color rgb="FF000000"/>
        <rFont val="WenQuanYi Zen Hei"/>
        <family val="2"/>
      </rPr>
      <t xml:space="preserve">반복된 배신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반복된 구원</t>
    </r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</si>
  <si>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106:8</t>
    </r>
  </si>
  <si>
    <t xml:space="preserve">자기의 이름을 위하여 그들을 구원하셨으니</t>
  </si>
  <si>
    <t xml:space="preserve">이스라엘 역사 회상</t>
  </si>
  <si>
    <t xml:space="preserve">A0386</t>
  </si>
  <si>
    <t xml:space="preserve">B044</t>
  </si>
  <si>
    <t xml:space="preserve">S2-L25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</si>
  <si>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110</t>
    </r>
    <r>
      <rPr>
        <sz val="10"/>
        <color rgb="FF000000"/>
        <rFont val="WenQuanYi Zen Hei"/>
        <family val="2"/>
      </rPr>
      <t xml:space="preserve">편</t>
    </r>
  </si>
  <si>
    <t xml:space="preserve">내 우편에 앉으라</t>
  </si>
  <si>
    <t xml:space="preserve">신약에서 가장 많이 인용된 시편</t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</si>
  <si>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110:1</t>
    </r>
  </si>
  <si>
    <t xml:space="preserve">그리스도는 하나님 우편에 계신 왕이요 제사장이십니다</t>
  </si>
  <si>
    <t xml:space="preserve">메시아</t>
  </si>
  <si>
    <r>
      <rPr>
        <sz val="10"/>
        <color rgb="FF000000"/>
        <rFont val="WenQuanYi Zen Hei"/>
        <family val="2"/>
      </rPr>
      <t xml:space="preserve">하늘 보좌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빛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</si>
  <si>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C00000"/>
        <rFont val="WenQuanYi Zen Hei"/>
        <family val="2"/>
      </rPr>
      <t xml:space="preserve">마 </t>
    </r>
    <r>
      <rPr>
        <sz val="10"/>
        <color rgb="FFC00000"/>
        <rFont val="Arial"/>
        <family val="0"/>
        <charset val="1"/>
      </rPr>
      <t xml:space="preserve">22:44, </t>
    </r>
    <r>
      <rPr>
        <sz val="10"/>
        <color rgb="FFC00000"/>
        <rFont val="WenQuanYi Zen Hei"/>
        <family val="2"/>
      </rPr>
      <t xml:space="preserve">히 </t>
    </r>
    <r>
      <rPr>
        <sz val="10"/>
        <color rgb="FFC00000"/>
        <rFont val="Arial"/>
        <family val="0"/>
        <charset val="1"/>
      </rPr>
      <t xml:space="preserve">7 </t>
    </r>
    <r>
      <rPr>
        <sz val="10"/>
        <color rgb="FFC00000"/>
        <rFont val="WenQuanYi Zen Hei"/>
        <family val="2"/>
      </rPr>
      <t xml:space="preserve">연결</t>
    </r>
  </si>
  <si>
    <t xml:space="preserve">A0387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</si>
  <si>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119</t>
    </r>
    <r>
      <rPr>
        <sz val="10"/>
        <color rgb="FF000000"/>
        <rFont val="WenQuanYi Zen Hei"/>
        <family val="2"/>
      </rPr>
      <t xml:space="preserve">편</t>
    </r>
  </si>
  <si>
    <t xml:space="preserve">내 발에 등이요</t>
  </si>
  <si>
    <r>
      <rPr>
        <sz val="10"/>
        <color rgb="FF000000"/>
        <rFont val="WenQuanYi Zen Hei"/>
        <family val="2"/>
      </rPr>
      <t xml:space="preserve">성경에서 가장 긴 장</t>
    </r>
    <r>
      <rPr>
        <sz val="10"/>
        <color rgb="FF000000"/>
        <rFont val="Arial"/>
        <family val="0"/>
        <charset val="1"/>
      </rPr>
      <t xml:space="preserve">, 176</t>
    </r>
    <r>
      <rPr>
        <sz val="10"/>
        <color rgb="FF000000"/>
        <rFont val="WenQuanYi Zen Hei"/>
        <family val="2"/>
      </rPr>
      <t xml:space="preserve">절</t>
    </r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</si>
  <si>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119:105</t>
    </r>
  </si>
  <si>
    <t xml:space="preserve">주의 말씀은 내 발에 등이요 내 길에 빛입니다</t>
  </si>
  <si>
    <r>
      <rPr>
        <sz val="10"/>
        <color rgb="FF000000"/>
        <rFont val="WenQuanYi Zen Hei"/>
        <family val="2"/>
      </rPr>
      <t xml:space="preserve">어두운 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등불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</si>
  <si>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13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시편 </t>
    </r>
    <r>
      <rPr>
        <sz val="10"/>
        <color rgb="FF1F3864"/>
        <rFont val="Arial"/>
        <family val="0"/>
        <charset val="1"/>
      </rPr>
      <t xml:space="preserve">62</t>
    </r>
    <r>
      <rPr>
        <sz val="10"/>
        <color rgb="FF1F3864"/>
        <rFont val="WenQuanYi Zen Hei"/>
        <family val="2"/>
      </rPr>
      <t xml:space="preserve">편 잠잠히 하나님만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시편 </t>
    </r>
    <r>
      <rPr>
        <sz val="10"/>
        <color rgb="FF1F3864"/>
        <rFont val="Arial"/>
        <family val="0"/>
        <charset val="1"/>
      </rPr>
      <t xml:space="preserve">63</t>
    </r>
    <r>
      <rPr>
        <sz val="10"/>
        <color rgb="FF1F3864"/>
        <rFont val="WenQuanYi Zen Hei"/>
        <family val="2"/>
      </rPr>
      <t xml:space="preserve">편 광야에서 부른 노래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시편 </t>
    </r>
    <r>
      <rPr>
        <sz val="10"/>
        <color rgb="FF1F3864"/>
        <rFont val="Arial"/>
        <family val="0"/>
        <charset val="1"/>
      </rPr>
      <t xml:space="preserve">73</t>
    </r>
    <r>
      <rPr>
        <sz val="10"/>
        <color rgb="FF1F3864"/>
        <rFont val="WenQuanYi Zen Hei"/>
        <family val="2"/>
      </rPr>
      <t xml:space="preserve">편 악인이 잘되는 것 같을 때 외 </t>
    </r>
    <r>
      <rPr>
        <sz val="10"/>
        <color rgb="FF1F3864"/>
        <rFont val="Arial"/>
        <family val="0"/>
        <charset val="1"/>
      </rPr>
      <t xml:space="preserve">10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</si>
  <si>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A0388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</si>
  <si>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121</t>
    </r>
    <r>
      <rPr>
        <sz val="10"/>
        <color rgb="FF000000"/>
        <rFont val="WenQuanYi Zen Hei"/>
        <family val="2"/>
      </rPr>
      <t xml:space="preserve">편</t>
    </r>
  </si>
  <si>
    <t xml:space="preserve">산을 향하여 눈을 들리라</t>
  </si>
  <si>
    <t xml:space="preserve">순례자가 산을 보며 던진 질문</t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</si>
  <si>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121:2</t>
    </r>
  </si>
  <si>
    <t xml:space="preserve">나의 도움은 천지를 지으신 여호와에게서로다</t>
  </si>
  <si>
    <t xml:space="preserve">순례자</t>
  </si>
  <si>
    <t xml:space="preserve">예루살렘 가는 산길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</si>
  <si>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#153 '</t>
    </r>
    <r>
      <rPr>
        <sz val="10"/>
        <color rgb="FF000000"/>
        <rFont val="WenQuanYi Zen Hei"/>
        <family val="2"/>
      </rPr>
      <t xml:space="preserve">내 발에 등이요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</si>
  <si>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A0389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</si>
  <si>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126</t>
    </r>
    <r>
      <rPr>
        <sz val="10"/>
        <color rgb="FF000000"/>
        <rFont val="WenQuanYi Zen Hei"/>
        <family val="2"/>
      </rPr>
      <t xml:space="preserve">편</t>
    </r>
  </si>
  <si>
    <t xml:space="preserve">눈물로 씨를 뿌리는 자</t>
  </si>
  <si>
    <r>
      <rPr>
        <sz val="10"/>
        <color rgb="FF000000"/>
        <rFont val="WenQuanYi Zen Hei"/>
        <family val="2"/>
      </rPr>
      <t xml:space="preserve">울면서 뿌린 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웃으며 거두다</t>
    </r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</si>
  <si>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126:5</t>
    </r>
  </si>
  <si>
    <t xml:space="preserve">눈물로 씨를 뿌리는 자는 기쁨으로 거둡니다</t>
  </si>
  <si>
    <t xml:space="preserve">귀환한 포로들</t>
  </si>
  <si>
    <r>
      <rPr>
        <sz val="10"/>
        <color rgb="FF000000"/>
        <rFont val="WenQuanYi Zen Hei"/>
        <family val="2"/>
      </rPr>
      <t xml:space="preserve">밭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추수</t>
    </r>
  </si>
  <si>
    <t xml:space="preserve">A0390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</si>
  <si>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133</t>
    </r>
    <r>
      <rPr>
        <sz val="10"/>
        <color rgb="FF000000"/>
        <rFont val="WenQuanYi Zen Hei"/>
        <family val="2"/>
      </rPr>
      <t xml:space="preserve">편</t>
    </r>
  </si>
  <si>
    <t xml:space="preserve">형제가 연합하여</t>
  </si>
  <si>
    <r>
      <rPr>
        <sz val="10"/>
        <color rgb="FF000000"/>
        <rFont val="WenQuanYi Zen Hei"/>
        <family val="2"/>
      </rPr>
      <t xml:space="preserve">함께 사는 것이 왜 아름다울까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</si>
  <si>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133:1</t>
    </r>
  </si>
  <si>
    <t xml:space="preserve">형제가 연합하여 동거함이 어찌 그리 선하고 아름다운고</t>
  </si>
  <si>
    <t xml:space="preserve">순례자들</t>
  </si>
  <si>
    <t xml:space="preserve">헤르몬 산 이슬</t>
  </si>
  <si>
    <t xml:space="preserve">A0391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</si>
  <si>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WenQuanYi Zen Hei"/>
        <family val="2"/>
      </rPr>
      <t xml:space="preserve">편</t>
    </r>
  </si>
  <si>
    <t xml:space="preserve">나를 아시는 하나님</t>
  </si>
  <si>
    <t xml:space="preserve">엄마 배 속에서부터 나를 아셨다</t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</si>
  <si>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139:13</t>
    </r>
  </si>
  <si>
    <t xml:space="preserve">하나님은 나를 지으시고 다 아십니다</t>
  </si>
  <si>
    <r>
      <rPr>
        <sz val="10"/>
        <color rgb="FF000000"/>
        <rFont val="WenQuanYi Zen Hei"/>
        <family val="2"/>
      </rPr>
      <t xml:space="preserve">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바다 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모태 연출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</si>
  <si>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3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시편 </t>
    </r>
    <r>
      <rPr>
        <sz val="10"/>
        <color rgb="FF1F3864"/>
        <rFont val="Arial"/>
        <family val="0"/>
        <charset val="1"/>
      </rPr>
      <t xml:space="preserve">121</t>
    </r>
    <r>
      <rPr>
        <sz val="10"/>
        <color rgb="FF1F3864"/>
        <rFont val="WenQuanYi Zen Hei"/>
        <family val="2"/>
      </rPr>
      <t xml:space="preserve">편 산을 향하여 눈을 들리라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시편 </t>
    </r>
    <r>
      <rPr>
        <sz val="10"/>
        <color rgb="FF1F3864"/>
        <rFont val="Arial"/>
        <family val="0"/>
        <charset val="1"/>
      </rPr>
      <t xml:space="preserve">126</t>
    </r>
    <r>
      <rPr>
        <sz val="10"/>
        <color rgb="FF1F3864"/>
        <rFont val="WenQuanYi Zen Hei"/>
        <family val="2"/>
      </rPr>
      <t xml:space="preserve">편 눈물로 씨를 뿌리는 자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시편 </t>
    </r>
    <r>
      <rPr>
        <sz val="10"/>
        <color rgb="FF1F3864"/>
        <rFont val="Arial"/>
        <family val="0"/>
        <charset val="1"/>
      </rPr>
      <t xml:space="preserve">133</t>
    </r>
    <r>
      <rPr>
        <sz val="10"/>
        <color rgb="FF1F3864"/>
        <rFont val="WenQuanYi Zen Hei"/>
        <family val="2"/>
      </rPr>
      <t xml:space="preserve">편 형제가 연합하여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</si>
  <si>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A0392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</si>
  <si>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145</t>
    </r>
    <r>
      <rPr>
        <sz val="10"/>
        <color rgb="FF000000"/>
        <rFont val="WenQuanYi Zen Hei"/>
        <family val="2"/>
      </rPr>
      <t xml:space="preserve">편</t>
    </r>
  </si>
  <si>
    <t xml:space="preserve">대대로 찬양하라</t>
  </si>
  <si>
    <t xml:space="preserve">하나님을 부르는 사람에게 가까이 계신다</t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</si>
  <si>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145:18</t>
    </r>
  </si>
  <si>
    <t xml:space="preserve">여호와께서는 자기에게 간구하는 모든 자에게 가까이 하십니다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</si>
  <si>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#154 '</t>
    </r>
    <r>
      <rPr>
        <sz val="10"/>
        <color rgb="FF000000"/>
        <rFont val="WenQuanYi Zen Hei"/>
        <family val="2"/>
      </rPr>
      <t xml:space="preserve">나를 아시는 하나님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</si>
  <si>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A0393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</si>
  <si>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150</t>
    </r>
    <r>
      <rPr>
        <sz val="10"/>
        <color rgb="FF000000"/>
        <rFont val="WenQuanYi Zen Hei"/>
        <family val="2"/>
      </rPr>
      <t xml:space="preserve">편</t>
    </r>
  </si>
  <si>
    <t xml:space="preserve">호흡이 있는 자마다</t>
  </si>
  <si>
    <t xml:space="preserve">성경의 마지막 할렐루야</t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</si>
  <si>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150:6</t>
    </r>
  </si>
  <si>
    <t xml:space="preserve">호흡이 있는 자마다 여호와를 찬양할지어다</t>
  </si>
  <si>
    <t xml:space="preserve">모든 피조물</t>
  </si>
  <si>
    <r>
      <rPr>
        <sz val="10"/>
        <color rgb="FF000000"/>
        <rFont val="WenQuanYi Zen Hei"/>
        <family val="2"/>
      </rPr>
      <t xml:space="preserve">악기들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온 세상</t>
    </r>
  </si>
  <si>
    <t xml:space="preserve">A0394</t>
  </si>
  <si>
    <t xml:space="preserve">B045</t>
  </si>
  <si>
    <t xml:space="preserve">잠언</t>
  </si>
  <si>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1:1-33</t>
    </r>
  </si>
  <si>
    <t xml:space="preserve">지혜의 첫 걸음</t>
  </si>
  <si>
    <r>
      <rPr>
        <sz val="10"/>
        <color rgb="FF000000"/>
        <rFont val="WenQuanYi Zen Hei"/>
        <family val="2"/>
      </rPr>
      <t xml:space="preserve">지혜는 어디서 시작될까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</si>
  <si>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1:7</t>
    </r>
  </si>
  <si>
    <t xml:space="preserve">여호와를 경외하는 것이 지식의 근본입니다</t>
  </si>
  <si>
    <t xml:space="preserve">아버지와 아들</t>
  </si>
  <si>
    <r>
      <rPr>
        <sz val="10"/>
        <color rgb="FF000000"/>
        <rFont val="WenQuanYi Zen Hei"/>
        <family val="2"/>
      </rPr>
      <t xml:space="preserve">성문 앞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외치는 지혜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</si>
  <si>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시편 </t>
    </r>
    <r>
      <rPr>
        <sz val="10"/>
        <color rgb="FF1F3864"/>
        <rFont val="Arial"/>
        <family val="0"/>
        <charset val="1"/>
      </rPr>
      <t xml:space="preserve">145</t>
    </r>
    <r>
      <rPr>
        <sz val="10"/>
        <color rgb="FF1F3864"/>
        <rFont val="WenQuanYi Zen Hei"/>
        <family val="2"/>
      </rPr>
      <t xml:space="preserve">편 대대로 찬양하라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시편 </t>
    </r>
    <r>
      <rPr>
        <sz val="10"/>
        <color rgb="FF1F3864"/>
        <rFont val="Arial"/>
        <family val="0"/>
        <charset val="1"/>
      </rPr>
      <t xml:space="preserve">150</t>
    </r>
    <r>
      <rPr>
        <sz val="10"/>
        <color rgb="FF1F3864"/>
        <rFont val="WenQuanYi Zen Hei"/>
        <family val="2"/>
      </rPr>
      <t xml:space="preserve">편 호흡이 있는 자마다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</si>
  <si>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A0395</t>
  </si>
  <si>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2:1-4:27</t>
    </r>
  </si>
  <si>
    <t xml:space="preserve">네 길을 인도하시리라</t>
  </si>
  <si>
    <t xml:space="preserve">내 생각보다 하나님을 신뢰하라</t>
  </si>
  <si>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3:5</t>
    </r>
  </si>
  <si>
    <t xml:space="preserve">너는 마음을 다하여 여호와를 신뢰하라</t>
  </si>
  <si>
    <t xml:space="preserve">갈림길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</si>
  <si>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#155 '</t>
    </r>
    <r>
      <rPr>
        <sz val="10"/>
        <color rgb="FF000000"/>
        <rFont val="WenQuanYi Zen Hei"/>
        <family val="2"/>
      </rPr>
      <t xml:space="preserve">지혜의 첫 걸음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</si>
  <si>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A0396</t>
  </si>
  <si>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5:1-7:27</t>
    </r>
  </si>
  <si>
    <t xml:space="preserve">개미에게 배우라</t>
  </si>
  <si>
    <t xml:space="preserve">게으른 자여 개미에게 가서 보라</t>
  </si>
  <si>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6:6</t>
    </r>
  </si>
  <si>
    <t xml:space="preserve">부지런함과 순결함이 지혜입니다</t>
  </si>
  <si>
    <r>
      <rPr>
        <sz val="10"/>
        <color rgb="FF000000"/>
        <rFont val="WenQuanYi Zen Hei"/>
        <family val="2"/>
      </rPr>
      <t xml:space="preserve">아버지와 아들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개미</t>
    </r>
  </si>
  <si>
    <t xml:space="preserve">개미 행렬</t>
  </si>
  <si>
    <r>
      <rPr>
        <sz val="10"/>
        <color rgb="FFC00000"/>
        <rFont val="WenQuanYi Zen Hei"/>
        <family val="2"/>
      </rPr>
      <t xml:space="preserve">유혹 관련 장은 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마음을 지키라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로 순화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성적 연출 금지</t>
    </r>
  </si>
  <si>
    <t xml:space="preserve">A0397</t>
  </si>
  <si>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8:1-9:18</t>
    </r>
  </si>
  <si>
    <t xml:space="preserve">지혜가 부른다</t>
  </si>
  <si>
    <t xml:space="preserve">지혜가 사람처럼 길거리에서 외친다</t>
  </si>
  <si>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8:17</t>
    </r>
  </si>
  <si>
    <t xml:space="preserve">지혜를 간절히 찾는 자가 만납니다</t>
  </si>
  <si>
    <r>
      <rPr>
        <sz val="10"/>
        <color rgb="FF000000"/>
        <rFont val="WenQuanYi Zen Hei"/>
        <family val="2"/>
      </rPr>
      <t xml:space="preserve">지혜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의인화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</si>
  <si>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성문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잔칫상</t>
    </r>
  </si>
  <si>
    <r>
      <rPr>
        <sz val="10"/>
        <color rgb="FFC00000"/>
        <rFont val="WenQuanYi Zen Hei"/>
        <family val="2"/>
      </rPr>
      <t xml:space="preserve">지혜를 피조된 그리스도로 해석 금지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여호와의증인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아리우스 오류</t>
    </r>
    <r>
      <rPr>
        <sz val="10"/>
        <color rgb="FFC00000"/>
        <rFont val="Arial"/>
        <family val="0"/>
        <charset val="1"/>
      </rPr>
      <t xml:space="preserve">)</t>
    </r>
  </si>
  <si>
    <t xml:space="preserve">A0398</t>
  </si>
  <si>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10:1-15:33</t>
    </r>
  </si>
  <si>
    <t xml:space="preserve">말 한마디의 힘</t>
  </si>
  <si>
    <t xml:space="preserve">부드러운 대답이 분노를 쉬게 한다</t>
  </si>
  <si>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15:1</t>
    </r>
  </si>
  <si>
    <t xml:space="preserve">지혜로운 말은 생명을 살립니다</t>
  </si>
  <si>
    <t xml:space="preserve">여러 인물 비유</t>
  </si>
  <si>
    <t xml:space="preserve">일상 장면들</t>
  </si>
  <si>
    <t xml:space="preserve">A0399</t>
  </si>
  <si>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16:1-22:16</t>
    </r>
  </si>
  <si>
    <t xml:space="preserve">사람이 계획해도</t>
  </si>
  <si>
    <r>
      <rPr>
        <sz val="10"/>
        <color rgb="FF000000"/>
        <rFont val="WenQuanYi Zen Hei"/>
        <family val="2"/>
      </rPr>
      <t xml:space="preserve">계획은 내가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걸음은 하나님이</t>
    </r>
  </si>
  <si>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16:9</t>
    </r>
  </si>
  <si>
    <t xml:space="preserve">사람의 걸음을 인도하는 분은 여호와이십니다</t>
  </si>
  <si>
    <t xml:space="preserve">지도와 길</t>
  </si>
  <si>
    <t xml:space="preserve">A0400</t>
  </si>
  <si>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22:17-24:34</t>
    </r>
  </si>
  <si>
    <t xml:space="preserve">일곱 번 넘어져도</t>
  </si>
  <si>
    <r>
      <rPr>
        <sz val="10"/>
        <color rgb="FF000000"/>
        <rFont val="WenQuanYi Zen Hei"/>
        <family val="2"/>
      </rPr>
      <t xml:space="preserve">의인도 넘어질 수 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</si>
  <si>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24:16</t>
    </r>
  </si>
  <si>
    <t xml:space="preserve">의인은 넘어져도 하나님 안에서 다시 일어납니다</t>
  </si>
  <si>
    <r>
      <rPr>
        <sz val="10"/>
        <color rgb="FF000000"/>
        <rFont val="WenQuanYi Zen Hei"/>
        <family val="2"/>
      </rPr>
      <t xml:space="preserve">지혜자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청년</t>
    </r>
  </si>
  <si>
    <t xml:space="preserve">넘어졌다 일어서는 사람</t>
  </si>
  <si>
    <t xml:space="preserve">A0401</t>
  </si>
  <si>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25:1-29:27</t>
    </r>
  </si>
  <si>
    <t xml:space="preserve">원수에게 빵을</t>
  </si>
  <si>
    <r>
      <rPr>
        <sz val="10"/>
        <color rgb="FF000000"/>
        <rFont val="WenQuanYi Zen Hei"/>
        <family val="2"/>
      </rPr>
      <t xml:space="preserve">원수가 배고프면 먹이라고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</si>
  <si>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25:21</t>
    </r>
  </si>
  <si>
    <t xml:space="preserve">선으로 악을 이깁니다</t>
  </si>
  <si>
    <t xml:space="preserve">일상</t>
  </si>
  <si>
    <r>
      <rPr>
        <sz val="10"/>
        <color rgb="FFC00000"/>
        <rFont val="WenQuanYi Zen Hei"/>
        <family val="2"/>
      </rPr>
      <t xml:space="preserve">롬 </t>
    </r>
    <r>
      <rPr>
        <sz val="10"/>
        <color rgb="FFC00000"/>
        <rFont val="Arial"/>
        <family val="0"/>
        <charset val="1"/>
      </rPr>
      <t xml:space="preserve">12:20 </t>
    </r>
    <r>
      <rPr>
        <sz val="10"/>
        <color rgb="FFC00000"/>
        <rFont val="WenQuanYi Zen Hei"/>
        <family val="2"/>
      </rPr>
      <t xml:space="preserve">연결</t>
    </r>
  </si>
  <si>
    <t xml:space="preserve">A0402</t>
  </si>
  <si>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30:1-31:31</t>
    </r>
  </si>
  <si>
    <t xml:space="preserve">여호와를 경외하는 여자</t>
  </si>
  <si>
    <t xml:space="preserve">아름다움은 헛되고 고운 것은 거짓되나</t>
  </si>
  <si>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31:30</t>
    </r>
  </si>
  <si>
    <t xml:space="preserve">하나님을 경외하는 사람이 칭찬을 받습니다</t>
  </si>
  <si>
    <r>
      <rPr>
        <sz val="10"/>
        <color rgb="FF000000"/>
        <rFont val="WenQuanYi Zen Hei"/>
        <family val="2"/>
      </rPr>
      <t xml:space="preserve">아굴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르무엘 왕의 어머니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현숙한 여인</t>
    </r>
  </si>
  <si>
    <t xml:space="preserve">가정과 시장</t>
  </si>
  <si>
    <t xml:space="preserve">A0403</t>
  </si>
  <si>
    <t xml:space="preserve">B046</t>
  </si>
  <si>
    <t xml:space="preserve">S2-L26</t>
  </si>
  <si>
    <t xml:space="preserve">전도서</t>
  </si>
  <si>
    <r>
      <rPr>
        <sz val="10"/>
        <color rgb="FF000000"/>
        <rFont val="WenQuanYi Zen Hei"/>
        <family val="2"/>
      </rPr>
      <t xml:space="preserve">전 </t>
    </r>
    <r>
      <rPr>
        <sz val="10"/>
        <color rgb="FF000000"/>
        <rFont val="Arial"/>
        <family val="0"/>
        <charset val="1"/>
      </rPr>
      <t xml:space="preserve">1:1-2:26</t>
    </r>
  </si>
  <si>
    <t xml:space="preserve">헛되고 헛되다</t>
  </si>
  <si>
    <t xml:space="preserve">모든 것을 다 가져 본 왕의 결론</t>
  </si>
  <si>
    <r>
      <rPr>
        <sz val="10"/>
        <color rgb="FF000000"/>
        <rFont val="WenQuanYi Zen Hei"/>
        <family val="2"/>
      </rPr>
      <t xml:space="preserve">전 </t>
    </r>
    <r>
      <rPr>
        <sz val="10"/>
        <color rgb="FF000000"/>
        <rFont val="Arial"/>
        <family val="0"/>
        <charset val="1"/>
      </rPr>
      <t xml:space="preserve">1:2</t>
    </r>
  </si>
  <si>
    <t xml:space="preserve">해 아래 모든 것은 헛됩니다</t>
  </si>
  <si>
    <r>
      <rPr>
        <sz val="10"/>
        <color rgb="FF000000"/>
        <rFont val="WenQuanYi Zen Hei"/>
        <family val="2"/>
      </rPr>
      <t xml:space="preserve">전도자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솔로몬</t>
    </r>
    <r>
      <rPr>
        <sz val="10"/>
        <color rgb="FF000000"/>
        <rFont val="Arial"/>
        <family val="0"/>
        <charset val="1"/>
      </rPr>
      <t xml:space="preserve">)</t>
    </r>
  </si>
  <si>
    <t xml:space="preserve">화려한 궁전과 텅 빈 마음</t>
  </si>
  <si>
    <t xml:space="preserve">A0404</t>
  </si>
  <si>
    <t xml:space="preserve">S1-L18</t>
  </si>
  <si>
    <r>
      <rPr>
        <sz val="10"/>
        <color rgb="FF000000"/>
        <rFont val="WenQuanYi Zen Hei"/>
        <family val="2"/>
      </rPr>
      <t xml:space="preserve">전 </t>
    </r>
    <r>
      <rPr>
        <sz val="10"/>
        <color rgb="FF000000"/>
        <rFont val="Arial"/>
        <family val="0"/>
        <charset val="1"/>
      </rPr>
      <t xml:space="preserve">3:1-22</t>
    </r>
  </si>
  <si>
    <t xml:space="preserve">모든 것에 때가 있다</t>
  </si>
  <si>
    <t xml:space="preserve">울 때가 있고 웃을 때가 있으며</t>
  </si>
  <si>
    <r>
      <rPr>
        <sz val="10"/>
        <color rgb="FF000000"/>
        <rFont val="WenQuanYi Zen Hei"/>
        <family val="2"/>
      </rPr>
      <t xml:space="preserve">전 </t>
    </r>
    <r>
      <rPr>
        <sz val="10"/>
        <color rgb="FF000000"/>
        <rFont val="Arial"/>
        <family val="0"/>
        <charset val="1"/>
      </rPr>
      <t xml:space="preserve">3:11</t>
    </r>
  </si>
  <si>
    <t xml:space="preserve">하나님이 모든 것을 때에 따라 아름답게 하셨습니다</t>
  </si>
  <si>
    <t xml:space="preserve">전도자</t>
  </si>
  <si>
    <t xml:space="preserve">사계절 풍경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</si>
  <si>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9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잠 </t>
    </r>
    <r>
      <rPr>
        <sz val="10"/>
        <color rgb="FF1F3864"/>
        <rFont val="Arial"/>
        <family val="0"/>
        <charset val="1"/>
      </rPr>
      <t xml:space="preserve">2:1-4:27 </t>
    </r>
    <r>
      <rPr>
        <sz val="10"/>
        <color rgb="FF1F3864"/>
        <rFont val="WenQuanYi Zen Hei"/>
        <family val="2"/>
      </rPr>
      <t xml:space="preserve">네 길을 인도하시리라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잠 </t>
    </r>
    <r>
      <rPr>
        <sz val="10"/>
        <color rgb="FF1F3864"/>
        <rFont val="Arial"/>
        <family val="0"/>
        <charset val="1"/>
      </rPr>
      <t xml:space="preserve">5:1-7:27 </t>
    </r>
    <r>
      <rPr>
        <sz val="10"/>
        <color rgb="FF1F3864"/>
        <rFont val="WenQuanYi Zen Hei"/>
        <family val="2"/>
      </rPr>
      <t xml:space="preserve">개미에게 배우라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잠 </t>
    </r>
    <r>
      <rPr>
        <sz val="10"/>
        <color rgb="FF1F3864"/>
        <rFont val="Arial"/>
        <family val="0"/>
        <charset val="1"/>
      </rPr>
      <t xml:space="preserve">8:1-9:18 </t>
    </r>
    <r>
      <rPr>
        <sz val="10"/>
        <color rgb="FF1F3864"/>
        <rFont val="WenQuanYi Zen Hei"/>
        <family val="2"/>
      </rPr>
      <t xml:space="preserve">지혜가 부른다 외 </t>
    </r>
    <r>
      <rPr>
        <sz val="10"/>
        <color rgb="FF1F3864"/>
        <rFont val="Arial"/>
        <family val="0"/>
        <charset val="1"/>
      </rPr>
      <t xml:space="preserve">6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</si>
  <si>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A0405</t>
  </si>
  <si>
    <r>
      <rPr>
        <sz val="10"/>
        <color rgb="FF000000"/>
        <rFont val="WenQuanYi Zen Hei"/>
        <family val="2"/>
      </rPr>
      <t xml:space="preserve">전 </t>
    </r>
    <r>
      <rPr>
        <sz val="10"/>
        <color rgb="FF000000"/>
        <rFont val="Arial"/>
        <family val="0"/>
        <charset val="1"/>
      </rPr>
      <t xml:space="preserve">4:1-6:12</t>
    </r>
  </si>
  <si>
    <t xml:space="preserve">세 겹 줄</t>
  </si>
  <si>
    <t xml:space="preserve">혼자보다 둘이 낫다</t>
  </si>
  <si>
    <r>
      <rPr>
        <sz val="10"/>
        <color rgb="FF000000"/>
        <rFont val="WenQuanYi Zen Hei"/>
        <family val="2"/>
      </rPr>
      <t xml:space="preserve">전 </t>
    </r>
    <r>
      <rPr>
        <sz val="10"/>
        <color rgb="FF000000"/>
        <rFont val="Arial"/>
        <family val="0"/>
        <charset val="1"/>
      </rPr>
      <t xml:space="preserve">4:12</t>
    </r>
  </si>
  <si>
    <t xml:space="preserve">함께하는 것이 힘이 됩니다</t>
  </si>
  <si>
    <t xml:space="preserve">함께 걷는 사람들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</si>
  <si>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#156 '</t>
    </r>
    <r>
      <rPr>
        <sz val="10"/>
        <color rgb="FF000000"/>
        <rFont val="WenQuanYi Zen Hei"/>
        <family val="2"/>
      </rPr>
      <t xml:space="preserve">모든 것에 때가 있다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</si>
  <si>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A0406</t>
  </si>
  <si>
    <r>
      <rPr>
        <sz val="10"/>
        <color rgb="FF000000"/>
        <rFont val="WenQuanYi Zen Hei"/>
        <family val="2"/>
      </rPr>
      <t xml:space="preserve">전 </t>
    </r>
    <r>
      <rPr>
        <sz val="10"/>
        <color rgb="FF000000"/>
        <rFont val="Arial"/>
        <family val="0"/>
        <charset val="1"/>
      </rPr>
      <t xml:space="preserve">7:1-11:6</t>
    </r>
  </si>
  <si>
    <t xml:space="preserve">형통한 날과 곤고한 날</t>
  </si>
  <si>
    <t xml:space="preserve">좋은 날만 있으면 좋을 텐데</t>
  </si>
  <si>
    <r>
      <rPr>
        <sz val="10"/>
        <color rgb="FF000000"/>
        <rFont val="WenQuanYi Zen Hei"/>
        <family val="2"/>
      </rPr>
      <t xml:space="preserve">전 </t>
    </r>
    <r>
      <rPr>
        <sz val="10"/>
        <color rgb="FF000000"/>
        <rFont val="Arial"/>
        <family val="0"/>
        <charset val="1"/>
      </rPr>
      <t xml:space="preserve">7:14</t>
    </r>
  </si>
  <si>
    <t xml:space="preserve">두 날을 다 하나님이 주셨습니다</t>
  </si>
  <si>
    <t xml:space="preserve">맑은 날과 흐린 날</t>
  </si>
  <si>
    <t xml:space="preserve">A0407</t>
  </si>
  <si>
    <r>
      <rPr>
        <sz val="10"/>
        <color rgb="FF000000"/>
        <rFont val="WenQuanYi Zen Hei"/>
        <family val="2"/>
      </rPr>
      <t xml:space="preserve">전 </t>
    </r>
    <r>
      <rPr>
        <sz val="10"/>
        <color rgb="FF000000"/>
        <rFont val="Arial"/>
        <family val="0"/>
        <charset val="1"/>
      </rPr>
      <t xml:space="preserve">11:7-12:14</t>
    </r>
  </si>
  <si>
    <t xml:space="preserve">청년의 때에</t>
  </si>
  <si>
    <t xml:space="preserve">모든 것을 다 들어 본 마지막 결론</t>
  </si>
  <si>
    <r>
      <rPr>
        <sz val="10"/>
        <color rgb="FF000000"/>
        <rFont val="WenQuanYi Zen Hei"/>
        <family val="2"/>
      </rPr>
      <t xml:space="preserve">전 </t>
    </r>
    <r>
      <rPr>
        <sz val="10"/>
        <color rgb="FF000000"/>
        <rFont val="Arial"/>
        <family val="0"/>
        <charset val="1"/>
      </rPr>
      <t xml:space="preserve">12:1</t>
    </r>
  </si>
  <si>
    <t xml:space="preserve">너는 청년의 때에 너의 창조주를 기억하라</t>
  </si>
  <si>
    <r>
      <rPr>
        <sz val="10"/>
        <color rgb="FF000000"/>
        <rFont val="WenQuanYi Zen Hei"/>
        <family val="2"/>
      </rPr>
      <t xml:space="preserve">전도자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청년</t>
    </r>
  </si>
  <si>
    <t xml:space="preserve">해 지는 들판</t>
  </si>
  <si>
    <t xml:space="preserve">A0408</t>
  </si>
  <si>
    <t xml:space="preserve">아가</t>
  </si>
  <si>
    <r>
      <rPr>
        <sz val="10"/>
        <color rgb="FF000000"/>
        <rFont val="WenQuanYi Zen Hei"/>
        <family val="2"/>
      </rPr>
      <t xml:space="preserve">아 </t>
    </r>
    <r>
      <rPr>
        <sz val="10"/>
        <color rgb="FF000000"/>
        <rFont val="Arial"/>
        <family val="0"/>
        <charset val="1"/>
      </rPr>
      <t xml:space="preserve">1:1-3:5</t>
    </r>
  </si>
  <si>
    <t xml:space="preserve">사랑의 깃발</t>
  </si>
  <si>
    <t xml:space="preserve">사랑이 시작되는 이야기</t>
  </si>
  <si>
    <r>
      <rPr>
        <sz val="10"/>
        <color rgb="FF000000"/>
        <rFont val="WenQuanYi Zen Hei"/>
        <family val="2"/>
      </rPr>
      <t xml:space="preserve">아 </t>
    </r>
    <r>
      <rPr>
        <sz val="10"/>
        <color rgb="FF000000"/>
        <rFont val="Arial"/>
        <family val="0"/>
        <charset val="1"/>
      </rPr>
      <t xml:space="preserve">2:4</t>
    </r>
  </si>
  <si>
    <t xml:space="preserve">그의 깃발은 사랑이로구나</t>
  </si>
  <si>
    <r>
      <rPr>
        <sz val="10"/>
        <color rgb="FF000000"/>
        <rFont val="WenQuanYi Zen Hei"/>
        <family val="2"/>
      </rPr>
      <t xml:space="preserve">신랑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신부</t>
    </r>
  </si>
  <si>
    <r>
      <rPr>
        <sz val="10"/>
        <color rgb="FF000000"/>
        <rFont val="WenQuanYi Zen Hei"/>
        <family val="2"/>
      </rPr>
      <t xml:space="preserve">포도원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들판</t>
    </r>
  </si>
  <si>
    <r>
      <rPr>
        <sz val="10"/>
        <color rgb="FFC00000"/>
        <rFont val="WenQuanYi Zen Hei"/>
        <family val="2"/>
      </rPr>
      <t xml:space="preserve">성적 묘사 일절 금지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혼인의 순결한 사랑으로만</t>
    </r>
  </si>
  <si>
    <t xml:space="preserve">A0409</t>
  </si>
  <si>
    <r>
      <rPr>
        <sz val="10"/>
        <color rgb="FF000000"/>
        <rFont val="WenQuanYi Zen Hei"/>
        <family val="2"/>
      </rPr>
      <t xml:space="preserve">아 </t>
    </r>
    <r>
      <rPr>
        <sz val="10"/>
        <color rgb="FF000000"/>
        <rFont val="Arial"/>
        <family val="0"/>
        <charset val="1"/>
      </rPr>
      <t xml:space="preserve">3:6-5:1</t>
    </r>
  </si>
  <si>
    <t xml:space="preserve">혼인날</t>
  </si>
  <si>
    <t xml:space="preserve">왕의 혼인 행렬</t>
  </si>
  <si>
    <r>
      <rPr>
        <sz val="10"/>
        <color rgb="FF000000"/>
        <rFont val="WenQuanYi Zen Hei"/>
        <family val="2"/>
      </rPr>
      <t xml:space="preserve">아 </t>
    </r>
    <r>
      <rPr>
        <sz val="10"/>
        <color rgb="FF000000"/>
        <rFont val="Arial"/>
        <family val="0"/>
        <charset val="1"/>
      </rPr>
      <t xml:space="preserve">3:11</t>
    </r>
  </si>
  <si>
    <t xml:space="preserve">하나님이 주신 혼인은 아름답습니다</t>
  </si>
  <si>
    <t xml:space="preserve">혼인 행렬</t>
  </si>
  <si>
    <t xml:space="preserve">성적 묘사 일절 금지</t>
  </si>
  <si>
    <t xml:space="preserve">A0410</t>
  </si>
  <si>
    <r>
      <rPr>
        <sz val="10"/>
        <color rgb="FF000000"/>
        <rFont val="WenQuanYi Zen Hei"/>
        <family val="2"/>
      </rPr>
      <t xml:space="preserve">아 </t>
    </r>
    <r>
      <rPr>
        <sz val="10"/>
        <color rgb="FF000000"/>
        <rFont val="Arial"/>
        <family val="0"/>
        <charset val="1"/>
      </rPr>
      <t xml:space="preserve">5:2-8:14</t>
    </r>
  </si>
  <si>
    <t xml:space="preserve">사랑은 죽음같이 강하다</t>
  </si>
  <si>
    <t xml:space="preserve">많은 물도 끄지 못하는 사랑</t>
  </si>
  <si>
    <r>
      <rPr>
        <sz val="10"/>
        <color rgb="FF000000"/>
        <rFont val="WenQuanYi Zen Hei"/>
        <family val="2"/>
      </rPr>
      <t xml:space="preserve">아 </t>
    </r>
    <r>
      <rPr>
        <sz val="10"/>
        <color rgb="FF000000"/>
        <rFont val="Arial"/>
        <family val="0"/>
        <charset val="1"/>
      </rPr>
      <t xml:space="preserve">8:7</t>
    </r>
  </si>
  <si>
    <t xml:space="preserve">참사랑은 무엇으로도 끌 수 없습니다</t>
  </si>
  <si>
    <t xml:space="preserve">포도원</t>
  </si>
  <si>
    <r>
      <rPr>
        <sz val="10"/>
        <color rgb="FFC00000"/>
        <rFont val="WenQuanYi Zen Hei"/>
        <family val="2"/>
      </rPr>
      <t xml:space="preserve">그리스도와 교회의 사랑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엡 </t>
    </r>
    <r>
      <rPr>
        <sz val="10"/>
        <color rgb="FFC00000"/>
        <rFont val="Arial"/>
        <family val="0"/>
        <charset val="1"/>
      </rPr>
      <t xml:space="preserve">5:32)</t>
    </r>
    <r>
      <rPr>
        <sz val="10"/>
        <color rgb="FFC00000"/>
        <rFont val="WenQuanYi Zen Hei"/>
        <family val="2"/>
      </rPr>
      <t xml:space="preserve">으로 적용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특정 교주 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신랑</t>
    </r>
    <r>
      <rPr>
        <sz val="10"/>
        <color rgb="FFC00000"/>
        <rFont val="Arial"/>
        <family val="0"/>
        <charset val="1"/>
      </rPr>
      <t xml:space="preserve">' </t>
    </r>
    <r>
      <rPr>
        <sz val="10"/>
        <color rgb="FFC00000"/>
        <rFont val="WenQuanYi Zen Hei"/>
        <family val="2"/>
      </rPr>
      <t xml:space="preserve">자칭 이단 경계</t>
    </r>
  </si>
  <si>
    <t xml:space="preserve">A0411</t>
  </si>
  <si>
    <t xml:space="preserve">B047</t>
  </si>
  <si>
    <t xml:space="preserve">S2-L27</t>
  </si>
  <si>
    <t xml:space="preserve">이사야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</si>
  <si>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1:1-31</t>
    </r>
  </si>
  <si>
    <t xml:space="preserve">주홍 같은 죄도</t>
  </si>
  <si>
    <r>
      <rPr>
        <sz val="10"/>
        <color rgb="FF000000"/>
        <rFont val="WenQuanYi Zen Hei"/>
        <family val="2"/>
      </rPr>
      <t xml:space="preserve">주홍빛 죄가 눈처럼 희어진다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</si>
  <si>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1:18</t>
    </r>
  </si>
  <si>
    <t xml:space="preserve">하나님은 죄인을 변론으로 부르십니다</t>
  </si>
  <si>
    <r>
      <rPr>
        <sz val="10"/>
        <color rgb="FF000000"/>
        <rFont val="WenQuanYi Zen Hei"/>
        <family val="2"/>
      </rPr>
      <t xml:space="preserve">이사야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유다 백성</t>
    </r>
  </si>
  <si>
    <r>
      <rPr>
        <sz val="10"/>
        <color rgb="FF000000"/>
        <rFont val="WenQuanYi Zen Hei"/>
        <family val="2"/>
      </rPr>
      <t xml:space="preserve">예루살렘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붉은 천과 흰 눈</t>
    </r>
  </si>
  <si>
    <t xml:space="preserve">A0412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</si>
  <si>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2:1-5:30</t>
    </r>
  </si>
  <si>
    <t xml:space="preserve">칼을 쳐서 보습으로</t>
  </si>
  <si>
    <t xml:space="preserve">전쟁 무기가 농기구가 되는 날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</si>
  <si>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2:4</t>
    </r>
  </si>
  <si>
    <t xml:space="preserve">하나님 나라는 평화의 나라입니다</t>
  </si>
  <si>
    <r>
      <rPr>
        <sz val="10"/>
        <color rgb="FF000000"/>
        <rFont val="WenQuanYi Zen Hei"/>
        <family val="2"/>
      </rPr>
      <t xml:space="preserve">이사야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</si>
  <si>
    <r>
      <rPr>
        <sz val="10"/>
        <color rgb="FF000000"/>
        <rFont val="WenQuanYi Zen Hei"/>
        <family val="2"/>
      </rPr>
      <t xml:space="preserve">시온 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포도원</t>
    </r>
  </si>
  <si>
    <t xml:space="preserve">A0413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</si>
  <si>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6:1-13</t>
    </r>
  </si>
  <si>
    <t xml:space="preserve">내가 여기 있나이다</t>
  </si>
  <si>
    <t xml:space="preserve">하늘 보좌를 본 사람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</si>
  <si>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6:8</t>
    </r>
  </si>
  <si>
    <t xml:space="preserve">부르심에 응답하는 사람</t>
  </si>
  <si>
    <r>
      <rPr>
        <sz val="10"/>
        <color rgb="FF000000"/>
        <rFont val="WenQuanYi Zen Hei"/>
        <family val="2"/>
      </rPr>
      <t xml:space="preserve">이사야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스랍들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하나님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보좌의 빛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</si>
  <si>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성전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연기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숯불</t>
    </r>
  </si>
  <si>
    <r>
      <rPr>
        <sz val="10"/>
        <color rgb="FFC00000"/>
        <rFont val="WenQuanYi Zen Hei"/>
        <family val="2"/>
      </rPr>
      <t xml:space="preserve">하나님 형상 묘사 금지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빛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옷자락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연기로만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</si>
  <si>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8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전 </t>
    </r>
    <r>
      <rPr>
        <sz val="10"/>
        <color rgb="FF1F3864"/>
        <rFont val="Arial"/>
        <family val="0"/>
        <charset val="1"/>
      </rPr>
      <t xml:space="preserve">4:1-6:12 </t>
    </r>
    <r>
      <rPr>
        <sz val="10"/>
        <color rgb="FF1F3864"/>
        <rFont val="WenQuanYi Zen Hei"/>
        <family val="2"/>
      </rPr>
      <t xml:space="preserve">세 겹 줄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전 </t>
    </r>
    <r>
      <rPr>
        <sz val="10"/>
        <color rgb="FF1F3864"/>
        <rFont val="Arial"/>
        <family val="0"/>
        <charset val="1"/>
      </rPr>
      <t xml:space="preserve">7:1-11:6 </t>
    </r>
    <r>
      <rPr>
        <sz val="10"/>
        <color rgb="FF1F3864"/>
        <rFont val="WenQuanYi Zen Hei"/>
        <family val="2"/>
      </rPr>
      <t xml:space="preserve">형통한 날과 곤고한 날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전 </t>
    </r>
    <r>
      <rPr>
        <sz val="10"/>
        <color rgb="FF1F3864"/>
        <rFont val="Arial"/>
        <family val="0"/>
        <charset val="1"/>
      </rPr>
      <t xml:space="preserve">11:7-12:14 </t>
    </r>
    <r>
      <rPr>
        <sz val="10"/>
        <color rgb="FF1F3864"/>
        <rFont val="WenQuanYi Zen Hei"/>
        <family val="2"/>
      </rPr>
      <t xml:space="preserve">청년의 때에 외 </t>
    </r>
    <r>
      <rPr>
        <sz val="10"/>
        <color rgb="FF1F3864"/>
        <rFont val="Arial"/>
        <family val="0"/>
        <charset val="1"/>
      </rPr>
      <t xml:space="preserve">5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</si>
  <si>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A0414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</si>
  <si>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7:1-25</t>
    </r>
  </si>
  <si>
    <t xml:space="preserve">임마누엘의 징조</t>
  </si>
  <si>
    <t xml:space="preserve">처녀가 아들을 낳을 것이라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</si>
  <si>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7:14</t>
    </r>
  </si>
  <si>
    <t xml:space="preserve">하나님이 우리와 함께 계십니다</t>
  </si>
  <si>
    <r>
      <rPr>
        <sz val="10"/>
        <color rgb="FF000000"/>
        <rFont val="WenQuanYi Zen Hei"/>
        <family val="2"/>
      </rPr>
      <t xml:space="preserve">이사야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아하스 왕</t>
    </r>
  </si>
  <si>
    <t xml:space="preserve">예루살렘 윗못 수도 끝</t>
  </si>
  <si>
    <r>
      <rPr>
        <sz val="10"/>
        <color rgb="FFC00000"/>
        <rFont val="WenQuanYi Zen Hei"/>
        <family val="2"/>
      </rPr>
      <t xml:space="preserve">마 </t>
    </r>
    <r>
      <rPr>
        <sz val="10"/>
        <color rgb="FFC00000"/>
        <rFont val="Arial"/>
        <family val="0"/>
        <charset val="1"/>
      </rPr>
      <t xml:space="preserve">1:23 </t>
    </r>
    <r>
      <rPr>
        <sz val="10"/>
        <color rgb="FFC00000"/>
        <rFont val="WenQuanYi Zen Hei"/>
        <family val="2"/>
      </rPr>
      <t xml:space="preserve">동정녀 탄생 정통 고백</t>
    </r>
  </si>
  <si>
    <t xml:space="preserve">A0415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</si>
  <si>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8:1-9:7</t>
    </r>
  </si>
  <si>
    <t xml:space="preserve">한 아기가 우리에게</t>
  </si>
  <si>
    <r>
      <rPr>
        <sz val="10"/>
        <color rgb="FF000000"/>
        <rFont val="WenQuanYi Zen Hei"/>
        <family val="2"/>
      </rPr>
      <t xml:space="preserve">기묘자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모사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전능하신 하나님</t>
    </r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</si>
  <si>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9:6</t>
    </r>
  </si>
  <si>
    <t xml:space="preserve">평강의 왕이 오십니다</t>
  </si>
  <si>
    <t xml:space="preserve">어둠 속 큰 빛</t>
  </si>
  <si>
    <t xml:space="preserve">그리스도 탄생 예언</t>
  </si>
  <si>
    <t xml:space="preserve">A0416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</si>
  <si>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9:8-10:34</t>
    </r>
  </si>
  <si>
    <t xml:space="preserve">하나님의 몽둥이</t>
  </si>
  <si>
    <t xml:space="preserve">앗수르조차 하나님의 손에 있다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</si>
  <si>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10:5</t>
    </r>
  </si>
  <si>
    <t xml:space="preserve">하나님은 열방을 다스리십니다</t>
  </si>
  <si>
    <r>
      <rPr>
        <sz val="10"/>
        <color rgb="FF000000"/>
        <rFont val="WenQuanYi Zen Hei"/>
        <family val="2"/>
      </rPr>
      <t xml:space="preserve">이사야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앗수르</t>
    </r>
  </si>
  <si>
    <t xml:space="preserve">앗수르 군대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</si>
  <si>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#159 '</t>
    </r>
    <r>
      <rPr>
        <sz val="10"/>
        <color rgb="FF000000"/>
        <rFont val="WenQuanYi Zen Hei"/>
        <family val="2"/>
      </rPr>
      <t xml:space="preserve">한 아기가 우리에게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</si>
  <si>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A0417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</si>
  <si>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11:1-16</t>
    </r>
  </si>
  <si>
    <t xml:space="preserve">이새의 줄기</t>
  </si>
  <si>
    <t xml:space="preserve">늑대와 어린양이 함께 눕는 나라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</si>
  <si>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11:1</t>
    </r>
  </si>
  <si>
    <t xml:space="preserve">메시아가 다스리는 평화</t>
  </si>
  <si>
    <r>
      <rPr>
        <sz val="10"/>
        <color rgb="FF000000"/>
        <rFont val="WenQuanYi Zen Hei"/>
        <family val="2"/>
      </rPr>
      <t xml:space="preserve">이사야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메시아 예언</t>
    </r>
  </si>
  <si>
    <r>
      <rPr>
        <sz val="10"/>
        <color rgb="FF000000"/>
        <rFont val="WenQuanYi Zen Hei"/>
        <family val="2"/>
      </rPr>
      <t xml:space="preserve">그루터기의 새싹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평화로운 동물들</t>
    </r>
  </si>
  <si>
    <t xml:space="preserve">A0418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</si>
  <si>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12:1-6</t>
    </r>
  </si>
  <si>
    <t xml:space="preserve">구원의 우물</t>
  </si>
  <si>
    <t xml:space="preserve">기쁨으로 구원의 우물에서 물을 길으리라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</si>
  <si>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12:2</t>
    </r>
  </si>
  <si>
    <t xml:space="preserve">하나님은 나의 구원이시라</t>
  </si>
  <si>
    <t xml:space="preserve">구원받은 백성</t>
  </si>
  <si>
    <t xml:space="preserve">우물</t>
  </si>
  <si>
    <t xml:space="preserve">A0419</t>
  </si>
  <si>
    <t xml:space="preserve">B048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</si>
  <si>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13:1-23:18</t>
    </r>
  </si>
  <si>
    <t xml:space="preserve">열방을 향한 예언</t>
  </si>
  <si>
    <r>
      <rPr>
        <sz val="10"/>
        <color rgb="FF000000"/>
        <rFont val="WenQuanYi Zen Hei"/>
        <family val="2"/>
      </rPr>
      <t xml:space="preserve">바벨론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모압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애굽까지</t>
    </r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</si>
  <si>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14:24</t>
    </r>
  </si>
  <si>
    <t xml:space="preserve">하나님의 계획은 반드시 이루어집니다</t>
  </si>
  <si>
    <t xml:space="preserve">고대 근동 지도</t>
  </si>
  <si>
    <r>
      <rPr>
        <sz val="10"/>
        <color rgb="FFC00000"/>
        <rFont val="Arial"/>
        <family val="0"/>
        <charset val="1"/>
      </rPr>
      <t xml:space="preserve">14:12 </t>
    </r>
    <r>
      <rPr>
        <sz val="10"/>
        <color rgb="FFC00000"/>
        <rFont val="WenQuanYi Zen Hei"/>
        <family val="2"/>
      </rPr>
      <t xml:space="preserve">계명성은 </t>
    </r>
    <r>
      <rPr>
        <sz val="10"/>
        <color rgb="FFC00000"/>
        <rFont val="Arial"/>
        <family val="0"/>
        <charset val="1"/>
      </rPr>
      <t xml:space="preserve">1</t>
    </r>
    <r>
      <rPr>
        <sz val="10"/>
        <color rgb="FFC00000"/>
        <rFont val="WenQuanYi Zen Hei"/>
        <family val="2"/>
      </rPr>
      <t xml:space="preserve">차로 바벨론 왕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사탄 기원 상상 연출 금지</t>
    </r>
  </si>
  <si>
    <t xml:space="preserve">A0420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</si>
  <si>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24:1-27:13</t>
    </r>
  </si>
  <si>
    <t xml:space="preserve">사망을 멸하시리라</t>
  </si>
  <si>
    <t xml:space="preserve">눈물을 씻기시는 하나님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</si>
  <si>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25:8</t>
    </r>
  </si>
  <si>
    <t xml:space="preserve">하나님은 사망을 영원히 멸하십니다</t>
  </si>
  <si>
    <t xml:space="preserve">산 위의 잔치</t>
  </si>
  <si>
    <r>
      <rPr>
        <sz val="10"/>
        <color rgb="FFC00000"/>
        <rFont val="WenQuanYi Zen Hei"/>
        <family val="2"/>
      </rPr>
      <t xml:space="preserve">고전 </t>
    </r>
    <r>
      <rPr>
        <sz val="10"/>
        <color rgb="FFC00000"/>
        <rFont val="Arial"/>
        <family val="0"/>
        <charset val="1"/>
      </rPr>
      <t xml:space="preserve">15:54 </t>
    </r>
    <r>
      <rPr>
        <sz val="10"/>
        <color rgb="FFC00000"/>
        <rFont val="WenQuanYi Zen Hei"/>
        <family val="2"/>
      </rPr>
      <t xml:space="preserve">연결</t>
    </r>
  </si>
  <si>
    <t xml:space="preserve">A0421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</si>
  <si>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28:1-33:24</t>
    </r>
  </si>
  <si>
    <t xml:space="preserve">시온의 기촛돌</t>
  </si>
  <si>
    <t xml:space="preserve">흔들리지 않는 모퉁잇돌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</si>
  <si>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28:16</t>
    </r>
  </si>
  <si>
    <t xml:space="preserve">믿는 자는 다급하지 않습니다</t>
  </si>
  <si>
    <r>
      <rPr>
        <sz val="10"/>
        <color rgb="FF000000"/>
        <rFont val="WenQuanYi Zen Hei"/>
        <family val="2"/>
      </rPr>
      <t xml:space="preserve">시온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모퉁잇돌</t>
    </r>
  </si>
  <si>
    <r>
      <rPr>
        <sz val="10"/>
        <color rgb="FFC00000"/>
        <rFont val="WenQuanYi Zen Hei"/>
        <family val="2"/>
      </rPr>
      <t xml:space="preserve">벧전 </t>
    </r>
    <r>
      <rPr>
        <sz val="10"/>
        <color rgb="FFC00000"/>
        <rFont val="Arial"/>
        <family val="0"/>
        <charset val="1"/>
      </rPr>
      <t xml:space="preserve">2:6 </t>
    </r>
    <r>
      <rPr>
        <sz val="10"/>
        <color rgb="FFC00000"/>
        <rFont val="WenQuanYi Zen Hei"/>
        <family val="2"/>
      </rPr>
      <t xml:space="preserve">그리스도</t>
    </r>
  </si>
  <si>
    <t xml:space="preserve">A0422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</si>
  <si>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34:1-35:10</t>
    </r>
  </si>
  <si>
    <t xml:space="preserve">사막에 꽃이 핀다</t>
  </si>
  <si>
    <t xml:space="preserve">광야에 길이 나고 맹인의 눈이 밝아지리라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</si>
  <si>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35:5</t>
    </r>
  </si>
  <si>
    <t xml:space="preserve">하나님은 메마른 곳을 꽃피우십니다</t>
  </si>
  <si>
    <t xml:space="preserve">꽃피는 사막</t>
  </si>
  <si>
    <r>
      <rPr>
        <sz val="10"/>
        <color rgb="FFC00000"/>
        <rFont val="WenQuanYi Zen Hei"/>
        <family val="2"/>
      </rPr>
      <t xml:space="preserve">예수님의 치유 사역과 연결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마 </t>
    </r>
    <r>
      <rPr>
        <sz val="10"/>
        <color rgb="FFC00000"/>
        <rFont val="Arial"/>
        <family val="0"/>
        <charset val="1"/>
      </rPr>
      <t xml:space="preserve">11:5)</t>
    </r>
  </si>
  <si>
    <t xml:space="preserve">A0423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</si>
  <si>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36:1-37:38</t>
    </r>
  </si>
  <si>
    <t xml:space="preserve">산헤립 앞에서의 기도</t>
  </si>
  <si>
    <t xml:space="preserve">앗수르 왕의 편지를 하나님 앞에 펼치다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</si>
  <si>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37:20</t>
    </r>
  </si>
  <si>
    <t xml:space="preserve">오직 주만 여호와이심을 알게 하옵소서</t>
  </si>
  <si>
    <r>
      <rPr>
        <sz val="10"/>
        <color rgb="FF000000"/>
        <rFont val="WenQuanYi Zen Hei"/>
        <family val="2"/>
      </rPr>
      <t xml:space="preserve">히스기야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이사야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랍사게</t>
    </r>
  </si>
  <si>
    <r>
      <rPr>
        <sz val="10"/>
        <color rgb="FF000000"/>
        <rFont val="WenQuanYi Zen Hei"/>
        <family val="2"/>
      </rPr>
      <t xml:space="preserve">예루살렘 성벽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성전</t>
    </r>
  </si>
  <si>
    <t xml:space="preserve">A0424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</si>
  <si>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38:1-39:8</t>
    </r>
  </si>
  <si>
    <t xml:space="preserve">병든 왕의 기도와 실수</t>
  </si>
  <si>
    <t xml:space="preserve">살려 주셨는데 교만해진 왕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</si>
  <si>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38:17</t>
    </r>
  </si>
  <si>
    <t xml:space="preserve">주께서 내 모든 죄를 주의 등 뒤에 던지셨나이다</t>
  </si>
  <si>
    <r>
      <rPr>
        <sz val="10"/>
        <color rgb="FF000000"/>
        <rFont val="WenQuanYi Zen Hei"/>
        <family val="2"/>
      </rPr>
      <t xml:space="preserve">히스기야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이사야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바벨론 사절</t>
    </r>
  </si>
  <si>
    <r>
      <rPr>
        <sz val="10"/>
        <color rgb="FF000000"/>
        <rFont val="WenQuanYi Zen Hei"/>
        <family val="2"/>
      </rPr>
      <t xml:space="preserve">왕궁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보물 창고</t>
    </r>
  </si>
  <si>
    <t xml:space="preserve">A0425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</si>
  <si>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40:1-11</t>
    </r>
  </si>
  <si>
    <t xml:space="preserve">위로하라 내 백성을</t>
  </si>
  <si>
    <t xml:space="preserve">풀은 마르고 꽃은 시드나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</si>
  <si>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40:8</t>
    </r>
  </si>
  <si>
    <t xml:space="preserve">하나님의 말씀은 영원히 서리라</t>
  </si>
  <si>
    <t xml:space="preserve">광야에 외치는 소리</t>
  </si>
  <si>
    <r>
      <rPr>
        <sz val="10"/>
        <color rgb="FFC00000"/>
        <rFont val="WenQuanYi Zen Hei"/>
        <family val="2"/>
      </rPr>
      <t xml:space="preserve">세례 요한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마 </t>
    </r>
    <r>
      <rPr>
        <sz val="10"/>
        <color rgb="FFC00000"/>
        <rFont val="Arial"/>
        <family val="0"/>
        <charset val="1"/>
      </rPr>
      <t xml:space="preserve">3:3) </t>
    </r>
    <r>
      <rPr>
        <sz val="10"/>
        <color rgb="FFC00000"/>
        <rFont val="WenQuanYi Zen Hei"/>
        <family val="2"/>
      </rPr>
      <t xml:space="preserve">연결</t>
    </r>
  </si>
  <si>
    <t xml:space="preserve">A0426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</si>
  <si>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40:12-31</t>
    </r>
  </si>
  <si>
    <t xml:space="preserve">독수리 날개 치며</t>
  </si>
  <si>
    <t xml:space="preserve">지친 사람이 다시 날아오르는 비결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</si>
  <si>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40:31</t>
    </r>
  </si>
  <si>
    <t xml:space="preserve">여호와를 앙망하는 자는 새 힘을 얻으리니</t>
  </si>
  <si>
    <t xml:space="preserve">하늘을 나는 독수리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</si>
  <si>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10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사 </t>
    </r>
    <r>
      <rPr>
        <sz val="10"/>
        <color rgb="FF1F3864"/>
        <rFont val="Arial"/>
        <family val="0"/>
        <charset val="1"/>
      </rPr>
      <t xml:space="preserve">9:8-10:34 </t>
    </r>
    <r>
      <rPr>
        <sz val="10"/>
        <color rgb="FF1F3864"/>
        <rFont val="WenQuanYi Zen Hei"/>
        <family val="2"/>
      </rPr>
      <t xml:space="preserve">하나님의 몽둥이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사 </t>
    </r>
    <r>
      <rPr>
        <sz val="10"/>
        <color rgb="FF1F3864"/>
        <rFont val="Arial"/>
        <family val="0"/>
        <charset val="1"/>
      </rPr>
      <t xml:space="preserve">11:1-16 </t>
    </r>
    <r>
      <rPr>
        <sz val="10"/>
        <color rgb="FF1F3864"/>
        <rFont val="WenQuanYi Zen Hei"/>
        <family val="2"/>
      </rPr>
      <t xml:space="preserve">이새의 줄기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사 </t>
    </r>
    <r>
      <rPr>
        <sz val="10"/>
        <color rgb="FF1F3864"/>
        <rFont val="Arial"/>
        <family val="0"/>
        <charset val="1"/>
      </rPr>
      <t xml:space="preserve">12:1-6 </t>
    </r>
    <r>
      <rPr>
        <sz val="10"/>
        <color rgb="FF1F3864"/>
        <rFont val="WenQuanYi Zen Hei"/>
        <family val="2"/>
      </rPr>
      <t xml:space="preserve">구원의 우물 외 </t>
    </r>
    <r>
      <rPr>
        <sz val="10"/>
        <color rgb="FF1F3864"/>
        <rFont val="Arial"/>
        <family val="0"/>
        <charset val="1"/>
      </rPr>
      <t xml:space="preserve">7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</si>
  <si>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A0427</t>
  </si>
  <si>
    <t xml:space="preserve">B049</t>
  </si>
  <si>
    <t xml:space="preserve">S2-L28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</si>
  <si>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41:1-44:23</t>
    </r>
  </si>
  <si>
    <t xml:space="preserve">두려워하지 말라</t>
  </si>
  <si>
    <t xml:space="preserve">내가 너와 함께 함이라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</si>
  <si>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41:10</t>
    </r>
  </si>
  <si>
    <t xml:space="preserve">하나님이 우리를 굳세게 하십니다</t>
  </si>
  <si>
    <r>
      <rPr>
        <sz val="10"/>
        <color rgb="FF000000"/>
        <rFont val="WenQuanYi Zen Hei"/>
        <family val="2"/>
      </rPr>
      <t xml:space="preserve">이사야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우상 만드는 자</t>
    </r>
  </si>
  <si>
    <r>
      <rPr>
        <sz val="10"/>
        <color rgb="FF000000"/>
        <rFont val="WenQuanYi Zen Hei"/>
        <family val="2"/>
      </rPr>
      <t xml:space="preserve">대장간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나무 우상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</si>
  <si>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#160 '</t>
    </r>
    <r>
      <rPr>
        <sz val="10"/>
        <color rgb="FF000000"/>
        <rFont val="WenQuanYi Zen Hei"/>
        <family val="2"/>
      </rPr>
      <t xml:space="preserve">독수리 날개 치며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</si>
  <si>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A0428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</si>
  <si>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44:24-45:25</t>
    </r>
  </si>
  <si>
    <t xml:space="preserve">이름이 미리 불린 왕</t>
  </si>
  <si>
    <r>
      <rPr>
        <sz val="10"/>
        <color rgb="FF000000"/>
        <rFont val="Arial"/>
        <family val="0"/>
        <charset val="1"/>
      </rPr>
      <t xml:space="preserve">150</t>
    </r>
    <r>
      <rPr>
        <sz val="10"/>
        <color rgb="FF000000"/>
        <rFont val="WenQuanYi Zen Hei"/>
        <family val="2"/>
      </rPr>
      <t xml:space="preserve">년 전에 이름이 예언된 고레스</t>
    </r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</si>
  <si>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45:22</t>
    </r>
  </si>
  <si>
    <t xml:space="preserve">땅의 모든 끝이여 내게로 돌이켜 구원을 받으라</t>
  </si>
  <si>
    <r>
      <rPr>
        <sz val="10"/>
        <color rgb="FF000000"/>
        <rFont val="WenQuanYi Zen Hei"/>
        <family val="2"/>
      </rPr>
      <t xml:space="preserve">이사야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고레스</t>
    </r>
  </si>
  <si>
    <t xml:space="preserve">페르시아</t>
  </si>
  <si>
    <t xml:space="preserve">A0429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</si>
  <si>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46:1-48:22</t>
    </r>
  </si>
  <si>
    <t xml:space="preserve">백발이 되기까지</t>
  </si>
  <si>
    <r>
      <rPr>
        <sz val="10"/>
        <color rgb="FF000000"/>
        <rFont val="WenQuanYi Zen Hei"/>
        <family val="2"/>
      </rPr>
      <t xml:space="preserve">업혀 다니는 우상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우리를 업으시는 하나님</t>
    </r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</si>
  <si>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46:4</t>
    </r>
  </si>
  <si>
    <t xml:space="preserve">하나님은 끝까지 우리를 품으십니다</t>
  </si>
  <si>
    <r>
      <rPr>
        <sz val="10"/>
        <color rgb="FF000000"/>
        <rFont val="WenQuanYi Zen Hei"/>
        <family val="2"/>
      </rPr>
      <t xml:space="preserve">우상을 실은 짐승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업힌 아이</t>
    </r>
  </si>
  <si>
    <t xml:space="preserve">A0430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</si>
  <si>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49:1-50:11</t>
    </r>
  </si>
  <si>
    <t xml:space="preserve">이방의 빛</t>
  </si>
  <si>
    <t xml:space="preserve">손바닥에 새긴 이름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</si>
  <si>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49:6</t>
    </r>
  </si>
  <si>
    <t xml:space="preserve">하나님의 구원은 땅끝까지 이릅니다</t>
  </si>
  <si>
    <t xml:space="preserve">여호와의 종</t>
  </si>
  <si>
    <r>
      <rPr>
        <sz val="10"/>
        <color rgb="FF000000"/>
        <rFont val="WenQuanYi Zen Hei"/>
        <family val="2"/>
      </rPr>
      <t xml:space="preserve">손바닥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땅끝</t>
    </r>
  </si>
  <si>
    <r>
      <rPr>
        <sz val="10"/>
        <color rgb="FFC00000"/>
        <rFont val="WenQuanYi Zen Hei"/>
        <family val="2"/>
      </rPr>
      <t xml:space="preserve">여호와의 종 </t>
    </r>
    <r>
      <rPr>
        <sz val="10"/>
        <color rgb="FFC00000"/>
        <rFont val="Arial"/>
        <family val="0"/>
        <charset val="1"/>
      </rPr>
      <t xml:space="preserve">= </t>
    </r>
    <r>
      <rPr>
        <sz val="10"/>
        <color rgb="FFC00000"/>
        <rFont val="WenQuanYi Zen Hei"/>
        <family val="2"/>
      </rPr>
      <t xml:space="preserve">그리스도</t>
    </r>
  </si>
  <si>
    <t xml:space="preserve">A0431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</si>
  <si>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51:1-52:12</t>
    </r>
  </si>
  <si>
    <t xml:space="preserve">좋은 소식을 전하는 발</t>
  </si>
  <si>
    <t xml:space="preserve">산을 넘어오는 아름다운 발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</si>
  <si>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52:7</t>
    </r>
  </si>
  <si>
    <t xml:space="preserve">복음을 전하는 자의 발이 아름답습니다</t>
  </si>
  <si>
    <t xml:space="preserve">전령</t>
  </si>
  <si>
    <t xml:space="preserve">산을 넘는 전령</t>
  </si>
  <si>
    <r>
      <rPr>
        <sz val="10"/>
        <color rgb="FFC00000"/>
        <rFont val="WenQuanYi Zen Hei"/>
        <family val="2"/>
      </rPr>
      <t xml:space="preserve">롬 </t>
    </r>
    <r>
      <rPr>
        <sz val="10"/>
        <color rgb="FFC00000"/>
        <rFont val="Arial"/>
        <family val="0"/>
        <charset val="1"/>
      </rPr>
      <t xml:space="preserve">10:15 </t>
    </r>
    <r>
      <rPr>
        <sz val="10"/>
        <color rgb="FFC00000"/>
        <rFont val="WenQuanYi Zen Hei"/>
        <family val="2"/>
      </rPr>
      <t xml:space="preserve">연결</t>
    </r>
  </si>
  <si>
    <t xml:space="preserve">A0432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</si>
  <si>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52:13-53:12</t>
    </r>
  </si>
  <si>
    <t xml:space="preserve">그가 찔림은</t>
  </si>
  <si>
    <r>
      <rPr>
        <sz val="10"/>
        <color rgb="FF000000"/>
        <rFont val="Arial"/>
        <family val="0"/>
        <charset val="1"/>
      </rPr>
      <t xml:space="preserve">700</t>
    </r>
    <r>
      <rPr>
        <sz val="10"/>
        <color rgb="FF000000"/>
        <rFont val="WenQuanYi Zen Hei"/>
        <family val="2"/>
      </rPr>
      <t xml:space="preserve">년 전에 기록된 십자가</t>
    </r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</si>
  <si>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53:5</t>
    </r>
  </si>
  <si>
    <t xml:space="preserve">그가 찔림은 우리의 허물 때문입니다</t>
  </si>
  <si>
    <r>
      <rPr>
        <sz val="10"/>
        <color rgb="FF000000"/>
        <rFont val="WenQuanYi Zen Hei"/>
        <family val="2"/>
      </rPr>
      <t xml:space="preserve">고난받는 종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그리스도</t>
    </r>
    <r>
      <rPr>
        <sz val="10"/>
        <color rgb="FF000000"/>
        <rFont val="Arial"/>
        <family val="0"/>
        <charset val="1"/>
      </rPr>
      <t xml:space="preserve">)</t>
    </r>
  </si>
  <si>
    <t xml:space="preserve">십자가 실루엣</t>
  </si>
  <si>
    <r>
      <rPr>
        <sz val="10"/>
        <color rgb="FFC00000"/>
        <rFont val="WenQuanYi Zen Hei"/>
        <family val="2"/>
      </rPr>
      <t xml:space="preserve">대속 핵심 본문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잔혹 묘사 금지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</si>
  <si>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5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사 </t>
    </r>
    <r>
      <rPr>
        <sz val="10"/>
        <color rgb="FF1F3864"/>
        <rFont val="Arial"/>
        <family val="0"/>
        <charset val="1"/>
      </rPr>
      <t xml:space="preserve">41:1-44:23 </t>
    </r>
    <r>
      <rPr>
        <sz val="10"/>
        <color rgb="FF1F3864"/>
        <rFont val="WenQuanYi Zen Hei"/>
        <family val="2"/>
      </rPr>
      <t xml:space="preserve">두려워하지 말라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사 </t>
    </r>
    <r>
      <rPr>
        <sz val="10"/>
        <color rgb="FF1F3864"/>
        <rFont val="Arial"/>
        <family val="0"/>
        <charset val="1"/>
      </rPr>
      <t xml:space="preserve">44:24-45:25 </t>
    </r>
    <r>
      <rPr>
        <sz val="10"/>
        <color rgb="FF1F3864"/>
        <rFont val="WenQuanYi Zen Hei"/>
        <family val="2"/>
      </rPr>
      <t xml:space="preserve">이름이 미리 불린 왕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사 </t>
    </r>
    <r>
      <rPr>
        <sz val="10"/>
        <color rgb="FF1F3864"/>
        <rFont val="Arial"/>
        <family val="0"/>
        <charset val="1"/>
      </rPr>
      <t xml:space="preserve">46:1-48:22 </t>
    </r>
    <r>
      <rPr>
        <sz val="10"/>
        <color rgb="FF1F3864"/>
        <rFont val="WenQuanYi Zen Hei"/>
        <family val="2"/>
      </rPr>
      <t xml:space="preserve">백발이 되기까지 외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</si>
  <si>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A0433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</si>
  <si>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54:1-55:13</t>
    </r>
  </si>
  <si>
    <t xml:space="preserve">값없이 와서 사라</t>
  </si>
  <si>
    <t xml:space="preserve">돈 없는 자도 와서 먹으라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</si>
  <si>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55:1</t>
    </r>
  </si>
  <si>
    <t xml:space="preserve">구원은 값없이 주시는 은혜입니다</t>
  </si>
  <si>
    <r>
      <rPr>
        <sz val="10"/>
        <color rgb="FF000000"/>
        <rFont val="WenQuanYi Zen Hei"/>
        <family val="2"/>
      </rPr>
      <t xml:space="preserve">초대하시는 하나님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음성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</si>
  <si>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시장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물가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</si>
  <si>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#161 '</t>
    </r>
    <r>
      <rPr>
        <sz val="10"/>
        <color rgb="FF000000"/>
        <rFont val="WenQuanYi Zen Hei"/>
        <family val="2"/>
      </rPr>
      <t xml:space="preserve">그가 찔림은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</si>
  <si>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A0434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</si>
  <si>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56:1-59:21</t>
    </r>
  </si>
  <si>
    <t xml:space="preserve">참된 금식</t>
  </si>
  <si>
    <r>
      <rPr>
        <sz val="10"/>
        <color rgb="FF000000"/>
        <rFont val="WenQuanYi Zen Hei"/>
        <family val="2"/>
      </rPr>
      <t xml:space="preserve">하나님이 기뻐하시는 금식은 무엇일까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</si>
  <si>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58:6</t>
    </r>
  </si>
  <si>
    <t xml:space="preserve">참 예배는 이웃 사랑으로 이어집니다</t>
  </si>
  <si>
    <r>
      <rPr>
        <sz val="10"/>
        <color rgb="FF000000"/>
        <rFont val="WenQuanYi Zen Hei"/>
        <family val="2"/>
      </rPr>
      <t xml:space="preserve">금식하는 백성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갇힌 자</t>
    </r>
  </si>
  <si>
    <t xml:space="preserve">A0435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</si>
  <si>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60:1-62:12</t>
    </r>
  </si>
  <si>
    <t xml:space="preserve">일어나 빛을 발하라</t>
  </si>
  <si>
    <t xml:space="preserve">너의 빛이 이르렀다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</si>
  <si>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60:1</t>
    </r>
  </si>
  <si>
    <t xml:space="preserve">하나님의 영광이 우리 위에 임합니다</t>
  </si>
  <si>
    <r>
      <rPr>
        <sz val="10"/>
        <color rgb="FF000000"/>
        <rFont val="WenQuanYi Zen Hei"/>
        <family val="2"/>
      </rPr>
      <t xml:space="preserve">떠오르는 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시온</t>
    </r>
  </si>
  <si>
    <r>
      <rPr>
        <sz val="10"/>
        <color rgb="FFC00000"/>
        <rFont val="Arial"/>
        <family val="0"/>
        <charset val="1"/>
      </rPr>
      <t xml:space="preserve">61:1 </t>
    </r>
    <r>
      <rPr>
        <sz val="10"/>
        <color rgb="FFC00000"/>
        <rFont val="WenQuanYi Zen Hei"/>
        <family val="2"/>
      </rPr>
      <t xml:space="preserve">예수님이 나사렛 회당에서 읽으심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눅 </t>
    </r>
    <r>
      <rPr>
        <sz val="10"/>
        <color rgb="FFC00000"/>
        <rFont val="Arial"/>
        <family val="0"/>
        <charset val="1"/>
      </rPr>
      <t xml:space="preserve">4:18)</t>
    </r>
  </si>
  <si>
    <t xml:space="preserve">A0436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</si>
  <si>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63:1-66:24</t>
    </r>
  </si>
  <si>
    <t xml:space="preserve">새 하늘과 새 땅</t>
  </si>
  <si>
    <t xml:space="preserve">이전 것은 기억되지 않으리라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</si>
  <si>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65:17</t>
    </r>
  </si>
  <si>
    <t xml:space="preserve">하나님은 모든 것을 새롭게 하십니다</t>
  </si>
  <si>
    <r>
      <rPr>
        <sz val="10"/>
        <color rgb="FFC00000"/>
        <rFont val="WenQuanYi Zen Hei"/>
        <family val="2"/>
      </rPr>
      <t xml:space="preserve">계 </t>
    </r>
    <r>
      <rPr>
        <sz val="10"/>
        <color rgb="FFC00000"/>
        <rFont val="Arial"/>
        <family val="0"/>
        <charset val="1"/>
      </rPr>
      <t xml:space="preserve">21</t>
    </r>
    <r>
      <rPr>
        <sz val="10"/>
        <color rgb="FFC00000"/>
        <rFont val="WenQuanYi Zen Hei"/>
        <family val="2"/>
      </rPr>
      <t xml:space="preserve">장 연결</t>
    </r>
  </si>
  <si>
    <t xml:space="preserve">A0437</t>
  </si>
  <si>
    <t xml:space="preserve">B050</t>
  </si>
  <si>
    <t xml:space="preserve">예레미야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</si>
  <si>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1:1-19</t>
    </r>
  </si>
  <si>
    <t xml:space="preserve">나는 아이라</t>
  </si>
  <si>
    <t xml:space="preserve">어리다고 거절했던 선지자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</si>
  <si>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1:5</t>
    </r>
  </si>
  <si>
    <t xml:space="preserve">하나님은 태어나기 전부터 우리를 아십니다</t>
  </si>
  <si>
    <r>
      <rPr>
        <sz val="10"/>
        <color rgb="FF000000"/>
        <rFont val="WenQuanYi Zen Hei"/>
        <family val="2"/>
      </rPr>
      <t xml:space="preserve">예레미야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하나님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음성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</si>
  <si>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아나돗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살구나무 가지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</si>
  <si>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4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사 </t>
    </r>
    <r>
      <rPr>
        <sz val="10"/>
        <color rgb="FF1F3864"/>
        <rFont val="Arial"/>
        <family val="0"/>
        <charset val="1"/>
      </rPr>
      <t xml:space="preserve">54:1-55:13 </t>
    </r>
    <r>
      <rPr>
        <sz val="10"/>
        <color rgb="FF1F3864"/>
        <rFont val="WenQuanYi Zen Hei"/>
        <family val="2"/>
      </rPr>
      <t xml:space="preserve">값없이 와서 사라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사 </t>
    </r>
    <r>
      <rPr>
        <sz val="10"/>
        <color rgb="FF1F3864"/>
        <rFont val="Arial"/>
        <family val="0"/>
        <charset val="1"/>
      </rPr>
      <t xml:space="preserve">56:1-59:21 </t>
    </r>
    <r>
      <rPr>
        <sz val="10"/>
        <color rgb="FF1F3864"/>
        <rFont val="WenQuanYi Zen Hei"/>
        <family val="2"/>
      </rPr>
      <t xml:space="preserve">참된 금식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사 </t>
    </r>
    <r>
      <rPr>
        <sz val="10"/>
        <color rgb="FF1F3864"/>
        <rFont val="Arial"/>
        <family val="0"/>
        <charset val="1"/>
      </rPr>
      <t xml:space="preserve">60:1-62:12 </t>
    </r>
    <r>
      <rPr>
        <sz val="10"/>
        <color rgb="FF1F3864"/>
        <rFont val="WenQuanYi Zen Hei"/>
        <family val="2"/>
      </rPr>
      <t xml:space="preserve">일어나 빛을 발하라 외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</si>
  <si>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A0438</t>
  </si>
  <si>
    <t xml:space="preserve">S2-L29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</si>
  <si>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2:1-6:30</t>
    </r>
  </si>
  <si>
    <t xml:space="preserve">터진 웅덩이</t>
  </si>
  <si>
    <t xml:space="preserve">생수를 버리고 물이 새는 웅덩이를 팠다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</si>
  <si>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2:13</t>
    </r>
  </si>
  <si>
    <t xml:space="preserve">하나님만이 생수의 근원이십니다</t>
  </si>
  <si>
    <r>
      <rPr>
        <sz val="10"/>
        <color rgb="FF000000"/>
        <rFont val="WenQuanYi Zen Hei"/>
        <family val="2"/>
      </rPr>
      <t xml:space="preserve">터진 웅덩이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샘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</si>
  <si>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#162 '</t>
    </r>
    <r>
      <rPr>
        <sz val="10"/>
        <color rgb="FF000000"/>
        <rFont val="WenQuanYi Zen Hei"/>
        <family val="2"/>
      </rPr>
      <t xml:space="preserve">나는 아이라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</si>
  <si>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A0439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</si>
  <si>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7:1-8:3</t>
    </r>
  </si>
  <si>
    <t xml:space="preserve">성전 문 앞의 설교</t>
  </si>
  <si>
    <t xml:space="preserve">이것이 여호와의 성전이라는 거짓말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</si>
  <si>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7:4</t>
    </r>
  </si>
  <si>
    <t xml:space="preserve">건물이 아니라 순종이 중요합니다</t>
  </si>
  <si>
    <r>
      <rPr>
        <sz val="10"/>
        <color rgb="FF000000"/>
        <rFont val="WenQuanYi Zen Hei"/>
        <family val="2"/>
      </rPr>
      <t xml:space="preserve">예레미야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</si>
  <si>
    <t xml:space="preserve">A0440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</si>
  <si>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8:4-10:25</t>
    </r>
  </si>
  <si>
    <t xml:space="preserve">길르앗에는 유향이 없는가</t>
  </si>
  <si>
    <t xml:space="preserve">아무도 상처를 치료하지 못할 때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</si>
  <si>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8:22</t>
    </r>
  </si>
  <si>
    <t xml:space="preserve">참된 치유는 하나님께 있습니다</t>
  </si>
  <si>
    <r>
      <rPr>
        <sz val="10"/>
        <color rgb="FF000000"/>
        <rFont val="WenQuanYi Zen Hei"/>
        <family val="2"/>
      </rPr>
      <t xml:space="preserve">길르앗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우는 선지자</t>
    </r>
  </si>
  <si>
    <t xml:space="preserve">A0441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</si>
  <si>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11:1-12:17</t>
    </r>
  </si>
  <si>
    <t xml:space="preserve">고향 사람들의 음모</t>
  </si>
  <si>
    <t xml:space="preserve">선지자를 죽이려 한 고향 사람들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</si>
  <si>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12:1</t>
    </r>
  </si>
  <si>
    <t xml:space="preserve">악인이 형통해도 하나님께 묻습니다</t>
  </si>
  <si>
    <r>
      <rPr>
        <sz val="10"/>
        <color rgb="FF000000"/>
        <rFont val="WenQuanYi Zen Hei"/>
        <family val="2"/>
      </rPr>
      <t xml:space="preserve">예레미야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아나돗 사람들</t>
    </r>
  </si>
  <si>
    <t xml:space="preserve">아나돗</t>
  </si>
  <si>
    <t xml:space="preserve">A0442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</si>
  <si>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13:1-27</t>
    </r>
  </si>
  <si>
    <t xml:space="preserve">썩은 띠</t>
  </si>
  <si>
    <t xml:space="preserve">강가에 묻었던 허리띠가 썩어 버렸다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</si>
  <si>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13:11</t>
    </r>
  </si>
  <si>
    <t xml:space="preserve">교만한 백성은 쓸모없게 됩니다</t>
  </si>
  <si>
    <r>
      <rPr>
        <sz val="10"/>
        <color rgb="FF000000"/>
        <rFont val="WenQuanYi Zen Hei"/>
        <family val="2"/>
      </rPr>
      <t xml:space="preserve">유브라데 강가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썩은 베 띠</t>
    </r>
  </si>
  <si>
    <t xml:space="preserve">A0443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</si>
  <si>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14:1-17:27</t>
    </r>
  </si>
  <si>
    <t xml:space="preserve">만물보다 거짓된 마음</t>
  </si>
  <si>
    <r>
      <rPr>
        <sz val="10"/>
        <color rgb="FF000000"/>
        <rFont val="WenQuanYi Zen Hei"/>
        <family val="2"/>
      </rPr>
      <t xml:space="preserve">사람의 마음은 누가 알 수 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</si>
  <si>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17:9</t>
    </r>
  </si>
  <si>
    <t xml:space="preserve">하나님만이 마음을 아십니다</t>
  </si>
  <si>
    <r>
      <rPr>
        <sz val="10"/>
        <color rgb="FF000000"/>
        <rFont val="WenQuanYi Zen Hei"/>
        <family val="2"/>
      </rPr>
      <t xml:space="preserve">가뭄 든 땅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물가의 나무</t>
    </r>
  </si>
  <si>
    <t xml:space="preserve">A0444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</si>
  <si>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18:1-23</t>
    </r>
  </si>
  <si>
    <t xml:space="preserve">토기장이의 집</t>
  </si>
  <si>
    <t xml:space="preserve">망가진 그릇을 다시 빚는 손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</si>
  <si>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18:6</t>
    </r>
  </si>
  <si>
    <t xml:space="preserve">하나님은 우리를 다시 빚으십니다</t>
  </si>
  <si>
    <r>
      <rPr>
        <sz val="10"/>
        <color rgb="FF000000"/>
        <rFont val="WenQuanYi Zen Hei"/>
        <family val="2"/>
      </rPr>
      <t xml:space="preserve">예레미야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토기장이</t>
    </r>
  </si>
  <si>
    <t xml:space="preserve">토기장이의 작업장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</si>
  <si>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6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렘 </t>
    </r>
    <r>
      <rPr>
        <sz val="10"/>
        <color rgb="FF1F3864"/>
        <rFont val="Arial"/>
        <family val="0"/>
        <charset val="1"/>
      </rPr>
      <t xml:space="preserve">2:1-6:30 </t>
    </r>
    <r>
      <rPr>
        <sz val="10"/>
        <color rgb="FF1F3864"/>
        <rFont val="WenQuanYi Zen Hei"/>
        <family val="2"/>
      </rPr>
      <t xml:space="preserve">터진 웅덩이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렘 </t>
    </r>
    <r>
      <rPr>
        <sz val="10"/>
        <color rgb="FF1F3864"/>
        <rFont val="Arial"/>
        <family val="0"/>
        <charset val="1"/>
      </rPr>
      <t xml:space="preserve">7:1-8:3 </t>
    </r>
    <r>
      <rPr>
        <sz val="10"/>
        <color rgb="FF1F3864"/>
        <rFont val="WenQuanYi Zen Hei"/>
        <family val="2"/>
      </rPr>
      <t xml:space="preserve">성전 문 앞의 설교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렘 </t>
    </r>
    <r>
      <rPr>
        <sz val="10"/>
        <color rgb="FF1F3864"/>
        <rFont val="Arial"/>
        <family val="0"/>
        <charset val="1"/>
      </rPr>
      <t xml:space="preserve">8:4-10:25 </t>
    </r>
    <r>
      <rPr>
        <sz val="10"/>
        <color rgb="FF1F3864"/>
        <rFont val="WenQuanYi Zen Hei"/>
        <family val="2"/>
      </rPr>
      <t xml:space="preserve">길르앗에는 유향이 없는가 외 </t>
    </r>
    <r>
      <rPr>
        <sz val="10"/>
        <color rgb="FF1F3864"/>
        <rFont val="Arial"/>
        <family val="0"/>
        <charset val="1"/>
      </rPr>
      <t xml:space="preserve">3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</si>
  <si>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A0445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</si>
  <si>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19:1-20:18</t>
    </r>
  </si>
  <si>
    <t xml:space="preserve">뼈 속의 불</t>
  </si>
  <si>
    <t xml:space="preserve">말하지 않으려 해도 참을 수 없었다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</si>
  <si>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20:9</t>
    </r>
  </si>
  <si>
    <t xml:space="preserve">하나님의 말씀은 뼈 속의 불과 같습니다</t>
  </si>
  <si>
    <r>
      <rPr>
        <sz val="10"/>
        <color rgb="FF000000"/>
        <rFont val="WenQuanYi Zen Hei"/>
        <family val="2"/>
      </rPr>
      <t xml:space="preserve">예레미야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바스훌</t>
    </r>
  </si>
  <si>
    <r>
      <rPr>
        <sz val="10"/>
        <color rgb="FF000000"/>
        <rFont val="WenQuanYi Zen Hei"/>
        <family val="2"/>
      </rPr>
      <t xml:space="preserve">힌놈 골짜기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차꼬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</si>
  <si>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#163 '</t>
    </r>
    <r>
      <rPr>
        <sz val="10"/>
        <color rgb="FF000000"/>
        <rFont val="WenQuanYi Zen Hei"/>
        <family val="2"/>
      </rPr>
      <t xml:space="preserve">토기장이의 집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</si>
  <si>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A0446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</si>
  <si>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21:1-25:38</t>
    </r>
  </si>
  <si>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WenQuanYi Zen Hei"/>
        <family val="2"/>
      </rPr>
      <t xml:space="preserve">년의 예언과 의로운 가지</t>
    </r>
  </si>
  <si>
    <r>
      <rPr>
        <sz val="10"/>
        <color rgb="FF000000"/>
        <rFont val="WenQuanYi Zen Hei"/>
        <family val="2"/>
      </rPr>
      <t xml:space="preserve">포로는 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WenQuanYi Zen Hei"/>
        <family val="2"/>
      </rPr>
      <t xml:space="preserve">년 동안 계속되리라</t>
    </r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</si>
  <si>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23:5</t>
    </r>
  </si>
  <si>
    <t xml:space="preserve">다윗에게 한 의로운 가지를 일으키리라</t>
  </si>
  <si>
    <r>
      <rPr>
        <sz val="10"/>
        <color rgb="FF000000"/>
        <rFont val="WenQuanYi Zen Hei"/>
        <family val="2"/>
      </rPr>
      <t xml:space="preserve">예루살렘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바벨론</t>
    </r>
  </si>
  <si>
    <r>
      <rPr>
        <sz val="10"/>
        <color rgb="FFC00000"/>
        <rFont val="Arial"/>
        <family val="0"/>
        <charset val="1"/>
      </rPr>
      <t xml:space="preserve">70</t>
    </r>
    <r>
      <rPr>
        <sz val="10"/>
        <color rgb="FFC00000"/>
        <rFont val="WenQuanYi Zen Hei"/>
        <family val="2"/>
      </rPr>
      <t xml:space="preserve">년 숫자를 이용한 시한부 종말론 해석 금지</t>
    </r>
  </si>
  <si>
    <t xml:space="preserve">A0447</t>
  </si>
  <si>
    <t xml:space="preserve">B051</t>
  </si>
  <si>
    <t xml:space="preserve">S2-L30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</si>
  <si>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26:1-24</t>
    </r>
  </si>
  <si>
    <t xml:space="preserve">죽음의 위기</t>
  </si>
  <si>
    <t xml:space="preserve">성전에서 바른 말을 했다가 사형 선고를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</si>
  <si>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26:13</t>
    </r>
  </si>
  <si>
    <t xml:space="preserve">두려움 없이 말씀을 전합니다</t>
  </si>
  <si>
    <r>
      <rPr>
        <sz val="10"/>
        <color rgb="FF000000"/>
        <rFont val="WenQuanYi Zen Hei"/>
        <family val="2"/>
      </rPr>
      <t xml:space="preserve">예레미야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제사장들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고관들</t>
    </r>
  </si>
  <si>
    <t xml:space="preserve">A0448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</si>
  <si>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27:1-28:17</t>
    </r>
  </si>
  <si>
    <t xml:space="preserve">멍에를 멘 선지자</t>
  </si>
  <si>
    <t xml:space="preserve">목에 나무 멍에를 메고 다닌 이유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</si>
  <si>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28:15</t>
    </r>
  </si>
  <si>
    <t xml:space="preserve">거짓 평안을 전하는 자를 경계합니다</t>
  </si>
  <si>
    <r>
      <rPr>
        <sz val="10"/>
        <color rgb="FF000000"/>
        <rFont val="WenQuanYi Zen Hei"/>
        <family val="2"/>
      </rPr>
      <t xml:space="preserve">예레미야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하나냐</t>
    </r>
  </si>
  <si>
    <r>
      <rPr>
        <sz val="10"/>
        <color rgb="FF000000"/>
        <rFont val="WenQuanYi Zen Hei"/>
        <family val="2"/>
      </rPr>
      <t xml:space="preserve">성전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나무와 쇠 멍에</t>
    </r>
  </si>
  <si>
    <t xml:space="preserve">A0449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</si>
  <si>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29:1-32</t>
    </r>
  </si>
  <si>
    <t xml:space="preserve">포로들에게 보낸 편지</t>
  </si>
  <si>
    <t xml:space="preserve">그곳에서 집을 짓고 정착하라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</si>
  <si>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29:11</t>
    </r>
  </si>
  <si>
    <t xml:space="preserve">하나님의 생각은 평안이요 미래와 희망입니다</t>
  </si>
  <si>
    <r>
      <rPr>
        <sz val="10"/>
        <color rgb="FF000000"/>
        <rFont val="WenQuanYi Zen Hei"/>
        <family val="2"/>
      </rPr>
      <t xml:space="preserve">예레미야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바벨론 포로들</t>
    </r>
  </si>
  <si>
    <r>
      <rPr>
        <sz val="10"/>
        <color rgb="FF000000"/>
        <rFont val="WenQuanYi Zen Hei"/>
        <family val="2"/>
      </rPr>
      <t xml:space="preserve">바벨론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편지</t>
    </r>
  </si>
  <si>
    <r>
      <rPr>
        <sz val="10"/>
        <color rgb="FFC00000"/>
        <rFont val="Arial"/>
        <family val="0"/>
        <charset val="1"/>
      </rPr>
      <t xml:space="preserve">29:11 </t>
    </r>
    <r>
      <rPr>
        <sz val="10"/>
        <color rgb="FFC00000"/>
        <rFont val="WenQuanYi Zen Hei"/>
        <family val="2"/>
      </rPr>
      <t xml:space="preserve">문맥</t>
    </r>
    <r>
      <rPr>
        <sz val="10"/>
        <color rgb="FFC00000"/>
        <rFont val="Arial"/>
        <family val="0"/>
        <charset val="1"/>
      </rPr>
      <t xml:space="preserve">(70</t>
    </r>
    <r>
      <rPr>
        <sz val="10"/>
        <color rgb="FFC00000"/>
        <rFont val="WenQuanYi Zen Hei"/>
        <family val="2"/>
      </rPr>
      <t xml:space="preserve">년 후 회복</t>
    </r>
    <r>
      <rPr>
        <sz val="10"/>
        <color rgb="FFC00000"/>
        <rFont val="Arial"/>
        <family val="0"/>
        <charset val="1"/>
      </rPr>
      <t xml:space="preserve">) </t>
    </r>
    <r>
      <rPr>
        <sz val="10"/>
        <color rgb="FFC00000"/>
        <rFont val="WenQuanYi Zen Hei"/>
        <family val="2"/>
      </rPr>
      <t xml:space="preserve">설명</t>
    </r>
  </si>
  <si>
    <t xml:space="preserve">A0450</t>
  </si>
  <si>
    <t xml:space="preserve">S1-L19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</si>
  <si>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30:1-31:40</t>
    </r>
  </si>
  <si>
    <t xml:space="preserve">새 언약</t>
  </si>
  <si>
    <t xml:space="preserve">돌판이 아닌 마음에 새기는 법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</si>
  <si>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31:33</t>
    </r>
  </si>
  <si>
    <t xml:space="preserve">하나님은 새 언약을 마음에 새기십니다</t>
  </si>
  <si>
    <r>
      <rPr>
        <sz val="10"/>
        <color rgb="FF000000"/>
        <rFont val="WenQuanYi Zen Hei"/>
        <family val="2"/>
      </rPr>
      <t xml:space="preserve">라마의 통곡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마음 위의 글씨</t>
    </r>
  </si>
  <si>
    <r>
      <rPr>
        <sz val="10"/>
        <color rgb="FFC00000"/>
        <rFont val="WenQuanYi Zen Hei"/>
        <family val="2"/>
      </rPr>
      <t xml:space="preserve">히 </t>
    </r>
    <r>
      <rPr>
        <sz val="10"/>
        <color rgb="FFC00000"/>
        <rFont val="Arial"/>
        <family val="0"/>
        <charset val="1"/>
      </rPr>
      <t xml:space="preserve">8:8-12 </t>
    </r>
    <r>
      <rPr>
        <sz val="10"/>
        <color rgb="FFC00000"/>
        <rFont val="WenQuanYi Zen Hei"/>
        <family val="2"/>
      </rPr>
      <t xml:space="preserve">연결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</si>
  <si>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5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렘 </t>
    </r>
    <r>
      <rPr>
        <sz val="10"/>
        <color rgb="FF1F3864"/>
        <rFont val="Arial"/>
        <family val="0"/>
        <charset val="1"/>
      </rPr>
      <t xml:space="preserve">19:1-20:18 </t>
    </r>
    <r>
      <rPr>
        <sz val="10"/>
        <color rgb="FF1F3864"/>
        <rFont val="WenQuanYi Zen Hei"/>
        <family val="2"/>
      </rPr>
      <t xml:space="preserve">뼈 속의 불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렘 </t>
    </r>
    <r>
      <rPr>
        <sz val="10"/>
        <color rgb="FF1F3864"/>
        <rFont val="Arial"/>
        <family val="0"/>
        <charset val="1"/>
      </rPr>
      <t xml:space="preserve">21:1-25:38 70</t>
    </r>
    <r>
      <rPr>
        <sz val="10"/>
        <color rgb="FF1F3864"/>
        <rFont val="WenQuanYi Zen Hei"/>
        <family val="2"/>
      </rPr>
      <t xml:space="preserve">년의 예언과 의로운 가지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렘 </t>
    </r>
    <r>
      <rPr>
        <sz val="10"/>
        <color rgb="FF1F3864"/>
        <rFont val="Arial"/>
        <family val="0"/>
        <charset val="1"/>
      </rPr>
      <t xml:space="preserve">26:1-24 </t>
    </r>
    <r>
      <rPr>
        <sz val="10"/>
        <color rgb="FF1F3864"/>
        <rFont val="WenQuanYi Zen Hei"/>
        <family val="2"/>
      </rPr>
      <t xml:space="preserve">죽음의 위기 외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</si>
  <si>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A0451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</si>
  <si>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32:1-44</t>
    </r>
  </si>
  <si>
    <t xml:space="preserve">무너지는 나라에서 밭을 사다</t>
  </si>
  <si>
    <t xml:space="preserve">모두가 망한다는데 땅을 산 선지자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</si>
  <si>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32:27</t>
    </r>
  </si>
  <si>
    <t xml:space="preserve">하나님께 할 수 없는 일이 있겠느냐</t>
  </si>
  <si>
    <r>
      <rPr>
        <sz val="10"/>
        <color rgb="FF000000"/>
        <rFont val="WenQuanYi Zen Hei"/>
        <family val="2"/>
      </rPr>
      <t xml:space="preserve">예레미야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하나멜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바룩</t>
    </r>
  </si>
  <si>
    <r>
      <rPr>
        <sz val="10"/>
        <color rgb="FF000000"/>
        <rFont val="WenQuanYi Zen Hei"/>
        <family val="2"/>
      </rPr>
      <t xml:space="preserve">감옥 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토지 증서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</si>
  <si>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#164 '</t>
    </r>
    <r>
      <rPr>
        <sz val="10"/>
        <color rgb="FF000000"/>
        <rFont val="WenQuanYi Zen Hei"/>
        <family val="2"/>
      </rPr>
      <t xml:space="preserve">새 언약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</si>
  <si>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A0452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</si>
  <si>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33:1-26</t>
    </r>
  </si>
  <si>
    <t xml:space="preserve">부르짖으라</t>
  </si>
  <si>
    <t xml:space="preserve">크고 비밀한 일을 보이리라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</si>
  <si>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33:3</t>
    </r>
  </si>
  <si>
    <t xml:space="preserve">기도하는 자에게 응답하십니다</t>
  </si>
  <si>
    <t xml:space="preserve">감옥 뜰</t>
  </si>
  <si>
    <r>
      <rPr>
        <sz val="10"/>
        <color rgb="FFC00000"/>
        <rFont val="WenQuanYi Zen Hei"/>
        <family val="2"/>
      </rPr>
      <t xml:space="preserve">직통계시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비밀 계시 주장 근거로 사용 금지</t>
    </r>
  </si>
  <si>
    <t xml:space="preserve">A0453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</si>
  <si>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34:1-36:32</t>
    </r>
  </si>
  <si>
    <t xml:space="preserve">불태운 두루마리</t>
  </si>
  <si>
    <t xml:space="preserve">왕이 칼로 잘라 불에 던진 말씀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</si>
  <si>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36:28</t>
    </r>
  </si>
  <si>
    <t xml:space="preserve">하나님의 말씀은 불타도 없어지지 않습니다</t>
  </si>
  <si>
    <r>
      <rPr>
        <sz val="10"/>
        <color rgb="FF000000"/>
        <rFont val="WenQuanYi Zen Hei"/>
        <family val="2"/>
      </rPr>
      <t xml:space="preserve">여호야김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예레미야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레갑 사람들</t>
    </r>
  </si>
  <si>
    <r>
      <rPr>
        <sz val="10"/>
        <color rgb="FF000000"/>
        <rFont val="WenQuanYi Zen Hei"/>
        <family val="2"/>
      </rPr>
      <t xml:space="preserve">왕의 겨울 궁전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화로</t>
    </r>
  </si>
  <si>
    <t xml:space="preserve">A0454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</si>
  <si>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37:1-38:28</t>
    </r>
  </si>
  <si>
    <t xml:space="preserve">진흙 구덩이</t>
  </si>
  <si>
    <t xml:space="preserve">선지자가 구덩이에 던져졌다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</si>
  <si>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38:13</t>
    </r>
  </si>
  <si>
    <t xml:space="preserve">하나님은 생각지 못한 사람을 통해 구하십니다</t>
  </si>
  <si>
    <r>
      <rPr>
        <sz val="10"/>
        <color rgb="FF000000"/>
        <rFont val="WenQuanYi Zen Hei"/>
        <family val="2"/>
      </rPr>
      <t xml:space="preserve">예레미야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에벳멜렉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시드기야</t>
    </r>
  </si>
  <si>
    <r>
      <rPr>
        <sz val="10"/>
        <color rgb="FF000000"/>
        <rFont val="WenQuanYi Zen Hei"/>
        <family val="2"/>
      </rPr>
      <t xml:space="preserve">물웅덩이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진흙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</si>
  <si>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3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렘 </t>
    </r>
    <r>
      <rPr>
        <sz val="10"/>
        <color rgb="FF1F3864"/>
        <rFont val="Arial"/>
        <family val="0"/>
        <charset val="1"/>
      </rPr>
      <t xml:space="preserve">32:1-44 </t>
    </r>
    <r>
      <rPr>
        <sz val="10"/>
        <color rgb="FF1F3864"/>
        <rFont val="WenQuanYi Zen Hei"/>
        <family val="2"/>
      </rPr>
      <t xml:space="preserve">무너지는 나라에서 밭을 사다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렘 </t>
    </r>
    <r>
      <rPr>
        <sz val="10"/>
        <color rgb="FF1F3864"/>
        <rFont val="Arial"/>
        <family val="0"/>
        <charset val="1"/>
      </rPr>
      <t xml:space="preserve">33:1-26 </t>
    </r>
    <r>
      <rPr>
        <sz val="10"/>
        <color rgb="FF1F3864"/>
        <rFont val="WenQuanYi Zen Hei"/>
        <family val="2"/>
      </rPr>
      <t xml:space="preserve">부르짖으라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렘 </t>
    </r>
    <r>
      <rPr>
        <sz val="10"/>
        <color rgb="FF1F3864"/>
        <rFont val="Arial"/>
        <family val="0"/>
        <charset val="1"/>
      </rPr>
      <t xml:space="preserve">34:1-36:32 </t>
    </r>
    <r>
      <rPr>
        <sz val="10"/>
        <color rgb="FF1F3864"/>
        <rFont val="WenQuanYi Zen Hei"/>
        <family val="2"/>
      </rPr>
      <t xml:space="preserve">불태운 두루마리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</si>
  <si>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A0455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</si>
  <si>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39:1-41:18</t>
    </r>
  </si>
  <si>
    <t xml:space="preserve">예루살렘 함락</t>
  </si>
  <si>
    <t xml:space="preserve">예언하던 그날이 왔다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</si>
  <si>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39:18</t>
    </r>
  </si>
  <si>
    <t xml:space="preserve">하나님을 의지한 사람은 생명을 얻습니다</t>
  </si>
  <si>
    <r>
      <rPr>
        <sz val="10"/>
        <color rgb="FF000000"/>
        <rFont val="WenQuanYi Zen Hei"/>
        <family val="2"/>
      </rPr>
      <t xml:space="preserve">시드기야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느부갓네살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예레미야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에벳멜렉</t>
    </r>
  </si>
  <si>
    <t xml:space="preserve">불타는 예루살렘</t>
  </si>
  <si>
    <t xml:space="preserve">형벌 장면 묘사 금지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</si>
  <si>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#165 '</t>
    </r>
    <r>
      <rPr>
        <sz val="10"/>
        <color rgb="FF000000"/>
        <rFont val="WenQuanYi Zen Hei"/>
        <family val="2"/>
      </rPr>
      <t xml:space="preserve">진흙 구덩이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</si>
  <si>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A0456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</si>
  <si>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42:1-52:34</t>
    </r>
  </si>
  <si>
    <t xml:space="preserve">애굽으로 간 남은 자들</t>
  </si>
  <si>
    <t xml:space="preserve">하나님 말씀을 듣고도 반대로 간 사람들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</si>
  <si>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42:6</t>
    </r>
  </si>
  <si>
    <t xml:space="preserve">좋든지 좋지 않든지 하나님의 목소리를 청종하겠다</t>
  </si>
  <si>
    <r>
      <rPr>
        <sz val="10"/>
        <color rgb="FF000000"/>
        <rFont val="WenQuanYi Zen Hei"/>
        <family val="2"/>
      </rPr>
      <t xml:space="preserve">예레미야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남은 자들</t>
    </r>
  </si>
  <si>
    <t xml:space="preserve">애굽 다바네스</t>
  </si>
  <si>
    <t xml:space="preserve">A0457</t>
  </si>
  <si>
    <t xml:space="preserve">예레미야애가</t>
  </si>
  <si>
    <r>
      <rPr>
        <sz val="10"/>
        <color rgb="FF000000"/>
        <rFont val="WenQuanYi Zen Hei"/>
        <family val="2"/>
      </rPr>
      <t xml:space="preserve">애 </t>
    </r>
    <r>
      <rPr>
        <sz val="10"/>
        <color rgb="FF000000"/>
        <rFont val="Arial"/>
        <family val="0"/>
        <charset val="1"/>
      </rPr>
      <t xml:space="preserve">1:1-2:22</t>
    </r>
  </si>
  <si>
    <t xml:space="preserve">슬프다 이 성이여</t>
  </si>
  <si>
    <t xml:space="preserve">사람이 가득했던 성이 과부처럼 되었다</t>
  </si>
  <si>
    <r>
      <rPr>
        <sz val="10"/>
        <color rgb="FF000000"/>
        <rFont val="WenQuanYi Zen Hei"/>
        <family val="2"/>
      </rPr>
      <t xml:space="preserve">애 </t>
    </r>
    <r>
      <rPr>
        <sz val="10"/>
        <color rgb="FF000000"/>
        <rFont val="Arial"/>
        <family val="0"/>
        <charset val="1"/>
      </rPr>
      <t xml:space="preserve">1:1</t>
    </r>
  </si>
  <si>
    <t xml:space="preserve">죄의 결과를 슬퍼하며 하나님께 나아갑니다</t>
  </si>
  <si>
    <t xml:space="preserve">애가 시인</t>
  </si>
  <si>
    <t xml:space="preserve">무너진 예루살렘</t>
  </si>
  <si>
    <t xml:space="preserve">A0458</t>
  </si>
  <si>
    <r>
      <rPr>
        <sz val="10"/>
        <color rgb="FF000000"/>
        <rFont val="WenQuanYi Zen Hei"/>
        <family val="2"/>
      </rPr>
      <t xml:space="preserve">애 </t>
    </r>
    <r>
      <rPr>
        <sz val="10"/>
        <color rgb="FF000000"/>
        <rFont val="Arial"/>
        <family val="0"/>
        <charset val="1"/>
      </rPr>
      <t xml:space="preserve">3:1-66</t>
    </r>
  </si>
  <si>
    <t xml:space="preserve">아침마다 새로우니</t>
  </si>
  <si>
    <t xml:space="preserve">가장 어두운 책 한가운데의 빛</t>
  </si>
  <si>
    <r>
      <rPr>
        <sz val="10"/>
        <color rgb="FF000000"/>
        <rFont val="WenQuanYi Zen Hei"/>
        <family val="2"/>
      </rPr>
      <t xml:space="preserve">애 </t>
    </r>
    <r>
      <rPr>
        <sz val="10"/>
        <color rgb="FF000000"/>
        <rFont val="Arial"/>
        <family val="0"/>
        <charset val="1"/>
      </rPr>
      <t xml:space="preserve">3:23</t>
    </r>
  </si>
  <si>
    <t xml:space="preserve">주의 긍휼은 아침마다 새롭습니다</t>
  </si>
  <si>
    <t xml:space="preserve">폐허 위로 떠오르는 아침 해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</si>
  <si>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3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렘 </t>
    </r>
    <r>
      <rPr>
        <sz val="10"/>
        <color rgb="FF1F3864"/>
        <rFont val="Arial"/>
        <family val="0"/>
        <charset val="1"/>
      </rPr>
      <t xml:space="preserve">39:1-41:18 </t>
    </r>
    <r>
      <rPr>
        <sz val="10"/>
        <color rgb="FF1F3864"/>
        <rFont val="WenQuanYi Zen Hei"/>
        <family val="2"/>
      </rPr>
      <t xml:space="preserve">예루살렘 함락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렘 </t>
    </r>
    <r>
      <rPr>
        <sz val="10"/>
        <color rgb="FF1F3864"/>
        <rFont val="Arial"/>
        <family val="0"/>
        <charset val="1"/>
      </rPr>
      <t xml:space="preserve">42:1-52:34 </t>
    </r>
    <r>
      <rPr>
        <sz val="10"/>
        <color rgb="FF1F3864"/>
        <rFont val="WenQuanYi Zen Hei"/>
        <family val="2"/>
      </rPr>
      <t xml:space="preserve">애굽으로 간 남은 자들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애 </t>
    </r>
    <r>
      <rPr>
        <sz val="10"/>
        <color rgb="FF1F3864"/>
        <rFont val="Arial"/>
        <family val="0"/>
        <charset val="1"/>
      </rPr>
      <t xml:space="preserve">1:1-2:22 </t>
    </r>
    <r>
      <rPr>
        <sz val="10"/>
        <color rgb="FF1F3864"/>
        <rFont val="WenQuanYi Zen Hei"/>
        <family val="2"/>
      </rPr>
      <t xml:space="preserve">슬프다 이 성이여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</si>
  <si>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A0459</t>
  </si>
  <si>
    <r>
      <rPr>
        <sz val="10"/>
        <color rgb="FF000000"/>
        <rFont val="WenQuanYi Zen Hei"/>
        <family val="2"/>
      </rPr>
      <t xml:space="preserve">애 </t>
    </r>
    <r>
      <rPr>
        <sz val="10"/>
        <color rgb="FF000000"/>
        <rFont val="Arial"/>
        <family val="0"/>
        <charset val="1"/>
      </rPr>
      <t xml:space="preserve">4:1-5:22</t>
    </r>
  </si>
  <si>
    <t xml:space="preserve">우리를 돌이키소서</t>
  </si>
  <si>
    <t xml:space="preserve">우리 날을 다시 새롭게 하옵소서</t>
  </si>
  <si>
    <r>
      <rPr>
        <sz val="10"/>
        <color rgb="FF000000"/>
        <rFont val="WenQuanYi Zen Hei"/>
        <family val="2"/>
      </rPr>
      <t xml:space="preserve">애 </t>
    </r>
    <r>
      <rPr>
        <sz val="10"/>
        <color rgb="FF000000"/>
        <rFont val="Arial"/>
        <family val="0"/>
        <charset val="1"/>
      </rPr>
      <t xml:space="preserve">5:21</t>
    </r>
  </si>
  <si>
    <t xml:space="preserve">회복은 하나님께서 돌이켜 주실 때 시작됩니다</t>
  </si>
  <si>
    <r>
      <rPr>
        <sz val="10"/>
        <color rgb="FF000000"/>
        <rFont val="WenQuanYi Zen Hei"/>
        <family val="2"/>
      </rPr>
      <t xml:space="preserve">폐허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기도하는 사람들</t>
    </r>
  </si>
  <si>
    <r>
      <rPr>
        <sz val="10"/>
        <color rgb="FFC00000"/>
        <rFont val="Arial"/>
        <family val="0"/>
        <charset val="1"/>
      </rPr>
      <t xml:space="preserve">4:10 </t>
    </r>
    <r>
      <rPr>
        <sz val="10"/>
        <color rgb="FFC00000"/>
        <rFont val="WenQuanYi Zen Hei"/>
        <family val="2"/>
      </rPr>
      <t xml:space="preserve">장면 묘사 금지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</si>
  <si>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#166 '</t>
    </r>
    <r>
      <rPr>
        <sz val="10"/>
        <color rgb="FF000000"/>
        <rFont val="WenQuanYi Zen Hei"/>
        <family val="2"/>
      </rPr>
      <t xml:space="preserve">아침마다 새로우니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</si>
  <si>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A0460</t>
  </si>
  <si>
    <t xml:space="preserve">B052</t>
  </si>
  <si>
    <t xml:space="preserve">S2-L31</t>
  </si>
  <si>
    <t xml:space="preserve">에스겔</t>
  </si>
  <si>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1:1-28</t>
    </r>
  </si>
  <si>
    <t xml:space="preserve">그발 강가의 환상</t>
  </si>
  <si>
    <r>
      <rPr>
        <sz val="10"/>
        <color rgb="FF000000"/>
        <rFont val="WenQuanYi Zen Hei"/>
        <family val="2"/>
      </rPr>
      <t xml:space="preserve">바퀴 안의 바퀴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불 같은 형상</t>
    </r>
  </si>
  <si>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1:28</t>
    </r>
  </si>
  <si>
    <t xml:space="preserve">하나님의 영광은 포로지에도 임합니다</t>
  </si>
  <si>
    <r>
      <rPr>
        <sz val="10"/>
        <color rgb="FF000000"/>
        <rFont val="WenQuanYi Zen Hei"/>
        <family val="2"/>
      </rPr>
      <t xml:space="preserve">에스겔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네 생물</t>
    </r>
  </si>
  <si>
    <r>
      <rPr>
        <sz val="10"/>
        <color rgb="FF000000"/>
        <rFont val="WenQuanYi Zen Hei"/>
        <family val="2"/>
      </rPr>
      <t xml:space="preserve">그발 강가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폭풍과 불</t>
    </r>
  </si>
  <si>
    <r>
      <rPr>
        <sz val="10"/>
        <color rgb="FFC00000"/>
        <rFont val="WenQuanYi Zen Hei"/>
        <family val="2"/>
      </rPr>
      <t xml:space="preserve">보좌 위 형상 직접 묘사 금지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빛</t>
    </r>
    <r>
      <rPr>
        <sz val="10"/>
        <color rgb="FFC00000"/>
        <rFont val="Arial"/>
        <family val="0"/>
        <charset val="1"/>
      </rPr>
      <t xml:space="preserve">). UFO·</t>
    </r>
    <r>
      <rPr>
        <sz val="10"/>
        <color rgb="FFC00000"/>
        <rFont val="WenQuanYi Zen Hei"/>
        <family val="2"/>
      </rPr>
      <t xml:space="preserve">외계인 해석 연출 금지</t>
    </r>
  </si>
  <si>
    <t xml:space="preserve">A0461</t>
  </si>
  <si>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2:1-3:27</t>
    </r>
  </si>
  <si>
    <t xml:space="preserve">두루마리를 먹다</t>
  </si>
  <si>
    <t xml:space="preserve">말씀이 꿀처럼 달았다</t>
  </si>
  <si>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3:17</t>
    </r>
  </si>
  <si>
    <t xml:space="preserve">하나님은 우리를 파수꾼으로 세우십니다</t>
  </si>
  <si>
    <r>
      <rPr>
        <sz val="10"/>
        <color rgb="FF000000"/>
        <rFont val="WenQuanYi Zen Hei"/>
        <family val="2"/>
      </rPr>
      <t xml:space="preserve">에스겔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하나님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음성</t>
    </r>
    <r>
      <rPr>
        <sz val="10"/>
        <color rgb="FF000000"/>
        <rFont val="Arial"/>
        <family val="0"/>
        <charset val="1"/>
      </rPr>
      <t xml:space="preserve">)</t>
    </r>
  </si>
  <si>
    <t xml:space="preserve">그발 강가</t>
  </si>
  <si>
    <t xml:space="preserve">A0462</t>
  </si>
  <si>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4:1-7:27</t>
    </r>
  </si>
  <si>
    <r>
      <rPr>
        <sz val="10"/>
        <color rgb="FF000000"/>
        <rFont val="Arial"/>
        <family val="0"/>
        <charset val="1"/>
      </rPr>
      <t xml:space="preserve">390</t>
    </r>
    <r>
      <rPr>
        <sz val="10"/>
        <color rgb="FF000000"/>
        <rFont val="WenQuanYi Zen Hei"/>
        <family val="2"/>
      </rPr>
      <t xml:space="preserve">일 동안 누운 선지자</t>
    </r>
  </si>
  <si>
    <t xml:space="preserve">몸으로 보여 준 예언</t>
  </si>
  <si>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4:5</t>
    </r>
  </si>
  <si>
    <t xml:space="preserve">하나님은 몸으로라도 경고하십니다</t>
  </si>
  <si>
    <t xml:space="preserve">흙벽돌 모형 예루살렘</t>
  </si>
  <si>
    <t xml:space="preserve">A0463</t>
  </si>
  <si>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8:1-11:25</t>
    </r>
  </si>
  <si>
    <t xml:space="preserve">성전을 떠나는 영광</t>
  </si>
  <si>
    <t xml:space="preserve">하나님의 영광이 성전 문지방을 떠났다</t>
  </si>
  <si>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10:18</t>
    </r>
  </si>
  <si>
    <t xml:space="preserve">죄는 하나님의 임재를 떠나게 합니다</t>
  </si>
  <si>
    <r>
      <rPr>
        <sz val="10"/>
        <color rgb="FF000000"/>
        <rFont val="WenQuanYi Zen Hei"/>
        <family val="2"/>
      </rPr>
      <t xml:space="preserve">에스겔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장로들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그룹들</t>
    </r>
  </si>
  <si>
    <t xml:space="preserve">예루살렘 성전 환상</t>
  </si>
  <si>
    <t xml:space="preserve">영광은 빛과 구름으로만</t>
  </si>
  <si>
    <t xml:space="preserve">A0464</t>
  </si>
  <si>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12:1-17:24</t>
    </r>
  </si>
  <si>
    <t xml:space="preserve">낮은 나무를 높이시는 하나님</t>
  </si>
  <si>
    <t xml:space="preserve">백향목 가지 하나에서 시작될 나라</t>
  </si>
  <si>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17:24</t>
    </r>
  </si>
  <si>
    <t xml:space="preserve">하나님은 낮은 자를 높이십니다</t>
  </si>
  <si>
    <r>
      <rPr>
        <sz val="10"/>
        <color rgb="FF000000"/>
        <rFont val="WenQuanYi Zen Hei"/>
        <family val="2"/>
      </rPr>
      <t xml:space="preserve">백향목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독수리</t>
    </r>
  </si>
  <si>
    <t xml:space="preserve">A0465</t>
  </si>
  <si>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18:1-32</t>
    </r>
  </si>
  <si>
    <t xml:space="preserve">각자의 책임</t>
  </si>
  <si>
    <t xml:space="preserve">아버지가 신 포도를 먹으면</t>
  </si>
  <si>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18:32</t>
    </r>
  </si>
  <si>
    <r>
      <rPr>
        <sz val="10"/>
        <color rgb="FF000000"/>
        <rFont val="WenQuanYi Zen Hei"/>
        <family val="2"/>
      </rPr>
      <t xml:space="preserve">하나님은 죽는 자도 기뻐하지 않으십니다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돌이켜 살라</t>
    </r>
  </si>
  <si>
    <t xml:space="preserve">A0466</t>
  </si>
  <si>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19:1-24:27</t>
    </r>
  </si>
  <si>
    <t xml:space="preserve">아내를 잃은 선지자</t>
  </si>
  <si>
    <t xml:space="preserve">울지도 못하게 하신 이유</t>
  </si>
  <si>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24:24</t>
    </r>
  </si>
  <si>
    <t xml:space="preserve">선지자의 삶 자체가 표징이었습니다</t>
  </si>
  <si>
    <t xml:space="preserve">포로지의 집</t>
  </si>
  <si>
    <t xml:space="preserve">A0467</t>
  </si>
  <si>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25:1-32:32</t>
    </r>
  </si>
  <si>
    <t xml:space="preserve">열방을 향한 심판</t>
  </si>
  <si>
    <t xml:space="preserve">교만한 두로 왕의 끝</t>
  </si>
  <si>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28:2</t>
    </r>
  </si>
  <si>
    <t xml:space="preserve">교만한 자는 하나님이 낮추십니다</t>
  </si>
  <si>
    <t xml:space="preserve">두로 항구</t>
  </si>
  <si>
    <r>
      <rPr>
        <sz val="10"/>
        <color rgb="FFC00000"/>
        <rFont val="Arial"/>
        <family val="0"/>
        <charset val="1"/>
      </rPr>
      <t xml:space="preserve">28:12-19 </t>
    </r>
    <r>
      <rPr>
        <sz val="10"/>
        <color rgb="FFC00000"/>
        <rFont val="WenQuanYi Zen Hei"/>
        <family val="2"/>
      </rPr>
      <t xml:space="preserve">사탄 기원 상상 연출 과도화 금지</t>
    </r>
  </si>
  <si>
    <t xml:space="preserve">A0468</t>
  </si>
  <si>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33:1-33</t>
    </r>
  </si>
  <si>
    <t xml:space="preserve">파수꾼의 책임</t>
  </si>
  <si>
    <t xml:space="preserve">나팔을 불지 않은 파수꾼</t>
  </si>
  <si>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33:11</t>
    </r>
  </si>
  <si>
    <t xml:space="preserve">하나님은 악인이 돌이켜 사는 것을 기뻐하십니다</t>
  </si>
  <si>
    <t xml:space="preserve">성벽 위 파수꾼</t>
  </si>
  <si>
    <t xml:space="preserve">A0469</t>
  </si>
  <si>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34:1-35:15</t>
    </r>
  </si>
  <si>
    <t xml:space="preserve">참 목자</t>
  </si>
  <si>
    <r>
      <rPr>
        <sz val="10"/>
        <color rgb="FF000000"/>
        <rFont val="WenQuanYi Zen Hei"/>
        <family val="2"/>
      </rPr>
      <t xml:space="preserve">양을 버린 목자들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직접 찾아오시는 목자</t>
    </r>
  </si>
  <si>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34:16</t>
    </r>
  </si>
  <si>
    <t xml:space="preserve">하나님은 잃어버린 양을 찾으십니다</t>
  </si>
  <si>
    <t xml:space="preserve">흩어진 양 떼</t>
  </si>
  <si>
    <r>
      <rPr>
        <sz val="10"/>
        <color rgb="FFC00000"/>
        <rFont val="WenQuanYi Zen Hei"/>
        <family val="2"/>
      </rPr>
      <t xml:space="preserve">요 </t>
    </r>
    <r>
      <rPr>
        <sz val="10"/>
        <color rgb="FFC00000"/>
        <rFont val="Arial"/>
        <family val="0"/>
        <charset val="1"/>
      </rPr>
      <t xml:space="preserve">10 </t>
    </r>
    <r>
      <rPr>
        <sz val="10"/>
        <color rgb="FFC00000"/>
        <rFont val="WenQuanYi Zen Hei"/>
        <family val="2"/>
      </rPr>
      <t xml:space="preserve">선한 목자 연결</t>
    </r>
  </si>
  <si>
    <t xml:space="preserve">A0470</t>
  </si>
  <si>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36:1-38</t>
    </r>
  </si>
  <si>
    <t xml:space="preserve">새 마음</t>
  </si>
  <si>
    <t xml:space="preserve">돌 같은 마음을 제거하고</t>
  </si>
  <si>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36:26</t>
    </r>
  </si>
  <si>
    <t xml:space="preserve">하나님은 새 마음과 새 영을 주십니다</t>
  </si>
  <si>
    <t xml:space="preserve">돌 심장과 살 심장 연출</t>
  </si>
  <si>
    <t xml:space="preserve">중생은 하나님의 은혜</t>
  </si>
  <si>
    <t xml:space="preserve">A0471</t>
  </si>
  <si>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37:1-14</t>
    </r>
  </si>
  <si>
    <t xml:space="preserve">마른 뼈 골짜기</t>
  </si>
  <si>
    <t xml:space="preserve">뼈들이 서로 붙고 살아났다</t>
  </si>
  <si>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37:5</t>
    </r>
  </si>
  <si>
    <t xml:space="preserve">하나님의 영이 들어가면 살아납니다</t>
  </si>
  <si>
    <r>
      <rPr>
        <sz val="10"/>
        <color rgb="FF000000"/>
        <rFont val="WenQuanYi Zen Hei"/>
        <family val="2"/>
      </rPr>
      <t xml:space="preserve">마른 뼈 골짜기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바람</t>
    </r>
  </si>
  <si>
    <r>
      <rPr>
        <sz val="10"/>
        <color rgb="FFC00000"/>
        <rFont val="WenQuanYi Zen Hei"/>
        <family val="2"/>
      </rPr>
      <t xml:space="preserve">공포 연출 금지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소망 중심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</si>
  <si>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애 </t>
    </r>
    <r>
      <rPr>
        <sz val="10"/>
        <color rgb="FF1F3864"/>
        <rFont val="Arial"/>
        <family val="0"/>
        <charset val="1"/>
      </rPr>
      <t xml:space="preserve">4:1-5:22 </t>
    </r>
    <r>
      <rPr>
        <sz val="10"/>
        <color rgb="FF1F3864"/>
        <rFont val="WenQuanYi Zen Hei"/>
        <family val="2"/>
      </rPr>
      <t xml:space="preserve">우리를 돌이키소서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겔 </t>
    </r>
    <r>
      <rPr>
        <sz val="10"/>
        <color rgb="FF1F3864"/>
        <rFont val="Arial"/>
        <family val="0"/>
        <charset val="1"/>
      </rPr>
      <t xml:space="preserve">1:1-28 </t>
    </r>
    <r>
      <rPr>
        <sz val="10"/>
        <color rgb="FF1F3864"/>
        <rFont val="WenQuanYi Zen Hei"/>
        <family val="2"/>
      </rPr>
      <t xml:space="preserve">그발 강가의 환상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겔 </t>
    </r>
    <r>
      <rPr>
        <sz val="10"/>
        <color rgb="FF1F3864"/>
        <rFont val="Arial"/>
        <family val="0"/>
        <charset val="1"/>
      </rPr>
      <t xml:space="preserve">2:1-3:27 </t>
    </r>
    <r>
      <rPr>
        <sz val="10"/>
        <color rgb="FF1F3864"/>
        <rFont val="WenQuanYi Zen Hei"/>
        <family val="2"/>
      </rPr>
      <t xml:space="preserve">두루마리를 먹다 외 </t>
    </r>
    <r>
      <rPr>
        <sz val="10"/>
        <color rgb="FF1F3864"/>
        <rFont val="Arial"/>
        <family val="0"/>
        <charset val="1"/>
      </rPr>
      <t xml:space="preserve">9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</si>
  <si>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A0472</t>
  </si>
  <si>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37:15-39:29</t>
    </r>
  </si>
  <si>
    <t xml:space="preserve">두 막대기와 곡</t>
  </si>
  <si>
    <t xml:space="preserve">하나 되는 두 왕국</t>
  </si>
  <si>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38:23</t>
    </r>
  </si>
  <si>
    <t xml:space="preserve">하나님은 모든 민족에게 자신을 알리십니다</t>
  </si>
  <si>
    <t xml:space="preserve">두 막대기</t>
  </si>
  <si>
    <r>
      <rPr>
        <sz val="10"/>
        <color rgb="FFC00000"/>
        <rFont val="WenQuanYi Zen Hei"/>
        <family val="2"/>
      </rPr>
      <t xml:space="preserve">곡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마곡 현대 국가 대입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시한부 종말론 해석 절대 금지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</si>
  <si>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#167 '</t>
    </r>
    <r>
      <rPr>
        <sz val="10"/>
        <color rgb="FF000000"/>
        <rFont val="WenQuanYi Zen Hei"/>
        <family val="2"/>
      </rPr>
      <t xml:space="preserve">마른 뼈 골짜기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</si>
  <si>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A0473</t>
  </si>
  <si>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40:1-48:35</t>
    </r>
  </si>
  <si>
    <t xml:space="preserve">생명수 강</t>
  </si>
  <si>
    <t xml:space="preserve">성전에서 흘러나온 물이 바다를 살렸다</t>
  </si>
  <si>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47:9</t>
    </r>
  </si>
  <si>
    <t xml:space="preserve">하나님의 생명은 흘러넘칩니다</t>
  </si>
  <si>
    <r>
      <rPr>
        <sz val="10"/>
        <color rgb="FF000000"/>
        <rFont val="WenQuanYi Zen Hei"/>
        <family val="2"/>
      </rPr>
      <t xml:space="preserve">에스겔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측량하는 사람</t>
    </r>
  </si>
  <si>
    <r>
      <rPr>
        <sz val="10"/>
        <color rgb="FF000000"/>
        <rFont val="WenQuanYi Zen Hei"/>
        <family val="2"/>
      </rPr>
      <t xml:space="preserve">새 성전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열매 맺는 나무</t>
    </r>
  </si>
  <si>
    <r>
      <rPr>
        <sz val="10"/>
        <color rgb="FFC00000"/>
        <rFont val="WenQuanYi Zen Hei"/>
        <family val="2"/>
      </rPr>
      <t xml:space="preserve">계 </t>
    </r>
    <r>
      <rPr>
        <sz val="10"/>
        <color rgb="FFC00000"/>
        <rFont val="Arial"/>
        <family val="0"/>
        <charset val="1"/>
      </rPr>
      <t xml:space="preserve">22:1-2 </t>
    </r>
    <r>
      <rPr>
        <sz val="10"/>
        <color rgb="FFC00000"/>
        <rFont val="WenQuanYi Zen Hei"/>
        <family val="2"/>
      </rPr>
      <t xml:space="preserve">연결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문자적 성전 재건 교리 강요 금지</t>
    </r>
  </si>
  <si>
    <t xml:space="preserve">A0474</t>
  </si>
  <si>
    <t xml:space="preserve">B053</t>
  </si>
  <si>
    <t xml:space="preserve">다니엘</t>
  </si>
  <si>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1:1-21</t>
    </r>
  </si>
  <si>
    <t xml:space="preserve">뜻을 정한 다니엘</t>
  </si>
  <si>
    <t xml:space="preserve">왕의 음식을 거절한 소년들</t>
  </si>
  <si>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1:8</t>
    </r>
  </si>
  <si>
    <t xml:space="preserve">작은 일에서부터 믿음을 지킵니다</t>
  </si>
  <si>
    <r>
      <rPr>
        <sz val="10"/>
        <color rgb="FF000000"/>
        <rFont val="WenQuanYi Zen Hei"/>
        <family val="2"/>
      </rPr>
      <t xml:space="preserve">다니엘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하나냐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미사엘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아사랴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환관장</t>
    </r>
  </si>
  <si>
    <t xml:space="preserve">바벨론 왕궁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</si>
  <si>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겔 </t>
    </r>
    <r>
      <rPr>
        <sz val="10"/>
        <color rgb="FF1F3864"/>
        <rFont val="Arial"/>
        <family val="0"/>
        <charset val="1"/>
      </rPr>
      <t xml:space="preserve">37:15-39:29 </t>
    </r>
    <r>
      <rPr>
        <sz val="10"/>
        <color rgb="FF1F3864"/>
        <rFont val="WenQuanYi Zen Hei"/>
        <family val="2"/>
      </rPr>
      <t xml:space="preserve">두 막대기와 곡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겔 </t>
    </r>
    <r>
      <rPr>
        <sz val="10"/>
        <color rgb="FF1F3864"/>
        <rFont val="Arial"/>
        <family val="0"/>
        <charset val="1"/>
      </rPr>
      <t xml:space="preserve">40:1-48:35 </t>
    </r>
    <r>
      <rPr>
        <sz val="10"/>
        <color rgb="FF1F3864"/>
        <rFont val="WenQuanYi Zen Hei"/>
        <family val="2"/>
      </rPr>
      <t xml:space="preserve">생명수 강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</si>
  <si>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A0475</t>
  </si>
  <si>
    <t xml:space="preserve">S2-L32</t>
  </si>
  <si>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2:1-30</t>
    </r>
  </si>
  <si>
    <t xml:space="preserve">아무도 풀 수 없는 꿈</t>
  </si>
  <si>
    <t xml:space="preserve">꿈 내용까지 맞혀야 하는 시험</t>
  </si>
  <si>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2:28</t>
    </r>
  </si>
  <si>
    <t xml:space="preserve">은밀한 것을 나타내시는 하나님</t>
  </si>
  <si>
    <r>
      <rPr>
        <sz val="10"/>
        <color rgb="FF000000"/>
        <rFont val="WenQuanYi Zen Hei"/>
        <family val="2"/>
      </rPr>
      <t xml:space="preserve">느부갓네살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다니엘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</si>
  <si>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#168 '</t>
    </r>
    <r>
      <rPr>
        <sz val="10"/>
        <color rgb="FF000000"/>
        <rFont val="WenQuanYi Zen Hei"/>
        <family val="2"/>
      </rPr>
      <t xml:space="preserve">뜻을 정한 다니엘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</si>
  <si>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A0476</t>
  </si>
  <si>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2:31-49</t>
    </r>
  </si>
  <si>
    <t xml:space="preserve">거대한 신상과 뜨인 돌</t>
  </si>
  <si>
    <t xml:space="preserve">사람 손으로 뜨지 않은 돌이 신상을 부쉈다</t>
  </si>
  <si>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2:44</t>
    </r>
  </si>
  <si>
    <t xml:space="preserve">하나님의 나라는 영원히 무너지지 않습니다</t>
  </si>
  <si>
    <r>
      <rPr>
        <sz val="10"/>
        <color rgb="FF000000"/>
        <rFont val="WenQuanYi Zen Hei"/>
        <family val="2"/>
      </rPr>
      <t xml:space="preserve">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놋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철 신상</t>
    </r>
  </si>
  <si>
    <t xml:space="preserve">특정 현대 국가 대입 금지</t>
  </si>
  <si>
    <t xml:space="preserve">A0477</t>
  </si>
  <si>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3:1-18</t>
    </r>
  </si>
  <si>
    <t xml:space="preserve">그리 아니하실지라도</t>
  </si>
  <si>
    <t xml:space="preserve">절하지 않으면 풀무불에 던지겠다</t>
  </si>
  <si>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3:18</t>
    </r>
  </si>
  <si>
    <t xml:space="preserve">구해 주지 않으셔도 우리는 절하지 않겠습니다</t>
  </si>
  <si>
    <r>
      <rPr>
        <sz val="10"/>
        <color rgb="FF000000"/>
        <rFont val="WenQuanYi Zen Hei"/>
        <family val="2"/>
      </rPr>
      <t xml:space="preserve">세 친구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느부갓네살</t>
    </r>
  </si>
  <si>
    <t xml:space="preserve">두라 평지 금신상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</si>
  <si>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단 </t>
    </r>
    <r>
      <rPr>
        <sz val="10"/>
        <color rgb="FF1F3864"/>
        <rFont val="Arial"/>
        <family val="0"/>
        <charset val="1"/>
      </rPr>
      <t xml:space="preserve">2:1-30 </t>
    </r>
    <r>
      <rPr>
        <sz val="10"/>
        <color rgb="FF1F3864"/>
        <rFont val="WenQuanYi Zen Hei"/>
        <family val="2"/>
      </rPr>
      <t xml:space="preserve">아무도 풀 수 없는 꿈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단 </t>
    </r>
    <r>
      <rPr>
        <sz val="10"/>
        <color rgb="FF1F3864"/>
        <rFont val="Arial"/>
        <family val="0"/>
        <charset val="1"/>
      </rPr>
      <t xml:space="preserve">2:31-49 </t>
    </r>
    <r>
      <rPr>
        <sz val="10"/>
        <color rgb="FF1F3864"/>
        <rFont val="WenQuanYi Zen Hei"/>
        <family val="2"/>
      </rPr>
      <t xml:space="preserve">거대한 신상과 뜨인 돌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</si>
  <si>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A0478</t>
  </si>
  <si>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3:19-30</t>
    </r>
  </si>
  <si>
    <t xml:space="preserve">풀무불 속 네 번째 사람</t>
  </si>
  <si>
    <t xml:space="preserve">불 속에 세 명을 던졌는데 네 명이 걷고 있었다</t>
  </si>
  <si>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3:25</t>
    </r>
  </si>
  <si>
    <t xml:space="preserve">하나님은 불 속에서도 함께하십니다</t>
  </si>
  <si>
    <r>
      <rPr>
        <sz val="10"/>
        <color rgb="FF000000"/>
        <rFont val="WenQuanYi Zen Hei"/>
        <family val="2"/>
      </rPr>
      <t xml:space="preserve">세 친구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넷째 사람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느부갓네살</t>
    </r>
  </si>
  <si>
    <t xml:space="preserve">풀무불</t>
  </si>
  <si>
    <t xml:space="preserve">넷째 사람은 얼굴 없이 빛으로</t>
  </si>
  <si>
    <t xml:space="preserve">A0479</t>
  </si>
  <si>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4:1-37</t>
    </r>
  </si>
  <si>
    <t xml:space="preserve">짐승처럼 된 왕</t>
  </si>
  <si>
    <r>
      <rPr>
        <sz val="10"/>
        <color rgb="FF000000"/>
        <rFont val="WenQuanYi Zen Hei"/>
        <family val="2"/>
      </rPr>
      <t xml:space="preserve">교만한 왕이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년 동안 들짐승처럼 살았다</t>
    </r>
  </si>
  <si>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4:37</t>
    </r>
  </si>
  <si>
    <t xml:space="preserve">하나님은 교만한 자를 낮추십니다</t>
  </si>
  <si>
    <r>
      <rPr>
        <sz val="10"/>
        <color rgb="FF000000"/>
        <rFont val="WenQuanYi Zen Hei"/>
        <family val="2"/>
      </rPr>
      <t xml:space="preserve">바벨론 궁전 옥상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들판</t>
    </r>
  </si>
  <si>
    <t xml:space="preserve">A0480</t>
  </si>
  <si>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5:1-31</t>
    </r>
  </si>
  <si>
    <t xml:space="preserve">벽에 나타난 손가락</t>
  </si>
  <si>
    <t xml:space="preserve">잔치 도중 벽에 글씨가 써졌다</t>
  </si>
  <si>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5:27</t>
    </r>
  </si>
  <si>
    <t xml:space="preserve">하나님의 저울에 달려 부족함이 보였습니다</t>
  </si>
  <si>
    <r>
      <rPr>
        <sz val="10"/>
        <color rgb="FF000000"/>
        <rFont val="WenQuanYi Zen Hei"/>
        <family val="2"/>
      </rPr>
      <t xml:space="preserve">벨사살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다니엘</t>
    </r>
  </si>
  <si>
    <t xml:space="preserve">연회장 벽</t>
  </si>
  <si>
    <t xml:space="preserve">A0481</t>
  </si>
  <si>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6:1-15</t>
    </r>
  </si>
  <si>
    <t xml:space="preserve">하루 세 번 기도</t>
  </si>
  <si>
    <t xml:space="preserve">기도하면 사자 굴에 던진다는 법</t>
  </si>
  <si>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6:10</t>
    </r>
  </si>
  <si>
    <t xml:space="preserve">위험해도 기도를 멈추지 않습니다</t>
  </si>
  <si>
    <r>
      <rPr>
        <sz val="10"/>
        <color rgb="FF000000"/>
        <rFont val="WenQuanYi Zen Hei"/>
        <family val="2"/>
      </rPr>
      <t xml:space="preserve">다니엘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총리들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다리오</t>
    </r>
  </si>
  <si>
    <t xml:space="preserve">다니엘의 집 창문</t>
  </si>
  <si>
    <t xml:space="preserve">A0482</t>
  </si>
  <si>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6:16-28</t>
    </r>
  </si>
  <si>
    <t xml:space="preserve">사자 굴</t>
  </si>
  <si>
    <t xml:space="preserve">사자들의 입이 닫혔다</t>
  </si>
  <si>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6:22</t>
    </r>
  </si>
  <si>
    <t xml:space="preserve">하나님은 사자의 입을 막으십니다</t>
  </si>
  <si>
    <r>
      <rPr>
        <sz val="10"/>
        <color rgb="FF000000"/>
        <rFont val="WenQuanYi Zen Hei"/>
        <family val="2"/>
      </rPr>
      <t xml:space="preserve">다니엘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다리오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사자들</t>
    </r>
  </si>
  <si>
    <t xml:space="preserve">대적들이 던져지는 장면 묘사 금지</t>
  </si>
  <si>
    <t xml:space="preserve">A0483</t>
  </si>
  <si>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7:1-28</t>
    </r>
  </si>
  <si>
    <t xml:space="preserve">네 짐승과 인자 같은 이</t>
  </si>
  <si>
    <t xml:space="preserve">바다에서 올라온 네 짐승</t>
  </si>
  <si>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7:14</t>
    </r>
  </si>
  <si>
    <t xml:space="preserve">인자 같은 이에게 영원한 나라가 주어집니다</t>
  </si>
  <si>
    <r>
      <rPr>
        <sz val="10"/>
        <color rgb="FF000000"/>
        <rFont val="WenQuanYi Zen Hei"/>
        <family val="2"/>
      </rPr>
      <t xml:space="preserve">다니엘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인자 같은 이</t>
    </r>
  </si>
  <si>
    <r>
      <rPr>
        <sz val="10"/>
        <color rgb="FF000000"/>
        <rFont val="WenQuanYi Zen Hei"/>
        <family val="2"/>
      </rPr>
      <t xml:space="preserve">폭풍 치는 바다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하늘 구름</t>
    </r>
  </si>
  <si>
    <r>
      <rPr>
        <sz val="10"/>
        <color rgb="FFC00000"/>
        <rFont val="WenQuanYi Zen Hei"/>
        <family val="2"/>
      </rPr>
      <t xml:space="preserve">인자 </t>
    </r>
    <r>
      <rPr>
        <sz val="10"/>
        <color rgb="FFC00000"/>
        <rFont val="Arial"/>
        <family val="0"/>
        <charset val="1"/>
      </rPr>
      <t xml:space="preserve">= </t>
    </r>
    <r>
      <rPr>
        <sz val="10"/>
        <color rgb="FFC00000"/>
        <rFont val="WenQuanYi Zen Hei"/>
        <family val="2"/>
      </rPr>
      <t xml:space="preserve">그리스도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마 </t>
    </r>
    <r>
      <rPr>
        <sz val="10"/>
        <color rgb="FFC00000"/>
        <rFont val="Arial"/>
        <family val="0"/>
        <charset val="1"/>
      </rPr>
      <t xml:space="preserve">26:64). </t>
    </r>
    <r>
      <rPr>
        <sz val="10"/>
        <color rgb="FFC00000"/>
        <rFont val="WenQuanYi Zen Hei"/>
        <family val="2"/>
      </rPr>
      <t xml:space="preserve">상징 해석 단정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현대 대입 금지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하나님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옛적부터 항상 계신 이</t>
    </r>
    <r>
      <rPr>
        <sz val="10"/>
        <color rgb="FFC00000"/>
        <rFont val="Arial"/>
        <family val="0"/>
        <charset val="1"/>
      </rPr>
      <t xml:space="preserve">)</t>
    </r>
    <r>
      <rPr>
        <sz val="10"/>
        <color rgb="FFC00000"/>
        <rFont val="WenQuanYi Zen Hei"/>
        <family val="2"/>
      </rPr>
      <t xml:space="preserve">은 빛으로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</si>
  <si>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#174 '</t>
    </r>
    <r>
      <rPr>
        <sz val="10"/>
        <color rgb="FF000000"/>
        <rFont val="WenQuanYi Zen Hei"/>
        <family val="2"/>
      </rPr>
      <t xml:space="preserve">사자 굴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</si>
  <si>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A0484</t>
  </si>
  <si>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8:1-27</t>
    </r>
  </si>
  <si>
    <t xml:space="preserve">숫양과 숫염소</t>
  </si>
  <si>
    <t xml:space="preserve">두 뿔 숫양과 한 뿔 숫염소의 싸움</t>
  </si>
  <si>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8:26</t>
    </r>
  </si>
  <si>
    <t xml:space="preserve">하나님은 역사의 흐름을 미리 아십니다</t>
  </si>
  <si>
    <r>
      <rPr>
        <sz val="10"/>
        <color rgb="FF000000"/>
        <rFont val="WenQuanYi Zen Hei"/>
        <family val="2"/>
      </rPr>
      <t xml:space="preserve">다니엘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가브리엘</t>
    </r>
  </si>
  <si>
    <t xml:space="preserve">을래 강가</t>
  </si>
  <si>
    <t xml:space="preserve">가브리엘은 사람 형상의 빛</t>
  </si>
  <si>
    <t xml:space="preserve">A0485</t>
  </si>
  <si>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9:1-27</t>
    </r>
  </si>
  <si>
    <t xml:space="preserve">다니엘의 회개 기도</t>
  </si>
  <si>
    <t xml:space="preserve">성경을 읽다가 무릎을 꿇었다</t>
  </si>
  <si>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9:19</t>
    </r>
  </si>
  <si>
    <r>
      <rPr>
        <sz val="10"/>
        <color rgb="FF000000"/>
        <rFont val="WenQuanYi Zen Hei"/>
        <family val="2"/>
      </rPr>
      <t xml:space="preserve">주여 들으소서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주여 용서하소서</t>
    </r>
  </si>
  <si>
    <r>
      <rPr>
        <sz val="10"/>
        <color rgb="FF000000"/>
        <rFont val="WenQuanYi Zen Hei"/>
        <family val="2"/>
      </rPr>
      <t xml:space="preserve">바벨론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창가의 기도</t>
    </r>
  </si>
  <si>
    <r>
      <rPr>
        <sz val="10"/>
        <color rgb="FFC00000"/>
        <rFont val="Arial"/>
        <family val="0"/>
        <charset val="1"/>
      </rPr>
      <t xml:space="preserve">70</t>
    </r>
    <r>
      <rPr>
        <sz val="10"/>
        <color rgb="FFC00000"/>
        <rFont val="WenQuanYi Zen Hei"/>
        <family val="2"/>
      </rPr>
      <t xml:space="preserve">이레로 날짜 계산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시한부 종말론 절대 금지</t>
    </r>
  </si>
  <si>
    <t xml:space="preserve">A0486</t>
  </si>
  <si>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10:1-12:13</t>
    </r>
  </si>
  <si>
    <t xml:space="preserve">별처럼 빛나리라</t>
  </si>
  <si>
    <t xml:space="preserve">마지막 날에 대한 환상</t>
  </si>
  <si>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12:3</t>
    </r>
  </si>
  <si>
    <t xml:space="preserve">많은 사람을 옳은 데로 돌아오게 한 자는 별과 같이 빛나리라</t>
  </si>
  <si>
    <r>
      <rPr>
        <sz val="10"/>
        <color rgb="FF000000"/>
        <rFont val="WenQuanYi Zen Hei"/>
        <family val="2"/>
      </rPr>
      <t xml:space="preserve">다니엘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세마포 입은 사람</t>
    </r>
  </si>
  <si>
    <t xml:space="preserve">힛데겔 강가</t>
  </si>
  <si>
    <r>
      <rPr>
        <sz val="10"/>
        <color rgb="FFC00000"/>
        <rFont val="WenQuanYi Zen Hei"/>
        <family val="2"/>
      </rPr>
      <t xml:space="preserve">날짜 계산 금지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부활 소망</t>
    </r>
    <r>
      <rPr>
        <sz val="10"/>
        <color rgb="FFC00000"/>
        <rFont val="Arial"/>
        <family val="0"/>
        <charset val="1"/>
      </rPr>
      <t xml:space="preserve">(12:2) </t>
    </r>
    <r>
      <rPr>
        <sz val="10"/>
        <color rgb="FFC00000"/>
        <rFont val="WenQuanYi Zen Hei"/>
        <family val="2"/>
      </rPr>
      <t xml:space="preserve">중심</t>
    </r>
  </si>
  <si>
    <t xml:space="preserve">A0487</t>
  </si>
  <si>
    <t xml:space="preserve">B054</t>
  </si>
  <si>
    <t xml:space="preserve">호세아</t>
  </si>
  <si>
    <r>
      <rPr>
        <sz val="10"/>
        <color rgb="FF000000"/>
        <rFont val="WenQuanYi Zen Hei"/>
        <family val="2"/>
      </rPr>
      <t xml:space="preserve">호 </t>
    </r>
    <r>
      <rPr>
        <sz val="10"/>
        <color rgb="FF000000"/>
        <rFont val="Arial"/>
        <family val="0"/>
        <charset val="1"/>
      </rPr>
      <t xml:space="preserve">1:1-2:23</t>
    </r>
  </si>
  <si>
    <t xml:space="preserve">돌아오지 않는 아내</t>
  </si>
  <si>
    <t xml:space="preserve">선지자에게 내린 이해하기 힘든 명령</t>
  </si>
  <si>
    <r>
      <rPr>
        <sz val="10"/>
        <color rgb="FF000000"/>
        <rFont val="WenQuanYi Zen Hei"/>
        <family val="2"/>
      </rPr>
      <t xml:space="preserve">호 </t>
    </r>
    <r>
      <rPr>
        <sz val="10"/>
        <color rgb="FF000000"/>
        <rFont val="Arial"/>
        <family val="0"/>
        <charset val="1"/>
      </rPr>
      <t xml:space="preserve">2:19</t>
    </r>
  </si>
  <si>
    <t xml:space="preserve">하나님은 영원히 신실한 사랑으로 우리와 약혼하십니다</t>
  </si>
  <si>
    <r>
      <rPr>
        <sz val="10"/>
        <color rgb="FF000000"/>
        <rFont val="WenQuanYi Zen Hei"/>
        <family val="2"/>
      </rPr>
      <t xml:space="preserve">호세아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고멜</t>
    </r>
  </si>
  <si>
    <t xml:space="preserve">이스라엘 마을</t>
  </si>
  <si>
    <r>
      <rPr>
        <sz val="10"/>
        <color rgb="FFC00000"/>
        <rFont val="WenQuanYi Zen Hei"/>
        <family val="2"/>
      </rPr>
      <t xml:space="preserve">음란 묘사 일절 금지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하나님의 사랑 비유로만</t>
    </r>
  </si>
  <si>
    <t xml:space="preserve">A0488</t>
  </si>
  <si>
    <r>
      <rPr>
        <sz val="10"/>
        <color rgb="FF000000"/>
        <rFont val="WenQuanYi Zen Hei"/>
        <family val="2"/>
      </rPr>
      <t xml:space="preserve">호 </t>
    </r>
    <r>
      <rPr>
        <sz val="10"/>
        <color rgb="FF000000"/>
        <rFont val="Arial"/>
        <family val="0"/>
        <charset val="1"/>
      </rPr>
      <t xml:space="preserve">3:1-5</t>
    </r>
  </si>
  <si>
    <t xml:space="preserve">다시 사 오다</t>
  </si>
  <si>
    <r>
      <rPr>
        <sz val="10"/>
        <color rgb="FF000000"/>
        <rFont val="WenQuanYi Zen Hei"/>
        <family val="2"/>
      </rPr>
      <t xml:space="preserve">은 </t>
    </r>
    <r>
      <rPr>
        <sz val="10"/>
        <color rgb="FF000000"/>
        <rFont val="Arial"/>
        <family val="0"/>
        <charset val="1"/>
      </rPr>
      <t xml:space="preserve">15</t>
    </r>
    <r>
      <rPr>
        <sz val="10"/>
        <color rgb="FF000000"/>
        <rFont val="WenQuanYi Zen Hei"/>
        <family val="2"/>
      </rPr>
      <t xml:space="preserve">개와 보리로 아내를 다시 사 오다</t>
    </r>
  </si>
  <si>
    <r>
      <rPr>
        <sz val="10"/>
        <color rgb="FF000000"/>
        <rFont val="WenQuanYi Zen Hei"/>
        <family val="2"/>
      </rPr>
      <t xml:space="preserve">호 </t>
    </r>
    <r>
      <rPr>
        <sz val="10"/>
        <color rgb="FF000000"/>
        <rFont val="Arial"/>
        <family val="0"/>
        <charset val="1"/>
      </rPr>
      <t xml:space="preserve">3:1</t>
    </r>
  </si>
  <si>
    <t xml:space="preserve">하나님은 배신한 백성을 다시 사랑하십니다</t>
  </si>
  <si>
    <t xml:space="preserve">노예 시장</t>
  </si>
  <si>
    <t xml:space="preserve">A0489</t>
  </si>
  <si>
    <t xml:space="preserve">S2-L33</t>
  </si>
  <si>
    <r>
      <rPr>
        <sz val="10"/>
        <color rgb="FF000000"/>
        <rFont val="WenQuanYi Zen Hei"/>
        <family val="2"/>
      </rPr>
      <t xml:space="preserve">호 </t>
    </r>
    <r>
      <rPr>
        <sz val="10"/>
        <color rgb="FF000000"/>
        <rFont val="Arial"/>
        <family val="0"/>
        <charset val="1"/>
      </rPr>
      <t xml:space="preserve">4:1-10:15</t>
    </r>
  </si>
  <si>
    <t xml:space="preserve">여호와를 알자</t>
  </si>
  <si>
    <t xml:space="preserve">지식이 없어 망하는 백성</t>
  </si>
  <si>
    <r>
      <rPr>
        <sz val="10"/>
        <color rgb="FF000000"/>
        <rFont val="WenQuanYi Zen Hei"/>
        <family val="2"/>
      </rPr>
      <t xml:space="preserve">호 </t>
    </r>
    <r>
      <rPr>
        <sz val="10"/>
        <color rgb="FF000000"/>
        <rFont val="Arial"/>
        <family val="0"/>
        <charset val="1"/>
      </rPr>
      <t xml:space="preserve">6:3</t>
    </r>
  </si>
  <si>
    <t xml:space="preserve">힘써 여호와를 알자</t>
  </si>
  <si>
    <t xml:space="preserve">이스라엘</t>
  </si>
  <si>
    <t xml:space="preserve">A0490</t>
  </si>
  <si>
    <r>
      <rPr>
        <sz val="10"/>
        <color rgb="FF000000"/>
        <rFont val="WenQuanYi Zen Hei"/>
        <family val="2"/>
      </rPr>
      <t xml:space="preserve">호 </t>
    </r>
    <r>
      <rPr>
        <sz val="10"/>
        <color rgb="FF000000"/>
        <rFont val="Arial"/>
        <family val="0"/>
        <charset val="1"/>
      </rPr>
      <t xml:space="preserve">11:1-14:9</t>
    </r>
  </si>
  <si>
    <t xml:space="preserve">내가 어찌 너를 놓겠느냐</t>
  </si>
  <si>
    <t xml:space="preserve">아이에게 걸음마를 가르친 아버지의 마음</t>
  </si>
  <si>
    <r>
      <rPr>
        <sz val="10"/>
        <color rgb="FF000000"/>
        <rFont val="WenQuanYi Zen Hei"/>
        <family val="2"/>
      </rPr>
      <t xml:space="preserve">호 </t>
    </r>
    <r>
      <rPr>
        <sz val="10"/>
        <color rgb="FF000000"/>
        <rFont val="Arial"/>
        <family val="0"/>
        <charset val="1"/>
      </rPr>
      <t xml:space="preserve">11:8</t>
    </r>
  </si>
  <si>
    <t xml:space="preserve">하나님의 사랑은 우리를 포기하지 않습니다</t>
  </si>
  <si>
    <t xml:space="preserve">어린아이 손을 잡은 아버지</t>
  </si>
  <si>
    <t xml:space="preserve">A0491</t>
  </si>
  <si>
    <t xml:space="preserve">요엘</t>
  </si>
  <si>
    <r>
      <rPr>
        <sz val="10"/>
        <color rgb="FF000000"/>
        <rFont val="WenQuanYi Zen Hei"/>
        <family val="2"/>
      </rPr>
      <t xml:space="preserve">욜 </t>
    </r>
    <r>
      <rPr>
        <sz val="10"/>
        <color rgb="FF000000"/>
        <rFont val="Arial"/>
        <family val="0"/>
        <charset val="1"/>
      </rPr>
      <t xml:space="preserve">1:1-2:17</t>
    </r>
  </si>
  <si>
    <t xml:space="preserve">메뚜기 군대</t>
  </si>
  <si>
    <t xml:space="preserve">하늘을 가린 메뚜기 떼</t>
  </si>
  <si>
    <r>
      <rPr>
        <sz val="10"/>
        <color rgb="FF000000"/>
        <rFont val="WenQuanYi Zen Hei"/>
        <family val="2"/>
      </rPr>
      <t xml:space="preserve">욜 </t>
    </r>
    <r>
      <rPr>
        <sz val="10"/>
        <color rgb="FF000000"/>
        <rFont val="Arial"/>
        <family val="0"/>
        <charset val="1"/>
      </rPr>
      <t xml:space="preserve">2:13</t>
    </r>
  </si>
  <si>
    <t xml:space="preserve">옷이 아니라 마음을 찢고 돌아오라</t>
  </si>
  <si>
    <r>
      <rPr>
        <sz val="10"/>
        <color rgb="FF000000"/>
        <rFont val="WenQuanYi Zen Hei"/>
        <family val="2"/>
      </rPr>
      <t xml:space="preserve">메뚜기 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황폐한 밭</t>
    </r>
  </si>
  <si>
    <t xml:space="preserve">A0492</t>
  </si>
  <si>
    <r>
      <rPr>
        <sz val="10"/>
        <color rgb="FF000000"/>
        <rFont val="WenQuanYi Zen Hei"/>
        <family val="2"/>
      </rPr>
      <t xml:space="preserve">욜 </t>
    </r>
    <r>
      <rPr>
        <sz val="10"/>
        <color rgb="FF000000"/>
        <rFont val="Arial"/>
        <family val="0"/>
        <charset val="1"/>
      </rPr>
      <t xml:space="preserve">2:18-32</t>
    </r>
  </si>
  <si>
    <t xml:space="preserve">내 영을 부어 주리라</t>
  </si>
  <si>
    <t xml:space="preserve">모든 사람에게 성령을 부어 주시는 날</t>
  </si>
  <si>
    <r>
      <rPr>
        <sz val="10"/>
        <color rgb="FF000000"/>
        <rFont val="WenQuanYi Zen Hei"/>
        <family val="2"/>
      </rPr>
      <t xml:space="preserve">욜 </t>
    </r>
    <r>
      <rPr>
        <sz val="10"/>
        <color rgb="FF000000"/>
        <rFont val="Arial"/>
        <family val="0"/>
        <charset val="1"/>
      </rPr>
      <t xml:space="preserve">2:28</t>
    </r>
  </si>
  <si>
    <t xml:space="preserve">하나님은 모든 사람에게 성령을 부어 주십니다</t>
  </si>
  <si>
    <r>
      <rPr>
        <sz val="10"/>
        <color rgb="FF000000"/>
        <rFont val="WenQuanYi Zen Hei"/>
        <family val="2"/>
      </rPr>
      <t xml:space="preserve">꿈꾸는 노인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환상 보는 청년</t>
    </r>
  </si>
  <si>
    <r>
      <rPr>
        <sz val="10"/>
        <color rgb="FFC00000"/>
        <rFont val="WenQuanYi Zen Hei"/>
        <family val="2"/>
      </rPr>
      <t xml:space="preserve">행 </t>
    </r>
    <r>
      <rPr>
        <sz val="10"/>
        <color rgb="FFC00000"/>
        <rFont val="Arial"/>
        <family val="0"/>
        <charset val="1"/>
      </rPr>
      <t xml:space="preserve">2:17 </t>
    </r>
    <r>
      <rPr>
        <sz val="10"/>
        <color rgb="FFC00000"/>
        <rFont val="WenQuanYi Zen Hei"/>
        <family val="2"/>
      </rPr>
      <t xml:space="preserve">오순절 성취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특정 인물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단체 성령 독점 주장 배제</t>
    </r>
  </si>
  <si>
    <t xml:space="preserve">A0493</t>
  </si>
  <si>
    <r>
      <rPr>
        <sz val="10"/>
        <color rgb="FF000000"/>
        <rFont val="WenQuanYi Zen Hei"/>
        <family val="2"/>
      </rPr>
      <t xml:space="preserve">욜 </t>
    </r>
    <r>
      <rPr>
        <sz val="10"/>
        <color rgb="FF000000"/>
        <rFont val="Arial"/>
        <family val="0"/>
        <charset val="1"/>
      </rPr>
      <t xml:space="preserve">3:1-21</t>
    </r>
  </si>
  <si>
    <t xml:space="preserve">판결의 골짜기</t>
  </si>
  <si>
    <t xml:space="preserve">모든 민족이 모이는 날</t>
  </si>
  <si>
    <r>
      <rPr>
        <sz val="10"/>
        <color rgb="FF000000"/>
        <rFont val="WenQuanYi Zen Hei"/>
        <family val="2"/>
      </rPr>
      <t xml:space="preserve">욜 </t>
    </r>
    <r>
      <rPr>
        <sz val="10"/>
        <color rgb="FF000000"/>
        <rFont val="Arial"/>
        <family val="0"/>
        <charset val="1"/>
      </rPr>
      <t xml:space="preserve">3:16</t>
    </r>
  </si>
  <si>
    <t xml:space="preserve">여호와는 그의 백성의 피난처이십니다</t>
  </si>
  <si>
    <t xml:space="preserve">여호사밧 골짜기</t>
  </si>
  <si>
    <t xml:space="preserve">A0494</t>
  </si>
  <si>
    <t xml:space="preserve">아모스</t>
  </si>
  <si>
    <r>
      <rPr>
        <sz val="10"/>
        <color rgb="FF000000"/>
        <rFont val="WenQuanYi Zen Hei"/>
        <family val="2"/>
      </rPr>
      <t xml:space="preserve">암 </t>
    </r>
    <r>
      <rPr>
        <sz val="10"/>
        <color rgb="FF000000"/>
        <rFont val="Arial"/>
        <family val="0"/>
        <charset val="1"/>
      </rPr>
      <t xml:space="preserve">1:1-2:16</t>
    </r>
  </si>
  <si>
    <t xml:space="preserve">사자가 부르짖을 때</t>
  </si>
  <si>
    <t xml:space="preserve">목자 출신 선지자가 나라들을 꾸짖다</t>
  </si>
  <si>
    <r>
      <rPr>
        <sz val="10"/>
        <color rgb="FF000000"/>
        <rFont val="WenQuanYi Zen Hei"/>
        <family val="2"/>
      </rPr>
      <t xml:space="preserve">암 </t>
    </r>
    <r>
      <rPr>
        <sz val="10"/>
        <color rgb="FF000000"/>
        <rFont val="Arial"/>
        <family val="0"/>
        <charset val="1"/>
      </rPr>
      <t xml:space="preserve">1:2</t>
    </r>
  </si>
  <si>
    <t xml:space="preserve">하나님은 모든 민족의 죄를 보십니다</t>
  </si>
  <si>
    <t xml:space="preserve">드고아 목장</t>
  </si>
  <si>
    <t xml:space="preserve">A0495</t>
  </si>
  <si>
    <r>
      <rPr>
        <sz val="10"/>
        <color rgb="FF000000"/>
        <rFont val="WenQuanYi Zen Hei"/>
        <family val="2"/>
      </rPr>
      <t xml:space="preserve">암 </t>
    </r>
    <r>
      <rPr>
        <sz val="10"/>
        <color rgb="FF000000"/>
        <rFont val="Arial"/>
        <family val="0"/>
        <charset val="1"/>
      </rPr>
      <t xml:space="preserve">3:1-6:14</t>
    </r>
  </si>
  <si>
    <t xml:space="preserve">정의를 물같이</t>
  </si>
  <si>
    <t xml:space="preserve">화려한 예배보다 원하시는 것</t>
  </si>
  <si>
    <r>
      <rPr>
        <sz val="10"/>
        <color rgb="FF000000"/>
        <rFont val="WenQuanYi Zen Hei"/>
        <family val="2"/>
      </rPr>
      <t xml:space="preserve">암 </t>
    </r>
    <r>
      <rPr>
        <sz val="10"/>
        <color rgb="FF000000"/>
        <rFont val="Arial"/>
        <family val="0"/>
        <charset val="1"/>
      </rPr>
      <t xml:space="preserve">5:24</t>
    </r>
  </si>
  <si>
    <t xml:space="preserve">정의를 강같이 흐르게 하라</t>
  </si>
  <si>
    <r>
      <rPr>
        <sz val="10"/>
        <color rgb="FF000000"/>
        <rFont val="WenQuanYi Zen Hei"/>
        <family val="2"/>
      </rPr>
      <t xml:space="preserve">벧엘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상아 침상</t>
    </r>
  </si>
  <si>
    <t xml:space="preserve">A0496</t>
  </si>
  <si>
    <r>
      <rPr>
        <sz val="10"/>
        <color rgb="FF000000"/>
        <rFont val="WenQuanYi Zen Hei"/>
        <family val="2"/>
      </rPr>
      <t xml:space="preserve">암 </t>
    </r>
    <r>
      <rPr>
        <sz val="10"/>
        <color rgb="FF000000"/>
        <rFont val="Arial"/>
        <family val="0"/>
        <charset val="1"/>
      </rPr>
      <t xml:space="preserve">7:1-17</t>
    </r>
  </si>
  <si>
    <t xml:space="preserve">다림줄</t>
  </si>
  <si>
    <t xml:space="preserve">하나님이 벽에 다림줄을 대셨다</t>
  </si>
  <si>
    <r>
      <rPr>
        <sz val="10"/>
        <color rgb="FF000000"/>
        <rFont val="WenQuanYi Zen Hei"/>
        <family val="2"/>
      </rPr>
      <t xml:space="preserve">암 </t>
    </r>
    <r>
      <rPr>
        <sz val="10"/>
        <color rgb="FF000000"/>
        <rFont val="Arial"/>
        <family val="0"/>
        <charset val="1"/>
      </rPr>
      <t xml:space="preserve">7:8</t>
    </r>
  </si>
  <si>
    <t xml:space="preserve">하나님의 기준은 곧고 정확합니다</t>
  </si>
  <si>
    <r>
      <rPr>
        <sz val="10"/>
        <color rgb="FF000000"/>
        <rFont val="WenQuanYi Zen Hei"/>
        <family val="2"/>
      </rPr>
      <t xml:space="preserve">아모스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아마샤</t>
    </r>
  </si>
  <si>
    <r>
      <rPr>
        <sz val="10"/>
        <color rgb="FF000000"/>
        <rFont val="WenQuanYi Zen Hei"/>
        <family val="2"/>
      </rPr>
      <t xml:space="preserve">벧엘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다림줄</t>
    </r>
  </si>
  <si>
    <t xml:space="preserve">A0497</t>
  </si>
  <si>
    <r>
      <rPr>
        <sz val="10"/>
        <color rgb="FF000000"/>
        <rFont val="WenQuanYi Zen Hei"/>
        <family val="2"/>
      </rPr>
      <t xml:space="preserve">암 </t>
    </r>
    <r>
      <rPr>
        <sz val="10"/>
        <color rgb="FF000000"/>
        <rFont val="Arial"/>
        <family val="0"/>
        <charset val="1"/>
      </rPr>
      <t xml:space="preserve">8:1-9:15</t>
    </r>
  </si>
  <si>
    <t xml:space="preserve">말씀의 기근</t>
  </si>
  <si>
    <t xml:space="preserve">양식이 없는 것이 아니라 말씀이 없는 기근</t>
  </si>
  <si>
    <r>
      <rPr>
        <sz val="10"/>
        <color rgb="FF000000"/>
        <rFont val="WenQuanYi Zen Hei"/>
        <family val="2"/>
      </rPr>
      <t xml:space="preserve">암 </t>
    </r>
    <r>
      <rPr>
        <sz val="10"/>
        <color rgb="FF000000"/>
        <rFont val="Arial"/>
        <family val="0"/>
        <charset val="1"/>
      </rPr>
      <t xml:space="preserve">8:11</t>
    </r>
  </si>
  <si>
    <t xml:space="preserve">말씀을 듣지 못하는 것이 가장 큰 기근입니다</t>
  </si>
  <si>
    <r>
      <rPr>
        <sz val="10"/>
        <color rgb="FF000000"/>
        <rFont val="WenQuanYi Zen Hei"/>
        <family val="2"/>
      </rPr>
      <t xml:space="preserve">여름 과일 광주리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회복된 포도원</t>
    </r>
  </si>
  <si>
    <t xml:space="preserve">A0498</t>
  </si>
  <si>
    <t xml:space="preserve">B055</t>
  </si>
  <si>
    <t xml:space="preserve">S2-L34</t>
  </si>
  <si>
    <t xml:space="preserve">오바댜</t>
  </si>
  <si>
    <r>
      <rPr>
        <sz val="10"/>
        <color rgb="FF000000"/>
        <rFont val="WenQuanYi Zen Hei"/>
        <family val="2"/>
      </rPr>
      <t xml:space="preserve">옵 </t>
    </r>
    <r>
      <rPr>
        <sz val="10"/>
        <color rgb="FF000000"/>
        <rFont val="Arial"/>
        <family val="0"/>
        <charset val="1"/>
      </rPr>
      <t xml:space="preserve">1:1-21</t>
    </r>
  </si>
  <si>
    <t xml:space="preserve">독수리처럼 높아도</t>
  </si>
  <si>
    <t xml:space="preserve">바위 위의 교만한 에돔</t>
  </si>
  <si>
    <r>
      <rPr>
        <sz val="10"/>
        <color rgb="FF000000"/>
        <rFont val="WenQuanYi Zen Hei"/>
        <family val="2"/>
      </rPr>
      <t xml:space="preserve">옵 </t>
    </r>
    <r>
      <rPr>
        <sz val="10"/>
        <color rgb="FF000000"/>
        <rFont val="Arial"/>
        <family val="0"/>
        <charset val="1"/>
      </rPr>
      <t xml:space="preserve">1:3</t>
    </r>
  </si>
  <si>
    <t xml:space="preserve">교만은 스스로를 속입니다</t>
  </si>
  <si>
    <t xml:space="preserve">바위 산성 에돔</t>
  </si>
  <si>
    <t xml:space="preserve">A0499</t>
  </si>
  <si>
    <t xml:space="preserve">S1-L20</t>
  </si>
  <si>
    <t xml:space="preserve">요나</t>
  </si>
  <si>
    <r>
      <rPr>
        <sz val="10"/>
        <color rgb="FF000000"/>
        <rFont val="WenQuanYi Zen Hei"/>
        <family val="2"/>
      </rPr>
      <t xml:space="preserve">욘 </t>
    </r>
    <r>
      <rPr>
        <sz val="10"/>
        <color rgb="FF000000"/>
        <rFont val="Arial"/>
        <family val="0"/>
        <charset val="1"/>
      </rPr>
      <t xml:space="preserve">1:1-3</t>
    </r>
  </si>
  <si>
    <t xml:space="preserve">반대로 간 선지자</t>
  </si>
  <si>
    <t xml:space="preserve">동쪽으로 가라 했더니 서쪽 배를 탔다</t>
  </si>
  <si>
    <r>
      <rPr>
        <sz val="10"/>
        <color rgb="FF000000"/>
        <rFont val="WenQuanYi Zen Hei"/>
        <family val="2"/>
      </rPr>
      <t xml:space="preserve">욘 </t>
    </r>
    <r>
      <rPr>
        <sz val="10"/>
        <color rgb="FF000000"/>
        <rFont val="Arial"/>
        <family val="0"/>
        <charset val="1"/>
      </rPr>
      <t xml:space="preserve">1:3</t>
    </r>
  </si>
  <si>
    <r>
      <rPr>
        <sz val="10"/>
        <color rgb="FF000000"/>
        <rFont val="WenQuanYi Zen Hei"/>
        <family val="2"/>
      </rPr>
      <t xml:space="preserve">하나님을 피해 도망칠 수 있을까요</t>
    </r>
    <r>
      <rPr>
        <sz val="10"/>
        <color rgb="FF000000"/>
        <rFont val="Arial"/>
        <family val="0"/>
        <charset val="1"/>
      </rPr>
      <t xml:space="preserve">?</t>
    </r>
  </si>
  <si>
    <t xml:space="preserve">욥바 항구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</si>
  <si>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16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단 </t>
    </r>
    <r>
      <rPr>
        <sz val="10"/>
        <color rgb="FF1F3864"/>
        <rFont val="Arial"/>
        <family val="0"/>
        <charset val="1"/>
      </rPr>
      <t xml:space="preserve">7:1-28 </t>
    </r>
    <r>
      <rPr>
        <sz val="10"/>
        <color rgb="FF1F3864"/>
        <rFont val="WenQuanYi Zen Hei"/>
        <family val="2"/>
      </rPr>
      <t xml:space="preserve">네 짐승과 인자 같은 이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단 </t>
    </r>
    <r>
      <rPr>
        <sz val="10"/>
        <color rgb="FF1F3864"/>
        <rFont val="Arial"/>
        <family val="0"/>
        <charset val="1"/>
      </rPr>
      <t xml:space="preserve">8:1-27 </t>
    </r>
    <r>
      <rPr>
        <sz val="10"/>
        <color rgb="FF1F3864"/>
        <rFont val="WenQuanYi Zen Hei"/>
        <family val="2"/>
      </rPr>
      <t xml:space="preserve">숫양과 숫염소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단 </t>
    </r>
    <r>
      <rPr>
        <sz val="10"/>
        <color rgb="FF1F3864"/>
        <rFont val="Arial"/>
        <family val="0"/>
        <charset val="1"/>
      </rPr>
      <t xml:space="preserve">9:1-27 </t>
    </r>
    <r>
      <rPr>
        <sz val="10"/>
        <color rgb="FF1F3864"/>
        <rFont val="WenQuanYi Zen Hei"/>
        <family val="2"/>
      </rPr>
      <t xml:space="preserve">다니엘의 회개 기도 외 </t>
    </r>
    <r>
      <rPr>
        <sz val="10"/>
        <color rgb="FF1F3864"/>
        <rFont val="Arial"/>
        <family val="0"/>
        <charset val="1"/>
      </rPr>
      <t xml:space="preserve">13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</si>
  <si>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A0500</t>
  </si>
  <si>
    <r>
      <rPr>
        <sz val="10"/>
        <color rgb="FF000000"/>
        <rFont val="WenQuanYi Zen Hei"/>
        <family val="2"/>
      </rPr>
      <t xml:space="preserve">욘 </t>
    </r>
    <r>
      <rPr>
        <sz val="10"/>
        <color rgb="FF000000"/>
        <rFont val="Arial"/>
        <family val="0"/>
        <charset val="1"/>
      </rPr>
      <t xml:space="preserve">1:4-17</t>
    </r>
  </si>
  <si>
    <t xml:space="preserve">폭풍과 큰 물고기</t>
  </si>
  <si>
    <t xml:space="preserve">나를 바다에 던지라</t>
  </si>
  <si>
    <r>
      <rPr>
        <sz val="10"/>
        <color rgb="FF000000"/>
        <rFont val="WenQuanYi Zen Hei"/>
        <family val="2"/>
      </rPr>
      <t xml:space="preserve">욘 </t>
    </r>
    <r>
      <rPr>
        <sz val="10"/>
        <color rgb="FF000000"/>
        <rFont val="Arial"/>
        <family val="0"/>
        <charset val="1"/>
      </rPr>
      <t xml:space="preserve">1:17</t>
    </r>
  </si>
  <si>
    <t xml:space="preserve">하나님은 도망자를 쫓아가십니다</t>
  </si>
  <si>
    <r>
      <rPr>
        <sz val="10"/>
        <color rgb="FF000000"/>
        <rFont val="WenQuanYi Zen Hei"/>
        <family val="2"/>
      </rPr>
      <t xml:space="preserve">요나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선원들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큰 물고기</t>
    </r>
  </si>
  <si>
    <t xml:space="preserve">폭풍 치는 바다</t>
  </si>
  <si>
    <t xml:space="preserve">A0501</t>
  </si>
  <si>
    <r>
      <rPr>
        <sz val="10"/>
        <color rgb="FF000000"/>
        <rFont val="WenQuanYi Zen Hei"/>
        <family val="2"/>
      </rPr>
      <t xml:space="preserve">욘 </t>
    </r>
    <r>
      <rPr>
        <sz val="10"/>
        <color rgb="FF000000"/>
        <rFont val="Arial"/>
        <family val="0"/>
        <charset val="1"/>
      </rPr>
      <t xml:space="preserve">2:1-10</t>
    </r>
  </si>
  <si>
    <t xml:space="preserve">물고기 배 속의 기도</t>
  </si>
  <si>
    <t xml:space="preserve">가장 깊은 곳에서 드린 기도</t>
  </si>
  <si>
    <r>
      <rPr>
        <sz val="10"/>
        <color rgb="FF000000"/>
        <rFont val="WenQuanYi Zen Hei"/>
        <family val="2"/>
      </rPr>
      <t xml:space="preserve">욘 </t>
    </r>
    <r>
      <rPr>
        <sz val="10"/>
        <color rgb="FF000000"/>
        <rFont val="Arial"/>
        <family val="0"/>
        <charset val="1"/>
      </rPr>
      <t xml:space="preserve">2:9</t>
    </r>
  </si>
  <si>
    <t xml:space="preserve">구원은 여호와께 속하였나이다</t>
  </si>
  <si>
    <t xml:space="preserve">물고기 배 속</t>
  </si>
  <si>
    <r>
      <rPr>
        <sz val="10"/>
        <color rgb="FFC00000"/>
        <rFont val="WenQuanYi Zen Hei"/>
        <family val="2"/>
      </rPr>
      <t xml:space="preserve">마 </t>
    </r>
    <r>
      <rPr>
        <sz val="10"/>
        <color rgb="FFC00000"/>
        <rFont val="Arial"/>
        <family val="0"/>
        <charset val="1"/>
      </rPr>
      <t xml:space="preserve">12:40 </t>
    </r>
    <r>
      <rPr>
        <sz val="10"/>
        <color rgb="FFC00000"/>
        <rFont val="WenQuanYi Zen Hei"/>
        <family val="2"/>
      </rPr>
      <t xml:space="preserve">그리스도의 장사와 부활</t>
    </r>
  </si>
  <si>
    <t xml:space="preserve">A0502</t>
  </si>
  <si>
    <r>
      <rPr>
        <sz val="10"/>
        <color rgb="FF000000"/>
        <rFont val="WenQuanYi Zen Hei"/>
        <family val="2"/>
      </rPr>
      <t xml:space="preserve">욘 </t>
    </r>
    <r>
      <rPr>
        <sz val="10"/>
        <color rgb="FF000000"/>
        <rFont val="Arial"/>
        <family val="0"/>
        <charset val="1"/>
      </rPr>
      <t xml:space="preserve">3:1-10</t>
    </r>
  </si>
  <si>
    <t xml:space="preserve">니느웨의 회개</t>
  </si>
  <si>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일 후에 니느웨가 무너지리라</t>
    </r>
  </si>
  <si>
    <r>
      <rPr>
        <sz val="10"/>
        <color rgb="FF000000"/>
        <rFont val="WenQuanYi Zen Hei"/>
        <family val="2"/>
      </rPr>
      <t xml:space="preserve">욘 </t>
    </r>
    <r>
      <rPr>
        <sz val="10"/>
        <color rgb="FF000000"/>
        <rFont val="Arial"/>
        <family val="0"/>
        <charset val="1"/>
      </rPr>
      <t xml:space="preserve">3:10</t>
    </r>
  </si>
  <si>
    <t xml:space="preserve">하나님은 회개하는 자를 불쌍히 여기십니다</t>
  </si>
  <si>
    <r>
      <rPr>
        <sz val="10"/>
        <color rgb="FF000000"/>
        <rFont val="WenQuanYi Zen Hei"/>
        <family val="2"/>
      </rPr>
      <t xml:space="preserve">요나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니느웨 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</si>
  <si>
    <t xml:space="preserve">니느웨 성</t>
  </si>
  <si>
    <r>
      <rPr>
        <sz val="10"/>
        <color rgb="FFC00000"/>
        <rFont val="WenQuanYi Zen Hei"/>
        <family val="2"/>
      </rPr>
      <t xml:space="preserve">하나님이 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뜻을 돌이키심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은 인간적 표현</t>
    </r>
  </si>
  <si>
    <t xml:space="preserve">A0503</t>
  </si>
  <si>
    <r>
      <rPr>
        <sz val="10"/>
        <color rgb="FF000000"/>
        <rFont val="WenQuanYi Zen Hei"/>
        <family val="2"/>
      </rPr>
      <t xml:space="preserve">욘 </t>
    </r>
    <r>
      <rPr>
        <sz val="10"/>
        <color rgb="FF000000"/>
        <rFont val="Arial"/>
        <family val="0"/>
        <charset val="1"/>
      </rPr>
      <t xml:space="preserve">4:1-11</t>
    </r>
  </si>
  <si>
    <t xml:space="preserve">박넝쿨</t>
  </si>
  <si>
    <t xml:space="preserve">하나님이 요나에게 물으신 마지막 질문</t>
  </si>
  <si>
    <r>
      <rPr>
        <sz val="10"/>
        <color rgb="FF000000"/>
        <rFont val="WenQuanYi Zen Hei"/>
        <family val="2"/>
      </rPr>
      <t xml:space="preserve">욘 </t>
    </r>
    <r>
      <rPr>
        <sz val="10"/>
        <color rgb="FF000000"/>
        <rFont val="Arial"/>
        <family val="0"/>
        <charset val="1"/>
      </rPr>
      <t xml:space="preserve">4:11</t>
    </r>
  </si>
  <si>
    <t xml:space="preserve">하나님은 원수의 도시도 아끼십니다</t>
  </si>
  <si>
    <r>
      <rPr>
        <sz val="10"/>
        <color rgb="FF000000"/>
        <rFont val="WenQuanYi Zen Hei"/>
        <family val="2"/>
      </rPr>
      <t xml:space="preserve">요나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하나님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음성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</si>
  <si>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니느웨 동편 언덕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박넝쿨</t>
    </r>
  </si>
  <si>
    <t xml:space="preserve">A0504</t>
  </si>
  <si>
    <t xml:space="preserve">미가</t>
  </si>
  <si>
    <r>
      <rPr>
        <sz val="10"/>
        <color rgb="FF000000"/>
        <rFont val="WenQuanYi Zen Hei"/>
        <family val="2"/>
      </rPr>
      <t xml:space="preserve">미 </t>
    </r>
    <r>
      <rPr>
        <sz val="10"/>
        <color rgb="FF000000"/>
        <rFont val="Arial"/>
        <family val="0"/>
        <charset val="1"/>
      </rPr>
      <t xml:space="preserve">1:1-3:12</t>
    </r>
  </si>
  <si>
    <t xml:space="preserve">권력자들을 향한 외침</t>
  </si>
  <si>
    <t xml:space="preserve">정의를 미워하는 지도자들</t>
  </si>
  <si>
    <r>
      <rPr>
        <sz val="10"/>
        <color rgb="FF000000"/>
        <rFont val="WenQuanYi Zen Hei"/>
        <family val="2"/>
      </rPr>
      <t xml:space="preserve">미 </t>
    </r>
    <r>
      <rPr>
        <sz val="10"/>
        <color rgb="FF000000"/>
        <rFont val="Arial"/>
        <family val="0"/>
        <charset val="1"/>
      </rPr>
      <t xml:space="preserve">3:8</t>
    </r>
  </si>
  <si>
    <t xml:space="preserve">성령으로 충만하여 정의를 말하는 사람</t>
  </si>
  <si>
    <r>
      <rPr>
        <sz val="10"/>
        <color rgb="FF000000"/>
        <rFont val="WenQuanYi Zen Hei"/>
        <family val="2"/>
      </rPr>
      <t xml:space="preserve">사마리아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예루살렘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</si>
  <si>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#179 '</t>
    </r>
    <r>
      <rPr>
        <sz val="10"/>
        <color rgb="FF000000"/>
        <rFont val="WenQuanYi Zen Hei"/>
        <family val="2"/>
      </rPr>
      <t xml:space="preserve">박넝쿨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</si>
  <si>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A0505</t>
  </si>
  <si>
    <r>
      <rPr>
        <sz val="10"/>
        <color rgb="FF000000"/>
        <rFont val="WenQuanYi Zen Hei"/>
        <family val="2"/>
      </rPr>
      <t xml:space="preserve">미 </t>
    </r>
    <r>
      <rPr>
        <sz val="10"/>
        <color rgb="FF000000"/>
        <rFont val="Arial"/>
        <family val="0"/>
        <charset val="1"/>
      </rPr>
      <t xml:space="preserve">4:1-5:15</t>
    </r>
  </si>
  <si>
    <t xml:space="preserve">베들레헴 에브라다</t>
  </si>
  <si>
    <r>
      <rPr>
        <sz val="10"/>
        <color rgb="FF000000"/>
        <rFont val="Arial"/>
        <family val="0"/>
        <charset val="1"/>
      </rPr>
      <t xml:space="preserve">700</t>
    </r>
    <r>
      <rPr>
        <sz val="10"/>
        <color rgb="FF000000"/>
        <rFont val="WenQuanYi Zen Hei"/>
        <family val="2"/>
      </rPr>
      <t xml:space="preserve">년 전에 예언된 탄생지</t>
    </r>
  </si>
  <si>
    <r>
      <rPr>
        <sz val="10"/>
        <color rgb="FF000000"/>
        <rFont val="WenQuanYi Zen Hei"/>
        <family val="2"/>
      </rPr>
      <t xml:space="preserve">미 </t>
    </r>
    <r>
      <rPr>
        <sz val="10"/>
        <color rgb="FF000000"/>
        <rFont val="Arial"/>
        <family val="0"/>
        <charset val="1"/>
      </rPr>
      <t xml:space="preserve">5:2</t>
    </r>
  </si>
  <si>
    <t xml:space="preserve">가장 작은 마을에서 왕이 나십니다</t>
  </si>
  <si>
    <r>
      <rPr>
        <sz val="10"/>
        <color rgb="FFC00000"/>
        <rFont val="WenQuanYi Zen Hei"/>
        <family val="2"/>
      </rPr>
      <t xml:space="preserve">마 </t>
    </r>
    <r>
      <rPr>
        <sz val="10"/>
        <color rgb="FFC00000"/>
        <rFont val="Arial"/>
        <family val="0"/>
        <charset val="1"/>
      </rPr>
      <t xml:space="preserve">2:6 </t>
    </r>
    <r>
      <rPr>
        <sz val="10"/>
        <color rgb="FFC00000"/>
        <rFont val="WenQuanYi Zen Hei"/>
        <family val="2"/>
      </rPr>
      <t xml:space="preserve">연결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</si>
  <si>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미 </t>
    </r>
    <r>
      <rPr>
        <sz val="10"/>
        <color rgb="FF1F3864"/>
        <rFont val="Arial"/>
        <family val="0"/>
        <charset val="1"/>
      </rPr>
      <t xml:space="preserve">1:1-3:12 </t>
    </r>
    <r>
      <rPr>
        <sz val="10"/>
        <color rgb="FF1F3864"/>
        <rFont val="WenQuanYi Zen Hei"/>
        <family val="2"/>
      </rPr>
      <t xml:space="preserve">권력자들을 향한 외침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</si>
  <si>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A0506</t>
  </si>
  <si>
    <r>
      <rPr>
        <sz val="10"/>
        <color rgb="FF000000"/>
        <rFont val="WenQuanYi Zen Hei"/>
        <family val="2"/>
      </rPr>
      <t xml:space="preserve">미 </t>
    </r>
    <r>
      <rPr>
        <sz val="10"/>
        <color rgb="FF000000"/>
        <rFont val="Arial"/>
        <family val="0"/>
        <charset val="1"/>
      </rPr>
      <t xml:space="preserve">6:1-7:20</t>
    </r>
  </si>
  <si>
    <t xml:space="preserve">오직 정의와 인자</t>
  </si>
  <si>
    <r>
      <rPr>
        <sz val="10"/>
        <color rgb="FF000000"/>
        <rFont val="WenQuanYi Zen Hei"/>
        <family val="2"/>
      </rPr>
      <t xml:space="preserve">하나님이 원하시는 것은 무엇인가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</si>
  <si>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미 </t>
    </r>
    <r>
      <rPr>
        <sz val="10"/>
        <color rgb="FF000000"/>
        <rFont val="Arial"/>
        <family val="0"/>
        <charset val="1"/>
      </rPr>
      <t xml:space="preserve">6:8</t>
    </r>
  </si>
  <si>
    <t xml:space="preserve">정의를 행하고 인자를 사랑하며 겸손히 하나님과 함께 행하라</t>
  </si>
  <si>
    <r>
      <rPr>
        <sz val="10"/>
        <color rgb="FF000000"/>
        <rFont val="WenQuanYi Zen Hei"/>
        <family val="2"/>
      </rPr>
      <t xml:space="preserve">법정 연출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깊은 바다</t>
    </r>
  </si>
  <si>
    <r>
      <rPr>
        <sz val="10"/>
        <color rgb="FFC00000"/>
        <rFont val="Arial"/>
        <family val="0"/>
        <charset val="1"/>
      </rPr>
      <t xml:space="preserve">7:19 </t>
    </r>
    <r>
      <rPr>
        <sz val="10"/>
        <color rgb="FFC00000"/>
        <rFont val="WenQuanYi Zen Hei"/>
        <family val="2"/>
      </rPr>
      <t xml:space="preserve">죄를 바다에 던지심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</si>
  <si>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#180 '</t>
    </r>
    <r>
      <rPr>
        <sz val="10"/>
        <color rgb="FF000000"/>
        <rFont val="WenQuanYi Zen Hei"/>
        <family val="2"/>
      </rPr>
      <t xml:space="preserve">베들레헴 에브라다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</si>
  <si>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A0507</t>
  </si>
  <si>
    <t xml:space="preserve">나훔</t>
  </si>
  <si>
    <r>
      <rPr>
        <sz val="10"/>
        <color rgb="FF000000"/>
        <rFont val="WenQuanYi Zen Hei"/>
        <family val="2"/>
      </rPr>
      <t xml:space="preserve">나 </t>
    </r>
    <r>
      <rPr>
        <sz val="10"/>
        <color rgb="FF000000"/>
        <rFont val="Arial"/>
        <family val="0"/>
        <charset val="1"/>
      </rPr>
      <t xml:space="preserve">1:1-3:19</t>
    </r>
  </si>
  <si>
    <t xml:space="preserve">니느웨의 멸망</t>
  </si>
  <si>
    <t xml:space="preserve">요나 때 회개했던 도시의 마지막</t>
  </si>
  <si>
    <r>
      <rPr>
        <sz val="10"/>
        <color rgb="FF000000"/>
        <rFont val="WenQuanYi Zen Hei"/>
        <family val="2"/>
      </rPr>
      <t xml:space="preserve">나 </t>
    </r>
    <r>
      <rPr>
        <sz val="10"/>
        <color rgb="FF000000"/>
        <rFont val="Arial"/>
        <family val="0"/>
        <charset val="1"/>
      </rPr>
      <t xml:space="preserve">1:7</t>
    </r>
  </si>
  <si>
    <t xml:space="preserve">여호와는 선하시며 환난 날에 산성이십니다</t>
  </si>
  <si>
    <t xml:space="preserve">니느웨</t>
  </si>
  <si>
    <t xml:space="preserve">파괴 장면 잔혹 묘사 금지</t>
  </si>
  <si>
    <t xml:space="preserve">A0508</t>
  </si>
  <si>
    <t xml:space="preserve">B056</t>
  </si>
  <si>
    <t xml:space="preserve">하박국</t>
  </si>
  <si>
    <r>
      <rPr>
        <sz val="10"/>
        <color rgb="FF000000"/>
        <rFont val="WenQuanYi Zen Hei"/>
        <family val="2"/>
      </rPr>
      <t xml:space="preserve">합 </t>
    </r>
    <r>
      <rPr>
        <sz val="10"/>
        <color rgb="FF000000"/>
        <rFont val="Arial"/>
        <family val="0"/>
        <charset val="1"/>
      </rPr>
      <t xml:space="preserve">1:1-2:1</t>
    </r>
  </si>
  <si>
    <t xml:space="preserve">어찌하여</t>
  </si>
  <si>
    <t xml:space="preserve">선지자가 하나님께 따진 질문</t>
  </si>
  <si>
    <r>
      <rPr>
        <sz val="10"/>
        <color rgb="FF000000"/>
        <rFont val="WenQuanYi Zen Hei"/>
        <family val="2"/>
      </rPr>
      <t xml:space="preserve">합 </t>
    </r>
    <r>
      <rPr>
        <sz val="10"/>
        <color rgb="FF000000"/>
        <rFont val="Arial"/>
        <family val="0"/>
        <charset val="1"/>
      </rPr>
      <t xml:space="preserve">1:2</t>
    </r>
  </si>
  <si>
    <t xml:space="preserve">하나님께 정직하게 질문해도 됩니다</t>
  </si>
  <si>
    <t xml:space="preserve">망대</t>
  </si>
  <si>
    <t xml:space="preserve">A0509</t>
  </si>
  <si>
    <r>
      <rPr>
        <sz val="10"/>
        <color rgb="FF000000"/>
        <rFont val="WenQuanYi Zen Hei"/>
        <family val="2"/>
      </rPr>
      <t xml:space="preserve">합 </t>
    </r>
    <r>
      <rPr>
        <sz val="10"/>
        <color rgb="FF000000"/>
        <rFont val="Arial"/>
        <family val="0"/>
        <charset val="1"/>
      </rPr>
      <t xml:space="preserve">2:2-20</t>
    </r>
  </si>
  <si>
    <t xml:space="preserve">의인은 믿음으로</t>
  </si>
  <si>
    <t xml:space="preserve">종교개혁의 불씨가 된 한 구절</t>
  </si>
  <si>
    <r>
      <rPr>
        <sz val="10"/>
        <color rgb="FF000000"/>
        <rFont val="WenQuanYi Zen Hei"/>
        <family val="2"/>
      </rPr>
      <t xml:space="preserve">합 </t>
    </r>
    <r>
      <rPr>
        <sz val="10"/>
        <color rgb="FF000000"/>
        <rFont val="Arial"/>
        <family val="0"/>
        <charset val="1"/>
      </rPr>
      <t xml:space="preserve">2:4</t>
    </r>
  </si>
  <si>
    <t xml:space="preserve">의인은 그의 믿음으로 말미암아 살리라</t>
  </si>
  <si>
    <r>
      <rPr>
        <sz val="10"/>
        <color rgb="FF000000"/>
        <rFont val="WenQuanYi Zen Hei"/>
        <family val="2"/>
      </rPr>
      <t xml:space="preserve">망대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판에 새긴 글</t>
    </r>
  </si>
  <si>
    <r>
      <rPr>
        <sz val="10"/>
        <color rgb="FFC00000"/>
        <rFont val="WenQuanYi Zen Hei"/>
        <family val="2"/>
      </rPr>
      <t xml:space="preserve">롬 </t>
    </r>
    <r>
      <rPr>
        <sz val="10"/>
        <color rgb="FFC00000"/>
        <rFont val="Arial"/>
        <family val="0"/>
        <charset val="1"/>
      </rPr>
      <t xml:space="preserve">1:17, </t>
    </r>
    <r>
      <rPr>
        <sz val="10"/>
        <color rgb="FFC00000"/>
        <rFont val="WenQuanYi Zen Hei"/>
        <family val="2"/>
      </rPr>
      <t xml:space="preserve">종교개혁과 연결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</si>
  <si>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3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미 </t>
    </r>
    <r>
      <rPr>
        <sz val="10"/>
        <color rgb="FF1F3864"/>
        <rFont val="Arial"/>
        <family val="0"/>
        <charset val="1"/>
      </rPr>
      <t xml:space="preserve">6:1-7:20 </t>
    </r>
    <r>
      <rPr>
        <sz val="10"/>
        <color rgb="FF1F3864"/>
        <rFont val="WenQuanYi Zen Hei"/>
        <family val="2"/>
      </rPr>
      <t xml:space="preserve">오직 정의와 인자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나 </t>
    </r>
    <r>
      <rPr>
        <sz val="10"/>
        <color rgb="FF1F3864"/>
        <rFont val="Arial"/>
        <family val="0"/>
        <charset val="1"/>
      </rPr>
      <t xml:space="preserve">1:1-3:19 </t>
    </r>
    <r>
      <rPr>
        <sz val="10"/>
        <color rgb="FF1F3864"/>
        <rFont val="WenQuanYi Zen Hei"/>
        <family val="2"/>
      </rPr>
      <t xml:space="preserve">니느웨의 멸망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합 </t>
    </r>
    <r>
      <rPr>
        <sz val="10"/>
        <color rgb="FF1F3864"/>
        <rFont val="Arial"/>
        <family val="0"/>
        <charset val="1"/>
      </rPr>
      <t xml:space="preserve">1:1-2:1 </t>
    </r>
    <r>
      <rPr>
        <sz val="10"/>
        <color rgb="FF1F3864"/>
        <rFont val="WenQuanYi Zen Hei"/>
        <family val="2"/>
      </rPr>
      <t xml:space="preserve">어찌하여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</si>
  <si>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A0510</t>
  </si>
  <si>
    <r>
      <rPr>
        <sz val="10"/>
        <color rgb="FF000000"/>
        <rFont val="WenQuanYi Zen Hei"/>
        <family val="2"/>
      </rPr>
      <t xml:space="preserve">합 </t>
    </r>
    <r>
      <rPr>
        <sz val="10"/>
        <color rgb="FF000000"/>
        <rFont val="Arial"/>
        <family val="0"/>
        <charset val="1"/>
      </rPr>
      <t xml:space="preserve">3:1-19</t>
    </r>
  </si>
  <si>
    <t xml:space="preserve">무화과나무 잎이 없어도</t>
  </si>
  <si>
    <t xml:space="preserve">아무것도 없어도 기뻐하리라</t>
  </si>
  <si>
    <r>
      <rPr>
        <sz val="10"/>
        <color rgb="FF000000"/>
        <rFont val="WenQuanYi Zen Hei"/>
        <family val="2"/>
      </rPr>
      <t xml:space="preserve">합 </t>
    </r>
    <r>
      <rPr>
        <sz val="10"/>
        <color rgb="FF000000"/>
        <rFont val="Arial"/>
        <family val="0"/>
        <charset val="1"/>
      </rPr>
      <t xml:space="preserve">3:18</t>
    </r>
  </si>
  <si>
    <t xml:space="preserve">나는 여호와로 말미암아 즐거워하리로다</t>
  </si>
  <si>
    <r>
      <rPr>
        <sz val="10"/>
        <color rgb="FF000000"/>
        <rFont val="WenQuanYi Zen Hei"/>
        <family val="2"/>
      </rPr>
      <t xml:space="preserve">메마른 밭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높은 곳의 사슴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</si>
  <si>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#181 '</t>
    </r>
    <r>
      <rPr>
        <sz val="10"/>
        <color rgb="FF000000"/>
        <rFont val="WenQuanYi Zen Hei"/>
        <family val="2"/>
      </rPr>
      <t xml:space="preserve">의인은 믿음으로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</si>
  <si>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A0511</t>
  </si>
  <si>
    <t xml:space="preserve">스바냐</t>
  </si>
  <si>
    <r>
      <rPr>
        <sz val="10"/>
        <color rgb="FF000000"/>
        <rFont val="WenQuanYi Zen Hei"/>
        <family val="2"/>
      </rPr>
      <t xml:space="preserve">습 </t>
    </r>
    <r>
      <rPr>
        <sz val="10"/>
        <color rgb="FF000000"/>
        <rFont val="Arial"/>
        <family val="0"/>
        <charset val="1"/>
      </rPr>
      <t xml:space="preserve">1:1-2:15</t>
    </r>
  </si>
  <si>
    <t xml:space="preserve">여호와의 날</t>
  </si>
  <si>
    <t xml:space="preserve">가까이 온 큰 날</t>
  </si>
  <si>
    <r>
      <rPr>
        <sz val="10"/>
        <color rgb="FF000000"/>
        <rFont val="WenQuanYi Zen Hei"/>
        <family val="2"/>
      </rPr>
      <t xml:space="preserve">습 </t>
    </r>
    <r>
      <rPr>
        <sz val="10"/>
        <color rgb="FF000000"/>
        <rFont val="Arial"/>
        <family val="0"/>
        <charset val="1"/>
      </rPr>
      <t xml:space="preserve">1:14</t>
    </r>
  </si>
  <si>
    <t xml:space="preserve">하나님의 날을 준비합니다</t>
  </si>
  <si>
    <t xml:space="preserve">날짜 예언 금지</t>
  </si>
  <si>
    <t xml:space="preserve">A0512</t>
  </si>
  <si>
    <r>
      <rPr>
        <sz val="10"/>
        <color rgb="FF000000"/>
        <rFont val="WenQuanYi Zen Hei"/>
        <family val="2"/>
      </rPr>
      <t xml:space="preserve">습 </t>
    </r>
    <r>
      <rPr>
        <sz val="10"/>
        <color rgb="FF000000"/>
        <rFont val="Arial"/>
        <family val="0"/>
        <charset val="1"/>
      </rPr>
      <t xml:space="preserve">3:1-20</t>
    </r>
  </si>
  <si>
    <t xml:space="preserve">너로 말미암아 기뻐하시리라</t>
  </si>
  <si>
    <r>
      <rPr>
        <sz val="10"/>
        <color rgb="FF000000"/>
        <rFont val="WenQuanYi Zen Hei"/>
        <family val="2"/>
      </rPr>
      <t xml:space="preserve">하나님이 노래하신다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</si>
  <si>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습 </t>
    </r>
    <r>
      <rPr>
        <sz val="10"/>
        <color rgb="FF000000"/>
        <rFont val="Arial"/>
        <family val="0"/>
        <charset val="1"/>
      </rPr>
      <t xml:space="preserve">3:17</t>
    </r>
  </si>
  <si>
    <t xml:space="preserve">하나님은 너로 인하여 기쁨을 이기지 못하십니다</t>
  </si>
  <si>
    <t xml:space="preserve">회복된 예루살렘</t>
  </si>
  <si>
    <t xml:space="preserve">A0513</t>
  </si>
  <si>
    <t xml:space="preserve">S2-L35</t>
  </si>
  <si>
    <t xml:space="preserve">학개</t>
  </si>
  <si>
    <r>
      <rPr>
        <sz val="10"/>
        <color rgb="FF000000"/>
        <rFont val="WenQuanYi Zen Hei"/>
        <family val="2"/>
      </rPr>
      <t xml:space="preserve">학 </t>
    </r>
    <r>
      <rPr>
        <sz val="10"/>
        <color rgb="FF000000"/>
        <rFont val="Arial"/>
        <family val="0"/>
        <charset val="1"/>
      </rPr>
      <t xml:space="preserve">1:1-15</t>
    </r>
  </si>
  <si>
    <t xml:space="preserve">너희 집은 판벽한 집</t>
  </si>
  <si>
    <t xml:space="preserve">성전은 폐허인데 우리 집만 꾸몄다</t>
  </si>
  <si>
    <r>
      <rPr>
        <sz val="10"/>
        <color rgb="FF000000"/>
        <rFont val="WenQuanYi Zen Hei"/>
        <family val="2"/>
      </rPr>
      <t xml:space="preserve">학 </t>
    </r>
    <r>
      <rPr>
        <sz val="10"/>
        <color rgb="FF000000"/>
        <rFont val="Arial"/>
        <family val="0"/>
        <charset val="1"/>
      </rPr>
      <t xml:space="preserve">1:4</t>
    </r>
  </si>
  <si>
    <t xml:space="preserve">하나님의 일을 먼저 생각합니다</t>
  </si>
  <si>
    <r>
      <rPr>
        <sz val="10"/>
        <color rgb="FF000000"/>
        <rFont val="WenQuanYi Zen Hei"/>
        <family val="2"/>
      </rPr>
      <t xml:space="preserve">학개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스룹바벨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여호수아</t>
    </r>
  </si>
  <si>
    <r>
      <rPr>
        <sz val="10"/>
        <color rgb="FF000000"/>
        <rFont val="WenQuanYi Zen Hei"/>
        <family val="2"/>
      </rPr>
      <t xml:space="preserve">폐허의 성전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화려한 집</t>
    </r>
  </si>
  <si>
    <t xml:space="preserve">A0514</t>
  </si>
  <si>
    <r>
      <rPr>
        <sz val="10"/>
        <color rgb="FF000000"/>
        <rFont val="WenQuanYi Zen Hei"/>
        <family val="2"/>
      </rPr>
      <t xml:space="preserve">학 </t>
    </r>
    <r>
      <rPr>
        <sz val="10"/>
        <color rgb="FF000000"/>
        <rFont val="Arial"/>
        <family val="0"/>
        <charset val="1"/>
      </rPr>
      <t xml:space="preserve">2:1-23</t>
    </r>
  </si>
  <si>
    <t xml:space="preserve">나중 영광이 더 크리라</t>
  </si>
  <si>
    <t xml:space="preserve">초라한 성전에 주신 약속</t>
  </si>
  <si>
    <r>
      <rPr>
        <sz val="10"/>
        <color rgb="FF000000"/>
        <rFont val="WenQuanYi Zen Hei"/>
        <family val="2"/>
      </rPr>
      <t xml:space="preserve">학 </t>
    </r>
    <r>
      <rPr>
        <sz val="10"/>
        <color rgb="FF000000"/>
        <rFont val="Arial"/>
        <family val="0"/>
        <charset val="1"/>
      </rPr>
      <t xml:space="preserve">2:9</t>
    </r>
  </si>
  <si>
    <t xml:space="preserve">하나님은 더 큰 영광을 약속하십니다</t>
  </si>
  <si>
    <r>
      <rPr>
        <sz val="10"/>
        <color rgb="FF000000"/>
        <rFont val="WenQuanYi Zen Hei"/>
        <family val="2"/>
      </rPr>
      <t xml:space="preserve">학개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스룹바벨</t>
    </r>
  </si>
  <si>
    <r>
      <rPr>
        <sz val="10"/>
        <color rgb="FF000000"/>
        <rFont val="WenQuanYi Zen Hei"/>
        <family val="2"/>
      </rPr>
      <t xml:space="preserve">제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성전 공사장</t>
    </r>
  </si>
  <si>
    <t xml:space="preserve">A0515</t>
  </si>
  <si>
    <t xml:space="preserve">스가랴</t>
  </si>
  <si>
    <r>
      <rPr>
        <sz val="10"/>
        <color rgb="FF000000"/>
        <rFont val="WenQuanYi Zen Hei"/>
        <family val="2"/>
      </rPr>
      <t xml:space="preserve">슥 </t>
    </r>
    <r>
      <rPr>
        <sz val="10"/>
        <color rgb="FF000000"/>
        <rFont val="Arial"/>
        <family val="0"/>
        <charset val="1"/>
      </rPr>
      <t xml:space="preserve">1:1-6:15</t>
    </r>
  </si>
  <si>
    <t xml:space="preserve">힘으로 되지 아니하며</t>
  </si>
  <si>
    <t xml:space="preserve">밤에 본 여덟 가지 환상</t>
  </si>
  <si>
    <r>
      <rPr>
        <sz val="10"/>
        <color rgb="FF000000"/>
        <rFont val="WenQuanYi Zen Hei"/>
        <family val="2"/>
      </rPr>
      <t xml:space="preserve">슥 </t>
    </r>
    <r>
      <rPr>
        <sz val="10"/>
        <color rgb="FF000000"/>
        <rFont val="Arial"/>
        <family val="0"/>
        <charset val="1"/>
      </rPr>
      <t xml:space="preserve">4:6</t>
    </r>
  </si>
  <si>
    <t xml:space="preserve">오직 나의 영으로 되느니라</t>
  </si>
  <si>
    <r>
      <rPr>
        <sz val="10"/>
        <color rgb="FF000000"/>
        <rFont val="WenQuanYi Zen Hei"/>
        <family val="2"/>
      </rPr>
      <t xml:space="preserve">스가랴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천사</t>
    </r>
  </si>
  <si>
    <r>
      <rPr>
        <sz val="10"/>
        <color rgb="FF000000"/>
        <rFont val="WenQuanYi Zen Hei"/>
        <family val="2"/>
      </rPr>
      <t xml:space="preserve">등잔대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두 감람나무</t>
    </r>
  </si>
  <si>
    <r>
      <rPr>
        <sz val="10"/>
        <color rgb="FFC00000"/>
        <rFont val="WenQuanYi Zen Hei"/>
        <family val="2"/>
      </rPr>
      <t xml:space="preserve">두 감람나무 </t>
    </r>
    <r>
      <rPr>
        <sz val="10"/>
        <color rgb="FFC00000"/>
        <rFont val="Arial"/>
        <family val="0"/>
        <charset val="1"/>
      </rPr>
      <t xml:space="preserve">= </t>
    </r>
    <r>
      <rPr>
        <sz val="10"/>
        <color rgb="FFC00000"/>
        <rFont val="WenQuanYi Zen Hei"/>
        <family val="2"/>
      </rPr>
      <t xml:space="preserve">특정 인물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교주</t>
    </r>
    <r>
      <rPr>
        <sz val="10"/>
        <color rgb="FFC00000"/>
        <rFont val="Arial"/>
        <family val="0"/>
        <charset val="1"/>
      </rPr>
      <t xml:space="preserve">) </t>
    </r>
    <r>
      <rPr>
        <sz val="10"/>
        <color rgb="FFC00000"/>
        <rFont val="WenQuanYi Zen Hei"/>
        <family val="2"/>
      </rPr>
      <t xml:space="preserve">대입 금지</t>
    </r>
  </si>
  <si>
    <t xml:space="preserve">A0516</t>
  </si>
  <si>
    <r>
      <rPr>
        <sz val="10"/>
        <color rgb="FF000000"/>
        <rFont val="WenQuanYi Zen Hei"/>
        <family val="2"/>
      </rPr>
      <t xml:space="preserve">슥 </t>
    </r>
    <r>
      <rPr>
        <sz val="10"/>
        <color rgb="FF000000"/>
        <rFont val="Arial"/>
        <family val="0"/>
        <charset val="1"/>
      </rPr>
      <t xml:space="preserve">7:1-8:23</t>
    </r>
  </si>
  <si>
    <t xml:space="preserve">금식보다 중요한 것</t>
  </si>
  <si>
    <r>
      <rPr>
        <sz val="10"/>
        <color rgb="FF000000"/>
        <rFont val="WenQuanYi Zen Hei"/>
        <family val="2"/>
      </rPr>
      <t xml:space="preserve">금식을 계속해야 할까요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</si>
  <si>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슥 </t>
    </r>
    <r>
      <rPr>
        <sz val="10"/>
        <color rgb="FF000000"/>
        <rFont val="Arial"/>
        <family val="0"/>
        <charset val="1"/>
      </rPr>
      <t xml:space="preserve">8:16</t>
    </r>
  </si>
  <si>
    <t xml:space="preserve">진리와 화평을 행하라</t>
  </si>
  <si>
    <r>
      <rPr>
        <sz val="10"/>
        <color rgb="FF000000"/>
        <rFont val="WenQuanYi Zen Hei"/>
        <family val="2"/>
      </rPr>
      <t xml:space="preserve">스가랴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</si>
  <si>
    <t xml:space="preserve">예루살렘 거리의 노인과 아이들</t>
  </si>
  <si>
    <t xml:space="preserve">A0517</t>
  </si>
  <si>
    <r>
      <rPr>
        <sz val="10"/>
        <color rgb="FF000000"/>
        <rFont val="WenQuanYi Zen Hei"/>
        <family val="2"/>
      </rPr>
      <t xml:space="preserve">슥 </t>
    </r>
    <r>
      <rPr>
        <sz val="10"/>
        <color rgb="FF000000"/>
        <rFont val="Arial"/>
        <family val="0"/>
        <charset val="1"/>
      </rPr>
      <t xml:space="preserve">9:1-11:17</t>
    </r>
  </si>
  <si>
    <t xml:space="preserve">나귀 타고 오시는 왕</t>
  </si>
  <si>
    <t xml:space="preserve">겸손한 왕이 나귀 새끼를 타고</t>
  </si>
  <si>
    <r>
      <rPr>
        <sz val="10"/>
        <color rgb="FF000000"/>
        <rFont val="WenQuanYi Zen Hei"/>
        <family val="2"/>
      </rPr>
      <t xml:space="preserve">슥 </t>
    </r>
    <r>
      <rPr>
        <sz val="10"/>
        <color rgb="FF000000"/>
        <rFont val="Arial"/>
        <family val="0"/>
        <charset val="1"/>
      </rPr>
      <t xml:space="preserve">9:9</t>
    </r>
  </si>
  <si>
    <t xml:space="preserve">겸손한 왕이 오십니다</t>
  </si>
  <si>
    <t xml:space="preserve">예루살렘 성문</t>
  </si>
  <si>
    <r>
      <rPr>
        <sz val="10"/>
        <color rgb="FFC00000"/>
        <rFont val="WenQuanYi Zen Hei"/>
        <family val="2"/>
      </rPr>
      <t xml:space="preserve">마 </t>
    </r>
    <r>
      <rPr>
        <sz val="10"/>
        <color rgb="FFC00000"/>
        <rFont val="Arial"/>
        <family val="0"/>
        <charset val="1"/>
      </rPr>
      <t xml:space="preserve">21:5 </t>
    </r>
    <r>
      <rPr>
        <sz val="10"/>
        <color rgb="FFC00000"/>
        <rFont val="WenQuanYi Zen Hei"/>
        <family val="2"/>
      </rPr>
      <t xml:space="preserve">입성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은 </t>
    </r>
    <r>
      <rPr>
        <sz val="10"/>
        <color rgb="FFC00000"/>
        <rFont val="Arial"/>
        <family val="0"/>
        <charset val="1"/>
      </rPr>
      <t xml:space="preserve">30(11:12) </t>
    </r>
    <r>
      <rPr>
        <sz val="10"/>
        <color rgb="FFC00000"/>
        <rFont val="WenQuanYi Zen Hei"/>
        <family val="2"/>
      </rPr>
      <t xml:space="preserve">연결</t>
    </r>
  </si>
  <si>
    <t xml:space="preserve">A0518</t>
  </si>
  <si>
    <r>
      <rPr>
        <sz val="10"/>
        <color rgb="FF000000"/>
        <rFont val="WenQuanYi Zen Hei"/>
        <family val="2"/>
      </rPr>
      <t xml:space="preserve">슥 </t>
    </r>
    <r>
      <rPr>
        <sz val="10"/>
        <color rgb="FF000000"/>
        <rFont val="Arial"/>
        <family val="0"/>
        <charset val="1"/>
      </rPr>
      <t xml:space="preserve">12:1-14:21</t>
    </r>
  </si>
  <si>
    <t xml:space="preserve">그 찌른 바를 바라보고</t>
  </si>
  <si>
    <t xml:space="preserve">찔림 받은 이를 보고 통곡하리라</t>
  </si>
  <si>
    <r>
      <rPr>
        <sz val="10"/>
        <color rgb="FF000000"/>
        <rFont val="WenQuanYi Zen Hei"/>
        <family val="2"/>
      </rPr>
      <t xml:space="preserve">슥 </t>
    </r>
    <r>
      <rPr>
        <sz val="10"/>
        <color rgb="FF000000"/>
        <rFont val="Arial"/>
        <family val="0"/>
        <charset val="1"/>
      </rPr>
      <t xml:space="preserve">12:10</t>
    </r>
  </si>
  <si>
    <t xml:space="preserve">은총과 간구의 영을 부어 주십니다</t>
  </si>
  <si>
    <r>
      <rPr>
        <sz val="10"/>
        <color rgb="FF000000"/>
        <rFont val="WenQuanYi Zen Hei"/>
        <family val="2"/>
      </rPr>
      <t xml:space="preserve">예루살렘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감람산</t>
    </r>
  </si>
  <si>
    <r>
      <rPr>
        <sz val="10"/>
        <color rgb="FFC00000"/>
        <rFont val="WenQuanYi Zen Hei"/>
        <family val="2"/>
      </rPr>
      <t xml:space="preserve">요 </t>
    </r>
    <r>
      <rPr>
        <sz val="10"/>
        <color rgb="FFC00000"/>
        <rFont val="Arial"/>
        <family val="0"/>
        <charset val="1"/>
      </rPr>
      <t xml:space="preserve">19:37 </t>
    </r>
    <r>
      <rPr>
        <sz val="10"/>
        <color rgb="FFC00000"/>
        <rFont val="WenQuanYi Zen Hei"/>
        <family val="2"/>
      </rPr>
      <t xml:space="preserve">연결</t>
    </r>
    <r>
      <rPr>
        <sz val="10"/>
        <color rgb="FFC00000"/>
        <rFont val="Arial"/>
        <family val="0"/>
        <charset val="1"/>
      </rPr>
      <t xml:space="preserve">. 14</t>
    </r>
    <r>
      <rPr>
        <sz val="10"/>
        <color rgb="FFC00000"/>
        <rFont val="WenQuanYi Zen Hei"/>
        <family val="2"/>
      </rPr>
      <t xml:space="preserve">장 종말 사건 단정 해석 금지</t>
    </r>
  </si>
  <si>
    <t xml:space="preserve">A0519</t>
  </si>
  <si>
    <t xml:space="preserve">말라기</t>
  </si>
  <si>
    <r>
      <rPr>
        <sz val="10"/>
        <color rgb="FF000000"/>
        <rFont val="WenQuanYi Zen Hei"/>
        <family val="2"/>
      </rPr>
      <t xml:space="preserve">말 </t>
    </r>
    <r>
      <rPr>
        <sz val="10"/>
        <color rgb="FF000000"/>
        <rFont val="Arial"/>
        <family val="0"/>
        <charset val="1"/>
      </rPr>
      <t xml:space="preserve">1:1-2:17</t>
    </r>
  </si>
  <si>
    <t xml:space="preserve">내가 너희를 사랑하였노라</t>
  </si>
  <si>
    <r>
      <rPr>
        <sz val="10"/>
        <color rgb="FF000000"/>
        <rFont val="WenQuanYi Zen Hei"/>
        <family val="2"/>
      </rPr>
      <t xml:space="preserve">우리를 어떻게 사랑하셨나요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</si>
  <si>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말 </t>
    </r>
    <r>
      <rPr>
        <sz val="10"/>
        <color rgb="FF000000"/>
        <rFont val="Arial"/>
        <family val="0"/>
        <charset val="1"/>
      </rPr>
      <t xml:space="preserve">1:2</t>
    </r>
  </si>
  <si>
    <t xml:space="preserve">하나님은 먼저 사랑하셨습니다</t>
  </si>
  <si>
    <r>
      <rPr>
        <sz val="10"/>
        <color rgb="FF000000"/>
        <rFont val="WenQuanYi Zen Hei"/>
        <family val="2"/>
      </rPr>
      <t xml:space="preserve">말라기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제사장들</t>
    </r>
  </si>
  <si>
    <t xml:space="preserve">성전 제단</t>
  </si>
  <si>
    <t xml:space="preserve">A0520</t>
  </si>
  <si>
    <r>
      <rPr>
        <sz val="10"/>
        <color rgb="FF000000"/>
        <rFont val="WenQuanYi Zen Hei"/>
        <family val="2"/>
      </rPr>
      <t xml:space="preserve">말 </t>
    </r>
    <r>
      <rPr>
        <sz val="10"/>
        <color rgb="FF000000"/>
        <rFont val="Arial"/>
        <family val="0"/>
        <charset val="1"/>
      </rPr>
      <t xml:space="preserve">3:1-18</t>
    </r>
  </si>
  <si>
    <t xml:space="preserve">기념책</t>
  </si>
  <si>
    <t xml:space="preserve">하나님을 경외하는 자들의 이름이 기록되다</t>
  </si>
  <si>
    <r>
      <rPr>
        <sz val="10"/>
        <color rgb="FF000000"/>
        <rFont val="WenQuanYi Zen Hei"/>
        <family val="2"/>
      </rPr>
      <t xml:space="preserve">말 </t>
    </r>
    <r>
      <rPr>
        <sz val="10"/>
        <color rgb="FF000000"/>
        <rFont val="Arial"/>
        <family val="0"/>
        <charset val="1"/>
      </rPr>
      <t xml:space="preserve">3:16</t>
    </r>
  </si>
  <si>
    <t xml:space="preserve">하나님은 경외하는 자를 기억하십니다</t>
  </si>
  <si>
    <r>
      <rPr>
        <sz val="10"/>
        <color rgb="FF000000"/>
        <rFont val="WenQuanYi Zen Hei"/>
        <family val="2"/>
      </rPr>
      <t xml:space="preserve">말라기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백성</t>
    </r>
  </si>
  <si>
    <r>
      <rPr>
        <sz val="10"/>
        <color rgb="FF000000"/>
        <rFont val="WenQuanYi Zen Hei"/>
        <family val="2"/>
      </rPr>
      <t xml:space="preserve">성전 창고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기념책</t>
    </r>
  </si>
  <si>
    <r>
      <rPr>
        <sz val="10"/>
        <color rgb="FFC00000"/>
        <rFont val="Arial"/>
        <family val="0"/>
        <charset val="1"/>
      </rPr>
      <t xml:space="preserve">3:10 </t>
    </r>
    <r>
      <rPr>
        <sz val="10"/>
        <color rgb="FFC00000"/>
        <rFont val="WenQuanYi Zen Hei"/>
        <family val="2"/>
      </rPr>
      <t xml:space="preserve">십일조는 기복 공식으로 연출 금지</t>
    </r>
  </si>
  <si>
    <t xml:space="preserve">A0521</t>
  </si>
  <si>
    <r>
      <rPr>
        <sz val="10"/>
        <color rgb="FF000000"/>
        <rFont val="WenQuanYi Zen Hei"/>
        <family val="2"/>
      </rPr>
      <t xml:space="preserve">말 </t>
    </r>
    <r>
      <rPr>
        <sz val="10"/>
        <color rgb="FF000000"/>
        <rFont val="Arial"/>
        <family val="0"/>
        <charset val="1"/>
      </rPr>
      <t xml:space="preserve">4:1-6</t>
    </r>
  </si>
  <si>
    <t xml:space="preserve">의로운 해가 떠오르리라</t>
  </si>
  <si>
    <r>
      <rPr>
        <sz val="10"/>
        <color rgb="FF000000"/>
        <rFont val="WenQuanYi Zen Hei"/>
        <family val="2"/>
      </rPr>
      <t xml:space="preserve">그리고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WenQuanYi Zen Hei"/>
        <family val="2"/>
      </rPr>
      <t xml:space="preserve">년 동안 하나님의 침묵이 시작되었다</t>
    </r>
  </si>
  <si>
    <r>
      <rPr>
        <sz val="10"/>
        <color rgb="FF000000"/>
        <rFont val="WenQuanYi Zen Hei"/>
        <family val="2"/>
      </rPr>
      <t xml:space="preserve">말 </t>
    </r>
    <r>
      <rPr>
        <sz val="10"/>
        <color rgb="FF000000"/>
        <rFont val="Arial"/>
        <family val="0"/>
        <charset val="1"/>
      </rPr>
      <t xml:space="preserve">4:5</t>
    </r>
  </si>
  <si>
    <t xml:space="preserve">엘리야를 보내리라</t>
  </si>
  <si>
    <t xml:space="preserve">떠오르는 해</t>
  </si>
  <si>
    <r>
      <rPr>
        <sz val="10"/>
        <color rgb="FFC00000"/>
        <rFont val="WenQuanYi Zen Hei"/>
        <family val="2"/>
      </rPr>
      <t xml:space="preserve">세례 요한으로 성취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마 </t>
    </r>
    <r>
      <rPr>
        <sz val="10"/>
        <color rgb="FFC00000"/>
        <rFont val="Arial"/>
        <family val="0"/>
        <charset val="1"/>
      </rPr>
      <t xml:space="preserve">11:14). </t>
    </r>
    <r>
      <rPr>
        <sz val="10"/>
        <color rgb="FFC00000"/>
        <rFont val="WenQuanYi Zen Hei"/>
        <family val="2"/>
      </rPr>
      <t xml:space="preserve">자칭 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엘리야</t>
    </r>
    <r>
      <rPr>
        <sz val="10"/>
        <color rgb="FFC00000"/>
        <rFont val="Arial"/>
        <family val="0"/>
        <charset val="1"/>
      </rPr>
      <t xml:space="preserve">' </t>
    </r>
    <r>
      <rPr>
        <sz val="10"/>
        <color rgb="FFC00000"/>
        <rFont val="WenQuanYi Zen Hei"/>
        <family val="2"/>
      </rPr>
      <t xml:space="preserve">이단 경계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</si>
  <si>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합 </t>
    </r>
    <r>
      <rPr>
        <sz val="10"/>
        <color rgb="FF1F3864"/>
        <rFont val="Arial"/>
        <family val="0"/>
        <charset val="1"/>
      </rPr>
      <t xml:space="preserve">3:1-19 </t>
    </r>
    <r>
      <rPr>
        <sz val="10"/>
        <color rgb="FF1F3864"/>
        <rFont val="WenQuanYi Zen Hei"/>
        <family val="2"/>
      </rPr>
      <t xml:space="preserve">무화과나무 잎이 없어도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습 </t>
    </r>
    <r>
      <rPr>
        <sz val="10"/>
        <color rgb="FF1F3864"/>
        <rFont val="Arial"/>
        <family val="0"/>
        <charset val="1"/>
      </rPr>
      <t xml:space="preserve">1:1-2:15 </t>
    </r>
    <r>
      <rPr>
        <sz val="10"/>
        <color rgb="FF1F3864"/>
        <rFont val="WenQuanYi Zen Hei"/>
        <family val="2"/>
      </rPr>
      <t xml:space="preserve">여호와의 날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습 </t>
    </r>
    <r>
      <rPr>
        <sz val="10"/>
        <color rgb="FF1F3864"/>
        <rFont val="Arial"/>
        <family val="0"/>
        <charset val="1"/>
      </rPr>
      <t xml:space="preserve">3:1-20 </t>
    </r>
    <r>
      <rPr>
        <sz val="10"/>
        <color rgb="FF1F3864"/>
        <rFont val="WenQuanYi Zen Hei"/>
        <family val="2"/>
      </rPr>
      <t xml:space="preserve">너로 말미암아 기뻐하시리라 외 </t>
    </r>
    <r>
      <rPr>
        <sz val="10"/>
        <color rgb="FF1F3864"/>
        <rFont val="Arial"/>
        <family val="0"/>
        <charset val="1"/>
      </rPr>
      <t xml:space="preserve">8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</si>
  <si>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A0522</t>
  </si>
  <si>
    <t xml:space="preserve">신약</t>
  </si>
  <si>
    <t xml:space="preserve">B057</t>
  </si>
  <si>
    <t xml:space="preserve">S2-L36</t>
  </si>
  <si>
    <t xml:space="preserve">마태복음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</si>
  <si>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1:1-17</t>
    </r>
  </si>
  <si>
    <t xml:space="preserve">예수님의 족보</t>
  </si>
  <si>
    <t xml:space="preserve">족보에 이름을 올린 네 명의 여인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</si>
  <si>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1:1</t>
    </r>
  </si>
  <si>
    <t xml:space="preserve">예수님은 아브라함과 다윗의 약속을 이루신 분입니다</t>
  </si>
  <si>
    <r>
      <rPr>
        <sz val="10"/>
        <color rgb="FF000000"/>
        <rFont val="WenQuanYi Zen Hei"/>
        <family val="2"/>
      </rPr>
      <t xml:space="preserve">아브라함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다윗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다말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라합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룻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</si>
  <si>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#001 </t>
    </r>
    <r>
      <rPr>
        <sz val="10"/>
        <color rgb="FF000000"/>
        <rFont val="WenQuanYi Zen Hei"/>
        <family val="2"/>
      </rPr>
      <t xml:space="preserve">이전 이야기</t>
    </r>
  </si>
  <si>
    <t xml:space="preserve">A0523</t>
  </si>
  <si>
    <t xml:space="preserve">S1-L21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</si>
  <si>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1:18-25</t>
    </r>
  </si>
  <si>
    <t xml:space="preserve">요셉의 꿈</t>
  </si>
  <si>
    <t xml:space="preserve">약혼녀가 아이를 가졌다는 소식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</si>
  <si>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1:21</t>
    </r>
  </si>
  <si>
    <t xml:space="preserve">그는 자기 백성을 죄에서 구원할 자이심이라</t>
  </si>
  <si>
    <r>
      <rPr>
        <sz val="10"/>
        <color rgb="FF000000"/>
        <rFont val="WenQuanYi Zen Hei"/>
        <family val="2"/>
      </rPr>
      <t xml:space="preserve">요셉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마리아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주의 사자</t>
    </r>
  </si>
  <si>
    <t xml:space="preserve">나사렛 요셉의 집</t>
  </si>
  <si>
    <r>
      <rPr>
        <sz val="10"/>
        <color rgb="FFC00000"/>
        <rFont val="WenQuanYi Zen Hei"/>
        <family val="2"/>
      </rPr>
      <t xml:space="preserve">성령 잉태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동정녀 탄생 정통 고백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마리아 숭배 연출 금지</t>
    </r>
  </si>
  <si>
    <r>
      <rPr>
        <sz val="10"/>
        <color rgb="FF1F3864"/>
        <rFont val="WenQuanYi Zen Hei"/>
        <family val="2"/>
      </rPr>
      <t xml:space="preserve">앞선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편은 시즌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에서 다룸 → 시작 내레이션에 배경 한 줄</t>
    </r>
  </si>
  <si>
    <t xml:space="preserve">A0524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</si>
  <si>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2:1-12</t>
    </r>
  </si>
  <si>
    <t xml:space="preserve">별을 따라온 사람들</t>
  </si>
  <si>
    <t xml:space="preserve">동쪽에서 온 박사들이 찾은 왕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</si>
  <si>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2:11</t>
    </r>
  </si>
  <si>
    <t xml:space="preserve">모든 민족이 왕께 경배하러 옵니다</t>
  </si>
  <si>
    <r>
      <rPr>
        <sz val="10"/>
        <color rgb="FF000000"/>
        <rFont val="WenQuanYi Zen Hei"/>
        <family val="2"/>
      </rPr>
      <t xml:space="preserve">동방 박사들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헤롯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아기 예수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마리아</t>
    </r>
  </si>
  <si>
    <r>
      <rPr>
        <sz val="10"/>
        <color rgb="FF000000"/>
        <rFont val="WenQuanYi Zen Hei"/>
        <family val="2"/>
      </rPr>
      <t xml:space="preserve">별빛 아래 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베들레헴의 집</t>
    </r>
  </si>
  <si>
    <r>
      <rPr>
        <sz val="10"/>
        <color rgb="FFC00000"/>
        <rFont val="WenQuanYi Zen Hei"/>
        <family val="2"/>
      </rPr>
      <t xml:space="preserve">박사 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세 명</t>
    </r>
    <r>
      <rPr>
        <sz val="10"/>
        <color rgb="FFC00000"/>
        <rFont val="Arial"/>
        <family val="0"/>
        <charset val="1"/>
      </rPr>
      <t xml:space="preserve">'·</t>
    </r>
    <r>
      <rPr>
        <sz val="10"/>
        <color rgb="FFC00000"/>
        <rFont val="WenQuanYi Zen Hei"/>
        <family val="2"/>
      </rPr>
      <t xml:space="preserve">이름은 전승으로 단정 금지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장소는 마구간 아닌 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집</t>
    </r>
    <r>
      <rPr>
        <sz val="10"/>
        <color rgb="FFC00000"/>
        <rFont val="Arial"/>
        <family val="0"/>
        <charset val="1"/>
      </rPr>
      <t xml:space="preserve">'(2:11)</t>
    </r>
  </si>
  <si>
    <t xml:space="preserve">A0525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</si>
  <si>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2:13-23</t>
    </r>
  </si>
  <si>
    <t xml:space="preserve">애굽으로 피하다</t>
  </si>
  <si>
    <t xml:space="preserve">한밤중에 아기를 안고 떠난 가족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</si>
  <si>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2:15</t>
    </r>
  </si>
  <si>
    <t xml:space="preserve">하나님은 아들을 지키십니다</t>
  </si>
  <si>
    <r>
      <rPr>
        <sz val="10"/>
        <color rgb="FF000000"/>
        <rFont val="WenQuanYi Zen Hei"/>
        <family val="2"/>
      </rPr>
      <t xml:space="preserve">요셉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마리아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아기 예수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헤롯</t>
    </r>
  </si>
  <si>
    <r>
      <rPr>
        <sz val="10"/>
        <color rgb="FF000000"/>
        <rFont val="WenQuanYi Zen Hei"/>
        <family val="2"/>
      </rPr>
      <t xml:space="preserve">애굽 가는 밤길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나사렛</t>
    </r>
  </si>
  <si>
    <t xml:space="preserve">베들레헴 영아 학살 장면 묘사 금지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</si>
  <si>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#002 '</t>
    </r>
    <r>
      <rPr>
        <sz val="10"/>
        <color rgb="FF000000"/>
        <rFont val="WenQuanYi Zen Hei"/>
        <family val="2"/>
      </rPr>
      <t xml:space="preserve">별을 따라온 사람들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</si>
  <si>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A0526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</si>
  <si>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3:1-12</t>
    </r>
  </si>
  <si>
    <t xml:space="preserve">광야의 외침</t>
  </si>
  <si>
    <t xml:space="preserve">낙타털 옷을 입은 선지자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</si>
  <si>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3:2</t>
    </r>
  </si>
  <si>
    <t xml:space="preserve">회개하라 천국이 가까이 왔느니라</t>
  </si>
  <si>
    <r>
      <rPr>
        <sz val="10"/>
        <color rgb="FF000000"/>
        <rFont val="WenQuanYi Zen Hei"/>
        <family val="2"/>
      </rPr>
      <t xml:space="preserve">세례 요한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무리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바리새인</t>
    </r>
  </si>
  <si>
    <r>
      <rPr>
        <sz val="10"/>
        <color rgb="FF000000"/>
        <rFont val="WenQuanYi Zen Hei"/>
        <family val="2"/>
      </rPr>
      <t xml:space="preserve">요단 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유대 광야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</si>
  <si>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마 </t>
    </r>
    <r>
      <rPr>
        <sz val="10"/>
        <color rgb="FF1F3864"/>
        <rFont val="Arial"/>
        <family val="0"/>
        <charset val="1"/>
      </rPr>
      <t xml:space="preserve">2:13-23 </t>
    </r>
    <r>
      <rPr>
        <sz val="10"/>
        <color rgb="FF1F3864"/>
        <rFont val="WenQuanYi Zen Hei"/>
        <family val="2"/>
      </rPr>
      <t xml:space="preserve">애굽으로 피하다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</si>
  <si>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A0527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</si>
  <si>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3:13-17</t>
    </r>
  </si>
  <si>
    <t xml:space="preserve">하늘이 열리다</t>
  </si>
  <si>
    <t xml:space="preserve">하늘에서 들린 목소리와 비둘기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</si>
  <si>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3:17</t>
    </r>
  </si>
  <si>
    <t xml:space="preserve">이는 내 사랑하는 아들이요 내 기뻐하는 자라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</si>
  <si>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세례 요한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성령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비둘기</t>
    </r>
    <r>
      <rPr>
        <sz val="10"/>
        <color rgb="FF000000"/>
        <rFont val="Arial"/>
        <family val="0"/>
        <charset val="1"/>
      </rPr>
      <t xml:space="preserve">)·</t>
    </r>
    <r>
      <rPr>
        <sz val="10"/>
        <color rgb="FF000000"/>
        <rFont val="WenQuanYi Zen Hei"/>
        <family val="2"/>
      </rPr>
      <t xml:space="preserve">성부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음성</t>
    </r>
    <r>
      <rPr>
        <sz val="10"/>
        <color rgb="FF000000"/>
        <rFont val="Arial"/>
        <family val="0"/>
        <charset val="1"/>
      </rPr>
      <t xml:space="preserve">)</t>
    </r>
  </si>
  <si>
    <t xml:space="preserve">요단 강</t>
  </si>
  <si>
    <r>
      <rPr>
        <sz val="10"/>
        <color rgb="FFC00000"/>
        <rFont val="WenQuanYi Zen Hei"/>
        <family val="2"/>
      </rPr>
      <t xml:space="preserve">삼위일체 장면</t>
    </r>
    <r>
      <rPr>
        <sz val="10"/>
        <color rgb="FFC00000"/>
        <rFont val="Arial"/>
        <family val="0"/>
        <charset val="1"/>
      </rPr>
      <t xml:space="preserve">: </t>
    </r>
    <r>
      <rPr>
        <sz val="10"/>
        <color rgb="FFC00000"/>
        <rFont val="WenQuanYi Zen Hei"/>
        <family val="2"/>
      </rPr>
      <t xml:space="preserve">성부는 음성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빛으로만</t>
    </r>
  </si>
  <si>
    <t xml:space="preserve">A0528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</si>
  <si>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4:1-11</t>
    </r>
  </si>
  <si>
    <t xml:space="preserve">광야의 시험</t>
  </si>
  <si>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일 금식 후 찾아온 세 가지 시험</t>
    </r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</si>
  <si>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4:4</t>
    </r>
  </si>
  <si>
    <t xml:space="preserve">예수님은 말씀으로 시험을 이기셨습니다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</si>
  <si>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사탄</t>
    </r>
  </si>
  <si>
    <r>
      <rPr>
        <sz val="10"/>
        <color rgb="FF000000"/>
        <rFont val="WenQuanYi Zen Hei"/>
        <family val="2"/>
      </rPr>
      <t xml:space="preserve">유대 광야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성전 꼭대기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높은 산</t>
    </r>
  </si>
  <si>
    <r>
      <rPr>
        <sz val="10"/>
        <color rgb="FFC00000"/>
        <rFont val="WenQuanYi Zen Hei"/>
        <family val="2"/>
      </rPr>
      <t xml:space="preserve">사탄은 그림자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형체로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뿔 달린 악마 금지</t>
    </r>
  </si>
  <si>
    <t xml:space="preserve">A0529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</si>
  <si>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4:12-25</t>
    </r>
  </si>
  <si>
    <t xml:space="preserve">사람을 낚는 어부</t>
  </si>
  <si>
    <t xml:space="preserve">그물을 버리고 즉시 따라간 사람들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</si>
  <si>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4:19</t>
    </r>
  </si>
  <si>
    <t xml:space="preserve">나를 따라오라 내가 너희를 사람을 낚는 어부가 되게 하리라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</si>
  <si>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베드로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안드레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야고보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요한</t>
    </r>
  </si>
  <si>
    <t xml:space="preserve">갈릴리 바닷가</t>
  </si>
  <si>
    <t xml:space="preserve">A0530</t>
  </si>
  <si>
    <t xml:space="preserve">B058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</si>
  <si>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5:1-12</t>
    </r>
  </si>
  <si>
    <t xml:space="preserve">팔복</t>
  </si>
  <si>
    <r>
      <rPr>
        <sz val="10"/>
        <color rgb="FF000000"/>
        <rFont val="WenQuanYi Zen Hei"/>
        <family val="2"/>
      </rPr>
      <t xml:space="preserve">가난한 사람이 복이 있다고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</si>
  <si>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5:3</t>
    </r>
  </si>
  <si>
    <t xml:space="preserve">심령이 가난한 자는 복이 있나니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</si>
  <si>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제자들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무리</t>
    </r>
  </si>
  <si>
    <t xml:space="preserve">갈릴리 언덕</t>
  </si>
  <si>
    <t xml:space="preserve">A0531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</si>
  <si>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5:13-16</t>
    </r>
  </si>
  <si>
    <t xml:space="preserve">소금과 빛</t>
  </si>
  <si>
    <r>
      <rPr>
        <sz val="10"/>
        <color rgb="FF000000"/>
        <rFont val="WenQuanYi Zen Hei"/>
        <family val="2"/>
      </rPr>
      <t xml:space="preserve">세상의 소금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세상의 빛</t>
    </r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</si>
  <si>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5:14</t>
    </r>
  </si>
  <si>
    <t xml:space="preserve">너희는 세상의 빛이라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</si>
  <si>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무리</t>
    </r>
  </si>
  <si>
    <r>
      <rPr>
        <sz val="10"/>
        <color rgb="FF000000"/>
        <rFont val="WenQuanYi Zen Hei"/>
        <family val="2"/>
      </rPr>
      <t xml:space="preserve">언덕 위 마을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등불</t>
    </r>
  </si>
  <si>
    <t xml:space="preserve">A0532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</si>
  <si>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5:17-26</t>
    </r>
  </si>
  <si>
    <t xml:space="preserve">율법을 완전하게</t>
  </si>
  <si>
    <r>
      <rPr>
        <sz val="10"/>
        <color rgb="FF000000"/>
        <rFont val="WenQuanYi Zen Hei"/>
        <family val="2"/>
      </rPr>
      <t xml:space="preserve">예수님이 율법을 없애러 오셨을까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</si>
  <si>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5:17</t>
    </r>
  </si>
  <si>
    <t xml:space="preserve">예수님은 율법을 완성하러 오셨습니다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</si>
  <si>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#008 '</t>
    </r>
    <r>
      <rPr>
        <sz val="10"/>
        <color rgb="FF000000"/>
        <rFont val="WenQuanYi Zen Hei"/>
        <family val="2"/>
      </rPr>
      <t xml:space="preserve">소금과 빛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</si>
  <si>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A0533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</si>
  <si>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5:27-48</t>
    </r>
  </si>
  <si>
    <t xml:space="preserve">원수를 사랑하라</t>
  </si>
  <si>
    <t xml:space="preserve">왼뺨도 돌려대라는 말의 의미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</si>
  <si>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5:44</t>
    </r>
  </si>
  <si>
    <t xml:space="preserve">너희 원수를 사랑하며 너희를 박해하는 자를 위하여 기도하라</t>
  </si>
  <si>
    <t xml:space="preserve">A0534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</si>
  <si>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6:1-15</t>
    </r>
  </si>
  <si>
    <t xml:space="preserve">주기도문</t>
  </si>
  <si>
    <t xml:space="preserve">예수님이 직접 가르쳐 주신 기도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</si>
  <si>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6:9</t>
    </r>
  </si>
  <si>
    <t xml:space="preserve">하늘에 계신 우리 아버지여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</si>
  <si>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제자들</t>
    </r>
  </si>
  <si>
    <r>
      <rPr>
        <sz val="10"/>
        <color rgb="FF000000"/>
        <rFont val="WenQuanYi Zen Hei"/>
        <family val="2"/>
      </rPr>
      <t xml:space="preserve">골방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언덕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</si>
  <si>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마 </t>
    </r>
    <r>
      <rPr>
        <sz val="10"/>
        <color rgb="FF1F3864"/>
        <rFont val="Arial"/>
        <family val="0"/>
        <charset val="1"/>
      </rPr>
      <t xml:space="preserve">5:17-26 </t>
    </r>
    <r>
      <rPr>
        <sz val="10"/>
        <color rgb="FF1F3864"/>
        <rFont val="WenQuanYi Zen Hei"/>
        <family val="2"/>
      </rPr>
      <t xml:space="preserve">율법을 완전하게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마 </t>
    </r>
    <r>
      <rPr>
        <sz val="10"/>
        <color rgb="FF1F3864"/>
        <rFont val="Arial"/>
        <family val="0"/>
        <charset val="1"/>
      </rPr>
      <t xml:space="preserve">5:27-48 </t>
    </r>
    <r>
      <rPr>
        <sz val="10"/>
        <color rgb="FF1F3864"/>
        <rFont val="WenQuanYi Zen Hei"/>
        <family val="2"/>
      </rPr>
      <t xml:space="preserve">원수를 사랑하라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</si>
  <si>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A0535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</si>
  <si>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6:16-34</t>
    </r>
  </si>
  <si>
    <t xml:space="preserve">먼저 그의 나라를</t>
  </si>
  <si>
    <t xml:space="preserve">공중의 새와 들의 백합화를 보라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</si>
  <si>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6:33</t>
    </r>
  </si>
  <si>
    <t xml:space="preserve">먼저 그의 나라와 그의 의를 구하라</t>
  </si>
  <si>
    <r>
      <rPr>
        <sz val="10"/>
        <color rgb="FF000000"/>
        <rFont val="WenQuanYi Zen Hei"/>
        <family val="2"/>
      </rPr>
      <t xml:space="preserve">들꽃 핀 들판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새</t>
    </r>
  </si>
  <si>
    <t xml:space="preserve">A0536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</si>
  <si>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7:1-12</t>
    </r>
  </si>
  <si>
    <t xml:space="preserve">구하라 찾으라 두드리라</t>
  </si>
  <si>
    <t xml:space="preserve">아버지가 자녀에게 돌을 주겠느냐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</si>
  <si>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7:7</t>
    </r>
  </si>
  <si>
    <t xml:space="preserve">구하라 그리하면 너희에게 주실 것이요</t>
  </si>
  <si>
    <t xml:space="preserve">가정 식탁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</si>
  <si>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#010 '</t>
    </r>
    <r>
      <rPr>
        <sz val="10"/>
        <color rgb="FF000000"/>
        <rFont val="WenQuanYi Zen Hei"/>
        <family val="2"/>
      </rPr>
      <t xml:space="preserve">먼저 그의 나라를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</si>
  <si>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A0537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</si>
  <si>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7:13-29</t>
    </r>
  </si>
  <si>
    <t xml:space="preserve">반석 위의 집</t>
  </si>
  <si>
    <t xml:space="preserve">폭풍이 와도 무너지지 않는 집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</si>
  <si>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7:24</t>
    </r>
  </si>
  <si>
    <t xml:space="preserve">말씀을 듣고 행하는 사람은 반석 위에 집을 지은 사람입니다</t>
  </si>
  <si>
    <t xml:space="preserve">반석 위 집과 모래 위 집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</si>
  <si>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마 </t>
    </r>
    <r>
      <rPr>
        <sz val="10"/>
        <color rgb="FF1F3864"/>
        <rFont val="Arial"/>
        <family val="0"/>
        <charset val="1"/>
      </rPr>
      <t xml:space="preserve">7:1-12 </t>
    </r>
    <r>
      <rPr>
        <sz val="10"/>
        <color rgb="FF1F3864"/>
        <rFont val="WenQuanYi Zen Hei"/>
        <family val="2"/>
      </rPr>
      <t xml:space="preserve">구하라 찾으라 두드리라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</si>
  <si>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A0538</t>
  </si>
  <si>
    <t xml:space="preserve">B059</t>
  </si>
  <si>
    <t xml:space="preserve">S1-L22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</si>
  <si>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8:1-17</t>
    </r>
  </si>
  <si>
    <t xml:space="preserve">원하시면 깨끗하게</t>
  </si>
  <si>
    <t xml:space="preserve">아무도 만지지 않던 나병환자를 만지셨다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</si>
  <si>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8:8</t>
    </r>
  </si>
  <si>
    <t xml:space="preserve">말씀만 하옵소서 그러면 내 하인이 낫겠사옵나이다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</si>
  <si>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나병환자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백부장</t>
    </r>
  </si>
  <si>
    <t xml:space="preserve">가버나움</t>
  </si>
  <si>
    <t xml:space="preserve">A0539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</si>
  <si>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8:18-27</t>
    </r>
  </si>
  <si>
    <t xml:space="preserve">바람과 바다도 순종하다</t>
  </si>
  <si>
    <t xml:space="preserve">폭풍 속에서 주무시던 예수님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</si>
  <si>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8:27</t>
    </r>
  </si>
  <si>
    <t xml:space="preserve">이이가 어떠한 사람이기에 바람과 바다도 순종하는가</t>
  </si>
  <si>
    <t xml:space="preserve">폭풍 치는 갈릴리 바다</t>
  </si>
  <si>
    <t xml:space="preserve">A0540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</si>
  <si>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8:28-9:8</t>
    </r>
  </si>
  <si>
    <t xml:space="preserve">죄를 사하는 권세</t>
  </si>
  <si>
    <t xml:space="preserve">친구들이 데려온 중풍병자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</si>
  <si>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9:6</t>
    </r>
  </si>
  <si>
    <t xml:space="preserve">예수님은 죄를 사하시는 하나님이십니다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</si>
  <si>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귀신 들린 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중풍병자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서기관들</t>
    </r>
  </si>
  <si>
    <r>
      <rPr>
        <sz val="10"/>
        <color rgb="FF000000"/>
        <rFont val="WenQuanYi Zen Hei"/>
        <family val="2"/>
      </rPr>
      <t xml:space="preserve">가다라 지방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가버나움</t>
    </r>
  </si>
  <si>
    <t xml:space="preserve">축귀 장면 공포 연출 금지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</si>
  <si>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#013 '</t>
    </r>
    <r>
      <rPr>
        <sz val="10"/>
        <color rgb="FF000000"/>
        <rFont val="WenQuanYi Zen Hei"/>
        <family val="2"/>
      </rPr>
      <t xml:space="preserve">바람과 바다도 순종하다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</si>
  <si>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A0541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</si>
  <si>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9:9-17</t>
    </r>
  </si>
  <si>
    <t xml:space="preserve">세리 마태를 부르시다</t>
  </si>
  <si>
    <t xml:space="preserve">모두가 싫어한 세리의 집에서 식사하신 예수님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</si>
  <si>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9:13</t>
    </r>
  </si>
  <si>
    <t xml:space="preserve">나는 의인을 부르러 온 것이 아니요 죄인을 부르러 왔노라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</si>
  <si>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마태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바리새인</t>
    </r>
  </si>
  <si>
    <r>
      <rPr>
        <sz val="10"/>
        <color rgb="FF000000"/>
        <rFont val="WenQuanYi Zen Hei"/>
        <family val="2"/>
      </rPr>
      <t xml:space="preserve">세관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마태의 집</t>
    </r>
  </si>
  <si>
    <t xml:space="preserve">A0542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</si>
  <si>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9:18-34</t>
    </r>
  </si>
  <si>
    <t xml:space="preserve">옷자락만 만져도</t>
  </si>
  <si>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년 아픈 여인과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살 소녀</t>
    </r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</si>
  <si>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9:22</t>
    </r>
  </si>
  <si>
    <t xml:space="preserve">딸아 안심하라 네 믿음이 너를 구원하였다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</si>
  <si>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혈루증 여인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야이로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관리</t>
    </r>
    <r>
      <rPr>
        <sz val="10"/>
        <color rgb="FF000000"/>
        <rFont val="Arial"/>
        <family val="0"/>
        <charset val="1"/>
      </rPr>
      <t xml:space="preserve">)·</t>
    </r>
    <r>
      <rPr>
        <sz val="10"/>
        <color rgb="FF000000"/>
        <rFont val="WenQuanYi Zen Hei"/>
        <family val="2"/>
      </rPr>
      <t xml:space="preserve">딸</t>
    </r>
  </si>
  <si>
    <r>
      <rPr>
        <sz val="10"/>
        <color rgb="FF000000"/>
        <rFont val="WenQuanYi Zen Hei"/>
        <family val="2"/>
      </rPr>
      <t xml:space="preserve">가버나움 거리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관리의 집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</si>
  <si>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마 </t>
    </r>
    <r>
      <rPr>
        <sz val="10"/>
        <color rgb="FF1F3864"/>
        <rFont val="Arial"/>
        <family val="0"/>
        <charset val="1"/>
      </rPr>
      <t xml:space="preserve">8:28-9:8 </t>
    </r>
    <r>
      <rPr>
        <sz val="10"/>
        <color rgb="FF1F3864"/>
        <rFont val="WenQuanYi Zen Hei"/>
        <family val="2"/>
      </rPr>
      <t xml:space="preserve">죄를 사하는 권세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마 </t>
    </r>
    <r>
      <rPr>
        <sz val="10"/>
        <color rgb="FF1F3864"/>
        <rFont val="Arial"/>
        <family val="0"/>
        <charset val="1"/>
      </rPr>
      <t xml:space="preserve">9:9-17 </t>
    </r>
    <r>
      <rPr>
        <sz val="10"/>
        <color rgb="FF1F3864"/>
        <rFont val="WenQuanYi Zen Hei"/>
        <family val="2"/>
      </rPr>
      <t xml:space="preserve">세리 마태를 부르시다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</si>
  <si>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A0543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</si>
  <si>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9:35-10:42</t>
    </r>
  </si>
  <si>
    <t xml:space="preserve">열두 제자를 보내시다</t>
  </si>
  <si>
    <t xml:space="preserve">추수할 것은 많되 일꾼이 적다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</si>
  <si>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9:37</t>
    </r>
  </si>
  <si>
    <t xml:space="preserve">예수님은 우리를 일꾼으로 보내십니다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</si>
  <si>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열두 제자</t>
    </r>
  </si>
  <si>
    <t xml:space="preserve">갈릴리 마을들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</si>
  <si>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#014 '</t>
    </r>
    <r>
      <rPr>
        <sz val="10"/>
        <color rgb="FF000000"/>
        <rFont val="WenQuanYi Zen Hei"/>
        <family val="2"/>
      </rPr>
      <t xml:space="preserve">옷자락만 만져도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</si>
  <si>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A0544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</si>
  <si>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11:1-30</t>
    </r>
  </si>
  <si>
    <t xml:space="preserve">수고하고 무거운 짐 진 자들아</t>
  </si>
  <si>
    <t xml:space="preserve">예수님이 초대하신 사람들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</si>
  <si>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11:28</t>
    </r>
  </si>
  <si>
    <t xml:space="preserve">내게로 오라 내가 너희를 쉬게 하리라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</si>
  <si>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요한의 제자들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무리</t>
    </r>
  </si>
  <si>
    <t xml:space="preserve">갈릴리</t>
  </si>
  <si>
    <t xml:space="preserve">A0545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</si>
  <si>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12:1-50</t>
    </r>
  </si>
  <si>
    <t xml:space="preserve">안식일의 주인</t>
  </si>
  <si>
    <r>
      <rPr>
        <sz val="10"/>
        <color rgb="FF000000"/>
        <rFont val="WenQuanYi Zen Hei"/>
        <family val="2"/>
      </rPr>
      <t xml:space="preserve">안식일에 병을 고치면 안 된다고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</si>
  <si>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12:8</t>
    </r>
  </si>
  <si>
    <t xml:space="preserve">인자는 안식일의 주인이니라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</si>
  <si>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바리새인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손 마른 사람</t>
    </r>
  </si>
  <si>
    <r>
      <rPr>
        <sz val="10"/>
        <color rgb="FF000000"/>
        <rFont val="WenQuanYi Zen Hei"/>
        <family val="2"/>
      </rPr>
      <t xml:space="preserve">밀밭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회당</t>
    </r>
  </si>
  <si>
    <r>
      <rPr>
        <sz val="10"/>
        <color rgb="FFC00000"/>
        <rFont val="WenQuanYi Zen Hei"/>
        <family val="2"/>
      </rPr>
      <t xml:space="preserve">토요 안식일 의무 주장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안식교</t>
    </r>
    <r>
      <rPr>
        <sz val="10"/>
        <color rgb="FFC00000"/>
        <rFont val="Arial"/>
        <family val="0"/>
        <charset val="1"/>
      </rPr>
      <t xml:space="preserve">) </t>
    </r>
    <r>
      <rPr>
        <sz val="10"/>
        <color rgb="FFC00000"/>
        <rFont val="WenQuanYi Zen Hei"/>
        <family val="2"/>
      </rPr>
      <t xml:space="preserve">배제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주일 성수는 웨신 </t>
    </r>
    <r>
      <rPr>
        <sz val="10"/>
        <color rgb="FFC00000"/>
        <rFont val="Arial"/>
        <family val="0"/>
        <charset val="1"/>
      </rPr>
      <t xml:space="preserve">21</t>
    </r>
    <r>
      <rPr>
        <sz val="10"/>
        <color rgb="FFC00000"/>
        <rFont val="WenQuanYi Zen Hei"/>
        <family val="2"/>
      </rPr>
      <t xml:space="preserve">장 입장과 일치</t>
    </r>
  </si>
  <si>
    <t xml:space="preserve">A0546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</si>
  <si>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13:1-23</t>
    </r>
  </si>
  <si>
    <t xml:space="preserve">씨 뿌리는 비유</t>
  </si>
  <si>
    <t xml:space="preserve">같은 씨가 다른 열매를 맺은 이유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</si>
  <si>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13:23</t>
    </r>
  </si>
  <si>
    <t xml:space="preserve">좋은 땅에 뿌려진 말씀은 열매를 맺습니다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</si>
  <si>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무리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제자들</t>
    </r>
  </si>
  <si>
    <t xml:space="preserve">갈릴리 바닷가 배 위</t>
  </si>
  <si>
    <r>
      <rPr>
        <sz val="10"/>
        <color rgb="FFC00000"/>
        <rFont val="WenQuanYi Zen Hei"/>
        <family val="2"/>
      </rPr>
      <t xml:space="preserve">비유의 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비밀 풀이</t>
    </r>
    <r>
      <rPr>
        <sz val="10"/>
        <color rgb="FFC00000"/>
        <rFont val="Arial"/>
        <family val="0"/>
        <charset val="1"/>
      </rPr>
      <t xml:space="preserve">'·</t>
    </r>
    <r>
      <rPr>
        <sz val="10"/>
        <color rgb="FFC00000"/>
        <rFont val="WenQuanYi Zen Hei"/>
        <family val="2"/>
      </rPr>
      <t xml:space="preserve">짝 맞추기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신천지식</t>
    </r>
    <r>
      <rPr>
        <sz val="10"/>
        <color rgb="FFC00000"/>
        <rFont val="Arial"/>
        <family val="0"/>
        <charset val="1"/>
      </rPr>
      <t xml:space="preserve">) </t>
    </r>
    <r>
      <rPr>
        <sz val="10"/>
        <color rgb="FFC00000"/>
        <rFont val="WenQuanYi Zen Hei"/>
        <family val="2"/>
      </rPr>
      <t xml:space="preserve">금지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예수님 자신의 해석만 사용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</si>
  <si>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3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마 </t>
    </r>
    <r>
      <rPr>
        <sz val="10"/>
        <color rgb="FF1F3864"/>
        <rFont val="Arial"/>
        <family val="0"/>
        <charset val="1"/>
      </rPr>
      <t xml:space="preserve">9:35-10:42 </t>
    </r>
    <r>
      <rPr>
        <sz val="10"/>
        <color rgb="FF1F3864"/>
        <rFont val="WenQuanYi Zen Hei"/>
        <family val="2"/>
      </rPr>
      <t xml:space="preserve">열두 제자를 보내시다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마 </t>
    </r>
    <r>
      <rPr>
        <sz val="10"/>
        <color rgb="FF1F3864"/>
        <rFont val="Arial"/>
        <family val="0"/>
        <charset val="1"/>
      </rPr>
      <t xml:space="preserve">11:1-30 </t>
    </r>
    <r>
      <rPr>
        <sz val="10"/>
        <color rgb="FF1F3864"/>
        <rFont val="WenQuanYi Zen Hei"/>
        <family val="2"/>
      </rPr>
      <t xml:space="preserve">수고하고 무거운 짐 진 자들아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마 </t>
    </r>
    <r>
      <rPr>
        <sz val="10"/>
        <color rgb="FF1F3864"/>
        <rFont val="Arial"/>
        <family val="0"/>
        <charset val="1"/>
      </rPr>
      <t xml:space="preserve">12:1-50 </t>
    </r>
    <r>
      <rPr>
        <sz val="10"/>
        <color rgb="FF1F3864"/>
        <rFont val="WenQuanYi Zen Hei"/>
        <family val="2"/>
      </rPr>
      <t xml:space="preserve">안식일의 주인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</si>
  <si>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A0547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</si>
  <si>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13:24-52</t>
    </r>
  </si>
  <si>
    <t xml:space="preserve">천국은 마치</t>
  </si>
  <si>
    <t xml:space="preserve">밭에 감추인 보화를 발견한 사람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</si>
  <si>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13:44</t>
    </r>
  </si>
  <si>
    <t xml:space="preserve">천국은 모든 것을 팔아 살 만한 가치가 있습니다</t>
  </si>
  <si>
    <r>
      <rPr>
        <sz val="10"/>
        <color rgb="FF000000"/>
        <rFont val="WenQuanYi Zen Hei"/>
        <family val="2"/>
      </rPr>
      <t xml:space="preserve">밭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겨자나무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그물</t>
    </r>
  </si>
  <si>
    <r>
      <rPr>
        <sz val="10"/>
        <color rgb="FFC00000"/>
        <rFont val="WenQuanYi Zen Hei"/>
        <family val="2"/>
      </rPr>
      <t xml:space="preserve">비유 짝풀이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실상 해석 금지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</si>
  <si>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#015 '</t>
    </r>
    <r>
      <rPr>
        <sz val="10"/>
        <color rgb="FF000000"/>
        <rFont val="WenQuanYi Zen Hei"/>
        <family val="2"/>
      </rPr>
      <t xml:space="preserve">씨 뿌리는 비유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</si>
  <si>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A0548</t>
  </si>
  <si>
    <t xml:space="preserve">B060</t>
  </si>
  <si>
    <t xml:space="preserve">S2-L37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</si>
  <si>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14:1-12</t>
    </r>
  </si>
  <si>
    <t xml:space="preserve">세례 요한의 죽음</t>
  </si>
  <si>
    <t xml:space="preserve">옳은 말을 하다 감옥에 갇힌 선지자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</si>
  <si>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14:4</t>
    </r>
  </si>
  <si>
    <t xml:space="preserve">진리를 말하는 용기</t>
  </si>
  <si>
    <r>
      <rPr>
        <sz val="10"/>
        <color rgb="FF000000"/>
        <rFont val="WenQuanYi Zen Hei"/>
        <family val="2"/>
      </rPr>
      <t xml:space="preserve">세례 요한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헤롯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헤로디아</t>
    </r>
  </si>
  <si>
    <r>
      <rPr>
        <sz val="10"/>
        <color rgb="FF000000"/>
        <rFont val="WenQuanYi Zen Hei"/>
        <family val="2"/>
      </rPr>
      <t xml:space="preserve">헤롯의 궁전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감옥</t>
    </r>
  </si>
  <si>
    <t xml:space="preserve">참수 장면 절대 묘사 금지</t>
  </si>
  <si>
    <t xml:space="preserve">A0549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</si>
  <si>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14:13-21</t>
    </r>
  </si>
  <si>
    <t xml:space="preserve">오병이어</t>
  </si>
  <si>
    <t xml:space="preserve">빵 다섯 개와 물고기 두 마리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</si>
  <si>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14:19</t>
    </r>
  </si>
  <si>
    <t xml:space="preserve">작은 것을 드릴 때 예수님이 크게 쓰십니다</t>
  </si>
  <si>
    <t xml:space="preserve">빈 들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</si>
  <si>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마 </t>
    </r>
    <r>
      <rPr>
        <sz val="10"/>
        <color rgb="FF1F3864"/>
        <rFont val="Arial"/>
        <family val="0"/>
        <charset val="1"/>
      </rPr>
      <t xml:space="preserve">13:24-52 </t>
    </r>
    <r>
      <rPr>
        <sz val="10"/>
        <color rgb="FF1F3864"/>
        <rFont val="WenQuanYi Zen Hei"/>
        <family val="2"/>
      </rPr>
      <t xml:space="preserve">천국은 마치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마 </t>
    </r>
    <r>
      <rPr>
        <sz val="10"/>
        <color rgb="FF1F3864"/>
        <rFont val="Arial"/>
        <family val="0"/>
        <charset val="1"/>
      </rPr>
      <t xml:space="preserve">14:1-12 </t>
    </r>
    <r>
      <rPr>
        <sz val="10"/>
        <color rgb="FF1F3864"/>
        <rFont val="WenQuanYi Zen Hei"/>
        <family val="2"/>
      </rPr>
      <t xml:space="preserve">세례 요한의 죽음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</si>
  <si>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A0550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</si>
  <si>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14:22-36</t>
    </r>
  </si>
  <si>
    <t xml:space="preserve">물 위를 걷다</t>
  </si>
  <si>
    <t xml:space="preserve">베드로도 물 위를 걸었다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</si>
  <si>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14:31</t>
    </r>
  </si>
  <si>
    <t xml:space="preserve">믿음이 작은 자여 왜 의심하였느냐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</si>
  <si>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베드로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제자들</t>
    </r>
  </si>
  <si>
    <t xml:space="preserve">밤바다</t>
  </si>
  <si>
    <t xml:space="preserve">A0551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</si>
  <si>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15:1-28</t>
    </r>
  </si>
  <si>
    <t xml:space="preserve">가나안 여인의 믿음</t>
  </si>
  <si>
    <t xml:space="preserve">개들도 부스러기는 먹습니다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</si>
  <si>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15:28</t>
    </r>
  </si>
  <si>
    <t xml:space="preserve">여자여 네 믿음이 크도다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</si>
  <si>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가나안 여인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제자들</t>
    </r>
  </si>
  <si>
    <t xml:space="preserve">두로와 시돈 지방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</si>
  <si>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#017 '</t>
    </r>
    <r>
      <rPr>
        <sz val="10"/>
        <color rgb="FF000000"/>
        <rFont val="WenQuanYi Zen Hei"/>
        <family val="2"/>
      </rPr>
      <t xml:space="preserve">물 위를 걷다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</si>
  <si>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A0552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</si>
  <si>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15:29-16:12</t>
    </r>
  </si>
  <si>
    <t xml:space="preserve">칠병이어와 바리새인의 누룩</t>
  </si>
  <si>
    <t xml:space="preserve">다시 한 번 무리를 먹이신 예수님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</si>
  <si>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15:32</t>
    </r>
  </si>
  <si>
    <t xml:space="preserve">예수님은 무리를 불쌍히 여기십니다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</si>
  <si>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무리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바리새인</t>
    </r>
  </si>
  <si>
    <t xml:space="preserve">갈릴리 산</t>
  </si>
  <si>
    <t xml:space="preserve">A0553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</si>
  <si>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16:13-28</t>
    </r>
  </si>
  <si>
    <t xml:space="preserve">너는 그리스도시요</t>
  </si>
  <si>
    <t xml:space="preserve">너희는 나를 누구라 하느냐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</si>
  <si>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16:16</t>
    </r>
  </si>
  <si>
    <t xml:space="preserve">주는 그리스도시요 살아 계신 하나님의 아들이시니이다</t>
  </si>
  <si>
    <t xml:space="preserve">가이사랴 빌립보</t>
  </si>
  <si>
    <r>
      <rPr>
        <sz val="10"/>
        <color rgb="FFC00000"/>
        <rFont val="Arial"/>
        <family val="0"/>
        <charset val="1"/>
      </rPr>
      <t xml:space="preserve">16:18 </t>
    </r>
    <r>
      <rPr>
        <sz val="10"/>
        <color rgb="FFC00000"/>
        <rFont val="WenQuanYi Zen Hei"/>
        <family val="2"/>
      </rPr>
      <t xml:space="preserve">반석 </t>
    </r>
    <r>
      <rPr>
        <sz val="10"/>
        <color rgb="FFC00000"/>
        <rFont val="Arial"/>
        <family val="0"/>
        <charset val="1"/>
      </rPr>
      <t xml:space="preserve">= </t>
    </r>
    <r>
      <rPr>
        <sz val="10"/>
        <color rgb="FFC00000"/>
        <rFont val="WenQuanYi Zen Hei"/>
        <family val="2"/>
      </rPr>
      <t xml:space="preserve">베드로의 신앙고백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개혁주의 해석</t>
    </r>
    <r>
      <rPr>
        <sz val="10"/>
        <color rgb="FFC00000"/>
        <rFont val="Arial"/>
        <family val="0"/>
        <charset val="1"/>
      </rPr>
      <t xml:space="preserve">), </t>
    </r>
    <r>
      <rPr>
        <sz val="10"/>
        <color rgb="FFC00000"/>
        <rFont val="WenQuanYi Zen Hei"/>
        <family val="2"/>
      </rPr>
      <t xml:space="preserve">교황권 근거 아님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</si>
  <si>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마 </t>
    </r>
    <r>
      <rPr>
        <sz val="10"/>
        <color rgb="FF1F3864"/>
        <rFont val="Arial"/>
        <family val="0"/>
        <charset val="1"/>
      </rPr>
      <t xml:space="preserve">15:1-28 </t>
    </r>
    <r>
      <rPr>
        <sz val="10"/>
        <color rgb="FF1F3864"/>
        <rFont val="WenQuanYi Zen Hei"/>
        <family val="2"/>
      </rPr>
      <t xml:space="preserve">가나안 여인의 믿음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마 </t>
    </r>
    <r>
      <rPr>
        <sz val="10"/>
        <color rgb="FF1F3864"/>
        <rFont val="Arial"/>
        <family val="0"/>
        <charset val="1"/>
      </rPr>
      <t xml:space="preserve">15:29-16:12 </t>
    </r>
    <r>
      <rPr>
        <sz val="10"/>
        <color rgb="FF1F3864"/>
        <rFont val="WenQuanYi Zen Hei"/>
        <family val="2"/>
      </rPr>
      <t xml:space="preserve">칠병이어와 바리새인의 누룩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</si>
  <si>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A0554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</si>
  <si>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17:1-13</t>
    </r>
  </si>
  <si>
    <t xml:space="preserve">변화산</t>
  </si>
  <si>
    <t xml:space="preserve">예수님의 얼굴이 해같이 빛났다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</si>
  <si>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17:5</t>
    </r>
  </si>
  <si>
    <t xml:space="preserve">그의 말을 들으라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</si>
  <si>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베드로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야고보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엘리야</t>
    </r>
  </si>
  <si>
    <r>
      <rPr>
        <sz val="10"/>
        <color rgb="FF000000"/>
        <rFont val="WenQuanYi Zen Hei"/>
        <family val="2"/>
      </rPr>
      <t xml:space="preserve">높은 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빛나는 구름</t>
    </r>
  </si>
  <si>
    <t xml:space="preserve">A0555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</si>
  <si>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17:14-27</t>
    </r>
  </si>
  <si>
    <t xml:space="preserve">겨자씨만 한 믿음</t>
  </si>
  <si>
    <t xml:space="preserve">믿음이 있으면 산도 옮긴다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</si>
  <si>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17:20</t>
    </r>
  </si>
  <si>
    <t xml:space="preserve">작은 믿음도 크신 하나님을 붙듭니다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</si>
  <si>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제자들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아이의 아버지</t>
    </r>
  </si>
  <si>
    <r>
      <rPr>
        <sz val="10"/>
        <color rgb="FF000000"/>
        <rFont val="WenQuanYi Zen Hei"/>
        <family val="2"/>
      </rPr>
      <t xml:space="preserve">산 아래 마을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가버나움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</si>
  <si>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#019 '</t>
    </r>
    <r>
      <rPr>
        <sz val="10"/>
        <color rgb="FF000000"/>
        <rFont val="WenQuanYi Zen Hei"/>
        <family val="2"/>
      </rPr>
      <t xml:space="preserve">변화산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</si>
  <si>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A0556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</si>
  <si>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18:1-35</t>
    </r>
  </si>
  <si>
    <t xml:space="preserve">일흔 번씩 일곱 번</t>
  </si>
  <si>
    <r>
      <rPr>
        <sz val="10"/>
        <color rgb="FF000000"/>
        <rFont val="WenQuanYi Zen Hei"/>
        <family val="2"/>
      </rPr>
      <t xml:space="preserve">몇 번까지 용서해야 할까요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</si>
  <si>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18:22</t>
    </r>
  </si>
  <si>
    <t xml:space="preserve">용서받은 사람은 용서합니다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</si>
  <si>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베드로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어린아이</t>
    </r>
  </si>
  <si>
    <t xml:space="preserve">가버나움 집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</si>
  <si>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마 </t>
    </r>
    <r>
      <rPr>
        <sz val="10"/>
        <color rgb="FF1F3864"/>
        <rFont val="Arial"/>
        <family val="0"/>
        <charset val="1"/>
      </rPr>
      <t xml:space="preserve">17:14-27 </t>
    </r>
    <r>
      <rPr>
        <sz val="10"/>
        <color rgb="FF1F3864"/>
        <rFont val="WenQuanYi Zen Hei"/>
        <family val="2"/>
      </rPr>
      <t xml:space="preserve">겨자씨만 한 믿음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</si>
  <si>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A0557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</si>
  <si>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19:1-30</t>
    </r>
  </si>
  <si>
    <t xml:space="preserve">부자 청년</t>
  </si>
  <si>
    <t xml:space="preserve">모든 계명을 지켰다는 청년이 슬퍼하며 돌아갔다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</si>
  <si>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19:26</t>
    </r>
  </si>
  <si>
    <t xml:space="preserve">사람으로는 할 수 없으나 하나님으로서는 다 하실 수 있느니라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</si>
  <si>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부자 청년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제자들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어린아이들</t>
    </r>
  </si>
  <si>
    <t xml:space="preserve">유대 지경</t>
  </si>
  <si>
    <t xml:space="preserve">A0558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</si>
  <si>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20:1-34</t>
    </r>
  </si>
  <si>
    <t xml:space="preserve">섬기러 오신 예수님</t>
  </si>
  <si>
    <r>
      <rPr>
        <sz val="10"/>
        <color rgb="FF000000"/>
        <rFont val="WenQuanYi Zen Hei"/>
        <family val="2"/>
      </rPr>
      <t xml:space="preserve">한 시간 일한 사람도 같은 품삯을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</si>
  <si>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20:28</t>
    </r>
  </si>
  <si>
    <t xml:space="preserve">인자가 온 것은 섬김을 받으려 함이 아니라 섬기려 하고 대속물로 주려 함이라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</si>
  <si>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포도원 품꾼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두 맹인</t>
    </r>
  </si>
  <si>
    <r>
      <rPr>
        <sz val="10"/>
        <color rgb="FF000000"/>
        <rFont val="WenQuanYi Zen Hei"/>
        <family val="2"/>
      </rPr>
      <t xml:space="preserve">포도원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여리고 길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</si>
  <si>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#021 '</t>
    </r>
    <r>
      <rPr>
        <sz val="10"/>
        <color rgb="FF000000"/>
        <rFont val="WenQuanYi Zen Hei"/>
        <family val="2"/>
      </rPr>
      <t xml:space="preserve">부자 청년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</si>
  <si>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A0559</t>
  </si>
  <si>
    <t xml:space="preserve">B061</t>
  </si>
  <si>
    <t xml:space="preserve">S1-L23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</si>
  <si>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21:1-17</t>
    </r>
  </si>
  <si>
    <t xml:space="preserve">호산나</t>
  </si>
  <si>
    <t xml:space="preserve">나귀를 타고 들어오신 왕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</si>
  <si>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21:9</t>
    </r>
  </si>
  <si>
    <t xml:space="preserve">호산나 다윗의 자손이여</t>
  </si>
  <si>
    <r>
      <rPr>
        <sz val="10"/>
        <color rgb="FF000000"/>
        <rFont val="WenQuanYi Zen Hei"/>
        <family val="2"/>
      </rPr>
      <t xml:space="preserve">감람산 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예루살렘 성문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성전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</si>
  <si>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마 </t>
    </r>
    <r>
      <rPr>
        <sz val="10"/>
        <color rgb="FF1F3864"/>
        <rFont val="Arial"/>
        <family val="0"/>
        <charset val="1"/>
      </rPr>
      <t xml:space="preserve">20:1-34 </t>
    </r>
    <r>
      <rPr>
        <sz val="10"/>
        <color rgb="FF1F3864"/>
        <rFont val="WenQuanYi Zen Hei"/>
        <family val="2"/>
      </rPr>
      <t xml:space="preserve">섬기러 오신 예수님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</si>
  <si>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A0560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</si>
  <si>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21:18-46</t>
    </r>
  </si>
  <si>
    <t xml:space="preserve">버린 돌이 머릿돌이 되다</t>
  </si>
  <si>
    <t xml:space="preserve">포도원 농부들이 주인의 아들을 죽였다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</si>
  <si>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21:42</t>
    </r>
  </si>
  <si>
    <t xml:space="preserve">건축자가 버린 돌이 머릿돌이 되었다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</si>
  <si>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대제사장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바리새인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</si>
  <si>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#022 '</t>
    </r>
    <r>
      <rPr>
        <sz val="10"/>
        <color rgb="FF000000"/>
        <rFont val="WenQuanYi Zen Hei"/>
        <family val="2"/>
      </rPr>
      <t xml:space="preserve">호산나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</si>
  <si>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A0561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</si>
  <si>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22:1-46</t>
    </r>
  </si>
  <si>
    <t xml:space="preserve">가장 큰 계명</t>
  </si>
  <si>
    <r>
      <rPr>
        <sz val="10"/>
        <color rgb="FF000000"/>
        <rFont val="WenQuanYi Zen Hei"/>
        <family val="2"/>
      </rPr>
      <t xml:space="preserve">어떤 계명이 가장 클까요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</si>
  <si>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22:37</t>
    </r>
  </si>
  <si>
    <t xml:space="preserve">네 마음을 다하고 목숨을 다하고 뜻을 다하여 주 너의 하나님을 사랑하라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</si>
  <si>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바리새인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사두개인</t>
    </r>
  </si>
  <si>
    <t xml:space="preserve">A0562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</si>
  <si>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23:1-39</t>
    </r>
  </si>
  <si>
    <t xml:space="preserve">암탉이 병아리를 모음같이</t>
  </si>
  <si>
    <t xml:space="preserve">위선자들에게 하신 일곱 번의 경고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</si>
  <si>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23:37</t>
    </r>
  </si>
  <si>
    <t xml:space="preserve">예수님은 우리를 품으려 하셨습니다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</si>
  <si>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서기관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바리새인</t>
    </r>
  </si>
  <si>
    <r>
      <rPr>
        <sz val="10"/>
        <color rgb="FF000000"/>
        <rFont val="WenQuanYi Zen Hei"/>
        <family val="2"/>
      </rPr>
      <t xml:space="preserve">성전 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예루살렘 전경</t>
    </r>
  </si>
  <si>
    <t xml:space="preserve">A0563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</si>
  <si>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24:1-31</t>
    </r>
  </si>
  <si>
    <t xml:space="preserve">마지막 때의 징조</t>
  </si>
  <si>
    <t xml:space="preserve">성전이 무너지리라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</si>
  <si>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24:13</t>
    </r>
  </si>
  <si>
    <t xml:space="preserve">끝까지 견디는 자는 구원을 얻으리라</t>
  </si>
  <si>
    <t xml:space="preserve">감람산</t>
  </si>
  <si>
    <r>
      <rPr>
        <sz val="10"/>
        <color rgb="FFC00000"/>
        <rFont val="WenQuanYi Zen Hei"/>
        <family val="2"/>
      </rPr>
      <t xml:space="preserve">시한부 종말론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날짜 예언 절대 금지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재림 장면은 빛과 구름으로</t>
    </r>
  </si>
  <si>
    <t xml:space="preserve">A0564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</si>
  <si>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24:32-51</t>
    </r>
  </si>
  <si>
    <t xml:space="preserve">그날과 그때는</t>
  </si>
  <si>
    <t xml:space="preserve">아무도 모르는 날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</si>
  <si>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24:36</t>
    </r>
  </si>
  <si>
    <t xml:space="preserve">그날과 그때는 아무도 모르나니</t>
  </si>
  <si>
    <r>
      <rPr>
        <sz val="10"/>
        <color rgb="FF000000"/>
        <rFont val="WenQuanYi Zen Hei"/>
        <family val="2"/>
      </rPr>
      <t xml:space="preserve">감람산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무화과나무</t>
    </r>
  </si>
  <si>
    <r>
      <rPr>
        <sz val="10"/>
        <color rgb="FFC00000"/>
        <rFont val="WenQuanYi Zen Hei"/>
        <family val="2"/>
      </rPr>
      <t xml:space="preserve">특정 날짜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인물 지목 금지</t>
    </r>
  </si>
  <si>
    <t xml:space="preserve">A0565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</si>
  <si>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25:1-13</t>
    </r>
  </si>
  <si>
    <t xml:space="preserve">열 처녀</t>
  </si>
  <si>
    <r>
      <rPr>
        <sz val="10"/>
        <color rgb="FF000000"/>
        <rFont val="WenQuanYi Zen Hei"/>
        <family val="2"/>
      </rPr>
      <t xml:space="preserve">기름을 준비한 다섯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준비하지 못한 다섯</t>
    </r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</si>
  <si>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25:13</t>
    </r>
  </si>
  <si>
    <t xml:space="preserve">깨어 있으라</t>
  </si>
  <si>
    <r>
      <rPr>
        <sz val="10"/>
        <color rgb="FF000000"/>
        <rFont val="WenQuanYi Zen Hei"/>
        <family val="2"/>
      </rPr>
      <t xml:space="preserve">열 처녀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신랑</t>
    </r>
  </si>
  <si>
    <t xml:space="preserve">밤의 혼인 행렬</t>
  </si>
  <si>
    <t xml:space="preserve">비유 짝 맞추기 해석 금지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</si>
  <si>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5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마 </t>
    </r>
    <r>
      <rPr>
        <sz val="10"/>
        <color rgb="FF1F3864"/>
        <rFont val="Arial"/>
        <family val="0"/>
        <charset val="1"/>
      </rPr>
      <t xml:space="preserve">21:18-46 </t>
    </r>
    <r>
      <rPr>
        <sz val="10"/>
        <color rgb="FF1F3864"/>
        <rFont val="WenQuanYi Zen Hei"/>
        <family val="2"/>
      </rPr>
      <t xml:space="preserve">버린 돌이 머릿돌이 되다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마 </t>
    </r>
    <r>
      <rPr>
        <sz val="10"/>
        <color rgb="FF1F3864"/>
        <rFont val="Arial"/>
        <family val="0"/>
        <charset val="1"/>
      </rPr>
      <t xml:space="preserve">22:1-46 </t>
    </r>
    <r>
      <rPr>
        <sz val="10"/>
        <color rgb="FF1F3864"/>
        <rFont val="WenQuanYi Zen Hei"/>
        <family val="2"/>
      </rPr>
      <t xml:space="preserve">가장 큰 계명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마 </t>
    </r>
    <r>
      <rPr>
        <sz val="10"/>
        <color rgb="FF1F3864"/>
        <rFont val="Arial"/>
        <family val="0"/>
        <charset val="1"/>
      </rPr>
      <t xml:space="preserve">23:1-39 </t>
    </r>
    <r>
      <rPr>
        <sz val="10"/>
        <color rgb="FF1F3864"/>
        <rFont val="WenQuanYi Zen Hei"/>
        <family val="2"/>
      </rPr>
      <t xml:space="preserve">암탉이 병아리를 모음같이 외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</si>
  <si>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A0566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</si>
  <si>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25:14-30</t>
    </r>
  </si>
  <si>
    <t xml:space="preserve">달란트 비유</t>
  </si>
  <si>
    <t xml:space="preserve">한 달란트를 땅에 묻은 종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</si>
  <si>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25:21</t>
    </r>
  </si>
  <si>
    <t xml:space="preserve">작은 일에 충성한 자에게 큰일을 맡기십니다</t>
  </si>
  <si>
    <r>
      <rPr>
        <sz val="10"/>
        <color rgb="FF000000"/>
        <rFont val="WenQuanYi Zen Hei"/>
        <family val="2"/>
      </rPr>
      <t xml:space="preserve">주인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세 종</t>
    </r>
  </si>
  <si>
    <t xml:space="preserve">주인의 집</t>
  </si>
  <si>
    <t xml:space="preserve">A0567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</si>
  <si>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25:31-46</t>
    </r>
  </si>
  <si>
    <t xml:space="preserve">양과 염소</t>
  </si>
  <si>
    <t xml:space="preserve">지극히 작은 자 하나에게 한 것이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</si>
  <si>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25:40</t>
    </r>
  </si>
  <si>
    <t xml:space="preserve">이웃 사랑은 믿음의 열매입니다</t>
  </si>
  <si>
    <r>
      <rPr>
        <sz val="10"/>
        <color rgb="FF000000"/>
        <rFont val="WenQuanYi Zen Hei"/>
        <family val="2"/>
      </rPr>
      <t xml:space="preserve">인자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재림의 왕</t>
    </r>
    <r>
      <rPr>
        <sz val="10"/>
        <color rgb="FF000000"/>
        <rFont val="Arial"/>
        <family val="0"/>
        <charset val="1"/>
      </rPr>
      <t xml:space="preserve">)·</t>
    </r>
    <r>
      <rPr>
        <sz val="10"/>
        <color rgb="FF000000"/>
        <rFont val="WenQuanYi Zen Hei"/>
        <family val="2"/>
      </rPr>
      <t xml:space="preserve">모든 민족</t>
    </r>
  </si>
  <si>
    <r>
      <rPr>
        <sz val="10"/>
        <color rgb="FF000000"/>
        <rFont val="WenQuanYi Zen Hei"/>
        <family val="2"/>
      </rPr>
      <t xml:space="preserve">영광의 보좌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빛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</si>
  <si>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C00000"/>
        <rFont val="WenQuanYi Zen Hei"/>
        <family val="2"/>
      </rPr>
      <t xml:space="preserve">행위 구원 아님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믿음의 열매로 설명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</si>
  <si>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#024 '</t>
    </r>
    <r>
      <rPr>
        <sz val="10"/>
        <color rgb="FF000000"/>
        <rFont val="WenQuanYi Zen Hei"/>
        <family val="2"/>
      </rPr>
      <t xml:space="preserve">달란트 비유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</si>
  <si>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A0568</t>
  </si>
  <si>
    <t xml:space="preserve">B062</t>
  </si>
  <si>
    <t xml:space="preserve">S2-L38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</si>
  <si>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26:1-16</t>
    </r>
  </si>
  <si>
    <t xml:space="preserve">향유 옥합</t>
  </si>
  <si>
    <r>
      <rPr>
        <sz val="10"/>
        <color rgb="FF000000"/>
        <rFont val="Arial"/>
        <family val="0"/>
        <charset val="1"/>
      </rPr>
      <t xml:space="preserve">300 </t>
    </r>
    <r>
      <rPr>
        <sz val="10"/>
        <color rgb="FF000000"/>
        <rFont val="WenQuanYi Zen Hei"/>
        <family val="2"/>
      </rPr>
      <t xml:space="preserve">데나리온 향유를 붓다</t>
    </r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</si>
  <si>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26:13</t>
    </r>
  </si>
  <si>
    <t xml:space="preserve">사랑은 아끼지 않습니다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</si>
  <si>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한 여자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유다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제자들</t>
    </r>
  </si>
  <si>
    <t xml:space="preserve">베다니 시몬의 집</t>
  </si>
  <si>
    <t xml:space="preserve">A0569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</si>
  <si>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26:17-30</t>
    </r>
  </si>
  <si>
    <t xml:space="preserve">최후의 만찬</t>
  </si>
  <si>
    <r>
      <rPr>
        <sz val="10"/>
        <color rgb="FF000000"/>
        <rFont val="WenQuanYi Zen Hei"/>
        <family val="2"/>
      </rPr>
      <t xml:space="preserve">이것은 나의 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이것은 나의 피</t>
    </r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</si>
  <si>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26:28</t>
    </r>
  </si>
  <si>
    <t xml:space="preserve">예수님의 피는 죄 사함을 위한 언약의 피입니다</t>
  </si>
  <si>
    <r>
      <rPr>
        <sz val="10"/>
        <color rgb="FF000000"/>
        <rFont val="WenQuanYi Zen Hei"/>
        <family val="2"/>
      </rPr>
      <t xml:space="preserve">다락방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떡과 잔</t>
    </r>
  </si>
  <si>
    <r>
      <rPr>
        <sz val="10"/>
        <color rgb="FFC00000"/>
        <rFont val="WenQuanYi Zen Hei"/>
        <family val="2"/>
      </rPr>
      <t xml:space="preserve">성찬은 개혁주의 영적 임재 입장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화체설 아님</t>
    </r>
    <r>
      <rPr>
        <sz val="10"/>
        <color rgb="FFC00000"/>
        <rFont val="Arial"/>
        <family val="0"/>
        <charset val="1"/>
      </rPr>
      <t xml:space="preserve">)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</si>
  <si>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마 </t>
    </r>
    <r>
      <rPr>
        <sz val="10"/>
        <color rgb="FF1F3864"/>
        <rFont val="Arial"/>
        <family val="0"/>
        <charset val="1"/>
      </rPr>
      <t xml:space="preserve">25:31-46 </t>
    </r>
    <r>
      <rPr>
        <sz val="10"/>
        <color rgb="FF1F3864"/>
        <rFont val="WenQuanYi Zen Hei"/>
        <family val="2"/>
      </rPr>
      <t xml:space="preserve">양과 염소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마 </t>
    </r>
    <r>
      <rPr>
        <sz val="10"/>
        <color rgb="FF1F3864"/>
        <rFont val="Arial"/>
        <family val="0"/>
        <charset val="1"/>
      </rPr>
      <t xml:space="preserve">26:1-16 </t>
    </r>
    <r>
      <rPr>
        <sz val="10"/>
        <color rgb="FF1F3864"/>
        <rFont val="WenQuanYi Zen Hei"/>
        <family val="2"/>
      </rPr>
      <t xml:space="preserve">향유 옥합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</si>
  <si>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A0570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</si>
  <si>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26:31-56</t>
    </r>
  </si>
  <si>
    <t xml:space="preserve">겟세마네</t>
  </si>
  <si>
    <t xml:space="preserve">내 뜻대로 마시고 아버지의 원대로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</si>
  <si>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26:39</t>
    </r>
  </si>
  <si>
    <t xml:space="preserve">예수님은 아버지의 뜻에 순종하셨습니다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</si>
  <si>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베드로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야고보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유다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무리</t>
    </r>
  </si>
  <si>
    <r>
      <rPr>
        <sz val="10"/>
        <color rgb="FF000000"/>
        <rFont val="WenQuanYi Zen Hei"/>
        <family val="2"/>
      </rPr>
      <t xml:space="preserve">겟세마네 동산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밤</t>
    </r>
  </si>
  <si>
    <t xml:space="preserve">A0571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</si>
  <si>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26:57-75</t>
    </r>
  </si>
  <si>
    <t xml:space="preserve">닭이 울기 전에</t>
  </si>
  <si>
    <t xml:space="preserve">세 번 부인한 베드로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</si>
  <si>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26:75</t>
    </r>
  </si>
  <si>
    <t xml:space="preserve">실패한 제자를 예수님은 버리지 않으셨습니다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</si>
  <si>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가야바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베드로</t>
    </r>
  </si>
  <si>
    <r>
      <rPr>
        <sz val="10"/>
        <color rgb="FF000000"/>
        <rFont val="WenQuanYi Zen Hei"/>
        <family val="2"/>
      </rPr>
      <t xml:space="preserve">대제사장의 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모닥불</t>
    </r>
  </si>
  <si>
    <t xml:space="preserve">A0572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</si>
  <si>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27:1-26</t>
    </r>
  </si>
  <si>
    <t xml:space="preserve">빌라도의 재판</t>
  </si>
  <si>
    <t xml:space="preserve">바라바냐 예수냐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</si>
  <si>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27:22</t>
    </r>
  </si>
  <si>
    <t xml:space="preserve">죄 없는 분이 죄인 대신 정죄받으셨습니다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</si>
  <si>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빌라도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바라바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무리</t>
    </r>
  </si>
  <si>
    <t xml:space="preserve">빌라도의 관정</t>
  </si>
  <si>
    <r>
      <rPr>
        <sz val="10"/>
        <color rgb="FFC00000"/>
        <rFont val="WenQuanYi Zen Hei"/>
        <family val="2"/>
      </rPr>
      <t xml:space="preserve">유다의 자결 장면 묘사 금지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채찍질 장면 직접 묘사 금지</t>
    </r>
  </si>
  <si>
    <t xml:space="preserve">A0573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</si>
  <si>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27:27-56</t>
    </r>
  </si>
  <si>
    <t xml:space="preserve">십자가</t>
  </si>
  <si>
    <t xml:space="preserve">나의 하나님 나의 하나님 어찌하여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</si>
  <si>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27:46</t>
    </r>
  </si>
  <si>
    <t xml:space="preserve">예수님은 우리 대신 버림받으셨습니다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</si>
  <si>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로마 군인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백부장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여인들</t>
    </r>
  </si>
  <si>
    <r>
      <rPr>
        <sz val="10"/>
        <color rgb="FF000000"/>
        <rFont val="WenQuanYi Zen Hei"/>
        <family val="2"/>
      </rPr>
      <t xml:space="preserve">골고다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어두워진 하늘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찢어진 휘장</t>
    </r>
  </si>
  <si>
    <r>
      <rPr>
        <sz val="10"/>
        <color rgb="FFC00000"/>
        <rFont val="WenQuanYi Zen Hei"/>
        <family val="2"/>
      </rPr>
      <t xml:space="preserve">잔혹 묘사 금지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실루엣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역광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대속 의미 강조</t>
    </r>
  </si>
  <si>
    <t xml:space="preserve">A0574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</si>
  <si>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27:57-66</t>
    </r>
  </si>
  <si>
    <t xml:space="preserve">무덤과 경비병</t>
  </si>
  <si>
    <t xml:space="preserve">큰 돌로 막고 봉인한 무덤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</si>
  <si>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27:60</t>
    </r>
  </si>
  <si>
    <t xml:space="preserve">예수님은 정말 죽으시고 장사되셨습니다</t>
  </si>
  <si>
    <r>
      <rPr>
        <sz val="10"/>
        <color rgb="FF000000"/>
        <rFont val="WenQuanYi Zen Hei"/>
        <family val="2"/>
      </rPr>
      <t xml:space="preserve">아리마대 요셉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여인들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경비병</t>
    </r>
  </si>
  <si>
    <t xml:space="preserve">동산 무덤</t>
  </si>
  <si>
    <t xml:space="preserve">A0575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</si>
  <si>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28:1-15</t>
    </r>
  </si>
  <si>
    <t xml:space="preserve">부활</t>
  </si>
  <si>
    <t xml:space="preserve">그가 여기 계시지 않고 살아나셨느니라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</si>
  <si>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28:6</t>
    </r>
  </si>
  <si>
    <t xml:space="preserve">예수님은 죽음을 이기셨습니다</t>
  </si>
  <si>
    <r>
      <rPr>
        <sz val="10"/>
        <color rgb="FF000000"/>
        <rFont val="WenQuanYi Zen Hei"/>
        <family val="2"/>
      </rPr>
      <t xml:space="preserve">천사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막달라 마리아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다른 마리아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예수님</t>
    </r>
  </si>
  <si>
    <r>
      <rPr>
        <sz val="10"/>
        <color rgb="FF000000"/>
        <rFont val="WenQuanYi Zen Hei"/>
        <family val="2"/>
      </rPr>
      <t xml:space="preserve">빈 무덤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새벽</t>
    </r>
  </si>
  <si>
    <t xml:space="preserve">A0576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</si>
  <si>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28:16-20</t>
    </r>
  </si>
  <si>
    <t xml:space="preserve">가서 제자로 삼으라</t>
  </si>
  <si>
    <t xml:space="preserve">부활하신 예수님의 마지막 명령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</si>
  <si>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28:19</t>
    </r>
  </si>
  <si>
    <r>
      <rPr>
        <sz val="10"/>
        <color rgb="FF000000"/>
        <rFont val="WenQuanYi Zen Hei"/>
        <family val="2"/>
      </rPr>
      <t xml:space="preserve">모든 민족을 제자로 삼으라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내가 항상 함께 있으리라</t>
    </r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</si>
  <si>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열한 제자</t>
    </r>
  </si>
  <si>
    <t xml:space="preserve">A0577</t>
  </si>
  <si>
    <t xml:space="preserve">B063</t>
  </si>
  <si>
    <t xml:space="preserve">마가복음</t>
  </si>
  <si>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1:1-15</t>
    </r>
  </si>
  <si>
    <t xml:space="preserve">복음의 시작</t>
  </si>
  <si>
    <t xml:space="preserve">가장 짧은 복음서의 첫 문장</t>
  </si>
  <si>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1:1</t>
    </r>
  </si>
  <si>
    <t xml:space="preserve">하나님의 아들 예수 그리스도의 복음의 시작이라</t>
  </si>
  <si>
    <r>
      <rPr>
        <sz val="10"/>
        <color rgb="FF000000"/>
        <rFont val="WenQuanYi Zen Hei"/>
        <family val="2"/>
      </rPr>
      <t xml:space="preserve">세례 요한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예수님</t>
    </r>
  </si>
  <si>
    <r>
      <rPr>
        <sz val="10"/>
        <color rgb="FF000000"/>
        <rFont val="WenQuanYi Zen Hei"/>
        <family val="2"/>
      </rPr>
      <t xml:space="preserve">요단 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광야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</si>
  <si>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#032 '</t>
    </r>
    <r>
      <rPr>
        <sz val="10"/>
        <color rgb="FF000000"/>
        <rFont val="WenQuanYi Zen Hei"/>
        <family val="2"/>
      </rPr>
      <t xml:space="preserve">가서 제자로 삼으라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</si>
  <si>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A0578</t>
  </si>
  <si>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1:21-45</t>
    </r>
  </si>
  <si>
    <t xml:space="preserve">가버나움의 하루</t>
  </si>
  <si>
    <t xml:space="preserve">하루 종일 사람을 고치신 뒤 새벽에 하신 일</t>
  </si>
  <si>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1:35</t>
    </r>
  </si>
  <si>
    <t xml:space="preserve">예수님은 새벽에 기도하셨습니다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</si>
  <si>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베드로의 장모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나병환자</t>
    </r>
  </si>
  <si>
    <r>
      <rPr>
        <sz val="10"/>
        <color rgb="FF000000"/>
        <rFont val="WenQuanYi Zen Hei"/>
        <family val="2"/>
      </rPr>
      <t xml:space="preserve">가버나움 회당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한적한 곳</t>
    </r>
  </si>
  <si>
    <t xml:space="preserve">A0579</t>
  </si>
  <si>
    <t xml:space="preserve">S1-L24</t>
  </si>
  <si>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2:1-12</t>
    </r>
  </si>
  <si>
    <t xml:space="preserve">지붕을 뚫은 친구들</t>
  </si>
  <si>
    <t xml:space="preserve">지붕을 뜯고 친구를 내려보냈다</t>
  </si>
  <si>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2:5</t>
    </r>
  </si>
  <si>
    <t xml:space="preserve">예수님은 친구들의 믿음을 보셨습니다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</si>
  <si>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중풍병자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네 친구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서기관들</t>
    </r>
  </si>
  <si>
    <t xml:space="preserve">가버나움 집 지붕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</si>
  <si>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막 </t>
    </r>
    <r>
      <rPr>
        <sz val="10"/>
        <color rgb="FF1F3864"/>
        <rFont val="Arial"/>
        <family val="0"/>
        <charset val="1"/>
      </rPr>
      <t xml:space="preserve">1:1-15 </t>
    </r>
    <r>
      <rPr>
        <sz val="10"/>
        <color rgb="FF1F3864"/>
        <rFont val="WenQuanYi Zen Hei"/>
        <family val="2"/>
      </rPr>
      <t xml:space="preserve">복음의 시작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막 </t>
    </r>
    <r>
      <rPr>
        <sz val="10"/>
        <color rgb="FF1F3864"/>
        <rFont val="Arial"/>
        <family val="0"/>
        <charset val="1"/>
      </rPr>
      <t xml:space="preserve">1:21-45 </t>
    </r>
    <r>
      <rPr>
        <sz val="10"/>
        <color rgb="FF1F3864"/>
        <rFont val="WenQuanYi Zen Hei"/>
        <family val="2"/>
      </rPr>
      <t xml:space="preserve">가버나움의 하루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</si>
  <si>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A0580</t>
  </si>
  <si>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4:35-5:20</t>
    </r>
  </si>
  <si>
    <t xml:space="preserve">돌아가서 전하라</t>
  </si>
  <si>
    <t xml:space="preserve">무덤 사이에 살던 사람이 온전해졌다</t>
  </si>
  <si>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5:19</t>
    </r>
  </si>
  <si>
    <t xml:space="preserve">주께서 너에게 어떻게 큰일을 행하셨는지 알리라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</si>
  <si>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거라사 사람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돼지 떼</t>
    </r>
  </si>
  <si>
    <t xml:space="preserve">거라사 해안 무덤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</si>
  <si>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#033 '</t>
    </r>
    <r>
      <rPr>
        <sz val="10"/>
        <color rgb="FF000000"/>
        <rFont val="WenQuanYi Zen Hei"/>
        <family val="2"/>
      </rPr>
      <t xml:space="preserve">지붕을 뚫은 친구들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</si>
  <si>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A0581</t>
  </si>
  <si>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5:21-43</t>
    </r>
  </si>
  <si>
    <t xml:space="preserve">달리다굼</t>
  </si>
  <si>
    <t xml:space="preserve">소녀야 일어나라</t>
  </si>
  <si>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5:41</t>
    </r>
  </si>
  <si>
    <t xml:space="preserve">예수님은 죽음보다 강하십니다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</si>
  <si>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야이로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혈루증 여인</t>
    </r>
  </si>
  <si>
    <t xml:space="preserve">야이로의 집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</si>
  <si>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막 </t>
    </r>
    <r>
      <rPr>
        <sz val="10"/>
        <color rgb="FF1F3864"/>
        <rFont val="Arial"/>
        <family val="0"/>
        <charset val="1"/>
      </rPr>
      <t xml:space="preserve">4:35-5:20 </t>
    </r>
    <r>
      <rPr>
        <sz val="10"/>
        <color rgb="FF1F3864"/>
        <rFont val="WenQuanYi Zen Hei"/>
        <family val="2"/>
      </rPr>
      <t xml:space="preserve">돌아가서 전하라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</si>
  <si>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A0582</t>
  </si>
  <si>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7:24-37</t>
    </r>
  </si>
  <si>
    <t xml:space="preserve">에바다</t>
  </si>
  <si>
    <r>
      <rPr>
        <sz val="10"/>
        <color rgb="FF000000"/>
        <rFont val="WenQuanYi Zen Hei"/>
        <family val="2"/>
      </rPr>
      <t xml:space="preserve">열리라</t>
    </r>
    <r>
      <rPr>
        <sz val="10"/>
        <color rgb="FF000000"/>
        <rFont val="Arial"/>
        <family val="0"/>
        <charset val="1"/>
      </rPr>
      <t xml:space="preserve">!</t>
    </r>
  </si>
  <si>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7:34</t>
    </r>
  </si>
  <si>
    <t xml:space="preserve">예수님은 닫힌 귀와 입을 여십니다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</si>
  <si>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수로보니게 여인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귀먹은 사람</t>
    </r>
  </si>
  <si>
    <r>
      <rPr>
        <sz val="10"/>
        <color rgb="FF000000"/>
        <rFont val="WenQuanYi Zen Hei"/>
        <family val="2"/>
      </rPr>
      <t xml:space="preserve">두로 지방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데가볼리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</si>
  <si>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#034 '</t>
    </r>
    <r>
      <rPr>
        <sz val="10"/>
        <color rgb="FF000000"/>
        <rFont val="WenQuanYi Zen Hei"/>
        <family val="2"/>
      </rPr>
      <t xml:space="preserve">달리다굼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</si>
  <si>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A0583</t>
  </si>
  <si>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8:22-26</t>
    </r>
  </si>
  <si>
    <t xml:space="preserve">두 번 만져 주신 맹인</t>
  </si>
  <si>
    <t xml:space="preserve">처음엔 사람이 나무처럼 보였다</t>
  </si>
  <si>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8:25</t>
    </r>
  </si>
  <si>
    <t xml:space="preserve">예수님은 끝까지 온전하게 고치십니다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</si>
  <si>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벳새다 맹인</t>
    </r>
  </si>
  <si>
    <t xml:space="preserve">벳새다 마을 밖</t>
  </si>
  <si>
    <t xml:space="preserve">A0584</t>
  </si>
  <si>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9:14-29</t>
    </r>
  </si>
  <si>
    <t xml:space="preserve">믿음 없는 나를 도와주소서</t>
  </si>
  <si>
    <t xml:space="preserve">아버지의 눈물 섞인 고백</t>
  </si>
  <si>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9:24</t>
    </r>
  </si>
  <si>
    <t xml:space="preserve">연약한 믿음으로도 예수님께 나아갑니다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</si>
  <si>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아이의 아버지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제자들</t>
    </r>
  </si>
  <si>
    <t xml:space="preserve">산 아래</t>
  </si>
  <si>
    <t xml:space="preserve">A0585</t>
  </si>
  <si>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10:13-16</t>
    </r>
  </si>
  <si>
    <t xml:space="preserve">어린아이를 안으시다</t>
  </si>
  <si>
    <t xml:space="preserve">제자들은 막고 예수님은 부르셨다</t>
  </si>
  <si>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10:14</t>
    </r>
  </si>
  <si>
    <t xml:space="preserve">어린아이들이 내게 오는 것을 용납하라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</si>
  <si>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어린아이들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부모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제자들</t>
    </r>
  </si>
  <si>
    <t xml:space="preserve">요단 건너편 마을</t>
  </si>
  <si>
    <t xml:space="preserve">교회 학교 활용 추천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</si>
  <si>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3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막 </t>
    </r>
    <r>
      <rPr>
        <sz val="10"/>
        <color rgb="FF1F3864"/>
        <rFont val="Arial"/>
        <family val="0"/>
        <charset val="1"/>
      </rPr>
      <t xml:space="preserve">7:24-37 </t>
    </r>
    <r>
      <rPr>
        <sz val="10"/>
        <color rgb="FF1F3864"/>
        <rFont val="WenQuanYi Zen Hei"/>
        <family val="2"/>
      </rPr>
      <t xml:space="preserve">에바다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막 </t>
    </r>
    <r>
      <rPr>
        <sz val="10"/>
        <color rgb="FF1F3864"/>
        <rFont val="Arial"/>
        <family val="0"/>
        <charset val="1"/>
      </rPr>
      <t xml:space="preserve">8:22-26 </t>
    </r>
    <r>
      <rPr>
        <sz val="10"/>
        <color rgb="FF1F3864"/>
        <rFont val="WenQuanYi Zen Hei"/>
        <family val="2"/>
      </rPr>
      <t xml:space="preserve">두 번 만져 주신 맹인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막 </t>
    </r>
    <r>
      <rPr>
        <sz val="10"/>
        <color rgb="FF1F3864"/>
        <rFont val="Arial"/>
        <family val="0"/>
        <charset val="1"/>
      </rPr>
      <t xml:space="preserve">9:14-29 </t>
    </r>
    <r>
      <rPr>
        <sz val="10"/>
        <color rgb="FF1F3864"/>
        <rFont val="WenQuanYi Zen Hei"/>
        <family val="2"/>
      </rPr>
      <t xml:space="preserve">믿음 없는 나를 도와주소서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</si>
  <si>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A0586</t>
  </si>
  <si>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10:46-52</t>
    </r>
  </si>
  <si>
    <t xml:space="preserve">바디매오</t>
  </si>
  <si>
    <t xml:space="preserve">길가의 맹인이 더 크게 소리쳤다</t>
  </si>
  <si>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10:52</t>
    </r>
  </si>
  <si>
    <t xml:space="preserve">가라 네 믿음이 너를 구원하였느니라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</si>
  <si>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바디매오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무리</t>
    </r>
  </si>
  <si>
    <t xml:space="preserve">여리고 길가</t>
  </si>
  <si>
    <t xml:space="preserve">A0587</t>
  </si>
  <si>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12:41-44</t>
    </r>
  </si>
  <si>
    <t xml:space="preserve">과부의 두 렙돈</t>
  </si>
  <si>
    <t xml:space="preserve">가장 적게 냈는데 가장 많이 냈다</t>
  </si>
  <si>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12:44</t>
    </r>
  </si>
  <si>
    <t xml:space="preserve">하나님은 마음의 중심을 보십니다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</si>
  <si>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가난한 과부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부자들</t>
    </r>
  </si>
  <si>
    <t xml:space="preserve">성전 헌금함</t>
  </si>
  <si>
    <t xml:space="preserve">A0588</t>
  </si>
  <si>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16:1-20</t>
    </r>
  </si>
  <si>
    <t xml:space="preserve">온 천하에 다니며</t>
  </si>
  <si>
    <t xml:space="preserve">부활 소식과 마지막 명령</t>
  </si>
  <si>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16:15</t>
    </r>
  </si>
  <si>
    <t xml:space="preserve">온 천하에 다니며 만민에게 복음을 전파하라</t>
  </si>
  <si>
    <r>
      <rPr>
        <sz val="10"/>
        <color rgb="FF000000"/>
        <rFont val="WenQuanYi Zen Hei"/>
        <family val="2"/>
      </rPr>
      <t xml:space="preserve">막달라 마리아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제자들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예수님</t>
    </r>
  </si>
  <si>
    <r>
      <rPr>
        <sz val="10"/>
        <color rgb="FF000000"/>
        <rFont val="WenQuanYi Zen Hei"/>
        <family val="2"/>
      </rPr>
      <t xml:space="preserve">빈 무덤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승천</t>
    </r>
  </si>
  <si>
    <r>
      <rPr>
        <sz val="10"/>
        <color rgb="FFC00000"/>
        <rFont val="Arial"/>
        <family val="0"/>
        <charset val="1"/>
      </rPr>
      <t xml:space="preserve">16:9-20 </t>
    </r>
    <r>
      <rPr>
        <sz val="10"/>
        <color rgb="FFC00000"/>
        <rFont val="WenQuanYi Zen Hei"/>
        <family val="2"/>
      </rPr>
      <t xml:space="preserve">사본 문제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개역개정 괄호</t>
    </r>
    <r>
      <rPr>
        <sz val="10"/>
        <color rgb="FFC00000"/>
        <rFont val="Arial"/>
        <family val="0"/>
        <charset val="1"/>
      </rPr>
      <t xml:space="preserve">) </t>
    </r>
    <r>
      <rPr>
        <sz val="10"/>
        <color rgb="FFC00000"/>
        <rFont val="WenQuanYi Zen Hei"/>
        <family val="2"/>
      </rPr>
      <t xml:space="preserve">언급</t>
    </r>
    <r>
      <rPr>
        <sz val="10"/>
        <color rgb="FFC00000"/>
        <rFont val="Arial"/>
        <family val="0"/>
        <charset val="1"/>
      </rPr>
      <t xml:space="preserve">. 16:18 </t>
    </r>
    <r>
      <rPr>
        <sz val="10"/>
        <color rgb="FFC00000"/>
        <rFont val="WenQuanYi Zen Hei"/>
        <family val="2"/>
      </rPr>
      <t xml:space="preserve">독 마시기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뱀 집기 따라 하기 금지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</si>
  <si>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#037 '</t>
    </r>
    <r>
      <rPr>
        <sz val="10"/>
        <color rgb="FF000000"/>
        <rFont val="WenQuanYi Zen Hei"/>
        <family val="2"/>
      </rPr>
      <t xml:space="preserve">과부의 두 렙돈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</si>
  <si>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A0589</t>
  </si>
  <si>
    <t xml:space="preserve">B064</t>
  </si>
  <si>
    <t xml:space="preserve">누가복음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</si>
  <si>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1:1-25</t>
    </r>
  </si>
  <si>
    <t xml:space="preserve">성전에 나타난 천사</t>
  </si>
  <si>
    <t xml:space="preserve">늙은 제사장이 말을 못 하게 되었다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</si>
  <si>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1:13</t>
    </r>
  </si>
  <si>
    <t xml:space="preserve">하나님은 기도를 잊지 않으십니다</t>
  </si>
  <si>
    <r>
      <rPr>
        <sz val="10"/>
        <color rgb="FF000000"/>
        <rFont val="WenQuanYi Zen Hei"/>
        <family val="2"/>
      </rPr>
      <t xml:space="preserve">사가랴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가브리엘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엘리사벳</t>
    </r>
  </si>
  <si>
    <t xml:space="preserve">천사는 날개 과장 없는 빛의 사람 형상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</si>
  <si>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막 </t>
    </r>
    <r>
      <rPr>
        <sz val="10"/>
        <color rgb="FF1F3864"/>
        <rFont val="Arial"/>
        <family val="0"/>
        <charset val="1"/>
      </rPr>
      <t xml:space="preserve">16:1-20 </t>
    </r>
    <r>
      <rPr>
        <sz val="10"/>
        <color rgb="FF1F3864"/>
        <rFont val="WenQuanYi Zen Hei"/>
        <family val="2"/>
      </rPr>
      <t xml:space="preserve">온 천하에 다니며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</si>
  <si>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A0590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</si>
  <si>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1:26-38</t>
    </r>
  </si>
  <si>
    <t xml:space="preserve">수태고지</t>
  </si>
  <si>
    <r>
      <rPr>
        <sz val="10"/>
        <color rgb="FF000000"/>
        <rFont val="WenQuanYi Zen Hei"/>
        <family val="2"/>
      </rPr>
      <t xml:space="preserve">처녀가 아들을 낳는다고요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</si>
  <si>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1:37</t>
    </r>
  </si>
  <si>
    <t xml:space="preserve">하나님의 모든 말씀은 능하지 못함이 없느니라</t>
  </si>
  <si>
    <r>
      <rPr>
        <sz val="10"/>
        <color rgb="FF000000"/>
        <rFont val="WenQuanYi Zen Hei"/>
        <family val="2"/>
      </rPr>
      <t xml:space="preserve">마리아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가브리엘</t>
    </r>
  </si>
  <si>
    <t xml:space="preserve">나사렛</t>
  </si>
  <si>
    <r>
      <rPr>
        <sz val="10"/>
        <color rgb="FFC00000"/>
        <rFont val="WenQuanYi Zen Hei"/>
        <family val="2"/>
      </rPr>
      <t xml:space="preserve">마리아 숭배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중보자 연출 금지</t>
    </r>
  </si>
  <si>
    <t xml:space="preserve">A0591</t>
  </si>
  <si>
    <t xml:space="preserve">S2-L39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</si>
  <si>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1:39-56</t>
    </r>
  </si>
  <si>
    <t xml:space="preserve">마리아의 찬가</t>
  </si>
  <si>
    <t xml:space="preserve">배 속 아기가 뛰놀았다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</si>
  <si>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1:47</t>
    </r>
  </si>
  <si>
    <t xml:space="preserve">내 마음이 하나님 내 구주를 기뻐하였음은</t>
  </si>
  <si>
    <r>
      <rPr>
        <sz val="10"/>
        <color rgb="FF000000"/>
        <rFont val="WenQuanYi Zen Hei"/>
        <family val="2"/>
      </rPr>
      <t xml:space="preserve">마리아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엘리사벳</t>
    </r>
  </si>
  <si>
    <t xml:space="preserve">유대 산골 마을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</si>
  <si>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#039 '</t>
    </r>
    <r>
      <rPr>
        <sz val="10"/>
        <color rgb="FF000000"/>
        <rFont val="WenQuanYi Zen Hei"/>
        <family val="2"/>
      </rPr>
      <t xml:space="preserve">수태고지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</si>
  <si>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A0592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</si>
  <si>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1:57-80</t>
    </r>
  </si>
  <si>
    <t xml:space="preserve">그의 이름은 요한</t>
  </si>
  <si>
    <t xml:space="preserve">말을 못 하던 아버지가 입을 열었다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</si>
  <si>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1:68</t>
    </r>
  </si>
  <si>
    <t xml:space="preserve">하나님은 자기 백성을 돌보사 속량하셨습니다</t>
  </si>
  <si>
    <r>
      <rPr>
        <sz val="10"/>
        <color rgb="FF000000"/>
        <rFont val="WenQuanYi Zen Hei"/>
        <family val="2"/>
      </rPr>
      <t xml:space="preserve">사가랴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엘리사벳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아기 요한</t>
    </r>
  </si>
  <si>
    <t xml:space="preserve">사가랴의 집</t>
  </si>
  <si>
    <t xml:space="preserve">A0593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</si>
  <si>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2:1-7</t>
    </r>
  </si>
  <si>
    <t xml:space="preserve">구유에 누이다</t>
  </si>
  <si>
    <t xml:space="preserve">여관에 방이 없어서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</si>
  <si>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2:7</t>
    </r>
  </si>
  <si>
    <t xml:space="preserve">왕이 가장 낮은 곳에 오셨습니다</t>
  </si>
  <si>
    <r>
      <rPr>
        <sz val="10"/>
        <color rgb="FF000000"/>
        <rFont val="WenQuanYi Zen Hei"/>
        <family val="2"/>
      </rPr>
      <t xml:space="preserve">요셉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마리아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아기 예수</t>
    </r>
  </si>
  <si>
    <t xml:space="preserve">베들레헴 구유</t>
  </si>
  <si>
    <t xml:space="preserve">아기 예수 얼굴은 부드러운 빛 처리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</si>
  <si>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눅 </t>
    </r>
    <r>
      <rPr>
        <sz val="10"/>
        <color rgb="FF1F3864"/>
        <rFont val="Arial"/>
        <family val="0"/>
        <charset val="1"/>
      </rPr>
      <t xml:space="preserve">1:39-56 </t>
    </r>
    <r>
      <rPr>
        <sz val="10"/>
        <color rgb="FF1F3864"/>
        <rFont val="WenQuanYi Zen Hei"/>
        <family val="2"/>
      </rPr>
      <t xml:space="preserve">마리아의 찬가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눅 </t>
    </r>
    <r>
      <rPr>
        <sz val="10"/>
        <color rgb="FF1F3864"/>
        <rFont val="Arial"/>
        <family val="0"/>
        <charset val="1"/>
      </rPr>
      <t xml:space="preserve">1:57-80 </t>
    </r>
    <r>
      <rPr>
        <sz val="10"/>
        <color rgb="FF1F3864"/>
        <rFont val="WenQuanYi Zen Hei"/>
        <family val="2"/>
      </rPr>
      <t xml:space="preserve">그의 이름은 요한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</si>
  <si>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A0594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</si>
  <si>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2:8-20</t>
    </r>
  </si>
  <si>
    <t xml:space="preserve">목자들에게 들린 소식</t>
  </si>
  <si>
    <t xml:space="preserve">한밤중 들판에 나타난 하늘 군대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</si>
  <si>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2:14</t>
    </r>
  </si>
  <si>
    <t xml:space="preserve">지극히 높은 곳에서는 하나님께 영광이요 땅에서는 평화로다</t>
  </si>
  <si>
    <r>
      <rPr>
        <sz val="10"/>
        <color rgb="FF000000"/>
        <rFont val="WenQuanYi Zen Hei"/>
        <family val="2"/>
      </rPr>
      <t xml:space="preserve">목자들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천사들</t>
    </r>
  </si>
  <si>
    <t xml:space="preserve">베들레헴 들판</t>
  </si>
  <si>
    <t xml:space="preserve">A0595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</si>
  <si>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2:21-40</t>
    </r>
  </si>
  <si>
    <t xml:space="preserve">시므온과 안나</t>
  </si>
  <si>
    <t xml:space="preserve">평생 기다린 노인이 아기를 안았다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</si>
  <si>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2:30</t>
    </r>
  </si>
  <si>
    <t xml:space="preserve">내 눈이 주의 구원을 보았사오니</t>
  </si>
  <si>
    <r>
      <rPr>
        <sz val="10"/>
        <color rgb="FF000000"/>
        <rFont val="WenQuanYi Zen Hei"/>
        <family val="2"/>
      </rPr>
      <t xml:space="preserve">시므온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안나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마리아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요셉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</si>
  <si>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#041 '</t>
    </r>
    <r>
      <rPr>
        <sz val="10"/>
        <color rgb="FF000000"/>
        <rFont val="WenQuanYi Zen Hei"/>
        <family val="2"/>
      </rPr>
      <t xml:space="preserve">목자들에게 들린 소식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</si>
  <si>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A0596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</si>
  <si>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2:41-52</t>
    </r>
  </si>
  <si>
    <t xml:space="preserve">열두 살 예수님</t>
  </si>
  <si>
    <t xml:space="preserve">사흘 동안 잃어버린 아들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</si>
  <si>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2:49</t>
    </r>
  </si>
  <si>
    <t xml:space="preserve">내가 내 아버지 집에 있어야 될 줄을 알지 못하셨나이까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</si>
  <si>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(12</t>
    </r>
    <r>
      <rPr>
        <sz val="10"/>
        <color rgb="FF000000"/>
        <rFont val="WenQuanYi Zen Hei"/>
        <family val="2"/>
      </rPr>
      <t xml:space="preserve">세</t>
    </r>
    <r>
      <rPr>
        <sz val="10"/>
        <color rgb="FF000000"/>
        <rFont val="Arial"/>
        <family val="0"/>
        <charset val="1"/>
      </rPr>
      <t xml:space="preserve">)·</t>
    </r>
    <r>
      <rPr>
        <sz val="10"/>
        <color rgb="FF000000"/>
        <rFont val="WenQuanYi Zen Hei"/>
        <family val="2"/>
      </rPr>
      <t xml:space="preserve">마리아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선생들</t>
    </r>
  </si>
  <si>
    <t xml:space="preserve">성전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</si>
  <si>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눅 </t>
    </r>
    <r>
      <rPr>
        <sz val="10"/>
        <color rgb="FF1F3864"/>
        <rFont val="Arial"/>
        <family val="0"/>
        <charset val="1"/>
      </rPr>
      <t xml:space="preserve">2:21-40 </t>
    </r>
    <r>
      <rPr>
        <sz val="10"/>
        <color rgb="FF1F3864"/>
        <rFont val="WenQuanYi Zen Hei"/>
        <family val="2"/>
      </rPr>
      <t xml:space="preserve">시므온과 안나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</si>
  <si>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A0597</t>
  </si>
  <si>
    <t xml:space="preserve">B065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</si>
  <si>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4:16-30</t>
    </r>
  </si>
  <si>
    <t xml:space="preserve">나사렛 회당</t>
  </si>
  <si>
    <t xml:space="preserve">고향에서 거절당하신 예수님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</si>
  <si>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4:18</t>
    </r>
  </si>
  <si>
    <t xml:space="preserve">예수님은 가난한 자에게 복음을 전하러 오셨습니다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</si>
  <si>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나사렛 사람들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</si>
  <si>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#042 '</t>
    </r>
    <r>
      <rPr>
        <sz val="10"/>
        <color rgb="FF000000"/>
        <rFont val="WenQuanYi Zen Hei"/>
        <family val="2"/>
      </rPr>
      <t xml:space="preserve">열두 살 예수님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</si>
  <si>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A0598</t>
  </si>
  <si>
    <t xml:space="preserve">S1-L25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</si>
  <si>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5:1-11</t>
    </r>
  </si>
  <si>
    <t xml:space="preserve">그물이 찢어지도록</t>
  </si>
  <si>
    <t xml:space="preserve">밤새 한 마리도 못 잡았는데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</si>
  <si>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5:8</t>
    </r>
  </si>
  <si>
    <t xml:space="preserve">주여 나를 떠나소서 나는 죄인이로소이다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</si>
  <si>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베드로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야고보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요한</t>
    </r>
  </si>
  <si>
    <t xml:space="preserve">게네사렛 호숫가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</si>
  <si>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눅 </t>
    </r>
    <r>
      <rPr>
        <sz val="10"/>
        <color rgb="FF1F3864"/>
        <rFont val="Arial"/>
        <family val="0"/>
        <charset val="1"/>
      </rPr>
      <t xml:space="preserve">4:16-30 </t>
    </r>
    <r>
      <rPr>
        <sz val="10"/>
        <color rgb="FF1F3864"/>
        <rFont val="WenQuanYi Zen Hei"/>
        <family val="2"/>
      </rPr>
      <t xml:space="preserve">나사렛 회당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</si>
  <si>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A0599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</si>
  <si>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7:11-17</t>
    </r>
  </si>
  <si>
    <t xml:space="preserve">울지 말라</t>
  </si>
  <si>
    <t xml:space="preserve">과부의 외아들 장례 행렬을 멈추신 예수님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</si>
  <si>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7:13</t>
    </r>
  </si>
  <si>
    <t xml:space="preserve">예수님은 우는 자를 불쌍히 여기십니다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</si>
  <si>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나인성 과부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아들</t>
    </r>
  </si>
  <si>
    <t xml:space="preserve">나인 성문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</si>
  <si>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#043 '</t>
    </r>
    <r>
      <rPr>
        <sz val="10"/>
        <color rgb="FF000000"/>
        <rFont val="WenQuanYi Zen Hei"/>
        <family val="2"/>
      </rPr>
      <t xml:space="preserve">그물이 찢어지도록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</si>
  <si>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A0600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</si>
  <si>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7:36-50</t>
    </r>
  </si>
  <si>
    <t xml:space="preserve">눈물로 발을 씻긴 여인</t>
  </si>
  <si>
    <t xml:space="preserve">많이 용서받은 자가 많이 사랑한다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</si>
  <si>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7:47</t>
    </r>
  </si>
  <si>
    <t xml:space="preserve">은혜를 아는 사람이 깊이 사랑합니다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</si>
  <si>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죄인인 여인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바리새인 시몬</t>
    </r>
  </si>
  <si>
    <t xml:space="preserve">시몬의 집</t>
  </si>
  <si>
    <t xml:space="preserve">여인의 과거를 선정적으로 연출 금지</t>
  </si>
  <si>
    <t xml:space="preserve">A0601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</si>
  <si>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10:25-37</t>
    </r>
  </si>
  <si>
    <t xml:space="preserve">선한 사마리아인</t>
  </si>
  <si>
    <r>
      <rPr>
        <sz val="10"/>
        <color rgb="FF000000"/>
        <rFont val="WenQuanYi Zen Hei"/>
        <family val="2"/>
      </rPr>
      <t xml:space="preserve">누가 내 이웃입니까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</si>
  <si>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10:37</t>
    </r>
  </si>
  <si>
    <t xml:space="preserve">가서 너도 이와 같이 하라</t>
  </si>
  <si>
    <r>
      <rPr>
        <sz val="10"/>
        <color rgb="FF000000"/>
        <rFont val="WenQuanYi Zen Hei"/>
        <family val="2"/>
      </rPr>
      <t xml:space="preserve">강도 만난 사람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제사장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레위인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사마리아인</t>
    </r>
  </si>
  <si>
    <t xml:space="preserve">여리고 가는 길</t>
  </si>
  <si>
    <t xml:space="preserve">폭행 장면 직접 묘사 금지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</si>
  <si>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눅 </t>
    </r>
    <r>
      <rPr>
        <sz val="10"/>
        <color rgb="FF1F3864"/>
        <rFont val="Arial"/>
        <family val="0"/>
        <charset val="1"/>
      </rPr>
      <t xml:space="preserve">7:11-17 </t>
    </r>
    <r>
      <rPr>
        <sz val="10"/>
        <color rgb="FF1F3864"/>
        <rFont val="WenQuanYi Zen Hei"/>
        <family val="2"/>
      </rPr>
      <t xml:space="preserve">울지 말라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눅 </t>
    </r>
    <r>
      <rPr>
        <sz val="10"/>
        <color rgb="FF1F3864"/>
        <rFont val="Arial"/>
        <family val="0"/>
        <charset val="1"/>
      </rPr>
      <t xml:space="preserve">7:36-50 </t>
    </r>
    <r>
      <rPr>
        <sz val="10"/>
        <color rgb="FF1F3864"/>
        <rFont val="WenQuanYi Zen Hei"/>
        <family val="2"/>
      </rPr>
      <t xml:space="preserve">눈물로 발을 씻긴 여인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</si>
  <si>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A0602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</si>
  <si>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10:38-42</t>
    </r>
  </si>
  <si>
    <t xml:space="preserve">마르다와 마리아</t>
  </si>
  <si>
    <t xml:space="preserve">바쁜 언니와 앉아 있는 동생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</si>
  <si>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10:42</t>
    </r>
  </si>
  <si>
    <t xml:space="preserve">가장 좋은 것은 주님의 말씀을 듣는 것입니다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</si>
  <si>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마르다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마리아</t>
    </r>
  </si>
  <si>
    <t xml:space="preserve">베다니 집</t>
  </si>
  <si>
    <t xml:space="preserve">A0603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</si>
  <si>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11:1-13</t>
    </r>
  </si>
  <si>
    <t xml:space="preserve">강청하는 친구</t>
  </si>
  <si>
    <t xml:space="preserve">한밤중에 문을 두드린 친구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</si>
  <si>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11:9</t>
    </r>
  </si>
  <si>
    <t xml:space="preserve">밤의 집 문 앞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</si>
  <si>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#045 '</t>
    </r>
    <r>
      <rPr>
        <sz val="10"/>
        <color rgb="FF000000"/>
        <rFont val="WenQuanYi Zen Hei"/>
        <family val="2"/>
      </rPr>
      <t xml:space="preserve">마르다와 마리아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</si>
  <si>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A0604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</si>
  <si>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12:13-34</t>
    </r>
  </si>
  <si>
    <t xml:space="preserve">어리석은 부자</t>
  </si>
  <si>
    <t xml:space="preserve">창고를 더 크게 짓겠다는 사람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</si>
  <si>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12:20</t>
    </r>
  </si>
  <si>
    <t xml:space="preserve">하나님께 대하여 부요한 사람이 되십시오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</si>
  <si>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부자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비유</t>
    </r>
    <r>
      <rPr>
        <sz val="10"/>
        <color rgb="FF000000"/>
        <rFont val="Arial"/>
        <family val="0"/>
        <charset val="1"/>
      </rPr>
      <t xml:space="preserve">)</t>
    </r>
  </si>
  <si>
    <t xml:space="preserve">곡식 창고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</si>
  <si>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눅 </t>
    </r>
    <r>
      <rPr>
        <sz val="10"/>
        <color rgb="FF1F3864"/>
        <rFont val="Arial"/>
        <family val="0"/>
        <charset val="1"/>
      </rPr>
      <t xml:space="preserve">11:1-13 </t>
    </r>
    <r>
      <rPr>
        <sz val="10"/>
        <color rgb="FF1F3864"/>
        <rFont val="WenQuanYi Zen Hei"/>
        <family val="2"/>
      </rPr>
      <t xml:space="preserve">강청하는 친구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</si>
  <si>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A0605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</si>
  <si>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13:10-17</t>
    </r>
  </si>
  <si>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WenQuanYi Zen Hei"/>
        <family val="2"/>
      </rPr>
      <t xml:space="preserve">년 동안 굽은 허리</t>
    </r>
  </si>
  <si>
    <t xml:space="preserve">안식일에 고침받은 여인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</si>
  <si>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13:16</t>
    </r>
  </si>
  <si>
    <t xml:space="preserve">예수님은 매인 사람을 풀어 주십니다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</si>
  <si>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꼬부라진 여인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회당장</t>
    </r>
  </si>
  <si>
    <t xml:space="preserve">회당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</si>
  <si>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#046 '</t>
    </r>
    <r>
      <rPr>
        <sz val="10"/>
        <color rgb="FF000000"/>
        <rFont val="WenQuanYi Zen Hei"/>
        <family val="2"/>
      </rPr>
      <t xml:space="preserve">어리석은 부자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</si>
  <si>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A0606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</si>
  <si>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14:15-35</t>
    </r>
  </si>
  <si>
    <t xml:space="preserve">큰 잔치</t>
  </si>
  <si>
    <t xml:space="preserve">초대받은 사람들이 모두 핑계를 댔다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</si>
  <si>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14:23</t>
    </r>
  </si>
  <si>
    <t xml:space="preserve">하나님은 모든 사람을 잔치에 초대하십니다</t>
  </si>
  <si>
    <r>
      <rPr>
        <sz val="10"/>
        <color rgb="FF000000"/>
        <rFont val="WenQuanYi Zen Hei"/>
        <family val="2"/>
      </rPr>
      <t xml:space="preserve">주인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가난한 자들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비유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</si>
  <si>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잔칫집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거리와 골목</t>
    </r>
  </si>
  <si>
    <t xml:space="preserve">A0607</t>
  </si>
  <si>
    <t xml:space="preserve">B066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</si>
  <si>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15:1-10</t>
    </r>
  </si>
  <si>
    <t xml:space="preserve">잃은 양 한 마리</t>
  </si>
  <si>
    <r>
      <rPr>
        <sz val="10"/>
        <color rgb="FF000000"/>
        <rFont val="Arial"/>
        <family val="0"/>
        <charset val="1"/>
      </rPr>
      <t xml:space="preserve">99</t>
    </r>
    <r>
      <rPr>
        <sz val="10"/>
        <color rgb="FF000000"/>
        <rFont val="WenQuanYi Zen Hei"/>
        <family val="2"/>
      </rPr>
      <t xml:space="preserve">마리를 두고 한 마리를 찾으러</t>
    </r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</si>
  <si>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15:7</t>
    </r>
  </si>
  <si>
    <t xml:space="preserve">죄인 하나가 회개하면 하늘에 기쁨이 있습니다</t>
  </si>
  <si>
    <r>
      <rPr>
        <sz val="10"/>
        <color rgb="FF000000"/>
        <rFont val="WenQuanYi Zen Hei"/>
        <family val="2"/>
      </rPr>
      <t xml:space="preserve">목자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여인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비유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</si>
  <si>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광야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집 안 등불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</si>
  <si>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눅 </t>
    </r>
    <r>
      <rPr>
        <sz val="10"/>
        <color rgb="FF1F3864"/>
        <rFont val="Arial"/>
        <family val="0"/>
        <charset val="1"/>
      </rPr>
      <t xml:space="preserve">13:10-17 18</t>
    </r>
    <r>
      <rPr>
        <sz val="10"/>
        <color rgb="FF1F3864"/>
        <rFont val="WenQuanYi Zen Hei"/>
        <family val="2"/>
      </rPr>
      <t xml:space="preserve">년 동안 굽은 허리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눅 </t>
    </r>
    <r>
      <rPr>
        <sz val="10"/>
        <color rgb="FF1F3864"/>
        <rFont val="Arial"/>
        <family val="0"/>
        <charset val="1"/>
      </rPr>
      <t xml:space="preserve">14:15-35 </t>
    </r>
    <r>
      <rPr>
        <sz val="10"/>
        <color rgb="FF1F3864"/>
        <rFont val="WenQuanYi Zen Hei"/>
        <family val="2"/>
      </rPr>
      <t xml:space="preserve">큰 잔치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</si>
  <si>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A0608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</si>
  <si>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15:11-32</t>
    </r>
  </si>
  <si>
    <t xml:space="preserve">돌아온 아들</t>
  </si>
  <si>
    <t xml:space="preserve">아직 거리가 먼데 아버지가 달려왔다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</si>
  <si>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15:20</t>
    </r>
  </si>
  <si>
    <t xml:space="preserve">하나님은 돌아오는 자를 달려와 안으십니다</t>
  </si>
  <si>
    <r>
      <rPr>
        <sz val="10"/>
        <color rgb="FF000000"/>
        <rFont val="WenQuanYi Zen Hei"/>
        <family val="2"/>
      </rPr>
      <t xml:space="preserve">아버지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작은아들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큰아들</t>
    </r>
  </si>
  <si>
    <r>
      <rPr>
        <sz val="10"/>
        <color rgb="FF000000"/>
        <rFont val="WenQuanYi Zen Hei"/>
        <family val="2"/>
      </rPr>
      <t xml:space="preserve">먼 나라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돼지우리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아버지의 집</t>
    </r>
  </si>
  <si>
    <t xml:space="preserve">A0609</t>
  </si>
  <si>
    <t xml:space="preserve">S2-L40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</si>
  <si>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16:19-31</t>
    </r>
  </si>
  <si>
    <t xml:space="preserve">부자와 나사로</t>
  </si>
  <si>
    <t xml:space="preserve">대문 앞의 가난한 사람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</si>
  <si>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16:31</t>
    </r>
  </si>
  <si>
    <t xml:space="preserve">모세와 선지자들의 말을 듣지 아니하면</t>
  </si>
  <si>
    <r>
      <rPr>
        <sz val="10"/>
        <color rgb="FF000000"/>
        <rFont val="WenQuanYi Zen Hei"/>
        <family val="2"/>
      </rPr>
      <t xml:space="preserve">부자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나사로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아브라함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비유</t>
    </r>
    <r>
      <rPr>
        <sz val="10"/>
        <color rgb="FF000000"/>
        <rFont val="Arial"/>
        <family val="0"/>
        <charset val="1"/>
      </rPr>
      <t xml:space="preserve">)</t>
    </r>
  </si>
  <si>
    <t xml:space="preserve">부자의 대문</t>
  </si>
  <si>
    <r>
      <rPr>
        <sz val="10"/>
        <color rgb="FFC00000"/>
        <rFont val="WenQuanYi Zen Hei"/>
        <family val="2"/>
      </rPr>
      <t xml:space="preserve">음부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사후세계 세부를 공포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상상으로 연출 금지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</si>
  <si>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#048 '</t>
    </r>
    <r>
      <rPr>
        <sz val="10"/>
        <color rgb="FF000000"/>
        <rFont val="WenQuanYi Zen Hei"/>
        <family val="2"/>
      </rPr>
      <t xml:space="preserve">돌아온 아들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</si>
  <si>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A0610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</si>
  <si>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17:11-19</t>
    </r>
  </si>
  <si>
    <t xml:space="preserve">돌아온 한 사람</t>
  </si>
  <si>
    <t xml:space="preserve">열 명이 나았는데 한 명만 돌아왔다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</si>
  <si>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17:17</t>
    </r>
  </si>
  <si>
    <t xml:space="preserve">감사는 은혜를 받은 사람의 응답입니다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</si>
  <si>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열 나병환자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사마리아인</t>
    </r>
  </si>
  <si>
    <t xml:space="preserve">사마리아와 갈릴리 사이 마을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</si>
  <si>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눅 </t>
    </r>
    <r>
      <rPr>
        <sz val="10"/>
        <color rgb="FF1F3864"/>
        <rFont val="Arial"/>
        <family val="0"/>
        <charset val="1"/>
      </rPr>
      <t xml:space="preserve">16:19-31 </t>
    </r>
    <r>
      <rPr>
        <sz val="10"/>
        <color rgb="FF1F3864"/>
        <rFont val="WenQuanYi Zen Hei"/>
        <family val="2"/>
      </rPr>
      <t xml:space="preserve">부자와 나사로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</si>
  <si>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A0611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</si>
  <si>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18:1-14</t>
    </r>
  </si>
  <si>
    <t xml:space="preserve">바리새인과 세리</t>
  </si>
  <si>
    <t xml:space="preserve">하나님 불쌍히 여기소서 나는 죄인이로소이다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</si>
  <si>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18:13</t>
    </r>
  </si>
  <si>
    <t xml:space="preserve">겸손히 은혜를 구하는 자가 의롭다 하심을 받습니다</t>
  </si>
  <si>
    <r>
      <rPr>
        <sz val="10"/>
        <color rgb="FF000000"/>
        <rFont val="WenQuanYi Zen Hei"/>
        <family val="2"/>
      </rPr>
      <t xml:space="preserve">바리새인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세리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과부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비유</t>
    </r>
    <r>
      <rPr>
        <sz val="10"/>
        <color rgb="FF000000"/>
        <rFont val="Arial"/>
        <family val="0"/>
        <charset val="1"/>
      </rPr>
      <t xml:space="preserve">)</t>
    </r>
  </si>
  <si>
    <t xml:space="preserve">A0612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</si>
  <si>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19:1-10</t>
    </r>
  </si>
  <si>
    <t xml:space="preserve">뽕나무에 올라간 삭개오</t>
  </si>
  <si>
    <t xml:space="preserve">키 작은 세리장이 나무에 올라갔다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</si>
  <si>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19:10</t>
    </r>
  </si>
  <si>
    <t xml:space="preserve">인자가 온 것은 잃어버린 자를 찾아 구원하려 함이니라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</si>
  <si>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삭개오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무리</t>
    </r>
  </si>
  <si>
    <t xml:space="preserve">여리고 뽕나무</t>
  </si>
  <si>
    <t xml:space="preserve">A0613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</si>
  <si>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22:39-46</t>
    </r>
  </si>
  <si>
    <t xml:space="preserve">땀이 핏방울같이</t>
  </si>
  <si>
    <t xml:space="preserve">감람산의 마지막 기도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</si>
  <si>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22:44</t>
    </r>
  </si>
  <si>
    <t xml:space="preserve">예수님은 우리를 위해 고뇌하며 기도하셨습니다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</si>
  <si>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제자들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천사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</si>
  <si>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#051 '</t>
    </r>
    <r>
      <rPr>
        <sz val="10"/>
        <color rgb="FF000000"/>
        <rFont val="WenQuanYi Zen Hei"/>
        <family val="2"/>
      </rPr>
      <t xml:space="preserve">뽕나무에 올라간 삭개오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</si>
  <si>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A0614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</si>
  <si>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23:32-43</t>
    </r>
  </si>
  <si>
    <t xml:space="preserve">십자가 위의 강도</t>
  </si>
  <si>
    <t xml:space="preserve">오늘 네가 나와 함께 낙원에 있으리라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</si>
  <si>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23:43</t>
    </r>
  </si>
  <si>
    <t xml:space="preserve">마지막 순간에도 구원은 은혜로 주어집니다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</si>
  <si>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두 강도</t>
    </r>
  </si>
  <si>
    <t xml:space="preserve">골고다</t>
  </si>
  <si>
    <t xml:space="preserve">잔혹 묘사 금지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</si>
  <si>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눅 </t>
    </r>
    <r>
      <rPr>
        <sz val="10"/>
        <color rgb="FF1F3864"/>
        <rFont val="Arial"/>
        <family val="0"/>
        <charset val="1"/>
      </rPr>
      <t xml:space="preserve">22:39-46 </t>
    </r>
    <r>
      <rPr>
        <sz val="10"/>
        <color rgb="FF1F3864"/>
        <rFont val="WenQuanYi Zen Hei"/>
        <family val="2"/>
      </rPr>
      <t xml:space="preserve">땀이 핏방울같이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</si>
  <si>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A0615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</si>
  <si>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24:13-35</t>
    </r>
  </si>
  <si>
    <t xml:space="preserve">엠마오로 가는 길</t>
  </si>
  <si>
    <t xml:space="preserve">함께 걷던 그분이 예수님이었다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</si>
  <si>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24:32</t>
    </r>
  </si>
  <si>
    <t xml:space="preserve">말씀을 풀어 주실 때 마음이 뜨거워집니다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</si>
  <si>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글로바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다른 제자</t>
    </r>
  </si>
  <si>
    <r>
      <rPr>
        <sz val="10"/>
        <color rgb="FF000000"/>
        <rFont val="WenQuanYi Zen Hei"/>
        <family val="2"/>
      </rPr>
      <t xml:space="preserve">엠마오 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저녁 식탁</t>
    </r>
  </si>
  <si>
    <t xml:space="preserve">A0616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</si>
  <si>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24:36-53</t>
    </r>
  </si>
  <si>
    <t xml:space="preserve">하늘로 올라가시다</t>
  </si>
  <si>
    <t xml:space="preserve">축복하시며 하늘로 올려지신 예수님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</si>
  <si>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24:51</t>
    </r>
  </si>
  <si>
    <t xml:space="preserve">예수님은 하늘에서 다스리시며 다시 오십니다</t>
  </si>
  <si>
    <t xml:space="preserve">베다니 근처</t>
  </si>
  <si>
    <t xml:space="preserve">A0617</t>
  </si>
  <si>
    <t xml:space="preserve">B067</t>
  </si>
  <si>
    <t xml:space="preserve">S1-L26</t>
  </si>
  <si>
    <t xml:space="preserve">요한복음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</si>
  <si>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1:1-18</t>
    </r>
  </si>
  <si>
    <t xml:space="preserve">태초에 말씀이 계시니라</t>
  </si>
  <si>
    <r>
      <rPr>
        <sz val="10"/>
        <color rgb="FF000000"/>
        <rFont val="WenQuanYi Zen Hei"/>
        <family val="2"/>
      </rPr>
      <t xml:space="preserve">창세기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절과 똑같이 시작하는 책</t>
    </r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</si>
  <si>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1:14</t>
    </r>
  </si>
  <si>
    <t xml:space="preserve">말씀이신 하나님이 사람이 되어 오셨습니다</t>
  </si>
  <si>
    <r>
      <rPr>
        <sz val="10"/>
        <color rgb="FF000000"/>
        <rFont val="WenQuanYi Zen Hei"/>
        <family val="2"/>
      </rPr>
      <t xml:space="preserve">말씀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빛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</si>
  <si>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우주의 빛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어둠</t>
    </r>
  </si>
  <si>
    <r>
      <rPr>
        <sz val="10"/>
        <color rgb="FFC00000"/>
        <rFont val="Arial"/>
        <family val="0"/>
        <charset val="1"/>
      </rPr>
      <t xml:space="preserve">1:1 '</t>
    </r>
    <r>
      <rPr>
        <sz val="10"/>
        <color rgb="FFC00000"/>
        <rFont val="WenQuanYi Zen Hei"/>
        <family val="2"/>
      </rPr>
      <t xml:space="preserve">말씀은 하나님</t>
    </r>
    <r>
      <rPr>
        <sz val="10"/>
        <color rgb="FFC00000"/>
        <rFont val="Arial"/>
        <family val="0"/>
        <charset val="1"/>
      </rPr>
      <t xml:space="preserve">'(</t>
    </r>
    <r>
      <rPr>
        <sz val="10"/>
        <color rgb="FFC00000"/>
        <rFont val="WenQuanYi Zen Hei"/>
        <family val="2"/>
      </rPr>
      <t xml:space="preserve">여호와의증인 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신</t>
    </r>
    <r>
      <rPr>
        <sz val="10"/>
        <color rgb="FFC00000"/>
        <rFont val="Arial"/>
        <family val="0"/>
        <charset val="1"/>
      </rPr>
      <t xml:space="preserve">' </t>
    </r>
    <r>
      <rPr>
        <sz val="10"/>
        <color rgb="FFC00000"/>
        <rFont val="WenQuanYi Zen Hei"/>
        <family val="2"/>
      </rPr>
      <t xml:space="preserve">번역 오류 배제</t>
    </r>
    <r>
      <rPr>
        <sz val="10"/>
        <color rgb="FFC00000"/>
        <rFont val="Arial"/>
        <family val="0"/>
        <charset val="1"/>
      </rPr>
      <t xml:space="preserve">)</t>
    </r>
  </si>
  <si>
    <t xml:space="preserve">A0618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</si>
  <si>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1:19-51</t>
    </r>
  </si>
  <si>
    <t xml:space="preserve">하나님의 어린양</t>
  </si>
  <si>
    <t xml:space="preserve">와서 보라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</si>
  <si>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1:29</t>
    </r>
  </si>
  <si>
    <t xml:space="preserve">보라 세상 죄를 지고 가는 하나님의 어린양이로다</t>
  </si>
  <si>
    <r>
      <rPr>
        <sz val="10"/>
        <color rgb="FF000000"/>
        <rFont val="WenQuanYi Zen Hei"/>
        <family val="2"/>
      </rPr>
      <t xml:space="preserve">세례 요한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안드레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나다나엘</t>
    </r>
  </si>
  <si>
    <t xml:space="preserve">요단 강 건너편 베다니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</si>
  <si>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#055 '</t>
    </r>
    <r>
      <rPr>
        <sz val="10"/>
        <color rgb="FF000000"/>
        <rFont val="WenQuanYi Zen Hei"/>
        <family val="2"/>
      </rPr>
      <t xml:space="preserve">태초에 말씀이 계시니라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</si>
  <si>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A0619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</si>
  <si>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2:1-12</t>
    </r>
  </si>
  <si>
    <t xml:space="preserve">가나의 혼인 잔치</t>
  </si>
  <si>
    <t xml:space="preserve">포도주가 떨어졌다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</si>
  <si>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2:11</t>
    </r>
  </si>
  <si>
    <t xml:space="preserve">예수님은 첫 표적으로 영광을 나타내셨습니다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</si>
  <si>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마리아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하인들</t>
    </r>
  </si>
  <si>
    <t xml:space="preserve">가나 혼인 잔치</t>
  </si>
  <si>
    <t xml:space="preserve">마리아 중보 연출 금지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</si>
  <si>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요 </t>
    </r>
    <r>
      <rPr>
        <sz val="10"/>
        <color rgb="FF1F3864"/>
        <rFont val="Arial"/>
        <family val="0"/>
        <charset val="1"/>
      </rPr>
      <t xml:space="preserve">1:19-51 </t>
    </r>
    <r>
      <rPr>
        <sz val="10"/>
        <color rgb="FF1F3864"/>
        <rFont val="WenQuanYi Zen Hei"/>
        <family val="2"/>
      </rPr>
      <t xml:space="preserve">하나님의 어린양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</si>
  <si>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A0620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</si>
  <si>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2:13-25</t>
    </r>
  </si>
  <si>
    <t xml:space="preserve">성전을 정결하게</t>
  </si>
  <si>
    <t xml:space="preserve">채찍을 만들어 장사꾼을 내쫓으셨다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</si>
  <si>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2:19</t>
    </r>
  </si>
  <si>
    <t xml:space="preserve">예수님의 몸이 참 성전입니다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</si>
  <si>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장사꾼들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유대인들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</si>
  <si>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#056 '</t>
    </r>
    <r>
      <rPr>
        <sz val="10"/>
        <color rgb="FF000000"/>
        <rFont val="WenQuanYi Zen Hei"/>
        <family val="2"/>
      </rPr>
      <t xml:space="preserve">가나의 혼인 잔치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</si>
  <si>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A0621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</si>
  <si>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3:1-21</t>
    </r>
  </si>
  <si>
    <t xml:space="preserve">밤에 찾아온 니고데모</t>
  </si>
  <si>
    <r>
      <rPr>
        <sz val="10"/>
        <color rgb="FF000000"/>
        <rFont val="WenQuanYi Zen Hei"/>
        <family val="2"/>
      </rPr>
      <t xml:space="preserve">다시 태어나야 한다고요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</si>
  <si>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3:16</t>
    </r>
  </si>
  <si>
    <t xml:space="preserve">하나님이 세상을 이처럼 사랑하사 독생자를 주셨으니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</si>
  <si>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니고데모</t>
    </r>
  </si>
  <si>
    <r>
      <rPr>
        <sz val="10"/>
        <color rgb="FF000000"/>
        <rFont val="WenQuanYi Zen Hei"/>
        <family val="2"/>
      </rPr>
      <t xml:space="preserve">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바람</t>
    </r>
  </si>
  <si>
    <t xml:space="preserve">중생은 성령의 사역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</si>
  <si>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요 </t>
    </r>
    <r>
      <rPr>
        <sz val="10"/>
        <color rgb="FF1F3864"/>
        <rFont val="Arial"/>
        <family val="0"/>
        <charset val="1"/>
      </rPr>
      <t xml:space="preserve">2:13-25 </t>
    </r>
    <r>
      <rPr>
        <sz val="10"/>
        <color rgb="FF1F3864"/>
        <rFont val="WenQuanYi Zen Hei"/>
        <family val="2"/>
      </rPr>
      <t xml:space="preserve">성전을 정결하게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</si>
  <si>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A0622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</si>
  <si>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4:1-42</t>
    </r>
  </si>
  <si>
    <t xml:space="preserve">우물가의 여인</t>
  </si>
  <si>
    <t xml:space="preserve">한낮에 홀로 물 길러 나온 여인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</si>
  <si>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4:14</t>
    </r>
  </si>
  <si>
    <t xml:space="preserve">예수님이 주시는 물은 영원히 목마르지 않습니다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</si>
  <si>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사마리아 여인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마을 사람들</t>
    </r>
  </si>
  <si>
    <t xml:space="preserve">수가 성 야곱의 우물</t>
  </si>
  <si>
    <t xml:space="preserve">여인의 과거 선정적 연출 금지</t>
  </si>
  <si>
    <t xml:space="preserve">A0623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</si>
  <si>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4:43-54</t>
    </r>
  </si>
  <si>
    <t xml:space="preserve">말씀만으로</t>
  </si>
  <si>
    <t xml:space="preserve">멀리서 말씀만 하셨는데 아들이 나았다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</si>
  <si>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4:50</t>
    </r>
  </si>
  <si>
    <t xml:space="preserve">예수님의 말씀을 믿고 갑니다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</si>
  <si>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왕의 신하</t>
    </r>
  </si>
  <si>
    <r>
      <rPr>
        <sz val="10"/>
        <color rgb="FF000000"/>
        <rFont val="WenQuanYi Zen Hei"/>
        <family val="2"/>
      </rPr>
      <t xml:space="preserve">가나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가버나움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</si>
  <si>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#058 '</t>
    </r>
    <r>
      <rPr>
        <sz val="10"/>
        <color rgb="FF000000"/>
        <rFont val="WenQuanYi Zen Hei"/>
        <family val="2"/>
      </rPr>
      <t xml:space="preserve">우물가의 여인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</si>
  <si>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A0624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</si>
  <si>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5:1-18</t>
    </r>
  </si>
  <si>
    <t xml:space="preserve">베데스다 연못</t>
  </si>
  <si>
    <r>
      <rPr>
        <sz val="10"/>
        <color rgb="FF000000"/>
        <rFont val="Arial"/>
        <family val="0"/>
        <charset val="1"/>
      </rPr>
      <t xml:space="preserve">38</t>
    </r>
    <r>
      <rPr>
        <sz val="10"/>
        <color rgb="FF000000"/>
        <rFont val="WenQuanYi Zen Hei"/>
        <family val="2"/>
      </rPr>
      <t xml:space="preserve">년 동안 누워 있던 사람</t>
    </r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</si>
  <si>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5:8</t>
    </r>
  </si>
  <si>
    <t xml:space="preserve">일어나 네 자리를 들고 걸어가라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</si>
  <si>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·38</t>
    </r>
    <r>
      <rPr>
        <sz val="10"/>
        <color rgb="FF000000"/>
        <rFont val="WenQuanYi Zen Hei"/>
        <family val="2"/>
      </rPr>
      <t xml:space="preserve">년 된 병자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</si>
  <si>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요 </t>
    </r>
    <r>
      <rPr>
        <sz val="10"/>
        <color rgb="FF1F3864"/>
        <rFont val="Arial"/>
        <family val="0"/>
        <charset val="1"/>
      </rPr>
      <t xml:space="preserve">4:43-54 </t>
    </r>
    <r>
      <rPr>
        <sz val="10"/>
        <color rgb="FF1F3864"/>
        <rFont val="WenQuanYi Zen Hei"/>
        <family val="2"/>
      </rPr>
      <t xml:space="preserve">말씀만으로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</si>
  <si>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A0625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</si>
  <si>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6:1-21</t>
    </r>
  </si>
  <si>
    <t xml:space="preserve">나다 두려워하지 말라</t>
  </si>
  <si>
    <t xml:space="preserve">폭풍 속 배를 향해 걸어오신 예수님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</si>
  <si>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6:20</t>
    </r>
  </si>
  <si>
    <t xml:space="preserve">내니 두려워하지 말라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</si>
  <si>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제자들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오병이어 드린 아이</t>
    </r>
  </si>
  <si>
    <r>
      <rPr>
        <sz val="10"/>
        <color rgb="FF000000"/>
        <rFont val="WenQuanYi Zen Hei"/>
        <family val="2"/>
      </rPr>
      <t xml:space="preserve">빈 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밤바다</t>
    </r>
  </si>
  <si>
    <t xml:space="preserve">A0626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</si>
  <si>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6:22-71</t>
    </r>
  </si>
  <si>
    <t xml:space="preserve">생명의 떡</t>
  </si>
  <si>
    <t xml:space="preserve">나는 하늘에서 내려온 떡이다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</si>
  <si>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6:35</t>
    </r>
  </si>
  <si>
    <t xml:space="preserve">나는 생명의 떡이니 내게 오는 자는 결코 주리지 아니할 터이요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</si>
  <si>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무리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베드로</t>
    </r>
  </si>
  <si>
    <t xml:space="preserve">가버나움 회당</t>
  </si>
  <si>
    <t xml:space="preserve">화체설 해석 배제</t>
  </si>
  <si>
    <t xml:space="preserve">A0627</t>
  </si>
  <si>
    <t xml:space="preserve">B068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</si>
  <si>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7:1-52</t>
    </r>
  </si>
  <si>
    <t xml:space="preserve">생수의 강</t>
  </si>
  <si>
    <t xml:space="preserve">초막절 마지막 날 외치신 말씀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</si>
  <si>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7:38</t>
    </r>
  </si>
  <si>
    <t xml:space="preserve">나를 믿는 자는 배에서 생수의 강이 흘러나오리라</t>
  </si>
  <si>
    <t xml:space="preserve">초막절 성전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</si>
  <si>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#061 '</t>
    </r>
    <r>
      <rPr>
        <sz val="10"/>
        <color rgb="FF000000"/>
        <rFont val="WenQuanYi Zen Hei"/>
        <family val="2"/>
      </rPr>
      <t xml:space="preserve">생명의 떡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</si>
  <si>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A0628</t>
  </si>
  <si>
    <t xml:space="preserve">S1-L27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</si>
  <si>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8:1-11</t>
    </r>
  </si>
  <si>
    <t xml:space="preserve">돌을 내려놓은 사람들</t>
  </si>
  <si>
    <t xml:space="preserve">죄 없는 자가 먼저 돌로 치라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</si>
  <si>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8:11</t>
    </r>
  </si>
  <si>
    <t xml:space="preserve">나도 너를 정죄하지 아니하노니 가서 다시는 죄를 범하지 말라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</si>
  <si>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서기관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바리새인</t>
    </r>
  </si>
  <si>
    <r>
      <rPr>
        <sz val="10"/>
        <color rgb="FFC00000"/>
        <rFont val="WenQuanYi Zen Hei"/>
        <family val="2"/>
      </rPr>
      <t xml:space="preserve">성적 연출 일절 금지</t>
    </r>
    <r>
      <rPr>
        <sz val="10"/>
        <color rgb="FFC00000"/>
        <rFont val="Arial"/>
        <family val="0"/>
        <charset val="1"/>
      </rPr>
      <t xml:space="preserve">. 7:53-8:11 </t>
    </r>
    <r>
      <rPr>
        <sz val="10"/>
        <color rgb="FFC00000"/>
        <rFont val="WenQuanYi Zen Hei"/>
        <family val="2"/>
      </rPr>
      <t xml:space="preserve">사본 문제 언급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</si>
  <si>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요 </t>
    </r>
    <r>
      <rPr>
        <sz val="10"/>
        <color rgb="FF1F3864"/>
        <rFont val="Arial"/>
        <family val="0"/>
        <charset val="1"/>
      </rPr>
      <t xml:space="preserve">7:1-52 </t>
    </r>
    <r>
      <rPr>
        <sz val="10"/>
        <color rgb="FF1F3864"/>
        <rFont val="WenQuanYi Zen Hei"/>
        <family val="2"/>
      </rPr>
      <t xml:space="preserve">생수의 강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</si>
  <si>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A0629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</si>
  <si>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8:12-59</t>
    </r>
  </si>
  <si>
    <t xml:space="preserve">아브라함이 나기 전부터</t>
  </si>
  <si>
    <t xml:space="preserve">나는 세상의 빛이니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</si>
  <si>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8:58</t>
    </r>
  </si>
  <si>
    <t xml:space="preserve">예수님은 영원 전부터 계신 하나님이십니다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</si>
  <si>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유대인들</t>
    </r>
  </si>
  <si>
    <t xml:space="preserve">성전 헌금함 근처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</si>
  <si>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#062 '</t>
    </r>
    <r>
      <rPr>
        <sz val="10"/>
        <color rgb="FF000000"/>
        <rFont val="WenQuanYi Zen Hei"/>
        <family val="2"/>
      </rPr>
      <t xml:space="preserve">돌을 내려놓은 사람들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</si>
  <si>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A0630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</si>
  <si>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9:1-41</t>
    </r>
  </si>
  <si>
    <t xml:space="preserve">날 때부터 맹인 된 사람</t>
  </si>
  <si>
    <r>
      <rPr>
        <sz val="10"/>
        <color rgb="FF000000"/>
        <rFont val="WenQuanYi Zen Hei"/>
        <family val="2"/>
      </rPr>
      <t xml:space="preserve">누구의 죄 때문입니까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</si>
  <si>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9:25</t>
    </r>
  </si>
  <si>
    <t xml:space="preserve">내가 맹인으로 있다가 지금 보는 그것이니이다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</si>
  <si>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맹인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부모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바리새인</t>
    </r>
  </si>
  <si>
    <t xml:space="preserve">실로암 못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</si>
  <si>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요 </t>
    </r>
    <r>
      <rPr>
        <sz val="10"/>
        <color rgb="FF1F3864"/>
        <rFont val="Arial"/>
        <family val="0"/>
        <charset val="1"/>
      </rPr>
      <t xml:space="preserve">8:12-59 </t>
    </r>
    <r>
      <rPr>
        <sz val="10"/>
        <color rgb="FF1F3864"/>
        <rFont val="WenQuanYi Zen Hei"/>
        <family val="2"/>
      </rPr>
      <t xml:space="preserve">아브라함이 나기 전부터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</si>
  <si>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A0631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</si>
  <si>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10:1-42</t>
    </r>
  </si>
  <si>
    <t xml:space="preserve">선한 목자</t>
  </si>
  <si>
    <t xml:space="preserve">양을 위해 목숨을 버리는 목자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</si>
  <si>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10:11</t>
    </r>
  </si>
  <si>
    <t xml:space="preserve">나는 선한 목자라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</si>
  <si>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양 떼</t>
    </r>
  </si>
  <si>
    <t xml:space="preserve">양 우리와 문</t>
  </si>
  <si>
    <t xml:space="preserve">A0632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</si>
  <si>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11:1-44</t>
    </r>
  </si>
  <si>
    <t xml:space="preserve">나사로야 나오라</t>
  </si>
  <si>
    <t xml:space="preserve">무덤 앞에서 우신 예수님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</si>
  <si>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11:25</t>
    </r>
  </si>
  <si>
    <t xml:space="preserve">나는 부활이요 생명이니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</si>
  <si>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마르다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마리아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나사로</t>
    </r>
  </si>
  <si>
    <t xml:space="preserve">베다니 무덤</t>
  </si>
  <si>
    <t xml:space="preserve">A0633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</si>
  <si>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11:45-12:11</t>
    </r>
  </si>
  <si>
    <t xml:space="preserve">나드 향유</t>
  </si>
  <si>
    <t xml:space="preserve">온 집에 가득한 향기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</si>
  <si>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12:3</t>
    </r>
  </si>
  <si>
    <t xml:space="preserve">가장 귀한 것을 주님께 드립니다</t>
  </si>
  <si>
    <r>
      <rPr>
        <sz val="10"/>
        <color rgb="FF000000"/>
        <rFont val="WenQuanYi Zen Hei"/>
        <family val="2"/>
      </rPr>
      <t xml:space="preserve">마리아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유다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나사로</t>
    </r>
  </si>
  <si>
    <t xml:space="preserve">베다니 잔치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</si>
  <si>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#065 '</t>
    </r>
    <r>
      <rPr>
        <sz val="10"/>
        <color rgb="FF000000"/>
        <rFont val="WenQuanYi Zen Hei"/>
        <family val="2"/>
      </rPr>
      <t xml:space="preserve">나사로야 나오라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</si>
  <si>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A0634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</si>
  <si>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12:12-50</t>
    </r>
  </si>
  <si>
    <t xml:space="preserve">한 알의 밀</t>
  </si>
  <si>
    <t xml:space="preserve">밀알이 죽어야 열매를 맺는다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</si>
  <si>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12:24</t>
    </r>
  </si>
  <si>
    <t xml:space="preserve">예수님의 죽음은 많은 생명의 열매를 맺습니다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</si>
  <si>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헬라인들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무리</t>
    </r>
  </si>
  <si>
    <t xml:space="preserve">A0635</t>
  </si>
  <si>
    <t xml:space="preserve">B069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</si>
  <si>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13:1-20</t>
    </r>
  </si>
  <si>
    <t xml:space="preserve">발을 씻기신 예수님</t>
  </si>
  <si>
    <t xml:space="preserve">스승이 제자의 발을 씻겼다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</si>
  <si>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13:14</t>
    </r>
  </si>
  <si>
    <t xml:space="preserve">서로 발을 씻어 주는 것이 사랑입니다</t>
  </si>
  <si>
    <t xml:space="preserve">다락방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</si>
  <si>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요 </t>
    </r>
    <r>
      <rPr>
        <sz val="10"/>
        <color rgb="FF1F3864"/>
        <rFont val="Arial"/>
        <family val="0"/>
        <charset val="1"/>
      </rPr>
      <t xml:space="preserve">11:45-12:11 </t>
    </r>
    <r>
      <rPr>
        <sz val="10"/>
        <color rgb="FF1F3864"/>
        <rFont val="WenQuanYi Zen Hei"/>
        <family val="2"/>
      </rPr>
      <t xml:space="preserve">나드 향유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요 </t>
    </r>
    <r>
      <rPr>
        <sz val="10"/>
        <color rgb="FF1F3864"/>
        <rFont val="Arial"/>
        <family val="0"/>
        <charset val="1"/>
      </rPr>
      <t xml:space="preserve">12:12-50 </t>
    </r>
    <r>
      <rPr>
        <sz val="10"/>
        <color rgb="FF1F3864"/>
        <rFont val="WenQuanYi Zen Hei"/>
        <family val="2"/>
      </rPr>
      <t xml:space="preserve">한 알의 밀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</si>
  <si>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A0636</t>
  </si>
  <si>
    <t xml:space="preserve">S2-L41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</si>
  <si>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13:21-38</t>
    </r>
  </si>
  <si>
    <t xml:space="preserve">새 계명</t>
  </si>
  <si>
    <t xml:space="preserve">서로 사랑하라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</si>
  <si>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13:34</t>
    </r>
  </si>
  <si>
    <t xml:space="preserve">내가 너희를 사랑한 것같이 너희도 서로 사랑하라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</si>
  <si>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유다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베드로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요한</t>
    </r>
  </si>
  <si>
    <t xml:space="preserve">다락방 식탁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</si>
  <si>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#066 '</t>
    </r>
    <r>
      <rPr>
        <sz val="10"/>
        <color rgb="FF000000"/>
        <rFont val="WenQuanYi Zen Hei"/>
        <family val="2"/>
      </rPr>
      <t xml:space="preserve">발을 씻기신 예수님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</si>
  <si>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A0637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</si>
  <si>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14:1-31</t>
    </r>
  </si>
  <si>
    <t xml:space="preserve">나는 길이요</t>
  </si>
  <si>
    <t xml:space="preserve">아버지께로 가는 유일한 길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</si>
  <si>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14:6</t>
    </r>
  </si>
  <si>
    <t xml:space="preserve">나는 길이요 진리요 생명이니 나로 말미암지 않고는 아버지께로 올 자가 없느니라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</si>
  <si>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도마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빌립</t>
    </r>
  </si>
  <si>
    <r>
      <rPr>
        <sz val="10"/>
        <color rgb="FFC00000"/>
        <rFont val="WenQuanYi Zen Hei"/>
        <family val="2"/>
      </rPr>
      <t xml:space="preserve">보혜사 </t>
    </r>
    <r>
      <rPr>
        <sz val="10"/>
        <color rgb="FFC00000"/>
        <rFont val="Arial"/>
        <family val="0"/>
        <charset val="1"/>
      </rPr>
      <t xml:space="preserve">= </t>
    </r>
    <r>
      <rPr>
        <sz val="10"/>
        <color rgb="FFC00000"/>
        <rFont val="WenQuanYi Zen Hei"/>
        <family val="2"/>
      </rPr>
      <t xml:space="preserve">성령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특정 인물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교주</t>
    </r>
    <r>
      <rPr>
        <sz val="10"/>
        <color rgb="FFC00000"/>
        <rFont val="Arial"/>
        <family val="0"/>
        <charset val="1"/>
      </rPr>
      <t xml:space="preserve">) </t>
    </r>
    <r>
      <rPr>
        <sz val="10"/>
        <color rgb="FFC00000"/>
        <rFont val="WenQuanYi Zen Hei"/>
        <family val="2"/>
      </rPr>
      <t xml:space="preserve">보혜사 자칭 이단 경계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</si>
  <si>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요 </t>
    </r>
    <r>
      <rPr>
        <sz val="10"/>
        <color rgb="FF1F3864"/>
        <rFont val="Arial"/>
        <family val="0"/>
        <charset val="1"/>
      </rPr>
      <t xml:space="preserve">13:21-38 </t>
    </r>
    <r>
      <rPr>
        <sz val="10"/>
        <color rgb="FF1F3864"/>
        <rFont val="WenQuanYi Zen Hei"/>
        <family val="2"/>
      </rPr>
      <t xml:space="preserve">새 계명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</si>
  <si>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A0638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</si>
  <si>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15:1-27</t>
    </r>
  </si>
  <si>
    <t xml:space="preserve">포도나무와 가지</t>
  </si>
  <si>
    <t xml:space="preserve">붙어 있기만 하면 열매가 맺힌다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</si>
  <si>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15:5</t>
    </r>
  </si>
  <si>
    <t xml:space="preserve">나는 포도나무요 너희는 가지라</t>
  </si>
  <si>
    <t xml:space="preserve">A0639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</si>
  <si>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16:1-33</t>
    </r>
  </si>
  <si>
    <t xml:space="preserve">세상을 이겼노라</t>
  </si>
  <si>
    <t xml:space="preserve">세상에서는 환난을 당하나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</si>
  <si>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16:33</t>
    </r>
  </si>
  <si>
    <t xml:space="preserve">담대하라 내가 세상을 이기었노라</t>
  </si>
  <si>
    <t xml:space="preserve">밤의 길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</si>
  <si>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#068 '</t>
    </r>
    <r>
      <rPr>
        <sz val="10"/>
        <color rgb="FF000000"/>
        <rFont val="WenQuanYi Zen Hei"/>
        <family val="2"/>
      </rPr>
      <t xml:space="preserve">포도나무와 가지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</si>
  <si>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A0640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</si>
  <si>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17:1-26</t>
    </r>
  </si>
  <si>
    <t xml:space="preserve">예수님의 기도</t>
  </si>
  <si>
    <t xml:space="preserve">예수님이 우리를 위해 하신 기도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</si>
  <si>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17:21</t>
    </r>
  </si>
  <si>
    <t xml:space="preserve">그들도 다 하나가 되어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</si>
  <si>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기도</t>
    </r>
    <r>
      <rPr>
        <sz val="10"/>
        <color rgb="FF000000"/>
        <rFont val="Arial"/>
        <family val="0"/>
        <charset val="1"/>
      </rPr>
      <t xml:space="preserve">)</t>
    </r>
  </si>
  <si>
    <t xml:space="preserve">기드론 시내 건너편 가는 길</t>
  </si>
  <si>
    <t xml:space="preserve">A0641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</si>
  <si>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18:1-27</t>
    </r>
  </si>
  <si>
    <t xml:space="preserve">잡히신 예수님</t>
  </si>
  <si>
    <t xml:space="preserve">군인들이 땅에 엎드러졌다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</si>
  <si>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18:11</t>
    </r>
  </si>
  <si>
    <t xml:space="preserve">아버지께서 주신 잔을 내가 마시지 아니하겠느냐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</si>
  <si>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유다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베드로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말고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안나스</t>
    </r>
  </si>
  <si>
    <r>
      <rPr>
        <sz val="10"/>
        <color rgb="FF000000"/>
        <rFont val="WenQuanYi Zen Hei"/>
        <family val="2"/>
      </rPr>
      <t xml:space="preserve">동산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대제사장의 뜰</t>
    </r>
  </si>
  <si>
    <t xml:space="preserve">A0642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</si>
  <si>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18:28-19:16</t>
    </r>
  </si>
  <si>
    <t xml:space="preserve">진리가 무엇이냐</t>
  </si>
  <si>
    <t xml:space="preserve">로마 총독이 던진 질문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</si>
  <si>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18:38</t>
    </r>
  </si>
  <si>
    <t xml:space="preserve">진리이신 예수님이 재판정에 서셨습니다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</si>
  <si>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빌라도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무리</t>
    </r>
  </si>
  <si>
    <r>
      <rPr>
        <sz val="10"/>
        <color rgb="FFC00000"/>
        <rFont val="WenQuanYi Zen Hei"/>
        <family val="2"/>
      </rPr>
      <t xml:space="preserve">채찍질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가시관 잔혹 묘사 금지</t>
    </r>
  </si>
  <si>
    <t xml:space="preserve">A0643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</si>
  <si>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19:17-42</t>
    </r>
  </si>
  <si>
    <t xml:space="preserve">다 이루었다</t>
  </si>
  <si>
    <t xml:space="preserve">십자가 위의 마지막 한마디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</si>
  <si>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19:30</t>
    </r>
  </si>
  <si>
    <t xml:space="preserve">예수님은 구원을 완전히 이루셨습니다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</si>
  <si>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마리아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니고데모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아리마대 요셉</t>
    </r>
  </si>
  <si>
    <r>
      <rPr>
        <sz val="10"/>
        <color rgb="FF000000"/>
        <rFont val="WenQuanYi Zen Hei"/>
        <family val="2"/>
      </rPr>
      <t xml:space="preserve">골고다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동산 무덤</t>
    </r>
  </si>
  <si>
    <r>
      <rPr>
        <sz val="10"/>
        <color rgb="FFC00000"/>
        <rFont val="WenQuanYi Zen Hei"/>
        <family val="2"/>
      </rPr>
      <t xml:space="preserve">잔혹 묘사 금지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역광 실루엣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</si>
  <si>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4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요 </t>
    </r>
    <r>
      <rPr>
        <sz val="10"/>
        <color rgb="FF1F3864"/>
        <rFont val="Arial"/>
        <family val="0"/>
        <charset val="1"/>
      </rPr>
      <t xml:space="preserve">16:1-33 </t>
    </r>
    <r>
      <rPr>
        <sz val="10"/>
        <color rgb="FF1F3864"/>
        <rFont val="WenQuanYi Zen Hei"/>
        <family val="2"/>
      </rPr>
      <t xml:space="preserve">세상을 이겼노라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요 </t>
    </r>
    <r>
      <rPr>
        <sz val="10"/>
        <color rgb="FF1F3864"/>
        <rFont val="Arial"/>
        <family val="0"/>
        <charset val="1"/>
      </rPr>
      <t xml:space="preserve">17:1-26 </t>
    </r>
    <r>
      <rPr>
        <sz val="10"/>
        <color rgb="FF1F3864"/>
        <rFont val="WenQuanYi Zen Hei"/>
        <family val="2"/>
      </rPr>
      <t xml:space="preserve">예수님의 기도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요 </t>
    </r>
    <r>
      <rPr>
        <sz val="10"/>
        <color rgb="FF1F3864"/>
        <rFont val="Arial"/>
        <family val="0"/>
        <charset val="1"/>
      </rPr>
      <t xml:space="preserve">18:1-27 </t>
    </r>
    <r>
      <rPr>
        <sz val="10"/>
        <color rgb="FF1F3864"/>
        <rFont val="WenQuanYi Zen Hei"/>
        <family val="2"/>
      </rPr>
      <t xml:space="preserve">잡히신 예수님 외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</si>
  <si>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A0644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</si>
  <si>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20:1-18</t>
    </r>
  </si>
  <si>
    <t xml:space="preserve">마리아야</t>
  </si>
  <si>
    <t xml:space="preserve">이름을 부르실 때 알아보았다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</si>
  <si>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20:16</t>
    </r>
  </si>
  <si>
    <t xml:space="preserve">부활하신 주님은 우리 이름을 부르십니다</t>
  </si>
  <si>
    <r>
      <rPr>
        <sz val="10"/>
        <color rgb="FF000000"/>
        <rFont val="WenQuanYi Zen Hei"/>
        <family val="2"/>
      </rPr>
      <t xml:space="preserve">막달라 마리아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베드로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요한</t>
    </r>
  </si>
  <si>
    <r>
      <rPr>
        <sz val="10"/>
        <color rgb="FF000000"/>
        <rFont val="WenQuanYi Zen Hei"/>
        <family val="2"/>
      </rPr>
      <t xml:space="preserve">빈 무덤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동산</t>
    </r>
  </si>
  <si>
    <t xml:space="preserve">A0645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</si>
  <si>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20:19-31</t>
    </r>
  </si>
  <si>
    <t xml:space="preserve">나의 주 나의 하나님</t>
  </si>
  <si>
    <t xml:space="preserve">의심하던 도마의 고백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</si>
  <si>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20:28</t>
    </r>
  </si>
  <si>
    <t xml:space="preserve">나의 주님이시요 나의 하나님이시니이다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</si>
  <si>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도마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제자들</t>
    </r>
  </si>
  <si>
    <t xml:space="preserve">닫힌 방</t>
  </si>
  <si>
    <t xml:space="preserve">A0646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</si>
  <si>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21:1-25</t>
    </r>
  </si>
  <si>
    <t xml:space="preserve">내 양을 먹이라</t>
  </si>
  <si>
    <t xml:space="preserve">세 번 부인한 제자에게 세 번 물으셨다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</si>
  <si>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21:17</t>
    </r>
  </si>
  <si>
    <t xml:space="preserve">예수님은 실패한 제자를 회복시키십니다</t>
  </si>
  <si>
    <t xml:space="preserve">디베랴 바닷가 숯불</t>
  </si>
  <si>
    <t xml:space="preserve">A0647</t>
  </si>
  <si>
    <t xml:space="preserve">B070</t>
  </si>
  <si>
    <t xml:space="preserve">S1-L28</t>
  </si>
  <si>
    <t xml:space="preserve">사도행전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</si>
  <si>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1:1-11</t>
    </r>
  </si>
  <si>
    <t xml:space="preserve">승천</t>
  </si>
  <si>
    <t xml:space="preserve">하늘로 올라가시며 남기신 약속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</si>
  <si>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1:8</t>
    </r>
  </si>
  <si>
    <t xml:space="preserve">성령이 임하시면 너희가 권능을 받고 땅끝까지 내 증인이 되리라</t>
  </si>
  <si>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제자들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두 천사</t>
    </r>
  </si>
  <si>
    <r>
      <rPr>
        <sz val="10"/>
        <color rgb="FF000000"/>
        <rFont val="WenQuanYi Zen Hei"/>
        <family val="2"/>
      </rPr>
      <t xml:space="preserve">감람산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구름</t>
    </r>
  </si>
  <si>
    <t xml:space="preserve">A0648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</si>
  <si>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1:12-26</t>
    </r>
  </si>
  <si>
    <t xml:space="preserve">기도하며 기다리다</t>
  </si>
  <si>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WenQuanYi Zen Hei"/>
        <family val="2"/>
      </rPr>
      <t xml:space="preserve">명이 한마음으로 기도했다</t>
    </r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</si>
  <si>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1:14</t>
    </r>
  </si>
  <si>
    <t xml:space="preserve">기도는 성령을 기다리는 교회의 모습입니다</t>
  </si>
  <si>
    <r>
      <rPr>
        <sz val="10"/>
        <color rgb="FF000000"/>
        <rFont val="WenQuanYi Zen Hei"/>
        <family val="2"/>
      </rPr>
      <t xml:space="preserve">제자들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마리아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맛디아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</si>
  <si>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#073 '</t>
    </r>
    <r>
      <rPr>
        <sz val="10"/>
        <color rgb="FF000000"/>
        <rFont val="WenQuanYi Zen Hei"/>
        <family val="2"/>
      </rPr>
      <t xml:space="preserve">승천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</si>
  <si>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A0649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</si>
  <si>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2:1-13</t>
    </r>
  </si>
  <si>
    <t xml:space="preserve">오순절 성령 강림</t>
  </si>
  <si>
    <t xml:space="preserve">불의 혀 같은 것이 임했다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</si>
  <si>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2:4</t>
    </r>
  </si>
  <si>
    <t xml:space="preserve">성령이 교회에 임하셨습니다</t>
  </si>
  <si>
    <r>
      <rPr>
        <sz val="10"/>
        <color rgb="FF000000"/>
        <rFont val="WenQuanYi Zen Hei"/>
        <family val="2"/>
      </rPr>
      <t xml:space="preserve">제자들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여러 나라 사람들</t>
    </r>
  </si>
  <si>
    <r>
      <rPr>
        <sz val="10"/>
        <color rgb="FF000000"/>
        <rFont val="WenQuanYi Zen Hei"/>
        <family val="2"/>
      </rPr>
      <t xml:space="preserve">예루살렘 다락방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거리</t>
    </r>
  </si>
  <si>
    <r>
      <rPr>
        <sz val="10"/>
        <color rgb="FFC00000"/>
        <rFont val="WenQuanYi Zen Hei"/>
        <family val="2"/>
      </rPr>
      <t xml:space="preserve">방언 남용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특정 단체의 성령 독점 주장 배제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</si>
  <si>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행 </t>
    </r>
    <r>
      <rPr>
        <sz val="10"/>
        <color rgb="FF1F3864"/>
        <rFont val="Arial"/>
        <family val="0"/>
        <charset val="1"/>
      </rPr>
      <t xml:space="preserve">1:12-26 </t>
    </r>
    <r>
      <rPr>
        <sz val="10"/>
        <color rgb="FF1F3864"/>
        <rFont val="WenQuanYi Zen Hei"/>
        <family val="2"/>
      </rPr>
      <t xml:space="preserve">기도하며 기다리다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</si>
  <si>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A0650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</si>
  <si>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2:14-47</t>
    </r>
  </si>
  <si>
    <t xml:space="preserve">첫 번째 설교와 첫 교회</t>
  </si>
  <si>
    <r>
      <rPr>
        <sz val="10"/>
        <color rgb="FF000000"/>
        <rFont val="WenQuanYi Zen Hei"/>
        <family val="2"/>
      </rPr>
      <t xml:space="preserve">하루에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천 명이 세례를 받았다</t>
    </r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</si>
  <si>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2:42</t>
    </r>
  </si>
  <si>
    <t xml:space="preserve">말씀과 교제와 떡을 떼며 기도하는 교회</t>
  </si>
  <si>
    <r>
      <rPr>
        <sz val="10"/>
        <color rgb="FF000000"/>
        <rFont val="WenQuanYi Zen Hei"/>
        <family val="2"/>
      </rPr>
      <t xml:space="preserve">베드로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무리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초대교회</t>
    </r>
  </si>
  <si>
    <r>
      <rPr>
        <sz val="10"/>
        <color rgb="FF000000"/>
        <rFont val="WenQuanYi Zen Hei"/>
        <family val="2"/>
      </rPr>
      <t xml:space="preserve">예루살렘 거리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집들</t>
    </r>
  </si>
  <si>
    <t xml:space="preserve">A0651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</si>
  <si>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3:1-26</t>
    </r>
  </si>
  <si>
    <t xml:space="preserve">미문의 앉은뱅이</t>
  </si>
  <si>
    <t xml:space="preserve">은과 금은 내게 없거니와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</si>
  <si>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3:6</t>
    </r>
  </si>
  <si>
    <t xml:space="preserve">예수 그리스도의 이름으로 일어나 걸으라</t>
  </si>
  <si>
    <r>
      <rPr>
        <sz val="10"/>
        <color rgb="FF000000"/>
        <rFont val="WenQuanYi Zen Hei"/>
        <family val="2"/>
      </rPr>
      <t xml:space="preserve">베드로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나면서 못 걷게 된 사람</t>
    </r>
  </si>
  <si>
    <t xml:space="preserve">성전 미문</t>
  </si>
  <si>
    <t xml:space="preserve">A0652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</si>
  <si>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4:1-37</t>
    </r>
  </si>
  <si>
    <t xml:space="preserve">다른 이름은 없다</t>
  </si>
  <si>
    <r>
      <rPr>
        <sz val="10"/>
        <color rgb="FF000000"/>
        <rFont val="WenQuanYi Zen Hei"/>
        <family val="2"/>
      </rPr>
      <t xml:space="preserve">감옥에 갇힌 날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천 명이 믿었다</t>
    </r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</si>
  <si>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4:12</t>
    </r>
  </si>
  <si>
    <t xml:space="preserve">다른 이로써는 구원을 받을 수 없나니</t>
  </si>
  <si>
    <r>
      <rPr>
        <sz val="10"/>
        <color rgb="FF000000"/>
        <rFont val="WenQuanYi Zen Hei"/>
        <family val="2"/>
      </rPr>
      <t xml:space="preserve">베드로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공회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바나바</t>
    </r>
  </si>
  <si>
    <r>
      <rPr>
        <sz val="10"/>
        <color rgb="FF000000"/>
        <rFont val="WenQuanYi Zen Hei"/>
        <family val="2"/>
      </rPr>
      <t xml:space="preserve">공회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기도하는 교회</t>
    </r>
  </si>
  <si>
    <t xml:space="preserve">A0653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</si>
  <si>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5:1-16</t>
    </r>
  </si>
  <si>
    <t xml:space="preserve">아나니아와 삽비라</t>
  </si>
  <si>
    <t xml:space="preserve">땅값을 속인 부부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</si>
  <si>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5:4</t>
    </r>
  </si>
  <si>
    <t xml:space="preserve">하나님을 속일 수 없습니다</t>
  </si>
  <si>
    <r>
      <rPr>
        <sz val="10"/>
        <color rgb="FF000000"/>
        <rFont val="WenQuanYi Zen Hei"/>
        <family val="2"/>
      </rPr>
      <t xml:space="preserve">베드로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아나니아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삽비라</t>
    </r>
  </si>
  <si>
    <t xml:space="preserve">초대교회 모임</t>
  </si>
  <si>
    <t xml:space="preserve">죽음 장면 공포 연출 금지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</si>
  <si>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#077 '</t>
    </r>
    <r>
      <rPr>
        <sz val="10"/>
        <color rgb="FF000000"/>
        <rFont val="WenQuanYi Zen Hei"/>
        <family val="2"/>
      </rPr>
      <t xml:space="preserve">다른 이름은 없다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</si>
  <si>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A0654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</si>
  <si>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5:17-42</t>
    </r>
  </si>
  <si>
    <t xml:space="preserve">사람보다 하나님께</t>
  </si>
  <si>
    <t xml:space="preserve">천사가 감옥 문을 열었다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</si>
  <si>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5:29</t>
    </r>
  </si>
  <si>
    <t xml:space="preserve">사람보다 하나님께 순종하는 것이 마땅하니라</t>
  </si>
  <si>
    <r>
      <rPr>
        <sz val="10"/>
        <color rgb="FF000000"/>
        <rFont val="WenQuanYi Zen Hei"/>
        <family val="2"/>
      </rPr>
      <t xml:space="preserve">사도들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천사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가말리엘</t>
    </r>
  </si>
  <si>
    <r>
      <rPr>
        <sz val="10"/>
        <color rgb="FF000000"/>
        <rFont val="WenQuanYi Zen Hei"/>
        <family val="2"/>
      </rPr>
      <t xml:space="preserve">감옥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공회</t>
    </r>
  </si>
  <si>
    <t xml:space="preserve">채찍질 장면 묘사 금지</t>
  </si>
  <si>
    <t xml:space="preserve">A0655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</si>
  <si>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6:1-15</t>
    </r>
  </si>
  <si>
    <t xml:space="preserve">일곱 집사</t>
  </si>
  <si>
    <t xml:space="preserve">교회 안의 불평을 해결한 방법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</si>
  <si>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6:3</t>
    </r>
  </si>
  <si>
    <t xml:space="preserve">성령과 지혜가 충만한 사람을 세웁니다</t>
  </si>
  <si>
    <r>
      <rPr>
        <sz val="10"/>
        <color rgb="FF000000"/>
        <rFont val="WenQuanYi Zen Hei"/>
        <family val="2"/>
      </rPr>
      <t xml:space="preserve">사도들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스데반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빌립</t>
    </r>
  </si>
  <si>
    <t xml:space="preserve">초대교회</t>
  </si>
  <si>
    <t xml:space="preserve">A0656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</si>
  <si>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7:1-60</t>
    </r>
  </si>
  <si>
    <t xml:space="preserve">스데반의 순교</t>
  </si>
  <si>
    <t xml:space="preserve">돌에 맞으며 원수를 위해 기도하다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</si>
  <si>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7:60</t>
    </r>
  </si>
  <si>
    <t xml:space="preserve">주여 이 죄를 그들에게 돌리지 마옵소서</t>
  </si>
  <si>
    <r>
      <rPr>
        <sz val="10"/>
        <color rgb="FF000000"/>
        <rFont val="WenQuanYi Zen Hei"/>
        <family val="2"/>
      </rPr>
      <t xml:space="preserve">스데반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공회</t>
    </r>
  </si>
  <si>
    <r>
      <rPr>
        <sz val="10"/>
        <color rgb="FF000000"/>
        <rFont val="WenQuanYi Zen Hei"/>
        <family val="2"/>
      </rPr>
      <t xml:space="preserve">공회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 밖</t>
    </r>
  </si>
  <si>
    <r>
      <rPr>
        <sz val="10"/>
        <color rgb="FFC00000"/>
        <rFont val="WenQuanYi Zen Hei"/>
        <family val="2"/>
      </rPr>
      <t xml:space="preserve">돌 맞는 장면 직접 묘사 금지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빛나는 얼굴 중심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</si>
  <si>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3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행 </t>
    </r>
    <r>
      <rPr>
        <sz val="10"/>
        <color rgb="FF1F3864"/>
        <rFont val="Arial"/>
        <family val="0"/>
        <charset val="1"/>
      </rPr>
      <t xml:space="preserve">5:1-16 </t>
    </r>
    <r>
      <rPr>
        <sz val="10"/>
        <color rgb="FF1F3864"/>
        <rFont val="WenQuanYi Zen Hei"/>
        <family val="2"/>
      </rPr>
      <t xml:space="preserve">아나니아와 삽비라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행 </t>
    </r>
    <r>
      <rPr>
        <sz val="10"/>
        <color rgb="FF1F3864"/>
        <rFont val="Arial"/>
        <family val="0"/>
        <charset val="1"/>
      </rPr>
      <t xml:space="preserve">5:17-42 </t>
    </r>
    <r>
      <rPr>
        <sz val="10"/>
        <color rgb="FF1F3864"/>
        <rFont val="WenQuanYi Zen Hei"/>
        <family val="2"/>
      </rPr>
      <t xml:space="preserve">사람보다 하나님께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행 </t>
    </r>
    <r>
      <rPr>
        <sz val="10"/>
        <color rgb="FF1F3864"/>
        <rFont val="Arial"/>
        <family val="0"/>
        <charset val="1"/>
      </rPr>
      <t xml:space="preserve">6:1-15 </t>
    </r>
    <r>
      <rPr>
        <sz val="10"/>
        <color rgb="FF1F3864"/>
        <rFont val="WenQuanYi Zen Hei"/>
        <family val="2"/>
      </rPr>
      <t xml:space="preserve">일곱 집사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</si>
  <si>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A0657</t>
  </si>
  <si>
    <t xml:space="preserve">B071</t>
  </si>
  <si>
    <t xml:space="preserve">S2-L42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</si>
  <si>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8:1-25</t>
    </r>
  </si>
  <si>
    <t xml:space="preserve">사마리아의 기쁨</t>
  </si>
  <si>
    <t xml:space="preserve">핍박 때문에 흩어진 사람들이 복음을 전했다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</si>
  <si>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8:20</t>
    </r>
  </si>
  <si>
    <t xml:space="preserve">하나님의 선물은 돈으로 살 수 없습니다</t>
  </si>
  <si>
    <r>
      <rPr>
        <sz val="10"/>
        <color rgb="FF000000"/>
        <rFont val="WenQuanYi Zen Hei"/>
        <family val="2"/>
      </rPr>
      <t xml:space="preserve">빌립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시몬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베드로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요한</t>
    </r>
  </si>
  <si>
    <t xml:space="preserve">사마리아 성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</si>
  <si>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#078 '</t>
    </r>
    <r>
      <rPr>
        <sz val="10"/>
        <color rgb="FF000000"/>
        <rFont val="WenQuanYi Zen Hei"/>
        <family val="2"/>
      </rPr>
      <t xml:space="preserve">스데반의 순교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</si>
  <si>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A0658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</si>
  <si>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8:26-40</t>
    </r>
  </si>
  <si>
    <t xml:space="preserve">광야 길의 내시</t>
  </si>
  <si>
    <t xml:space="preserve">마차에서 이사야서를 읽던 사람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</si>
  <si>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8:35</t>
    </r>
  </si>
  <si>
    <t xml:space="preserve">성경으로부터 예수를 전합니다</t>
  </si>
  <si>
    <r>
      <rPr>
        <sz val="10"/>
        <color rgb="FF000000"/>
        <rFont val="WenQuanYi Zen Hei"/>
        <family val="2"/>
      </rPr>
      <t xml:space="preserve">빌립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에디오피아 내시</t>
    </r>
  </si>
  <si>
    <r>
      <rPr>
        <sz val="10"/>
        <color rgb="FF000000"/>
        <rFont val="WenQuanYi Zen Hei"/>
        <family val="2"/>
      </rPr>
      <t xml:space="preserve">가사로 가는 광야 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물가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</si>
  <si>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행 </t>
    </r>
    <r>
      <rPr>
        <sz val="10"/>
        <color rgb="FF1F3864"/>
        <rFont val="Arial"/>
        <family val="0"/>
        <charset val="1"/>
      </rPr>
      <t xml:space="preserve">8:1-25 </t>
    </r>
    <r>
      <rPr>
        <sz val="10"/>
        <color rgb="FF1F3864"/>
        <rFont val="WenQuanYi Zen Hei"/>
        <family val="2"/>
      </rPr>
      <t xml:space="preserve">사마리아의 기쁨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</si>
  <si>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A0659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</si>
  <si>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9:1-19</t>
    </r>
  </si>
  <si>
    <t xml:space="preserve">다메섹 도상의 빛</t>
  </si>
  <si>
    <t xml:space="preserve">사울아 사울아 네가 왜 나를 박해하느냐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</si>
  <si>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9:4</t>
    </r>
  </si>
  <si>
    <t xml:space="preserve">예수님은 핍박자도 부르십니다</t>
  </si>
  <si>
    <r>
      <rPr>
        <sz val="10"/>
        <color rgb="FF000000"/>
        <rFont val="WenQuanYi Zen Hei"/>
        <family val="2"/>
      </rPr>
      <t xml:space="preserve">사울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빛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음성</t>
    </r>
    <r>
      <rPr>
        <sz val="10"/>
        <color rgb="FF000000"/>
        <rFont val="Arial"/>
        <family val="0"/>
        <charset val="1"/>
      </rPr>
      <t xml:space="preserve">)·</t>
    </r>
    <r>
      <rPr>
        <sz val="10"/>
        <color rgb="FF000000"/>
        <rFont val="WenQuanYi Zen Hei"/>
        <family val="2"/>
      </rPr>
      <t xml:space="preserve">아나니아</t>
    </r>
  </si>
  <si>
    <t xml:space="preserve">다메섹 길</t>
  </si>
  <si>
    <t xml:space="preserve">A0660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</si>
  <si>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9:20-31</t>
    </r>
  </si>
  <si>
    <t xml:space="preserve">변화된 사울</t>
  </si>
  <si>
    <t xml:space="preserve">아무도 믿어 주지 않을 때 한 사람이 손을 내밀었다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</si>
  <si>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9:27</t>
    </r>
  </si>
  <si>
    <t xml:space="preserve">바나바처럼 손을 내밀어 줍니다</t>
  </si>
  <si>
    <r>
      <rPr>
        <sz val="10"/>
        <color rgb="FF000000"/>
        <rFont val="WenQuanYi Zen Hei"/>
        <family val="2"/>
      </rPr>
      <t xml:space="preserve">사울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바나바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제자들</t>
    </r>
  </si>
  <si>
    <r>
      <rPr>
        <sz val="10"/>
        <color rgb="FF000000"/>
        <rFont val="WenQuanYi Zen Hei"/>
        <family val="2"/>
      </rPr>
      <t xml:space="preserve">다메섹 성벽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예루살렘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</si>
  <si>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#080 '</t>
    </r>
    <r>
      <rPr>
        <sz val="10"/>
        <color rgb="FF000000"/>
        <rFont val="WenQuanYi Zen Hei"/>
        <family val="2"/>
      </rPr>
      <t xml:space="preserve">다메섹 도상의 빛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</si>
  <si>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A0661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</si>
  <si>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9:32-43</t>
    </r>
  </si>
  <si>
    <t xml:space="preserve">다비다야 일어나라</t>
  </si>
  <si>
    <t xml:space="preserve">과부들이 들고 온 옷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</si>
  <si>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9:40</t>
    </r>
  </si>
  <si>
    <t xml:space="preserve">베드로가 기도하자 다비다가 눈을 떴습니다</t>
  </si>
  <si>
    <r>
      <rPr>
        <sz val="10"/>
        <color rgb="FF000000"/>
        <rFont val="WenQuanYi Zen Hei"/>
        <family val="2"/>
      </rPr>
      <t xml:space="preserve">베드로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다비다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과부들</t>
    </r>
  </si>
  <si>
    <t xml:space="preserve">욥바 다락방</t>
  </si>
  <si>
    <t xml:space="preserve">A0662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</si>
  <si>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10:1-48</t>
    </r>
  </si>
  <si>
    <t xml:space="preserve">보자기 환상</t>
  </si>
  <si>
    <t xml:space="preserve">하나님은 사람을 차별하지 않으신다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</si>
  <si>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10:34</t>
    </r>
  </si>
  <si>
    <t xml:space="preserve">하나님은 사람의 외모를 보지 아니하십니다</t>
  </si>
  <si>
    <r>
      <rPr>
        <sz val="10"/>
        <color rgb="FF000000"/>
        <rFont val="WenQuanYi Zen Hei"/>
        <family val="2"/>
      </rPr>
      <t xml:space="preserve">베드로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고넬료</t>
    </r>
  </si>
  <si>
    <r>
      <rPr>
        <sz val="10"/>
        <color rgb="FF000000"/>
        <rFont val="WenQuanYi Zen Hei"/>
        <family val="2"/>
      </rPr>
      <t xml:space="preserve">욥바 지붕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가이사랴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</si>
  <si>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행 </t>
    </r>
    <r>
      <rPr>
        <sz val="10"/>
        <color rgb="FF1F3864"/>
        <rFont val="Arial"/>
        <family val="0"/>
        <charset val="1"/>
      </rPr>
      <t xml:space="preserve">9:20-31 </t>
    </r>
    <r>
      <rPr>
        <sz val="10"/>
        <color rgb="FF1F3864"/>
        <rFont val="WenQuanYi Zen Hei"/>
        <family val="2"/>
      </rPr>
      <t xml:space="preserve">변화된 사울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행 </t>
    </r>
    <r>
      <rPr>
        <sz val="10"/>
        <color rgb="FF1F3864"/>
        <rFont val="Arial"/>
        <family val="0"/>
        <charset val="1"/>
      </rPr>
      <t xml:space="preserve">9:32-43 </t>
    </r>
    <r>
      <rPr>
        <sz val="10"/>
        <color rgb="FF1F3864"/>
        <rFont val="WenQuanYi Zen Hei"/>
        <family val="2"/>
      </rPr>
      <t xml:space="preserve">다비다야 일어나라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</si>
  <si>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A0663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</si>
  <si>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11:1-30</t>
    </r>
  </si>
  <si>
    <t xml:space="preserve">그리스도인이라 불리다</t>
  </si>
  <si>
    <r>
      <rPr>
        <sz val="10"/>
        <color rgb="FF000000"/>
        <rFont val="WenQuanYi Zen Hei"/>
        <family val="2"/>
      </rPr>
      <t xml:space="preserve">처음으로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그리스도인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이라는 이름을 얻은 곳</t>
    </r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</si>
  <si>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11:26</t>
    </r>
  </si>
  <si>
    <t xml:space="preserve">그리스도를 닮은 사람들이 그리스도인입니다</t>
  </si>
  <si>
    <r>
      <rPr>
        <sz val="10"/>
        <color rgb="FF000000"/>
        <rFont val="WenQuanYi Zen Hei"/>
        <family val="2"/>
      </rPr>
      <t xml:space="preserve">바나바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안디옥 교회</t>
    </r>
  </si>
  <si>
    <t xml:space="preserve">안디옥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</si>
  <si>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#081 '</t>
    </r>
    <r>
      <rPr>
        <sz val="10"/>
        <color rgb="FF000000"/>
        <rFont val="WenQuanYi Zen Hei"/>
        <family val="2"/>
      </rPr>
      <t xml:space="preserve">보자기 환상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</si>
  <si>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A0664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</si>
  <si>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12:1-25</t>
    </r>
  </si>
  <si>
    <t xml:space="preserve">감옥에서 잠든 베드로</t>
  </si>
  <si>
    <t xml:space="preserve">교회가 간절히 기도하자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</si>
  <si>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12:5</t>
    </r>
  </si>
  <si>
    <t xml:space="preserve">교회의 기도가 감옥 문을 엽니다</t>
  </si>
  <si>
    <r>
      <rPr>
        <sz val="10"/>
        <color rgb="FF000000"/>
        <rFont val="WenQuanYi Zen Hei"/>
        <family val="2"/>
      </rPr>
      <t xml:space="preserve">베드로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천사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로데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교회</t>
    </r>
  </si>
  <si>
    <r>
      <rPr>
        <sz val="10"/>
        <color rgb="FF000000"/>
        <rFont val="WenQuanYi Zen Hei"/>
        <family val="2"/>
      </rPr>
      <t xml:space="preserve">감옥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마리아의 집 대문</t>
    </r>
  </si>
  <si>
    <t xml:space="preserve">헤롯의 죽음 장면 묘사 금지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</si>
  <si>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행 </t>
    </r>
    <r>
      <rPr>
        <sz val="10"/>
        <color rgb="FF1F3864"/>
        <rFont val="Arial"/>
        <family val="0"/>
        <charset val="1"/>
      </rPr>
      <t xml:space="preserve">11:1-30 </t>
    </r>
    <r>
      <rPr>
        <sz val="10"/>
        <color rgb="FF1F3864"/>
        <rFont val="WenQuanYi Zen Hei"/>
        <family val="2"/>
      </rPr>
      <t xml:space="preserve">그리스도인이라 불리다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</si>
  <si>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A0665</t>
  </si>
  <si>
    <t xml:space="preserve">B072</t>
  </si>
  <si>
    <t xml:space="preserve">S1-L29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</si>
  <si>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13:1-12</t>
    </r>
  </si>
  <si>
    <t xml:space="preserve">첫 번째 선교사</t>
  </si>
  <si>
    <t xml:space="preserve">기도하던 교회가 두 사람을 보냈다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</si>
  <si>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13:2</t>
    </r>
  </si>
  <si>
    <t xml:space="preserve">성령이 선교사를 보내십니다</t>
  </si>
  <si>
    <r>
      <rPr>
        <sz val="10"/>
        <color rgb="FF000000"/>
        <rFont val="WenQuanYi Zen Hei"/>
        <family val="2"/>
      </rPr>
      <t xml:space="preserve">바나바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엘루마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서기오 바울</t>
    </r>
  </si>
  <si>
    <r>
      <rPr>
        <sz val="10"/>
        <color rgb="FF000000"/>
        <rFont val="WenQuanYi Zen Hei"/>
        <family val="2"/>
      </rPr>
      <t xml:space="preserve">안디옥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구브로</t>
    </r>
  </si>
  <si>
    <t xml:space="preserve">A0666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</si>
  <si>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13:13-52</t>
    </r>
  </si>
  <si>
    <t xml:space="preserve">이방인의 빛</t>
  </si>
  <si>
    <t xml:space="preserve">죄 사함의 소식이 이방인에게까지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</si>
  <si>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13:38</t>
    </r>
  </si>
  <si>
    <t xml:space="preserve">예수님으로 말미암아 죄 사함을 전합니다</t>
  </si>
  <si>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바나바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유대인과 이방인들</t>
    </r>
  </si>
  <si>
    <t xml:space="preserve">비시디아 안디옥 회당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</si>
  <si>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#083 '</t>
    </r>
    <r>
      <rPr>
        <sz val="10"/>
        <color rgb="FF000000"/>
        <rFont val="WenQuanYi Zen Hei"/>
        <family val="2"/>
      </rPr>
      <t xml:space="preserve">첫 번째 선교사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</si>
  <si>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A0667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</si>
  <si>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14:1-28</t>
    </r>
  </si>
  <si>
    <t xml:space="preserve">신이라 불린 사도들</t>
  </si>
  <si>
    <t xml:space="preserve">사람들이 사도들에게 제사를 드리려 했다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</si>
  <si>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14:15</t>
    </r>
  </si>
  <si>
    <t xml:space="preserve">우리도 여러분과 같은 사람입니다</t>
  </si>
  <si>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바나바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루스드라 사람들</t>
    </r>
  </si>
  <si>
    <t xml:space="preserve">루스드라</t>
  </si>
  <si>
    <r>
      <rPr>
        <sz val="10"/>
        <color rgb="FFC00000"/>
        <rFont val="WenQuanYi Zen Hei"/>
        <family val="2"/>
      </rPr>
      <t xml:space="preserve">돌에 맞는 장면 직접 묘사 금지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사람 숭배 경계</t>
    </r>
  </si>
  <si>
    <t xml:space="preserve">A0668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</si>
  <si>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15:1-35</t>
    </r>
  </si>
  <si>
    <t xml:space="preserve">예루살렘 회의</t>
  </si>
  <si>
    <r>
      <rPr>
        <sz val="10"/>
        <color rgb="FF000000"/>
        <rFont val="WenQuanYi Zen Hei"/>
        <family val="2"/>
      </rPr>
      <t xml:space="preserve">이방인도 율법을 지켜야 구원받을까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</si>
  <si>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15:11</t>
    </r>
  </si>
  <si>
    <t xml:space="preserve">우리는 오직 주 예수의 은혜로 구원받습니다</t>
  </si>
  <si>
    <r>
      <rPr>
        <sz val="10"/>
        <color rgb="FF000000"/>
        <rFont val="WenQuanYi Zen Hei"/>
        <family val="2"/>
      </rPr>
      <t xml:space="preserve">베드로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야고보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바나바</t>
    </r>
  </si>
  <si>
    <t xml:space="preserve">예루살렘 교회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</si>
  <si>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행 </t>
    </r>
    <r>
      <rPr>
        <sz val="10"/>
        <color rgb="FF1F3864"/>
        <rFont val="Arial"/>
        <family val="0"/>
        <charset val="1"/>
      </rPr>
      <t xml:space="preserve">13:13-52 </t>
    </r>
    <r>
      <rPr>
        <sz val="10"/>
        <color rgb="FF1F3864"/>
        <rFont val="WenQuanYi Zen Hei"/>
        <family val="2"/>
      </rPr>
      <t xml:space="preserve">이방인의 빛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행 </t>
    </r>
    <r>
      <rPr>
        <sz val="10"/>
        <color rgb="FF1F3864"/>
        <rFont val="Arial"/>
        <family val="0"/>
        <charset val="1"/>
      </rPr>
      <t xml:space="preserve">14:1-28 </t>
    </r>
    <r>
      <rPr>
        <sz val="10"/>
        <color rgb="FF1F3864"/>
        <rFont val="WenQuanYi Zen Hei"/>
        <family val="2"/>
      </rPr>
      <t xml:space="preserve">신이라 불린 사도들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</si>
  <si>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A0669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</si>
  <si>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15:36-16:15</t>
    </r>
  </si>
  <si>
    <t xml:space="preserve">마게도냐 사람의 환상</t>
  </si>
  <si>
    <t xml:space="preserve">와서 우리를 도우라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</si>
  <si>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16:9</t>
    </r>
  </si>
  <si>
    <t xml:space="preserve">하나님은 막으시고 또 여십니다</t>
  </si>
  <si>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실라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디모데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루디아</t>
    </r>
  </si>
  <si>
    <r>
      <rPr>
        <sz val="10"/>
        <color rgb="FF000000"/>
        <rFont val="WenQuanYi Zen Hei"/>
        <family val="2"/>
      </rPr>
      <t xml:space="preserve">드로아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빌립보 강가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</si>
  <si>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#084 '</t>
    </r>
    <r>
      <rPr>
        <sz val="10"/>
        <color rgb="FF000000"/>
        <rFont val="WenQuanYi Zen Hei"/>
        <family val="2"/>
      </rPr>
      <t xml:space="preserve">예루살렘 회의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</si>
  <si>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A0670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</si>
  <si>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16:16-40</t>
    </r>
  </si>
  <si>
    <t xml:space="preserve">한밤중의 찬양</t>
  </si>
  <si>
    <t xml:space="preserve">감옥에서 찬양하자 문이 열렸다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</si>
  <si>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16:31</t>
    </r>
  </si>
  <si>
    <t xml:space="preserve">주 예수를 믿으라 그리하면 너와 네 집이 구원을 받으리라</t>
  </si>
  <si>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실라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간수</t>
    </r>
  </si>
  <si>
    <t xml:space="preserve">빌립보 감옥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</si>
  <si>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행 </t>
    </r>
    <r>
      <rPr>
        <sz val="10"/>
        <color rgb="FF1F3864"/>
        <rFont val="Arial"/>
        <family val="0"/>
        <charset val="1"/>
      </rPr>
      <t xml:space="preserve">15:36-16:15 </t>
    </r>
    <r>
      <rPr>
        <sz val="10"/>
        <color rgb="FF1F3864"/>
        <rFont val="WenQuanYi Zen Hei"/>
        <family val="2"/>
      </rPr>
      <t xml:space="preserve">마게도냐 사람의 환상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</si>
  <si>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A0671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</si>
  <si>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17:1-15</t>
    </r>
  </si>
  <si>
    <t xml:space="preserve">베뢰아 사람들</t>
  </si>
  <si>
    <t xml:space="preserve">날마다 성경을 상고했다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</si>
  <si>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17:11</t>
    </r>
  </si>
  <si>
    <t xml:space="preserve">말씀이 맞는지 성경으로 확인합니다</t>
  </si>
  <si>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실라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베뢰아 사람들</t>
    </r>
  </si>
  <si>
    <t xml:space="preserve">베뢰아 회당</t>
  </si>
  <si>
    <t xml:space="preserve">이단 분별 원칙으로 활용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</si>
  <si>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#085 '</t>
    </r>
    <r>
      <rPr>
        <sz val="10"/>
        <color rgb="FF000000"/>
        <rFont val="WenQuanYi Zen Hei"/>
        <family val="2"/>
      </rPr>
      <t xml:space="preserve">한밤중의 찬양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</si>
  <si>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A0672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</si>
  <si>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17:16-34</t>
    </r>
  </si>
  <si>
    <t xml:space="preserve">알지 못하는 신에게</t>
  </si>
  <si>
    <t xml:space="preserve">아테네 철학자들 앞에서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</si>
  <si>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17:24</t>
    </r>
  </si>
  <si>
    <t xml:space="preserve">세상을 지으신 하나님을 전합니다</t>
  </si>
  <si>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철학자들</t>
    </r>
  </si>
  <si>
    <t xml:space="preserve">아덴 아레오바고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</si>
  <si>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행 </t>
    </r>
    <r>
      <rPr>
        <sz val="10"/>
        <color rgb="FF1F3864"/>
        <rFont val="Arial"/>
        <family val="0"/>
        <charset val="1"/>
      </rPr>
      <t xml:space="preserve">17:1-15 </t>
    </r>
    <r>
      <rPr>
        <sz val="10"/>
        <color rgb="FF1F3864"/>
        <rFont val="WenQuanYi Zen Hei"/>
        <family val="2"/>
      </rPr>
      <t xml:space="preserve">베뢰아 사람들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</si>
  <si>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A0673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</si>
  <si>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18:1-28</t>
    </r>
  </si>
  <si>
    <t xml:space="preserve">천막 만드는 사도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</si>
  <si>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18:9</t>
    </r>
  </si>
  <si>
    <t xml:space="preserve">두려워하지 말며 침묵하지 말고 말하라</t>
  </si>
  <si>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브리스길라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아굴라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아볼로</t>
    </r>
  </si>
  <si>
    <t xml:space="preserve">고린도 천막 공방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</si>
  <si>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#086 '</t>
    </r>
    <r>
      <rPr>
        <sz val="10"/>
        <color rgb="FF000000"/>
        <rFont val="WenQuanYi Zen Hei"/>
        <family val="2"/>
      </rPr>
      <t xml:space="preserve">알지 못하는 신에게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</si>
  <si>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A0674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</si>
  <si>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19:1-41</t>
    </r>
  </si>
  <si>
    <t xml:space="preserve">에베소의 소동</t>
  </si>
  <si>
    <t xml:space="preserve">마술책을 불태운 사람들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</si>
  <si>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19:20</t>
    </r>
  </si>
  <si>
    <t xml:space="preserve">주의 말씀이 힘이 있어 흥왕하여 세력을 얻으니라</t>
  </si>
  <si>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데메드리오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에베소 사람들</t>
    </r>
  </si>
  <si>
    <t xml:space="preserve">에베소 연극장</t>
  </si>
  <si>
    <t xml:space="preserve">A0675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</si>
  <si>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20:1-38</t>
    </r>
  </si>
  <si>
    <t xml:space="preserve">달려갈 길을 마치려 함에는</t>
  </si>
  <si>
    <r>
      <rPr>
        <sz val="10"/>
        <color rgb="FF000000"/>
        <rFont val="WenQuanYi Zen Hei"/>
        <family val="2"/>
      </rPr>
      <t xml:space="preserve">창문에서 떨어진 청년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눈물의 작별</t>
    </r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</si>
  <si>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20:24</t>
    </r>
  </si>
  <si>
    <t xml:space="preserve">나의 달려갈 길과 주 예수께 받은 사명을 마치려 함에는</t>
  </si>
  <si>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유두고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에베소 장로들</t>
    </r>
  </si>
  <si>
    <r>
      <rPr>
        <sz val="10"/>
        <color rgb="FF000000"/>
        <rFont val="WenQuanYi Zen Hei"/>
        <family val="2"/>
      </rPr>
      <t xml:space="preserve">드로아 다락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밀레도 해변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</si>
  <si>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행 </t>
    </r>
    <r>
      <rPr>
        <sz val="10"/>
        <color rgb="FF1F3864"/>
        <rFont val="Arial"/>
        <family val="0"/>
        <charset val="1"/>
      </rPr>
      <t xml:space="preserve">18:1-28 </t>
    </r>
    <r>
      <rPr>
        <sz val="10"/>
        <color rgb="FF1F3864"/>
        <rFont val="WenQuanYi Zen Hei"/>
        <family val="2"/>
      </rPr>
      <t xml:space="preserve">두려워하지 말라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행 </t>
    </r>
    <r>
      <rPr>
        <sz val="10"/>
        <color rgb="FF1F3864"/>
        <rFont val="Arial"/>
        <family val="0"/>
        <charset val="1"/>
      </rPr>
      <t xml:space="preserve">19:1-41 </t>
    </r>
    <r>
      <rPr>
        <sz val="10"/>
        <color rgb="FF1F3864"/>
        <rFont val="WenQuanYi Zen Hei"/>
        <family val="2"/>
      </rPr>
      <t xml:space="preserve">에베소의 소동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</si>
  <si>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A0676</t>
  </si>
  <si>
    <t xml:space="preserve">B073</t>
  </si>
  <si>
    <t xml:space="preserve">S2-L43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</si>
  <si>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21:1-40</t>
    </r>
  </si>
  <si>
    <t xml:space="preserve">예루살렘으로</t>
  </si>
  <si>
    <t xml:space="preserve">결박당할 것을 알면서도 간 길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</si>
  <si>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21:13</t>
    </r>
  </si>
  <si>
    <t xml:space="preserve">주 예수의 이름을 위하여 죽을 것도 각오하였노라</t>
  </si>
  <si>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아가보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누가</t>
    </r>
  </si>
  <si>
    <r>
      <rPr>
        <sz val="10"/>
        <color rgb="FF000000"/>
        <rFont val="WenQuanYi Zen Hei"/>
        <family val="2"/>
      </rPr>
      <t xml:space="preserve">가이사랴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예루살렘 성전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</si>
  <si>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#087 '</t>
    </r>
    <r>
      <rPr>
        <sz val="10"/>
        <color rgb="FF000000"/>
        <rFont val="WenQuanYi Zen Hei"/>
        <family val="2"/>
      </rPr>
      <t xml:space="preserve">달려갈 길을 마치려 함에는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</si>
  <si>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A0677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</si>
  <si>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22:1-30</t>
    </r>
  </si>
  <si>
    <t xml:space="preserve">바울의 간증</t>
  </si>
  <si>
    <t xml:space="preserve">군중 앞에서 들려준 자기 이야기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</si>
  <si>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22:15</t>
    </r>
  </si>
  <si>
    <t xml:space="preserve">보고 들은 것을 증언합니다</t>
  </si>
  <si>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군중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천부장</t>
    </r>
  </si>
  <si>
    <t xml:space="preserve">성전 층대</t>
  </si>
  <si>
    <t xml:space="preserve">A0678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</si>
  <si>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23:1-35</t>
    </r>
  </si>
  <si>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명의 암살 음모</t>
    </r>
  </si>
  <si>
    <t xml:space="preserve">조카가 엿들은 음모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</si>
  <si>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23:11</t>
    </r>
  </si>
  <si>
    <t xml:space="preserve">담대하라 로마에서도 증언하여야 하리라</t>
  </si>
  <si>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조카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천부장</t>
    </r>
  </si>
  <si>
    <r>
      <rPr>
        <sz val="10"/>
        <color rgb="FF000000"/>
        <rFont val="WenQuanYi Zen Hei"/>
        <family val="2"/>
      </rPr>
      <t xml:space="preserve">예루살렘 영내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밤의 호송</t>
    </r>
  </si>
  <si>
    <t xml:space="preserve">A0679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</si>
  <si>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24:1-27</t>
    </r>
  </si>
  <si>
    <t xml:space="preserve">두려워 떤 총독</t>
  </si>
  <si>
    <t xml:space="preserve">의와 절제와 심판을 전했다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</si>
  <si>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24:25</t>
    </r>
  </si>
  <si>
    <t xml:space="preserve">복음은 권력자 앞에서도 담대합니다</t>
  </si>
  <si>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벨릭스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드루실라</t>
    </r>
  </si>
  <si>
    <t xml:space="preserve">가이사랴 총독 관저</t>
  </si>
  <si>
    <t xml:space="preserve">A0680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</si>
  <si>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25:1-26:32</t>
    </r>
  </si>
  <si>
    <t xml:space="preserve">거의 그리스도인이 되게</t>
  </si>
  <si>
    <t xml:space="preserve">왕 앞에서 한 마지막 변론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</si>
  <si>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26:28</t>
    </r>
  </si>
  <si>
    <t xml:space="preserve">모든 사람이 나와 같이 되기를 원하노라</t>
  </si>
  <si>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베스도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아그립바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버니게</t>
    </r>
  </si>
  <si>
    <t xml:space="preserve">가이사랴 접견실</t>
  </si>
  <si>
    <t xml:space="preserve">A0681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</si>
  <si>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27:1-26</t>
    </r>
  </si>
  <si>
    <t xml:space="preserve">폭풍 속의 약속</t>
  </si>
  <si>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WenQuanYi Zen Hei"/>
        <family val="2"/>
      </rPr>
      <t xml:space="preserve">일 동안 해도 별도 보이지 않았다</t>
    </r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</si>
  <si>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27:25</t>
    </r>
  </si>
  <si>
    <t xml:space="preserve">나는 하나님을 믿노라</t>
  </si>
  <si>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백부장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선원들</t>
    </r>
  </si>
  <si>
    <t xml:space="preserve">지중해 폭풍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</si>
  <si>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5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행 </t>
    </r>
    <r>
      <rPr>
        <sz val="10"/>
        <color rgb="FF1F3864"/>
        <rFont val="Arial"/>
        <family val="0"/>
        <charset val="1"/>
      </rPr>
      <t xml:space="preserve">21:1-40 </t>
    </r>
    <r>
      <rPr>
        <sz val="10"/>
        <color rgb="FF1F3864"/>
        <rFont val="WenQuanYi Zen Hei"/>
        <family val="2"/>
      </rPr>
      <t xml:space="preserve">예루살렘으로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행 </t>
    </r>
    <r>
      <rPr>
        <sz val="10"/>
        <color rgb="FF1F3864"/>
        <rFont val="Arial"/>
        <family val="0"/>
        <charset val="1"/>
      </rPr>
      <t xml:space="preserve">22:1-30 </t>
    </r>
    <r>
      <rPr>
        <sz val="10"/>
        <color rgb="FF1F3864"/>
        <rFont val="WenQuanYi Zen Hei"/>
        <family val="2"/>
      </rPr>
      <t xml:space="preserve">바울의 간증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행 </t>
    </r>
    <r>
      <rPr>
        <sz val="10"/>
        <color rgb="FF1F3864"/>
        <rFont val="Arial"/>
        <family val="0"/>
        <charset val="1"/>
      </rPr>
      <t xml:space="preserve">23:1-35 40</t>
    </r>
    <r>
      <rPr>
        <sz val="10"/>
        <color rgb="FF1F3864"/>
        <rFont val="WenQuanYi Zen Hei"/>
        <family val="2"/>
      </rPr>
      <t xml:space="preserve">명의 암살 음모 외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</si>
  <si>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A0682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</si>
  <si>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27:27-44</t>
    </r>
  </si>
  <si>
    <r>
      <rPr>
        <sz val="10"/>
        <color rgb="FF000000"/>
        <rFont val="Arial"/>
        <family val="0"/>
        <charset val="1"/>
      </rPr>
      <t xml:space="preserve">276</t>
    </r>
    <r>
      <rPr>
        <sz val="10"/>
        <color rgb="FF000000"/>
        <rFont val="WenQuanYi Zen Hei"/>
        <family val="2"/>
      </rPr>
      <t xml:space="preserve">명 모두 살다</t>
    </r>
  </si>
  <si>
    <t xml:space="preserve">배는 부서졌지만 한 사람도 잃지 않았다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</si>
  <si>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27:44</t>
    </r>
  </si>
  <si>
    <t xml:space="preserve">하나님의 약속은 그대로 이루어집니다</t>
  </si>
  <si>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선원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죄수들</t>
    </r>
  </si>
  <si>
    <t xml:space="preserve">멜리데 해안</t>
  </si>
  <si>
    <t xml:space="preserve">A0683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</si>
  <si>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28:1-16</t>
    </r>
  </si>
  <si>
    <t xml:space="preserve">독사도 해치지 못하다</t>
  </si>
  <si>
    <t xml:space="preserve">불 속에서 나온 독사가 손을 물었다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</si>
  <si>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28:5</t>
    </r>
  </si>
  <si>
    <t xml:space="preserve">하나님은 사명자를 지키십니다</t>
  </si>
  <si>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보블리오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섬 사람들</t>
    </r>
  </si>
  <si>
    <t xml:space="preserve">멜리데 섬</t>
  </si>
  <si>
    <t xml:space="preserve">뱀 잡기 등 따라 하기 금지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</si>
  <si>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#089 '276</t>
    </r>
    <r>
      <rPr>
        <sz val="10"/>
        <color rgb="FF000000"/>
        <rFont val="WenQuanYi Zen Hei"/>
        <family val="2"/>
      </rPr>
      <t xml:space="preserve">명 모두 살다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</si>
  <si>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A0684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</si>
  <si>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28:17-31</t>
    </r>
  </si>
  <si>
    <t xml:space="preserve">거침없이</t>
  </si>
  <si>
    <r>
      <rPr>
        <sz val="10"/>
        <color rgb="FF000000"/>
        <rFont val="WenQuanYi Zen Hei"/>
        <family val="2"/>
      </rPr>
      <t xml:space="preserve">로마 셋집에서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년 동안</t>
    </r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</si>
  <si>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28:31</t>
    </r>
  </si>
  <si>
    <t xml:space="preserve">하나님 나라를 전파하며 담대하게 거침없이 가르치더라</t>
  </si>
  <si>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로마의 유대인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방문자들</t>
    </r>
  </si>
  <si>
    <t xml:space="preserve">로마 셋집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</si>
  <si>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행 </t>
    </r>
    <r>
      <rPr>
        <sz val="10"/>
        <color rgb="FF1F3864"/>
        <rFont val="Arial"/>
        <family val="0"/>
        <charset val="1"/>
      </rPr>
      <t xml:space="preserve">28:1-16 </t>
    </r>
    <r>
      <rPr>
        <sz val="10"/>
        <color rgb="FF1F3864"/>
        <rFont val="WenQuanYi Zen Hei"/>
        <family val="2"/>
      </rPr>
      <t xml:space="preserve">독사도 해치지 못하다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</si>
  <si>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A0685</t>
  </si>
  <si>
    <t xml:space="preserve">B074</t>
  </si>
  <si>
    <t xml:space="preserve">로마서</t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</si>
  <si>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1:1-17</t>
    </r>
  </si>
  <si>
    <t xml:space="preserve">복음은 하나님의 능력</t>
  </si>
  <si>
    <t xml:space="preserve">바울이 부끄러워하지 않은 한 가지</t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</si>
  <si>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1:16</t>
    </r>
  </si>
  <si>
    <t xml:space="preserve">복음은 모든 믿는 자에게 구원을 주시는 하나님의 능력입니다</t>
  </si>
  <si>
    <t xml:space="preserve">바울</t>
  </si>
  <si>
    <t xml:space="preserve">로마로 보내는 편지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</si>
  <si>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#090 '</t>
    </r>
    <r>
      <rPr>
        <sz val="10"/>
        <color rgb="FF000000"/>
        <rFont val="WenQuanYi Zen Hei"/>
        <family val="2"/>
      </rPr>
      <t xml:space="preserve">거침없이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</si>
  <si>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A0686</t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</si>
  <si>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1:18-3:20</t>
    </r>
  </si>
  <si>
    <t xml:space="preserve">의인은 없나니 하나도 없다</t>
  </si>
  <si>
    <r>
      <rPr>
        <sz val="10"/>
        <color rgb="FF000000"/>
        <rFont val="WenQuanYi Zen Hei"/>
        <family val="2"/>
      </rPr>
      <t xml:space="preserve">착한 사람은 천국에 갈까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</si>
  <si>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3:10</t>
    </r>
  </si>
  <si>
    <t xml:space="preserve">모든 사람은 죄 아래 있습니다</t>
  </si>
  <si>
    <t xml:space="preserve">여러 사람들의 모습</t>
  </si>
  <si>
    <t xml:space="preserve">A0687</t>
  </si>
  <si>
    <t xml:space="preserve">S1-L30</t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</si>
  <si>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3:21-31</t>
    </r>
  </si>
  <si>
    <t xml:space="preserve">값없이 의롭다 하심</t>
  </si>
  <si>
    <t xml:space="preserve">구원은 선물입니다</t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</si>
  <si>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3:24</t>
    </r>
  </si>
  <si>
    <t xml:space="preserve">그리스도 예수 안에 있는 속량으로 말미암아 값없이 의롭다 하심을 얻은 자 되었느니라</t>
  </si>
  <si>
    <t xml:space="preserve">이신칭의 핵심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</si>
  <si>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롬 </t>
    </r>
    <r>
      <rPr>
        <sz val="10"/>
        <color rgb="FF1F3864"/>
        <rFont val="Arial"/>
        <family val="0"/>
        <charset val="1"/>
      </rPr>
      <t xml:space="preserve">1:1-17 </t>
    </r>
    <r>
      <rPr>
        <sz val="10"/>
        <color rgb="FF1F3864"/>
        <rFont val="WenQuanYi Zen Hei"/>
        <family val="2"/>
      </rPr>
      <t xml:space="preserve">복음은 하나님의 능력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롬 </t>
    </r>
    <r>
      <rPr>
        <sz val="10"/>
        <color rgb="FF1F3864"/>
        <rFont val="Arial"/>
        <family val="0"/>
        <charset val="1"/>
      </rPr>
      <t xml:space="preserve">1:18-3:20 </t>
    </r>
    <r>
      <rPr>
        <sz val="10"/>
        <color rgb="FF1F3864"/>
        <rFont val="WenQuanYi Zen Hei"/>
        <family val="2"/>
      </rPr>
      <t xml:space="preserve">의인은 없나니 하나도 없다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</si>
  <si>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A0688</t>
  </si>
  <si>
    <t xml:space="preserve">S2-L44</t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</si>
  <si>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4:1-25</t>
    </r>
  </si>
  <si>
    <t xml:space="preserve">아브라함의 믿음</t>
  </si>
  <si>
    <r>
      <rPr>
        <sz val="10"/>
        <color rgb="FF000000"/>
        <rFont val="WenQuanYi Zen Hei"/>
        <family val="2"/>
      </rPr>
      <t xml:space="preserve">아브라함은 무엇으로 의롭게 되었을까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</si>
  <si>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4:3</t>
    </r>
  </si>
  <si>
    <t xml:space="preserve">아브라함이 하나님을 믿으매 그것이 그에게 의로 여겨졌느니라</t>
  </si>
  <si>
    <r>
      <rPr>
        <sz val="10"/>
        <color rgb="FF000000"/>
        <rFont val="WenQuanYi Zen Hei"/>
        <family val="2"/>
      </rPr>
      <t xml:space="preserve">아브라함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바울</t>
    </r>
  </si>
  <si>
    <t xml:space="preserve">별이 빛나는 밤하늘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</si>
  <si>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#091 '</t>
    </r>
    <r>
      <rPr>
        <sz val="10"/>
        <color rgb="FF000000"/>
        <rFont val="WenQuanYi Zen Hei"/>
        <family val="2"/>
      </rPr>
      <t xml:space="preserve">값없이 의롭다 하심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</si>
  <si>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A0689</t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</si>
  <si>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5:1-21</t>
    </r>
  </si>
  <si>
    <t xml:space="preserve">우리가 아직 죄인 되었을 때</t>
  </si>
  <si>
    <t xml:space="preserve">하나님이 사랑을 확증하신 방법</t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</si>
  <si>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5:8</t>
    </r>
  </si>
  <si>
    <t xml:space="preserve">우리가 아직 죄인 되었을 때에 그리스도께서 우리를 위하여 죽으셨습니다</t>
  </si>
  <si>
    <r>
      <rPr>
        <sz val="10"/>
        <color rgb="FF000000"/>
        <rFont val="WenQuanYi Zen Hei"/>
        <family val="2"/>
      </rPr>
      <t xml:space="preserve">아담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그리스도</t>
    </r>
  </si>
  <si>
    <t xml:space="preserve">첫 사람과 둘째 사람의 대비</t>
  </si>
  <si>
    <t xml:space="preserve">원죄 교리</t>
  </si>
  <si>
    <t xml:space="preserve">A0690</t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</si>
  <si>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6:1-23</t>
    </r>
  </si>
  <si>
    <t xml:space="preserve">죄의 삯과 하나님의 선물</t>
  </si>
  <si>
    <r>
      <rPr>
        <sz val="10"/>
        <color rgb="FF000000"/>
        <rFont val="WenQuanYi Zen Hei"/>
        <family val="2"/>
      </rPr>
      <t xml:space="preserve">은혜를 더하려고 죄를 지어도 될까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</si>
  <si>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6:23</t>
    </r>
  </si>
  <si>
    <t xml:space="preserve">죄의 삯은 사망이요 하나님의 은사는 영생입니다</t>
  </si>
  <si>
    <t xml:space="preserve">세례의 물</t>
  </si>
  <si>
    <r>
      <rPr>
        <sz val="10"/>
        <color rgb="FFC00000"/>
        <rFont val="WenQuanYi Zen Hei"/>
        <family val="2"/>
      </rPr>
      <t xml:space="preserve">은혜를 핑계 삼는 방종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구원파식 회개 불필요론</t>
    </r>
    <r>
      <rPr>
        <sz val="10"/>
        <color rgb="FFC00000"/>
        <rFont val="Arial"/>
        <family val="0"/>
        <charset val="1"/>
      </rPr>
      <t xml:space="preserve">) </t>
    </r>
    <r>
      <rPr>
        <sz val="10"/>
        <color rgb="FFC00000"/>
        <rFont val="WenQuanYi Zen Hei"/>
        <family val="2"/>
      </rPr>
      <t xml:space="preserve">배제</t>
    </r>
  </si>
  <si>
    <t xml:space="preserve">A0691</t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</si>
  <si>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7:1-25</t>
    </r>
  </si>
  <si>
    <t xml:space="preserve">오호라 나는 곤고한 사람이로다</t>
  </si>
  <si>
    <t xml:space="preserve">바울도 고민했던 싸움</t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</si>
  <si>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7:24</t>
    </r>
  </si>
  <si>
    <t xml:space="preserve">우리 주 예수 그리스도로 말미암아 하나님께 감사하리로다</t>
  </si>
  <si>
    <t xml:space="preserve">두 갈래 마음</t>
  </si>
  <si>
    <t xml:space="preserve">A0692</t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</si>
  <si>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8:1-17</t>
    </r>
  </si>
  <si>
    <t xml:space="preserve">정죄함이 없나니</t>
  </si>
  <si>
    <t xml:space="preserve">그리스도 안에 있는 사람의 특권</t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</si>
  <si>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8:1</t>
    </r>
  </si>
  <si>
    <t xml:space="preserve">그리스도 예수 안에 있는 자에게는 결코 정죄함이 없나니</t>
  </si>
  <si>
    <t xml:space="preserve">자유로운 사람</t>
  </si>
  <si>
    <t xml:space="preserve">A0693</t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</si>
  <si>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8:18-39</t>
    </r>
  </si>
  <si>
    <t xml:space="preserve">무엇도 끊을 수 없다</t>
  </si>
  <si>
    <r>
      <rPr>
        <sz val="10"/>
        <color rgb="FF000000"/>
        <rFont val="WenQuanYi Zen Hei"/>
        <family val="2"/>
      </rPr>
      <t xml:space="preserve">하나님의 사랑에서 나를 끊을 것은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</si>
  <si>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8:28</t>
    </r>
  </si>
  <si>
    <t xml:space="preserve">하나님을 사랑하는 자에게는 모든 것이 합력하여 선을 이룹니다</t>
  </si>
  <si>
    <t xml:space="preserve">환난과 승리</t>
  </si>
  <si>
    <t xml:space="preserve">성도의 견인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</si>
  <si>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5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롬 </t>
    </r>
    <r>
      <rPr>
        <sz val="10"/>
        <color rgb="FF1F3864"/>
        <rFont val="Arial"/>
        <family val="0"/>
        <charset val="1"/>
      </rPr>
      <t xml:space="preserve">4:1-25 </t>
    </r>
    <r>
      <rPr>
        <sz val="10"/>
        <color rgb="FF1F3864"/>
        <rFont val="WenQuanYi Zen Hei"/>
        <family val="2"/>
      </rPr>
      <t xml:space="preserve">아브라함의 믿음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롬 </t>
    </r>
    <r>
      <rPr>
        <sz val="10"/>
        <color rgb="FF1F3864"/>
        <rFont val="Arial"/>
        <family val="0"/>
        <charset val="1"/>
      </rPr>
      <t xml:space="preserve">5:1-21 </t>
    </r>
    <r>
      <rPr>
        <sz val="10"/>
        <color rgb="FF1F3864"/>
        <rFont val="WenQuanYi Zen Hei"/>
        <family val="2"/>
      </rPr>
      <t xml:space="preserve">우리가 아직 죄인 되었을 때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롬 </t>
    </r>
    <r>
      <rPr>
        <sz val="10"/>
        <color rgb="FF1F3864"/>
        <rFont val="Arial"/>
        <family val="0"/>
        <charset val="1"/>
      </rPr>
      <t xml:space="preserve">6:1-23 </t>
    </r>
    <r>
      <rPr>
        <sz val="10"/>
        <color rgb="FF1F3864"/>
        <rFont val="WenQuanYi Zen Hei"/>
        <family val="2"/>
      </rPr>
      <t xml:space="preserve">죄의 삯과 하나님의 선물 외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</si>
  <si>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A0694</t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</si>
  <si>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9:1-11:36</t>
    </r>
  </si>
  <si>
    <t xml:space="preserve">하나님의 주권적 선택</t>
  </si>
  <si>
    <r>
      <rPr>
        <sz val="10"/>
        <color rgb="FF000000"/>
        <rFont val="WenQuanYi Zen Hei"/>
        <family val="2"/>
      </rPr>
      <t xml:space="preserve">하나님은 왜 야곱을 택하셨을까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</si>
  <si>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11:33</t>
    </r>
  </si>
  <si>
    <t xml:space="preserve">깊도다 하나님의 지혜와 지식의 부요함이여</t>
  </si>
  <si>
    <r>
      <rPr>
        <sz val="10"/>
        <color rgb="FF000000"/>
        <rFont val="WenQuanYi Zen Hei"/>
        <family val="2"/>
      </rPr>
      <t xml:space="preserve">토기장이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감람나무</t>
    </r>
  </si>
  <si>
    <r>
      <rPr>
        <sz val="10"/>
        <color rgb="FFC00000"/>
        <rFont val="WenQuanYi Zen Hei"/>
        <family val="2"/>
      </rPr>
      <t xml:space="preserve">합동 예정론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운명론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숙명론으로 오해 않게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</si>
  <si>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#092 '</t>
    </r>
    <r>
      <rPr>
        <sz val="10"/>
        <color rgb="FF000000"/>
        <rFont val="WenQuanYi Zen Hei"/>
        <family val="2"/>
      </rPr>
      <t xml:space="preserve">무엇도 끊을 수 없다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</si>
  <si>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A0695</t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</si>
  <si>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12:1-21</t>
    </r>
  </si>
  <si>
    <t xml:space="preserve">산 제물</t>
  </si>
  <si>
    <t xml:space="preserve">매일의 삶이 예배가 되려면</t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</si>
  <si>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12:1</t>
    </r>
  </si>
  <si>
    <t xml:space="preserve">너희 몸을 하나님이 기뻐하시는 거룩한 산 제물로 드리라</t>
  </si>
  <si>
    <t xml:space="preserve">일상 속 예배</t>
  </si>
  <si>
    <t xml:space="preserve">A0696</t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</si>
  <si>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13:1-14</t>
    </r>
  </si>
  <si>
    <t xml:space="preserve">사랑의 빚</t>
  </si>
  <si>
    <t xml:space="preserve">서로 사랑하는 빚 외에는</t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</si>
  <si>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13:8</t>
    </r>
  </si>
  <si>
    <t xml:space="preserve">사랑은 율법의 완성입니다</t>
  </si>
  <si>
    <t xml:space="preserve">도시와 이웃</t>
  </si>
  <si>
    <t xml:space="preserve">A0697</t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</si>
  <si>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14:1-16:27</t>
    </r>
  </si>
  <si>
    <t xml:space="preserve">서로 받으라</t>
  </si>
  <si>
    <r>
      <rPr>
        <sz val="10"/>
        <color rgb="FF000000"/>
        <rFont val="WenQuanYi Zen Hei"/>
        <family val="2"/>
      </rPr>
      <t xml:space="preserve">생각이 다른 형제를 어떻게 대할까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</si>
  <si>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15:7</t>
    </r>
  </si>
  <si>
    <t xml:space="preserve">그리스도께서 우리를 받아 주심과 같이 너희도 서로 받으라</t>
  </si>
  <si>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뵈뵈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로마 성도들</t>
    </r>
  </si>
  <si>
    <t xml:space="preserve">로마 가정 교회</t>
  </si>
  <si>
    <t xml:space="preserve">A0698</t>
  </si>
  <si>
    <t xml:space="preserve">B075</t>
  </si>
  <si>
    <t xml:space="preserve">S2-L45</t>
  </si>
  <si>
    <t xml:space="preserve">고린도전서</t>
  </si>
  <si>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1:1-2:16</t>
    </r>
  </si>
  <si>
    <t xml:space="preserve">십자가의 도</t>
  </si>
  <si>
    <t xml:space="preserve">세상은 미련하다 했지만</t>
  </si>
  <si>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1:18</t>
    </r>
  </si>
  <si>
    <t xml:space="preserve">십자가의 도가 구원받는 우리에게는 하나님의 능력입니다</t>
  </si>
  <si>
    <t xml:space="preserve">고린도 시장</t>
  </si>
  <si>
    <t xml:space="preserve">A0699</t>
  </si>
  <si>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3:1-4:21</t>
    </r>
  </si>
  <si>
    <t xml:space="preserve">자라게 하시는 하나님</t>
  </si>
  <si>
    <t xml:space="preserve">나는 심었고 아볼로는 물을 주었으되</t>
  </si>
  <si>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3:6</t>
    </r>
  </si>
  <si>
    <t xml:space="preserve">오직 하나님은 자라게 하셨나니</t>
  </si>
  <si>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아볼로</t>
    </r>
  </si>
  <si>
    <r>
      <rPr>
        <sz val="10"/>
        <color rgb="FF000000"/>
        <rFont val="WenQuanYi Zen Hei"/>
        <family val="2"/>
      </rPr>
      <t xml:space="preserve">밭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새싹</t>
    </r>
  </si>
  <si>
    <t xml:space="preserve">특정 지도자 숭배 경계</t>
  </si>
  <si>
    <t xml:space="preserve">A0700</t>
  </si>
  <si>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5:1-6:20</t>
    </r>
  </si>
  <si>
    <t xml:space="preserve">너희 몸은 성령의 전</t>
  </si>
  <si>
    <r>
      <rPr>
        <sz val="10"/>
        <color rgb="FF000000"/>
        <rFont val="WenQuanYi Zen Hei"/>
        <family val="2"/>
      </rPr>
      <t xml:space="preserve">내 몸은 내 것일까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</si>
  <si>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6:19</t>
    </r>
  </si>
  <si>
    <t xml:space="preserve">너희 몸은 너희가 하나님께로부터 받은 바 너희 가운데 계신 성령의 전입니다</t>
  </si>
  <si>
    <t xml:space="preserve">성전과 몸의 비유</t>
  </si>
  <si>
    <t xml:space="preserve">성적 묘사 금지</t>
  </si>
  <si>
    <t xml:space="preserve">A0701</t>
  </si>
  <si>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7:1-40</t>
    </r>
  </si>
  <si>
    <t xml:space="preserve">결혼과 독신</t>
  </si>
  <si>
    <r>
      <rPr>
        <sz val="10"/>
        <color rgb="FF000000"/>
        <rFont val="WenQuanYi Zen Hei"/>
        <family val="2"/>
      </rPr>
      <t xml:space="preserve">결혼해야 할까 말아야 할까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</si>
  <si>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7:17</t>
    </r>
  </si>
  <si>
    <t xml:space="preserve">각 사람은 하나님이 부르신 그대로 행하라</t>
  </si>
  <si>
    <t xml:space="preserve">가정</t>
  </si>
  <si>
    <t xml:space="preserve">A0702</t>
  </si>
  <si>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8:1-11:1</t>
    </r>
  </si>
  <si>
    <t xml:space="preserve">하나님의 영광을 위하여</t>
  </si>
  <si>
    <t xml:space="preserve">먹든지 마시든지</t>
  </si>
  <si>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10:31</t>
    </r>
  </si>
  <si>
    <t xml:space="preserve">무엇을 하든지 다 하나님의 영광을 위하여 하라</t>
  </si>
  <si>
    <r>
      <rPr>
        <sz val="10"/>
        <color rgb="FF000000"/>
        <rFont val="WenQuanYi Zen Hei"/>
        <family val="2"/>
      </rPr>
      <t xml:space="preserve">시장의 고기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식탁</t>
    </r>
  </si>
  <si>
    <t xml:space="preserve">A0703</t>
  </si>
  <si>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11:2-34</t>
    </r>
  </si>
  <si>
    <t xml:space="preserve">주의 만찬</t>
  </si>
  <si>
    <t xml:space="preserve">떡과 잔을 받을 때마다 기억할 것</t>
  </si>
  <si>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11:26</t>
    </r>
  </si>
  <si>
    <t xml:space="preserve">주의 죽으심을 그가 오실 때까지 전합니다</t>
  </si>
  <si>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고린도 성도</t>
    </r>
  </si>
  <si>
    <t xml:space="preserve">성찬 식탁</t>
  </si>
  <si>
    <t xml:space="preserve">개혁주의 성찬론</t>
  </si>
  <si>
    <t xml:space="preserve">A0704</t>
  </si>
  <si>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12:1-31</t>
    </r>
  </si>
  <si>
    <t xml:space="preserve">한 몸과 많은 지체</t>
  </si>
  <si>
    <r>
      <rPr>
        <sz val="10"/>
        <color rgb="FF000000"/>
        <rFont val="WenQuanYi Zen Hei"/>
        <family val="2"/>
      </rPr>
      <t xml:space="preserve">눈이 손에게 너는 쓸데없다고 할 수 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</si>
  <si>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12:27</t>
    </r>
  </si>
  <si>
    <t xml:space="preserve">너희는 그리스도의 몸이요 지체의 각 부분이라</t>
  </si>
  <si>
    <t xml:space="preserve">사람 몸의 비유</t>
  </si>
  <si>
    <r>
      <rPr>
        <sz val="10"/>
        <color rgb="FFC00000"/>
        <rFont val="WenQuanYi Zen Hei"/>
        <family val="2"/>
      </rPr>
      <t xml:space="preserve">은사 서열화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신비주의 경계</t>
    </r>
  </si>
  <si>
    <t xml:space="preserve">A0705</t>
  </si>
  <si>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13:1-13</t>
    </r>
  </si>
  <si>
    <t xml:space="preserve">사랑장</t>
  </si>
  <si>
    <t xml:space="preserve">사랑이 없으면 아무것도 아니다</t>
  </si>
  <si>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13:13</t>
    </r>
  </si>
  <si>
    <t xml:space="preserve">그중의 제일은 사랑이라</t>
  </si>
  <si>
    <t xml:space="preserve">여러 사랑의 장면</t>
  </si>
  <si>
    <t xml:space="preserve">결혼식 영상 활용 가능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</si>
  <si>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롬 </t>
    </r>
    <r>
      <rPr>
        <sz val="10"/>
        <color rgb="FF1F3864"/>
        <rFont val="Arial"/>
        <family val="0"/>
        <charset val="1"/>
      </rPr>
      <t xml:space="preserve">9:1-11:36 </t>
    </r>
    <r>
      <rPr>
        <sz val="10"/>
        <color rgb="FF1F3864"/>
        <rFont val="WenQuanYi Zen Hei"/>
        <family val="2"/>
      </rPr>
      <t xml:space="preserve">하나님의 주권적 선택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롬 </t>
    </r>
    <r>
      <rPr>
        <sz val="10"/>
        <color rgb="FF1F3864"/>
        <rFont val="Arial"/>
        <family val="0"/>
        <charset val="1"/>
      </rPr>
      <t xml:space="preserve">12:1-21 </t>
    </r>
    <r>
      <rPr>
        <sz val="10"/>
        <color rgb="FF1F3864"/>
        <rFont val="WenQuanYi Zen Hei"/>
        <family val="2"/>
      </rPr>
      <t xml:space="preserve">산 제물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롬 </t>
    </r>
    <r>
      <rPr>
        <sz val="10"/>
        <color rgb="FF1F3864"/>
        <rFont val="Arial"/>
        <family val="0"/>
        <charset val="1"/>
      </rPr>
      <t xml:space="preserve">13:1-14 </t>
    </r>
    <r>
      <rPr>
        <sz val="10"/>
        <color rgb="FF1F3864"/>
        <rFont val="WenQuanYi Zen Hei"/>
        <family val="2"/>
      </rPr>
      <t xml:space="preserve">사랑의 빚 외 </t>
    </r>
    <r>
      <rPr>
        <sz val="10"/>
        <color rgb="FF1F3864"/>
        <rFont val="Arial"/>
        <family val="0"/>
        <charset val="1"/>
      </rPr>
      <t xml:space="preserve">8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</si>
  <si>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A0706</t>
  </si>
  <si>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14:1-40</t>
    </r>
  </si>
  <si>
    <t xml:space="preserve">질서 있는 예배</t>
  </si>
  <si>
    <r>
      <rPr>
        <sz val="10"/>
        <color rgb="FF000000"/>
        <rFont val="WenQuanYi Zen Hei"/>
        <family val="2"/>
      </rPr>
      <t xml:space="preserve">예배는 왜 질서가 있어야 할까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</si>
  <si>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14:40</t>
    </r>
  </si>
  <si>
    <t xml:space="preserve">모든 것을 품위 있게 하고 질서대로 하라</t>
  </si>
  <si>
    <t xml:space="preserve">예배 모임</t>
  </si>
  <si>
    <r>
      <rPr>
        <sz val="10"/>
        <color rgb="FFC00000"/>
        <rFont val="WenQuanYi Zen Hei"/>
        <family val="2"/>
      </rPr>
      <t xml:space="preserve">방언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예언 남용 경계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</si>
  <si>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#093 '</t>
    </r>
    <r>
      <rPr>
        <sz val="10"/>
        <color rgb="FF000000"/>
        <rFont val="WenQuanYi Zen Hei"/>
        <family val="2"/>
      </rPr>
      <t xml:space="preserve">사랑장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</si>
  <si>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A0707</t>
  </si>
  <si>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15:1-16:24</t>
    </r>
  </si>
  <si>
    <t xml:space="preserve">부활장</t>
  </si>
  <si>
    <r>
      <rPr>
        <sz val="10"/>
        <color rgb="FF000000"/>
        <rFont val="WenQuanYi Zen Hei"/>
        <family val="2"/>
      </rPr>
      <t xml:space="preserve">예수님이 다시 살지 않으셨다면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</si>
  <si>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15:20</t>
    </r>
  </si>
  <si>
    <t xml:space="preserve">그리스도께서 죽은 자 가운데서 다시 살아나사 잠자는 자들의 첫 열매가 되셨도다</t>
  </si>
  <si>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부활의 증인들</t>
    </r>
  </si>
  <si>
    <r>
      <rPr>
        <sz val="10"/>
        <color rgb="FF000000"/>
        <rFont val="WenQuanYi Zen Hei"/>
        <family val="2"/>
      </rPr>
      <t xml:space="preserve">빈 무덤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씨앗</t>
    </r>
  </si>
  <si>
    <t xml:space="preserve">부활절 특집 활용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</si>
  <si>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고전 </t>
    </r>
    <r>
      <rPr>
        <sz val="10"/>
        <color rgb="FF1F3864"/>
        <rFont val="Arial"/>
        <family val="0"/>
        <charset val="1"/>
      </rPr>
      <t xml:space="preserve">14:1-40 </t>
    </r>
    <r>
      <rPr>
        <sz val="10"/>
        <color rgb="FF1F3864"/>
        <rFont val="WenQuanYi Zen Hei"/>
        <family val="2"/>
      </rPr>
      <t xml:space="preserve">질서 있는 예배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</si>
  <si>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A0708</t>
  </si>
  <si>
    <t xml:space="preserve">B076</t>
  </si>
  <si>
    <t xml:space="preserve">S2-L46</t>
  </si>
  <si>
    <t xml:space="preserve">고린도후서</t>
  </si>
  <si>
    <r>
      <rPr>
        <sz val="10"/>
        <color rgb="FF000000"/>
        <rFont val="WenQuanYi Zen Hei"/>
        <family val="2"/>
      </rPr>
      <t xml:space="preserve">고후 </t>
    </r>
    <r>
      <rPr>
        <sz val="10"/>
        <color rgb="FF000000"/>
        <rFont val="Arial"/>
        <family val="0"/>
        <charset val="1"/>
      </rPr>
      <t xml:space="preserve">1:1-2:17</t>
    </r>
  </si>
  <si>
    <t xml:space="preserve">위로의 하나님</t>
  </si>
  <si>
    <t xml:space="preserve">위로받은 사람이 위로할 수 있다</t>
  </si>
  <si>
    <r>
      <rPr>
        <sz val="10"/>
        <color rgb="FF000000"/>
        <rFont val="WenQuanYi Zen Hei"/>
        <family val="2"/>
      </rPr>
      <t xml:space="preserve">고후 </t>
    </r>
    <r>
      <rPr>
        <sz val="10"/>
        <color rgb="FF000000"/>
        <rFont val="Arial"/>
        <family val="0"/>
        <charset val="1"/>
      </rPr>
      <t xml:space="preserve">1:4</t>
    </r>
  </si>
  <si>
    <t xml:space="preserve">하나님은 우리를 위로하사 위로할 수 있게 하십니다</t>
  </si>
  <si>
    <t xml:space="preserve">위로받는 사람들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</si>
  <si>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#094 '</t>
    </r>
    <r>
      <rPr>
        <sz val="10"/>
        <color rgb="FF000000"/>
        <rFont val="WenQuanYi Zen Hei"/>
        <family val="2"/>
      </rPr>
      <t xml:space="preserve">부활장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</si>
  <si>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A0709</t>
  </si>
  <si>
    <r>
      <rPr>
        <sz val="10"/>
        <color rgb="FF000000"/>
        <rFont val="WenQuanYi Zen Hei"/>
        <family val="2"/>
      </rPr>
      <t xml:space="preserve">고후 </t>
    </r>
    <r>
      <rPr>
        <sz val="10"/>
        <color rgb="FF000000"/>
        <rFont val="Arial"/>
        <family val="0"/>
        <charset val="1"/>
      </rPr>
      <t xml:space="preserve">3:1-4:18</t>
    </r>
  </si>
  <si>
    <t xml:space="preserve">질그릇 속의 보배</t>
  </si>
  <si>
    <t xml:space="preserve">깨지기 쉬운 그릇에 담긴 보물</t>
  </si>
  <si>
    <r>
      <rPr>
        <sz val="10"/>
        <color rgb="FF000000"/>
        <rFont val="WenQuanYi Zen Hei"/>
        <family val="2"/>
      </rPr>
      <t xml:space="preserve">고후 </t>
    </r>
    <r>
      <rPr>
        <sz val="10"/>
        <color rgb="FF000000"/>
        <rFont val="Arial"/>
        <family val="0"/>
        <charset val="1"/>
      </rPr>
      <t xml:space="preserve">4:7</t>
    </r>
  </si>
  <si>
    <t xml:space="preserve">보배를 질그릇에 가졌으니 능력은 하나님께 있습니다</t>
  </si>
  <si>
    <t xml:space="preserve">흙 항아리와 빛</t>
  </si>
  <si>
    <t xml:space="preserve">A0710</t>
  </si>
  <si>
    <r>
      <rPr>
        <sz val="10"/>
        <color rgb="FF000000"/>
        <rFont val="WenQuanYi Zen Hei"/>
        <family val="2"/>
      </rPr>
      <t xml:space="preserve">고후 </t>
    </r>
    <r>
      <rPr>
        <sz val="10"/>
        <color rgb="FF000000"/>
        <rFont val="Arial"/>
        <family val="0"/>
        <charset val="1"/>
      </rPr>
      <t xml:space="preserve">5:1-21</t>
    </r>
  </si>
  <si>
    <t xml:space="preserve">새로운 피조물</t>
  </si>
  <si>
    <t xml:space="preserve">그리스도 안에 있으면</t>
  </si>
  <si>
    <r>
      <rPr>
        <sz val="10"/>
        <color rgb="FF000000"/>
        <rFont val="WenQuanYi Zen Hei"/>
        <family val="2"/>
      </rPr>
      <t xml:space="preserve">고후 </t>
    </r>
    <r>
      <rPr>
        <sz val="10"/>
        <color rgb="FF000000"/>
        <rFont val="Arial"/>
        <family val="0"/>
        <charset val="1"/>
      </rPr>
      <t xml:space="preserve">5:17</t>
    </r>
  </si>
  <si>
    <t xml:space="preserve">누구든지 그리스도 안에 있으면 새로운 피조물이라</t>
  </si>
  <si>
    <r>
      <rPr>
        <sz val="10"/>
        <color rgb="FF000000"/>
        <rFont val="WenQuanYi Zen Hei"/>
        <family val="2"/>
      </rPr>
      <t xml:space="preserve">나비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새싹 비유</t>
    </r>
  </si>
  <si>
    <t xml:space="preserve">A0711</t>
  </si>
  <si>
    <r>
      <rPr>
        <sz val="10"/>
        <color rgb="FF000000"/>
        <rFont val="WenQuanYi Zen Hei"/>
        <family val="2"/>
      </rPr>
      <t xml:space="preserve">고후 </t>
    </r>
    <r>
      <rPr>
        <sz val="10"/>
        <color rgb="FF000000"/>
        <rFont val="Arial"/>
        <family val="0"/>
        <charset val="1"/>
      </rPr>
      <t xml:space="preserve">6:1-7:16</t>
    </r>
  </si>
  <si>
    <t xml:space="preserve">지금은 구원의 날</t>
  </si>
  <si>
    <t xml:space="preserve">내일이 아니라 오늘</t>
  </si>
  <si>
    <r>
      <rPr>
        <sz val="10"/>
        <color rgb="FF000000"/>
        <rFont val="WenQuanYi Zen Hei"/>
        <family val="2"/>
      </rPr>
      <t xml:space="preserve">고후 </t>
    </r>
    <r>
      <rPr>
        <sz val="10"/>
        <color rgb="FF000000"/>
        <rFont val="Arial"/>
        <family val="0"/>
        <charset val="1"/>
      </rPr>
      <t xml:space="preserve">6:2</t>
    </r>
  </si>
  <si>
    <t xml:space="preserve">보라 지금은 은혜 받을 만한 때요 보라 지금은 구원의 날이로다</t>
  </si>
  <si>
    <r>
      <rPr>
        <sz val="10"/>
        <color rgb="FF000000"/>
        <rFont val="WenQuanYi Zen Hei"/>
        <family val="2"/>
      </rPr>
      <t xml:space="preserve">시계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지금 이 순간</t>
    </r>
  </si>
  <si>
    <t xml:space="preserve">A0712</t>
  </si>
  <si>
    <r>
      <rPr>
        <sz val="10"/>
        <color rgb="FF000000"/>
        <rFont val="WenQuanYi Zen Hei"/>
        <family val="2"/>
      </rPr>
      <t xml:space="preserve">고후 </t>
    </r>
    <r>
      <rPr>
        <sz val="10"/>
        <color rgb="FF000000"/>
        <rFont val="Arial"/>
        <family val="0"/>
        <charset val="1"/>
      </rPr>
      <t xml:space="preserve">8:1-9:15</t>
    </r>
  </si>
  <si>
    <t xml:space="preserve">즐겨 내는 자</t>
  </si>
  <si>
    <t xml:space="preserve">가난한 교회가 더 많이 드렸다</t>
  </si>
  <si>
    <r>
      <rPr>
        <sz val="10"/>
        <color rgb="FF000000"/>
        <rFont val="WenQuanYi Zen Hei"/>
        <family val="2"/>
      </rPr>
      <t xml:space="preserve">고후 </t>
    </r>
    <r>
      <rPr>
        <sz val="10"/>
        <color rgb="FF000000"/>
        <rFont val="Arial"/>
        <family val="0"/>
        <charset val="1"/>
      </rPr>
      <t xml:space="preserve">9:7</t>
    </r>
  </si>
  <si>
    <t xml:space="preserve">하나님은 즐겨 내는 자를 사랑하십니다</t>
  </si>
  <si>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마게도냐 교회</t>
    </r>
  </si>
  <si>
    <t xml:space="preserve">헌금 모으는 교회</t>
  </si>
  <si>
    <r>
      <rPr>
        <sz val="10"/>
        <color rgb="FFC00000"/>
        <rFont val="WenQuanYi Zen Hei"/>
        <family val="2"/>
      </rPr>
      <t xml:space="preserve">헌금 강요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기복 공식 금지</t>
    </r>
  </si>
  <si>
    <t xml:space="preserve">A0713</t>
  </si>
  <si>
    <r>
      <rPr>
        <sz val="10"/>
        <color rgb="FF000000"/>
        <rFont val="WenQuanYi Zen Hei"/>
        <family val="2"/>
      </rPr>
      <t xml:space="preserve">고후 </t>
    </r>
    <r>
      <rPr>
        <sz val="10"/>
        <color rgb="FF000000"/>
        <rFont val="Arial"/>
        <family val="0"/>
        <charset val="1"/>
      </rPr>
      <t xml:space="preserve">10:1-13:14</t>
    </r>
  </si>
  <si>
    <t xml:space="preserve">내 은혜가 네게 족하도다</t>
  </si>
  <si>
    <t xml:space="preserve">세 번 기도해도 사라지지 않은 가시</t>
  </si>
  <si>
    <r>
      <rPr>
        <sz val="10"/>
        <color rgb="FF000000"/>
        <rFont val="WenQuanYi Zen Hei"/>
        <family val="2"/>
      </rPr>
      <t xml:space="preserve">고후 </t>
    </r>
    <r>
      <rPr>
        <sz val="10"/>
        <color rgb="FF000000"/>
        <rFont val="Arial"/>
        <family val="0"/>
        <charset val="1"/>
      </rPr>
      <t xml:space="preserve">12:9</t>
    </r>
  </si>
  <si>
    <t xml:space="preserve">내 은혜가 네게 족하도다 내 능력이 약한 데서 온전하여짐이라</t>
  </si>
  <si>
    <r>
      <rPr>
        <sz val="10"/>
        <color rgb="FF000000"/>
        <rFont val="WenQuanYi Zen Hei"/>
        <family val="2"/>
      </rPr>
      <t xml:space="preserve">가시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약함 속의 빛</t>
    </r>
  </si>
  <si>
    <t xml:space="preserve">A0714</t>
  </si>
  <si>
    <t xml:space="preserve">갈라디아서</t>
  </si>
  <si>
    <r>
      <rPr>
        <sz val="10"/>
        <color rgb="FF000000"/>
        <rFont val="WenQuanYi Zen Hei"/>
        <family val="2"/>
      </rPr>
      <t xml:space="preserve">갈 </t>
    </r>
    <r>
      <rPr>
        <sz val="10"/>
        <color rgb="FF000000"/>
        <rFont val="Arial"/>
        <family val="0"/>
        <charset val="1"/>
      </rPr>
      <t xml:space="preserve">1:1-2:21</t>
    </r>
  </si>
  <si>
    <t xml:space="preserve">다른 복음은 없다</t>
  </si>
  <si>
    <t xml:space="preserve">하늘의 천사라도 다른 복음을 전하면</t>
  </si>
  <si>
    <r>
      <rPr>
        <sz val="10"/>
        <color rgb="FF000000"/>
        <rFont val="WenQuanYi Zen Hei"/>
        <family val="2"/>
      </rPr>
      <t xml:space="preserve">갈 </t>
    </r>
    <r>
      <rPr>
        <sz val="10"/>
        <color rgb="FF000000"/>
        <rFont val="Arial"/>
        <family val="0"/>
        <charset val="1"/>
      </rPr>
      <t xml:space="preserve">2:20</t>
    </r>
  </si>
  <si>
    <t xml:space="preserve">그리스도께서 내 안에 사시는 것이라</t>
  </si>
  <si>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베드로</t>
    </r>
  </si>
  <si>
    <t xml:space="preserve">안디옥 식탁</t>
  </si>
  <si>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다른 복음</t>
    </r>
    <r>
      <rPr>
        <sz val="10"/>
        <color rgb="FFC00000"/>
        <rFont val="Arial"/>
        <family val="0"/>
        <charset val="1"/>
      </rPr>
      <t xml:space="preserve">' = </t>
    </r>
    <r>
      <rPr>
        <sz val="10"/>
        <color rgb="FFC00000"/>
        <rFont val="WenQuanYi Zen Hei"/>
        <family val="2"/>
      </rPr>
      <t xml:space="preserve">이단 분별의 핵심 본문</t>
    </r>
  </si>
  <si>
    <t xml:space="preserve">A0715</t>
  </si>
  <si>
    <r>
      <rPr>
        <sz val="10"/>
        <color rgb="FF000000"/>
        <rFont val="WenQuanYi Zen Hei"/>
        <family val="2"/>
      </rPr>
      <t xml:space="preserve">갈 </t>
    </r>
    <r>
      <rPr>
        <sz val="10"/>
        <color rgb="FF000000"/>
        <rFont val="Arial"/>
        <family val="0"/>
        <charset val="1"/>
      </rPr>
      <t xml:space="preserve">3:1-4:31</t>
    </r>
  </si>
  <si>
    <t xml:space="preserve">율법의 저주에서</t>
  </si>
  <si>
    <t xml:space="preserve">우리를 위해 저주를 받으신 분</t>
  </si>
  <si>
    <r>
      <rPr>
        <sz val="10"/>
        <color rgb="FF000000"/>
        <rFont val="WenQuanYi Zen Hei"/>
        <family val="2"/>
      </rPr>
      <t xml:space="preserve">갈 </t>
    </r>
    <r>
      <rPr>
        <sz val="10"/>
        <color rgb="FF000000"/>
        <rFont val="Arial"/>
        <family val="0"/>
        <charset val="1"/>
      </rPr>
      <t xml:space="preserve">3:13</t>
    </r>
  </si>
  <si>
    <t xml:space="preserve">그리스도께서 우리를 위하여 저주를 받은 바 되사</t>
  </si>
  <si>
    <r>
      <rPr>
        <sz val="10"/>
        <color rgb="FF000000"/>
        <rFont val="WenQuanYi Zen Hei"/>
        <family val="2"/>
      </rPr>
      <t xml:space="preserve">나무에 달리심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아들의 명분</t>
    </r>
  </si>
  <si>
    <r>
      <rPr>
        <sz val="10"/>
        <color rgb="FFC00000"/>
        <rFont val="WenQuanYi Zen Hei"/>
        <family val="2"/>
      </rPr>
      <t xml:space="preserve">행위 구원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율법주의</t>
    </r>
    <r>
      <rPr>
        <sz val="10"/>
        <color rgb="FFC00000"/>
        <rFont val="Arial"/>
        <family val="0"/>
        <charset val="1"/>
      </rPr>
      <t xml:space="preserve">) </t>
    </r>
    <r>
      <rPr>
        <sz val="10"/>
        <color rgb="FFC00000"/>
        <rFont val="WenQuanYi Zen Hei"/>
        <family val="2"/>
      </rPr>
      <t xml:space="preserve">배제</t>
    </r>
  </si>
  <si>
    <t xml:space="preserve">A0716</t>
  </si>
  <si>
    <r>
      <rPr>
        <sz val="10"/>
        <color rgb="FF000000"/>
        <rFont val="WenQuanYi Zen Hei"/>
        <family val="2"/>
      </rPr>
      <t xml:space="preserve">갈 </t>
    </r>
    <r>
      <rPr>
        <sz val="10"/>
        <color rgb="FF000000"/>
        <rFont val="Arial"/>
        <family val="0"/>
        <charset val="1"/>
      </rPr>
      <t xml:space="preserve">5:1-15</t>
    </r>
  </si>
  <si>
    <t xml:space="preserve">자유를 주셨으니</t>
  </si>
  <si>
    <t xml:space="preserve">다시는 종의 멍에를 메지 말라</t>
  </si>
  <si>
    <r>
      <rPr>
        <sz val="10"/>
        <color rgb="FF000000"/>
        <rFont val="WenQuanYi Zen Hei"/>
        <family val="2"/>
      </rPr>
      <t xml:space="preserve">갈 </t>
    </r>
    <r>
      <rPr>
        <sz val="10"/>
        <color rgb="FF000000"/>
        <rFont val="Arial"/>
        <family val="0"/>
        <charset val="1"/>
      </rPr>
      <t xml:space="preserve">5:1</t>
    </r>
  </si>
  <si>
    <t xml:space="preserve">그리스도께서 우리를 자유롭게 하려고 자유를 주셨으니</t>
  </si>
  <si>
    <t xml:space="preserve">풀린 사슬</t>
  </si>
  <si>
    <t xml:space="preserve">A0717</t>
  </si>
  <si>
    <r>
      <rPr>
        <sz val="10"/>
        <color rgb="FF000000"/>
        <rFont val="WenQuanYi Zen Hei"/>
        <family val="2"/>
      </rPr>
      <t xml:space="preserve">갈 </t>
    </r>
    <r>
      <rPr>
        <sz val="10"/>
        <color rgb="FF000000"/>
        <rFont val="Arial"/>
        <family val="0"/>
        <charset val="1"/>
      </rPr>
      <t xml:space="preserve">5:16-26</t>
    </r>
  </si>
  <si>
    <t xml:space="preserve">성령의 열매</t>
  </si>
  <si>
    <t xml:space="preserve">아홉 가지 열매</t>
  </si>
  <si>
    <r>
      <rPr>
        <sz val="10"/>
        <color rgb="FF000000"/>
        <rFont val="WenQuanYi Zen Hei"/>
        <family val="2"/>
      </rPr>
      <t xml:space="preserve">갈 </t>
    </r>
    <r>
      <rPr>
        <sz val="10"/>
        <color rgb="FF000000"/>
        <rFont val="Arial"/>
        <family val="0"/>
        <charset val="1"/>
      </rPr>
      <t xml:space="preserve">5:22</t>
    </r>
  </si>
  <si>
    <t xml:space="preserve">성령의 열매는 사랑과 희락과 화평이요</t>
  </si>
  <si>
    <t xml:space="preserve">열매 맺는 나무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</si>
  <si>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9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고후 </t>
    </r>
    <r>
      <rPr>
        <sz val="10"/>
        <color rgb="FF1F3864"/>
        <rFont val="Arial"/>
        <family val="0"/>
        <charset val="1"/>
      </rPr>
      <t xml:space="preserve">1:1-2:17 </t>
    </r>
    <r>
      <rPr>
        <sz val="10"/>
        <color rgb="FF1F3864"/>
        <rFont val="WenQuanYi Zen Hei"/>
        <family val="2"/>
      </rPr>
      <t xml:space="preserve">위로의 하나님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고후 </t>
    </r>
    <r>
      <rPr>
        <sz val="10"/>
        <color rgb="FF1F3864"/>
        <rFont val="Arial"/>
        <family val="0"/>
        <charset val="1"/>
      </rPr>
      <t xml:space="preserve">3:1-4:18 </t>
    </r>
    <r>
      <rPr>
        <sz val="10"/>
        <color rgb="FF1F3864"/>
        <rFont val="WenQuanYi Zen Hei"/>
        <family val="2"/>
      </rPr>
      <t xml:space="preserve">질그릇 속의 보배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고후 </t>
    </r>
    <r>
      <rPr>
        <sz val="10"/>
        <color rgb="FF1F3864"/>
        <rFont val="Arial"/>
        <family val="0"/>
        <charset val="1"/>
      </rPr>
      <t xml:space="preserve">5:1-21 </t>
    </r>
    <r>
      <rPr>
        <sz val="10"/>
        <color rgb="FF1F3864"/>
        <rFont val="WenQuanYi Zen Hei"/>
        <family val="2"/>
      </rPr>
      <t xml:space="preserve">새로운 피조물 외 </t>
    </r>
    <r>
      <rPr>
        <sz val="10"/>
        <color rgb="FF1F3864"/>
        <rFont val="Arial"/>
        <family val="0"/>
        <charset val="1"/>
      </rPr>
      <t xml:space="preserve">6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</si>
  <si>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A0718</t>
  </si>
  <si>
    <r>
      <rPr>
        <sz val="10"/>
        <color rgb="FF000000"/>
        <rFont val="WenQuanYi Zen Hei"/>
        <family val="2"/>
      </rPr>
      <t xml:space="preserve">갈 </t>
    </r>
    <r>
      <rPr>
        <sz val="10"/>
        <color rgb="FF000000"/>
        <rFont val="Arial"/>
        <family val="0"/>
        <charset val="1"/>
      </rPr>
      <t xml:space="preserve">6:1-18</t>
    </r>
  </si>
  <si>
    <t xml:space="preserve">짐을 서로 지라</t>
  </si>
  <si>
    <r>
      <rPr>
        <sz val="10"/>
        <color rgb="FF000000"/>
        <rFont val="WenQuanYi Zen Hei"/>
        <family val="2"/>
      </rPr>
      <t xml:space="preserve">넘어진 사람을 어떻게 대할까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</si>
  <si>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갈 </t>
    </r>
    <r>
      <rPr>
        <sz val="10"/>
        <color rgb="FF000000"/>
        <rFont val="Arial"/>
        <family val="0"/>
        <charset val="1"/>
      </rPr>
      <t xml:space="preserve">6:2</t>
    </r>
  </si>
  <si>
    <t xml:space="preserve">너희가 짐을 서로 지라 그리하여 그리스도의 법을 성취하라</t>
  </si>
  <si>
    <t xml:space="preserve">짐을 함께 진 사람들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</si>
  <si>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#095 '</t>
    </r>
    <r>
      <rPr>
        <sz val="10"/>
        <color rgb="FF000000"/>
        <rFont val="WenQuanYi Zen Hei"/>
        <family val="2"/>
      </rPr>
      <t xml:space="preserve">성령의 열매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</si>
  <si>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A0719</t>
  </si>
  <si>
    <t xml:space="preserve">B077</t>
  </si>
  <si>
    <t xml:space="preserve">S2-L47</t>
  </si>
  <si>
    <t xml:space="preserve">에베소서</t>
  </si>
  <si>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1:1-23</t>
    </r>
  </si>
  <si>
    <t xml:space="preserve">창세 전에</t>
  </si>
  <si>
    <t xml:space="preserve">세상이 생기기 전부터 나를 택하셨다</t>
  </si>
  <si>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1:4</t>
    </r>
  </si>
  <si>
    <t xml:space="preserve">창세 전에 그리스도 안에서 우리를 택하사</t>
  </si>
  <si>
    <t xml:space="preserve">우주의 시작 전 빛</t>
  </si>
  <si>
    <t xml:space="preserve">합동 예정론</t>
  </si>
  <si>
    <t xml:space="preserve">A0720</t>
  </si>
  <si>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2:1-10</t>
    </r>
  </si>
  <si>
    <t xml:space="preserve">은혜로 구원받았다</t>
  </si>
  <si>
    <r>
      <rPr>
        <sz val="10"/>
        <color rgb="FF000000"/>
        <rFont val="WenQuanYi Zen Hei"/>
        <family val="2"/>
      </rPr>
      <t xml:space="preserve">구원은 내가 노력한 결과일까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</si>
  <si>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2:8</t>
    </r>
  </si>
  <si>
    <t xml:space="preserve">너희는 그 은혜에 의하여 믿음으로 말미암아 구원을 받았으니</t>
  </si>
  <si>
    <t xml:space="preserve">선물 상자</t>
  </si>
  <si>
    <t xml:space="preserve">오직 은혜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</si>
  <si>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갈 </t>
    </r>
    <r>
      <rPr>
        <sz val="10"/>
        <color rgb="FF1F3864"/>
        <rFont val="Arial"/>
        <family val="0"/>
        <charset val="1"/>
      </rPr>
      <t xml:space="preserve">6:1-18 </t>
    </r>
    <r>
      <rPr>
        <sz val="10"/>
        <color rgb="FF1F3864"/>
        <rFont val="WenQuanYi Zen Hei"/>
        <family val="2"/>
      </rPr>
      <t xml:space="preserve">짐을 서로 지라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엡 </t>
    </r>
    <r>
      <rPr>
        <sz val="10"/>
        <color rgb="FF1F3864"/>
        <rFont val="Arial"/>
        <family val="0"/>
        <charset val="1"/>
      </rPr>
      <t xml:space="preserve">1:1-23 </t>
    </r>
    <r>
      <rPr>
        <sz val="10"/>
        <color rgb="FF1F3864"/>
        <rFont val="WenQuanYi Zen Hei"/>
        <family val="2"/>
      </rPr>
      <t xml:space="preserve">창세 전에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</si>
  <si>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A0721</t>
  </si>
  <si>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2:11-3:21</t>
    </r>
  </si>
  <si>
    <t xml:space="preserve">막힌 담을 허시고</t>
  </si>
  <si>
    <t xml:space="preserve">원수였던 사람들이 한 가족이 되다</t>
  </si>
  <si>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2:14</t>
    </r>
  </si>
  <si>
    <t xml:space="preserve">그는 우리의 화평이신 분입니다</t>
  </si>
  <si>
    <t xml:space="preserve">무너지는 담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</si>
  <si>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#096 '</t>
    </r>
    <r>
      <rPr>
        <sz val="10"/>
        <color rgb="FF000000"/>
        <rFont val="WenQuanYi Zen Hei"/>
        <family val="2"/>
      </rPr>
      <t xml:space="preserve">은혜로 구원받았다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</si>
  <si>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A0722</t>
  </si>
  <si>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4:1-32</t>
    </r>
  </si>
  <si>
    <t xml:space="preserve">하나 됨을 힘써 지키라</t>
  </si>
  <si>
    <r>
      <rPr>
        <sz val="10"/>
        <color rgb="FF000000"/>
        <rFont val="WenQuanYi Zen Hei"/>
        <family val="2"/>
      </rPr>
      <t xml:space="preserve">하나 되는 것이 왜 이렇게 어려울까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</si>
  <si>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4:3</t>
    </r>
  </si>
  <si>
    <t xml:space="preserve">평안의 매는 줄로 성령이 하나 되게 하신 것을 힘써 지키라</t>
  </si>
  <si>
    <t xml:space="preserve">하나의 몸</t>
  </si>
  <si>
    <t xml:space="preserve">A0723</t>
  </si>
  <si>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5:1-6:9</t>
    </r>
  </si>
  <si>
    <t xml:space="preserve">빛의 자녀</t>
  </si>
  <si>
    <t xml:space="preserve">가정과 일터에서 빛으로 살기</t>
  </si>
  <si>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5:8</t>
    </r>
  </si>
  <si>
    <t xml:space="preserve">너희가 전에는 어둠이더니 이제는 주 안에서 빛이라</t>
  </si>
  <si>
    <r>
      <rPr>
        <sz val="10"/>
        <color rgb="FF000000"/>
        <rFont val="WenQuanYi Zen Hei"/>
        <family val="2"/>
      </rPr>
      <t xml:space="preserve">가정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일터</t>
    </r>
  </si>
  <si>
    <r>
      <rPr>
        <sz val="10"/>
        <color rgb="FFC00000"/>
        <rFont val="Arial"/>
        <family val="0"/>
        <charset val="1"/>
      </rPr>
      <t xml:space="preserve">5:22</t>
    </r>
    <r>
      <rPr>
        <sz val="10"/>
        <color rgb="FFC00000"/>
        <rFont val="WenQuanYi Zen Hei"/>
        <family val="2"/>
      </rPr>
      <t xml:space="preserve">는 </t>
    </r>
    <r>
      <rPr>
        <sz val="10"/>
        <color rgb="FFC00000"/>
        <rFont val="Arial"/>
        <family val="0"/>
        <charset val="1"/>
      </rPr>
      <t xml:space="preserve">5:21 </t>
    </r>
    <r>
      <rPr>
        <sz val="10"/>
        <color rgb="FFC00000"/>
        <rFont val="WenQuanYi Zen Hei"/>
        <family val="2"/>
      </rPr>
      <t xml:space="preserve">상호 복종과 함께 설명</t>
    </r>
  </si>
  <si>
    <t xml:space="preserve">A0724</t>
  </si>
  <si>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6:10-24</t>
    </r>
  </si>
  <si>
    <t xml:space="preserve">하나님의 전신 갑주</t>
  </si>
  <si>
    <t xml:space="preserve">영적 전쟁을 위한 무장</t>
  </si>
  <si>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6:11</t>
    </r>
  </si>
  <si>
    <t xml:space="preserve">마귀의 간계를 능히 대적하기 위하여 하나님의 전신 갑주를 입으라</t>
  </si>
  <si>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로마 군인</t>
    </r>
  </si>
  <si>
    <t xml:space="preserve">로마 군인 갑주</t>
  </si>
  <si>
    <t xml:space="preserve">축귀 공포 연출 금지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</si>
  <si>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3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엡 </t>
    </r>
    <r>
      <rPr>
        <sz val="10"/>
        <color rgb="FF1F3864"/>
        <rFont val="Arial"/>
        <family val="0"/>
        <charset val="1"/>
      </rPr>
      <t xml:space="preserve">2:11-3:21 </t>
    </r>
    <r>
      <rPr>
        <sz val="10"/>
        <color rgb="FF1F3864"/>
        <rFont val="WenQuanYi Zen Hei"/>
        <family val="2"/>
      </rPr>
      <t xml:space="preserve">막힌 담을 허시고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엡 </t>
    </r>
    <r>
      <rPr>
        <sz val="10"/>
        <color rgb="FF1F3864"/>
        <rFont val="Arial"/>
        <family val="0"/>
        <charset val="1"/>
      </rPr>
      <t xml:space="preserve">4:1-32 </t>
    </r>
    <r>
      <rPr>
        <sz val="10"/>
        <color rgb="FF1F3864"/>
        <rFont val="WenQuanYi Zen Hei"/>
        <family val="2"/>
      </rPr>
      <t xml:space="preserve">하나 됨을 힘써 지키라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엡 </t>
    </r>
    <r>
      <rPr>
        <sz val="10"/>
        <color rgb="FF1F3864"/>
        <rFont val="Arial"/>
        <family val="0"/>
        <charset val="1"/>
      </rPr>
      <t xml:space="preserve">5:1-6:9 </t>
    </r>
    <r>
      <rPr>
        <sz val="10"/>
        <color rgb="FF1F3864"/>
        <rFont val="WenQuanYi Zen Hei"/>
        <family val="2"/>
      </rPr>
      <t xml:space="preserve">빛의 자녀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</si>
  <si>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A0725</t>
  </si>
  <si>
    <t xml:space="preserve">빌립보서</t>
  </si>
  <si>
    <r>
      <rPr>
        <sz val="10"/>
        <color rgb="FF000000"/>
        <rFont val="WenQuanYi Zen Hei"/>
        <family val="2"/>
      </rPr>
      <t xml:space="preserve">빌 </t>
    </r>
    <r>
      <rPr>
        <sz val="10"/>
        <color rgb="FF000000"/>
        <rFont val="Arial"/>
        <family val="0"/>
        <charset val="1"/>
      </rPr>
      <t xml:space="preserve">1:1-30</t>
    </r>
  </si>
  <si>
    <t xml:space="preserve">사는 것이 그리스도</t>
  </si>
  <si>
    <t xml:space="preserve">감옥에서 쓴 기쁨의 편지</t>
  </si>
  <si>
    <r>
      <rPr>
        <sz val="10"/>
        <color rgb="FF000000"/>
        <rFont val="WenQuanYi Zen Hei"/>
        <family val="2"/>
      </rPr>
      <t xml:space="preserve">빌 </t>
    </r>
    <r>
      <rPr>
        <sz val="10"/>
        <color rgb="FF000000"/>
        <rFont val="Arial"/>
        <family val="0"/>
        <charset val="1"/>
      </rPr>
      <t xml:space="preserve">1:21</t>
    </r>
  </si>
  <si>
    <t xml:space="preserve">나에게 사는 것이 그리스도니 죽는 것도 유익함이라</t>
  </si>
  <si>
    <t xml:space="preserve">로마 감옥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</si>
  <si>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#097 '</t>
    </r>
    <r>
      <rPr>
        <sz val="10"/>
        <color rgb="FF000000"/>
        <rFont val="WenQuanYi Zen Hei"/>
        <family val="2"/>
      </rPr>
      <t xml:space="preserve">하나님의 전신 갑주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</si>
  <si>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A0726</t>
  </si>
  <si>
    <r>
      <rPr>
        <sz val="10"/>
        <color rgb="FF000000"/>
        <rFont val="WenQuanYi Zen Hei"/>
        <family val="2"/>
      </rPr>
      <t xml:space="preserve">빌 </t>
    </r>
    <r>
      <rPr>
        <sz val="10"/>
        <color rgb="FF000000"/>
        <rFont val="Arial"/>
        <family val="0"/>
        <charset val="1"/>
      </rPr>
      <t xml:space="preserve">2:1-30</t>
    </r>
  </si>
  <si>
    <t xml:space="preserve">그리스도의 마음</t>
  </si>
  <si>
    <t xml:space="preserve">하나님이 종의 모습으로</t>
  </si>
  <si>
    <r>
      <rPr>
        <sz val="10"/>
        <color rgb="FF000000"/>
        <rFont val="WenQuanYi Zen Hei"/>
        <family val="2"/>
      </rPr>
      <t xml:space="preserve">빌 </t>
    </r>
    <r>
      <rPr>
        <sz val="10"/>
        <color rgb="FF000000"/>
        <rFont val="Arial"/>
        <family val="0"/>
        <charset val="1"/>
      </rPr>
      <t xml:space="preserve">2:5</t>
    </r>
  </si>
  <si>
    <t xml:space="preserve">너희 안에 이 마음을 품으라 곧 그리스도 예수의 마음이니</t>
  </si>
  <si>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디모데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에바브로디도</t>
    </r>
  </si>
  <si>
    <t xml:space="preserve">낮아지심과 높아지심</t>
  </si>
  <si>
    <t xml:space="preserve">그리스도의 신성과 인성</t>
  </si>
  <si>
    <t xml:space="preserve">A0727</t>
  </si>
  <si>
    <r>
      <rPr>
        <sz val="10"/>
        <color rgb="FF000000"/>
        <rFont val="WenQuanYi Zen Hei"/>
        <family val="2"/>
      </rPr>
      <t xml:space="preserve">빌 </t>
    </r>
    <r>
      <rPr>
        <sz val="10"/>
        <color rgb="FF000000"/>
        <rFont val="Arial"/>
        <family val="0"/>
        <charset val="1"/>
      </rPr>
      <t xml:space="preserve">3:1-21</t>
    </r>
  </si>
  <si>
    <t xml:space="preserve">푯대를 향하여</t>
  </si>
  <si>
    <t xml:space="preserve">뒤에 있는 것은 잊어버리고</t>
  </si>
  <si>
    <r>
      <rPr>
        <sz val="10"/>
        <color rgb="FF000000"/>
        <rFont val="WenQuanYi Zen Hei"/>
        <family val="2"/>
      </rPr>
      <t xml:space="preserve">빌 </t>
    </r>
    <r>
      <rPr>
        <sz val="10"/>
        <color rgb="FF000000"/>
        <rFont val="Arial"/>
        <family val="0"/>
        <charset val="1"/>
      </rPr>
      <t xml:space="preserve">3:14</t>
    </r>
  </si>
  <si>
    <t xml:space="preserve">푯대를 향하여 그리스도 예수 안에서 하나님이 위에서 부르신 부름의 상을 위하여 달려갑니다</t>
  </si>
  <si>
    <t xml:space="preserve">달리기 경주</t>
  </si>
  <si>
    <t xml:space="preserve">A0728</t>
  </si>
  <si>
    <r>
      <rPr>
        <sz val="10"/>
        <color rgb="FF000000"/>
        <rFont val="WenQuanYi Zen Hei"/>
        <family val="2"/>
      </rPr>
      <t xml:space="preserve">빌 </t>
    </r>
    <r>
      <rPr>
        <sz val="10"/>
        <color rgb="FF000000"/>
        <rFont val="Arial"/>
        <family val="0"/>
        <charset val="1"/>
      </rPr>
      <t xml:space="preserve">4:1-23</t>
    </r>
  </si>
  <si>
    <t xml:space="preserve">모든 것을 할 수 있다</t>
  </si>
  <si>
    <t xml:space="preserve">배부름과 배고픔 모두에</t>
  </si>
  <si>
    <r>
      <rPr>
        <sz val="10"/>
        <color rgb="FF000000"/>
        <rFont val="WenQuanYi Zen Hei"/>
        <family val="2"/>
      </rPr>
      <t xml:space="preserve">빌 </t>
    </r>
    <r>
      <rPr>
        <sz val="10"/>
        <color rgb="FF000000"/>
        <rFont val="Arial"/>
        <family val="0"/>
        <charset val="1"/>
      </rPr>
      <t xml:space="preserve">4:13</t>
    </r>
  </si>
  <si>
    <t xml:space="preserve">내게 능력 주시는 자 안에서 내가 모든 것을 할 수 있느니라</t>
  </si>
  <si>
    <t xml:space="preserve">감옥의 기쁨</t>
  </si>
  <si>
    <r>
      <rPr>
        <sz val="10"/>
        <color rgb="FFC00000"/>
        <rFont val="Arial"/>
        <family val="0"/>
        <charset val="1"/>
      </rPr>
      <t xml:space="preserve">4:13</t>
    </r>
    <r>
      <rPr>
        <sz val="10"/>
        <color rgb="FFC00000"/>
        <rFont val="WenQuanYi Zen Hei"/>
        <family val="2"/>
      </rPr>
      <t xml:space="preserve">은 자족의 문맥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성공 주문처럼 사용 금지</t>
    </r>
  </si>
  <si>
    <t xml:space="preserve">A0729</t>
  </si>
  <si>
    <t xml:space="preserve">B078</t>
  </si>
  <si>
    <t xml:space="preserve">S2-L48</t>
  </si>
  <si>
    <t xml:space="preserve">골로새서</t>
  </si>
  <si>
    <r>
      <rPr>
        <sz val="10"/>
        <color rgb="FF000000"/>
        <rFont val="WenQuanYi Zen Hei"/>
        <family val="2"/>
      </rPr>
      <t xml:space="preserve">골 </t>
    </r>
    <r>
      <rPr>
        <sz val="10"/>
        <color rgb="FF000000"/>
        <rFont val="Arial"/>
        <family val="0"/>
        <charset val="1"/>
      </rPr>
      <t xml:space="preserve">1:1-29</t>
    </r>
  </si>
  <si>
    <t xml:space="preserve">만물보다 먼저</t>
  </si>
  <si>
    <t xml:space="preserve">모든 것이 그를 위하여 창조되었다</t>
  </si>
  <si>
    <r>
      <rPr>
        <sz val="10"/>
        <color rgb="FF000000"/>
        <rFont val="WenQuanYi Zen Hei"/>
        <family val="2"/>
      </rPr>
      <t xml:space="preserve">골 </t>
    </r>
    <r>
      <rPr>
        <sz val="10"/>
        <color rgb="FF000000"/>
        <rFont val="Arial"/>
        <family val="0"/>
        <charset val="1"/>
      </rPr>
      <t xml:space="preserve">1:16</t>
    </r>
  </si>
  <si>
    <t xml:space="preserve">만물이 그에게서 창조되되</t>
  </si>
  <si>
    <t xml:space="preserve">창조와 십자가</t>
  </si>
  <si>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먼저 나신 이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는 피조물이란 뜻이 아님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여호와의증인 오류 배제</t>
    </r>
    <r>
      <rPr>
        <sz val="10"/>
        <color rgb="FFC00000"/>
        <rFont val="Arial"/>
        <family val="0"/>
        <charset val="1"/>
      </rPr>
      <t xml:space="preserve">)</t>
    </r>
  </si>
  <si>
    <t xml:space="preserve">A0730</t>
  </si>
  <si>
    <r>
      <rPr>
        <sz val="10"/>
        <color rgb="FF000000"/>
        <rFont val="WenQuanYi Zen Hei"/>
        <family val="2"/>
      </rPr>
      <t xml:space="preserve">골 </t>
    </r>
    <r>
      <rPr>
        <sz val="10"/>
        <color rgb="FF000000"/>
        <rFont val="Arial"/>
        <family val="0"/>
        <charset val="1"/>
      </rPr>
      <t xml:space="preserve">2:1-23</t>
    </r>
  </si>
  <si>
    <t xml:space="preserve">헛된 속임수를 조심하라</t>
  </si>
  <si>
    <t xml:space="preserve">그럴듯한 철학과 전통</t>
  </si>
  <si>
    <r>
      <rPr>
        <sz val="10"/>
        <color rgb="FF000000"/>
        <rFont val="WenQuanYi Zen Hei"/>
        <family val="2"/>
      </rPr>
      <t xml:space="preserve">골 </t>
    </r>
    <r>
      <rPr>
        <sz val="10"/>
        <color rgb="FF000000"/>
        <rFont val="Arial"/>
        <family val="0"/>
        <charset val="1"/>
      </rPr>
      <t xml:space="preserve">2:8</t>
    </r>
  </si>
  <si>
    <t xml:space="preserve">그리스도를 따르지 않는 철학과 헛된 속임수로 너희를 사로잡을까 주의하라</t>
  </si>
  <si>
    <t xml:space="preserve">속이는 목소리들</t>
  </si>
  <si>
    <t xml:space="preserve">이단 분별 본문</t>
  </si>
  <si>
    <t xml:space="preserve">A0731</t>
  </si>
  <si>
    <r>
      <rPr>
        <sz val="10"/>
        <color rgb="FF000000"/>
        <rFont val="WenQuanYi Zen Hei"/>
        <family val="2"/>
      </rPr>
      <t xml:space="preserve">골 </t>
    </r>
    <r>
      <rPr>
        <sz val="10"/>
        <color rgb="FF000000"/>
        <rFont val="Arial"/>
        <family val="0"/>
        <charset val="1"/>
      </rPr>
      <t xml:space="preserve">3:1-17</t>
    </r>
  </si>
  <si>
    <t xml:space="preserve">위의 것을 찾으라</t>
  </si>
  <si>
    <t xml:space="preserve">땅의 것이 아니라</t>
  </si>
  <si>
    <r>
      <rPr>
        <sz val="10"/>
        <color rgb="FF000000"/>
        <rFont val="WenQuanYi Zen Hei"/>
        <family val="2"/>
      </rPr>
      <t xml:space="preserve">골 </t>
    </r>
    <r>
      <rPr>
        <sz val="10"/>
        <color rgb="FF000000"/>
        <rFont val="Arial"/>
        <family val="0"/>
        <charset val="1"/>
      </rPr>
      <t xml:space="preserve">3:2</t>
    </r>
  </si>
  <si>
    <t xml:space="preserve">위의 것을 생각하고 땅의 것을 생각하지 말라</t>
  </si>
  <si>
    <t xml:space="preserve">하늘을 바라보는 사람</t>
  </si>
  <si>
    <t xml:space="preserve">A0732</t>
  </si>
  <si>
    <r>
      <rPr>
        <sz val="10"/>
        <color rgb="FF000000"/>
        <rFont val="WenQuanYi Zen Hei"/>
        <family val="2"/>
      </rPr>
      <t xml:space="preserve">골 </t>
    </r>
    <r>
      <rPr>
        <sz val="10"/>
        <color rgb="FF000000"/>
        <rFont val="Arial"/>
        <family val="0"/>
        <charset val="1"/>
      </rPr>
      <t xml:space="preserve">3:18-4:18</t>
    </r>
  </si>
  <si>
    <t xml:space="preserve">주께 하듯 하라</t>
  </si>
  <si>
    <r>
      <rPr>
        <sz val="10"/>
        <color rgb="FF000000"/>
        <rFont val="WenQuanYi Zen Hei"/>
        <family val="2"/>
      </rPr>
      <t xml:space="preserve">일할 때 누구를 위해 하나요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</si>
  <si>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골 </t>
    </r>
    <r>
      <rPr>
        <sz val="10"/>
        <color rgb="FF000000"/>
        <rFont val="Arial"/>
        <family val="0"/>
        <charset val="1"/>
      </rPr>
      <t xml:space="preserve">3:23</t>
    </r>
  </si>
  <si>
    <t xml:space="preserve">무슨 일을 하든지 마음을 다하여 주께 하듯 하고</t>
  </si>
  <si>
    <t xml:space="preserve">A0733</t>
  </si>
  <si>
    <t xml:space="preserve">데살로니가전서</t>
  </si>
  <si>
    <r>
      <rPr>
        <sz val="10"/>
        <color rgb="FF000000"/>
        <rFont val="WenQuanYi Zen Hei"/>
        <family val="2"/>
      </rPr>
      <t xml:space="preserve">살전 </t>
    </r>
    <r>
      <rPr>
        <sz val="10"/>
        <color rgb="FF000000"/>
        <rFont val="Arial"/>
        <family val="0"/>
        <charset val="1"/>
      </rPr>
      <t xml:space="preserve">1:1-3:13</t>
    </r>
  </si>
  <si>
    <t xml:space="preserve">본이 된 교회</t>
  </si>
  <si>
    <t xml:space="preserve">핍박 속에서 소문난 믿음</t>
  </si>
  <si>
    <r>
      <rPr>
        <sz val="10"/>
        <color rgb="FF000000"/>
        <rFont val="WenQuanYi Zen Hei"/>
        <family val="2"/>
      </rPr>
      <t xml:space="preserve">살전 </t>
    </r>
    <r>
      <rPr>
        <sz val="10"/>
        <color rgb="FF000000"/>
        <rFont val="Arial"/>
        <family val="0"/>
        <charset val="1"/>
      </rPr>
      <t xml:space="preserve">1:3</t>
    </r>
  </si>
  <si>
    <t xml:space="preserve">믿음의 역사와 사랑의 수고와 소망의 인내</t>
  </si>
  <si>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실라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디모데</t>
    </r>
  </si>
  <si>
    <t xml:space="preserve">데살로니가</t>
  </si>
  <si>
    <t xml:space="preserve">A0734</t>
  </si>
  <si>
    <r>
      <rPr>
        <sz val="10"/>
        <color rgb="FF000000"/>
        <rFont val="WenQuanYi Zen Hei"/>
        <family val="2"/>
      </rPr>
      <t xml:space="preserve">살전 </t>
    </r>
    <r>
      <rPr>
        <sz val="10"/>
        <color rgb="FF000000"/>
        <rFont val="Arial"/>
        <family val="0"/>
        <charset val="1"/>
      </rPr>
      <t xml:space="preserve">4:1-5:11</t>
    </r>
  </si>
  <si>
    <t xml:space="preserve">주께서 강림하실 때</t>
  </si>
  <si>
    <r>
      <rPr>
        <sz val="10"/>
        <color rgb="FF000000"/>
        <rFont val="WenQuanYi Zen Hei"/>
        <family val="2"/>
      </rPr>
      <t xml:space="preserve">먼저 죽은 성도들은 어떻게 될까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</si>
  <si>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살전 </t>
    </r>
    <r>
      <rPr>
        <sz val="10"/>
        <color rgb="FF000000"/>
        <rFont val="Arial"/>
        <family val="0"/>
        <charset val="1"/>
      </rPr>
      <t xml:space="preserve">4:16</t>
    </r>
  </si>
  <si>
    <t xml:space="preserve">주께서 친히 하늘로부터 강림하시리니</t>
  </si>
  <si>
    <r>
      <rPr>
        <sz val="10"/>
        <color rgb="FF000000"/>
        <rFont val="WenQuanYi Zen Hei"/>
        <family val="2"/>
      </rPr>
      <t xml:space="preserve">구름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나팔</t>
    </r>
  </si>
  <si>
    <r>
      <rPr>
        <sz val="10"/>
        <color rgb="FFC00000"/>
        <rFont val="WenQuanYi Zen Hei"/>
        <family val="2"/>
      </rPr>
      <t xml:space="preserve">휴거 날짜 예언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다미선교회 등</t>
    </r>
    <r>
      <rPr>
        <sz val="10"/>
        <color rgb="FFC00000"/>
        <rFont val="Arial"/>
        <family val="0"/>
        <charset val="1"/>
      </rPr>
      <t xml:space="preserve">) </t>
    </r>
    <r>
      <rPr>
        <sz val="10"/>
        <color rgb="FFC00000"/>
        <rFont val="WenQuanYi Zen Hei"/>
        <family val="2"/>
      </rPr>
      <t xml:space="preserve">절대 금지</t>
    </r>
  </si>
  <si>
    <t xml:space="preserve">A0735</t>
  </si>
  <si>
    <r>
      <rPr>
        <sz val="10"/>
        <color rgb="FF000000"/>
        <rFont val="WenQuanYi Zen Hei"/>
        <family val="2"/>
      </rPr>
      <t xml:space="preserve">살전 </t>
    </r>
    <r>
      <rPr>
        <sz val="10"/>
        <color rgb="FF000000"/>
        <rFont val="Arial"/>
        <family val="0"/>
        <charset val="1"/>
      </rPr>
      <t xml:space="preserve">5:12-28</t>
    </r>
  </si>
  <si>
    <t xml:space="preserve">항상 기뻐하라</t>
  </si>
  <si>
    <t xml:space="preserve">하나님의 뜻을 알고 싶다면</t>
  </si>
  <si>
    <r>
      <rPr>
        <sz val="10"/>
        <color rgb="FF000000"/>
        <rFont val="WenQuanYi Zen Hei"/>
        <family val="2"/>
      </rPr>
      <t xml:space="preserve">살전 </t>
    </r>
    <r>
      <rPr>
        <sz val="10"/>
        <color rgb="FF000000"/>
        <rFont val="Arial"/>
        <family val="0"/>
        <charset val="1"/>
      </rPr>
      <t xml:space="preserve">5:17</t>
    </r>
  </si>
  <si>
    <t xml:space="preserve">쉬지 말고 기도하라</t>
  </si>
  <si>
    <t xml:space="preserve">기도하는 교회</t>
  </si>
  <si>
    <t xml:space="preserve">A0736</t>
  </si>
  <si>
    <t xml:space="preserve">데살로니가후서</t>
  </si>
  <si>
    <r>
      <rPr>
        <sz val="10"/>
        <color rgb="FF000000"/>
        <rFont val="WenQuanYi Zen Hei"/>
        <family val="2"/>
      </rPr>
      <t xml:space="preserve">살후 </t>
    </r>
    <r>
      <rPr>
        <sz val="10"/>
        <color rgb="FF000000"/>
        <rFont val="Arial"/>
        <family val="0"/>
        <charset val="1"/>
      </rPr>
      <t xml:space="preserve">1:1-2:17</t>
    </r>
  </si>
  <si>
    <t xml:space="preserve">미혹되지 말라</t>
  </si>
  <si>
    <t xml:space="preserve">주의 날이 벌써 왔다는 소문</t>
  </si>
  <si>
    <r>
      <rPr>
        <sz val="10"/>
        <color rgb="FF000000"/>
        <rFont val="WenQuanYi Zen Hei"/>
        <family val="2"/>
      </rPr>
      <t xml:space="preserve">살후 </t>
    </r>
    <r>
      <rPr>
        <sz val="10"/>
        <color rgb="FF000000"/>
        <rFont val="Arial"/>
        <family val="0"/>
        <charset val="1"/>
      </rPr>
      <t xml:space="preserve">2:3</t>
    </r>
  </si>
  <si>
    <t xml:space="preserve">누가 어떻게 하여도 너희가 미혹되지 말라</t>
  </si>
  <si>
    <t xml:space="preserve">소문이 퍼지는 도시</t>
  </si>
  <si>
    <r>
      <rPr>
        <sz val="10"/>
        <color rgb="FFC00000"/>
        <rFont val="WenQuanYi Zen Hei"/>
        <family val="2"/>
      </rPr>
      <t xml:space="preserve">적그리스도 특정 인물 지목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시한부 종말론 금지</t>
    </r>
  </si>
  <si>
    <t xml:space="preserve">A0737</t>
  </si>
  <si>
    <r>
      <rPr>
        <sz val="10"/>
        <color rgb="FF000000"/>
        <rFont val="WenQuanYi Zen Hei"/>
        <family val="2"/>
      </rPr>
      <t xml:space="preserve">살후 </t>
    </r>
    <r>
      <rPr>
        <sz val="10"/>
        <color rgb="FF000000"/>
        <rFont val="Arial"/>
        <family val="0"/>
        <charset val="1"/>
      </rPr>
      <t xml:space="preserve">3:1-18</t>
    </r>
  </si>
  <si>
    <t xml:space="preserve">일하기 싫어하거든</t>
  </si>
  <si>
    <t xml:space="preserve">종말을 기다린다며 일을 그만둔 사람들</t>
  </si>
  <si>
    <r>
      <rPr>
        <sz val="10"/>
        <color rgb="FF000000"/>
        <rFont val="WenQuanYi Zen Hei"/>
        <family val="2"/>
      </rPr>
      <t xml:space="preserve">살후 </t>
    </r>
    <r>
      <rPr>
        <sz val="10"/>
        <color rgb="FF000000"/>
        <rFont val="Arial"/>
        <family val="0"/>
        <charset val="1"/>
      </rPr>
      <t xml:space="preserve">3:10</t>
    </r>
  </si>
  <si>
    <t xml:space="preserve">누구든지 일하기 싫어하거든 먹지도 말게 하라</t>
  </si>
  <si>
    <t xml:space="preserve">일하는 사람들</t>
  </si>
  <si>
    <t xml:space="preserve">A0738</t>
  </si>
  <si>
    <t xml:space="preserve">B079</t>
  </si>
  <si>
    <t xml:space="preserve">S2-L49</t>
  </si>
  <si>
    <t xml:space="preserve">디모데전서</t>
  </si>
  <si>
    <r>
      <rPr>
        <sz val="10"/>
        <color rgb="FF000000"/>
        <rFont val="WenQuanYi Zen Hei"/>
        <family val="2"/>
      </rPr>
      <t xml:space="preserve">딤전 </t>
    </r>
    <r>
      <rPr>
        <sz val="10"/>
        <color rgb="FF000000"/>
        <rFont val="Arial"/>
        <family val="0"/>
        <charset val="1"/>
      </rPr>
      <t xml:space="preserve">1:1-20</t>
    </r>
  </si>
  <si>
    <t xml:space="preserve">죄인 중에 내가 괴수니라</t>
  </si>
  <si>
    <t xml:space="preserve">바울은 자신을 이렇게 소개했다</t>
  </si>
  <si>
    <r>
      <rPr>
        <sz val="10"/>
        <color rgb="FF000000"/>
        <rFont val="WenQuanYi Zen Hei"/>
        <family val="2"/>
      </rPr>
      <t xml:space="preserve">딤전 </t>
    </r>
    <r>
      <rPr>
        <sz val="10"/>
        <color rgb="FF000000"/>
        <rFont val="Arial"/>
        <family val="0"/>
        <charset val="1"/>
      </rPr>
      <t xml:space="preserve">1:15</t>
    </r>
  </si>
  <si>
    <t xml:space="preserve">그리스도 예수께서 죄인을 구원하시려고 세상에 임하셨다</t>
  </si>
  <si>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디모데</t>
    </r>
  </si>
  <si>
    <t xml:space="preserve">에베소</t>
  </si>
  <si>
    <t xml:space="preserve">A0739</t>
  </si>
  <si>
    <r>
      <rPr>
        <sz val="10"/>
        <color rgb="FF000000"/>
        <rFont val="WenQuanYi Zen Hei"/>
        <family val="2"/>
      </rPr>
      <t xml:space="preserve">딤전 </t>
    </r>
    <r>
      <rPr>
        <sz val="10"/>
        <color rgb="FF000000"/>
        <rFont val="Arial"/>
        <family val="0"/>
        <charset val="1"/>
      </rPr>
      <t xml:space="preserve">2:1-3:16</t>
    </r>
  </si>
  <si>
    <t xml:space="preserve">유일한 중보자</t>
  </si>
  <si>
    <t xml:space="preserve">하나님과 사람 사이에</t>
  </si>
  <si>
    <r>
      <rPr>
        <sz val="10"/>
        <color rgb="FF000000"/>
        <rFont val="WenQuanYi Zen Hei"/>
        <family val="2"/>
      </rPr>
      <t xml:space="preserve">딤전 </t>
    </r>
    <r>
      <rPr>
        <sz val="10"/>
        <color rgb="FF000000"/>
        <rFont val="Arial"/>
        <family val="0"/>
        <charset val="1"/>
      </rPr>
      <t xml:space="preserve">2:5</t>
    </r>
  </si>
  <si>
    <t xml:space="preserve">하나님은 한 분이시요 또 하나님과 사람 사이에 중보자도 한 분이시니 곧 사람이신 그리스도 예수라</t>
  </si>
  <si>
    <t xml:space="preserve">교회 모임</t>
  </si>
  <si>
    <r>
      <rPr>
        <sz val="10"/>
        <color rgb="FFC00000"/>
        <rFont val="WenQuanYi Zen Hei"/>
        <family val="2"/>
      </rPr>
      <t xml:space="preserve">마리아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성인 중보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인간 교주 중보 배제</t>
    </r>
  </si>
  <si>
    <t xml:space="preserve">A0740</t>
  </si>
  <si>
    <r>
      <rPr>
        <sz val="10"/>
        <color rgb="FF000000"/>
        <rFont val="WenQuanYi Zen Hei"/>
        <family val="2"/>
      </rPr>
      <t xml:space="preserve">딤전 </t>
    </r>
    <r>
      <rPr>
        <sz val="10"/>
        <color rgb="FF000000"/>
        <rFont val="Arial"/>
        <family val="0"/>
        <charset val="1"/>
      </rPr>
      <t xml:space="preserve">4:1-16</t>
    </r>
  </si>
  <si>
    <t xml:space="preserve">연소함을 업신여기지 못하게</t>
  </si>
  <si>
    <t xml:space="preserve">젊은 목회자에게 보낸 응원</t>
  </si>
  <si>
    <r>
      <rPr>
        <sz val="10"/>
        <color rgb="FF000000"/>
        <rFont val="WenQuanYi Zen Hei"/>
        <family val="2"/>
      </rPr>
      <t xml:space="preserve">딤전 </t>
    </r>
    <r>
      <rPr>
        <sz val="10"/>
        <color rgb="FF000000"/>
        <rFont val="Arial"/>
        <family val="0"/>
        <charset val="1"/>
      </rPr>
      <t xml:space="preserve">4:12</t>
    </r>
  </si>
  <si>
    <t xml:space="preserve">말과 행실과 사랑과 믿음과 정절에 있어서 믿는 자에게 본이 되라</t>
  </si>
  <si>
    <t xml:space="preserve">에베소 교회</t>
  </si>
  <si>
    <t xml:space="preserve">청소년 대상 활용</t>
  </si>
  <si>
    <t xml:space="preserve">A0741</t>
  </si>
  <si>
    <r>
      <rPr>
        <sz val="10"/>
        <color rgb="FF000000"/>
        <rFont val="WenQuanYi Zen Hei"/>
        <family val="2"/>
      </rPr>
      <t xml:space="preserve">딤전 </t>
    </r>
    <r>
      <rPr>
        <sz val="10"/>
        <color rgb="FF000000"/>
        <rFont val="Arial"/>
        <family val="0"/>
        <charset val="1"/>
      </rPr>
      <t xml:space="preserve">5:1-6:21</t>
    </r>
  </si>
  <si>
    <t xml:space="preserve">자족하는 마음</t>
  </si>
  <si>
    <t xml:space="preserve">돈을 사랑함이 일만 악의 뿌리</t>
  </si>
  <si>
    <r>
      <rPr>
        <sz val="10"/>
        <color rgb="FF000000"/>
        <rFont val="WenQuanYi Zen Hei"/>
        <family val="2"/>
      </rPr>
      <t xml:space="preserve">딤전 </t>
    </r>
    <r>
      <rPr>
        <sz val="10"/>
        <color rgb="FF000000"/>
        <rFont val="Arial"/>
        <family val="0"/>
        <charset val="1"/>
      </rPr>
      <t xml:space="preserve">6:10</t>
    </r>
  </si>
  <si>
    <t xml:space="preserve">경건은 자족하는 마음이 있으면 큰 이익이 됩니다</t>
  </si>
  <si>
    <r>
      <rPr>
        <sz val="10"/>
        <color rgb="FF000000"/>
        <rFont val="WenQuanYi Zen Hei"/>
        <family val="2"/>
      </rPr>
      <t xml:space="preserve">시장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부자와 가난한 자</t>
    </r>
  </si>
  <si>
    <t xml:space="preserve">번영신학 경계</t>
  </si>
  <si>
    <t xml:space="preserve">A0742</t>
  </si>
  <si>
    <t xml:space="preserve">디모데후서</t>
  </si>
  <si>
    <r>
      <rPr>
        <sz val="10"/>
        <color rgb="FF000000"/>
        <rFont val="WenQuanYi Zen Hei"/>
        <family val="2"/>
      </rPr>
      <t xml:space="preserve">딤후 </t>
    </r>
    <r>
      <rPr>
        <sz val="10"/>
        <color rgb="FF000000"/>
        <rFont val="Arial"/>
        <family val="0"/>
        <charset val="1"/>
      </rPr>
      <t xml:space="preserve">1:1-18</t>
    </r>
  </si>
  <si>
    <t xml:space="preserve">두려워하는 마음이 아니요</t>
  </si>
  <si>
    <t xml:space="preserve">할머니와 어머니에게서 물려받은 믿음</t>
  </si>
  <si>
    <r>
      <rPr>
        <sz val="10"/>
        <color rgb="FF000000"/>
        <rFont val="WenQuanYi Zen Hei"/>
        <family val="2"/>
      </rPr>
      <t xml:space="preserve">딤후 </t>
    </r>
    <r>
      <rPr>
        <sz val="10"/>
        <color rgb="FF000000"/>
        <rFont val="Arial"/>
        <family val="0"/>
        <charset val="1"/>
      </rPr>
      <t xml:space="preserve">1:7</t>
    </r>
  </si>
  <si>
    <t xml:space="preserve">하나님이 우리에게 주신 것은 두려워하는 마음이 아니요 능력과 사랑과 절제하는 마음이니</t>
  </si>
  <si>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디모데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로이스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유니게</t>
    </r>
  </si>
  <si>
    <t xml:space="preserve">가정 신앙 전수</t>
  </si>
  <si>
    <t xml:space="preserve">A0743</t>
  </si>
  <si>
    <r>
      <rPr>
        <sz val="10"/>
        <color rgb="FF000000"/>
        <rFont val="WenQuanYi Zen Hei"/>
        <family val="2"/>
      </rPr>
      <t xml:space="preserve">딤후 </t>
    </r>
    <r>
      <rPr>
        <sz val="10"/>
        <color rgb="FF000000"/>
        <rFont val="Arial"/>
        <family val="0"/>
        <charset val="1"/>
      </rPr>
      <t xml:space="preserve">2:1-26</t>
    </r>
  </si>
  <si>
    <t xml:space="preserve">진리의 말씀을 옳게 분별하며</t>
  </si>
  <si>
    <r>
      <rPr>
        <sz val="10"/>
        <color rgb="FF000000"/>
        <rFont val="WenQuanYi Zen Hei"/>
        <family val="2"/>
      </rPr>
      <t xml:space="preserve">좋은 병사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경기하는 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농부처럼</t>
    </r>
  </si>
  <si>
    <r>
      <rPr>
        <sz val="10"/>
        <color rgb="FF000000"/>
        <rFont val="WenQuanYi Zen Hei"/>
        <family val="2"/>
      </rPr>
      <t xml:space="preserve">딤후 </t>
    </r>
    <r>
      <rPr>
        <sz val="10"/>
        <color rgb="FF000000"/>
        <rFont val="Arial"/>
        <family val="0"/>
        <charset val="1"/>
      </rPr>
      <t xml:space="preserve">2:15</t>
    </r>
  </si>
  <si>
    <t xml:space="preserve">진리의 말씀을 옳게 분별하며 부끄러울 것이 없는 일꾼</t>
  </si>
  <si>
    <r>
      <rPr>
        <sz val="10"/>
        <color rgb="FF000000"/>
        <rFont val="WenQuanYi Zen Hei"/>
        <family val="2"/>
      </rPr>
      <t xml:space="preserve">병사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운동선수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농부</t>
    </r>
  </si>
  <si>
    <t xml:space="preserve">A0744</t>
  </si>
  <si>
    <r>
      <rPr>
        <sz val="10"/>
        <color rgb="FF000000"/>
        <rFont val="WenQuanYi Zen Hei"/>
        <family val="2"/>
      </rPr>
      <t xml:space="preserve">딤후 </t>
    </r>
    <r>
      <rPr>
        <sz val="10"/>
        <color rgb="FF000000"/>
        <rFont val="Arial"/>
        <family val="0"/>
        <charset val="1"/>
      </rPr>
      <t xml:space="preserve">3:1-4:22</t>
    </r>
  </si>
  <si>
    <t xml:space="preserve">모든 성경은 하나님의 감동으로</t>
  </si>
  <si>
    <t xml:space="preserve">순교를 앞둔 바울의 마지막 편지</t>
  </si>
  <si>
    <r>
      <rPr>
        <sz val="10"/>
        <color rgb="FF000000"/>
        <rFont val="WenQuanYi Zen Hei"/>
        <family val="2"/>
      </rPr>
      <t xml:space="preserve">딤후 </t>
    </r>
    <r>
      <rPr>
        <sz val="10"/>
        <color rgb="FF000000"/>
        <rFont val="Arial"/>
        <family val="0"/>
        <charset val="1"/>
      </rPr>
      <t xml:space="preserve">3:16</t>
    </r>
  </si>
  <si>
    <t xml:space="preserve">모든 성경은 하나님의 감동으로 된 것으로 교훈과 책망과 바르게 함과 의로 교육하기에 유익하니</t>
  </si>
  <si>
    <r>
      <rPr>
        <sz val="10"/>
        <color rgb="FF000000"/>
        <rFont val="WenQuanYi Zen Hei"/>
        <family val="2"/>
      </rPr>
      <t xml:space="preserve">로마 감옥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두루마리</t>
    </r>
  </si>
  <si>
    <r>
      <rPr>
        <sz val="10"/>
        <color rgb="FFC00000"/>
        <rFont val="WenQuanYi Zen Hei"/>
        <family val="2"/>
      </rPr>
      <t xml:space="preserve">성경 영감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무오 핵심</t>
    </r>
    <r>
      <rPr>
        <sz val="10"/>
        <color rgb="FFC00000"/>
        <rFont val="Arial"/>
        <family val="0"/>
        <charset val="1"/>
      </rPr>
      <t xml:space="preserve">. 4:7 </t>
    </r>
    <r>
      <rPr>
        <sz val="10"/>
        <color rgb="FFC00000"/>
        <rFont val="WenQuanYi Zen Hei"/>
        <family val="2"/>
      </rPr>
      <t xml:space="preserve">선한 싸움</t>
    </r>
  </si>
  <si>
    <t xml:space="preserve">A0745</t>
  </si>
  <si>
    <t xml:space="preserve">디도서</t>
  </si>
  <si>
    <r>
      <rPr>
        <sz val="10"/>
        <color rgb="FF000000"/>
        <rFont val="WenQuanYi Zen Hei"/>
        <family val="2"/>
      </rPr>
      <t xml:space="preserve">딛 </t>
    </r>
    <r>
      <rPr>
        <sz val="10"/>
        <color rgb="FF000000"/>
        <rFont val="Arial"/>
        <family val="0"/>
        <charset val="1"/>
      </rPr>
      <t xml:space="preserve">1:1-16</t>
    </r>
  </si>
  <si>
    <t xml:space="preserve">바른 교훈을 지키는 사람</t>
  </si>
  <si>
    <r>
      <rPr>
        <sz val="10"/>
        <color rgb="FF000000"/>
        <rFont val="WenQuanYi Zen Hei"/>
        <family val="2"/>
      </rPr>
      <t xml:space="preserve">교회 지도자는 어떤 사람이어야 할까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</si>
  <si>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딛 </t>
    </r>
    <r>
      <rPr>
        <sz val="10"/>
        <color rgb="FF000000"/>
        <rFont val="Arial"/>
        <family val="0"/>
        <charset val="1"/>
      </rPr>
      <t xml:space="preserve">1:9</t>
    </r>
  </si>
  <si>
    <t xml:space="preserve">미쁜 말씀의 가르침을 그대로 지켜야 합니다</t>
  </si>
  <si>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디도</t>
    </r>
  </si>
  <si>
    <t xml:space="preserve">그레데 섬</t>
  </si>
  <si>
    <t xml:space="preserve">A0746</t>
  </si>
  <si>
    <r>
      <rPr>
        <sz val="10"/>
        <color rgb="FF000000"/>
        <rFont val="WenQuanYi Zen Hei"/>
        <family val="2"/>
      </rPr>
      <t xml:space="preserve">딛 </t>
    </r>
    <r>
      <rPr>
        <sz val="10"/>
        <color rgb="FF000000"/>
        <rFont val="Arial"/>
        <family val="0"/>
        <charset val="1"/>
      </rPr>
      <t xml:space="preserve">2:1-3:15</t>
    </r>
  </si>
  <si>
    <t xml:space="preserve">은혜가 나타나</t>
  </si>
  <si>
    <t xml:space="preserve">우리를 구원하신 이유</t>
  </si>
  <si>
    <r>
      <rPr>
        <sz val="10"/>
        <color rgb="FF000000"/>
        <rFont val="WenQuanYi Zen Hei"/>
        <family val="2"/>
      </rPr>
      <t xml:space="preserve">딛 </t>
    </r>
    <r>
      <rPr>
        <sz val="10"/>
        <color rgb="FF000000"/>
        <rFont val="Arial"/>
        <family val="0"/>
        <charset val="1"/>
      </rPr>
      <t xml:space="preserve">3:5</t>
    </r>
  </si>
  <si>
    <t xml:space="preserve">우리를 구원하시되 우리가 행한 바 의로운 행위로 말미암지 아니하고 오직 그의 긍휼하심을 따라</t>
  </si>
  <si>
    <t xml:space="preserve">그레데</t>
  </si>
  <si>
    <t xml:space="preserve">A0747</t>
  </si>
  <si>
    <t xml:space="preserve">빌레몬서</t>
  </si>
  <si>
    <r>
      <rPr>
        <sz val="10"/>
        <color rgb="FF000000"/>
        <rFont val="WenQuanYi Zen Hei"/>
        <family val="2"/>
      </rPr>
      <t xml:space="preserve">몬 </t>
    </r>
    <r>
      <rPr>
        <sz val="10"/>
        <color rgb="FF000000"/>
        <rFont val="Arial"/>
        <family val="0"/>
        <charset val="1"/>
      </rPr>
      <t xml:space="preserve">1:1-25</t>
    </r>
  </si>
  <si>
    <t xml:space="preserve">도망친 노예 오네시모</t>
  </si>
  <si>
    <t xml:space="preserve">주인에게 돌아가는 노예의 손에 들린 편지</t>
  </si>
  <si>
    <r>
      <rPr>
        <sz val="10"/>
        <color rgb="FF000000"/>
        <rFont val="WenQuanYi Zen Hei"/>
        <family val="2"/>
      </rPr>
      <t xml:space="preserve">몬 </t>
    </r>
    <r>
      <rPr>
        <sz val="10"/>
        <color rgb="FF000000"/>
        <rFont val="Arial"/>
        <family val="0"/>
        <charset val="1"/>
      </rPr>
      <t xml:space="preserve">1:16</t>
    </r>
  </si>
  <si>
    <t xml:space="preserve">이후로는 종과 같이 대하지 아니하고 사랑받는 형제로 둘 자라</t>
  </si>
  <si>
    <r>
      <rPr>
        <sz val="10"/>
        <color rgb="FF000000"/>
        <rFont val="WenQuanYi Zen Hei"/>
        <family val="2"/>
      </rPr>
      <t xml:space="preserve">바울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오네시모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빌레몬</t>
    </r>
  </si>
  <si>
    <r>
      <rPr>
        <sz val="10"/>
        <color rgb="FF000000"/>
        <rFont val="WenQuanYi Zen Hei"/>
        <family val="2"/>
      </rPr>
      <t xml:space="preserve">로마 감옥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골로새 빌레몬의 집</t>
    </r>
  </si>
  <si>
    <t xml:space="preserve">복음 안의 화해</t>
  </si>
  <si>
    <t xml:space="preserve">A0748</t>
  </si>
  <si>
    <t xml:space="preserve">B080</t>
  </si>
  <si>
    <t xml:space="preserve">S2-L50</t>
  </si>
  <si>
    <t xml:space="preserve">히브리서</t>
  </si>
  <si>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1:1-2:18</t>
    </r>
  </si>
  <si>
    <t xml:space="preserve">천사보다 뛰어나신 아들</t>
  </si>
  <si>
    <t xml:space="preserve">하나님이 마지막으로 하신 말씀</t>
  </si>
  <si>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1:3</t>
    </r>
  </si>
  <si>
    <t xml:space="preserve">그는 하나님의 영광의 광채시요 그 본체의 형상이시라</t>
  </si>
  <si>
    <r>
      <rPr>
        <sz val="10"/>
        <color rgb="FF000000"/>
        <rFont val="WenQuanYi Zen Hei"/>
        <family val="2"/>
      </rPr>
      <t xml:space="preserve">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빛</t>
    </r>
    <r>
      <rPr>
        <sz val="10"/>
        <color rgb="FF000000"/>
        <rFont val="Arial"/>
        <family val="0"/>
        <charset val="1"/>
      </rPr>
      <t xml:space="preserve">)·</t>
    </r>
    <r>
      <rPr>
        <sz val="10"/>
        <color rgb="FF000000"/>
        <rFont val="WenQuanYi Zen Hei"/>
        <family val="2"/>
      </rPr>
      <t xml:space="preserve">천사들</t>
    </r>
  </si>
  <si>
    <t xml:space="preserve">그리스도의 완전한 신성</t>
  </si>
  <si>
    <t xml:space="preserve">A0749</t>
  </si>
  <si>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3:1-4:13</t>
    </r>
  </si>
  <si>
    <t xml:space="preserve">살아 있는 말씀</t>
  </si>
  <si>
    <t xml:space="preserve">좌우에 날 선 어떤 검보다 예리한</t>
  </si>
  <si>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4:12</t>
    </r>
  </si>
  <si>
    <t xml:space="preserve">하나님의 말씀은 살아 있고 활력이 있습니다</t>
  </si>
  <si>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여호수아 회상</t>
    </r>
  </si>
  <si>
    <t xml:space="preserve">광야와 약속의 땅</t>
  </si>
  <si>
    <t xml:space="preserve">A0750</t>
  </si>
  <si>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4:14-5:10</t>
    </r>
  </si>
  <si>
    <t xml:space="preserve">큰 대제사장</t>
  </si>
  <si>
    <t xml:space="preserve">우리의 연약함을 아시는 분</t>
  </si>
  <si>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4:16</t>
    </r>
  </si>
  <si>
    <t xml:space="preserve">은혜의 보좌 앞에 담대히 나아갈 것이니라</t>
  </si>
  <si>
    <r>
      <rPr>
        <sz val="10"/>
        <color rgb="FF000000"/>
        <rFont val="WenQuanYi Zen Hei"/>
        <family val="2"/>
      </rPr>
      <t xml:space="preserve">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대제사장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</si>
  <si>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성소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휘장</t>
    </r>
  </si>
  <si>
    <t xml:space="preserve">A0751</t>
  </si>
  <si>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5:11-6:20</t>
    </r>
  </si>
  <si>
    <t xml:space="preserve">영혼의 닻</t>
  </si>
  <si>
    <t xml:space="preserve">흔들리는 배를 붙드는 닻</t>
  </si>
  <si>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6:19</t>
    </r>
  </si>
  <si>
    <t xml:space="preserve">우리가 이 소망을 가지고 있는 것은 영혼의 닻 같아서</t>
  </si>
  <si>
    <r>
      <rPr>
        <sz val="10"/>
        <color rgb="FF000000"/>
        <rFont val="WenQuanYi Zen Hei"/>
        <family val="2"/>
      </rPr>
      <t xml:space="preserve">저자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성도</t>
    </r>
  </si>
  <si>
    <t xml:space="preserve">폭풍 속 닻</t>
  </si>
  <si>
    <r>
      <rPr>
        <sz val="10"/>
        <color rgb="FFC00000"/>
        <rFont val="Arial"/>
        <family val="0"/>
        <charset val="1"/>
      </rPr>
      <t xml:space="preserve">6:4-6 </t>
    </r>
    <r>
      <rPr>
        <sz val="10"/>
        <color rgb="FFC00000"/>
        <rFont val="WenQuanYi Zen Hei"/>
        <family val="2"/>
      </rPr>
      <t xml:space="preserve">해석 공포 조장 금지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견인 교리와 조화</t>
    </r>
  </si>
  <si>
    <t xml:space="preserve">A0752</t>
  </si>
  <si>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7:1-28</t>
    </r>
  </si>
  <si>
    <t xml:space="preserve">멜기세덱의 반차</t>
  </si>
  <si>
    <t xml:space="preserve">족보도 없이 등장한 제사장</t>
  </si>
  <si>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7:25</t>
    </r>
  </si>
  <si>
    <t xml:space="preserve">그는 항상 살아서 그들을 위하여 간구하십니다</t>
  </si>
  <si>
    <r>
      <rPr>
        <sz val="10"/>
        <color rgb="FF000000"/>
        <rFont val="WenQuanYi Zen Hei"/>
        <family val="2"/>
      </rPr>
      <t xml:space="preserve">멜기세덱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아브라함 회상</t>
    </r>
  </si>
  <si>
    <t xml:space="preserve">살렘</t>
  </si>
  <si>
    <t xml:space="preserve">A0753</t>
  </si>
  <si>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8:1-10:18</t>
    </r>
  </si>
  <si>
    <t xml:space="preserve">단번에</t>
  </si>
  <si>
    <r>
      <rPr>
        <sz val="10"/>
        <color rgb="FF000000"/>
        <rFont val="WenQuanYi Zen Hei"/>
        <family val="2"/>
      </rPr>
      <t xml:space="preserve">매일 반복된 제사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단 한 번의 제사</t>
    </r>
  </si>
  <si>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10:10</t>
    </r>
  </si>
  <si>
    <t xml:space="preserve">예수 그리스도의 몸을 단번에 드리심으로 거룩함을 얻었노라</t>
  </si>
  <si>
    <r>
      <rPr>
        <sz val="10"/>
        <color rgb="FF000000"/>
        <rFont val="WenQuanYi Zen Hei"/>
        <family val="2"/>
      </rPr>
      <t xml:space="preserve">그리스도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제사장들</t>
    </r>
  </si>
  <si>
    <r>
      <rPr>
        <sz val="10"/>
        <color rgb="FF000000"/>
        <rFont val="WenQuanYi Zen Hei"/>
        <family val="2"/>
      </rPr>
      <t xml:space="preserve">성막 회상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십자가</t>
    </r>
  </si>
  <si>
    <r>
      <rPr>
        <sz val="10"/>
        <color rgb="FFC00000"/>
        <rFont val="WenQuanYi Zen Hei"/>
        <family val="2"/>
      </rPr>
      <t xml:space="preserve">반복 제사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미사</t>
    </r>
    <r>
      <rPr>
        <sz val="10"/>
        <color rgb="FFC00000"/>
        <rFont val="Arial"/>
        <family val="0"/>
        <charset val="1"/>
      </rPr>
      <t xml:space="preserve">) </t>
    </r>
    <r>
      <rPr>
        <sz val="10"/>
        <color rgb="FFC00000"/>
        <rFont val="WenQuanYi Zen Hei"/>
        <family val="2"/>
      </rPr>
      <t xml:space="preserve">개념 배제</t>
    </r>
  </si>
  <si>
    <t xml:space="preserve">A0754</t>
  </si>
  <si>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10:19-39</t>
    </r>
  </si>
  <si>
    <t xml:space="preserve">모이기를 폐하지 말고</t>
  </si>
  <si>
    <t xml:space="preserve">함께 모여야 하는 이유</t>
  </si>
  <si>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10:25</t>
    </r>
  </si>
  <si>
    <t xml:space="preserve">모이기를 폐하는 어떤 사람들의 습관과 같이 하지 말고</t>
  </si>
  <si>
    <r>
      <rPr>
        <sz val="10"/>
        <color rgb="FFC00000"/>
        <rFont val="Arial"/>
        <family val="0"/>
        <charset val="1"/>
      </rPr>
      <t xml:space="preserve">10:26 </t>
    </r>
    <r>
      <rPr>
        <sz val="10"/>
        <color rgb="FFC00000"/>
        <rFont val="WenQuanYi Zen Hei"/>
        <family val="2"/>
      </rPr>
      <t xml:space="preserve">해석 공포 조장 금지</t>
    </r>
  </si>
  <si>
    <t xml:space="preserve">A0755</t>
  </si>
  <si>
    <t xml:space="preserve">S1-L31</t>
  </si>
  <si>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11:1-40</t>
    </r>
  </si>
  <si>
    <t xml:space="preserve">믿음장</t>
  </si>
  <si>
    <t xml:space="preserve">믿음으로 살았던 사람들의 명예의 전당</t>
  </si>
  <si>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11:6</t>
    </r>
  </si>
  <si>
    <t xml:space="preserve">믿음이 없이는 하나님을 기쁘시게 하지 못하나니</t>
  </si>
  <si>
    <r>
      <rPr>
        <sz val="10"/>
        <color rgb="FF000000"/>
        <rFont val="WenQuanYi Zen Hei"/>
        <family val="2"/>
      </rPr>
      <t xml:space="preserve">아벨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에녹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노아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아브라함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라합 회상</t>
    </r>
  </si>
  <si>
    <t xml:space="preserve">믿음의 영웅들 갤러리</t>
  </si>
  <si>
    <t xml:space="preserve">구약 인물 복습 편으로 활용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</si>
  <si>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30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빌 </t>
    </r>
    <r>
      <rPr>
        <sz val="10"/>
        <color rgb="FF1F3864"/>
        <rFont val="Arial"/>
        <family val="0"/>
        <charset val="1"/>
      </rPr>
      <t xml:space="preserve">1:1-30 </t>
    </r>
    <r>
      <rPr>
        <sz val="10"/>
        <color rgb="FF1F3864"/>
        <rFont val="WenQuanYi Zen Hei"/>
        <family val="2"/>
      </rPr>
      <t xml:space="preserve">사는 것이 그리스도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빌 </t>
    </r>
    <r>
      <rPr>
        <sz val="10"/>
        <color rgb="FF1F3864"/>
        <rFont val="Arial"/>
        <family val="0"/>
        <charset val="1"/>
      </rPr>
      <t xml:space="preserve">2:1-30 </t>
    </r>
    <r>
      <rPr>
        <sz val="10"/>
        <color rgb="FF1F3864"/>
        <rFont val="WenQuanYi Zen Hei"/>
        <family val="2"/>
      </rPr>
      <t xml:space="preserve">그리스도의 마음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빌 </t>
    </r>
    <r>
      <rPr>
        <sz val="10"/>
        <color rgb="FF1F3864"/>
        <rFont val="Arial"/>
        <family val="0"/>
        <charset val="1"/>
      </rPr>
      <t xml:space="preserve">3:1-21 </t>
    </r>
    <r>
      <rPr>
        <sz val="10"/>
        <color rgb="FF1F3864"/>
        <rFont val="WenQuanYi Zen Hei"/>
        <family val="2"/>
      </rPr>
      <t xml:space="preserve">푯대를 향하여 외 </t>
    </r>
    <r>
      <rPr>
        <sz val="10"/>
        <color rgb="FF1F3864"/>
        <rFont val="Arial"/>
        <family val="0"/>
        <charset val="1"/>
      </rPr>
      <t xml:space="preserve">27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</si>
  <si>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A0756</t>
  </si>
  <si>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12:1-29</t>
    </r>
  </si>
  <si>
    <t xml:space="preserve">믿음의 주요 또 온전하게 하시는 이</t>
  </si>
  <si>
    <t xml:space="preserve">구름같이 둘러싼 응원단</t>
  </si>
  <si>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12:2</t>
    </r>
  </si>
  <si>
    <t xml:space="preserve">믿음의 주요 또 온전하게 하시는 이인 예수를 바라보자</t>
  </si>
  <si>
    <r>
      <rPr>
        <sz val="10"/>
        <color rgb="FF000000"/>
        <rFont val="WenQuanYi Zen Hei"/>
        <family val="2"/>
      </rPr>
      <t xml:space="preserve">성도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허다한 증인들</t>
    </r>
  </si>
  <si>
    <t xml:space="preserve">경기장 경주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</si>
  <si>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#098 '</t>
    </r>
    <r>
      <rPr>
        <sz val="10"/>
        <color rgb="FF000000"/>
        <rFont val="WenQuanYi Zen Hei"/>
        <family val="2"/>
      </rPr>
      <t xml:space="preserve">믿음장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</si>
  <si>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A0757</t>
  </si>
  <si>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13:1-25</t>
    </r>
  </si>
  <si>
    <t xml:space="preserve">어제나 오늘이나 영원토록</t>
  </si>
  <si>
    <t xml:space="preserve">변하지 않는 한 분</t>
  </si>
  <si>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13:8</t>
    </r>
  </si>
  <si>
    <t xml:space="preserve">예수 그리스도는 어제나 오늘이나 영원토록 동일하시니라</t>
  </si>
  <si>
    <t xml:space="preserve">저자</t>
  </si>
  <si>
    <t xml:space="preserve">변하는 세상과 변치 않는 빛</t>
  </si>
  <si>
    <t xml:space="preserve">A0758</t>
  </si>
  <si>
    <t xml:space="preserve">B081</t>
  </si>
  <si>
    <t xml:space="preserve">S2-L51</t>
  </si>
  <si>
    <t xml:space="preserve">야고보서</t>
  </si>
  <si>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1:1-18</t>
    </r>
  </si>
  <si>
    <t xml:space="preserve">시험을 기쁘게</t>
  </si>
  <si>
    <r>
      <rPr>
        <sz val="10"/>
        <color rgb="FF000000"/>
        <rFont val="WenQuanYi Zen Hei"/>
        <family val="2"/>
      </rPr>
      <t xml:space="preserve">힘든 일이 기쁨이 될 수 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</si>
  <si>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1:2</t>
    </r>
  </si>
  <si>
    <t xml:space="preserve">여러 가지 시험을 만나거든 온전히 기쁘게 여기라</t>
  </si>
  <si>
    <t xml:space="preserve">야고보</t>
  </si>
  <si>
    <t xml:space="preserve">흩어진 성도들</t>
  </si>
  <si>
    <t xml:space="preserve">A0759</t>
  </si>
  <si>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1:19-27</t>
    </r>
  </si>
  <si>
    <t xml:space="preserve">듣기는 속히</t>
  </si>
  <si>
    <t xml:space="preserve">말하기는 더디 하고 성내기도 더디 하라</t>
  </si>
  <si>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1:19</t>
    </r>
  </si>
  <si>
    <t xml:space="preserve">말씀을 듣고 행하는 자가 되십시오</t>
  </si>
  <si>
    <t xml:space="preserve">거울 보는 사람</t>
  </si>
  <si>
    <t xml:space="preserve">A0760</t>
  </si>
  <si>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2:1-26</t>
    </r>
  </si>
  <si>
    <t xml:space="preserve">행함이 없는 믿음</t>
  </si>
  <si>
    <r>
      <rPr>
        <sz val="10"/>
        <color rgb="FF000000"/>
        <rFont val="WenQuanYi Zen Hei"/>
        <family val="2"/>
      </rPr>
      <t xml:space="preserve">믿음만 있으면 아무렇게나 살아도 될까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</si>
  <si>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2:17</t>
    </r>
  </si>
  <si>
    <t xml:space="preserve">행함이 없는 믿음은 그 자체가 죽은 것이라</t>
  </si>
  <si>
    <r>
      <rPr>
        <sz val="10"/>
        <color rgb="FF000000"/>
        <rFont val="WenQuanYi Zen Hei"/>
        <family val="2"/>
      </rPr>
      <t xml:space="preserve">야고보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아브라함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라합 회상</t>
    </r>
  </si>
  <si>
    <t xml:space="preserve">굶주린 이웃</t>
  </si>
  <si>
    <r>
      <rPr>
        <sz val="10"/>
        <color rgb="FFC00000"/>
        <rFont val="WenQuanYi Zen Hei"/>
        <family val="2"/>
      </rPr>
      <t xml:space="preserve">이신칭의와 충돌 아님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살아 있는 믿음의 열매로 설명</t>
    </r>
  </si>
  <si>
    <t xml:space="preserve">A0761</t>
  </si>
  <si>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3:1-18</t>
    </r>
  </si>
  <si>
    <t xml:space="preserve">혀의 힘</t>
  </si>
  <si>
    <t xml:space="preserve">작은 불이 큰 숲을 태운다</t>
  </si>
  <si>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3:2</t>
    </r>
  </si>
  <si>
    <t xml:space="preserve">말에 실수가 없는 자는 온전한 사람이라</t>
  </si>
  <si>
    <r>
      <rPr>
        <sz val="10"/>
        <color rgb="FF000000"/>
        <rFont val="WenQuanYi Zen Hei"/>
        <family val="2"/>
      </rPr>
      <t xml:space="preserve">불씨와 숲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배의 키</t>
    </r>
  </si>
  <si>
    <t xml:space="preserve">A0762</t>
  </si>
  <si>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4:1-5:20</t>
    </r>
  </si>
  <si>
    <t xml:space="preserve">하나님을 가까이하라</t>
  </si>
  <si>
    <t xml:space="preserve">하나님께 가까이 가면</t>
  </si>
  <si>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4:8</t>
    </r>
  </si>
  <si>
    <t xml:space="preserve">하나님을 가까이하라 그리하면 너희를 가까이하시리라</t>
  </si>
  <si>
    <r>
      <rPr>
        <sz val="10"/>
        <color rgb="FF000000"/>
        <rFont val="WenQuanYi Zen Hei"/>
        <family val="2"/>
      </rPr>
      <t xml:space="preserve">야고보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엘리야 회상</t>
    </r>
  </si>
  <si>
    <t xml:space="preserve">기도하는 공동체</t>
  </si>
  <si>
    <r>
      <rPr>
        <sz val="10"/>
        <color rgb="FFC00000"/>
        <rFont val="Arial"/>
        <family val="0"/>
        <charset val="1"/>
      </rPr>
      <t xml:space="preserve">5:14 </t>
    </r>
    <r>
      <rPr>
        <sz val="10"/>
        <color rgb="FFC00000"/>
        <rFont val="WenQuanYi Zen Hei"/>
        <family val="2"/>
      </rPr>
      <t xml:space="preserve">기름 바름을 미신적으로 연출 금지</t>
    </r>
  </si>
  <si>
    <t xml:space="preserve">A0763</t>
  </si>
  <si>
    <t xml:space="preserve">베드로전서</t>
  </si>
  <si>
    <r>
      <rPr>
        <sz val="10"/>
        <color rgb="FF000000"/>
        <rFont val="WenQuanYi Zen Hei"/>
        <family val="2"/>
      </rPr>
      <t xml:space="preserve">벧전 </t>
    </r>
    <r>
      <rPr>
        <sz val="10"/>
        <color rgb="FF000000"/>
        <rFont val="Arial"/>
        <family val="0"/>
        <charset val="1"/>
      </rPr>
      <t xml:space="preserve">1:1-25</t>
    </r>
  </si>
  <si>
    <t xml:space="preserve">산 소망</t>
  </si>
  <si>
    <t xml:space="preserve">부활이 주는 새로운 출발</t>
  </si>
  <si>
    <r>
      <rPr>
        <sz val="10"/>
        <color rgb="FF000000"/>
        <rFont val="WenQuanYi Zen Hei"/>
        <family val="2"/>
      </rPr>
      <t xml:space="preserve">벧전 </t>
    </r>
    <r>
      <rPr>
        <sz val="10"/>
        <color rgb="FF000000"/>
        <rFont val="Arial"/>
        <family val="0"/>
        <charset val="1"/>
      </rPr>
      <t xml:space="preserve">1:3</t>
    </r>
  </si>
  <si>
    <t xml:space="preserve">예수 그리스도를 죽은 자 가운데서 부활하게 하심으로 말미암아 우리를 거듭나게 하사 산 소망이 있게 하시며</t>
  </si>
  <si>
    <t xml:space="preserve">베드로</t>
  </si>
  <si>
    <t xml:space="preserve">흩어진 나그네들</t>
  </si>
  <si>
    <t xml:space="preserve">A0764</t>
  </si>
  <si>
    <r>
      <rPr>
        <sz val="10"/>
        <color rgb="FF000000"/>
        <rFont val="WenQuanYi Zen Hei"/>
        <family val="2"/>
      </rPr>
      <t xml:space="preserve">벧전 </t>
    </r>
    <r>
      <rPr>
        <sz val="10"/>
        <color rgb="FF000000"/>
        <rFont val="Arial"/>
        <family val="0"/>
        <charset val="1"/>
      </rPr>
      <t xml:space="preserve">2:1-25</t>
    </r>
  </si>
  <si>
    <t xml:space="preserve">왕 같은 제사장</t>
  </si>
  <si>
    <t xml:space="preserve">당신은 택하신 족속입니다</t>
  </si>
  <si>
    <r>
      <rPr>
        <sz val="10"/>
        <color rgb="FF000000"/>
        <rFont val="WenQuanYi Zen Hei"/>
        <family val="2"/>
      </rPr>
      <t xml:space="preserve">벧전 </t>
    </r>
    <r>
      <rPr>
        <sz val="10"/>
        <color rgb="FF000000"/>
        <rFont val="Arial"/>
        <family val="0"/>
        <charset val="1"/>
      </rPr>
      <t xml:space="preserve">2:9</t>
    </r>
  </si>
  <si>
    <t xml:space="preserve">너희는 택하신 족속이요 왕 같은 제사장들이요 거룩한 나라요</t>
  </si>
  <si>
    <t xml:space="preserve">산 돌로 지어지는 집</t>
  </si>
  <si>
    <t xml:space="preserve">만인제사장 교리</t>
  </si>
  <si>
    <t xml:space="preserve">A0765</t>
  </si>
  <si>
    <r>
      <rPr>
        <sz val="10"/>
        <color rgb="FF000000"/>
        <rFont val="WenQuanYi Zen Hei"/>
        <family val="2"/>
      </rPr>
      <t xml:space="preserve">벧전 </t>
    </r>
    <r>
      <rPr>
        <sz val="10"/>
        <color rgb="FF000000"/>
        <rFont val="Arial"/>
        <family val="0"/>
        <charset val="1"/>
      </rPr>
      <t xml:space="preserve">3:1-22</t>
    </r>
  </si>
  <si>
    <t xml:space="preserve">소망에 관한 이유</t>
  </si>
  <si>
    <t xml:space="preserve">왜 믿느냐고 묻는다면</t>
  </si>
  <si>
    <r>
      <rPr>
        <sz val="10"/>
        <color rgb="FF000000"/>
        <rFont val="WenQuanYi Zen Hei"/>
        <family val="2"/>
      </rPr>
      <t xml:space="preserve">벧전 </t>
    </r>
    <r>
      <rPr>
        <sz val="10"/>
        <color rgb="FF000000"/>
        <rFont val="Arial"/>
        <family val="0"/>
        <charset val="1"/>
      </rPr>
      <t xml:space="preserve">3:15</t>
    </r>
  </si>
  <si>
    <t xml:space="preserve">너희 속에 있는 소망에 관한 이유를 묻는 자에게는 대답할 것을 항상 준비하되</t>
  </si>
  <si>
    <t xml:space="preserve">질문하는 이웃</t>
  </si>
  <si>
    <r>
      <rPr>
        <sz val="10"/>
        <color rgb="FFC00000"/>
        <rFont val="Arial"/>
        <family val="0"/>
        <charset val="1"/>
      </rPr>
      <t xml:space="preserve">3:19 '</t>
    </r>
    <r>
      <rPr>
        <sz val="10"/>
        <color rgb="FFC00000"/>
        <rFont val="WenQuanYi Zen Hei"/>
        <family val="2"/>
      </rPr>
      <t xml:space="preserve">옥에 있는 영들</t>
    </r>
    <r>
      <rPr>
        <sz val="10"/>
        <color rgb="FFC00000"/>
        <rFont val="Arial"/>
        <family val="0"/>
        <charset val="1"/>
      </rPr>
      <t xml:space="preserve">' </t>
    </r>
    <r>
      <rPr>
        <sz val="10"/>
        <color rgb="FFC00000"/>
        <rFont val="WenQuanYi Zen Hei"/>
        <family val="2"/>
      </rPr>
      <t xml:space="preserve">해석 단정 금지</t>
    </r>
  </si>
  <si>
    <t xml:space="preserve">A0766</t>
  </si>
  <si>
    <r>
      <rPr>
        <sz val="10"/>
        <color rgb="FF000000"/>
        <rFont val="WenQuanYi Zen Hei"/>
        <family val="2"/>
      </rPr>
      <t xml:space="preserve">벧전 </t>
    </r>
    <r>
      <rPr>
        <sz val="10"/>
        <color rgb="FF000000"/>
        <rFont val="Arial"/>
        <family val="0"/>
        <charset val="1"/>
      </rPr>
      <t xml:space="preserve">4:1-5:14</t>
    </r>
  </si>
  <si>
    <t xml:space="preserve">염려를 맡기라</t>
  </si>
  <si>
    <t xml:space="preserve">사자처럼 삼킬 자를 찾는 원수</t>
  </si>
  <si>
    <r>
      <rPr>
        <sz val="10"/>
        <color rgb="FF000000"/>
        <rFont val="WenQuanYi Zen Hei"/>
        <family val="2"/>
      </rPr>
      <t xml:space="preserve">벧전 </t>
    </r>
    <r>
      <rPr>
        <sz val="10"/>
        <color rgb="FF000000"/>
        <rFont val="Arial"/>
        <family val="0"/>
        <charset val="1"/>
      </rPr>
      <t xml:space="preserve">5:7</t>
    </r>
  </si>
  <si>
    <t xml:space="preserve">너희 염려를 다 주께 맡기라 이는 그가 너희를 돌보심이라</t>
  </si>
  <si>
    <t xml:space="preserve">양 떼와 목자</t>
  </si>
  <si>
    <t xml:space="preserve">A0767</t>
  </si>
  <si>
    <t xml:space="preserve">베드로후서</t>
  </si>
  <si>
    <r>
      <rPr>
        <sz val="10"/>
        <color rgb="FF000000"/>
        <rFont val="WenQuanYi Zen Hei"/>
        <family val="2"/>
      </rPr>
      <t xml:space="preserve">벧후 </t>
    </r>
    <r>
      <rPr>
        <sz val="10"/>
        <color rgb="FF000000"/>
        <rFont val="Arial"/>
        <family val="0"/>
        <charset val="1"/>
      </rPr>
      <t xml:space="preserve">1:1-21</t>
    </r>
  </si>
  <si>
    <t xml:space="preserve">사사로이 풀 것이 아니니</t>
  </si>
  <si>
    <r>
      <rPr>
        <sz val="10"/>
        <color rgb="FF000000"/>
        <rFont val="WenQuanYi Zen Hei"/>
        <family val="2"/>
      </rPr>
      <t xml:space="preserve">성경은 어떻게 기록되었을까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</si>
  <si>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벧후 </t>
    </r>
    <r>
      <rPr>
        <sz val="10"/>
        <color rgb="FF000000"/>
        <rFont val="Arial"/>
        <family val="0"/>
        <charset val="1"/>
      </rPr>
      <t xml:space="preserve">1:21</t>
    </r>
  </si>
  <si>
    <t xml:space="preserve">예언은 성령의 감동하심을 받은 사람들이 하나님께 받아 말한 것입니다</t>
  </si>
  <si>
    <t xml:space="preserve">변화산 회상</t>
  </si>
  <si>
    <r>
      <rPr>
        <sz val="10"/>
        <color rgb="FFC00000"/>
        <rFont val="WenQuanYi Zen Hei"/>
        <family val="2"/>
      </rPr>
      <t xml:space="preserve">자의적 성경 해석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비유 풀이</t>
    </r>
    <r>
      <rPr>
        <sz val="10"/>
        <color rgb="FFC00000"/>
        <rFont val="Arial"/>
        <family val="0"/>
        <charset val="1"/>
      </rPr>
      <t xml:space="preserve">) </t>
    </r>
    <r>
      <rPr>
        <sz val="10"/>
        <color rgb="FFC00000"/>
        <rFont val="WenQuanYi Zen Hei"/>
        <family val="2"/>
      </rPr>
      <t xml:space="preserve">경계 핵심 본문</t>
    </r>
  </si>
  <si>
    <t xml:space="preserve">A0768</t>
  </si>
  <si>
    <r>
      <rPr>
        <sz val="10"/>
        <color rgb="FF000000"/>
        <rFont val="WenQuanYi Zen Hei"/>
        <family val="2"/>
      </rPr>
      <t xml:space="preserve">벧후 </t>
    </r>
    <r>
      <rPr>
        <sz val="10"/>
        <color rgb="FF000000"/>
        <rFont val="Arial"/>
        <family val="0"/>
        <charset val="1"/>
      </rPr>
      <t xml:space="preserve">2:1-22</t>
    </r>
  </si>
  <si>
    <t xml:space="preserve">거짓 선생들</t>
  </si>
  <si>
    <t xml:space="preserve">교회 안에 들어온 거짓 선생들</t>
  </si>
  <si>
    <r>
      <rPr>
        <sz val="10"/>
        <color rgb="FF000000"/>
        <rFont val="WenQuanYi Zen Hei"/>
        <family val="2"/>
      </rPr>
      <t xml:space="preserve">벧후 </t>
    </r>
    <r>
      <rPr>
        <sz val="10"/>
        <color rgb="FF000000"/>
        <rFont val="Arial"/>
        <family val="0"/>
        <charset val="1"/>
      </rPr>
      <t xml:space="preserve">2:1</t>
    </r>
  </si>
  <si>
    <t xml:space="preserve">멸망하게 할 이단을 가만히 끌어들여</t>
  </si>
  <si>
    <t xml:space="preserve">양의 탈을 쓴 늑대 비유</t>
  </si>
  <si>
    <t xml:space="preserve">이단 경계 핵심 본문</t>
  </si>
  <si>
    <t xml:space="preserve">A0769</t>
  </si>
  <si>
    <r>
      <rPr>
        <sz val="10"/>
        <color rgb="FF000000"/>
        <rFont val="WenQuanYi Zen Hei"/>
        <family val="2"/>
      </rPr>
      <t xml:space="preserve">벧후 </t>
    </r>
    <r>
      <rPr>
        <sz val="10"/>
        <color rgb="FF000000"/>
        <rFont val="Arial"/>
        <family val="0"/>
        <charset val="1"/>
      </rPr>
      <t xml:space="preserve">3:1-18</t>
    </r>
  </si>
  <si>
    <t xml:space="preserve">천 년이 하루 같고</t>
  </si>
  <si>
    <r>
      <rPr>
        <sz val="10"/>
        <color rgb="FF000000"/>
        <rFont val="WenQuanYi Zen Hei"/>
        <family val="2"/>
      </rPr>
      <t xml:space="preserve">왜 아직 오시지 않을까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</si>
  <si>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벧후 </t>
    </r>
    <r>
      <rPr>
        <sz val="10"/>
        <color rgb="FF000000"/>
        <rFont val="Arial"/>
        <family val="0"/>
        <charset val="1"/>
      </rPr>
      <t xml:space="preserve">3:9</t>
    </r>
  </si>
  <si>
    <t xml:space="preserve">주의 약속은 더딘 것이 아니라 오래 참으시는 것입니다</t>
  </si>
  <si>
    <t xml:space="preserve">시간의 흐름</t>
  </si>
  <si>
    <r>
      <rPr>
        <sz val="10"/>
        <color rgb="FFC00000"/>
        <rFont val="WenQuanYi Zen Hei"/>
        <family val="2"/>
      </rPr>
      <t xml:space="preserve">천 년</t>
    </r>
    <r>
      <rPr>
        <sz val="10"/>
        <color rgb="FFC00000"/>
        <rFont val="Arial"/>
        <family val="0"/>
        <charset val="1"/>
      </rPr>
      <t xml:space="preserve">=</t>
    </r>
    <r>
      <rPr>
        <sz val="10"/>
        <color rgb="FFC00000"/>
        <rFont val="WenQuanYi Zen Hei"/>
        <family val="2"/>
      </rPr>
      <t xml:space="preserve">하루 공식으로 날짜 계산 금지</t>
    </r>
  </si>
  <si>
    <t xml:space="preserve">A0770</t>
  </si>
  <si>
    <t xml:space="preserve">B082</t>
  </si>
  <si>
    <t xml:space="preserve">S2-L52</t>
  </si>
  <si>
    <t xml:space="preserve">요한일서</t>
  </si>
  <si>
    <r>
      <rPr>
        <sz val="10"/>
        <color rgb="FF000000"/>
        <rFont val="WenQuanYi Zen Hei"/>
        <family val="2"/>
      </rPr>
      <t xml:space="preserve">요일 </t>
    </r>
    <r>
      <rPr>
        <sz val="10"/>
        <color rgb="FF000000"/>
        <rFont val="Arial"/>
        <family val="0"/>
        <charset val="1"/>
      </rPr>
      <t xml:space="preserve">1:1-2:14</t>
    </r>
  </si>
  <si>
    <t xml:space="preserve">빛 가운데 행하면</t>
  </si>
  <si>
    <t xml:space="preserve">죄를 자백하면</t>
  </si>
  <si>
    <r>
      <rPr>
        <sz val="10"/>
        <color rgb="FF000000"/>
        <rFont val="WenQuanYi Zen Hei"/>
        <family val="2"/>
      </rPr>
      <t xml:space="preserve">요일 </t>
    </r>
    <r>
      <rPr>
        <sz val="10"/>
        <color rgb="FF000000"/>
        <rFont val="Arial"/>
        <family val="0"/>
        <charset val="1"/>
      </rPr>
      <t xml:space="preserve">1:9</t>
    </r>
  </si>
  <si>
    <t xml:space="preserve">우리가 우리 죄를 자백하면 그는 미쁘시고 의로우사 우리 죄를 사하시며</t>
  </si>
  <si>
    <t xml:space="preserve">사도 요한</t>
  </si>
  <si>
    <t xml:space="preserve">빛과 어둠</t>
  </si>
  <si>
    <t xml:space="preserve">A0771</t>
  </si>
  <si>
    <r>
      <rPr>
        <sz val="10"/>
        <color rgb="FF000000"/>
        <rFont val="WenQuanYi Zen Hei"/>
        <family val="2"/>
      </rPr>
      <t xml:space="preserve">요일 </t>
    </r>
    <r>
      <rPr>
        <sz val="10"/>
        <color rgb="FF000000"/>
        <rFont val="Arial"/>
        <family val="0"/>
        <charset val="1"/>
      </rPr>
      <t xml:space="preserve">2:15-3:24</t>
    </r>
  </si>
  <si>
    <t xml:space="preserve">하나님의 자녀라 일컬음을</t>
  </si>
  <si>
    <t xml:space="preserve">아버지께서 어떠한 사랑을 우리에게 주사</t>
  </si>
  <si>
    <r>
      <rPr>
        <sz val="10"/>
        <color rgb="FF000000"/>
        <rFont val="WenQuanYi Zen Hei"/>
        <family val="2"/>
      </rPr>
      <t xml:space="preserve">요일 </t>
    </r>
    <r>
      <rPr>
        <sz val="10"/>
        <color rgb="FF000000"/>
        <rFont val="Arial"/>
        <family val="0"/>
        <charset val="1"/>
      </rPr>
      <t xml:space="preserve">3:1</t>
    </r>
  </si>
  <si>
    <t xml:space="preserve">우리가 하나님의 자녀라 일컬음을 받게 하셨는가</t>
  </si>
  <si>
    <t xml:space="preserve">아버지와 자녀</t>
  </si>
  <si>
    <t xml:space="preserve">A0772</t>
  </si>
  <si>
    <r>
      <rPr>
        <sz val="10"/>
        <color rgb="FF000000"/>
        <rFont val="WenQuanYi Zen Hei"/>
        <family val="2"/>
      </rPr>
      <t xml:space="preserve">요일 </t>
    </r>
    <r>
      <rPr>
        <sz val="10"/>
        <color rgb="FF000000"/>
        <rFont val="Arial"/>
        <family val="0"/>
        <charset val="1"/>
      </rPr>
      <t xml:space="preserve">4:1-21</t>
    </r>
  </si>
  <si>
    <t xml:space="preserve">하나님은 사랑이시라</t>
  </si>
  <si>
    <t xml:space="preserve">모든 영을 다 믿지 말라</t>
  </si>
  <si>
    <r>
      <rPr>
        <sz val="10"/>
        <color rgb="FF000000"/>
        <rFont val="WenQuanYi Zen Hei"/>
        <family val="2"/>
      </rPr>
      <t xml:space="preserve">요일 </t>
    </r>
    <r>
      <rPr>
        <sz val="10"/>
        <color rgb="FF000000"/>
        <rFont val="Arial"/>
        <family val="0"/>
        <charset val="1"/>
      </rPr>
      <t xml:space="preserve">4:8</t>
    </r>
  </si>
  <si>
    <t xml:space="preserve">하나님은 사랑이심이라</t>
  </si>
  <si>
    <t xml:space="preserve">사랑의 장면들</t>
  </si>
  <si>
    <r>
      <rPr>
        <sz val="10"/>
        <color rgb="FFC00000"/>
        <rFont val="Arial"/>
        <family val="0"/>
        <charset val="1"/>
      </rPr>
      <t xml:space="preserve">4:1 </t>
    </r>
    <r>
      <rPr>
        <sz val="10"/>
        <color rgb="FFC00000"/>
        <rFont val="WenQuanYi Zen Hei"/>
        <family val="2"/>
      </rPr>
      <t xml:space="preserve">영 분별 </t>
    </r>
    <r>
      <rPr>
        <sz val="10"/>
        <color rgb="FFC00000"/>
        <rFont val="Arial"/>
        <family val="0"/>
        <charset val="1"/>
      </rPr>
      <t xml:space="preserve">= </t>
    </r>
    <r>
      <rPr>
        <sz val="10"/>
        <color rgb="FFC00000"/>
        <rFont val="WenQuanYi Zen Hei"/>
        <family val="2"/>
      </rPr>
      <t xml:space="preserve">이단 분별 원칙</t>
    </r>
  </si>
  <si>
    <t xml:space="preserve">A0773</t>
  </si>
  <si>
    <r>
      <rPr>
        <sz val="10"/>
        <color rgb="FF000000"/>
        <rFont val="WenQuanYi Zen Hei"/>
        <family val="2"/>
      </rPr>
      <t xml:space="preserve">요일 </t>
    </r>
    <r>
      <rPr>
        <sz val="10"/>
        <color rgb="FF000000"/>
        <rFont val="Arial"/>
        <family val="0"/>
        <charset val="1"/>
      </rPr>
      <t xml:space="preserve">5:1-21</t>
    </r>
  </si>
  <si>
    <t xml:space="preserve">영생이 있음을 알게</t>
  </si>
  <si>
    <r>
      <rPr>
        <sz val="10"/>
        <color rgb="FF000000"/>
        <rFont val="WenQuanYi Zen Hei"/>
        <family val="2"/>
      </rPr>
      <t xml:space="preserve">구원받았는지 어떻게 알 수 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</si>
  <si>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요일 </t>
    </r>
    <r>
      <rPr>
        <sz val="10"/>
        <color rgb="FF000000"/>
        <rFont val="Arial"/>
        <family val="0"/>
        <charset val="1"/>
      </rPr>
      <t xml:space="preserve">5:13</t>
    </r>
  </si>
  <si>
    <t xml:space="preserve">너희로 하여금 너희에게 영생이 있음을 알게 하려 함이라</t>
  </si>
  <si>
    <t xml:space="preserve">세상을 이기는 믿음</t>
  </si>
  <si>
    <r>
      <rPr>
        <sz val="10"/>
        <color rgb="FFC00000"/>
        <rFont val="WenQuanYi Zen Hei"/>
        <family val="2"/>
      </rPr>
      <t xml:space="preserve">구원 확신을 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깨달은 날짜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로 연출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구원파식</t>
    </r>
    <r>
      <rPr>
        <sz val="10"/>
        <color rgb="FFC00000"/>
        <rFont val="Arial"/>
        <family val="0"/>
        <charset val="1"/>
      </rPr>
      <t xml:space="preserve">) </t>
    </r>
    <r>
      <rPr>
        <sz val="10"/>
        <color rgb="FFC00000"/>
        <rFont val="WenQuanYi Zen Hei"/>
        <family val="2"/>
      </rPr>
      <t xml:space="preserve">금지</t>
    </r>
  </si>
  <si>
    <t xml:space="preserve">A0774</t>
  </si>
  <si>
    <t xml:space="preserve">요한이서</t>
  </si>
  <si>
    <r>
      <rPr>
        <sz val="10"/>
        <color rgb="FF000000"/>
        <rFont val="WenQuanYi Zen Hei"/>
        <family val="2"/>
      </rPr>
      <t xml:space="preserve">요이 </t>
    </r>
    <r>
      <rPr>
        <sz val="10"/>
        <color rgb="FF000000"/>
        <rFont val="Arial"/>
        <family val="0"/>
        <charset val="1"/>
      </rPr>
      <t xml:space="preserve">1:1-13</t>
    </r>
  </si>
  <si>
    <t xml:space="preserve">진리 안에서 행하라</t>
  </si>
  <si>
    <t xml:space="preserve">집에 들이지도 말라고 한 사람들</t>
  </si>
  <si>
    <r>
      <rPr>
        <sz val="10"/>
        <color rgb="FF000000"/>
        <rFont val="WenQuanYi Zen Hei"/>
        <family val="2"/>
      </rPr>
      <t xml:space="preserve">요이 </t>
    </r>
    <r>
      <rPr>
        <sz val="10"/>
        <color rgb="FF000000"/>
        <rFont val="Arial"/>
        <family val="0"/>
        <charset val="1"/>
      </rPr>
      <t xml:space="preserve">1:6</t>
    </r>
  </si>
  <si>
    <t xml:space="preserve">사랑은 그의 계명을 따라 행하는 것이요</t>
  </si>
  <si>
    <r>
      <rPr>
        <sz val="10"/>
        <color rgb="FF000000"/>
        <rFont val="WenQuanYi Zen Hei"/>
        <family val="2"/>
      </rPr>
      <t xml:space="preserve">장로 요한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택하심을 받은 부녀</t>
    </r>
  </si>
  <si>
    <t xml:space="preserve">초대교회 가정</t>
  </si>
  <si>
    <r>
      <rPr>
        <sz val="10"/>
        <color rgb="FFC00000"/>
        <rFont val="WenQuanYi Zen Hei"/>
        <family val="2"/>
      </rPr>
      <t xml:space="preserve">미혹하는 자</t>
    </r>
    <r>
      <rPr>
        <sz val="10"/>
        <color rgb="FFC00000"/>
        <rFont val="Arial"/>
        <family val="0"/>
        <charset val="1"/>
      </rPr>
      <t xml:space="preserve">(1:7) </t>
    </r>
    <r>
      <rPr>
        <sz val="10"/>
        <color rgb="FFC00000"/>
        <rFont val="WenQuanYi Zen Hei"/>
        <family val="2"/>
      </rPr>
      <t xml:space="preserve">분별</t>
    </r>
  </si>
  <si>
    <t xml:space="preserve">A0775</t>
  </si>
  <si>
    <t xml:space="preserve">요한삼서</t>
  </si>
  <si>
    <r>
      <rPr>
        <sz val="10"/>
        <color rgb="FF000000"/>
        <rFont val="WenQuanYi Zen Hei"/>
        <family val="2"/>
      </rPr>
      <t xml:space="preserve">요삼 </t>
    </r>
    <r>
      <rPr>
        <sz val="10"/>
        <color rgb="FF000000"/>
        <rFont val="Arial"/>
        <family val="0"/>
        <charset val="1"/>
      </rPr>
      <t xml:space="preserve">1:1-15</t>
    </r>
  </si>
  <si>
    <t xml:space="preserve">선한 것을 본받으라</t>
  </si>
  <si>
    <t xml:space="preserve">사랑으로 손님을 대접한 가이오</t>
  </si>
  <si>
    <r>
      <rPr>
        <sz val="10"/>
        <color rgb="FF000000"/>
        <rFont val="WenQuanYi Zen Hei"/>
        <family val="2"/>
      </rPr>
      <t xml:space="preserve">요삼 </t>
    </r>
    <r>
      <rPr>
        <sz val="10"/>
        <color rgb="FF000000"/>
        <rFont val="Arial"/>
        <family val="0"/>
        <charset val="1"/>
      </rPr>
      <t xml:space="preserve">1:11</t>
    </r>
  </si>
  <si>
    <t xml:space="preserve">악한 것을 본받지 말고 선한 것을 본받으라</t>
  </si>
  <si>
    <r>
      <rPr>
        <sz val="10"/>
        <color rgb="FF000000"/>
        <rFont val="WenQuanYi Zen Hei"/>
        <family val="2"/>
      </rPr>
      <t xml:space="preserve">장로 요한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가이오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디오드레베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데메드리오</t>
    </r>
  </si>
  <si>
    <t xml:space="preserve">가이오의 집</t>
  </si>
  <si>
    <r>
      <rPr>
        <sz val="10"/>
        <color rgb="FFC00000"/>
        <rFont val="Arial"/>
        <family val="0"/>
        <charset val="1"/>
      </rPr>
      <t xml:space="preserve">1:2</t>
    </r>
    <r>
      <rPr>
        <sz val="10"/>
        <color rgb="FFC00000"/>
        <rFont val="WenQuanYi Zen Hei"/>
        <family val="2"/>
      </rPr>
      <t xml:space="preserve">를 번영신학 근거로 사용 금지</t>
    </r>
  </si>
  <si>
    <t xml:space="preserve">A0776</t>
  </si>
  <si>
    <t xml:space="preserve">유다서</t>
  </si>
  <si>
    <r>
      <rPr>
        <sz val="10"/>
        <color rgb="FF000000"/>
        <rFont val="WenQuanYi Zen Hei"/>
        <family val="2"/>
      </rPr>
      <t xml:space="preserve">유 </t>
    </r>
    <r>
      <rPr>
        <sz val="10"/>
        <color rgb="FF000000"/>
        <rFont val="Arial"/>
        <family val="0"/>
        <charset val="1"/>
      </rPr>
      <t xml:space="preserve">1:1-25</t>
    </r>
  </si>
  <si>
    <t xml:space="preserve">믿음의 도를 위하여 싸우라</t>
  </si>
  <si>
    <t xml:space="preserve">가만히 들어온 사람들</t>
  </si>
  <si>
    <r>
      <rPr>
        <sz val="10"/>
        <color rgb="FF000000"/>
        <rFont val="WenQuanYi Zen Hei"/>
        <family val="2"/>
      </rPr>
      <t xml:space="preserve">유 </t>
    </r>
    <r>
      <rPr>
        <sz val="10"/>
        <color rgb="FF000000"/>
        <rFont val="Arial"/>
        <family val="0"/>
        <charset val="1"/>
      </rPr>
      <t xml:space="preserve">1:3</t>
    </r>
  </si>
  <si>
    <t xml:space="preserve">성도에게 단번에 주신 믿음의 도를 위하여 힘써 싸우라</t>
  </si>
  <si>
    <t xml:space="preserve">유다</t>
  </si>
  <si>
    <t xml:space="preserve">성벽을 지키는 사람</t>
  </si>
  <si>
    <r>
      <rPr>
        <sz val="10"/>
        <color rgb="FFC00000"/>
        <rFont val="Arial"/>
        <family val="0"/>
        <charset val="1"/>
      </rPr>
      <t xml:space="preserve">1:14 </t>
    </r>
    <r>
      <rPr>
        <sz val="10"/>
        <color rgb="FFC00000"/>
        <rFont val="WenQuanYi Zen Hei"/>
        <family val="2"/>
      </rPr>
      <t xml:space="preserve">에녹 인용은 위경을 정경화하는 것 아님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이단 경계</t>
    </r>
  </si>
  <si>
    <t xml:space="preserve">A0777</t>
  </si>
  <si>
    <t xml:space="preserve">B083</t>
  </si>
  <si>
    <t xml:space="preserve">S2-L53</t>
  </si>
  <si>
    <t xml:space="preserve">요한계시록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</si>
  <si>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1:1-8</t>
    </r>
  </si>
  <si>
    <t xml:space="preserve">읽는 자와 듣는 자는 복이 있다</t>
  </si>
  <si>
    <t xml:space="preserve">복 받는다고 약속된 책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</si>
  <si>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1:3</t>
    </r>
  </si>
  <si>
    <t xml:space="preserve">이 예언의 말씀을 읽는 자와 듣는 자들과 지키는 자들은 복이 있나니</t>
  </si>
  <si>
    <t xml:space="preserve">밧모 섬</t>
  </si>
  <si>
    <t xml:space="preserve">A0778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</si>
  <si>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1:9-20</t>
    </r>
  </si>
  <si>
    <t xml:space="preserve">일곱 금 촛대 사이의 인자</t>
  </si>
  <si>
    <t xml:space="preserve">발 앞에 죽은 자같이 엎드렸다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</si>
  <si>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1:17</t>
    </r>
  </si>
  <si>
    <t xml:space="preserve">두려워하지 말라 나는 처음이요 마지막이니</t>
  </si>
  <si>
    <r>
      <rPr>
        <sz val="10"/>
        <color rgb="FF000000"/>
        <rFont val="WenQuanYi Zen Hei"/>
        <family val="2"/>
      </rPr>
      <t xml:space="preserve">사도 요한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인자 같은 이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그리스도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</si>
  <si>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밧모 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일곱 금 촛대</t>
    </r>
  </si>
  <si>
    <r>
      <rPr>
        <sz val="10"/>
        <color rgb="FFC00000"/>
        <rFont val="WenQuanYi Zen Hei"/>
        <family val="2"/>
      </rPr>
      <t xml:space="preserve">그리스도 형상은 빛으로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얼굴 직접 묘사 금지</t>
    </r>
  </si>
  <si>
    <t xml:space="preserve">A0779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</si>
  <si>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2:1-17</t>
    </r>
  </si>
  <si>
    <t xml:space="preserve">처음 사랑을 버렸다</t>
  </si>
  <si>
    <t xml:space="preserve">일곱 교회에 보낸 편지 ①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</si>
  <si>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2:4</t>
    </r>
  </si>
  <si>
    <t xml:space="preserve">처음 사랑을 회복하라</t>
  </si>
  <si>
    <r>
      <rPr>
        <sz val="10"/>
        <color rgb="FF000000"/>
        <rFont val="WenQuanYi Zen Hei"/>
        <family val="2"/>
      </rPr>
      <t xml:space="preserve">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음성</t>
    </r>
    <r>
      <rPr>
        <sz val="10"/>
        <color rgb="FF000000"/>
        <rFont val="Arial"/>
        <family val="0"/>
        <charset val="1"/>
      </rPr>
      <t xml:space="preserve">)·</t>
    </r>
    <r>
      <rPr>
        <sz val="10"/>
        <color rgb="FF000000"/>
        <rFont val="WenQuanYi Zen Hei"/>
        <family val="2"/>
      </rPr>
      <t xml:space="preserve">에베소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서머나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버가모 교회</t>
    </r>
  </si>
  <si>
    <t xml:space="preserve">소아시아 지도</t>
  </si>
  <si>
    <r>
      <rPr>
        <sz val="10"/>
        <color rgb="FFC00000"/>
        <rFont val="WenQuanYi Zen Hei"/>
        <family val="2"/>
      </rPr>
      <t xml:space="preserve">일곱 교회를 현대 특정 교회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시대에 대입 금지</t>
    </r>
  </si>
  <si>
    <t xml:space="preserve">A0780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</si>
  <si>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2:18-3:6</t>
    </r>
  </si>
  <si>
    <t xml:space="preserve">흰옷을 입고 나와 함께</t>
  </si>
  <si>
    <t xml:space="preserve">일곱 교회에 보낸 편지 ②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</si>
  <si>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3:5</t>
    </r>
  </si>
  <si>
    <t xml:space="preserve">이기는 자는 흰옷을 입을 것이요</t>
  </si>
  <si>
    <r>
      <rPr>
        <sz val="10"/>
        <color rgb="FF000000"/>
        <rFont val="WenQuanYi Zen Hei"/>
        <family val="2"/>
      </rPr>
      <t xml:space="preserve">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음성</t>
    </r>
    <r>
      <rPr>
        <sz val="10"/>
        <color rgb="FF000000"/>
        <rFont val="Arial"/>
        <family val="0"/>
        <charset val="1"/>
      </rPr>
      <t xml:space="preserve">)·</t>
    </r>
    <r>
      <rPr>
        <sz val="10"/>
        <color rgb="FF000000"/>
        <rFont val="WenQuanYi Zen Hei"/>
        <family val="2"/>
      </rPr>
      <t xml:space="preserve">두아디라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사데 교회</t>
    </r>
  </si>
  <si>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이기는 자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를 특정 교주로 해석하는 이단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신천지</t>
    </r>
    <r>
      <rPr>
        <sz val="10"/>
        <color rgb="FFC00000"/>
        <rFont val="Arial"/>
        <family val="0"/>
        <charset val="1"/>
      </rPr>
      <t xml:space="preserve">) </t>
    </r>
    <r>
      <rPr>
        <sz val="10"/>
        <color rgb="FFC00000"/>
        <rFont val="WenQuanYi Zen Hei"/>
        <family val="2"/>
      </rPr>
      <t xml:space="preserve">배제</t>
    </r>
  </si>
  <si>
    <t xml:space="preserve">A0781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</si>
  <si>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3:7-22</t>
    </r>
  </si>
  <si>
    <t xml:space="preserve">문 밖에서 두드리시는 주님</t>
  </si>
  <si>
    <t xml:space="preserve">일곱 교회에 보낸 편지 ③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</si>
  <si>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3:20</t>
    </r>
  </si>
  <si>
    <t xml:space="preserve">볼지어다 내가 문 밖에 서서 두드리노니</t>
  </si>
  <si>
    <r>
      <rPr>
        <sz val="10"/>
        <color rgb="FF000000"/>
        <rFont val="WenQuanYi Zen Hei"/>
        <family val="2"/>
      </rPr>
      <t xml:space="preserve">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빛</t>
    </r>
    <r>
      <rPr>
        <sz val="10"/>
        <color rgb="FF000000"/>
        <rFont val="Arial"/>
        <family val="0"/>
        <charset val="1"/>
      </rPr>
      <t xml:space="preserve">)·</t>
    </r>
    <r>
      <rPr>
        <sz val="10"/>
        <color rgb="FF000000"/>
        <rFont val="WenQuanYi Zen Hei"/>
        <family val="2"/>
      </rPr>
      <t xml:space="preserve">빌라델비아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라오디게아 교회</t>
    </r>
  </si>
  <si>
    <t xml:space="preserve">문 두드리는 장면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</si>
  <si>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25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히 </t>
    </r>
    <r>
      <rPr>
        <sz val="10"/>
        <color rgb="FF1F3864"/>
        <rFont val="Arial"/>
        <family val="0"/>
        <charset val="1"/>
      </rPr>
      <t xml:space="preserve">12:1-29 </t>
    </r>
    <r>
      <rPr>
        <sz val="10"/>
        <color rgb="FF1F3864"/>
        <rFont val="WenQuanYi Zen Hei"/>
        <family val="2"/>
      </rPr>
      <t xml:space="preserve">믿음의 주요 또 온전하게 하시는 이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히 </t>
    </r>
    <r>
      <rPr>
        <sz val="10"/>
        <color rgb="FF1F3864"/>
        <rFont val="Arial"/>
        <family val="0"/>
        <charset val="1"/>
      </rPr>
      <t xml:space="preserve">13:1-25 </t>
    </r>
    <r>
      <rPr>
        <sz val="10"/>
        <color rgb="FF1F3864"/>
        <rFont val="WenQuanYi Zen Hei"/>
        <family val="2"/>
      </rPr>
      <t xml:space="preserve">어제나 오늘이나 영원토록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약 </t>
    </r>
    <r>
      <rPr>
        <sz val="10"/>
        <color rgb="FF1F3864"/>
        <rFont val="Arial"/>
        <family val="0"/>
        <charset val="1"/>
      </rPr>
      <t xml:space="preserve">1:1-18 </t>
    </r>
    <r>
      <rPr>
        <sz val="10"/>
        <color rgb="FF1F3864"/>
        <rFont val="WenQuanYi Zen Hei"/>
        <family val="2"/>
      </rPr>
      <t xml:space="preserve">시험을 기쁘게 외 </t>
    </r>
    <r>
      <rPr>
        <sz val="10"/>
        <color rgb="FF1F3864"/>
        <rFont val="Arial"/>
        <family val="0"/>
        <charset val="1"/>
      </rPr>
      <t xml:space="preserve">22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</si>
  <si>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A0782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</si>
  <si>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4:1-11</t>
    </r>
  </si>
  <si>
    <t xml:space="preserve">하늘 보좌</t>
  </si>
  <si>
    <t xml:space="preserve">하늘 문이 열리고 본 광경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</si>
  <si>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4:8</t>
    </r>
  </si>
  <si>
    <t xml:space="preserve">거룩하다 거룩하다 거룩하다 주 하나님 곧 전능하신 이여</t>
  </si>
  <si>
    <r>
      <rPr>
        <sz val="10"/>
        <color rgb="FF000000"/>
        <rFont val="WenQuanYi Zen Hei"/>
        <family val="2"/>
      </rPr>
      <t xml:space="preserve">사도 요한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네 생물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이십사 장로</t>
    </r>
  </si>
  <si>
    <r>
      <rPr>
        <sz val="10"/>
        <color rgb="FF000000"/>
        <rFont val="WenQuanYi Zen Hei"/>
        <family val="2"/>
      </rPr>
      <t xml:space="preserve">하늘 보좌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빛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무지개</t>
    </r>
  </si>
  <si>
    <r>
      <rPr>
        <sz val="10"/>
        <color rgb="FFC00000"/>
        <rFont val="WenQuanYi Zen Hei"/>
        <family val="2"/>
      </rPr>
      <t xml:space="preserve">보좌 위 하나님 형상 묘사 금지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빛과 무지개로만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</si>
  <si>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#099 '</t>
    </r>
    <r>
      <rPr>
        <sz val="10"/>
        <color rgb="FF000000"/>
        <rFont val="WenQuanYi Zen Hei"/>
        <family val="2"/>
      </rPr>
      <t xml:space="preserve">문 밖에서 두드리시는 주님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</si>
  <si>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A0783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</si>
  <si>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5:1-14</t>
    </r>
  </si>
  <si>
    <t xml:space="preserve">일찍 죽임을 당한 어린양</t>
  </si>
  <si>
    <t xml:space="preserve">아무도 열 수 없던 두루마리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</si>
  <si>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5:12</t>
    </r>
  </si>
  <si>
    <t xml:space="preserve">죽임을 당하신 어린양은 능력과 부와 지혜를 받으시기에 합당하도다</t>
  </si>
  <si>
    <r>
      <rPr>
        <sz val="10"/>
        <color rgb="FF000000"/>
        <rFont val="WenQuanYi Zen Hei"/>
        <family val="2"/>
      </rPr>
      <t xml:space="preserve">어린양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장로들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천사들</t>
    </r>
  </si>
  <si>
    <r>
      <rPr>
        <sz val="10"/>
        <color rgb="FF000000"/>
        <rFont val="WenQuanYi Zen Hei"/>
        <family val="2"/>
      </rPr>
      <t xml:space="preserve">하늘 보좌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두루마리</t>
    </r>
  </si>
  <si>
    <t xml:space="preserve">어린양은 상징적 표현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</si>
  <si>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1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계 </t>
    </r>
    <r>
      <rPr>
        <sz val="10"/>
        <color rgb="FF1F3864"/>
        <rFont val="Arial"/>
        <family val="0"/>
        <charset val="1"/>
      </rPr>
      <t xml:space="preserve">4:1-11 </t>
    </r>
    <r>
      <rPr>
        <sz val="10"/>
        <color rgb="FF1F3864"/>
        <rFont val="WenQuanYi Zen Hei"/>
        <family val="2"/>
      </rPr>
      <t xml:space="preserve">하늘 보좌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</si>
  <si>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A0784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</si>
  <si>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6:1-17</t>
    </r>
  </si>
  <si>
    <t xml:space="preserve">여섯 인</t>
  </si>
  <si>
    <t xml:space="preserve">두루마리의 인을 떼자 나타난 말들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</si>
  <si>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6:10</t>
    </r>
  </si>
  <si>
    <t xml:space="preserve">역사의 모든 일은 하나님의 주권 아래 있습니다</t>
  </si>
  <si>
    <r>
      <rPr>
        <sz val="10"/>
        <color rgb="FF000000"/>
        <rFont val="WenQuanYi Zen Hei"/>
        <family val="2"/>
      </rPr>
      <t xml:space="preserve">어린양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네 말 탄 자</t>
    </r>
  </si>
  <si>
    <t xml:space="preserve">하늘과 땅</t>
  </si>
  <si>
    <r>
      <rPr>
        <sz val="10"/>
        <color rgb="FFC00000"/>
        <rFont val="WenQuanYi Zen Hei"/>
        <family val="2"/>
      </rPr>
      <t xml:space="preserve">공포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유혈 연출 금지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</si>
  <si>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#100 '</t>
    </r>
    <r>
      <rPr>
        <sz val="10"/>
        <color rgb="FF000000"/>
        <rFont val="WenQuanYi Zen Hei"/>
        <family val="2"/>
      </rPr>
      <t xml:space="preserve">일찍 죽임을 당한 어린양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</si>
  <si>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A0785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</si>
  <si>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7:1-17</t>
    </r>
  </si>
  <si>
    <t xml:space="preserve">흰옷 입은 큰 무리</t>
  </si>
  <si>
    <t xml:space="preserve">아무도 셀 수 없는 큰 무리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</si>
  <si>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7:9</t>
    </r>
  </si>
  <si>
    <t xml:space="preserve">각 나라와 족속에서 나온 큰 무리가 어린양 앞에 서서</t>
  </si>
  <si>
    <r>
      <rPr>
        <sz val="10"/>
        <color rgb="FF000000"/>
        <rFont val="WenQuanYi Zen Hei"/>
        <family val="2"/>
      </rPr>
      <t xml:space="preserve">인 맞은 자들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큰 무리</t>
    </r>
  </si>
  <si>
    <t xml:space="preserve">하늘 보좌 앞</t>
  </si>
  <si>
    <r>
      <rPr>
        <sz val="10"/>
        <color rgb="FFC00000"/>
        <rFont val="Arial"/>
        <family val="0"/>
        <charset val="1"/>
      </rPr>
      <t xml:space="preserve">144,000</t>
    </r>
    <r>
      <rPr>
        <sz val="10"/>
        <color rgb="FFC00000"/>
        <rFont val="WenQuanYi Zen Hei"/>
        <family val="2"/>
      </rPr>
      <t xml:space="preserve">을 특정 단체 구성원으로 해석하는 주장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신천지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여호와의증인 등</t>
    </r>
    <r>
      <rPr>
        <sz val="10"/>
        <color rgb="FFC00000"/>
        <rFont val="Arial"/>
        <family val="0"/>
        <charset val="1"/>
      </rPr>
      <t xml:space="preserve">) </t>
    </r>
    <r>
      <rPr>
        <sz val="10"/>
        <color rgb="FFC00000"/>
        <rFont val="WenQuanYi Zen Hei"/>
        <family val="2"/>
      </rPr>
      <t xml:space="preserve">배제</t>
    </r>
  </si>
  <si>
    <t xml:space="preserve">A0786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</si>
  <si>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8:1-9:21</t>
    </r>
  </si>
  <si>
    <t xml:space="preserve">일곱 나팔</t>
  </si>
  <si>
    <t xml:space="preserve">성도의 기도가 향과 함께 올라가다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</si>
  <si>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8:4</t>
    </r>
  </si>
  <si>
    <t xml:space="preserve">하나님은 성도의 기도를 들으십니다</t>
  </si>
  <si>
    <r>
      <rPr>
        <sz val="10"/>
        <color rgb="FF000000"/>
        <rFont val="WenQuanYi Zen Hei"/>
        <family val="2"/>
      </rPr>
      <t xml:space="preserve">천사들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성도의 기도</t>
    </r>
  </si>
  <si>
    <r>
      <rPr>
        <sz val="10"/>
        <color rgb="FF000000"/>
        <rFont val="WenQuanYi Zen Hei"/>
        <family val="2"/>
      </rPr>
      <t xml:space="preserve">금 향로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하늘</t>
    </r>
  </si>
  <si>
    <t xml:space="preserve">재앙 장면 공포 연출 최소화</t>
  </si>
  <si>
    <t xml:space="preserve">A0787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</si>
  <si>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10:1-11:19</t>
    </r>
  </si>
  <si>
    <t xml:space="preserve">세상 나라가 그리스도의 나라가 되다</t>
  </si>
  <si>
    <t xml:space="preserve">일곱째 나팔이 울릴 때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</si>
  <si>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11:15</t>
    </r>
  </si>
  <si>
    <t xml:space="preserve">세상 나라가 우리 주와 그의 그리스도의 나라가 되어</t>
  </si>
  <si>
    <r>
      <rPr>
        <sz val="10"/>
        <color rgb="FF000000"/>
        <rFont val="WenQuanYi Zen Hei"/>
        <family val="2"/>
      </rPr>
      <t xml:space="preserve">힘센 천사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두 증인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요한</t>
    </r>
  </si>
  <si>
    <r>
      <rPr>
        <sz val="10"/>
        <color rgb="FF000000"/>
        <rFont val="WenQuanYi Zen Hei"/>
        <family val="2"/>
      </rPr>
      <t xml:space="preserve">하늘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성전</t>
    </r>
  </si>
  <si>
    <r>
      <rPr>
        <sz val="10"/>
        <color rgb="FFC00000"/>
        <rFont val="WenQuanYi Zen Hei"/>
        <family val="2"/>
      </rPr>
      <t xml:space="preserve">두 증인을 특정 인물로 지목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자칭하는 이단 배제</t>
    </r>
  </si>
  <si>
    <t xml:space="preserve">A0788</t>
  </si>
  <si>
    <t xml:space="preserve">B084</t>
  </si>
  <si>
    <t xml:space="preserve">S2-L54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</si>
  <si>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12:1-17</t>
    </r>
  </si>
  <si>
    <t xml:space="preserve">여자와 용</t>
  </si>
  <si>
    <t xml:space="preserve">해를 옷 입은 여자와 붉은 용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</si>
  <si>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12:11</t>
    </r>
  </si>
  <si>
    <t xml:space="preserve">어린양의 피와 자기들이 증언하는 말씀으로써 그를 이겼으니</t>
  </si>
  <si>
    <r>
      <rPr>
        <sz val="10"/>
        <color rgb="FF000000"/>
        <rFont val="WenQuanYi Zen Hei"/>
        <family val="2"/>
      </rPr>
      <t xml:space="preserve">여자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미가엘</t>
    </r>
  </si>
  <si>
    <t xml:space="preserve">하늘 전쟁</t>
  </si>
  <si>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여자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를 특정 여성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교주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어머니 하나님 등</t>
    </r>
    <r>
      <rPr>
        <sz val="10"/>
        <color rgb="FFC00000"/>
        <rFont val="Arial"/>
        <family val="0"/>
        <charset val="1"/>
      </rPr>
      <t xml:space="preserve">)</t>
    </r>
    <r>
      <rPr>
        <sz val="10"/>
        <color rgb="FFC00000"/>
        <rFont val="WenQuanYi Zen Hei"/>
        <family val="2"/>
      </rPr>
      <t xml:space="preserve">로 해석 배제</t>
    </r>
  </si>
  <si>
    <t xml:space="preserve">A0789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</si>
  <si>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13:1-18</t>
    </r>
  </si>
  <si>
    <r>
      <rPr>
        <sz val="10"/>
        <color rgb="FF000000"/>
        <rFont val="WenQuanYi Zen Hei"/>
        <family val="2"/>
      </rPr>
      <t xml:space="preserve">두 짐승과 </t>
    </r>
    <r>
      <rPr>
        <sz val="10"/>
        <color rgb="FF000000"/>
        <rFont val="Arial"/>
        <family val="0"/>
        <charset val="1"/>
      </rPr>
      <t xml:space="preserve">666</t>
    </r>
  </si>
  <si>
    <t xml:space="preserve">짐승의 표를 받지 말라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</si>
  <si>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13:10</t>
    </r>
  </si>
  <si>
    <t xml:space="preserve">성도들의 인내와 믿음이 여기 있느니라</t>
  </si>
  <si>
    <t xml:space="preserve">두 짐승</t>
  </si>
  <si>
    <t xml:space="preserve">바다와 땅</t>
  </si>
  <si>
    <r>
      <rPr>
        <sz val="10"/>
        <color rgb="FFC00000"/>
        <rFont val="Arial"/>
        <family val="0"/>
        <charset val="1"/>
      </rPr>
      <t xml:space="preserve">666</t>
    </r>
    <r>
      <rPr>
        <sz val="10"/>
        <color rgb="FFC00000"/>
        <rFont val="WenQuanYi Zen Hei"/>
        <family val="2"/>
      </rPr>
      <t xml:space="preserve">을 바코드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칩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백신 등 음모론으로 연출 절대 금지</t>
    </r>
  </si>
  <si>
    <t xml:space="preserve">A0790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</si>
  <si>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14:1-20</t>
    </r>
  </si>
  <si>
    <t xml:space="preserve">주 안에서 죽는 자들은 복이 있도다</t>
  </si>
  <si>
    <t xml:space="preserve">시온 산에 선 어린양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</si>
  <si>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14:13</t>
    </r>
  </si>
  <si>
    <t xml:space="preserve">지금 이후로 주 안에서 죽는 자들은 복이 있도다</t>
  </si>
  <si>
    <r>
      <rPr>
        <sz val="10"/>
        <color rgb="FF000000"/>
        <rFont val="WenQuanYi Zen Hei"/>
        <family val="2"/>
      </rPr>
      <t xml:space="preserve">어린양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천사들</t>
    </r>
  </si>
  <si>
    <t xml:space="preserve">시온 산</t>
  </si>
  <si>
    <t xml:space="preserve">A0791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</si>
  <si>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15:1-16:21</t>
    </r>
  </si>
  <si>
    <r>
      <rPr>
        <sz val="10"/>
        <color rgb="FF000000"/>
        <rFont val="WenQuanYi Zen Hei"/>
        <family val="2"/>
      </rPr>
      <t xml:space="preserve">모세의 노래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어린양의 노래</t>
    </r>
  </si>
  <si>
    <t xml:space="preserve">일곱 대접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</si>
  <si>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15:3</t>
    </r>
  </si>
  <si>
    <t xml:space="preserve">주의 행위가 크고 놀라우시도다</t>
  </si>
  <si>
    <r>
      <rPr>
        <sz val="10"/>
        <color rgb="FF000000"/>
        <rFont val="WenQuanYi Zen Hei"/>
        <family val="2"/>
      </rPr>
      <t xml:space="preserve">천사들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이긴 자들</t>
    </r>
  </si>
  <si>
    <r>
      <rPr>
        <sz val="10"/>
        <color rgb="FF000000"/>
        <rFont val="WenQuanYi Zen Hei"/>
        <family val="2"/>
      </rPr>
      <t xml:space="preserve">유리 바다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하늘 성전</t>
    </r>
  </si>
  <si>
    <t xml:space="preserve">A0792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</si>
  <si>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17:1-18:24</t>
    </r>
  </si>
  <si>
    <t xml:space="preserve">바벨론에서 나오라</t>
  </si>
  <si>
    <t xml:space="preserve">무너지는 큰 성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</si>
  <si>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18:4</t>
    </r>
  </si>
  <si>
    <t xml:space="preserve">내 백성아 거기서 나와 그의 죄에 참여하지 말라</t>
  </si>
  <si>
    <r>
      <rPr>
        <sz val="10"/>
        <color rgb="FF000000"/>
        <rFont val="WenQuanYi Zen Hei"/>
        <family val="2"/>
      </rPr>
      <t xml:space="preserve">천사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큰 성 바벨론</t>
    </r>
  </si>
  <si>
    <t xml:space="preserve">무너지는 성</t>
  </si>
  <si>
    <r>
      <rPr>
        <sz val="10"/>
        <color rgb="FFC00000"/>
        <rFont val="WenQuanYi Zen Hei"/>
        <family val="2"/>
      </rPr>
      <t xml:space="preserve">바벨론을 특정 교단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국가로 지목 금지</t>
    </r>
  </si>
  <si>
    <t xml:space="preserve">A0793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</si>
  <si>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19:1-10</t>
    </r>
  </si>
  <si>
    <t xml:space="preserve">어린양의 혼인 잔치</t>
  </si>
  <si>
    <t xml:space="preserve">할렐루야가 울려 퍼지는 하늘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</si>
  <si>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19:9</t>
    </r>
  </si>
  <si>
    <t xml:space="preserve">어린양의 혼인 잔치에 청함을 받은 자들은 복이 있도다</t>
  </si>
  <si>
    <r>
      <rPr>
        <sz val="10"/>
        <color rgb="FF000000"/>
        <rFont val="WenQuanYi Zen Hei"/>
        <family val="2"/>
      </rPr>
      <t xml:space="preserve">허다한 무리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어린양의 신부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교회</t>
    </r>
    <r>
      <rPr>
        <sz val="10"/>
        <color rgb="FF000000"/>
        <rFont val="Arial"/>
        <family val="0"/>
        <charset val="1"/>
      </rPr>
      <t xml:space="preserve">)</t>
    </r>
  </si>
  <si>
    <t xml:space="preserve">하늘의 잔치</t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</si>
  <si>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9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계 </t>
    </r>
    <r>
      <rPr>
        <sz val="10"/>
        <color rgb="FF1F3864"/>
        <rFont val="Arial"/>
        <family val="0"/>
        <charset val="1"/>
      </rPr>
      <t xml:space="preserve">6:1-17 </t>
    </r>
    <r>
      <rPr>
        <sz val="10"/>
        <color rgb="FF1F3864"/>
        <rFont val="WenQuanYi Zen Hei"/>
        <family val="2"/>
      </rPr>
      <t xml:space="preserve">여섯 인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계 </t>
    </r>
    <r>
      <rPr>
        <sz val="10"/>
        <color rgb="FF1F3864"/>
        <rFont val="Arial"/>
        <family val="0"/>
        <charset val="1"/>
      </rPr>
      <t xml:space="preserve">7:1-17 </t>
    </r>
    <r>
      <rPr>
        <sz val="10"/>
        <color rgb="FF1F3864"/>
        <rFont val="WenQuanYi Zen Hei"/>
        <family val="2"/>
      </rPr>
      <t xml:space="preserve">흰옷 입은 큰 무리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계 </t>
    </r>
    <r>
      <rPr>
        <sz val="10"/>
        <color rgb="FF1F3864"/>
        <rFont val="Arial"/>
        <family val="0"/>
        <charset val="1"/>
      </rPr>
      <t xml:space="preserve">8:1-9:21 </t>
    </r>
    <r>
      <rPr>
        <sz val="10"/>
        <color rgb="FF1F3864"/>
        <rFont val="WenQuanYi Zen Hei"/>
        <family val="2"/>
      </rPr>
      <t xml:space="preserve">일곱 나팔 외 </t>
    </r>
    <r>
      <rPr>
        <sz val="10"/>
        <color rgb="FF1F3864"/>
        <rFont val="Arial"/>
        <family val="0"/>
        <charset val="1"/>
      </rPr>
      <t xml:space="preserve">6</t>
    </r>
    <r>
      <rPr>
        <sz val="10"/>
        <color rgb="FF1F3864"/>
        <rFont val="WenQuanYi Zen Hei"/>
        <family val="2"/>
      </rPr>
      <t xml:space="preserve">편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</si>
  <si>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A0794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</si>
  <si>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19:11-21</t>
    </r>
  </si>
  <si>
    <t xml:space="preserve">백마 탄 자</t>
  </si>
  <si>
    <t xml:space="preserve">만왕의 왕이요 만주의 주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</si>
  <si>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19:16</t>
    </r>
  </si>
  <si>
    <t xml:space="preserve">만왕의 왕이요 만주의 주라</t>
  </si>
  <si>
    <r>
      <rPr>
        <sz val="10"/>
        <color rgb="FF000000"/>
        <rFont val="WenQuanYi Zen Hei"/>
        <family val="2"/>
      </rPr>
      <t xml:space="preserve">백마 탄 자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그리스도</t>
    </r>
    <r>
      <rPr>
        <sz val="10"/>
        <color rgb="FF000000"/>
        <rFont val="Arial"/>
        <family val="0"/>
        <charset val="1"/>
      </rPr>
      <t xml:space="preserve">)·</t>
    </r>
    <r>
      <rPr>
        <sz val="10"/>
        <color rgb="FF000000"/>
        <rFont val="WenQuanYi Zen Hei"/>
        <family val="2"/>
      </rPr>
      <t xml:space="preserve">하늘 군대</t>
    </r>
  </si>
  <si>
    <t xml:space="preserve">열린 하늘</t>
  </si>
  <si>
    <r>
      <rPr>
        <sz val="10"/>
        <color rgb="FFC00000"/>
        <rFont val="WenQuanYi Zen Hei"/>
        <family val="2"/>
      </rPr>
      <t xml:space="preserve">그리스도 얼굴 직접 묘사 금지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빛과 실루엣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</si>
  <si>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#101 '</t>
    </r>
    <r>
      <rPr>
        <sz val="10"/>
        <color rgb="FF000000"/>
        <rFont val="WenQuanYi Zen Hei"/>
        <family val="2"/>
      </rPr>
      <t xml:space="preserve">어린양의 혼인 잔치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다음 이야기</t>
    </r>
  </si>
  <si>
    <t xml:space="preserve">A0795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</si>
  <si>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20:1-15</t>
    </r>
  </si>
  <si>
    <t xml:space="preserve">천 년과 흰 보좌 심판</t>
  </si>
  <si>
    <t xml:space="preserve">생명책에 이름이 있는가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</si>
  <si>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20:12</t>
    </r>
  </si>
  <si>
    <t xml:space="preserve">모든 사람은 하나님 앞에 서게 됩니다</t>
  </si>
  <si>
    <r>
      <rPr>
        <sz val="10"/>
        <color rgb="FF000000"/>
        <rFont val="WenQuanYi Zen Hei"/>
        <family val="2"/>
      </rPr>
      <t xml:space="preserve">천사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크고 흰 보좌</t>
    </r>
  </si>
  <si>
    <r>
      <rPr>
        <sz val="10"/>
        <color rgb="FF000000"/>
        <rFont val="WenQuanYi Zen Hei"/>
        <family val="2"/>
      </rPr>
      <t xml:space="preserve">흰 보좌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빛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책들</t>
    </r>
  </si>
  <si>
    <r>
      <rPr>
        <sz val="10"/>
        <color rgb="FFC00000"/>
        <rFont val="WenQuanYi Zen Hei"/>
        <family val="2"/>
      </rPr>
      <t xml:space="preserve">천년왕국은 합동 내 견해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역사적 전천년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무천년</t>
    </r>
    <r>
      <rPr>
        <sz val="10"/>
        <color rgb="FFC00000"/>
        <rFont val="Arial"/>
        <family val="0"/>
        <charset val="1"/>
      </rPr>
      <t xml:space="preserve">) </t>
    </r>
    <r>
      <rPr>
        <sz val="10"/>
        <color rgb="FFC00000"/>
        <rFont val="WenQuanYi Zen Hei"/>
        <family val="2"/>
      </rPr>
      <t xml:space="preserve">차이 있음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특정 견해 단정 피하고 재림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심판 공통 고백 중심</t>
    </r>
  </si>
  <si>
    <t xml:space="preserve">A0796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</si>
  <si>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21:1-8</t>
    </r>
  </si>
  <si>
    <t xml:space="preserve">다시는 눈물도 죽음도 없는 곳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</si>
  <si>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21:4</t>
    </r>
  </si>
  <si>
    <t xml:space="preserve">모든 눈물을 그 눈에서 닦아 주시니</t>
  </si>
  <si>
    <r>
      <rPr>
        <sz val="10"/>
        <color rgb="FF000000"/>
        <rFont val="WenQuanYi Zen Hei"/>
        <family val="2"/>
      </rPr>
      <t xml:space="preserve">하나님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음성</t>
    </r>
    <r>
      <rPr>
        <sz val="10"/>
        <color rgb="FF000000"/>
        <rFont val="Arial"/>
        <family val="0"/>
        <charset val="1"/>
      </rPr>
      <t xml:space="preserve">)·</t>
    </r>
    <r>
      <rPr>
        <sz val="10"/>
        <color rgb="FF000000"/>
        <rFont val="WenQuanYi Zen Hei"/>
        <family val="2"/>
      </rPr>
      <t xml:space="preserve">사도 요한</t>
    </r>
  </si>
  <si>
    <r>
      <rPr>
        <sz val="10"/>
        <color rgb="FF1F3864"/>
        <rFont val="WenQuanYi Zen Hei"/>
        <family val="2"/>
      </rPr>
      <t xml:space="preserve">앞에서 건너뛴 </t>
    </r>
    <r>
      <rPr>
        <sz val="10"/>
        <color rgb="FF1F3864"/>
        <rFont val="Arial"/>
        <family val="0"/>
        <charset val="1"/>
      </rPr>
      <t xml:space="preserve">2</t>
    </r>
    <r>
      <rPr>
        <sz val="10"/>
        <color rgb="FF1F3864"/>
        <rFont val="WenQuanYi Zen Hei"/>
        <family val="2"/>
      </rPr>
      <t xml:space="preserve">편</t>
    </r>
    <r>
      <rPr>
        <sz val="10"/>
        <color rgb="FF1F3864"/>
        <rFont val="Arial"/>
        <family val="0"/>
        <charset val="1"/>
      </rPr>
      <t xml:space="preserve">(</t>
    </r>
    <r>
      <rPr>
        <sz val="10"/>
        <color rgb="FF1F3864"/>
        <rFont val="WenQuanYi Zen Hei"/>
        <family val="2"/>
      </rPr>
      <t xml:space="preserve">시즌</t>
    </r>
    <r>
      <rPr>
        <sz val="10"/>
        <color rgb="FF1F3864"/>
        <rFont val="Arial"/>
        <family val="0"/>
        <charset val="1"/>
      </rPr>
      <t xml:space="preserve">2): </t>
    </r>
    <r>
      <rPr>
        <sz val="10"/>
        <color rgb="FF1F3864"/>
        <rFont val="WenQuanYi Zen Hei"/>
        <family val="2"/>
      </rPr>
      <t xml:space="preserve">계 </t>
    </r>
    <r>
      <rPr>
        <sz val="10"/>
        <color rgb="FF1F3864"/>
        <rFont val="Arial"/>
        <family val="0"/>
        <charset val="1"/>
      </rPr>
      <t xml:space="preserve">19:11-21 </t>
    </r>
    <r>
      <rPr>
        <sz val="10"/>
        <color rgb="FF1F3864"/>
        <rFont val="WenQuanYi Zen Hei"/>
        <family val="2"/>
      </rPr>
      <t xml:space="preserve">백마 탄 자</t>
    </r>
    <r>
      <rPr>
        <sz val="10"/>
        <color rgb="FF1F3864"/>
        <rFont val="Arial"/>
        <family val="0"/>
        <charset val="1"/>
      </rPr>
      <t xml:space="preserve">, </t>
    </r>
    <r>
      <rPr>
        <sz val="10"/>
        <color rgb="FF1F3864"/>
        <rFont val="WenQuanYi Zen Hei"/>
        <family val="2"/>
      </rPr>
      <t xml:space="preserve">계 </t>
    </r>
    <r>
      <rPr>
        <sz val="10"/>
        <color rgb="FF1F3864"/>
        <rFont val="Arial"/>
        <family val="0"/>
        <charset val="1"/>
      </rPr>
      <t xml:space="preserve">20:1-15 </t>
    </r>
    <r>
      <rPr>
        <sz val="10"/>
        <color rgb="FF1F3864"/>
        <rFont val="WenQuanYi Zen Hei"/>
        <family val="2"/>
      </rPr>
      <t xml:space="preserve">천 년과 흰 보좌 심판 → 연결 내레이션 </t>
    </r>
    <r>
      <rPr>
        <sz val="10"/>
        <color rgb="FF1F3864"/>
        <rFont val="Arial"/>
        <family val="0"/>
        <charset val="1"/>
      </rPr>
      <t xml:space="preserve">1~2</t>
    </r>
    <r>
      <rPr>
        <sz val="10"/>
        <color rgb="FF1F3864"/>
        <rFont val="WenQuanYi Zen Hei"/>
        <family val="2"/>
      </rPr>
      <t xml:space="preserve">문장 필요</t>
    </r>
  </si>
  <si>
    <t xml:space="preserve">A0797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</si>
  <si>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21:9-22:5</t>
    </r>
  </si>
  <si>
    <t xml:space="preserve">새 예루살렘</t>
  </si>
  <si>
    <t xml:space="preserve">해도 달도 필요 없는 도시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</si>
  <si>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22:1</t>
    </r>
  </si>
  <si>
    <t xml:space="preserve">생명수의 강이 하나님과 및 어린양의 보좌로부터 나와서</t>
  </si>
  <si>
    <r>
      <rPr>
        <sz val="10"/>
        <color rgb="FF000000"/>
        <rFont val="WenQuanYi Zen Hei"/>
        <family val="2"/>
      </rPr>
      <t xml:space="preserve">천사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사도 요한</t>
    </r>
  </si>
  <si>
    <r>
      <rPr>
        <sz val="10"/>
        <color rgb="FF000000"/>
        <rFont val="WenQuanYi Zen Hei"/>
        <family val="2"/>
      </rPr>
      <t xml:space="preserve">새 예루살렘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생명수 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생명나무</t>
    </r>
  </si>
  <si>
    <r>
      <rPr>
        <sz val="10"/>
        <color rgb="FFC00000"/>
        <rFont val="WenQuanYi Zen Hei"/>
        <family val="2"/>
      </rPr>
      <t xml:space="preserve">새 예루살렘을 지상 특정 장소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과천 등</t>
    </r>
    <r>
      <rPr>
        <sz val="10"/>
        <color rgb="FFC00000"/>
        <rFont val="Arial"/>
        <family val="0"/>
        <charset val="1"/>
      </rPr>
      <t xml:space="preserve">)</t>
    </r>
    <r>
      <rPr>
        <sz val="10"/>
        <color rgb="FFC00000"/>
        <rFont val="WenQuanYi Zen Hei"/>
        <family val="2"/>
      </rPr>
      <t xml:space="preserve">에 대입하는 이단 배제</t>
    </r>
  </si>
  <si>
    <t xml:space="preserve">A0798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</si>
  <si>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22:6-21</t>
    </r>
  </si>
  <si>
    <t xml:space="preserve">내가 속히 오리라</t>
  </si>
  <si>
    <t xml:space="preserve">성경의 마지막 기도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</si>
  <si>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22:20</t>
    </r>
  </si>
  <si>
    <t xml:space="preserve">아멘 주 예수여 오시옵소서</t>
  </si>
  <si>
    <r>
      <rPr>
        <sz val="10"/>
        <color rgb="FF000000"/>
        <rFont val="WenQuanYi Zen Hei"/>
        <family val="2"/>
      </rPr>
      <t xml:space="preserve">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음성</t>
    </r>
    <r>
      <rPr>
        <sz val="10"/>
        <color rgb="FF000000"/>
        <rFont val="Arial"/>
        <family val="0"/>
        <charset val="1"/>
      </rPr>
      <t xml:space="preserve">)·</t>
    </r>
    <r>
      <rPr>
        <sz val="10"/>
        <color rgb="FF000000"/>
        <rFont val="WenQuanYi Zen Hei"/>
        <family val="2"/>
      </rPr>
      <t xml:space="preserve">사도 요한</t>
    </r>
  </si>
  <si>
    <t xml:space="preserve">밝은 새벽별</t>
  </si>
  <si>
    <r>
      <rPr>
        <sz val="10"/>
        <color rgb="FFC00000"/>
        <rFont val="Arial"/>
        <family val="0"/>
        <charset val="1"/>
      </rPr>
      <t xml:space="preserve">22:18-19 </t>
    </r>
    <r>
      <rPr>
        <sz val="10"/>
        <color rgb="FFC00000"/>
        <rFont val="WenQuanYi Zen Hei"/>
        <family val="2"/>
      </rPr>
      <t xml:space="preserve">성경에 더하거나 빼지 말라 </t>
    </r>
    <r>
      <rPr>
        <sz val="10"/>
        <color rgb="FFC00000"/>
        <rFont val="Arial"/>
        <family val="0"/>
        <charset val="1"/>
      </rPr>
      <t xml:space="preserve">= </t>
    </r>
    <r>
      <rPr>
        <sz val="10"/>
        <color rgb="FFC00000"/>
        <rFont val="WenQuanYi Zen Hei"/>
        <family val="2"/>
      </rPr>
      <t xml:space="preserve">직통계시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새 계시 주장 배제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시리즈 피날레</t>
    </r>
  </si>
  <si>
    <t xml:space="preserve">롱폼코드</t>
  </si>
  <si>
    <t xml:space="preserve">롱폼 제목</t>
  </si>
  <si>
    <r>
      <rPr>
        <b val="true"/>
        <sz val="10"/>
        <color rgb="FFFFFFFF"/>
        <rFont val="WenQuanYi Zen Hei"/>
        <family val="2"/>
      </rPr>
      <t xml:space="preserve">포함 통합본 </t>
    </r>
    <r>
      <rPr>
        <b val="true"/>
        <sz val="10"/>
        <color rgb="FFFFFFFF"/>
        <rFont val="Arial"/>
        <family val="0"/>
        <charset val="1"/>
      </rPr>
      <t xml:space="preserve">B</t>
    </r>
  </si>
  <si>
    <t xml:space="preserve">본문 범위</t>
  </si>
  <si>
    <r>
      <rPr>
        <b val="true"/>
        <sz val="10"/>
        <color rgb="FFFFFFFF"/>
        <rFont val="Arial"/>
        <family val="0"/>
        <charset val="1"/>
      </rPr>
      <t xml:space="preserve">A </t>
    </r>
    <r>
      <rPr>
        <b val="true"/>
        <sz val="10"/>
        <color rgb="FFFFFFFF"/>
        <rFont val="WenQuanYi Zen Hei"/>
        <family val="2"/>
      </rPr>
      <t xml:space="preserve">편수</t>
    </r>
  </si>
  <si>
    <r>
      <rPr>
        <b val="true"/>
        <sz val="10"/>
        <color rgb="FFFFFFFF"/>
        <rFont val="WenQuanYi Zen Hei"/>
        <family val="2"/>
      </rPr>
      <t xml:space="preserve">예상 길이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</si>
  <si>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예상 길이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분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</si>
  <si>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첫 회차</t>
  </si>
  <si>
    <t xml:space="preserve">마지막 회차</t>
  </si>
  <si>
    <r>
      <rPr>
        <b val="true"/>
        <sz val="10"/>
        <color rgb="FFFFFFFF"/>
        <rFont val="WenQuanYi Zen Hei"/>
        <family val="2"/>
      </rPr>
      <t xml:space="preserve">진행자 인트로 질문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삶의 고민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</si>
  <si>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그리스도 연결점</t>
  </si>
  <si>
    <t xml:space="preserve">핵심 교리</t>
  </si>
  <si>
    <t xml:space="preserve">공개 예정일</t>
  </si>
  <si>
    <t xml:space="preserve">창조와 타락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</si>
  <si>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1:1~3:24</t>
    </r>
  </si>
  <si>
    <r>
      <rPr>
        <sz val="10"/>
        <color rgb="FF000000"/>
        <rFont val="WenQuanYi Zen Hei"/>
        <family val="2"/>
      </rPr>
      <t xml:space="preserve">세상은 처음에 어떻게 시작됐을까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</si>
  <si>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Arial"/>
        <family val="0"/>
        <charset val="1"/>
      </rPr>
      <t xml:space="preserve">3:15 </t>
    </r>
    <r>
      <rPr>
        <sz val="10"/>
        <color rgb="FF000000"/>
        <rFont val="WenQuanYi Zen Hei"/>
        <family val="2"/>
      </rPr>
      <t xml:space="preserve">여자의 후손 약속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원시복음</t>
    </r>
    <r>
      <rPr>
        <sz val="10"/>
        <color rgb="FF000000"/>
        <rFont val="Arial"/>
        <family val="0"/>
        <charset val="1"/>
      </rPr>
      <t xml:space="preserve">) → </t>
    </r>
    <r>
      <rPr>
        <sz val="10"/>
        <color rgb="FF000000"/>
        <rFont val="WenQuanYi Zen Hei"/>
        <family val="2"/>
      </rPr>
      <t xml:space="preserve">사탄을 이기실 그리스도</t>
    </r>
  </si>
  <si>
    <r>
      <rPr>
        <sz val="10"/>
        <color rgb="FF000000"/>
        <rFont val="WenQuanYi Zen Hei"/>
        <family val="2"/>
      </rPr>
      <t xml:space="preserve">창조주 하나님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형상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원죄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은혜의 약속</t>
    </r>
  </si>
  <si>
    <t xml:space="preserve">가인부터 바벨까지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</si>
  <si>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4:1~11:9</t>
    </r>
  </si>
  <si>
    <r>
      <rPr>
        <sz val="10"/>
        <color rgb="FF000000"/>
        <rFont val="WenQuanYi Zen Hei"/>
        <family val="2"/>
      </rPr>
      <t xml:space="preserve">사람은 왜 자꾸 하나님을 떠날까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</si>
  <si>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노아의 방주 → 심판에서 건지는 구원의 방주이신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벧전 </t>
    </r>
    <r>
      <rPr>
        <sz val="10"/>
        <color rgb="FF000000"/>
        <rFont val="Arial"/>
        <family val="0"/>
        <charset val="1"/>
      </rPr>
      <t xml:space="preserve">3:20-21)</t>
    </r>
  </si>
  <si>
    <r>
      <rPr>
        <sz val="10"/>
        <color rgb="FF000000"/>
        <rFont val="WenQuanYi Zen Hei"/>
        <family val="2"/>
      </rPr>
      <t xml:space="preserve">죄의 확산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심판과 은혜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언약</t>
    </r>
  </si>
  <si>
    <r>
      <rPr>
        <sz val="10"/>
        <color rgb="FF000000"/>
        <rFont val="WenQuanYi Zen Hei"/>
        <family val="2"/>
      </rPr>
      <t xml:space="preserve">아브라함① 부르심과 언약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이삭과 리브가</t>
    </r>
  </si>
  <si>
    <t xml:space="preserve">B003, B004, B005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</si>
  <si>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12:1~25:34</t>
    </r>
  </si>
  <si>
    <r>
      <rPr>
        <sz val="10"/>
        <color rgb="FF000000"/>
        <rFont val="WenQuanYi Zen Hei"/>
        <family val="2"/>
      </rPr>
      <t xml:space="preserve">확실한 게 하나도 없을 때 떠날 수 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</si>
  <si>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아브라함의 씨 → 모든 민족이 복을 받을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갈 </t>
    </r>
    <r>
      <rPr>
        <sz val="10"/>
        <color rgb="FF000000"/>
        <rFont val="Arial"/>
        <family val="0"/>
        <charset val="1"/>
      </rPr>
      <t xml:space="preserve">3:16)
</t>
    </r>
    <r>
      <rPr>
        <sz val="10"/>
        <color rgb="FF000000"/>
        <rFont val="WenQuanYi Zen Hei"/>
        <family val="2"/>
      </rPr>
      <t xml:space="preserve">모리아 산의 숫양 → 아들을 대신 내어주신 하나님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십자가의 예표
약속의 아들 이삭 → 약속대로 오신 참 아들 그리스도</t>
    </r>
  </si>
  <si>
    <r>
      <rPr>
        <sz val="10"/>
        <color rgb="FF000000"/>
        <rFont val="WenQuanYi Zen Hei"/>
        <family val="2"/>
      </rPr>
      <t xml:space="preserve">이신칭의</t>
    </r>
    <r>
      <rPr>
        <sz val="10"/>
        <color rgb="FF000000"/>
        <rFont val="Arial"/>
        <family val="0"/>
        <charset val="1"/>
      </rPr>
      <t xml:space="preserve">(15:6), </t>
    </r>
    <r>
      <rPr>
        <sz val="10"/>
        <color rgb="FF000000"/>
        <rFont val="WenQuanYi Zen Hei"/>
        <family val="2"/>
      </rPr>
      <t xml:space="preserve">언약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신실하심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하나님의 주권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중보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대속의 예표</t>
    </r>
  </si>
  <si>
    <r>
      <rPr>
        <sz val="10"/>
        <color rgb="FF000000"/>
        <rFont val="WenQuanYi Zen Hei"/>
        <family val="2"/>
      </rPr>
      <t xml:space="preserve">야곱① 축복을 훔친 사람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요셉① 구덩이에서 왕궁으로</t>
    </r>
  </si>
  <si>
    <t xml:space="preserve">B006, B007, B008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</si>
  <si>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27:1~41:57</t>
    </r>
  </si>
  <si>
    <r>
      <rPr>
        <sz val="10"/>
        <color rgb="FF000000"/>
        <rFont val="WenQuanYi Zen Hei"/>
        <family val="2"/>
      </rPr>
      <t xml:space="preserve">원하는 것을 위해 꾀를 써도 될까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</si>
  <si>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벧엘의 사다리 → 하늘과 땅을 잇는 인자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1:51)
</t>
    </r>
    <r>
      <rPr>
        <sz val="10"/>
        <color rgb="FF000000"/>
        <rFont val="WenQuanYi Zen Hei"/>
        <family val="2"/>
      </rPr>
      <t xml:space="preserve">씨름 끝에 받은 새 이름 → 그리스도 안에서 새 사람
버림받았다가 높여져 세상을 살린 요셉 → 그리스도의 예표</t>
    </r>
  </si>
  <si>
    <r>
      <rPr>
        <sz val="10"/>
        <color rgb="FF000000"/>
        <rFont val="WenQuanYi Zen Hei"/>
        <family val="2"/>
      </rPr>
      <t xml:space="preserve">은혜의 선택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동행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죄의 결과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기도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화해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회개와 새 출발</t>
    </r>
  </si>
  <si>
    <r>
      <rPr>
        <sz val="10"/>
        <color rgb="FF000000"/>
        <rFont val="WenQuanYi Zen Hei"/>
        <family val="2"/>
      </rPr>
      <t xml:space="preserve">요셉② 용서와 화해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모세의 탄생과 부르심</t>
    </r>
  </si>
  <si>
    <t xml:space="preserve">B009, B010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</si>
  <si>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42:1~</t>
    </r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5:23</t>
    </r>
  </si>
  <si>
    <r>
      <rPr>
        <sz val="10"/>
        <color rgb="FF000000"/>
        <rFont val="WenQuanYi Zen Hei"/>
        <family val="2"/>
      </rPr>
      <t xml:space="preserve">나에게 상처 준 사람을 용서할 수 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</si>
  <si>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대신 종이 되겠다는 유다 → 우리 대신 죗값을 치르신 그리스도
모세 → 백성을 구원하는 더 큰 선지자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18:15, 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3)</t>
    </r>
  </si>
  <si>
    <r>
      <rPr>
        <sz val="10"/>
        <color rgb="FF000000"/>
        <rFont val="WenQuanYi Zen Hei"/>
        <family val="2"/>
      </rPr>
      <t xml:space="preserve">용서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섭리</t>
    </r>
    <r>
      <rPr>
        <sz val="10"/>
        <color rgb="FF000000"/>
        <rFont val="Arial"/>
        <family val="0"/>
        <charset val="1"/>
      </rPr>
      <t xml:space="preserve">(50:20), </t>
    </r>
    <r>
      <rPr>
        <sz val="10"/>
        <color rgb="FF000000"/>
        <rFont val="WenQuanYi Zen Hei"/>
        <family val="2"/>
      </rPr>
      <t xml:space="preserve">메시아 약속</t>
    </r>
    <r>
      <rPr>
        <sz val="10"/>
        <color rgb="FF000000"/>
        <rFont val="Arial"/>
        <family val="0"/>
        <charset val="1"/>
      </rPr>
      <t xml:space="preserve">(49:10) / </t>
    </r>
    <r>
      <rPr>
        <sz val="10"/>
        <color rgb="FF000000"/>
        <rFont val="WenQuanYi Zen Hei"/>
        <family val="2"/>
      </rPr>
      <t xml:space="preserve">여호와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스스로 있는 자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언약을 기억하시는 하나님</t>
    </r>
  </si>
  <si>
    <r>
      <rPr>
        <sz val="10"/>
        <color rgb="FF000000"/>
        <rFont val="WenQuanYi Zen Hei"/>
        <family val="2"/>
      </rPr>
      <t xml:space="preserve">열 가지 재앙과 유월절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홍해와 광야</t>
    </r>
  </si>
  <si>
    <t xml:space="preserve">B011, B012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</si>
  <si>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7:1~17:16</t>
    </r>
  </si>
  <si>
    <r>
      <rPr>
        <sz val="10"/>
        <color rgb="FF000000"/>
        <rFont val="WenQuanYi Zen Hei"/>
        <family val="2"/>
      </rPr>
      <t xml:space="preserve">하나님이 정말 이 세상을 다스리고 계실까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</si>
  <si>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유월절 어린양의 피 → 우리의 유월절 양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5:7)
</t>
    </r>
    <r>
      <rPr>
        <sz val="10"/>
        <color rgb="FF000000"/>
        <rFont val="WenQuanYi Zen Hei"/>
        <family val="2"/>
      </rPr>
      <t xml:space="preserve">하늘의 만나와 반석의 물 → 생명의 떡이요 생수이신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6, 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10:4)</t>
    </r>
  </si>
  <si>
    <r>
      <rPr>
        <sz val="10"/>
        <color rgb="FF000000"/>
        <rFont val="WenQuanYi Zen Hei"/>
        <family val="2"/>
      </rPr>
      <t xml:space="preserve">하나님의 주권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심판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대속의 피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구원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공급하시는 하나님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원망과 믿음</t>
    </r>
  </si>
  <si>
    <r>
      <rPr>
        <sz val="10"/>
        <color rgb="FF000000"/>
        <rFont val="WenQuanYi Zen Hei"/>
        <family val="2"/>
      </rPr>
      <t xml:space="preserve">시내산 언약과 성막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거룩한 하나님께 나아가는 길</t>
    </r>
  </si>
  <si>
    <t xml:space="preserve">B013, B014, B015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</si>
  <si>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19:1~</t>
    </r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16:34</t>
    </r>
  </si>
  <si>
    <r>
      <rPr>
        <sz val="10"/>
        <color rgb="FF000000"/>
        <rFont val="WenQuanYi Zen Hei"/>
        <family val="2"/>
      </rPr>
      <t xml:space="preserve">하나님은 왜 규칙을 주셨을까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</si>
  <si>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율법의 완성자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5:17), </t>
    </r>
    <r>
      <rPr>
        <sz val="10"/>
        <color rgb="FF000000"/>
        <rFont val="WenQuanYi Zen Hei"/>
        <family val="2"/>
      </rPr>
      <t xml:space="preserve">성막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우리 가운데 거하신 말씀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1:14)
</t>
    </r>
    <r>
      <rPr>
        <sz val="10"/>
        <color rgb="FF000000"/>
        <rFont val="WenQuanYi Zen Hei"/>
        <family val="2"/>
      </rPr>
      <t xml:space="preserve">중보자 모세 → 우리를 위해 간구하시는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7:25)
</t>
    </r>
    <r>
      <rPr>
        <sz val="10"/>
        <color rgb="FF000000"/>
        <rFont val="WenQuanYi Zen Hei"/>
        <family val="2"/>
      </rPr>
      <t xml:space="preserve">모든 제사의 완성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단번에 드려진 그리스도의 제사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10:10)</t>
    </r>
  </si>
  <si>
    <r>
      <rPr>
        <sz val="10"/>
        <color rgb="FF000000"/>
        <rFont val="WenQuanYi Zen Hei"/>
        <family val="2"/>
      </rPr>
      <t xml:space="preserve">율법은 구원받은 백성의 삶의 규칙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임재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우상숭배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중보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회복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영광</t>
    </r>
  </si>
  <si>
    <r>
      <rPr>
        <sz val="10"/>
        <color rgb="FF000000"/>
        <rFont val="WenQuanYi Zen Hei"/>
        <family val="2"/>
      </rPr>
      <t xml:space="preserve">광야로 출발한 군대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요단을 건너 여리고로</t>
    </r>
  </si>
  <si>
    <t xml:space="preserve">B016, B017, B018, B019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</si>
  <si>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13:1~</t>
    </r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7:26</t>
    </r>
  </si>
  <si>
    <r>
      <rPr>
        <sz val="10"/>
        <color rgb="FF000000"/>
        <rFont val="WenQuanYi Zen Hei"/>
        <family val="2"/>
      </rPr>
      <t xml:space="preserve">함께 사는 공동체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원망은 어디서 시작될까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</si>
  <si>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광야의 구름 기둥 → 우리를 인도하시는 성령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놋뱀 → 십자가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3:14)
</t>
    </r>
    <r>
      <rPr>
        <sz val="10"/>
        <color rgb="FF000000"/>
        <rFont val="WenQuanYi Zen Hei"/>
        <family val="2"/>
      </rPr>
      <t xml:space="preserve">놋뱀을 바라보면 산다 → 십자가의 그리스도를 바라보면 산다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3:14-15)
</t>
    </r>
    <r>
      <rPr>
        <sz val="10"/>
        <color rgb="FF000000"/>
        <rFont val="WenQuanYi Zen Hei"/>
        <family val="2"/>
      </rPr>
      <t xml:space="preserve">모세 같은 선지자</t>
    </r>
    <r>
      <rPr>
        <sz val="10"/>
        <color rgb="FF000000"/>
        <rFont val="Arial"/>
        <family val="0"/>
        <charset val="1"/>
      </rPr>
      <t xml:space="preserve">(18:15) → </t>
    </r>
    <r>
      <rPr>
        <sz val="10"/>
        <color rgb="FF000000"/>
        <rFont val="WenQuanYi Zen Hei"/>
        <family val="2"/>
      </rPr>
      <t xml:space="preserve">그리스도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마음의 할례 → 새 언약
여호수아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예수와 같은 이름</t>
    </r>
    <r>
      <rPr>
        <sz val="10"/>
        <color rgb="FF000000"/>
        <rFont val="Arial"/>
        <family val="0"/>
        <charset val="1"/>
      </rPr>
      <t xml:space="preserve">) → </t>
    </r>
    <r>
      <rPr>
        <sz val="10"/>
        <color rgb="FF000000"/>
        <rFont val="WenQuanYi Zen Hei"/>
        <family val="2"/>
      </rPr>
      <t xml:space="preserve">참 안식으로 이끄시는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4:8), </t>
    </r>
    <r>
      <rPr>
        <sz val="10"/>
        <color rgb="FF000000"/>
        <rFont val="WenQuanYi Zen Hei"/>
        <family val="2"/>
      </rPr>
      <t xml:space="preserve">라합의 붉은 줄 → 보혈</t>
    </r>
  </si>
  <si>
    <r>
      <rPr>
        <sz val="10"/>
        <color rgb="FF000000"/>
        <rFont val="WenQuanYi Zen Hei"/>
        <family val="2"/>
      </rPr>
      <t xml:space="preserve">인도하심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불신앙의 결과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남은 자의 믿음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하나님의 신실하심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다음 세대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믿음의 바라봄</t>
    </r>
  </si>
  <si>
    <r>
      <rPr>
        <sz val="10"/>
        <color rgb="FF000000"/>
        <rFont val="WenQuanYi Zen Hei"/>
        <family val="2"/>
      </rPr>
      <t xml:space="preserve">약속의 땅을 나누다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사사들의 시대②</t>
    </r>
  </si>
  <si>
    <t xml:space="preserve">B020, B021, B022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</si>
  <si>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10:1~</t>
    </r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16:31</t>
    </r>
  </si>
  <si>
    <r>
      <rPr>
        <sz val="10"/>
        <color rgb="FF000000"/>
        <rFont val="WenQuanYi Zen Hei"/>
        <family val="2"/>
      </rPr>
      <t xml:space="preserve">하나님의 약속은 정말 다 이루어질까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</si>
  <si>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하나님의 약속 성취</t>
    </r>
    <r>
      <rPr>
        <sz val="10"/>
        <color rgb="FF000000"/>
        <rFont val="Arial"/>
        <family val="0"/>
        <charset val="1"/>
      </rPr>
      <t xml:space="preserve">(21:45) → </t>
    </r>
    <r>
      <rPr>
        <sz val="10"/>
        <color rgb="FF000000"/>
        <rFont val="WenQuanYi Zen Hei"/>
        <family val="2"/>
      </rPr>
      <t xml:space="preserve">모든 약속의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예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가 되신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고후 </t>
    </r>
    <r>
      <rPr>
        <sz val="10"/>
        <color rgb="FF000000"/>
        <rFont val="Arial"/>
        <family val="0"/>
        <charset val="1"/>
      </rPr>
      <t xml:space="preserve">1:20)
</t>
    </r>
    <r>
      <rPr>
        <sz val="10"/>
        <color rgb="FF000000"/>
        <rFont val="WenQuanYi Zen Hei"/>
        <family val="2"/>
      </rPr>
      <t xml:space="preserve">연약한 구원자들 → 완전한 구원자 그리스도
나실인 삼손의 죽음으로 이룬 승리 → 죽음으로 승리하신 그리스도</t>
    </r>
  </si>
  <si>
    <r>
      <rPr>
        <sz val="10"/>
        <color rgb="FF000000"/>
        <rFont val="WenQuanYi Zen Hei"/>
        <family val="2"/>
      </rPr>
      <t xml:space="preserve">하나님께 묻는 삶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약속 성취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언약 갱신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죄와 은혜의 반복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하나님이 세우시는 구원자</t>
    </r>
  </si>
  <si>
    <r>
      <rPr>
        <sz val="10"/>
        <color rgb="FF000000"/>
        <rFont val="WenQuanYi Zen Hei"/>
        <family val="2"/>
      </rPr>
      <t xml:space="preserve">룻과 한나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왕을 기다리는 사람들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왕을 원한 백성</t>
    </r>
  </si>
  <si>
    <t xml:space="preserve">B023, B024</t>
  </si>
  <si>
    <r>
      <rPr>
        <sz val="10"/>
        <color rgb="FF000000"/>
        <rFont val="WenQuanYi Zen Hei"/>
        <family val="2"/>
      </rPr>
      <t xml:space="preserve">룻 </t>
    </r>
    <r>
      <rPr>
        <sz val="10"/>
        <color rgb="FF000000"/>
        <rFont val="Arial"/>
        <family val="0"/>
        <charset val="1"/>
      </rPr>
      <t xml:space="preserve">1:1~</t>
    </r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15:35</t>
    </r>
  </si>
  <si>
    <r>
      <rPr>
        <sz val="10"/>
        <color rgb="FF000000"/>
        <rFont val="WenQuanYi Zen Hei"/>
        <family val="2"/>
      </rPr>
      <t xml:space="preserve">가장 절망적일 때 하나님은 무엇을 하고 계실까</t>
    </r>
    <r>
      <rPr>
        <sz val="10"/>
        <color rgb="FF000000"/>
        <rFont val="Arial"/>
        <family val="0"/>
        <charset val="1"/>
      </rPr>
      <t xml:space="preserve">?</t>
    </r>
  </si>
  <si>
    <t xml:space="preserve">기업 무를 자 보아스 → 우리를 값 주고 사신 그리스도
사람이 원한 왕 사울 → 하나님이 세우신 참 왕 그리스도</t>
  </si>
  <si>
    <r>
      <rPr>
        <sz val="10"/>
        <color rgb="FF000000"/>
        <rFont val="WenQuanYi Zen Hei"/>
        <family val="2"/>
      </rPr>
      <t xml:space="preserve">섭리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이방인을 향한 은혜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기도 응답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하나님의 왕 되심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순종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에벤에셀</t>
    </r>
  </si>
  <si>
    <r>
      <rPr>
        <sz val="10"/>
        <color rgb="FF000000"/>
        <rFont val="WenQuanYi Zen Hei"/>
        <family val="2"/>
      </rPr>
      <t xml:space="preserve">목동 다윗과 사울 왕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다윗 왕국</t>
    </r>
  </si>
  <si>
    <t xml:space="preserve">B025, B027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</si>
  <si>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16:1~</t>
    </r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9:13</t>
    </r>
  </si>
  <si>
    <r>
      <rPr>
        <sz val="10"/>
        <color rgb="FF000000"/>
        <rFont val="WenQuanYi Zen Hei"/>
        <family val="2"/>
      </rPr>
      <t xml:space="preserve">억울하게 미움받을 때 어떻게 해야 할까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</si>
  <si>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기름부음 받은 목자 다윗 → 참 목자요 왕이신 그리스도
다윗 언약</t>
    </r>
    <r>
      <rPr>
        <sz val="10"/>
        <color rgb="FF000000"/>
        <rFont val="Arial"/>
        <family val="0"/>
        <charset val="1"/>
      </rPr>
      <t xml:space="preserve">(7:16) → </t>
    </r>
    <r>
      <rPr>
        <sz val="10"/>
        <color rgb="FF000000"/>
        <rFont val="WenQuanYi Zen Hei"/>
        <family val="2"/>
      </rPr>
      <t xml:space="preserve">영원한 다윗의 자손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1:32-33)</t>
    </r>
  </si>
  <si>
    <r>
      <rPr>
        <sz val="10"/>
        <color rgb="FF000000"/>
        <rFont val="WenQuanYi Zen Hei"/>
        <family val="2"/>
      </rPr>
      <t xml:space="preserve">중심을 보시는 하나님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믿음의 용기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기다림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언약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예배의 기쁨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은혜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므비보셋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</si>
  <si>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다윗의 죄와 회복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지혜의 왕 솔로몬</t>
    </r>
  </si>
  <si>
    <t xml:space="preserve">B028, B029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</si>
  <si>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11:1~</t>
    </r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11:43</t>
    </r>
  </si>
  <si>
    <r>
      <rPr>
        <sz val="10"/>
        <color rgb="FF000000"/>
        <rFont val="WenQuanYi Zen Hei"/>
        <family val="2"/>
      </rPr>
      <t xml:space="preserve">큰 잘못을 저지른 뒤에도 돌아갈 수 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</si>
  <si>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죄인을 용서하시는 하나님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51) → </t>
    </r>
    <r>
      <rPr>
        <sz val="10"/>
        <color rgb="FF000000"/>
        <rFont val="WenQuanYi Zen Hei"/>
        <family val="2"/>
      </rPr>
      <t xml:space="preserve">십자가의 용서
솔로몬보다 더 큰 이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12:42) </t>
    </r>
    <r>
      <rPr>
        <sz val="10"/>
        <color rgb="FF000000"/>
        <rFont val="WenQuanYi Zen Hei"/>
        <family val="2"/>
      </rPr>
      <t xml:space="preserve">그리스도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성전 → 참 성전이신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2:21)</t>
    </r>
  </si>
  <si>
    <r>
      <rPr>
        <sz val="10"/>
        <color rgb="FF000000"/>
        <rFont val="WenQuanYi Zen Hei"/>
        <family val="2"/>
      </rPr>
      <t xml:space="preserve">죄의 결과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회개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용서받은 자의 고난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지혜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성전과 임재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마음을 지키지 못한 실패</t>
    </r>
  </si>
  <si>
    <r>
      <rPr>
        <sz val="10"/>
        <color rgb="FF000000"/>
        <rFont val="WenQuanYi Zen Hei"/>
        <family val="2"/>
      </rPr>
      <t xml:space="preserve">나뉜 왕국과 갈멜산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엘리야에서 엘리사로</t>
    </r>
  </si>
  <si>
    <t xml:space="preserve">B030, B031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</si>
  <si>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12:1~</t>
    </r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2:14</t>
    </r>
  </si>
  <si>
    <r>
      <rPr>
        <sz val="10"/>
        <color rgb="FF000000"/>
        <rFont val="WenQuanYi Zen Hei"/>
        <family val="2"/>
      </rPr>
      <t xml:space="preserve">모두가 거짓을 따를 때 혼자 진실을 말할 수 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</si>
  <si>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엘리야 → 길을 예비한 세례 요한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11:14), </t>
    </r>
    <r>
      <rPr>
        <sz val="10"/>
        <color rgb="FF000000"/>
        <rFont val="WenQuanYi Zen Hei"/>
        <family val="2"/>
      </rPr>
      <t xml:space="preserve">참 하나님의 불
불병거로 올라간 엘리야 → 승천하신 그리스도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갑절의 영감 → 성령</t>
    </r>
  </si>
  <si>
    <r>
      <rPr>
        <sz val="10"/>
        <color rgb="FF000000"/>
        <rFont val="WenQuanYi Zen Hei"/>
        <family val="2"/>
      </rPr>
      <t xml:space="preserve">우상숭배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참 선지자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공급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하나님의 위로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세미한 소리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사명의 계승</t>
    </r>
  </si>
  <si>
    <r>
      <rPr>
        <sz val="10"/>
        <color rgb="FF000000"/>
        <rFont val="WenQuanYi Zen Hei"/>
        <family val="2"/>
      </rPr>
      <t xml:space="preserve">엘리사의 기적들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남유다의 마지막</t>
    </r>
  </si>
  <si>
    <t xml:space="preserve">B032, B033, B034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</si>
  <si>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4:8~25:30</t>
    </r>
  </si>
  <si>
    <r>
      <rPr>
        <sz val="10"/>
        <color rgb="FF000000"/>
        <rFont val="WenQuanYi Zen Hei"/>
        <family val="2"/>
      </rPr>
      <t xml:space="preserve">작고 평범한 내 삶에도 하나님이 일하실까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</si>
  <si>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떡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개로 백 명을 먹인 기적 → 오병이어의 그리스도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나아만 → 은혜로 받는 치유
멸망 중에도 끊어지지 않는 다윗의 등불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8:19) → </t>
    </r>
    <r>
      <rPr>
        <sz val="10"/>
        <color rgb="FF000000"/>
        <rFont val="WenQuanYi Zen Hei"/>
        <family val="2"/>
      </rPr>
      <t xml:space="preserve">다윗의 자손 그리스도
포로 중 석방된 다윗의 자손</t>
    </r>
    <r>
      <rPr>
        <sz val="10"/>
        <color rgb="FF000000"/>
        <rFont val="Arial"/>
        <family val="0"/>
        <charset val="1"/>
      </rPr>
      <t xml:space="preserve">(25:27-30) → </t>
    </r>
    <r>
      <rPr>
        <sz val="10"/>
        <color rgb="FF000000"/>
        <rFont val="WenQuanYi Zen Hei"/>
        <family val="2"/>
      </rPr>
      <t xml:space="preserve">다윗의 왕위를 이으실 그리스도</t>
    </r>
  </si>
  <si>
    <r>
      <rPr>
        <sz val="10"/>
        <color rgb="FF000000"/>
        <rFont val="WenQuanYi Zen Hei"/>
        <family val="2"/>
      </rPr>
      <t xml:space="preserve">은혜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돌보심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보이지 않는 하나님의 군대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하나님의 인내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심판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개혁의 한계</t>
    </r>
  </si>
  <si>
    <r>
      <rPr>
        <sz val="10"/>
        <color rgb="FF000000"/>
        <rFont val="WenQuanYi Zen Hei"/>
        <family val="2"/>
      </rPr>
      <t xml:space="preserve">역대기② 돌아오는 자를 받으시는 하나님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성벽을 다시 세우다</t>
    </r>
  </si>
  <si>
    <t xml:space="preserve">B036, B037, B038</t>
  </si>
  <si>
    <r>
      <rPr>
        <sz val="10"/>
        <color rgb="FF000000"/>
        <rFont val="WenQuanYi Zen Hei"/>
        <family val="2"/>
      </rPr>
      <t xml:space="preserve">대하 </t>
    </r>
    <r>
      <rPr>
        <sz val="10"/>
        <color rgb="FF000000"/>
        <rFont val="Arial"/>
        <family val="0"/>
        <charset val="1"/>
      </rPr>
      <t xml:space="preserve">20:1~</t>
    </r>
    <r>
      <rPr>
        <sz val="10"/>
        <color rgb="FF000000"/>
        <rFont val="WenQuanYi Zen Hei"/>
        <family val="2"/>
      </rPr>
      <t xml:space="preserve">느 </t>
    </r>
    <r>
      <rPr>
        <sz val="10"/>
        <color rgb="FF000000"/>
        <rFont val="Arial"/>
        <family val="0"/>
        <charset val="1"/>
      </rPr>
      <t xml:space="preserve">8:18</t>
    </r>
  </si>
  <si>
    <r>
      <rPr>
        <sz val="10"/>
        <color rgb="FF000000"/>
        <rFont val="WenQuanYi Zen Hei"/>
        <family val="2"/>
      </rPr>
      <t xml:space="preserve">하나님께서 정말 다시 받아 주실까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</si>
  <si>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성전에 임한 영광 → 우리 안에 거하시는 성령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고레스 칙령 → 포로에서의 해방
다시 세운 성전 → 참 성전이신 그리스도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말씀을 가르친 에스라
무너진 성벽을 세운 느헤미야 → 무너진 우리를 다시 세우시는 그리스도</t>
    </r>
  </si>
  <si>
    <r>
      <rPr>
        <sz val="10"/>
        <color rgb="FF000000"/>
        <rFont val="WenQuanYi Zen Hei"/>
        <family val="2"/>
      </rPr>
      <t xml:space="preserve">회개와 회복</t>
    </r>
    <r>
      <rPr>
        <sz val="10"/>
        <color rgb="FF000000"/>
        <rFont val="Arial"/>
        <family val="0"/>
        <charset val="1"/>
      </rPr>
      <t xml:space="preserve">(7:14), </t>
    </r>
    <r>
      <rPr>
        <sz val="10"/>
        <color rgb="FF000000"/>
        <rFont val="WenQuanYi Zen Hei"/>
        <family val="2"/>
      </rPr>
      <t xml:space="preserve">겸손한 기도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신실하심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말씀 중심 회복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주권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이방 왕도 사용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회개</t>
    </r>
  </si>
  <si>
    <r>
      <rPr>
        <sz val="10"/>
        <color rgb="FF000000"/>
        <rFont val="WenQuanYi Zen Hei"/>
        <family val="2"/>
      </rPr>
      <t xml:space="preserve">왕비 에스더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욥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고난 속의 하나님</t>
    </r>
  </si>
  <si>
    <t xml:space="preserve">B039, B040</t>
  </si>
  <si>
    <r>
      <rPr>
        <sz val="10"/>
        <color rgb="FF000000"/>
        <rFont val="WenQuanYi Zen Hei"/>
        <family val="2"/>
      </rPr>
      <t xml:space="preserve">에 </t>
    </r>
    <r>
      <rPr>
        <sz val="10"/>
        <color rgb="FF000000"/>
        <rFont val="Arial"/>
        <family val="0"/>
        <charset val="1"/>
      </rPr>
      <t xml:space="preserve">2:1~</t>
    </r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42:17</t>
    </r>
  </si>
  <si>
    <r>
      <rPr>
        <sz val="10"/>
        <color rgb="FF000000"/>
        <rFont val="WenQuanYi Zen Hei"/>
        <family val="2"/>
      </rPr>
      <t xml:space="preserve">하나님이 안 보이는 것 같을 때도 일하고 계실까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</si>
  <si>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죽으면 죽으리라 나선 중보자 → 우리를 위해 죽으신 중보자 그리스도
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나의 대속자가 살아 계시니</t>
    </r>
    <r>
      <rPr>
        <sz val="10"/>
        <color rgb="FF000000"/>
        <rFont val="Arial"/>
        <family val="0"/>
        <charset val="1"/>
      </rPr>
      <t xml:space="preserve">"(19:25) → </t>
    </r>
    <r>
      <rPr>
        <sz val="10"/>
        <color rgb="FF000000"/>
        <rFont val="WenQuanYi Zen Hei"/>
        <family val="2"/>
      </rPr>
      <t xml:space="preserve">부활하신 구속자 그리스도</t>
    </r>
  </si>
  <si>
    <r>
      <rPr>
        <sz val="10"/>
        <color rgb="FF000000"/>
        <rFont val="WenQuanYi Zen Hei"/>
        <family val="2"/>
      </rPr>
      <t xml:space="preserve">보이지 않는 섭리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용기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구원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하나님의 주권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고난의 신비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인과응보 신앙의 한계</t>
    </r>
  </si>
  <si>
    <r>
      <rPr>
        <sz val="10"/>
        <color rgb="FF000000"/>
        <rFont val="WenQuanYi Zen Hei"/>
        <family val="2"/>
      </rPr>
      <t xml:space="preserve">시편① 노래하는 기도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제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권</t>
    </r>
    <r>
      <rPr>
        <sz val="10"/>
        <color rgb="FF000000"/>
        <rFont val="Arial"/>
        <family val="0"/>
        <charset val="1"/>
      </rPr>
      <t xml:space="preserve">) ~ </t>
    </r>
    <r>
      <rPr>
        <sz val="10"/>
        <color rgb="FF000000"/>
        <rFont val="WenQuanYi Zen Hei"/>
        <family val="2"/>
      </rPr>
      <t xml:space="preserve">잠언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지혜로운 삶</t>
    </r>
  </si>
  <si>
    <t xml:space="preserve">B041, B042, B044, B045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</si>
  <si>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1~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1:33</t>
    </r>
  </si>
  <si>
    <r>
      <rPr>
        <sz val="10"/>
        <color rgb="FF000000"/>
        <rFont val="WenQuanYi Zen Hei"/>
        <family val="2"/>
      </rPr>
      <t xml:space="preserve">기도가 잘 안 나올 때 무슨 말로 기도할까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</si>
  <si>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편의 아들</t>
    </r>
    <r>
      <rPr>
        <sz val="10"/>
        <color rgb="FF000000"/>
        <rFont val="Arial"/>
        <family val="0"/>
        <charset val="1"/>
      </rPr>
      <t xml:space="preserve">, 22</t>
    </r>
    <r>
      <rPr>
        <sz val="10"/>
        <color rgb="FF000000"/>
        <rFont val="WenQuanYi Zen Hei"/>
        <family val="2"/>
      </rPr>
      <t xml:space="preserve">편의 십자가</t>
    </r>
    <r>
      <rPr>
        <sz val="10"/>
        <color rgb="FF000000"/>
        <rFont val="Arial"/>
        <family val="0"/>
        <charset val="1"/>
      </rPr>
      <t xml:space="preserve">, 23</t>
    </r>
    <r>
      <rPr>
        <sz val="10"/>
        <color rgb="FF000000"/>
        <rFont val="WenQuanYi Zen Hei"/>
        <family val="2"/>
      </rPr>
      <t xml:space="preserve">편의 목자 → 그리스도
</t>
    </r>
    <r>
      <rPr>
        <sz val="10"/>
        <color rgb="FF000000"/>
        <rFont val="Arial"/>
        <family val="0"/>
        <charset val="1"/>
      </rPr>
      <t xml:space="preserve">51</t>
    </r>
    <r>
      <rPr>
        <sz val="10"/>
        <color rgb="FF000000"/>
        <rFont val="WenQuanYi Zen Hei"/>
        <family val="2"/>
      </rPr>
      <t xml:space="preserve">편의 정한 마음 → 그리스도 안에서 새 마음</t>
    </r>
    <r>
      <rPr>
        <sz val="10"/>
        <color rgb="FF000000"/>
        <rFont val="Arial"/>
        <family val="0"/>
        <charset val="1"/>
      </rPr>
      <t xml:space="preserve">, 89</t>
    </r>
    <r>
      <rPr>
        <sz val="10"/>
        <color rgb="FF000000"/>
        <rFont val="WenQuanYi Zen Hei"/>
        <family val="2"/>
      </rPr>
      <t xml:space="preserve">편 다윗 언약 → 그리스도
</t>
    </r>
    <r>
      <rPr>
        <sz val="10"/>
        <color rgb="FF000000"/>
        <rFont val="Arial"/>
        <family val="0"/>
        <charset val="1"/>
      </rPr>
      <t xml:space="preserve">110</t>
    </r>
    <r>
      <rPr>
        <sz val="10"/>
        <color rgb="FF000000"/>
        <rFont val="WenQuanYi Zen Hei"/>
        <family val="2"/>
      </rPr>
      <t xml:space="preserve">편 멜기세덱 반차의 제사장 →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7), 119</t>
    </r>
    <r>
      <rPr>
        <sz val="10"/>
        <color rgb="FF000000"/>
        <rFont val="WenQuanYi Zen Hei"/>
        <family val="2"/>
      </rPr>
      <t xml:space="preserve">편 말씀 → 말씀이신 그리스도
하나님의 지혜이신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1:24, 30)</t>
    </r>
  </si>
  <si>
    <r>
      <rPr>
        <sz val="10"/>
        <color rgb="FF000000"/>
        <rFont val="WenQuanYi Zen Hei"/>
        <family val="2"/>
      </rPr>
      <t xml:space="preserve">말씀 묵상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메시아 예언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목자 되심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회개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피난처 되신 하나님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악인의 형통 문제</t>
    </r>
  </si>
  <si>
    <r>
      <rPr>
        <sz val="10"/>
        <color rgb="FF000000"/>
        <rFont val="WenQuanYi Zen Hei"/>
        <family val="2"/>
      </rPr>
      <t xml:space="preserve">전도서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아가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인생과 사랑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눈물의 선지자 예레미야①</t>
    </r>
  </si>
  <si>
    <t xml:space="preserve">B046, B047, B048, B049, B050</t>
  </si>
  <si>
    <r>
      <rPr>
        <sz val="10"/>
        <color rgb="FF000000"/>
        <rFont val="WenQuanYi Zen Hei"/>
        <family val="2"/>
      </rPr>
      <t xml:space="preserve">전 </t>
    </r>
    <r>
      <rPr>
        <sz val="10"/>
        <color rgb="FF000000"/>
        <rFont val="Arial"/>
        <family val="0"/>
        <charset val="1"/>
      </rPr>
      <t xml:space="preserve">3:1~</t>
    </r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18:23</t>
    </r>
  </si>
  <si>
    <r>
      <rPr>
        <sz val="10"/>
        <color rgb="FF000000"/>
        <rFont val="WenQuanYi Zen Hei"/>
        <family val="2"/>
      </rPr>
      <t xml:space="preserve">다 가져도 허무하다면 무엇이 의미가 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</si>
  <si>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해 아래의 헛됨을 넘어서는 영원한 소망 그리스도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신랑과 신부 → 그리스도와 교회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5:32)
</t>
    </r>
    <r>
      <rPr>
        <sz val="10"/>
        <color rgb="FF000000"/>
        <rFont val="WenQuanYi Zen Hei"/>
        <family val="2"/>
      </rPr>
      <t xml:space="preserve">임마누엘</t>
    </r>
    <r>
      <rPr>
        <sz val="10"/>
        <color rgb="FF000000"/>
        <rFont val="Arial"/>
        <family val="0"/>
        <charset val="1"/>
      </rPr>
      <t xml:space="preserve">(7:14), </t>
    </r>
    <r>
      <rPr>
        <sz val="10"/>
        <color rgb="FF000000"/>
        <rFont val="WenQuanYi Zen Hei"/>
        <family val="2"/>
      </rPr>
      <t xml:space="preserve">한 아기</t>
    </r>
    <r>
      <rPr>
        <sz val="10"/>
        <color rgb="FF000000"/>
        <rFont val="Arial"/>
        <family val="0"/>
        <charset val="1"/>
      </rPr>
      <t xml:space="preserve">(9:6), </t>
    </r>
    <r>
      <rPr>
        <sz val="10"/>
        <color rgb="FF000000"/>
        <rFont val="WenQuanYi Zen Hei"/>
        <family val="2"/>
      </rPr>
      <t xml:space="preserve">이새의 줄기</t>
    </r>
    <r>
      <rPr>
        <sz val="10"/>
        <color rgb="FF000000"/>
        <rFont val="Arial"/>
        <family val="0"/>
        <charset val="1"/>
      </rPr>
      <t xml:space="preserve">(11:1) → </t>
    </r>
    <r>
      <rPr>
        <sz val="10"/>
        <color rgb="FF000000"/>
        <rFont val="WenQuanYi Zen Hei"/>
        <family val="2"/>
      </rPr>
      <t xml:space="preserve">그리스도의 탄생
사망을 영원히 멸하실 하나님</t>
    </r>
    <r>
      <rPr>
        <sz val="10"/>
        <color rgb="FF000000"/>
        <rFont val="Arial"/>
        <family val="0"/>
        <charset val="1"/>
      </rPr>
      <t xml:space="preserve">(25:8) → </t>
    </r>
    <r>
      <rPr>
        <sz val="10"/>
        <color rgb="FF000000"/>
        <rFont val="WenQuanYi Zen Hei"/>
        <family val="2"/>
      </rPr>
      <t xml:space="preserve">부활하신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15:54)
</t>
    </r>
    <r>
      <rPr>
        <sz val="10"/>
        <color rgb="FF000000"/>
        <rFont val="WenQuanYi Zen Hei"/>
        <family val="2"/>
      </rPr>
      <t xml:space="preserve">고난받는 종</t>
    </r>
    <r>
      <rPr>
        <sz val="10"/>
        <color rgb="FF000000"/>
        <rFont val="Arial"/>
        <family val="0"/>
        <charset val="1"/>
      </rPr>
      <t xml:space="preserve">(53</t>
    </r>
    <r>
      <rPr>
        <sz val="10"/>
        <color rgb="FF000000"/>
        <rFont val="WenQuanYi Zen Hei"/>
        <family val="2"/>
      </rPr>
      <t xml:space="preserve">장</t>
    </r>
    <r>
      <rPr>
        <sz val="10"/>
        <color rgb="FF000000"/>
        <rFont val="Arial"/>
        <family val="0"/>
        <charset val="1"/>
      </rPr>
      <t xml:space="preserve">) → </t>
    </r>
    <r>
      <rPr>
        <sz val="10"/>
        <color rgb="FF000000"/>
        <rFont val="WenQuanYi Zen Hei"/>
        <family val="2"/>
      </rPr>
      <t xml:space="preserve">우리 죄를 지고 십자가에서 찔리신 그리스도
토기장이의 손 → 우리를 새롭게 빚으시는 하나님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의로운 가지</t>
    </r>
    <r>
      <rPr>
        <sz val="10"/>
        <color rgb="FF000000"/>
        <rFont val="Arial"/>
        <family val="0"/>
        <charset val="1"/>
      </rPr>
      <t xml:space="preserve">(23:5) → </t>
    </r>
    <r>
      <rPr>
        <sz val="10"/>
        <color rgb="FF000000"/>
        <rFont val="WenQuanYi Zen Hei"/>
        <family val="2"/>
      </rPr>
      <t xml:space="preserve">그리스도</t>
    </r>
  </si>
  <si>
    <r>
      <rPr>
        <sz val="10"/>
        <color rgb="FF000000"/>
        <rFont val="WenQuanYi Zen Hei"/>
        <family val="2"/>
      </rPr>
      <t xml:space="preserve">하나님 없는 인생의 헛됨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 경외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거룩한 사랑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하나님의 거룩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은혜의 초청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메시아 예언</t>
    </r>
  </si>
  <si>
    <r>
      <rPr>
        <sz val="10"/>
        <color rgb="FF000000"/>
        <rFont val="WenQuanYi Zen Hei"/>
        <family val="2"/>
      </rPr>
      <t xml:space="preserve">눈물의 선지자 예레미야②와 애가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다니엘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바벨론의 믿음</t>
    </r>
  </si>
  <si>
    <t xml:space="preserve">B051, B052, B053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</si>
  <si>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30:1~</t>
    </r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6:28</t>
    </r>
  </si>
  <si>
    <r>
      <rPr>
        <sz val="10"/>
        <color rgb="FF000000"/>
        <rFont val="WenQuanYi Zen Hei"/>
        <family val="2"/>
      </rPr>
      <t xml:space="preserve">모든 것이 무너진 뒤에도 희망이 남아 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</si>
  <si>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새 언약</t>
    </r>
    <r>
      <rPr>
        <sz val="10"/>
        <color rgb="FF000000"/>
        <rFont val="Arial"/>
        <family val="0"/>
        <charset val="1"/>
      </rPr>
      <t xml:space="preserve">(31:31-34) → </t>
    </r>
    <r>
      <rPr>
        <sz val="10"/>
        <color rgb="FF000000"/>
        <rFont val="WenQuanYi Zen Hei"/>
        <family val="2"/>
      </rPr>
      <t xml:space="preserve">그리스도의 피로 세운 새 언약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22:20)
</t>
    </r>
    <r>
      <rPr>
        <sz val="10"/>
        <color rgb="FF000000"/>
        <rFont val="WenQuanYi Zen Hei"/>
        <family val="2"/>
      </rPr>
      <t xml:space="preserve">참 목자</t>
    </r>
    <r>
      <rPr>
        <sz val="10"/>
        <color rgb="FF000000"/>
        <rFont val="Arial"/>
        <family val="0"/>
        <charset val="1"/>
      </rPr>
      <t xml:space="preserve">(34:23) </t>
    </r>
    <r>
      <rPr>
        <sz val="10"/>
        <color rgb="FF000000"/>
        <rFont val="WenQuanYi Zen Hei"/>
        <family val="2"/>
      </rPr>
      <t xml:space="preserve">그리스도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새 마음과 성령</t>
    </r>
    <r>
      <rPr>
        <sz val="10"/>
        <color rgb="FF000000"/>
        <rFont val="Arial"/>
        <family val="0"/>
        <charset val="1"/>
      </rPr>
      <t xml:space="preserve">(36:26) → </t>
    </r>
    <r>
      <rPr>
        <sz val="10"/>
        <color rgb="FF000000"/>
        <rFont val="WenQuanYi Zen Hei"/>
        <family val="2"/>
      </rPr>
      <t xml:space="preserve">오순절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생명수 강 → 요 </t>
    </r>
    <r>
      <rPr>
        <sz val="10"/>
        <color rgb="FF000000"/>
        <rFont val="Arial"/>
        <family val="0"/>
        <charset val="1"/>
      </rPr>
      <t xml:space="preserve">7:38
</t>
    </r>
    <r>
      <rPr>
        <sz val="10"/>
        <color rgb="FF000000"/>
        <rFont val="WenQuanYi Zen Hei"/>
        <family val="2"/>
      </rPr>
      <t xml:space="preserve">풀무불 속 넷째 사람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인자 같은 이</t>
    </r>
    <r>
      <rPr>
        <sz val="10"/>
        <color rgb="FF000000"/>
        <rFont val="Arial"/>
        <family val="0"/>
        <charset val="1"/>
      </rPr>
      <t xml:space="preserve">(7:13) → </t>
    </r>
    <r>
      <rPr>
        <sz val="10"/>
        <color rgb="FF000000"/>
        <rFont val="WenQuanYi Zen Hei"/>
        <family val="2"/>
      </rPr>
      <t xml:space="preserve">영원한 나라의 왕 그리스도</t>
    </r>
  </si>
  <si>
    <r>
      <rPr>
        <sz val="10"/>
        <color rgb="FF000000"/>
        <rFont val="WenQuanYi Zen Hei"/>
        <family val="2"/>
      </rPr>
      <t xml:space="preserve">새 언약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회복의 소망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아침마다 새로운 긍휼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하나님의 영광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개인의 책임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새 마음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부활의 소망</t>
    </r>
  </si>
  <si>
    <r>
      <rPr>
        <sz val="10"/>
        <color rgb="FF000000"/>
        <rFont val="WenQuanYi Zen Hei"/>
        <family val="2"/>
      </rPr>
      <t xml:space="preserve">오바댜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미가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나훔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열방을 향한 하나님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하박국에서 말라기까지</t>
    </r>
    <r>
      <rPr>
        <sz val="10"/>
        <color rgb="FF000000"/>
        <rFont val="Arial"/>
        <family val="0"/>
        <charset val="1"/>
      </rPr>
      <t xml:space="preserve">: 400</t>
    </r>
    <r>
      <rPr>
        <sz val="10"/>
        <color rgb="FF000000"/>
        <rFont val="WenQuanYi Zen Hei"/>
        <family val="2"/>
      </rPr>
      <t xml:space="preserve">년 침묵 직전</t>
    </r>
  </si>
  <si>
    <t xml:space="preserve">B055, B056</t>
  </si>
  <si>
    <r>
      <rPr>
        <sz val="10"/>
        <color rgb="FF000000"/>
        <rFont val="WenQuanYi Zen Hei"/>
        <family val="2"/>
      </rPr>
      <t xml:space="preserve">욘 </t>
    </r>
    <r>
      <rPr>
        <sz val="10"/>
        <color rgb="FF000000"/>
        <rFont val="Arial"/>
        <family val="0"/>
        <charset val="1"/>
      </rPr>
      <t xml:space="preserve">1:1~</t>
    </r>
    <r>
      <rPr>
        <sz val="10"/>
        <color rgb="FF000000"/>
        <rFont val="WenQuanYi Zen Hei"/>
        <family val="2"/>
      </rPr>
      <t xml:space="preserve">말 </t>
    </r>
    <r>
      <rPr>
        <sz val="10"/>
        <color rgb="FF000000"/>
        <rFont val="Arial"/>
        <family val="0"/>
        <charset val="1"/>
      </rPr>
      <t xml:space="preserve">4:6</t>
    </r>
  </si>
  <si>
    <r>
      <rPr>
        <sz val="10"/>
        <color rgb="FF000000"/>
        <rFont val="WenQuanYi Zen Hei"/>
        <family val="2"/>
      </rPr>
      <t xml:space="preserve">하나님은 우리 편만 사랑하실까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</si>
  <si>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요나의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일 → 그리스도의 장사와 부활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12:40), </t>
    </r>
    <r>
      <rPr>
        <sz val="10"/>
        <color rgb="FF000000"/>
        <rFont val="WenQuanYi Zen Hei"/>
        <family val="2"/>
      </rPr>
      <t xml:space="preserve">베들레헴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미 </t>
    </r>
    <r>
      <rPr>
        <sz val="10"/>
        <color rgb="FF000000"/>
        <rFont val="Arial"/>
        <family val="0"/>
        <charset val="1"/>
      </rPr>
      <t xml:space="preserve">5:2) → </t>
    </r>
    <r>
      <rPr>
        <sz val="10"/>
        <color rgb="FF000000"/>
        <rFont val="WenQuanYi Zen Hei"/>
        <family val="2"/>
      </rPr>
      <t xml:space="preserve">그리스도 탄생
겸손한 왕이 나귀를 타고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슥 </t>
    </r>
    <r>
      <rPr>
        <sz val="10"/>
        <color rgb="FF000000"/>
        <rFont val="Arial"/>
        <family val="0"/>
        <charset val="1"/>
      </rPr>
      <t xml:space="preserve">9:9) → </t>
    </r>
    <r>
      <rPr>
        <sz val="10"/>
        <color rgb="FF000000"/>
        <rFont val="WenQuanYi Zen Hei"/>
        <family val="2"/>
      </rPr>
      <t xml:space="preserve">예루살렘 입성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엘리야를 보내리라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말 </t>
    </r>
    <r>
      <rPr>
        <sz val="10"/>
        <color rgb="FF000000"/>
        <rFont val="Arial"/>
        <family val="0"/>
        <charset val="1"/>
      </rPr>
      <t xml:space="preserve">4:5) → </t>
    </r>
    <r>
      <rPr>
        <sz val="10"/>
        <color rgb="FF000000"/>
        <rFont val="WenQuanYi Zen Hei"/>
        <family val="2"/>
      </rPr>
      <t xml:space="preserve">세례 요한</t>
    </r>
  </si>
  <si>
    <r>
      <rPr>
        <sz val="10"/>
        <color rgb="FF000000"/>
        <rFont val="WenQuanYi Zen Hei"/>
        <family val="2"/>
      </rPr>
      <t xml:space="preserve">열방을 향한 긍휼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교만의 심판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정의와 인자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믿음으로 사는 의인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성전 회복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다가올 메시아</t>
    </r>
  </si>
  <si>
    <r>
      <rPr>
        <sz val="10"/>
        <color rgb="FF000000"/>
        <rFont val="WenQuanYi Zen Hei"/>
        <family val="2"/>
      </rPr>
      <t xml:space="preserve">왕이 오시다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산상수훈</t>
    </r>
  </si>
  <si>
    <t xml:space="preserve">B057, B058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</si>
  <si>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1:18~7:29</t>
    </r>
  </si>
  <si>
    <r>
      <rPr>
        <sz val="10"/>
        <color rgb="FF000000"/>
        <rFont val="WenQuanYi Zen Hei"/>
        <family val="2"/>
      </rPr>
      <t xml:space="preserve">예수님은 정말 약속된 그 왕일까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</si>
  <si>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구약 약속의 성취이신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임마누엘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다윗의 자손</t>
    </r>
    <r>
      <rPr>
        <sz val="10"/>
        <color rgb="FF000000"/>
        <rFont val="Arial"/>
        <family val="0"/>
        <charset val="1"/>
      </rPr>
      <t xml:space="preserve">)
</t>
    </r>
    <r>
      <rPr>
        <sz val="10"/>
        <color rgb="FF000000"/>
        <rFont val="WenQuanYi Zen Hei"/>
        <family val="2"/>
      </rPr>
      <t xml:space="preserve">율법을 완성하러 오신 그리스도</t>
    </r>
    <r>
      <rPr>
        <sz val="10"/>
        <color rgb="FF000000"/>
        <rFont val="Arial"/>
        <family val="0"/>
        <charset val="1"/>
      </rPr>
      <t xml:space="preserve">(5:17)</t>
    </r>
  </si>
  <si>
    <r>
      <rPr>
        <sz val="10"/>
        <color rgb="FF000000"/>
        <rFont val="WenQuanYi Zen Hei"/>
        <family val="2"/>
      </rPr>
      <t xml:space="preserve">동정녀 탄생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성육신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삼위일체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그리스도의 순종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천국 백성의 삶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은혜로 사는 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기도</t>
    </r>
  </si>
  <si>
    <r>
      <rPr>
        <sz val="10"/>
        <color rgb="FF000000"/>
        <rFont val="WenQuanYi Zen Hei"/>
        <family val="2"/>
      </rPr>
      <t xml:space="preserve">권세 있는 왕의 사역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따르는 자의 길</t>
    </r>
  </si>
  <si>
    <t xml:space="preserve">B059, B060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</si>
  <si>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8:1~19:30</t>
    </r>
  </si>
  <si>
    <r>
      <rPr>
        <sz val="10"/>
        <color rgb="FF000000"/>
        <rFont val="WenQuanYi Zen Hei"/>
        <family val="2"/>
      </rPr>
      <t xml:space="preserve">예수님은 정말 내 문제를 해결하실 수 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</si>
  <si>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병과 죄와 자연과 죽음을 다스리시는 하나님의 아들
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너는 그리스도시요 살아 계신 하나님의 아들이시니이다</t>
    </r>
    <r>
      <rPr>
        <sz val="10"/>
        <color rgb="FF000000"/>
        <rFont val="Arial"/>
        <family val="0"/>
        <charset val="1"/>
      </rPr>
      <t xml:space="preserve">"(16:16)</t>
    </r>
  </si>
  <si>
    <r>
      <rPr>
        <sz val="10"/>
        <color rgb="FF000000"/>
        <rFont val="WenQuanYi Zen Hei"/>
        <family val="2"/>
      </rPr>
      <t xml:space="preserve">그리스도의 신성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믿음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천국 비유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신앙고백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십자가의 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용서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섬김</t>
    </r>
  </si>
  <si>
    <r>
      <rPr>
        <sz val="10"/>
        <color rgb="FF000000"/>
        <rFont val="WenQuanYi Zen Hei"/>
        <family val="2"/>
      </rPr>
      <t xml:space="preserve">예루살렘의 마지막 한 주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십자가와 부활</t>
    </r>
  </si>
  <si>
    <t xml:space="preserve">B061, B062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</si>
  <si>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21:1~28:20</t>
    </r>
  </si>
  <si>
    <r>
      <rPr>
        <sz val="10"/>
        <color rgb="FF000000"/>
        <rFont val="WenQuanYi Zen Hei"/>
        <family val="2"/>
      </rPr>
      <t xml:space="preserve">예수님은 다시 오실까</t>
    </r>
    <r>
      <rPr>
        <sz val="10"/>
        <color rgb="FF000000"/>
        <rFont val="Arial"/>
        <family val="0"/>
        <charset val="1"/>
      </rPr>
      <t xml:space="preserve">? </t>
    </r>
    <r>
      <rPr>
        <sz val="10"/>
        <color rgb="FF000000"/>
        <rFont val="WenQuanYi Zen Hei"/>
        <family val="2"/>
      </rPr>
      <t xml:space="preserve">그날은 언제일까</t>
    </r>
    <r>
      <rPr>
        <sz val="10"/>
        <color rgb="FF000000"/>
        <rFont val="Arial"/>
        <family val="0"/>
        <charset val="1"/>
      </rPr>
      <t xml:space="preserve">?</t>
    </r>
  </si>
  <si>
    <t xml:space="preserve">겸손의 왕으로 입성하신 그리스도 → 영광의 왕으로 다시 오실 그리스도
대속의 죽음과 부활 → 우리의 구원과 사명</t>
  </si>
  <si>
    <r>
      <rPr>
        <sz val="10"/>
        <color rgb="FF000000"/>
        <rFont val="WenQuanYi Zen Hei"/>
        <family val="2"/>
      </rPr>
      <t xml:space="preserve">그리스도의 재림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깨어 있음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최후 심판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대속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부활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대위임령</t>
    </r>
  </si>
  <si>
    <r>
      <rPr>
        <sz val="10"/>
        <color rgb="FF000000"/>
        <rFont val="WenQuanYi Zen Hei"/>
        <family val="2"/>
      </rPr>
      <t xml:space="preserve">마가복음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섬기러 오신 종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누가복음① 구주가 나셨다</t>
    </r>
  </si>
  <si>
    <t xml:space="preserve">B063, B064</t>
  </si>
  <si>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2:1~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2:52</t>
    </r>
  </si>
  <si>
    <r>
      <rPr>
        <sz val="10"/>
        <color rgb="FF000000"/>
        <rFont val="WenQuanYi Zen Hei"/>
        <family val="2"/>
      </rPr>
      <t xml:space="preserve">바쁘고 지친 하루에도 예수님은 나를 만나 주실까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</si>
  <si>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대속물로 자기 목숨을 주신 섬기는 종</t>
    </r>
    <r>
      <rPr>
        <sz val="10"/>
        <color rgb="FF000000"/>
        <rFont val="Arial"/>
        <family val="0"/>
        <charset val="1"/>
      </rPr>
      <t xml:space="preserve">(10:45)
</t>
    </r>
    <r>
      <rPr>
        <sz val="10"/>
        <color rgb="FF000000"/>
        <rFont val="WenQuanYi Zen Hei"/>
        <family val="2"/>
      </rPr>
      <t xml:space="preserve">구유에 누이신 구주 그리스도</t>
    </r>
  </si>
  <si>
    <r>
      <rPr>
        <sz val="10"/>
        <color rgb="FF000000"/>
        <rFont val="WenQuanYi Zen Hei"/>
        <family val="2"/>
      </rPr>
      <t xml:space="preserve">그리스도의 섬김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믿음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복음 전파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성육신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겸손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성령의 역사</t>
    </r>
  </si>
  <si>
    <r>
      <rPr>
        <sz val="10"/>
        <color rgb="FF000000"/>
        <rFont val="WenQuanYi Zen Hei"/>
        <family val="2"/>
      </rPr>
      <t xml:space="preserve">누가복음② 잃어버린 자를 찾아서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누가복음③ 탕자의 아버지</t>
    </r>
  </si>
  <si>
    <t xml:space="preserve">B065, B066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</si>
  <si>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5:1~24:53</t>
    </r>
  </si>
  <si>
    <r>
      <rPr>
        <sz val="10"/>
        <color rgb="FF000000"/>
        <rFont val="WenQuanYi Zen Hei"/>
        <family val="2"/>
      </rPr>
      <t xml:space="preserve">나 같은 사람도 하나님이 찾으실까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</si>
  <si>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잃어버린 자를 찾아 구원하러 오신 인자</t>
    </r>
    <r>
      <rPr>
        <sz val="10"/>
        <color rgb="FF000000"/>
        <rFont val="Arial"/>
        <family val="0"/>
        <charset val="1"/>
      </rPr>
      <t xml:space="preserve">(19:10)
</t>
    </r>
    <r>
      <rPr>
        <sz val="10"/>
        <color rgb="FF000000"/>
        <rFont val="WenQuanYi Zen Hei"/>
        <family val="2"/>
      </rPr>
      <t xml:space="preserve">먼 거리에서 달려오는 아버지 → 십자가에서 두 팔 벌리신 그리스도</t>
    </r>
  </si>
  <si>
    <r>
      <rPr>
        <sz val="10"/>
        <color rgb="FF000000"/>
        <rFont val="WenQuanYi Zen Hei"/>
        <family val="2"/>
      </rPr>
      <t xml:space="preserve">은혜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이웃 사랑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회개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회개와 용서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감사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십자가와 부활</t>
    </r>
  </si>
  <si>
    <t xml:space="preserve">요한복음① 말씀이 육신이 되어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</si>
  <si>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1:1~6:71</t>
    </r>
  </si>
  <si>
    <r>
      <rPr>
        <sz val="10"/>
        <color rgb="FF000000"/>
        <rFont val="WenQuanYi Zen Hei"/>
        <family val="2"/>
      </rPr>
      <t xml:space="preserve">하나님을 직접 볼 수 있는 방법이 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</si>
  <si>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말씀이신 하나님이 육신이 되심</t>
    </r>
    <r>
      <rPr>
        <sz val="10"/>
        <color rgb="FF000000"/>
        <rFont val="Arial"/>
        <family val="0"/>
        <charset val="1"/>
      </rPr>
      <t xml:space="preserve">(1:14), </t>
    </r>
    <r>
      <rPr>
        <sz val="10"/>
        <color rgb="FF000000"/>
        <rFont val="WenQuanYi Zen Hei"/>
        <family val="2"/>
      </rPr>
      <t xml:space="preserve">생명의 떡</t>
    </r>
    <r>
      <rPr>
        <sz val="10"/>
        <color rgb="FF000000"/>
        <rFont val="Arial"/>
        <family val="0"/>
        <charset val="1"/>
      </rPr>
      <t xml:space="preserve">(6:35)</t>
    </r>
  </si>
  <si>
    <r>
      <rPr>
        <sz val="10"/>
        <color rgb="FF000000"/>
        <rFont val="WenQuanYi Zen Hei"/>
        <family val="2"/>
      </rPr>
      <t xml:space="preserve">그리스도의 신성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거듭남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영생</t>
    </r>
  </si>
  <si>
    <r>
      <rPr>
        <sz val="10"/>
        <color rgb="FF000000"/>
        <rFont val="WenQuanYi Zen Hei"/>
        <family val="2"/>
      </rPr>
      <t xml:space="preserve">요한복음② 나는 </t>
    </r>
    <r>
      <rPr>
        <sz val="10"/>
        <color rgb="FF000000"/>
        <rFont val="Arial"/>
        <family val="0"/>
        <charset val="1"/>
      </rPr>
      <t xml:space="preserve">~</t>
    </r>
    <r>
      <rPr>
        <sz val="10"/>
        <color rgb="FF000000"/>
        <rFont val="WenQuanYi Zen Hei"/>
        <family val="2"/>
      </rPr>
      <t xml:space="preserve">이다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요한복음③ 다 이루었다</t>
    </r>
  </si>
  <si>
    <t xml:space="preserve">B068, B069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</si>
  <si>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8:1~21:25</t>
    </r>
  </si>
  <si>
    <r>
      <rPr>
        <sz val="10"/>
        <color rgb="FF000000"/>
        <rFont val="WenQuanYi Zen Hei"/>
        <family val="2"/>
      </rPr>
      <t xml:space="preserve">나는 누구를 따라가야 할까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</si>
  <si>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나는 세상의 빛</t>
    </r>
    <r>
      <rPr>
        <sz val="10"/>
        <color rgb="FF000000"/>
        <rFont val="Arial"/>
        <family val="0"/>
        <charset val="1"/>
      </rPr>
      <t xml:space="preserve">", "</t>
    </r>
    <r>
      <rPr>
        <sz val="10"/>
        <color rgb="FF000000"/>
        <rFont val="WenQuanYi Zen Hei"/>
        <family val="2"/>
      </rPr>
      <t xml:space="preserve">선한 목자</t>
    </r>
    <r>
      <rPr>
        <sz val="10"/>
        <color rgb="FF000000"/>
        <rFont val="Arial"/>
        <family val="0"/>
        <charset val="1"/>
      </rPr>
      <t xml:space="preserve">", "</t>
    </r>
    <r>
      <rPr>
        <sz val="10"/>
        <color rgb="FF000000"/>
        <rFont val="WenQuanYi Zen Hei"/>
        <family val="2"/>
      </rPr>
      <t xml:space="preserve">부활이요 생명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이신 그리스도
발을 씻기신 종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다 이루신 구원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부활하신 주</t>
    </r>
  </si>
  <si>
    <r>
      <rPr>
        <sz val="10"/>
        <color rgb="FF000000"/>
        <rFont val="WenQuanYi Zen Hei"/>
        <family val="2"/>
      </rPr>
      <t xml:space="preserve">그리스도의 신성</t>
    </r>
    <r>
      <rPr>
        <sz val="10"/>
        <color rgb="FF000000"/>
        <rFont val="Arial"/>
        <family val="0"/>
        <charset val="1"/>
      </rPr>
      <t xml:space="preserve">(8:58), </t>
    </r>
    <r>
      <rPr>
        <sz val="10"/>
        <color rgb="FF000000"/>
        <rFont val="WenQuanYi Zen Hei"/>
        <family val="2"/>
      </rPr>
      <t xml:space="preserve">영생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부활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새 계명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보혜사 성령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대속 완성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부활</t>
    </r>
  </si>
  <si>
    <r>
      <rPr>
        <sz val="10"/>
        <color rgb="FF000000"/>
        <rFont val="WenQuanYi Zen Hei"/>
        <family val="2"/>
      </rPr>
      <t xml:space="preserve">교회의 탄생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사마리아와 땅끝으로</t>
    </r>
  </si>
  <si>
    <t xml:space="preserve">B070, B071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</si>
  <si>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1:1~12:25</t>
    </r>
  </si>
  <si>
    <r>
      <rPr>
        <sz val="10"/>
        <color rgb="FF000000"/>
        <rFont val="WenQuanYi Zen Hei"/>
        <family val="2"/>
      </rPr>
      <t xml:space="preserve">교회는 어떻게 시작되었을까</t>
    </r>
    <r>
      <rPr>
        <sz val="10"/>
        <color rgb="FF000000"/>
        <rFont val="Arial"/>
        <family val="0"/>
        <charset val="1"/>
      </rPr>
      <t xml:space="preserve">?</t>
    </r>
  </si>
  <si>
    <t xml:space="preserve">승천하신 그리스도가 보내신 성령 → 땅끝까지 증인
핍박자 사울을 부르신 부활의 주 → 이방인에게도 열린 복음</t>
  </si>
  <si>
    <r>
      <rPr>
        <sz val="10"/>
        <color rgb="FF000000"/>
        <rFont val="WenQuanYi Zen Hei"/>
        <family val="2"/>
      </rPr>
      <t xml:space="preserve">성령 강림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교회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복음의 능력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오직 예수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이방인 구원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회심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기도의 능력</t>
    </r>
  </si>
  <si>
    <r>
      <rPr>
        <sz val="10"/>
        <color rgb="FF000000"/>
        <rFont val="WenQuanYi Zen Hei"/>
        <family val="2"/>
      </rPr>
      <t xml:space="preserve">바울의 전도 여행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로마까지 간 복음</t>
    </r>
  </si>
  <si>
    <t xml:space="preserve">B072, B073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</si>
  <si>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13:1~28:31</t>
    </r>
  </si>
  <si>
    <r>
      <rPr>
        <sz val="10"/>
        <color rgb="FF000000"/>
        <rFont val="WenQuanYi Zen Hei"/>
        <family val="2"/>
      </rPr>
      <t xml:space="preserve">두려운 곳에 복음을 전할 용기가 생길까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</si>
  <si>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이방인의 빛</t>
    </r>
    <r>
      <rPr>
        <sz val="10"/>
        <color rgb="FF000000"/>
        <rFont val="Arial"/>
        <family val="0"/>
        <charset val="1"/>
      </rPr>
      <t xml:space="preserve">(13:47) </t>
    </r>
    <r>
      <rPr>
        <sz val="10"/>
        <color rgb="FF000000"/>
        <rFont val="WenQuanYi Zen Hei"/>
        <family val="2"/>
      </rPr>
      <t xml:space="preserve">그리스도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오직 은혜</t>
    </r>
    <r>
      <rPr>
        <sz val="10"/>
        <color rgb="FF000000"/>
        <rFont val="Arial"/>
        <family val="0"/>
        <charset val="1"/>
      </rPr>
      <t xml:space="preserve">(15:11)
</t>
    </r>
    <r>
      <rPr>
        <sz val="10"/>
        <color rgb="FF000000"/>
        <rFont val="WenQuanYi Zen Hei"/>
        <family val="2"/>
      </rPr>
      <t xml:space="preserve">사슬에 매여도 매이지 않는 하나님의 말씀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딤후 </t>
    </r>
    <r>
      <rPr>
        <sz val="10"/>
        <color rgb="FF000000"/>
        <rFont val="Arial"/>
        <family val="0"/>
        <charset val="1"/>
      </rPr>
      <t xml:space="preserve">2:9)</t>
    </r>
  </si>
  <si>
    <r>
      <rPr>
        <sz val="10"/>
        <color rgb="FF000000"/>
        <rFont val="WenQuanYi Zen Hei"/>
        <family val="2"/>
      </rPr>
      <t xml:space="preserve">선교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은혜의 복음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성경 상고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하나님의 섭리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담대한 증언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복음의 승리</t>
    </r>
  </si>
  <si>
    <r>
      <rPr>
        <sz val="10"/>
        <color rgb="FF000000"/>
        <rFont val="WenQuanYi Zen Hei"/>
        <family val="2"/>
      </rPr>
      <t xml:space="preserve">로마서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복음이란 무엇인가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에베소서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빌립보서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교회와 기쁨</t>
    </r>
  </si>
  <si>
    <t xml:space="preserve">B074, B075, B076, B077</t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</si>
  <si>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3:21~</t>
    </r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6:24</t>
    </r>
  </si>
  <si>
    <r>
      <rPr>
        <sz val="10"/>
        <color rgb="FF000000"/>
        <rFont val="WenQuanYi Zen Hei"/>
        <family val="2"/>
      </rPr>
      <t xml:space="preserve">나는 정말 구원받을 수 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</si>
  <si>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오직 믿음으로 의롭게 하시는 그리스도의 의
십자가의 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부활의 첫 열매 그리스도</t>
    </r>
    <r>
      <rPr>
        <sz val="10"/>
        <color rgb="FF000000"/>
        <rFont val="Arial"/>
        <family val="0"/>
        <charset val="1"/>
      </rPr>
      <t xml:space="preserve">(15:20)
</t>
    </r>
    <r>
      <rPr>
        <sz val="10"/>
        <color rgb="FF000000"/>
        <rFont val="WenQuanYi Zen Hei"/>
        <family val="2"/>
      </rPr>
      <t xml:space="preserve">질그릇 속의 보배 그리스도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나를 위해 자기를 버리신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갈 </t>
    </r>
    <r>
      <rPr>
        <sz val="10"/>
        <color rgb="FF000000"/>
        <rFont val="Arial"/>
        <family val="0"/>
        <charset val="1"/>
      </rPr>
      <t xml:space="preserve">2:20)
</t>
    </r>
    <r>
      <rPr>
        <sz val="10"/>
        <color rgb="FF000000"/>
        <rFont val="WenQuanYi Zen Hei"/>
        <family val="2"/>
      </rPr>
      <t xml:space="preserve">창세 전에 우리를 택하신 그리스도 안의 은혜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자기를 낮추신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빌 </t>
    </r>
    <r>
      <rPr>
        <sz val="10"/>
        <color rgb="FF000000"/>
        <rFont val="Arial"/>
        <family val="0"/>
        <charset val="1"/>
      </rPr>
      <t xml:space="preserve">2)</t>
    </r>
  </si>
  <si>
    <r>
      <rPr>
        <sz val="10"/>
        <color rgb="FF000000"/>
        <rFont val="WenQuanYi Zen Hei"/>
        <family val="2"/>
      </rPr>
      <t xml:space="preserve">이신칭의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원죄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성화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예정과 선택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성도의 견인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교회의 하나 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거룩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은사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사랑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부활</t>
    </r>
  </si>
  <si>
    <r>
      <rPr>
        <sz val="10"/>
        <color rgb="FF000000"/>
        <rFont val="WenQuanYi Zen Hei"/>
        <family val="2"/>
      </rPr>
      <t xml:space="preserve">히브리서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더 좋은 언약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요한계시록② 새 하늘과 새 땅</t>
    </r>
  </si>
  <si>
    <t xml:space="preserve">B080, B083, B084</t>
  </si>
  <si>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11:1~</t>
    </r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22:21</t>
    </r>
  </si>
  <si>
    <r>
      <rPr>
        <sz val="10"/>
        <color rgb="FF000000"/>
        <rFont val="WenQuanYi Zen Hei"/>
        <family val="2"/>
      </rPr>
      <t xml:space="preserve">흔들리는 믿음을 어떻게 붙잡을 수 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</si>
  <si>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천사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아론보다 뛰어나신 대제사장 그리스도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단번에 드린 제사
보좌에 계신 하나님과 일찍 죽임을 당한 어린양 그리스도
어린양의 혼인 잔치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백마 탄 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새 예루살렘의 등불이신 어린양</t>
    </r>
  </si>
  <si>
    <r>
      <rPr>
        <sz val="10"/>
        <color rgb="FF000000"/>
        <rFont val="WenQuanYi Zen Hei"/>
        <family val="2"/>
      </rPr>
      <t xml:space="preserve">그리스도의 신성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대제사장직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새 언약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믿음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그리스도의 승리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교회에 주신 말씀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주권</t>
    </r>
  </si>
  <si>
    <r>
      <rPr>
        <sz val="10"/>
        <color rgb="FF000000"/>
        <rFont val="WenQuanYi Zen Hei"/>
        <family val="2"/>
      </rPr>
      <t xml:space="preserve">가인부터 바벨까지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아브라함① 부르심과 언약</t>
    </r>
  </si>
  <si>
    <t xml:space="preserve">B002, B003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</si>
  <si>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4:9~17:27</t>
    </r>
  </si>
  <si>
    <r>
      <rPr>
        <sz val="10"/>
        <color rgb="FF000000"/>
        <rFont val="WenQuanYi Zen Hei"/>
        <family val="2"/>
      </rPr>
      <t xml:space="preserve">노아의 방주 → 심판에서 건지는 구원의 방주이신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벧전 </t>
    </r>
    <r>
      <rPr>
        <sz val="10"/>
        <color rgb="FF000000"/>
        <rFont val="Arial"/>
        <family val="0"/>
        <charset val="1"/>
      </rPr>
      <t xml:space="preserve">3:20-21)
</t>
    </r>
    <r>
      <rPr>
        <sz val="10"/>
        <color rgb="FF000000"/>
        <rFont val="WenQuanYi Zen Hei"/>
        <family val="2"/>
      </rPr>
      <t xml:space="preserve">아브라함의 씨 → 모든 민족이 복을 받을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갈 </t>
    </r>
    <r>
      <rPr>
        <sz val="10"/>
        <color rgb="FF000000"/>
        <rFont val="Arial"/>
        <family val="0"/>
        <charset val="1"/>
      </rPr>
      <t xml:space="preserve">3:16)</t>
    </r>
  </si>
  <si>
    <r>
      <rPr>
        <sz val="10"/>
        <color rgb="FF000000"/>
        <rFont val="WenQuanYi Zen Hei"/>
        <family val="2"/>
      </rPr>
      <t xml:space="preserve">죄의 확산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심판과 은혜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언약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이신칭의</t>
    </r>
    <r>
      <rPr>
        <sz val="10"/>
        <color rgb="FF000000"/>
        <rFont val="Arial"/>
        <family val="0"/>
        <charset val="1"/>
      </rPr>
      <t xml:space="preserve">(15:6), </t>
    </r>
    <r>
      <rPr>
        <sz val="10"/>
        <color rgb="FF000000"/>
        <rFont val="WenQuanYi Zen Hei"/>
        <family val="2"/>
      </rPr>
      <t xml:space="preserve">언약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신실하심</t>
    </r>
  </si>
  <si>
    <r>
      <rPr>
        <sz val="10"/>
        <color rgb="FF000000"/>
        <rFont val="WenQuanYi Zen Hei"/>
        <family val="2"/>
      </rPr>
      <t xml:space="preserve">아브라함② 시험과 약속의 아들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이삭과 리브가</t>
    </r>
  </si>
  <si>
    <t xml:space="preserve">B004, B005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</si>
  <si>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18:16~26:35</t>
    </r>
  </si>
  <si>
    <r>
      <rPr>
        <sz val="10"/>
        <color rgb="FF000000"/>
        <rFont val="WenQuanYi Zen Hei"/>
        <family val="2"/>
      </rPr>
      <t xml:space="preserve">정말 소중한 것을 하나님께 맡길 수 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</si>
  <si>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모리아 산의 숫양 → 아들을 대신 내어주신 하나님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십자가의 예표
약속의 아들 이삭 → 약속대로 오신 참 아들 그리스도</t>
    </r>
  </si>
  <si>
    <r>
      <rPr>
        <sz val="10"/>
        <color rgb="FF000000"/>
        <rFont val="WenQuanYi Zen Hei"/>
        <family val="2"/>
      </rPr>
      <t xml:space="preserve">하나님의 주권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중보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대속의 예표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섭리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기도 응답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선택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9:10-13)</t>
    </r>
  </si>
  <si>
    <r>
      <rPr>
        <sz val="10"/>
        <color rgb="FF000000"/>
        <rFont val="WenQuanYi Zen Hei"/>
        <family val="2"/>
      </rPr>
      <t xml:space="preserve">야곱① 축복을 훔친 사람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야곱② 이스라엘이 되다</t>
    </r>
  </si>
  <si>
    <t xml:space="preserve">B006, B007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</si>
  <si>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27:30~36:43</t>
    </r>
  </si>
  <si>
    <r>
      <rPr>
        <sz val="10"/>
        <color rgb="FF000000"/>
        <rFont val="WenQuanYi Zen Hei"/>
        <family val="2"/>
      </rPr>
      <t xml:space="preserve">벧엘의 사다리 → 하늘과 땅을 잇는 인자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1:51)
</t>
    </r>
    <r>
      <rPr>
        <sz val="10"/>
        <color rgb="FF000000"/>
        <rFont val="WenQuanYi Zen Hei"/>
        <family val="2"/>
      </rPr>
      <t xml:space="preserve">씨름 끝에 받은 새 이름 → 그리스도 안에서 새 사람</t>
    </r>
  </si>
  <si>
    <r>
      <rPr>
        <sz val="10"/>
        <color rgb="FF000000"/>
        <rFont val="WenQuanYi Zen Hei"/>
        <family val="2"/>
      </rPr>
      <t xml:space="preserve">요셉① 구덩이에서 왕궁으로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요셉② 용서와 화해</t>
    </r>
  </si>
  <si>
    <t xml:space="preserve">B008, B009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</si>
  <si>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38:1~50:14</t>
    </r>
  </si>
  <si>
    <r>
      <rPr>
        <sz val="10"/>
        <color rgb="FF000000"/>
        <rFont val="WenQuanYi Zen Hei"/>
        <family val="2"/>
      </rPr>
      <t xml:space="preserve">억울한 일만 생길 때 하나님은 어디 계실까</t>
    </r>
    <r>
      <rPr>
        <sz val="10"/>
        <color rgb="FF000000"/>
        <rFont val="Arial"/>
        <family val="0"/>
        <charset val="1"/>
      </rPr>
      <t xml:space="preserve">?</t>
    </r>
  </si>
  <si>
    <t xml:space="preserve">버림받았다가 높여져 세상을 살린 요셉 → 그리스도의 예표
대신 종이 되겠다는 유다 → 우리 대신 죗값을 치르신 그리스도</t>
  </si>
  <si>
    <r>
      <rPr>
        <sz val="10"/>
        <color rgb="FF000000"/>
        <rFont val="WenQuanYi Zen Hei"/>
        <family val="2"/>
      </rPr>
      <t xml:space="preserve">섭리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고난 중의 신실함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동행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용서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섭리</t>
    </r>
    <r>
      <rPr>
        <sz val="10"/>
        <color rgb="FF000000"/>
        <rFont val="Arial"/>
        <family val="0"/>
        <charset val="1"/>
      </rPr>
      <t xml:space="preserve">(50:20), </t>
    </r>
    <r>
      <rPr>
        <sz val="10"/>
        <color rgb="FF000000"/>
        <rFont val="WenQuanYi Zen Hei"/>
        <family val="2"/>
      </rPr>
      <t xml:space="preserve">메시아 약속</t>
    </r>
    <r>
      <rPr>
        <sz val="10"/>
        <color rgb="FF000000"/>
        <rFont val="Arial"/>
        <family val="0"/>
        <charset val="1"/>
      </rPr>
      <t xml:space="preserve">(49:10)</t>
    </r>
  </si>
  <si>
    <r>
      <rPr>
        <sz val="10"/>
        <color rgb="FF000000"/>
        <rFont val="WenQuanYi Zen Hei"/>
        <family val="2"/>
      </rPr>
      <t xml:space="preserve">모세의 탄생과 부르심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열 가지 재앙과 유월절</t>
    </r>
  </si>
  <si>
    <t xml:space="preserve">B010, B011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</si>
  <si>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4:18~13:22</t>
    </r>
  </si>
  <si>
    <t xml:space="preserve">내가 너무 부족해서 아무것도 못할 것 같을 때</t>
  </si>
  <si>
    <r>
      <rPr>
        <sz val="10"/>
        <color rgb="FF000000"/>
        <rFont val="WenQuanYi Zen Hei"/>
        <family val="2"/>
      </rPr>
      <t xml:space="preserve">모세 → 백성을 구원하는 더 큰 선지자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18:15, 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3)
</t>
    </r>
    <r>
      <rPr>
        <sz val="10"/>
        <color rgb="FF000000"/>
        <rFont val="WenQuanYi Zen Hei"/>
        <family val="2"/>
      </rPr>
      <t xml:space="preserve">유월절 어린양의 피 → 우리의 유월절 양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5:7)</t>
    </r>
  </si>
  <si>
    <r>
      <rPr>
        <sz val="10"/>
        <color rgb="FF000000"/>
        <rFont val="WenQuanYi Zen Hei"/>
        <family val="2"/>
      </rPr>
      <t xml:space="preserve">여호와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스스로 있는 자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언약을 기억하시는 하나님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하나님의 주권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심판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대속의 피</t>
    </r>
  </si>
  <si>
    <r>
      <rPr>
        <sz val="10"/>
        <color rgb="FF000000"/>
        <rFont val="WenQuanYi Zen Hei"/>
        <family val="2"/>
      </rPr>
      <t xml:space="preserve">홍해와 광야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금송아지와 성막 완성</t>
    </r>
  </si>
  <si>
    <t xml:space="preserve">B012, B013, B014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</si>
  <si>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15:22~39:43</t>
    </r>
  </si>
  <si>
    <t xml:space="preserve">앞이 막혀 도무지 길이 보이지 않을 때</t>
  </si>
  <si>
    <r>
      <rPr>
        <sz val="10"/>
        <color rgb="FF000000"/>
        <rFont val="WenQuanYi Zen Hei"/>
        <family val="2"/>
      </rPr>
      <t xml:space="preserve">하늘의 만나와 반석의 물 → 생명의 떡이요 생수이신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6, 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10:4)
</t>
    </r>
    <r>
      <rPr>
        <sz val="10"/>
        <color rgb="FF000000"/>
        <rFont val="WenQuanYi Zen Hei"/>
        <family val="2"/>
      </rPr>
      <t xml:space="preserve">율법의 완성자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5:17), </t>
    </r>
    <r>
      <rPr>
        <sz val="10"/>
        <color rgb="FF000000"/>
        <rFont val="WenQuanYi Zen Hei"/>
        <family val="2"/>
      </rPr>
      <t xml:space="preserve">성막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우리 가운데 거하신 말씀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1:14)
</t>
    </r>
    <r>
      <rPr>
        <sz val="10"/>
        <color rgb="FF000000"/>
        <rFont val="WenQuanYi Zen Hei"/>
        <family val="2"/>
      </rPr>
      <t xml:space="preserve">중보자 모세 → 우리를 위해 간구하시는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7:25)</t>
    </r>
  </si>
  <si>
    <r>
      <rPr>
        <sz val="10"/>
        <color rgb="FF000000"/>
        <rFont val="WenQuanYi Zen Hei"/>
        <family val="2"/>
      </rPr>
      <t xml:space="preserve">구원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공급하시는 하나님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원망과 믿음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율법은 구원받은 백성의 삶의 규칙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임재</t>
    </r>
  </si>
  <si>
    <t xml:space="preserve">거룩한 하나님께 나아가는 길</t>
  </si>
  <si>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1:1~27:34</t>
    </r>
  </si>
  <si>
    <r>
      <rPr>
        <sz val="10"/>
        <color rgb="FF000000"/>
        <rFont val="WenQuanYi Zen Hei"/>
        <family val="2"/>
      </rPr>
      <t xml:space="preserve">죄 많은 내가 어떻게 하나님 앞에 설 수 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</si>
  <si>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모든 제사의 완성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단번에 드려진 그리스도의 제사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10:10)</t>
    </r>
  </si>
  <si>
    <r>
      <rPr>
        <sz val="10"/>
        <color rgb="FF000000"/>
        <rFont val="WenQuanYi Zen Hei"/>
        <family val="2"/>
      </rPr>
      <t xml:space="preserve">거룩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속죄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대속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율법의 성취</t>
    </r>
  </si>
  <si>
    <r>
      <rPr>
        <sz val="10"/>
        <color rgb="FF000000"/>
        <rFont val="WenQuanYi Zen Hei"/>
        <family val="2"/>
      </rPr>
      <t xml:space="preserve">광야로 출발한 군대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광야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년과 다음 세대</t>
    </r>
  </si>
  <si>
    <t xml:space="preserve">B016, B017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</si>
  <si>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1:1~17:13</t>
    </r>
  </si>
  <si>
    <r>
      <rPr>
        <sz val="10"/>
        <color rgb="FF000000"/>
        <rFont val="WenQuanYi Zen Hei"/>
        <family val="2"/>
      </rPr>
      <t xml:space="preserve">광야의 구름 기둥 → 우리를 인도하시는 성령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놋뱀 → 십자가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3:14)
</t>
    </r>
    <r>
      <rPr>
        <sz val="10"/>
        <color rgb="FF000000"/>
        <rFont val="WenQuanYi Zen Hei"/>
        <family val="2"/>
      </rPr>
      <t xml:space="preserve">놋뱀을 바라보면 산다 → 십자가의 그리스도를 바라보면 산다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3:14-15)</t>
    </r>
  </si>
  <si>
    <r>
      <rPr>
        <sz val="10"/>
        <color rgb="FF000000"/>
        <rFont val="WenQuanYi Zen Hei"/>
        <family val="2"/>
      </rPr>
      <t xml:space="preserve">광야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년과 다음 세대</t>
    </r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</si>
  <si>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18:1~36:13</t>
    </r>
  </si>
  <si>
    <r>
      <rPr>
        <sz val="10"/>
        <color rgb="FF000000"/>
        <rFont val="WenQuanYi Zen Hei"/>
        <family val="2"/>
      </rPr>
      <t xml:space="preserve">실패한 세대 뒤에도 소망이 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</si>
  <si>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놋뱀을 바라보면 산다 → 십자가의 그리스도를 바라보면 산다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3:14-15)</t>
    </r>
  </si>
  <si>
    <r>
      <rPr>
        <sz val="10"/>
        <color rgb="FF000000"/>
        <rFont val="WenQuanYi Zen Hei"/>
        <family val="2"/>
      </rPr>
      <t xml:space="preserve">하나님의 신실하심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다음 세대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믿음의 바라봄</t>
    </r>
  </si>
  <si>
    <t xml:space="preserve">모세의 마지막 설교</t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</si>
  <si>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1:1~32:52</t>
    </r>
  </si>
  <si>
    <r>
      <rPr>
        <sz val="10"/>
        <color rgb="FF000000"/>
        <rFont val="WenQuanYi Zen Hei"/>
        <family val="2"/>
      </rPr>
      <t xml:space="preserve">새로운 시작 앞에서 꼭 기억해야 할 것은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</si>
  <si>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모세 같은 선지자</t>
    </r>
    <r>
      <rPr>
        <sz val="10"/>
        <color rgb="FF000000"/>
        <rFont val="Arial"/>
        <family val="0"/>
        <charset val="1"/>
      </rPr>
      <t xml:space="preserve">(18:15) → </t>
    </r>
    <r>
      <rPr>
        <sz val="10"/>
        <color rgb="FF000000"/>
        <rFont val="WenQuanYi Zen Hei"/>
        <family val="2"/>
      </rPr>
      <t xml:space="preserve">그리스도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마음의 할례 → 새 언약</t>
    </r>
  </si>
  <si>
    <r>
      <rPr>
        <sz val="10"/>
        <color rgb="FF000000"/>
        <rFont val="WenQuanYi Zen Hei"/>
        <family val="2"/>
      </rPr>
      <t xml:space="preserve">하나님 사랑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쉐마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무조건적 선택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언약의 삶</t>
    </r>
  </si>
  <si>
    <r>
      <rPr>
        <sz val="10"/>
        <color rgb="FF000000"/>
        <rFont val="WenQuanYi Zen Hei"/>
        <family val="2"/>
      </rPr>
      <t xml:space="preserve">요단을 건너 여리고로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약속의 땅을 나누다</t>
    </r>
  </si>
  <si>
    <t xml:space="preserve">B019, B020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</si>
  <si>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5:1~22:34</t>
    </r>
  </si>
  <si>
    <r>
      <rPr>
        <sz val="10"/>
        <color rgb="FF000000"/>
        <rFont val="WenQuanYi Zen Hei"/>
        <family val="2"/>
      </rPr>
      <t xml:space="preserve">두려운 새 출발 앞에서 무엇을 붙잡아야 할까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</si>
  <si>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여호수아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예수와 같은 이름</t>
    </r>
    <r>
      <rPr>
        <sz val="10"/>
        <color rgb="FF000000"/>
        <rFont val="Arial"/>
        <family val="0"/>
        <charset val="1"/>
      </rPr>
      <t xml:space="preserve">) → </t>
    </r>
    <r>
      <rPr>
        <sz val="10"/>
        <color rgb="FF000000"/>
        <rFont val="WenQuanYi Zen Hei"/>
        <family val="2"/>
      </rPr>
      <t xml:space="preserve">참 안식으로 이끄시는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4:8), </t>
    </r>
    <r>
      <rPr>
        <sz val="10"/>
        <color rgb="FF000000"/>
        <rFont val="WenQuanYi Zen Hei"/>
        <family val="2"/>
      </rPr>
      <t xml:space="preserve">라합의 붉은 줄 → 보혈
하나님의 약속 성취</t>
    </r>
    <r>
      <rPr>
        <sz val="10"/>
        <color rgb="FF000000"/>
        <rFont val="Arial"/>
        <family val="0"/>
        <charset val="1"/>
      </rPr>
      <t xml:space="preserve">(21:45) → </t>
    </r>
    <r>
      <rPr>
        <sz val="10"/>
        <color rgb="FF000000"/>
        <rFont val="WenQuanYi Zen Hei"/>
        <family val="2"/>
      </rPr>
      <t xml:space="preserve">모든 약속의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예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가 되신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고후 </t>
    </r>
    <r>
      <rPr>
        <sz val="10"/>
        <color rgb="FF000000"/>
        <rFont val="Arial"/>
        <family val="0"/>
        <charset val="1"/>
      </rPr>
      <t xml:space="preserve">1:20)</t>
    </r>
  </si>
  <si>
    <r>
      <rPr>
        <sz val="10"/>
        <color rgb="FF000000"/>
        <rFont val="WenQuanYi Zen Hei"/>
        <family val="2"/>
      </rPr>
      <t xml:space="preserve">하나님의 임재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약속 성취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은혜로 구원받은 이방인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하나님께 묻는 삶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약속 성취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언약 갱신</t>
    </r>
  </si>
  <si>
    <r>
      <rPr>
        <sz val="10"/>
        <color rgb="FF000000"/>
        <rFont val="WenQuanYi Zen Hei"/>
        <family val="2"/>
      </rPr>
      <t xml:space="preserve">사사들의 시대①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사사들의 시대②</t>
    </r>
  </si>
  <si>
    <t xml:space="preserve">B021, B022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</si>
  <si>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1:1~21:25</t>
    </r>
  </si>
  <si>
    <r>
      <rPr>
        <sz val="10"/>
        <color rgb="FF000000"/>
        <rFont val="WenQuanYi Zen Hei"/>
        <family val="2"/>
      </rPr>
      <t xml:space="preserve">같은 실수를 반복하는 나를 하나님은 포기하실까</t>
    </r>
    <r>
      <rPr>
        <sz val="10"/>
        <color rgb="FF000000"/>
        <rFont val="Arial"/>
        <family val="0"/>
        <charset val="1"/>
      </rPr>
      <t xml:space="preserve">?</t>
    </r>
  </si>
  <si>
    <t xml:space="preserve">연약한 구원자들 → 완전한 구원자 그리스도
나실인 삼손의 죽음으로 이룬 승리 → 죽음으로 승리하신 그리스도</t>
  </si>
  <si>
    <r>
      <rPr>
        <sz val="10"/>
        <color rgb="FF000000"/>
        <rFont val="WenQuanYi Zen Hei"/>
        <family val="2"/>
      </rPr>
      <t xml:space="preserve">죄와 은혜의 반복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하나님이 세우시는 구원자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왕이 없는 시대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왕 되심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인간 구원자의 한계</t>
    </r>
  </si>
  <si>
    <r>
      <rPr>
        <sz val="10"/>
        <color rgb="FF000000"/>
        <rFont val="WenQuanYi Zen Hei"/>
        <family val="2"/>
      </rPr>
      <t xml:space="preserve">룻 </t>
    </r>
    <r>
      <rPr>
        <sz val="10"/>
        <color rgb="FF000000"/>
        <rFont val="Arial"/>
        <family val="0"/>
        <charset val="1"/>
      </rPr>
      <t xml:space="preserve">3:1~</t>
    </r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14:52</t>
    </r>
  </si>
  <si>
    <r>
      <rPr>
        <sz val="10"/>
        <color rgb="FF000000"/>
        <rFont val="WenQuanYi Zen Hei"/>
        <family val="2"/>
      </rPr>
      <t xml:space="preserve">목동 다윗과 사울 왕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광야에서 왕좌로</t>
    </r>
  </si>
  <si>
    <t xml:space="preserve">B025, B026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</si>
  <si>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16:14~</t>
    </r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2:11</t>
    </r>
  </si>
  <si>
    <r>
      <rPr>
        <sz val="10"/>
        <color rgb="FF000000"/>
        <rFont val="WenQuanYi Zen Hei"/>
        <family val="2"/>
      </rPr>
      <t xml:space="preserve">기름부음 받은 목자 다윗 → 참 목자요 왕이신 그리스도
기다림 끝에 왕이 된 다윗 → 하나님의 때에 높아지신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빌 </t>
    </r>
    <r>
      <rPr>
        <sz val="10"/>
        <color rgb="FF000000"/>
        <rFont val="Arial"/>
        <family val="0"/>
        <charset val="1"/>
      </rPr>
      <t xml:space="preserve">2:9)</t>
    </r>
  </si>
  <si>
    <r>
      <rPr>
        <sz val="10"/>
        <color rgb="FF000000"/>
        <rFont val="WenQuanYi Zen Hei"/>
        <family val="2"/>
      </rPr>
      <t xml:space="preserve">중심을 보시는 하나님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믿음의 용기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기다림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하나님의 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복수하지 않음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 안에서 힘을 얻음</t>
    </r>
  </si>
  <si>
    <r>
      <rPr>
        <sz val="10"/>
        <color rgb="FF000000"/>
        <rFont val="WenQuanYi Zen Hei"/>
        <family val="2"/>
      </rPr>
      <t xml:space="preserve">다윗 왕국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다윗의 죄와 회복</t>
    </r>
  </si>
  <si>
    <t xml:space="preserve">B027, B028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</si>
  <si>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2:12~24:25</t>
    </r>
  </si>
  <si>
    <r>
      <rPr>
        <sz val="10"/>
        <color rgb="FF000000"/>
        <rFont val="WenQuanYi Zen Hei"/>
        <family val="2"/>
      </rPr>
      <t xml:space="preserve">성공했을 때 가장 먼저 해야 할 일은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</si>
  <si>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다윗 언약</t>
    </r>
    <r>
      <rPr>
        <sz val="10"/>
        <color rgb="FF000000"/>
        <rFont val="Arial"/>
        <family val="0"/>
        <charset val="1"/>
      </rPr>
      <t xml:space="preserve">(7:16) → </t>
    </r>
    <r>
      <rPr>
        <sz val="10"/>
        <color rgb="FF000000"/>
        <rFont val="WenQuanYi Zen Hei"/>
        <family val="2"/>
      </rPr>
      <t xml:space="preserve">영원한 다윗의 자손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1:32-33)
</t>
    </r>
    <r>
      <rPr>
        <sz val="10"/>
        <color rgb="FF000000"/>
        <rFont val="WenQuanYi Zen Hei"/>
        <family val="2"/>
      </rPr>
      <t xml:space="preserve">죄인을 용서하시는 하나님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51) → </t>
    </r>
    <r>
      <rPr>
        <sz val="10"/>
        <color rgb="FF000000"/>
        <rFont val="WenQuanYi Zen Hei"/>
        <family val="2"/>
      </rPr>
      <t xml:space="preserve">십자가의 용서</t>
    </r>
  </si>
  <si>
    <r>
      <rPr>
        <sz val="10"/>
        <color rgb="FF000000"/>
        <rFont val="WenQuanYi Zen Hei"/>
        <family val="2"/>
      </rPr>
      <t xml:space="preserve">언약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예배의 기쁨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은혜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므비보셋</t>
    </r>
    <r>
      <rPr>
        <sz val="10"/>
        <color rgb="FF000000"/>
        <rFont val="Arial"/>
        <family val="0"/>
        <charset val="1"/>
      </rPr>
      <t xml:space="preserve">) / </t>
    </r>
    <r>
      <rPr>
        <sz val="10"/>
        <color rgb="FF000000"/>
        <rFont val="WenQuanYi Zen Hei"/>
        <family val="2"/>
      </rPr>
      <t xml:space="preserve">죄의 결과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회개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용서받은 자의 고난</t>
    </r>
  </si>
  <si>
    <r>
      <rPr>
        <sz val="10"/>
        <color rgb="FF000000"/>
        <rFont val="WenQuanYi Zen Hei"/>
        <family val="2"/>
      </rPr>
      <t xml:space="preserve">지혜의 왕 솔로몬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나뉜 왕국과 갈멜산</t>
    </r>
  </si>
  <si>
    <t xml:space="preserve">B029, B030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</si>
  <si>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1:1~16:34</t>
    </r>
  </si>
  <si>
    <r>
      <rPr>
        <sz val="10"/>
        <color rgb="FF000000"/>
        <rFont val="WenQuanYi Zen Hei"/>
        <family val="2"/>
      </rPr>
      <t xml:space="preserve">무엇이든 구하라 하시면 나는 무엇을 구할까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</si>
  <si>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솔로몬보다 더 큰 이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12:42) </t>
    </r>
    <r>
      <rPr>
        <sz val="10"/>
        <color rgb="FF000000"/>
        <rFont val="WenQuanYi Zen Hei"/>
        <family val="2"/>
      </rPr>
      <t xml:space="preserve">그리스도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성전 → 참 성전이신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2:21)
</t>
    </r>
    <r>
      <rPr>
        <sz val="10"/>
        <color rgb="FF000000"/>
        <rFont val="WenQuanYi Zen Hei"/>
        <family val="2"/>
      </rPr>
      <t xml:space="preserve">엘리야 → 길을 예비한 세례 요한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11:14), </t>
    </r>
    <r>
      <rPr>
        <sz val="10"/>
        <color rgb="FF000000"/>
        <rFont val="WenQuanYi Zen Hei"/>
        <family val="2"/>
      </rPr>
      <t xml:space="preserve">참 하나님의 불</t>
    </r>
  </si>
  <si>
    <r>
      <rPr>
        <sz val="10"/>
        <color rgb="FF000000"/>
        <rFont val="WenQuanYi Zen Hei"/>
        <family val="2"/>
      </rPr>
      <t xml:space="preserve">지혜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성전과 임재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마음을 지키지 못한 실패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우상숭배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참 선지자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공급</t>
    </r>
  </si>
  <si>
    <r>
      <rPr>
        <sz val="10"/>
        <color rgb="FF000000"/>
        <rFont val="WenQuanYi Zen Hei"/>
        <family val="2"/>
      </rPr>
      <t xml:space="preserve">엘리야에서 엘리사로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엘리사의 기적들</t>
    </r>
  </si>
  <si>
    <t xml:space="preserve">B031, B032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</si>
  <si>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20:1~</t>
    </r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8:29</t>
    </r>
  </si>
  <si>
    <t xml:space="preserve">열심히 했는데 지쳐 쓰러질 때</t>
  </si>
  <si>
    <r>
      <rPr>
        <sz val="10"/>
        <color rgb="FF000000"/>
        <rFont val="WenQuanYi Zen Hei"/>
        <family val="2"/>
      </rPr>
      <t xml:space="preserve">불병거로 올라간 엘리야 → 승천하신 그리스도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갑절의 영감 → 성령
떡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개로 백 명을 먹인 기적 → 오병이어의 그리스도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나아만 → 은혜로 받는 치유</t>
    </r>
  </si>
  <si>
    <r>
      <rPr>
        <sz val="10"/>
        <color rgb="FF000000"/>
        <rFont val="WenQuanYi Zen Hei"/>
        <family val="2"/>
      </rPr>
      <t xml:space="preserve">하나님의 위로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세미한 소리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사명의 계승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은혜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돌보심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보이지 않는 하나님의 군대</t>
    </r>
  </si>
  <si>
    <r>
      <rPr>
        <sz val="10"/>
        <color rgb="FF000000"/>
        <rFont val="WenQuanYi Zen Hei"/>
        <family val="2"/>
      </rPr>
      <t xml:space="preserve">북이스라엘의 멸망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남유다의 마지막</t>
    </r>
  </si>
  <si>
    <t xml:space="preserve">B033, B034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</si>
  <si>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9:1~24:20</t>
    </r>
  </si>
  <si>
    <r>
      <rPr>
        <sz val="10"/>
        <color rgb="FF000000"/>
        <rFont val="WenQuanYi Zen Hei"/>
        <family val="2"/>
      </rPr>
      <t xml:space="preserve">경고를 계속 무시하면 어떻게 될까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</si>
  <si>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멸망 중에도 끊어지지 않는 다윗의 등불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8:19) → </t>
    </r>
    <r>
      <rPr>
        <sz val="10"/>
        <color rgb="FF000000"/>
        <rFont val="WenQuanYi Zen Hei"/>
        <family val="2"/>
      </rPr>
      <t xml:space="preserve">다윗의 자손 그리스도
포로 중 석방된 다윗의 자손</t>
    </r>
    <r>
      <rPr>
        <sz val="10"/>
        <color rgb="FF000000"/>
        <rFont val="Arial"/>
        <family val="0"/>
        <charset val="1"/>
      </rPr>
      <t xml:space="preserve">(25:27-30) → </t>
    </r>
    <r>
      <rPr>
        <sz val="10"/>
        <color rgb="FF000000"/>
        <rFont val="WenQuanYi Zen Hei"/>
        <family val="2"/>
      </rPr>
      <t xml:space="preserve">다윗의 왕위를 이으실 그리스도</t>
    </r>
  </si>
  <si>
    <r>
      <rPr>
        <sz val="10"/>
        <color rgb="FF000000"/>
        <rFont val="WenQuanYi Zen Hei"/>
        <family val="2"/>
      </rPr>
      <t xml:space="preserve">하나님의 인내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심판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개혁의 한계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기도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말씀 회복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심판과 남은 소망</t>
    </r>
  </si>
  <si>
    <t xml:space="preserve">역대기① 다윗과 예배</t>
  </si>
  <si>
    <r>
      <rPr>
        <sz val="10"/>
        <color rgb="FF000000"/>
        <rFont val="WenQuanYi Zen Hei"/>
        <family val="2"/>
      </rPr>
      <t xml:space="preserve">대상 </t>
    </r>
    <r>
      <rPr>
        <sz val="10"/>
        <color rgb="FF000000"/>
        <rFont val="Arial"/>
        <family val="0"/>
        <charset val="1"/>
      </rPr>
      <t xml:space="preserve">1:1~29:30</t>
    </r>
  </si>
  <si>
    <r>
      <rPr>
        <sz val="10"/>
        <color rgb="FF000000"/>
        <rFont val="WenQuanYi Zen Hei"/>
        <family val="2"/>
      </rPr>
      <t xml:space="preserve">무너진 뒤에 우리는 무엇부터 다시 세워야 할까</t>
    </r>
    <r>
      <rPr>
        <sz val="10"/>
        <color rgb="FF000000"/>
        <rFont val="Arial"/>
        <family val="0"/>
        <charset val="1"/>
      </rPr>
      <t xml:space="preserve">?</t>
    </r>
  </si>
  <si>
    <t xml:space="preserve">다윗의 왕위와 성전 → 영원한 왕이요 참 성전이신 그리스도</t>
  </si>
  <si>
    <r>
      <rPr>
        <sz val="10"/>
        <color rgb="FF000000"/>
        <rFont val="WenQuanYi Zen Hei"/>
        <family val="2"/>
      </rPr>
      <t xml:space="preserve">예배 회복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 백성의 정체성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나라</t>
    </r>
  </si>
  <si>
    <r>
      <rPr>
        <sz val="10"/>
        <color rgb="FF000000"/>
        <rFont val="WenQuanYi Zen Hei"/>
        <family val="2"/>
      </rPr>
      <t xml:space="preserve">역대기② 돌아오는 자를 받으시는 하나님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돌아온 백성과 성전</t>
    </r>
  </si>
  <si>
    <t xml:space="preserve">B036, B037</t>
  </si>
  <si>
    <r>
      <rPr>
        <sz val="10"/>
        <color rgb="FF000000"/>
        <rFont val="WenQuanYi Zen Hei"/>
        <family val="2"/>
      </rPr>
      <t xml:space="preserve">대하 </t>
    </r>
    <r>
      <rPr>
        <sz val="10"/>
        <color rgb="FF000000"/>
        <rFont val="Arial"/>
        <family val="0"/>
        <charset val="1"/>
      </rPr>
      <t xml:space="preserve">1:1~</t>
    </r>
    <r>
      <rPr>
        <sz val="10"/>
        <color rgb="FF000000"/>
        <rFont val="WenQuanYi Zen Hei"/>
        <family val="2"/>
      </rPr>
      <t xml:space="preserve">스 </t>
    </r>
    <r>
      <rPr>
        <sz val="10"/>
        <color rgb="FF000000"/>
        <rFont val="Arial"/>
        <family val="0"/>
        <charset val="1"/>
      </rPr>
      <t xml:space="preserve">10:44</t>
    </r>
  </si>
  <si>
    <r>
      <rPr>
        <sz val="10"/>
        <color rgb="FF000000"/>
        <rFont val="WenQuanYi Zen Hei"/>
        <family val="2"/>
      </rPr>
      <t xml:space="preserve">성전에 임한 영광 → 우리 안에 거하시는 성령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고레스 칙령 → 포로에서의 해방
다시 세운 성전 → 참 성전이신 그리스도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말씀을 가르친 에스라</t>
    </r>
  </si>
  <si>
    <r>
      <rPr>
        <sz val="10"/>
        <color rgb="FF000000"/>
        <rFont val="WenQuanYi Zen Hei"/>
        <family val="2"/>
      </rPr>
      <t xml:space="preserve">성벽을 다시 세우다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왕비 에스더</t>
    </r>
  </si>
  <si>
    <t xml:space="preserve">B038, B039</t>
  </si>
  <si>
    <r>
      <rPr>
        <sz val="10"/>
        <color rgb="FF000000"/>
        <rFont val="WenQuanYi Zen Hei"/>
        <family val="2"/>
      </rPr>
      <t xml:space="preserve">느 </t>
    </r>
    <r>
      <rPr>
        <sz val="10"/>
        <color rgb="FF000000"/>
        <rFont val="Arial"/>
        <family val="0"/>
        <charset val="1"/>
      </rPr>
      <t xml:space="preserve">3:1~</t>
    </r>
    <r>
      <rPr>
        <sz val="10"/>
        <color rgb="FF000000"/>
        <rFont val="WenQuanYi Zen Hei"/>
        <family val="2"/>
      </rPr>
      <t xml:space="preserve">에 </t>
    </r>
    <r>
      <rPr>
        <sz val="10"/>
        <color rgb="FF000000"/>
        <rFont val="Arial"/>
        <family val="0"/>
        <charset val="1"/>
      </rPr>
      <t xml:space="preserve">10:3</t>
    </r>
  </si>
  <si>
    <r>
      <rPr>
        <sz val="10"/>
        <color rgb="FF000000"/>
        <rFont val="WenQuanYi Zen Hei"/>
        <family val="2"/>
      </rPr>
      <t xml:space="preserve">모두가 포기한 일을 다시 시작할 수 있을까</t>
    </r>
    <r>
      <rPr>
        <sz val="10"/>
        <color rgb="FF000000"/>
        <rFont val="Arial"/>
        <family val="0"/>
        <charset val="1"/>
      </rPr>
      <t xml:space="preserve">?</t>
    </r>
  </si>
  <si>
    <t xml:space="preserve">무너진 성벽을 세운 느헤미야 → 무너진 우리를 다시 세우시는 그리스도
죽으면 죽으리라 나선 중보자 → 우리를 위해 죽으신 중보자 그리스도</t>
  </si>
  <si>
    <r>
      <rPr>
        <sz val="10"/>
        <color rgb="FF000000"/>
        <rFont val="WenQuanYi Zen Hei"/>
        <family val="2"/>
      </rPr>
      <t xml:space="preserve">기도와 실행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공동체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말씀의 기쁨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보이지 않는 섭리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용기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구원</t>
    </r>
  </si>
  <si>
    <r>
      <rPr>
        <sz val="10"/>
        <color rgb="FF000000"/>
        <rFont val="WenQuanYi Zen Hei"/>
        <family val="2"/>
      </rPr>
      <t xml:space="preserve">욥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고난 속의 하나님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시편① 노래하는 기도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제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권</t>
    </r>
    <r>
      <rPr>
        <sz val="10"/>
        <color rgb="FF000000"/>
        <rFont val="Arial"/>
        <family val="0"/>
        <charset val="1"/>
      </rPr>
      <t xml:space="preserve">)</t>
    </r>
  </si>
  <si>
    <t xml:space="preserve">B040, B041</t>
  </si>
  <si>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3:1~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32</t>
    </r>
  </si>
  <si>
    <r>
      <rPr>
        <sz val="10"/>
        <color rgb="FF000000"/>
        <rFont val="WenQuanYi Zen Hei"/>
        <family val="2"/>
      </rPr>
      <t xml:space="preserve">착하게 살았는데 왜 이런 일이 생길까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</si>
  <si>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나의 대속자가 살아 계시니</t>
    </r>
    <r>
      <rPr>
        <sz val="10"/>
        <color rgb="FF000000"/>
        <rFont val="Arial"/>
        <family val="0"/>
        <charset val="1"/>
      </rPr>
      <t xml:space="preserve">"(19:25) → </t>
    </r>
    <r>
      <rPr>
        <sz val="10"/>
        <color rgb="FF000000"/>
        <rFont val="WenQuanYi Zen Hei"/>
        <family val="2"/>
      </rPr>
      <t xml:space="preserve">부활하신 구속자 그리스도
시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편의 아들</t>
    </r>
    <r>
      <rPr>
        <sz val="10"/>
        <color rgb="FF000000"/>
        <rFont val="Arial"/>
        <family val="0"/>
        <charset val="1"/>
      </rPr>
      <t xml:space="preserve">, 22</t>
    </r>
    <r>
      <rPr>
        <sz val="10"/>
        <color rgb="FF000000"/>
        <rFont val="WenQuanYi Zen Hei"/>
        <family val="2"/>
      </rPr>
      <t xml:space="preserve">편의 십자가</t>
    </r>
    <r>
      <rPr>
        <sz val="10"/>
        <color rgb="FF000000"/>
        <rFont val="Arial"/>
        <family val="0"/>
        <charset val="1"/>
      </rPr>
      <t xml:space="preserve">, 23</t>
    </r>
    <r>
      <rPr>
        <sz val="10"/>
        <color rgb="FF000000"/>
        <rFont val="WenQuanYi Zen Hei"/>
        <family val="2"/>
      </rPr>
      <t xml:space="preserve">편의 목자 → 그리스도</t>
    </r>
  </si>
  <si>
    <r>
      <rPr>
        <sz val="10"/>
        <color rgb="FF000000"/>
        <rFont val="WenQuanYi Zen Hei"/>
        <family val="2"/>
      </rPr>
      <t xml:space="preserve">하나님의 주권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고난의 신비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인과응보 신앙의 한계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말씀 묵상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메시아 예언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목자 되심</t>
    </r>
  </si>
  <si>
    <r>
      <rPr>
        <sz val="10"/>
        <color rgb="FF000000"/>
        <rFont val="WenQuanYi Zen Hei"/>
        <family val="2"/>
      </rPr>
      <t xml:space="preserve">시편② 목마른 영혼의 노래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제</t>
    </r>
    <r>
      <rPr>
        <sz val="10"/>
        <color rgb="FF000000"/>
        <rFont val="Arial"/>
        <family val="0"/>
        <charset val="1"/>
      </rPr>
      <t xml:space="preserve">2·3</t>
    </r>
    <r>
      <rPr>
        <sz val="10"/>
        <color rgb="FF000000"/>
        <rFont val="WenQuanYi Zen Hei"/>
        <family val="2"/>
      </rPr>
      <t xml:space="preserve">권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</si>
  <si>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42~89</t>
    </r>
    <r>
      <rPr>
        <sz val="10"/>
        <color rgb="FF000000"/>
        <rFont val="WenQuanYi Zen Hei"/>
        <family val="2"/>
      </rPr>
      <t xml:space="preserve">편</t>
    </r>
  </si>
  <si>
    <t xml:space="preserve">하나님이 멀게만 느껴질 때</t>
  </si>
  <si>
    <r>
      <rPr>
        <sz val="10"/>
        <color rgb="FF000000"/>
        <rFont val="Arial"/>
        <family val="0"/>
        <charset val="1"/>
      </rPr>
      <t xml:space="preserve">51</t>
    </r>
    <r>
      <rPr>
        <sz val="10"/>
        <color rgb="FF000000"/>
        <rFont val="WenQuanYi Zen Hei"/>
        <family val="2"/>
      </rPr>
      <t xml:space="preserve">편의 정한 마음 → 그리스도 안에서 새 마음</t>
    </r>
    <r>
      <rPr>
        <sz val="10"/>
        <color rgb="FF000000"/>
        <rFont val="Arial"/>
        <family val="0"/>
        <charset val="1"/>
      </rPr>
      <t xml:space="preserve">, 89</t>
    </r>
    <r>
      <rPr>
        <sz val="10"/>
        <color rgb="FF000000"/>
        <rFont val="WenQuanYi Zen Hei"/>
        <family val="2"/>
      </rPr>
      <t xml:space="preserve">편 다윗 언약 → 그리스도</t>
    </r>
  </si>
  <si>
    <r>
      <rPr>
        <sz val="10"/>
        <color rgb="FF000000"/>
        <rFont val="WenQuanYi Zen Hei"/>
        <family val="2"/>
      </rPr>
      <t xml:space="preserve">회개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피난처 되신 하나님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악인의 형통 문제</t>
    </r>
  </si>
  <si>
    <r>
      <rPr>
        <sz val="10"/>
        <color rgb="FF000000"/>
        <rFont val="WenQuanYi Zen Hei"/>
        <family val="2"/>
      </rPr>
      <t xml:space="preserve">시편③ 영원하신 왕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제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권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</si>
  <si>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90~106</t>
    </r>
    <r>
      <rPr>
        <sz val="10"/>
        <color rgb="FF000000"/>
        <rFont val="WenQuanYi Zen Hei"/>
        <family val="2"/>
      </rPr>
      <t xml:space="preserve">편</t>
    </r>
  </si>
  <si>
    <t xml:space="preserve">인생이 너무 짧고 허무하게 느껴질 때</t>
  </si>
  <si>
    <t xml:space="preserve">영원하신 왕 하나님 → 다시 오실 왕 그리스도</t>
  </si>
  <si>
    <r>
      <rPr>
        <sz val="10"/>
        <color rgb="FF000000"/>
        <rFont val="WenQuanYi Zen Hei"/>
        <family val="2"/>
      </rPr>
      <t xml:space="preserve">하나님의 영원성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보호하심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예배와 감사</t>
    </r>
  </si>
  <si>
    <r>
      <rPr>
        <sz val="10"/>
        <color rgb="FF000000"/>
        <rFont val="WenQuanYi Zen Hei"/>
        <family val="2"/>
      </rPr>
      <t xml:space="preserve">시편④ 올라가는 노래와 할렐루야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제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권</t>
    </r>
    <r>
      <rPr>
        <sz val="10"/>
        <color rgb="FF000000"/>
        <rFont val="Arial"/>
        <family val="0"/>
        <charset val="1"/>
      </rPr>
      <t xml:space="preserve">) ~ </t>
    </r>
    <r>
      <rPr>
        <sz val="10"/>
        <color rgb="FF000000"/>
        <rFont val="WenQuanYi Zen Hei"/>
        <family val="2"/>
      </rPr>
      <t xml:space="preserve">잠언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지혜로운 삶</t>
    </r>
  </si>
  <si>
    <t xml:space="preserve">B044, B045</t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</si>
  <si>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110~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31:31</t>
    </r>
  </si>
  <si>
    <r>
      <rPr>
        <sz val="10"/>
        <color rgb="FF000000"/>
        <rFont val="WenQuanYi Zen Hei"/>
        <family val="2"/>
      </rPr>
      <t xml:space="preserve">매일의 삶 속에서 어떻게 하나님을 찬양할까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</si>
  <si>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Arial"/>
        <family val="0"/>
        <charset val="1"/>
      </rPr>
      <t xml:space="preserve">110</t>
    </r>
    <r>
      <rPr>
        <sz val="10"/>
        <color rgb="FF000000"/>
        <rFont val="WenQuanYi Zen Hei"/>
        <family val="2"/>
      </rPr>
      <t xml:space="preserve">편 멜기세덱 반차의 제사장 →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7), 119</t>
    </r>
    <r>
      <rPr>
        <sz val="10"/>
        <color rgb="FF000000"/>
        <rFont val="WenQuanYi Zen Hei"/>
        <family val="2"/>
      </rPr>
      <t xml:space="preserve">편 말씀 → 말씀이신 그리스도
하나님의 지혜이신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1:24, 30)</t>
    </r>
  </si>
  <si>
    <r>
      <rPr>
        <sz val="10"/>
        <color rgb="FF000000"/>
        <rFont val="WenQuanYi Zen Hei"/>
        <family val="2"/>
      </rPr>
      <t xml:space="preserve">말씀의 등불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예배의 여정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찬양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하나님 경외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말과 마음의 지혜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주권</t>
    </r>
  </si>
  <si>
    <r>
      <rPr>
        <sz val="10"/>
        <color rgb="FF000000"/>
        <rFont val="WenQuanYi Zen Hei"/>
        <family val="2"/>
      </rPr>
      <t xml:space="preserve">전도서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아가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인생과 사랑</t>
    </r>
  </si>
  <si>
    <r>
      <rPr>
        <sz val="10"/>
        <color rgb="FF000000"/>
        <rFont val="WenQuanYi Zen Hei"/>
        <family val="2"/>
      </rPr>
      <t xml:space="preserve">전 </t>
    </r>
    <r>
      <rPr>
        <sz val="10"/>
        <color rgb="FF000000"/>
        <rFont val="Arial"/>
        <family val="0"/>
        <charset val="1"/>
      </rPr>
      <t xml:space="preserve">1:1~</t>
    </r>
    <r>
      <rPr>
        <sz val="10"/>
        <color rgb="FF000000"/>
        <rFont val="WenQuanYi Zen Hei"/>
        <family val="2"/>
      </rPr>
      <t xml:space="preserve">아 </t>
    </r>
    <r>
      <rPr>
        <sz val="10"/>
        <color rgb="FF000000"/>
        <rFont val="Arial"/>
        <family val="0"/>
        <charset val="1"/>
      </rPr>
      <t xml:space="preserve">8:14</t>
    </r>
  </si>
  <si>
    <r>
      <rPr>
        <sz val="10"/>
        <color rgb="FF000000"/>
        <rFont val="WenQuanYi Zen Hei"/>
        <family val="2"/>
      </rPr>
      <t xml:space="preserve">해 아래의 헛됨을 넘어서는 영원한 소망 그리스도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신랑과 신부 → 그리스도와 교회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5:32)</t>
    </r>
  </si>
  <si>
    <r>
      <rPr>
        <sz val="10"/>
        <color rgb="FF000000"/>
        <rFont val="WenQuanYi Zen Hei"/>
        <family val="2"/>
      </rPr>
      <t xml:space="preserve">하나님 없는 인생의 헛됨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 경외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거룩한 사랑</t>
    </r>
  </si>
  <si>
    <r>
      <rPr>
        <sz val="10"/>
        <color rgb="FF000000"/>
        <rFont val="WenQuanYi Zen Hei"/>
        <family val="2"/>
      </rPr>
      <t xml:space="preserve">이사야① 거룩하신 하나님과 임마누엘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이사야② 열방의 심판과 위로</t>
    </r>
  </si>
  <si>
    <t xml:space="preserve">B047, B048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</si>
  <si>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1:1~40:11</t>
    </r>
  </si>
  <si>
    <r>
      <rPr>
        <sz val="10"/>
        <color rgb="FF000000"/>
        <rFont val="WenQuanYi Zen Hei"/>
        <family val="2"/>
      </rPr>
      <t xml:space="preserve">하나님은 정말 우리와 함께 계실까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</si>
  <si>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임마누엘</t>
    </r>
    <r>
      <rPr>
        <sz val="10"/>
        <color rgb="FF000000"/>
        <rFont val="Arial"/>
        <family val="0"/>
        <charset val="1"/>
      </rPr>
      <t xml:space="preserve">(7:14), </t>
    </r>
    <r>
      <rPr>
        <sz val="10"/>
        <color rgb="FF000000"/>
        <rFont val="WenQuanYi Zen Hei"/>
        <family val="2"/>
      </rPr>
      <t xml:space="preserve">한 아기</t>
    </r>
    <r>
      <rPr>
        <sz val="10"/>
        <color rgb="FF000000"/>
        <rFont val="Arial"/>
        <family val="0"/>
        <charset val="1"/>
      </rPr>
      <t xml:space="preserve">(9:6), </t>
    </r>
    <r>
      <rPr>
        <sz val="10"/>
        <color rgb="FF000000"/>
        <rFont val="WenQuanYi Zen Hei"/>
        <family val="2"/>
      </rPr>
      <t xml:space="preserve">이새의 줄기</t>
    </r>
    <r>
      <rPr>
        <sz val="10"/>
        <color rgb="FF000000"/>
        <rFont val="Arial"/>
        <family val="0"/>
        <charset val="1"/>
      </rPr>
      <t xml:space="preserve">(11:1) → </t>
    </r>
    <r>
      <rPr>
        <sz val="10"/>
        <color rgb="FF000000"/>
        <rFont val="WenQuanYi Zen Hei"/>
        <family val="2"/>
      </rPr>
      <t xml:space="preserve">그리스도의 탄생
사망을 영원히 멸하실 하나님</t>
    </r>
    <r>
      <rPr>
        <sz val="10"/>
        <color rgb="FF000000"/>
        <rFont val="Arial"/>
        <family val="0"/>
        <charset val="1"/>
      </rPr>
      <t xml:space="preserve">(25:8) → </t>
    </r>
    <r>
      <rPr>
        <sz val="10"/>
        <color rgb="FF000000"/>
        <rFont val="WenQuanYi Zen Hei"/>
        <family val="2"/>
      </rPr>
      <t xml:space="preserve">부활하신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15:54)</t>
    </r>
  </si>
  <si>
    <r>
      <rPr>
        <sz val="10"/>
        <color rgb="FF000000"/>
        <rFont val="WenQuanYi Zen Hei"/>
        <family val="2"/>
      </rPr>
      <t xml:space="preserve">하나님의 거룩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은혜의 초청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메시아 예언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열방을 다스리시는 하나님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의뢰하는 믿음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위로</t>
    </r>
  </si>
  <si>
    <t xml:space="preserve">이사야③ 고난받는 종과 새 하늘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</si>
  <si>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41:1~66:24</t>
    </r>
  </si>
  <si>
    <r>
      <rPr>
        <sz val="10"/>
        <color rgb="FF000000"/>
        <rFont val="WenQuanYi Zen Hei"/>
        <family val="2"/>
      </rPr>
      <t xml:space="preserve">나를 위해 대신 아파 줄 사람이 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</si>
  <si>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고난받는 종</t>
    </r>
    <r>
      <rPr>
        <sz val="10"/>
        <color rgb="FF000000"/>
        <rFont val="Arial"/>
        <family val="0"/>
        <charset val="1"/>
      </rPr>
      <t xml:space="preserve">(53</t>
    </r>
    <r>
      <rPr>
        <sz val="10"/>
        <color rgb="FF000000"/>
        <rFont val="WenQuanYi Zen Hei"/>
        <family val="2"/>
      </rPr>
      <t xml:space="preserve">장</t>
    </r>
    <r>
      <rPr>
        <sz val="10"/>
        <color rgb="FF000000"/>
        <rFont val="Arial"/>
        <family val="0"/>
        <charset val="1"/>
      </rPr>
      <t xml:space="preserve">) → </t>
    </r>
    <r>
      <rPr>
        <sz val="10"/>
        <color rgb="FF000000"/>
        <rFont val="WenQuanYi Zen Hei"/>
        <family val="2"/>
      </rPr>
      <t xml:space="preserve">우리 죄를 지고 십자가에서 찔리신 그리스도</t>
    </r>
  </si>
  <si>
    <r>
      <rPr>
        <sz val="10"/>
        <color rgb="FF000000"/>
        <rFont val="WenQuanYi Zen Hei"/>
        <family val="2"/>
      </rPr>
      <t xml:space="preserve">대속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은혜의 초청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새 하늘과 새 땅</t>
    </r>
  </si>
  <si>
    <t xml:space="preserve">눈물의 선지자 예레미야①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</si>
  <si>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2:1~25:38</t>
    </r>
  </si>
  <si>
    <r>
      <rPr>
        <sz val="10"/>
        <color rgb="FF000000"/>
        <rFont val="WenQuanYi Zen Hei"/>
        <family val="2"/>
      </rPr>
      <t xml:space="preserve">아무도 내 말을 듣지 않을 때 계속할 수 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</si>
  <si>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토기장이의 손 → 우리를 새롭게 빚으시는 하나님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의로운 가지</t>
    </r>
    <r>
      <rPr>
        <sz val="10"/>
        <color rgb="FF000000"/>
        <rFont val="Arial"/>
        <family val="0"/>
        <charset val="1"/>
      </rPr>
      <t xml:space="preserve">(23:5) → </t>
    </r>
    <r>
      <rPr>
        <sz val="10"/>
        <color rgb="FF000000"/>
        <rFont val="WenQuanYi Zen Hei"/>
        <family val="2"/>
      </rPr>
      <t xml:space="preserve">그리스도</t>
    </r>
  </si>
  <si>
    <r>
      <rPr>
        <sz val="10"/>
        <color rgb="FF000000"/>
        <rFont val="WenQuanYi Zen Hei"/>
        <family val="2"/>
      </rPr>
      <t xml:space="preserve">하나님의 주권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참된 회개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거짓 평안 경계</t>
    </r>
  </si>
  <si>
    <t xml:space="preserve">눈물의 선지자 예레미야②와 애가</t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</si>
  <si>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26:1~</t>
    </r>
    <r>
      <rPr>
        <sz val="10"/>
        <color rgb="FF000000"/>
        <rFont val="WenQuanYi Zen Hei"/>
        <family val="2"/>
      </rPr>
      <t xml:space="preserve">애 </t>
    </r>
    <r>
      <rPr>
        <sz val="10"/>
        <color rgb="FF000000"/>
        <rFont val="Arial"/>
        <family val="0"/>
        <charset val="1"/>
      </rPr>
      <t xml:space="preserve">5:22</t>
    </r>
  </si>
  <si>
    <r>
      <rPr>
        <sz val="10"/>
        <color rgb="FF000000"/>
        <rFont val="WenQuanYi Zen Hei"/>
        <family val="2"/>
      </rPr>
      <t xml:space="preserve">새 언약</t>
    </r>
    <r>
      <rPr>
        <sz val="10"/>
        <color rgb="FF000000"/>
        <rFont val="Arial"/>
        <family val="0"/>
        <charset val="1"/>
      </rPr>
      <t xml:space="preserve">(31:31-34) → </t>
    </r>
    <r>
      <rPr>
        <sz val="10"/>
        <color rgb="FF000000"/>
        <rFont val="WenQuanYi Zen Hei"/>
        <family val="2"/>
      </rPr>
      <t xml:space="preserve">그리스도의 피로 세운 새 언약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22:20)</t>
    </r>
  </si>
  <si>
    <r>
      <rPr>
        <sz val="10"/>
        <color rgb="FF000000"/>
        <rFont val="WenQuanYi Zen Hei"/>
        <family val="2"/>
      </rPr>
      <t xml:space="preserve">새 언약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회복의 소망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아침마다 새로운 긍휼</t>
    </r>
  </si>
  <si>
    <t xml:space="preserve">포로 중의 선지자 에스겔</t>
  </si>
  <si>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1:1~48:35</t>
    </r>
  </si>
  <si>
    <r>
      <rPr>
        <sz val="10"/>
        <color rgb="FF000000"/>
        <rFont val="WenQuanYi Zen Hei"/>
        <family val="2"/>
      </rPr>
      <t xml:space="preserve">희망이 하나도 없어 보일 때 하나님은 무엇을 하실까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</si>
  <si>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참 목자</t>
    </r>
    <r>
      <rPr>
        <sz val="10"/>
        <color rgb="FF000000"/>
        <rFont val="Arial"/>
        <family val="0"/>
        <charset val="1"/>
      </rPr>
      <t xml:space="preserve">(34:23) </t>
    </r>
    <r>
      <rPr>
        <sz val="10"/>
        <color rgb="FF000000"/>
        <rFont val="WenQuanYi Zen Hei"/>
        <family val="2"/>
      </rPr>
      <t xml:space="preserve">그리스도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새 마음과 성령</t>
    </r>
    <r>
      <rPr>
        <sz val="10"/>
        <color rgb="FF000000"/>
        <rFont val="Arial"/>
        <family val="0"/>
        <charset val="1"/>
      </rPr>
      <t xml:space="preserve">(36:26) → </t>
    </r>
    <r>
      <rPr>
        <sz val="10"/>
        <color rgb="FF000000"/>
        <rFont val="WenQuanYi Zen Hei"/>
        <family val="2"/>
      </rPr>
      <t xml:space="preserve">오순절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생명수 강 → 요 </t>
    </r>
    <r>
      <rPr>
        <sz val="10"/>
        <color rgb="FF000000"/>
        <rFont val="Arial"/>
        <family val="0"/>
        <charset val="1"/>
      </rPr>
      <t xml:space="preserve">7:38</t>
    </r>
  </si>
  <si>
    <r>
      <rPr>
        <sz val="10"/>
        <color rgb="FF000000"/>
        <rFont val="WenQuanYi Zen Hei"/>
        <family val="2"/>
      </rPr>
      <t xml:space="preserve">하나님의 영광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개인의 책임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새 마음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부활의 소망</t>
    </r>
  </si>
  <si>
    <r>
      <rPr>
        <sz val="10"/>
        <color rgb="FF000000"/>
        <rFont val="WenQuanYi Zen Hei"/>
        <family val="2"/>
      </rPr>
      <t xml:space="preserve">다니엘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바벨론의 믿음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호세아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아모스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돌아오라</t>
    </r>
  </si>
  <si>
    <t xml:space="preserve">B053, B054</t>
  </si>
  <si>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2:1~</t>
    </r>
    <r>
      <rPr>
        <sz val="10"/>
        <color rgb="FF000000"/>
        <rFont val="WenQuanYi Zen Hei"/>
        <family val="2"/>
      </rPr>
      <t xml:space="preserve">호 </t>
    </r>
    <r>
      <rPr>
        <sz val="10"/>
        <color rgb="FF000000"/>
        <rFont val="Arial"/>
        <family val="0"/>
        <charset val="1"/>
      </rPr>
      <t xml:space="preserve">3:5</t>
    </r>
  </si>
  <si>
    <r>
      <rPr>
        <sz val="10"/>
        <color rgb="FF000000"/>
        <rFont val="WenQuanYi Zen Hei"/>
        <family val="2"/>
      </rPr>
      <t xml:space="preserve">모두가 다르게 살 때 나 혼자 믿음을 지킬 수 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</si>
  <si>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풀무불 속 넷째 사람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인자 같은 이</t>
    </r>
    <r>
      <rPr>
        <sz val="10"/>
        <color rgb="FF000000"/>
        <rFont val="Arial"/>
        <family val="0"/>
        <charset val="1"/>
      </rPr>
      <t xml:space="preserve">(7:13) → </t>
    </r>
    <r>
      <rPr>
        <sz val="10"/>
        <color rgb="FF000000"/>
        <rFont val="WenQuanYi Zen Hei"/>
        <family val="2"/>
      </rPr>
      <t xml:space="preserve">영원한 나라의 왕 그리스도
고멜을 다시 사 온 호세아 → 우리를 값 주고 사신 그리스도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성령 부어 주심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욜 </t>
    </r>
    <r>
      <rPr>
        <sz val="10"/>
        <color rgb="FF000000"/>
        <rFont val="Arial"/>
        <family val="0"/>
        <charset val="1"/>
      </rPr>
      <t xml:space="preserve">2:28) → </t>
    </r>
    <r>
      <rPr>
        <sz val="10"/>
        <color rgb="FF000000"/>
        <rFont val="WenQuanYi Zen Hei"/>
        <family val="2"/>
      </rPr>
      <t xml:space="preserve">오순절</t>
    </r>
  </si>
  <si>
    <r>
      <rPr>
        <sz val="10"/>
        <color rgb="FF000000"/>
        <rFont val="WenQuanYi Zen Hei"/>
        <family val="2"/>
      </rPr>
      <t xml:space="preserve">하나님의 주권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신앙의 절개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영원한 하나님 나라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변함없는 사랑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회개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정의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성령의 약속</t>
    </r>
  </si>
  <si>
    <r>
      <rPr>
        <sz val="10"/>
        <color rgb="FF000000"/>
        <rFont val="WenQuanYi Zen Hei"/>
        <family val="2"/>
      </rPr>
      <t xml:space="preserve">호세아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아모스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돌아오라</t>
    </r>
  </si>
  <si>
    <r>
      <rPr>
        <sz val="10"/>
        <color rgb="FF000000"/>
        <rFont val="WenQuanYi Zen Hei"/>
        <family val="2"/>
      </rPr>
      <t xml:space="preserve">호 </t>
    </r>
    <r>
      <rPr>
        <sz val="10"/>
        <color rgb="FF000000"/>
        <rFont val="Arial"/>
        <family val="0"/>
        <charset val="1"/>
      </rPr>
      <t xml:space="preserve">4:1~</t>
    </r>
    <r>
      <rPr>
        <sz val="10"/>
        <color rgb="FF000000"/>
        <rFont val="WenQuanYi Zen Hei"/>
        <family val="2"/>
      </rPr>
      <t xml:space="preserve">암 </t>
    </r>
    <r>
      <rPr>
        <sz val="10"/>
        <color rgb="FF000000"/>
        <rFont val="Arial"/>
        <family val="0"/>
        <charset val="1"/>
      </rPr>
      <t xml:space="preserve">9:15</t>
    </r>
  </si>
  <si>
    <r>
      <rPr>
        <sz val="10"/>
        <color rgb="FF000000"/>
        <rFont val="WenQuanYi Zen Hei"/>
        <family val="2"/>
      </rPr>
      <t xml:space="preserve">하나님을 떠난 사람도 다시 받아 주실까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</si>
  <si>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고멜을 다시 사 온 호세아 → 우리를 값 주고 사신 그리스도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성령 부어 주심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욜 </t>
    </r>
    <r>
      <rPr>
        <sz val="10"/>
        <color rgb="FF000000"/>
        <rFont val="Arial"/>
        <family val="0"/>
        <charset val="1"/>
      </rPr>
      <t xml:space="preserve">2:28) → </t>
    </r>
    <r>
      <rPr>
        <sz val="10"/>
        <color rgb="FF000000"/>
        <rFont val="WenQuanYi Zen Hei"/>
        <family val="2"/>
      </rPr>
      <t xml:space="preserve">오순절</t>
    </r>
  </si>
  <si>
    <r>
      <rPr>
        <sz val="10"/>
        <color rgb="FF000000"/>
        <rFont val="WenQuanYi Zen Hei"/>
        <family val="2"/>
      </rPr>
      <t xml:space="preserve">변함없는 사랑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회개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정의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성령의 약속</t>
    </r>
  </si>
  <si>
    <r>
      <rPr>
        <sz val="10"/>
        <color rgb="FF000000"/>
        <rFont val="WenQuanYi Zen Hei"/>
        <family val="2"/>
      </rPr>
      <t xml:space="preserve">옵 </t>
    </r>
    <r>
      <rPr>
        <sz val="10"/>
        <color rgb="FF000000"/>
        <rFont val="Arial"/>
        <family val="0"/>
        <charset val="1"/>
      </rPr>
      <t xml:space="preserve">1:1~</t>
    </r>
    <r>
      <rPr>
        <sz val="10"/>
        <color rgb="FF000000"/>
        <rFont val="WenQuanYi Zen Hei"/>
        <family val="2"/>
      </rPr>
      <t xml:space="preserve">습 </t>
    </r>
    <r>
      <rPr>
        <sz val="10"/>
        <color rgb="FF000000"/>
        <rFont val="Arial"/>
        <family val="0"/>
        <charset val="1"/>
      </rPr>
      <t xml:space="preserve">3:20</t>
    </r>
  </si>
  <si>
    <r>
      <rPr>
        <sz val="10"/>
        <color rgb="FF000000"/>
        <rFont val="WenQuanYi Zen Hei"/>
        <family val="2"/>
      </rPr>
      <t xml:space="preserve">하박국에서 말라기까지</t>
    </r>
    <r>
      <rPr>
        <sz val="10"/>
        <color rgb="FF000000"/>
        <rFont val="Arial"/>
        <family val="0"/>
        <charset val="1"/>
      </rPr>
      <t xml:space="preserve">: 400</t>
    </r>
    <r>
      <rPr>
        <sz val="10"/>
        <color rgb="FF000000"/>
        <rFont val="WenQuanYi Zen Hei"/>
        <family val="2"/>
      </rPr>
      <t xml:space="preserve">년 침묵 직전</t>
    </r>
  </si>
  <si>
    <r>
      <rPr>
        <sz val="10"/>
        <color rgb="FF000000"/>
        <rFont val="WenQuanYi Zen Hei"/>
        <family val="2"/>
      </rPr>
      <t xml:space="preserve">학 </t>
    </r>
    <r>
      <rPr>
        <sz val="10"/>
        <color rgb="FF000000"/>
        <rFont val="Arial"/>
        <family val="0"/>
        <charset val="1"/>
      </rPr>
      <t xml:space="preserve">1:1~</t>
    </r>
    <r>
      <rPr>
        <sz val="10"/>
        <color rgb="FF000000"/>
        <rFont val="WenQuanYi Zen Hei"/>
        <family val="2"/>
      </rPr>
      <t xml:space="preserve">말 </t>
    </r>
    <r>
      <rPr>
        <sz val="10"/>
        <color rgb="FF000000"/>
        <rFont val="Arial"/>
        <family val="0"/>
        <charset val="1"/>
      </rPr>
      <t xml:space="preserve">3:18</t>
    </r>
  </si>
  <si>
    <t xml:space="preserve">하나님이 대답하지 않으시는 것 같을 때</t>
  </si>
  <si>
    <r>
      <rPr>
        <sz val="10"/>
        <color rgb="FF000000"/>
        <rFont val="WenQuanYi Zen Hei"/>
        <family val="2"/>
      </rPr>
      <t xml:space="preserve">겸손한 왕이 나귀를 타고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슥 </t>
    </r>
    <r>
      <rPr>
        <sz val="10"/>
        <color rgb="FF000000"/>
        <rFont val="Arial"/>
        <family val="0"/>
        <charset val="1"/>
      </rPr>
      <t xml:space="preserve">9:9) → </t>
    </r>
    <r>
      <rPr>
        <sz val="10"/>
        <color rgb="FF000000"/>
        <rFont val="WenQuanYi Zen Hei"/>
        <family val="2"/>
      </rPr>
      <t xml:space="preserve">예루살렘 입성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엘리야를 보내리라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말 </t>
    </r>
    <r>
      <rPr>
        <sz val="10"/>
        <color rgb="FF000000"/>
        <rFont val="Arial"/>
        <family val="0"/>
        <charset val="1"/>
      </rPr>
      <t xml:space="preserve">4:5) → </t>
    </r>
    <r>
      <rPr>
        <sz val="10"/>
        <color rgb="FF000000"/>
        <rFont val="WenQuanYi Zen Hei"/>
        <family val="2"/>
      </rPr>
      <t xml:space="preserve">세례 요한</t>
    </r>
  </si>
  <si>
    <r>
      <rPr>
        <sz val="10"/>
        <color rgb="FF000000"/>
        <rFont val="WenQuanYi Zen Hei"/>
        <family val="2"/>
      </rPr>
      <t xml:space="preserve">믿음으로 사는 의인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성전 회복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다가올 메시아</t>
    </r>
  </si>
  <si>
    <r>
      <rPr>
        <sz val="10"/>
        <color rgb="FF000000"/>
        <rFont val="WenQuanYi Zen Hei"/>
        <family val="2"/>
      </rPr>
      <t xml:space="preserve">왕이 오시다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권세 있는 왕의 사역</t>
    </r>
  </si>
  <si>
    <t xml:space="preserve">B057, B058, B059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</si>
  <si>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1:1~13:52</t>
    </r>
  </si>
  <si>
    <r>
      <rPr>
        <sz val="10"/>
        <color rgb="FF000000"/>
        <rFont val="WenQuanYi Zen Hei"/>
        <family val="2"/>
      </rPr>
      <t xml:space="preserve">구약 약속의 성취이신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임마누엘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다윗의 자손</t>
    </r>
    <r>
      <rPr>
        <sz val="10"/>
        <color rgb="FF000000"/>
        <rFont val="Arial"/>
        <family val="0"/>
        <charset val="1"/>
      </rPr>
      <t xml:space="preserve">)
</t>
    </r>
    <r>
      <rPr>
        <sz val="10"/>
        <color rgb="FF000000"/>
        <rFont val="WenQuanYi Zen Hei"/>
        <family val="2"/>
      </rPr>
      <t xml:space="preserve">율법을 완성하러 오신 그리스도</t>
    </r>
    <r>
      <rPr>
        <sz val="10"/>
        <color rgb="FF000000"/>
        <rFont val="Arial"/>
        <family val="0"/>
        <charset val="1"/>
      </rPr>
      <t xml:space="preserve">(5:17)
</t>
    </r>
    <r>
      <rPr>
        <sz val="10"/>
        <color rgb="FF000000"/>
        <rFont val="WenQuanYi Zen Hei"/>
        <family val="2"/>
      </rPr>
      <t xml:space="preserve">병과 죄와 자연과 죽음을 다스리시는 하나님의 아들</t>
    </r>
  </si>
  <si>
    <r>
      <rPr>
        <sz val="10"/>
        <color rgb="FF000000"/>
        <rFont val="WenQuanYi Zen Hei"/>
        <family val="2"/>
      </rPr>
      <t xml:space="preserve">따르는 자의 길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예루살렘의 마지막 한 주</t>
    </r>
  </si>
  <si>
    <t xml:space="preserve">B060, B061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</si>
  <si>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14:1~25:46</t>
    </r>
  </si>
  <si>
    <r>
      <rPr>
        <sz val="10"/>
        <color rgb="FF000000"/>
        <rFont val="WenQuanYi Zen Hei"/>
        <family val="2"/>
      </rPr>
      <t xml:space="preserve">예수님을 따른다는 것은 무엇일까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</si>
  <si>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너는 그리스도시요 살아 계신 하나님의 아들이시니이다</t>
    </r>
    <r>
      <rPr>
        <sz val="10"/>
        <color rgb="FF000000"/>
        <rFont val="Arial"/>
        <family val="0"/>
        <charset val="1"/>
      </rPr>
      <t xml:space="preserve">"(16:16)
</t>
    </r>
    <r>
      <rPr>
        <sz val="10"/>
        <color rgb="FF000000"/>
        <rFont val="WenQuanYi Zen Hei"/>
        <family val="2"/>
      </rPr>
      <t xml:space="preserve">겸손의 왕으로 입성하신 그리스도 → 영광의 왕으로 다시 오실 그리스도</t>
    </r>
  </si>
  <si>
    <r>
      <rPr>
        <sz val="10"/>
        <color rgb="FF000000"/>
        <rFont val="WenQuanYi Zen Hei"/>
        <family val="2"/>
      </rPr>
      <t xml:space="preserve">신앙고백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십자가의 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용서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섬김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그리스도의 재림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깨어 있음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최후 심판</t>
    </r>
  </si>
  <si>
    <r>
      <rPr>
        <sz val="10"/>
        <color rgb="FF000000"/>
        <rFont val="WenQuanYi Zen Hei"/>
        <family val="2"/>
      </rPr>
      <t xml:space="preserve">십자가와 부활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마가복음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섬기러 오신 종</t>
    </r>
  </si>
  <si>
    <t xml:space="preserve">B062, B063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</si>
  <si>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26:1~</t>
    </r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16:20</t>
    </r>
  </si>
  <si>
    <r>
      <rPr>
        <sz val="10"/>
        <color rgb="FF000000"/>
        <rFont val="WenQuanYi Zen Hei"/>
        <family val="2"/>
      </rPr>
      <t xml:space="preserve">예수님은 왜 죽으셔야 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</si>
  <si>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대속의 죽음과 부활 → 우리의 구원과 사명
대속물로 자기 목숨을 주신 섬기는 종</t>
    </r>
    <r>
      <rPr>
        <sz val="10"/>
        <color rgb="FF000000"/>
        <rFont val="Arial"/>
        <family val="0"/>
        <charset val="1"/>
      </rPr>
      <t xml:space="preserve">(10:45)</t>
    </r>
  </si>
  <si>
    <r>
      <rPr>
        <sz val="10"/>
        <color rgb="FF000000"/>
        <rFont val="WenQuanYi Zen Hei"/>
        <family val="2"/>
      </rPr>
      <t xml:space="preserve">대속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부활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대위임령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그리스도의 섬김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믿음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복음 전파</t>
    </r>
  </si>
  <si>
    <r>
      <rPr>
        <sz val="10"/>
        <color rgb="FF000000"/>
        <rFont val="WenQuanYi Zen Hei"/>
        <family val="2"/>
      </rPr>
      <t xml:space="preserve">누가복음① 구주가 나셨다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누가복음② 잃어버린 자를 찾아서</t>
    </r>
  </si>
  <si>
    <t xml:space="preserve">B064, B065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</si>
  <si>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1:39~14:35</t>
    </r>
  </si>
  <si>
    <r>
      <rPr>
        <sz val="10"/>
        <color rgb="FF000000"/>
        <rFont val="WenQuanYi Zen Hei"/>
        <family val="2"/>
      </rPr>
      <t xml:space="preserve">하나님은 정말 낮은 곳에 오셨을까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</si>
  <si>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구유에 누이신 구주 그리스도
잃어버린 자를 찾아 구원하러 오신 인자</t>
    </r>
    <r>
      <rPr>
        <sz val="10"/>
        <color rgb="FF000000"/>
        <rFont val="Arial"/>
        <family val="0"/>
        <charset val="1"/>
      </rPr>
      <t xml:space="preserve">(19:10)</t>
    </r>
  </si>
  <si>
    <r>
      <rPr>
        <sz val="10"/>
        <color rgb="FF000000"/>
        <rFont val="WenQuanYi Zen Hei"/>
        <family val="2"/>
      </rPr>
      <t xml:space="preserve">성육신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겸손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성령의 역사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은혜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이웃 사랑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회개</t>
    </r>
  </si>
  <si>
    <r>
      <rPr>
        <sz val="10"/>
        <color rgb="FF000000"/>
        <rFont val="WenQuanYi Zen Hei"/>
        <family val="2"/>
      </rPr>
      <t xml:space="preserve">누가복음③ 탕자의 아버지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요한복음② 나는 </t>
    </r>
    <r>
      <rPr>
        <sz val="10"/>
        <color rgb="FF000000"/>
        <rFont val="Arial"/>
        <family val="0"/>
        <charset val="1"/>
      </rPr>
      <t xml:space="preserve">~</t>
    </r>
    <r>
      <rPr>
        <sz val="10"/>
        <color rgb="FF000000"/>
        <rFont val="WenQuanYi Zen Hei"/>
        <family val="2"/>
      </rPr>
      <t xml:space="preserve">이다</t>
    </r>
  </si>
  <si>
    <t xml:space="preserve">B066, B067, B068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</si>
  <si>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16:19~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12:50</t>
    </r>
  </si>
  <si>
    <r>
      <rPr>
        <sz val="10"/>
        <color rgb="FF000000"/>
        <rFont val="WenQuanYi Zen Hei"/>
        <family val="2"/>
      </rPr>
      <t xml:space="preserve">큰 잘못을 하고도 돌아갈 곳이 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</si>
  <si>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먼 거리에서 달려오는 아버지 → 십자가에서 두 팔 벌리신 그리스도
말씀이신 하나님이 육신이 되심</t>
    </r>
    <r>
      <rPr>
        <sz val="10"/>
        <color rgb="FF000000"/>
        <rFont val="Arial"/>
        <family val="0"/>
        <charset val="1"/>
      </rPr>
      <t xml:space="preserve">(1:14), </t>
    </r>
    <r>
      <rPr>
        <sz val="10"/>
        <color rgb="FF000000"/>
        <rFont val="WenQuanYi Zen Hei"/>
        <family val="2"/>
      </rPr>
      <t xml:space="preserve">생명의 떡</t>
    </r>
    <r>
      <rPr>
        <sz val="10"/>
        <color rgb="FF000000"/>
        <rFont val="Arial"/>
        <family val="0"/>
        <charset val="1"/>
      </rPr>
      <t xml:space="preserve">(6:35)
"</t>
    </r>
    <r>
      <rPr>
        <sz val="10"/>
        <color rgb="FF000000"/>
        <rFont val="WenQuanYi Zen Hei"/>
        <family val="2"/>
      </rPr>
      <t xml:space="preserve">나는 세상의 빛</t>
    </r>
    <r>
      <rPr>
        <sz val="10"/>
        <color rgb="FF000000"/>
        <rFont val="Arial"/>
        <family val="0"/>
        <charset val="1"/>
      </rPr>
      <t xml:space="preserve">", "</t>
    </r>
    <r>
      <rPr>
        <sz val="10"/>
        <color rgb="FF000000"/>
        <rFont val="WenQuanYi Zen Hei"/>
        <family val="2"/>
      </rPr>
      <t xml:space="preserve">선한 목자</t>
    </r>
    <r>
      <rPr>
        <sz val="10"/>
        <color rgb="FF000000"/>
        <rFont val="Arial"/>
        <family val="0"/>
        <charset val="1"/>
      </rPr>
      <t xml:space="preserve">", "</t>
    </r>
    <r>
      <rPr>
        <sz val="10"/>
        <color rgb="FF000000"/>
        <rFont val="WenQuanYi Zen Hei"/>
        <family val="2"/>
      </rPr>
      <t xml:space="preserve">부활이요 생명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이신 그리스도</t>
    </r>
  </si>
  <si>
    <r>
      <rPr>
        <sz val="10"/>
        <color rgb="FF000000"/>
        <rFont val="WenQuanYi Zen Hei"/>
        <family val="2"/>
      </rPr>
      <t xml:space="preserve">회개와 용서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감사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십자가와 부활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그리스도의 신성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거듭남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영생</t>
    </r>
  </si>
  <si>
    <r>
      <rPr>
        <sz val="10"/>
        <color rgb="FF000000"/>
        <rFont val="WenQuanYi Zen Hei"/>
        <family val="2"/>
      </rPr>
      <t xml:space="preserve">요한복음③ 다 이루었다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교회의 탄생</t>
    </r>
  </si>
  <si>
    <t xml:space="preserve">B069, B070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</si>
  <si>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13:21~</t>
    </r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6:15</t>
    </r>
  </si>
  <si>
    <r>
      <rPr>
        <sz val="10"/>
        <color rgb="FF000000"/>
        <rFont val="WenQuanYi Zen Hei"/>
        <family val="2"/>
      </rPr>
      <t xml:space="preserve">사랑받는다는 것은 어떤 것일까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</si>
  <si>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발을 씻기신 종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다 이루신 구원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부활하신 주
승천하신 그리스도가 보내신 성령 → 땅끝까지 증인</t>
    </r>
  </si>
  <si>
    <r>
      <rPr>
        <sz val="10"/>
        <color rgb="FF000000"/>
        <rFont val="WenQuanYi Zen Hei"/>
        <family val="2"/>
      </rPr>
      <t xml:space="preserve">새 계명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보혜사 성령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대속 완성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부활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성령 강림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교회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복음의 능력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오직 예수</t>
    </r>
  </si>
  <si>
    <r>
      <rPr>
        <sz val="10"/>
        <color rgb="FF000000"/>
        <rFont val="WenQuanYi Zen Hei"/>
        <family val="2"/>
      </rPr>
      <t xml:space="preserve">사마리아와 땅끝으로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바울의 전도 여행</t>
    </r>
  </si>
  <si>
    <t xml:space="preserve">B071, B072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</si>
  <si>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8:1~19:41</t>
    </r>
  </si>
  <si>
    <r>
      <rPr>
        <sz val="10"/>
        <color rgb="FF000000"/>
        <rFont val="WenQuanYi Zen Hei"/>
        <family val="2"/>
      </rPr>
      <t xml:space="preserve">하나님은 누구에게까지 복음을 전하길 원하실까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</si>
  <si>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핍박자 사울을 부르신 부활의 주 → 이방인에게도 열린 복음
이방인의 빛</t>
    </r>
    <r>
      <rPr>
        <sz val="10"/>
        <color rgb="FF000000"/>
        <rFont val="Arial"/>
        <family val="0"/>
        <charset val="1"/>
      </rPr>
      <t xml:space="preserve">(13:47) </t>
    </r>
    <r>
      <rPr>
        <sz val="10"/>
        <color rgb="FF000000"/>
        <rFont val="WenQuanYi Zen Hei"/>
        <family val="2"/>
      </rPr>
      <t xml:space="preserve">그리스도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오직 은혜</t>
    </r>
    <r>
      <rPr>
        <sz val="10"/>
        <color rgb="FF000000"/>
        <rFont val="Arial"/>
        <family val="0"/>
        <charset val="1"/>
      </rPr>
      <t xml:space="preserve">(15:11)</t>
    </r>
  </si>
  <si>
    <r>
      <rPr>
        <sz val="10"/>
        <color rgb="FF000000"/>
        <rFont val="WenQuanYi Zen Hei"/>
        <family val="2"/>
      </rPr>
      <t xml:space="preserve">이방인 구원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회심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기도의 능력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선교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은혜의 복음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성경 상고</t>
    </r>
  </si>
  <si>
    <r>
      <rPr>
        <sz val="10"/>
        <color rgb="FF000000"/>
        <rFont val="WenQuanYi Zen Hei"/>
        <family val="2"/>
      </rPr>
      <t xml:space="preserve">로마까지 간 복음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WenQuanYi Zen Hei"/>
        <family val="2"/>
      </rPr>
      <t xml:space="preserve">로마서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복음이란 무엇인가</t>
    </r>
  </si>
  <si>
    <t xml:space="preserve">B073, B074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</si>
  <si>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21:1~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3:20</t>
    </r>
  </si>
  <si>
    <r>
      <rPr>
        <sz val="10"/>
        <color rgb="FF000000"/>
        <rFont val="WenQuanYi Zen Hei"/>
        <family val="2"/>
      </rPr>
      <t xml:space="preserve">어떤 상황에서도 복음은 멈추지 않을까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</si>
  <si>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사슬에 매여도 매이지 않는 하나님의 말씀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딤후 </t>
    </r>
    <r>
      <rPr>
        <sz val="10"/>
        <color rgb="FF000000"/>
        <rFont val="Arial"/>
        <family val="0"/>
        <charset val="1"/>
      </rPr>
      <t xml:space="preserve">2:9)
</t>
    </r>
    <r>
      <rPr>
        <sz val="10"/>
        <color rgb="FF000000"/>
        <rFont val="WenQuanYi Zen Hei"/>
        <family val="2"/>
      </rPr>
      <t xml:space="preserve">오직 믿음으로 의롭게 하시는 그리스도의 의</t>
    </r>
  </si>
  <si>
    <r>
      <rPr>
        <sz val="10"/>
        <color rgb="FF000000"/>
        <rFont val="WenQuanYi Zen Hei"/>
        <family val="2"/>
      </rPr>
      <t xml:space="preserve">하나님의 섭리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담대한 증언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복음의 승리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이신칭의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원죄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성화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예정과 선택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성도의 견인</t>
    </r>
  </si>
  <si>
    <r>
      <rPr>
        <sz val="10"/>
        <color rgb="FF000000"/>
        <rFont val="WenQuanYi Zen Hei"/>
        <family val="2"/>
      </rPr>
      <t xml:space="preserve">로마서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복음이란 무엇인가</t>
    </r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</si>
  <si>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4:1~16:27</t>
    </r>
  </si>
  <si>
    <t xml:space="preserve">오직 믿음으로 의롭게 하시는 그리스도의 의</t>
  </si>
  <si>
    <r>
      <rPr>
        <sz val="10"/>
        <color rgb="FF000000"/>
        <rFont val="WenQuanYi Zen Hei"/>
        <family val="2"/>
      </rPr>
      <t xml:space="preserve">이신칭의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원죄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성화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예정과 선택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성도의 견인</t>
    </r>
  </si>
  <si>
    <r>
      <rPr>
        <sz val="10"/>
        <color rgb="FF000000"/>
        <rFont val="WenQuanYi Zen Hei"/>
        <family val="2"/>
      </rPr>
      <t xml:space="preserve">고린도전서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문제 많은 교회에 보낸 편지</t>
    </r>
  </si>
  <si>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1:1~14:40</t>
    </r>
  </si>
  <si>
    <r>
      <rPr>
        <sz val="10"/>
        <color rgb="FF000000"/>
        <rFont val="WenQuanYi Zen Hei"/>
        <family val="2"/>
      </rPr>
      <t xml:space="preserve">교회 안에 다툼이 있을 때 어떻게 해야 할까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</si>
  <si>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십자가의 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부활의 첫 열매 그리스도</t>
    </r>
    <r>
      <rPr>
        <sz val="10"/>
        <color rgb="FF000000"/>
        <rFont val="Arial"/>
        <family val="0"/>
        <charset val="1"/>
      </rPr>
      <t xml:space="preserve">(15:20)</t>
    </r>
  </si>
  <si>
    <r>
      <rPr>
        <sz val="10"/>
        <color rgb="FF000000"/>
        <rFont val="WenQuanYi Zen Hei"/>
        <family val="2"/>
      </rPr>
      <t xml:space="preserve">교회의 하나 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거룩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은사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사랑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부활</t>
    </r>
  </si>
  <si>
    <r>
      <rPr>
        <sz val="10"/>
        <color rgb="FF000000"/>
        <rFont val="WenQuanYi Zen Hei"/>
        <family val="2"/>
      </rPr>
      <t xml:space="preserve">고린도후서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갈라디아서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약함과 자유</t>
    </r>
  </si>
  <si>
    <r>
      <rPr>
        <sz val="10"/>
        <color rgb="FF000000"/>
        <rFont val="WenQuanYi Zen Hei"/>
        <family val="2"/>
      </rPr>
      <t xml:space="preserve">고후 </t>
    </r>
    <r>
      <rPr>
        <sz val="10"/>
        <color rgb="FF000000"/>
        <rFont val="Arial"/>
        <family val="0"/>
        <charset val="1"/>
      </rPr>
      <t xml:space="preserve">1:1~</t>
    </r>
    <r>
      <rPr>
        <sz val="10"/>
        <color rgb="FF000000"/>
        <rFont val="WenQuanYi Zen Hei"/>
        <family val="2"/>
      </rPr>
      <t xml:space="preserve">갈 </t>
    </r>
    <r>
      <rPr>
        <sz val="10"/>
        <color rgb="FF000000"/>
        <rFont val="Arial"/>
        <family val="0"/>
        <charset val="1"/>
      </rPr>
      <t xml:space="preserve">6:18</t>
    </r>
  </si>
  <si>
    <r>
      <rPr>
        <sz val="10"/>
        <color rgb="FF000000"/>
        <rFont val="WenQuanYi Zen Hei"/>
        <family val="2"/>
      </rPr>
      <t xml:space="preserve">약하고 부족한 나도 하나님이 쓰실 수 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</si>
  <si>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질그릇 속의 보배 그리스도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나를 위해 자기를 버리신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갈 </t>
    </r>
    <r>
      <rPr>
        <sz val="10"/>
        <color rgb="FF000000"/>
        <rFont val="Arial"/>
        <family val="0"/>
        <charset val="1"/>
      </rPr>
      <t xml:space="preserve">2:20)</t>
    </r>
  </si>
  <si>
    <r>
      <rPr>
        <sz val="10"/>
        <color rgb="FF000000"/>
        <rFont val="WenQuanYi Zen Hei"/>
        <family val="2"/>
      </rPr>
      <t xml:space="preserve">위로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화목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은혜의 충분함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오직 은혜의 복음</t>
    </r>
  </si>
  <si>
    <r>
      <rPr>
        <sz val="10"/>
        <color rgb="FF000000"/>
        <rFont val="WenQuanYi Zen Hei"/>
        <family val="2"/>
      </rPr>
      <t xml:space="preserve">에베소서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빌립보서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교회와 기쁨</t>
    </r>
  </si>
  <si>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1:1~</t>
    </r>
    <r>
      <rPr>
        <sz val="10"/>
        <color rgb="FF000000"/>
        <rFont val="WenQuanYi Zen Hei"/>
        <family val="2"/>
      </rPr>
      <t xml:space="preserve">빌 </t>
    </r>
    <r>
      <rPr>
        <sz val="10"/>
        <color rgb="FF000000"/>
        <rFont val="Arial"/>
        <family val="0"/>
        <charset val="1"/>
      </rPr>
      <t xml:space="preserve">4:23</t>
    </r>
  </si>
  <si>
    <r>
      <rPr>
        <sz val="10"/>
        <color rgb="FF000000"/>
        <rFont val="WenQuanYi Zen Hei"/>
        <family val="2"/>
      </rPr>
      <t xml:space="preserve">하나님은 나를 언제부터 생각하셨을까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</si>
  <si>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창세 전에 우리를 택하신 그리스도 안의 은혜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자기를 낮추신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빌 </t>
    </r>
    <r>
      <rPr>
        <sz val="10"/>
        <color rgb="FF000000"/>
        <rFont val="Arial"/>
        <family val="0"/>
        <charset val="1"/>
      </rPr>
      <t xml:space="preserve">2)</t>
    </r>
  </si>
  <si>
    <r>
      <rPr>
        <sz val="10"/>
        <color rgb="FF000000"/>
        <rFont val="WenQuanYi Zen Hei"/>
        <family val="2"/>
      </rPr>
      <t xml:space="preserve">예정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은혜의 구원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교회의 하나 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기쁨과 자족</t>
    </r>
  </si>
  <si>
    <r>
      <rPr>
        <sz val="10"/>
        <color rgb="FF000000"/>
        <rFont val="WenQuanYi Zen Hei"/>
        <family val="2"/>
      </rPr>
      <t xml:space="preserve">골로새서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데살로니가서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그리스도와 다시 오심</t>
    </r>
  </si>
  <si>
    <r>
      <rPr>
        <sz val="10"/>
        <color rgb="FF000000"/>
        <rFont val="WenQuanYi Zen Hei"/>
        <family val="2"/>
      </rPr>
      <t xml:space="preserve">골 </t>
    </r>
    <r>
      <rPr>
        <sz val="10"/>
        <color rgb="FF000000"/>
        <rFont val="Arial"/>
        <family val="0"/>
        <charset val="1"/>
      </rPr>
      <t xml:space="preserve">1:1~</t>
    </r>
    <r>
      <rPr>
        <sz val="10"/>
        <color rgb="FF000000"/>
        <rFont val="WenQuanYi Zen Hei"/>
        <family val="2"/>
      </rPr>
      <t xml:space="preserve">살후 </t>
    </r>
    <r>
      <rPr>
        <sz val="10"/>
        <color rgb="FF000000"/>
        <rFont val="Arial"/>
        <family val="0"/>
        <charset val="1"/>
      </rPr>
      <t xml:space="preserve">3:18</t>
    </r>
  </si>
  <si>
    <r>
      <rPr>
        <sz val="10"/>
        <color rgb="FF000000"/>
        <rFont val="WenQuanYi Zen Hei"/>
        <family val="2"/>
      </rPr>
      <t xml:space="preserve">예수님은 정말 다시 오실까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</si>
  <si>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만물보다 먼저 계신 그리스도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다시 오실 주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살전 </t>
    </r>
    <r>
      <rPr>
        <sz val="10"/>
        <color rgb="FF000000"/>
        <rFont val="Arial"/>
        <family val="0"/>
        <charset val="1"/>
      </rPr>
      <t xml:space="preserve">4:16)</t>
    </r>
  </si>
  <si>
    <r>
      <rPr>
        <sz val="10"/>
        <color rgb="FF000000"/>
        <rFont val="WenQuanYi Zen Hei"/>
        <family val="2"/>
      </rPr>
      <t xml:space="preserve">그리스도의 탁월성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재림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깨어 있는 삶</t>
    </r>
  </si>
  <si>
    <r>
      <rPr>
        <sz val="10"/>
        <color rgb="FF000000"/>
        <rFont val="WenQuanYi Zen Hei"/>
        <family val="2"/>
      </rPr>
      <t xml:space="preserve">목회서신과 빌레몬서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다음 세대에게</t>
    </r>
  </si>
  <si>
    <r>
      <rPr>
        <sz val="10"/>
        <color rgb="FF000000"/>
        <rFont val="WenQuanYi Zen Hei"/>
        <family val="2"/>
      </rPr>
      <t xml:space="preserve">딤전 </t>
    </r>
    <r>
      <rPr>
        <sz val="10"/>
        <color rgb="FF000000"/>
        <rFont val="Arial"/>
        <family val="0"/>
        <charset val="1"/>
      </rPr>
      <t xml:space="preserve">1:1~</t>
    </r>
    <r>
      <rPr>
        <sz val="10"/>
        <color rgb="FF000000"/>
        <rFont val="WenQuanYi Zen Hei"/>
        <family val="2"/>
      </rPr>
      <t xml:space="preserve">몬 </t>
    </r>
    <r>
      <rPr>
        <sz val="10"/>
        <color rgb="FF000000"/>
        <rFont val="Arial"/>
        <family val="0"/>
        <charset val="1"/>
      </rPr>
      <t xml:space="preserve">1:25</t>
    </r>
  </si>
  <si>
    <r>
      <rPr>
        <sz val="10"/>
        <color rgb="FF000000"/>
        <rFont val="WenQuanYi Zen Hei"/>
        <family val="2"/>
      </rPr>
      <t xml:space="preserve">신앙의 바통을 어떻게 이어 줄 수 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</si>
  <si>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하나님과 사람 사이의 유일한 중보자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딤전 </t>
    </r>
    <r>
      <rPr>
        <sz val="10"/>
        <color rgb="FF000000"/>
        <rFont val="Arial"/>
        <family val="0"/>
        <charset val="1"/>
      </rPr>
      <t xml:space="preserve">2:5)</t>
    </r>
  </si>
  <si>
    <r>
      <rPr>
        <sz val="10"/>
        <color rgb="FF000000"/>
        <rFont val="WenQuanYi Zen Hei"/>
        <family val="2"/>
      </rPr>
      <t xml:space="preserve">건전한 교리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교회 직분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성경의 영감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용서와 화해</t>
    </r>
  </si>
  <si>
    <r>
      <rPr>
        <sz val="10"/>
        <color rgb="FF000000"/>
        <rFont val="WenQuanYi Zen Hei"/>
        <family val="2"/>
      </rPr>
      <t xml:space="preserve">히브리서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더 좋은 언약</t>
    </r>
  </si>
  <si>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1:1~13:25</t>
    </r>
  </si>
  <si>
    <r>
      <rPr>
        <sz val="10"/>
        <color rgb="FF000000"/>
        <rFont val="WenQuanYi Zen Hei"/>
        <family val="2"/>
      </rPr>
      <t xml:space="preserve">천사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아론보다 뛰어나신 대제사장 그리스도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단번에 드린 제사</t>
    </r>
  </si>
  <si>
    <r>
      <rPr>
        <sz val="10"/>
        <color rgb="FF000000"/>
        <rFont val="WenQuanYi Zen Hei"/>
        <family val="2"/>
      </rPr>
      <t xml:space="preserve">그리스도의 신성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대제사장직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새 언약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믿음</t>
    </r>
  </si>
  <si>
    <r>
      <rPr>
        <sz val="10"/>
        <color rgb="FF000000"/>
        <rFont val="WenQuanYi Zen Hei"/>
        <family val="2"/>
      </rPr>
      <t xml:space="preserve">야고보서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베드로서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살아 있는 믿음</t>
    </r>
  </si>
  <si>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1:1~</t>
    </r>
    <r>
      <rPr>
        <sz val="10"/>
        <color rgb="FF000000"/>
        <rFont val="WenQuanYi Zen Hei"/>
        <family val="2"/>
      </rPr>
      <t xml:space="preserve">벧후 </t>
    </r>
    <r>
      <rPr>
        <sz val="10"/>
        <color rgb="FF000000"/>
        <rFont val="Arial"/>
        <family val="0"/>
        <charset val="1"/>
      </rPr>
      <t xml:space="preserve">3:18</t>
    </r>
  </si>
  <si>
    <r>
      <rPr>
        <sz val="10"/>
        <color rgb="FF000000"/>
        <rFont val="WenQuanYi Zen Hei"/>
        <family val="2"/>
      </rPr>
      <t xml:space="preserve">믿는다고 말만 하고 삶은 그대로라면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</si>
  <si>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산 소망을 주신 부활의 그리스도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우리의 모범이신 고난의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벧전 </t>
    </r>
    <r>
      <rPr>
        <sz val="10"/>
        <color rgb="FF000000"/>
        <rFont val="Arial"/>
        <family val="0"/>
        <charset val="1"/>
      </rPr>
      <t xml:space="preserve">2:21)</t>
    </r>
  </si>
  <si>
    <r>
      <rPr>
        <sz val="10"/>
        <color rgb="FF000000"/>
        <rFont val="WenQuanYi Zen Hei"/>
        <family val="2"/>
      </rPr>
      <t xml:space="preserve">살아 있는 믿음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고난 중의 소망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거짓 교사 경계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재림</t>
    </r>
  </si>
  <si>
    <r>
      <rPr>
        <sz val="10"/>
        <color rgb="FF000000"/>
        <rFont val="WenQuanYi Zen Hei"/>
        <family val="2"/>
      </rPr>
      <t xml:space="preserve">요한서신과 유다서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사랑과 진리</t>
    </r>
  </si>
  <si>
    <r>
      <rPr>
        <sz val="10"/>
        <color rgb="FF000000"/>
        <rFont val="WenQuanYi Zen Hei"/>
        <family val="2"/>
      </rPr>
      <t xml:space="preserve">요일 </t>
    </r>
    <r>
      <rPr>
        <sz val="10"/>
        <color rgb="FF000000"/>
        <rFont val="Arial"/>
        <family val="0"/>
        <charset val="1"/>
      </rPr>
      <t xml:space="preserve">1:1~</t>
    </r>
    <r>
      <rPr>
        <sz val="10"/>
        <color rgb="FF000000"/>
        <rFont val="WenQuanYi Zen Hei"/>
        <family val="2"/>
      </rPr>
      <t xml:space="preserve">유 </t>
    </r>
    <r>
      <rPr>
        <sz val="10"/>
        <color rgb="FF000000"/>
        <rFont val="Arial"/>
        <family val="0"/>
        <charset val="1"/>
      </rPr>
      <t xml:space="preserve">1:25</t>
    </r>
  </si>
  <si>
    <r>
      <rPr>
        <sz val="10"/>
        <color rgb="FF000000"/>
        <rFont val="WenQuanYi Zen Hei"/>
        <family val="2"/>
      </rPr>
      <t xml:space="preserve">사랑과 진리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둘 다 지킬 수 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</si>
  <si>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육체로 오신 예수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요일 </t>
    </r>
    <r>
      <rPr>
        <sz val="10"/>
        <color rgb="FF000000"/>
        <rFont val="Arial"/>
        <family val="0"/>
        <charset val="1"/>
      </rPr>
      <t xml:space="preserve">4:2)</t>
    </r>
    <r>
      <rPr>
        <sz val="10"/>
        <color rgb="FF000000"/>
        <rFont val="WenQuanYi Zen Hei"/>
        <family val="2"/>
      </rPr>
      <t xml:space="preserve">를 시인하는 믿음</t>
    </r>
  </si>
  <si>
    <r>
      <rPr>
        <sz val="10"/>
        <color rgb="FF000000"/>
        <rFont val="WenQuanYi Zen Hei"/>
        <family val="2"/>
      </rPr>
      <t xml:space="preserve">하나님은 사랑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영 분별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구원의 확신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믿음의 도를 지킴</t>
    </r>
  </si>
  <si>
    <t xml:space="preserve">요한계시록① 승리하신 어린양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</si>
  <si>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1:1~11:19</t>
    </r>
  </si>
  <si>
    <r>
      <rPr>
        <sz val="10"/>
        <color rgb="FF000000"/>
        <rFont val="WenQuanYi Zen Hei"/>
        <family val="2"/>
      </rPr>
      <t xml:space="preserve">세상이 무섭게 느껴질 때 누가 이 세상을 다스릴까</t>
    </r>
    <r>
      <rPr>
        <sz val="10"/>
        <color rgb="FF000000"/>
        <rFont val="Arial"/>
        <family val="0"/>
        <charset val="1"/>
      </rPr>
      <t xml:space="preserve">?</t>
    </r>
  </si>
  <si>
    <t xml:space="preserve">보좌에 계신 하나님과 일찍 죽임을 당한 어린양 그리스도</t>
  </si>
  <si>
    <r>
      <rPr>
        <sz val="10"/>
        <color rgb="FF000000"/>
        <rFont val="WenQuanYi Zen Hei"/>
        <family val="2"/>
      </rPr>
      <t xml:space="preserve">그리스도의 승리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교회에 주신 말씀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주권</t>
    </r>
  </si>
  <si>
    <t xml:space="preserve">요한계시록② 새 하늘과 새 땅</t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</si>
  <si>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12:1~20:15</t>
    </r>
  </si>
  <si>
    <r>
      <rPr>
        <sz val="10"/>
        <color rgb="FF000000"/>
        <rFont val="WenQuanYi Zen Hei"/>
        <family val="2"/>
      </rPr>
      <t xml:space="preserve">이 세상의 끝은 어떻게 될까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</si>
  <si>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어린양의 혼인 잔치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백마 탄 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새 예루살렘의 등불이신 어린양</t>
    </r>
  </si>
  <si>
    <r>
      <rPr>
        <sz val="10"/>
        <color rgb="FF000000"/>
        <rFont val="WenQuanYi Zen Hei"/>
        <family val="2"/>
      </rPr>
      <t xml:space="preserve">최후 승리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심판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새 창조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재림 소망</t>
    </r>
  </si>
  <si>
    <r>
      <rPr>
        <b val="true"/>
        <sz val="10"/>
        <color rgb="FFFFFFFF"/>
        <rFont val="Arial"/>
        <family val="0"/>
        <charset val="1"/>
      </rPr>
      <t xml:space="preserve">B</t>
    </r>
    <r>
      <rPr>
        <b val="true"/>
        <sz val="10"/>
        <color rgb="FFFFFFFF"/>
        <rFont val="WenQuanYi Zen Hei"/>
        <family val="2"/>
      </rPr>
      <t xml:space="preserve">코드</t>
    </r>
  </si>
  <si>
    <t xml:space="preserve">포함 책</t>
  </si>
  <si>
    <r>
      <rPr>
        <b val="true"/>
        <sz val="10"/>
        <color rgb="FFFFFFFF"/>
        <rFont val="WenQuanYi Zen Hei"/>
        <family val="2"/>
      </rPr>
      <t xml:space="preserve">그중 시즌</t>
    </r>
    <r>
      <rPr>
        <b val="true"/>
        <sz val="10"/>
        <color rgb="FFFFFFFF"/>
        <rFont val="Arial"/>
        <family val="0"/>
        <charset val="1"/>
      </rPr>
      <t xml:space="preserve">1</t>
    </r>
  </si>
  <si>
    <r>
      <rPr>
        <b val="true"/>
        <sz val="10"/>
        <color rgb="FFFFFFFF"/>
        <rFont val="WenQuanYi Zen Hei"/>
        <family val="2"/>
      </rPr>
      <t xml:space="preserve">첫 </t>
    </r>
    <r>
      <rPr>
        <b val="true"/>
        <sz val="10"/>
        <color rgb="FFFFFFFF"/>
        <rFont val="Arial"/>
        <family val="0"/>
        <charset val="1"/>
      </rPr>
      <t xml:space="preserve">A</t>
    </r>
    <r>
      <rPr>
        <b val="true"/>
        <sz val="10"/>
        <color rgb="FFFFFFFF"/>
        <rFont val="WenQuanYi Zen Hei"/>
        <family val="2"/>
      </rPr>
      <t xml:space="preserve">코드</t>
    </r>
  </si>
  <si>
    <r>
      <rPr>
        <b val="true"/>
        <sz val="10"/>
        <color rgb="FFFFFFFF"/>
        <rFont val="WenQuanYi Zen Hei"/>
        <family val="2"/>
      </rPr>
      <t xml:space="preserve">마지막 </t>
    </r>
    <r>
      <rPr>
        <b val="true"/>
        <sz val="10"/>
        <color rgb="FFFFFFFF"/>
        <rFont val="Arial"/>
        <family val="0"/>
        <charset val="1"/>
      </rPr>
      <t xml:space="preserve">A</t>
    </r>
    <r>
      <rPr>
        <b val="true"/>
        <sz val="10"/>
        <color rgb="FFFFFFFF"/>
        <rFont val="WenQuanYi Zen Hei"/>
        <family val="2"/>
      </rPr>
      <t xml:space="preserve">코드</t>
    </r>
  </si>
  <si>
    <t xml:space="preserve">전체 주의</t>
  </si>
  <si>
    <t xml:space="preserve">모든 편 공개 완료일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</si>
  <si>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4:1~11:32</t>
    </r>
  </si>
  <si>
    <t xml:space="preserve">아브라함① 부르심과 언약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</si>
  <si>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12:1~17:27</t>
    </r>
  </si>
  <si>
    <r>
      <rPr>
        <sz val="10"/>
        <color rgb="FF000000"/>
        <rFont val="WenQuanYi Zen Hei"/>
        <family val="2"/>
      </rPr>
      <t xml:space="preserve">아브라함의 씨 → 모든 민족이 복을 받을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갈 </t>
    </r>
    <r>
      <rPr>
        <sz val="10"/>
        <color rgb="FF000000"/>
        <rFont val="Arial"/>
        <family val="0"/>
        <charset val="1"/>
      </rPr>
      <t xml:space="preserve">3:16)</t>
    </r>
  </si>
  <si>
    <r>
      <rPr>
        <sz val="10"/>
        <color rgb="FF000000"/>
        <rFont val="WenQuanYi Zen Hei"/>
        <family val="2"/>
      </rPr>
      <t xml:space="preserve">이신칭의</t>
    </r>
    <r>
      <rPr>
        <sz val="10"/>
        <color rgb="FF000000"/>
        <rFont val="Arial"/>
        <family val="0"/>
        <charset val="1"/>
      </rPr>
      <t xml:space="preserve">(15:6), </t>
    </r>
    <r>
      <rPr>
        <sz val="10"/>
        <color rgb="FF000000"/>
        <rFont val="WenQuanYi Zen Hei"/>
        <family val="2"/>
      </rPr>
      <t xml:space="preserve">언약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신실하심</t>
    </r>
  </si>
  <si>
    <t xml:space="preserve">아브라함② 시험과 약속의 아들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</si>
  <si>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18:1~23:20</t>
    </r>
  </si>
  <si>
    <r>
      <rPr>
        <sz val="10"/>
        <color rgb="FF000000"/>
        <rFont val="WenQuanYi Zen Hei"/>
        <family val="2"/>
      </rPr>
      <t xml:space="preserve">모리아 산의 숫양 → 아들을 대신 내어주신 하나님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십자가의 예표</t>
    </r>
  </si>
  <si>
    <r>
      <rPr>
        <sz val="10"/>
        <color rgb="FF000000"/>
        <rFont val="WenQuanYi Zen Hei"/>
        <family val="2"/>
      </rPr>
      <t xml:space="preserve">하나님의 주권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중보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대속의 예표</t>
    </r>
  </si>
  <si>
    <t xml:space="preserve">이삭과 리브가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</si>
  <si>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24:1~26:35</t>
    </r>
  </si>
  <si>
    <r>
      <rPr>
        <sz val="10"/>
        <color rgb="FF000000"/>
        <rFont val="WenQuanYi Zen Hei"/>
        <family val="2"/>
      </rPr>
      <t xml:space="preserve">하나님의 인도하심은 어떻게 알 수 있을까</t>
    </r>
    <r>
      <rPr>
        <sz val="10"/>
        <color rgb="FF000000"/>
        <rFont val="Arial"/>
        <family val="0"/>
        <charset val="1"/>
      </rPr>
      <t xml:space="preserve">?</t>
    </r>
  </si>
  <si>
    <t xml:space="preserve">약속의 아들 이삭 → 약속대로 오신 참 아들 그리스도</t>
  </si>
  <si>
    <r>
      <rPr>
        <sz val="10"/>
        <color rgb="FF000000"/>
        <rFont val="WenQuanYi Zen Hei"/>
        <family val="2"/>
      </rPr>
      <t xml:space="preserve">섭리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기도 응답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선택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9:10-13)</t>
    </r>
  </si>
  <si>
    <t xml:space="preserve">야곱① 축복을 훔친 사람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</si>
  <si>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27:1~31:55</t>
    </r>
  </si>
  <si>
    <r>
      <rPr>
        <sz val="10"/>
        <color rgb="FF000000"/>
        <rFont val="WenQuanYi Zen Hei"/>
        <family val="2"/>
      </rPr>
      <t xml:space="preserve">벧엘의 사다리 → 하늘과 땅을 잇는 인자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1:51)</t>
    </r>
  </si>
  <si>
    <r>
      <rPr>
        <sz val="10"/>
        <color rgb="FF000000"/>
        <rFont val="WenQuanYi Zen Hei"/>
        <family val="2"/>
      </rPr>
      <t xml:space="preserve">은혜의 선택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동행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죄의 결과</t>
    </r>
  </si>
  <si>
    <t xml:space="preserve">야곱② 이스라엘이 되다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</si>
  <si>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32:1~36:43</t>
    </r>
  </si>
  <si>
    <r>
      <rPr>
        <sz val="10"/>
        <color rgb="FF000000"/>
        <rFont val="WenQuanYi Zen Hei"/>
        <family val="2"/>
      </rPr>
      <t xml:space="preserve">두려운 사람을 다시 만나야 할 때 어떻게 할까</t>
    </r>
    <r>
      <rPr>
        <sz val="10"/>
        <color rgb="FF000000"/>
        <rFont val="Arial"/>
        <family val="0"/>
        <charset val="1"/>
      </rPr>
      <t xml:space="preserve">?</t>
    </r>
  </si>
  <si>
    <t xml:space="preserve">씨름 끝에 받은 새 이름 → 그리스도 안에서 새 사람</t>
  </si>
  <si>
    <r>
      <rPr>
        <sz val="10"/>
        <color rgb="FF000000"/>
        <rFont val="WenQuanYi Zen Hei"/>
        <family val="2"/>
      </rPr>
      <t xml:space="preserve">기도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화해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회개와 새 출발</t>
    </r>
  </si>
  <si>
    <t xml:space="preserve">요셉① 구덩이에서 왕궁으로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</si>
  <si>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37:1~41:57</t>
    </r>
  </si>
  <si>
    <t xml:space="preserve">버림받았다가 높여져 세상을 살린 요셉 → 그리스도의 예표</t>
  </si>
  <si>
    <r>
      <rPr>
        <sz val="10"/>
        <color rgb="FF000000"/>
        <rFont val="WenQuanYi Zen Hei"/>
        <family val="2"/>
      </rPr>
      <t xml:space="preserve">섭리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고난 중의 신실함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동행</t>
    </r>
  </si>
  <si>
    <t xml:space="preserve">요셉② 용서와 화해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</si>
  <si>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42:1~50:26</t>
    </r>
  </si>
  <si>
    <t xml:space="preserve">대신 종이 되겠다는 유다 → 우리 대신 죗값을 치르신 그리스도</t>
  </si>
  <si>
    <r>
      <rPr>
        <sz val="10"/>
        <color rgb="FF000000"/>
        <rFont val="WenQuanYi Zen Hei"/>
        <family val="2"/>
      </rPr>
      <t xml:space="preserve">용서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섭리</t>
    </r>
    <r>
      <rPr>
        <sz val="10"/>
        <color rgb="FF000000"/>
        <rFont val="Arial"/>
        <family val="0"/>
        <charset val="1"/>
      </rPr>
      <t xml:space="preserve">(50:20), </t>
    </r>
    <r>
      <rPr>
        <sz val="10"/>
        <color rgb="FF000000"/>
        <rFont val="WenQuanYi Zen Hei"/>
        <family val="2"/>
      </rPr>
      <t xml:space="preserve">메시아 약속</t>
    </r>
    <r>
      <rPr>
        <sz val="10"/>
        <color rgb="FF000000"/>
        <rFont val="Arial"/>
        <family val="0"/>
        <charset val="1"/>
      </rPr>
      <t xml:space="preserve">(49:10)</t>
    </r>
  </si>
  <si>
    <t xml:space="preserve">모세의 탄생과 부르심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</si>
  <si>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1:1~6:30</t>
    </r>
  </si>
  <si>
    <r>
      <rPr>
        <sz val="10"/>
        <color rgb="FF000000"/>
        <rFont val="WenQuanYi Zen Hei"/>
        <family val="2"/>
      </rPr>
      <t xml:space="preserve">모세 → 백성을 구원하는 더 큰 선지자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18:15, 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3)</t>
    </r>
  </si>
  <si>
    <r>
      <rPr>
        <sz val="10"/>
        <color rgb="FF000000"/>
        <rFont val="WenQuanYi Zen Hei"/>
        <family val="2"/>
      </rPr>
      <t xml:space="preserve">여호와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스스로 있는 자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언약을 기억하시는 하나님</t>
    </r>
  </si>
  <si>
    <t xml:space="preserve">열 가지 재앙과 유월절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</si>
  <si>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7:1~13:22</t>
    </r>
  </si>
  <si>
    <r>
      <rPr>
        <sz val="10"/>
        <color rgb="FF000000"/>
        <rFont val="WenQuanYi Zen Hei"/>
        <family val="2"/>
      </rPr>
      <t xml:space="preserve">유월절 어린양의 피 → 우리의 유월절 양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5:7)</t>
    </r>
  </si>
  <si>
    <r>
      <rPr>
        <sz val="10"/>
        <color rgb="FF000000"/>
        <rFont val="WenQuanYi Zen Hei"/>
        <family val="2"/>
      </rPr>
      <t xml:space="preserve">하나님의 주권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심판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대속의 피</t>
    </r>
  </si>
  <si>
    <t xml:space="preserve">홍해와 광야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</si>
  <si>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14:1~18:27</t>
    </r>
  </si>
  <si>
    <r>
      <rPr>
        <sz val="10"/>
        <color rgb="FF000000"/>
        <rFont val="WenQuanYi Zen Hei"/>
        <family val="2"/>
      </rPr>
      <t xml:space="preserve">하늘의 만나와 반석의 물 → 생명의 떡이요 생수이신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6, 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10:4)</t>
    </r>
  </si>
  <si>
    <r>
      <rPr>
        <sz val="10"/>
        <color rgb="FF000000"/>
        <rFont val="WenQuanYi Zen Hei"/>
        <family val="2"/>
      </rPr>
      <t xml:space="preserve">구원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공급하시는 하나님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원망과 믿음</t>
    </r>
  </si>
  <si>
    <t xml:space="preserve">시내산 언약과 성막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</si>
  <si>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19:1~31:18</t>
    </r>
  </si>
  <si>
    <r>
      <rPr>
        <sz val="10"/>
        <color rgb="FF000000"/>
        <rFont val="WenQuanYi Zen Hei"/>
        <family val="2"/>
      </rPr>
      <t xml:space="preserve">율법의 완성자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5:17), </t>
    </r>
    <r>
      <rPr>
        <sz val="10"/>
        <color rgb="FF000000"/>
        <rFont val="WenQuanYi Zen Hei"/>
        <family val="2"/>
      </rPr>
      <t xml:space="preserve">성막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우리 가운데 거하신 말씀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1:14)</t>
    </r>
  </si>
  <si>
    <r>
      <rPr>
        <sz val="10"/>
        <color rgb="FF000000"/>
        <rFont val="WenQuanYi Zen Hei"/>
        <family val="2"/>
      </rPr>
      <t xml:space="preserve">율법은 구원받은 백성의 삶의 규칙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임재</t>
    </r>
  </si>
  <si>
    <t xml:space="preserve">금송아지와 성막 완성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</si>
  <si>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32:1~40:38</t>
    </r>
  </si>
  <si>
    <r>
      <rPr>
        <sz val="10"/>
        <color rgb="FF000000"/>
        <rFont val="WenQuanYi Zen Hei"/>
        <family val="2"/>
      </rPr>
      <t xml:space="preserve">하나님을 실망시킨 뒤에도 다시 시작할 수 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</si>
  <si>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중보자 모세 → 우리를 위해 간구하시는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7:25)</t>
    </r>
  </si>
  <si>
    <r>
      <rPr>
        <sz val="10"/>
        <color rgb="FF000000"/>
        <rFont val="WenQuanYi Zen Hei"/>
        <family val="2"/>
      </rPr>
      <t xml:space="preserve">우상숭배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중보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회복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영광</t>
    </r>
  </si>
  <si>
    <t xml:space="preserve">광야로 출발한 군대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</si>
  <si>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1:1~14:45</t>
    </r>
  </si>
  <si>
    <r>
      <rPr>
        <sz val="10"/>
        <color rgb="FF000000"/>
        <rFont val="WenQuanYi Zen Hei"/>
        <family val="2"/>
      </rPr>
      <t xml:space="preserve">광야의 구름 기둥 → 우리를 인도하시는 성령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놋뱀 → 십자가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3:14)</t>
    </r>
  </si>
  <si>
    <r>
      <rPr>
        <sz val="10"/>
        <color rgb="FF000000"/>
        <rFont val="WenQuanYi Zen Hei"/>
        <family val="2"/>
      </rPr>
      <t xml:space="preserve">인도하심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불신앙의 결과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남은 자의 믿음</t>
    </r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</si>
  <si>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15:1~36:13</t>
    </r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</si>
  <si>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1:1~34:12</t>
    </r>
  </si>
  <si>
    <t xml:space="preserve">요단을 건너 여리고로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</si>
  <si>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1:1~8:35</t>
    </r>
  </si>
  <si>
    <r>
      <rPr>
        <sz val="10"/>
        <color rgb="FF000000"/>
        <rFont val="WenQuanYi Zen Hei"/>
        <family val="2"/>
      </rPr>
      <t xml:space="preserve">여호수아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예수와 같은 이름</t>
    </r>
    <r>
      <rPr>
        <sz val="10"/>
        <color rgb="FF000000"/>
        <rFont val="Arial"/>
        <family val="0"/>
        <charset val="1"/>
      </rPr>
      <t xml:space="preserve">) → </t>
    </r>
    <r>
      <rPr>
        <sz val="10"/>
        <color rgb="FF000000"/>
        <rFont val="WenQuanYi Zen Hei"/>
        <family val="2"/>
      </rPr>
      <t xml:space="preserve">참 안식으로 이끄시는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4:8), </t>
    </r>
    <r>
      <rPr>
        <sz val="10"/>
        <color rgb="FF000000"/>
        <rFont val="WenQuanYi Zen Hei"/>
        <family val="2"/>
      </rPr>
      <t xml:space="preserve">라합의 붉은 줄 → 보혈</t>
    </r>
  </si>
  <si>
    <r>
      <rPr>
        <sz val="10"/>
        <color rgb="FF000000"/>
        <rFont val="WenQuanYi Zen Hei"/>
        <family val="2"/>
      </rPr>
      <t xml:space="preserve">하나님의 임재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약속 성취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은혜로 구원받은 이방인</t>
    </r>
  </si>
  <si>
    <t xml:space="preserve">약속의 땅을 나누다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</si>
  <si>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9:1~24:33</t>
    </r>
  </si>
  <si>
    <r>
      <rPr>
        <sz val="10"/>
        <color rgb="FF000000"/>
        <rFont val="WenQuanYi Zen Hei"/>
        <family val="2"/>
      </rPr>
      <t xml:space="preserve">하나님의 약속 성취</t>
    </r>
    <r>
      <rPr>
        <sz val="10"/>
        <color rgb="FF000000"/>
        <rFont val="Arial"/>
        <family val="0"/>
        <charset val="1"/>
      </rPr>
      <t xml:space="preserve">(21:45) → </t>
    </r>
    <r>
      <rPr>
        <sz val="10"/>
        <color rgb="FF000000"/>
        <rFont val="WenQuanYi Zen Hei"/>
        <family val="2"/>
      </rPr>
      <t xml:space="preserve">모든 약속의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예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가 되신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고후 </t>
    </r>
    <r>
      <rPr>
        <sz val="10"/>
        <color rgb="FF000000"/>
        <rFont val="Arial"/>
        <family val="0"/>
        <charset val="1"/>
      </rPr>
      <t xml:space="preserve">1:20)</t>
    </r>
  </si>
  <si>
    <r>
      <rPr>
        <sz val="10"/>
        <color rgb="FF000000"/>
        <rFont val="WenQuanYi Zen Hei"/>
        <family val="2"/>
      </rPr>
      <t xml:space="preserve">하나님께 묻는 삶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약속 성취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언약 갱신</t>
    </r>
  </si>
  <si>
    <t xml:space="preserve">사사들의 시대①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</si>
  <si>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1:1~8:35</t>
    </r>
  </si>
  <si>
    <t xml:space="preserve">연약한 구원자들 → 완전한 구원자 그리스도</t>
  </si>
  <si>
    <r>
      <rPr>
        <sz val="10"/>
        <color rgb="FF000000"/>
        <rFont val="WenQuanYi Zen Hei"/>
        <family val="2"/>
      </rPr>
      <t xml:space="preserve">죄와 은혜의 반복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하나님이 세우시는 구원자</t>
    </r>
  </si>
  <si>
    <t xml:space="preserve">사사들의 시대②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</si>
  <si>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9:1~21:25</t>
    </r>
  </si>
  <si>
    <r>
      <rPr>
        <sz val="10"/>
        <color rgb="FF000000"/>
        <rFont val="WenQuanYi Zen Hei"/>
        <family val="2"/>
      </rPr>
      <t xml:space="preserve">모두가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내 생각엔 이게 옳아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라고 할 때</t>
    </r>
  </si>
  <si>
    <t xml:space="preserve">나실인 삼손의 죽음으로 이룬 승리 → 죽음으로 승리하신 그리스도</t>
  </si>
  <si>
    <r>
      <rPr>
        <sz val="10"/>
        <color rgb="FF000000"/>
        <rFont val="WenQuanYi Zen Hei"/>
        <family val="2"/>
      </rPr>
      <t xml:space="preserve">왕이 없는 시대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왕 되심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인간 구원자의 한계</t>
    </r>
  </si>
  <si>
    <r>
      <rPr>
        <sz val="10"/>
        <color rgb="FF000000"/>
        <rFont val="WenQuanYi Zen Hei"/>
        <family val="2"/>
      </rPr>
      <t xml:space="preserve">룻과 한나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왕을 기다리는 사람들</t>
    </r>
  </si>
  <si>
    <r>
      <rPr>
        <sz val="10"/>
        <color rgb="FF000000"/>
        <rFont val="WenQuanYi Zen Hei"/>
        <family val="2"/>
      </rPr>
      <t xml:space="preserve">룻기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사무엘상</t>
    </r>
  </si>
  <si>
    <r>
      <rPr>
        <sz val="10"/>
        <color rgb="FF000000"/>
        <rFont val="WenQuanYi Zen Hei"/>
        <family val="2"/>
      </rPr>
      <t xml:space="preserve">룻 </t>
    </r>
    <r>
      <rPr>
        <sz val="10"/>
        <color rgb="FF000000"/>
        <rFont val="Arial"/>
        <family val="0"/>
        <charset val="1"/>
      </rPr>
      <t xml:space="preserve">1:1~</t>
    </r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3:21</t>
    </r>
  </si>
  <si>
    <t xml:space="preserve">기업 무를 자 보아스 → 우리를 값 주고 사신 그리스도</t>
  </si>
  <si>
    <r>
      <rPr>
        <sz val="10"/>
        <color rgb="FF000000"/>
        <rFont val="WenQuanYi Zen Hei"/>
        <family val="2"/>
      </rPr>
      <t xml:space="preserve">섭리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이방인을 향한 은혜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기도 응답</t>
    </r>
  </si>
  <si>
    <t xml:space="preserve">왕을 원한 백성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</si>
  <si>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4:1~15:35</t>
    </r>
  </si>
  <si>
    <r>
      <rPr>
        <sz val="10"/>
        <color rgb="FF000000"/>
        <rFont val="WenQuanYi Zen Hei"/>
        <family val="2"/>
      </rPr>
      <t xml:space="preserve">남들처럼 되고 싶은 마음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잘못일까</t>
    </r>
    <r>
      <rPr>
        <sz val="10"/>
        <color rgb="FF000000"/>
        <rFont val="Arial"/>
        <family val="0"/>
        <charset val="1"/>
      </rPr>
      <t xml:space="preserve">?</t>
    </r>
  </si>
  <si>
    <t xml:space="preserve">사람이 원한 왕 사울 → 하나님이 세우신 참 왕 그리스도</t>
  </si>
  <si>
    <r>
      <rPr>
        <sz val="10"/>
        <color rgb="FF000000"/>
        <rFont val="WenQuanYi Zen Hei"/>
        <family val="2"/>
      </rPr>
      <t xml:space="preserve">하나님의 왕 되심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순종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에벤에셀</t>
    </r>
  </si>
  <si>
    <t xml:space="preserve">목동 다윗과 사울 왕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</si>
  <si>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16:1~24:22</t>
    </r>
  </si>
  <si>
    <t xml:space="preserve">기름부음 받은 목자 다윗 → 참 목자요 왕이신 그리스도</t>
  </si>
  <si>
    <r>
      <rPr>
        <sz val="10"/>
        <color rgb="FF000000"/>
        <rFont val="WenQuanYi Zen Hei"/>
        <family val="2"/>
      </rPr>
      <t xml:space="preserve">중심을 보시는 하나님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믿음의 용기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기다림</t>
    </r>
  </si>
  <si>
    <t xml:space="preserve">광야에서 왕좌로</t>
  </si>
  <si>
    <r>
      <rPr>
        <sz val="10"/>
        <color rgb="FF000000"/>
        <rFont val="WenQuanYi Zen Hei"/>
        <family val="2"/>
      </rPr>
      <t xml:space="preserve">사무엘상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사무엘하</t>
    </r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</si>
  <si>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25:1~</t>
    </r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2:11</t>
    </r>
  </si>
  <si>
    <t xml:space="preserve">내 힘으로 해결하고 싶은 유혹이 올 때</t>
  </si>
  <si>
    <r>
      <rPr>
        <sz val="10"/>
        <color rgb="FF000000"/>
        <rFont val="WenQuanYi Zen Hei"/>
        <family val="2"/>
      </rPr>
      <t xml:space="preserve">기다림 끝에 왕이 된 다윗 → 하나님의 때에 높아지신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빌 </t>
    </r>
    <r>
      <rPr>
        <sz val="10"/>
        <color rgb="FF000000"/>
        <rFont val="Arial"/>
        <family val="0"/>
        <charset val="1"/>
      </rPr>
      <t xml:space="preserve">2:9)</t>
    </r>
  </si>
  <si>
    <r>
      <rPr>
        <sz val="10"/>
        <color rgb="FF000000"/>
        <rFont val="WenQuanYi Zen Hei"/>
        <family val="2"/>
      </rPr>
      <t xml:space="preserve">하나님의 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복수하지 않음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 안에서 힘을 얻음</t>
    </r>
  </si>
  <si>
    <t xml:space="preserve">다윗 왕국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</si>
  <si>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2:12~10:19</t>
    </r>
  </si>
  <si>
    <r>
      <rPr>
        <sz val="10"/>
        <color rgb="FF000000"/>
        <rFont val="WenQuanYi Zen Hei"/>
        <family val="2"/>
      </rPr>
      <t xml:space="preserve">다윗 언약</t>
    </r>
    <r>
      <rPr>
        <sz val="10"/>
        <color rgb="FF000000"/>
        <rFont val="Arial"/>
        <family val="0"/>
        <charset val="1"/>
      </rPr>
      <t xml:space="preserve">(7:16) → </t>
    </r>
    <r>
      <rPr>
        <sz val="10"/>
        <color rgb="FF000000"/>
        <rFont val="WenQuanYi Zen Hei"/>
        <family val="2"/>
      </rPr>
      <t xml:space="preserve">영원한 다윗의 자손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1:32-33)</t>
    </r>
  </si>
  <si>
    <r>
      <rPr>
        <sz val="10"/>
        <color rgb="FF000000"/>
        <rFont val="WenQuanYi Zen Hei"/>
        <family val="2"/>
      </rPr>
      <t xml:space="preserve">언약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예배의 기쁨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은혜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므비보셋</t>
    </r>
    <r>
      <rPr>
        <sz val="10"/>
        <color rgb="FF000000"/>
        <rFont val="Arial"/>
        <family val="0"/>
        <charset val="1"/>
      </rPr>
      <t xml:space="preserve">)</t>
    </r>
  </si>
  <si>
    <t xml:space="preserve">다윗의 죄와 회복</t>
  </si>
  <si>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11:1~24:25</t>
    </r>
  </si>
  <si>
    <r>
      <rPr>
        <sz val="10"/>
        <color rgb="FF000000"/>
        <rFont val="WenQuanYi Zen Hei"/>
        <family val="2"/>
      </rPr>
      <t xml:space="preserve">죄인을 용서하시는 하나님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51) → </t>
    </r>
    <r>
      <rPr>
        <sz val="10"/>
        <color rgb="FF000000"/>
        <rFont val="WenQuanYi Zen Hei"/>
        <family val="2"/>
      </rPr>
      <t xml:space="preserve">십자가의 용서</t>
    </r>
  </si>
  <si>
    <r>
      <rPr>
        <sz val="10"/>
        <color rgb="FF000000"/>
        <rFont val="WenQuanYi Zen Hei"/>
        <family val="2"/>
      </rPr>
      <t xml:space="preserve">죄의 결과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회개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용서받은 자의 고난</t>
    </r>
  </si>
  <si>
    <t xml:space="preserve">지혜의 왕 솔로몬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</si>
  <si>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1:1~11:43</t>
    </r>
  </si>
  <si>
    <r>
      <rPr>
        <sz val="10"/>
        <color rgb="FF000000"/>
        <rFont val="WenQuanYi Zen Hei"/>
        <family val="2"/>
      </rPr>
      <t xml:space="preserve">솔로몬보다 더 큰 이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12:42) </t>
    </r>
    <r>
      <rPr>
        <sz val="10"/>
        <color rgb="FF000000"/>
        <rFont val="WenQuanYi Zen Hei"/>
        <family val="2"/>
      </rPr>
      <t xml:space="preserve">그리스도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성전 → 참 성전이신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2:21)</t>
    </r>
  </si>
  <si>
    <r>
      <rPr>
        <sz val="10"/>
        <color rgb="FF000000"/>
        <rFont val="WenQuanYi Zen Hei"/>
        <family val="2"/>
      </rPr>
      <t xml:space="preserve">지혜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성전과 임재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마음을 지키지 못한 실패</t>
    </r>
  </si>
  <si>
    <t xml:space="preserve">나뉜 왕국과 갈멜산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</si>
  <si>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12:1~18:40</t>
    </r>
  </si>
  <si>
    <r>
      <rPr>
        <sz val="10"/>
        <color rgb="FF000000"/>
        <rFont val="WenQuanYi Zen Hei"/>
        <family val="2"/>
      </rPr>
      <t xml:space="preserve">엘리야 → 길을 예비한 세례 요한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11:14), </t>
    </r>
    <r>
      <rPr>
        <sz val="10"/>
        <color rgb="FF000000"/>
        <rFont val="WenQuanYi Zen Hei"/>
        <family val="2"/>
      </rPr>
      <t xml:space="preserve">참 하나님의 불</t>
    </r>
  </si>
  <si>
    <r>
      <rPr>
        <sz val="10"/>
        <color rgb="FF000000"/>
        <rFont val="WenQuanYi Zen Hei"/>
        <family val="2"/>
      </rPr>
      <t xml:space="preserve">우상숭배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참 선지자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공급</t>
    </r>
  </si>
  <si>
    <t xml:space="preserve">엘리야에서 엘리사로</t>
  </si>
  <si>
    <r>
      <rPr>
        <sz val="10"/>
        <color rgb="FF000000"/>
        <rFont val="WenQuanYi Zen Hei"/>
        <family val="2"/>
      </rPr>
      <t xml:space="preserve">열왕기상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열왕기하</t>
    </r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</si>
  <si>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18:41~</t>
    </r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2:25</t>
    </r>
  </si>
  <si>
    <r>
      <rPr>
        <sz val="10"/>
        <color rgb="FF000000"/>
        <rFont val="WenQuanYi Zen Hei"/>
        <family val="2"/>
      </rPr>
      <t xml:space="preserve">불병거로 올라간 엘리야 → 승천하신 그리스도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갑절의 영감 → 성령</t>
    </r>
  </si>
  <si>
    <r>
      <rPr>
        <sz val="10"/>
        <color rgb="FF000000"/>
        <rFont val="WenQuanYi Zen Hei"/>
        <family val="2"/>
      </rPr>
      <t xml:space="preserve">하나님의 위로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세미한 소리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사명의 계승</t>
    </r>
  </si>
  <si>
    <t xml:space="preserve">엘리사의 기적들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</si>
  <si>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3:1~8:29</t>
    </r>
  </si>
  <si>
    <r>
      <rPr>
        <sz val="10"/>
        <color rgb="FF000000"/>
        <rFont val="WenQuanYi Zen Hei"/>
        <family val="2"/>
      </rPr>
      <t xml:space="preserve">떡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개로 백 명을 먹인 기적 → 오병이어의 그리스도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나아만 → 은혜로 받는 치유</t>
    </r>
  </si>
  <si>
    <r>
      <rPr>
        <sz val="10"/>
        <color rgb="FF000000"/>
        <rFont val="WenQuanYi Zen Hei"/>
        <family val="2"/>
      </rPr>
      <t xml:space="preserve">은혜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돌보심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보이지 않는 하나님의 군대</t>
    </r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</si>
  <si>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9:1~17:41</t>
    </r>
  </si>
  <si>
    <r>
      <rPr>
        <sz val="10"/>
        <color rgb="FF000000"/>
        <rFont val="WenQuanYi Zen Hei"/>
        <family val="2"/>
      </rPr>
      <t xml:space="preserve">멸망 중에도 끊어지지 않는 다윗의 등불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8:19) → </t>
    </r>
    <r>
      <rPr>
        <sz val="10"/>
        <color rgb="FF000000"/>
        <rFont val="WenQuanYi Zen Hei"/>
        <family val="2"/>
      </rPr>
      <t xml:space="preserve">다윗의 자손 그리스도</t>
    </r>
  </si>
  <si>
    <r>
      <rPr>
        <sz val="10"/>
        <color rgb="FF000000"/>
        <rFont val="WenQuanYi Zen Hei"/>
        <family val="2"/>
      </rPr>
      <t xml:space="preserve">하나님의 인내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심판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개혁의 한계</t>
    </r>
  </si>
  <si>
    <t xml:space="preserve">남유다의 마지막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</si>
  <si>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18:1~25:30</t>
    </r>
  </si>
  <si>
    <r>
      <rPr>
        <sz val="10"/>
        <color rgb="FF000000"/>
        <rFont val="WenQuanYi Zen Hei"/>
        <family val="2"/>
      </rPr>
      <t xml:space="preserve">모든 게 무너져도 소망이 남아 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</si>
  <si>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포로 중 석방된 다윗의 자손</t>
    </r>
    <r>
      <rPr>
        <sz val="10"/>
        <color rgb="FF000000"/>
        <rFont val="Arial"/>
        <family val="0"/>
        <charset val="1"/>
      </rPr>
      <t xml:space="preserve">(25:27-30) → </t>
    </r>
    <r>
      <rPr>
        <sz val="10"/>
        <color rgb="FF000000"/>
        <rFont val="WenQuanYi Zen Hei"/>
        <family val="2"/>
      </rPr>
      <t xml:space="preserve">다윗의 왕위를 이으실 그리스도</t>
    </r>
  </si>
  <si>
    <r>
      <rPr>
        <sz val="10"/>
        <color rgb="FF000000"/>
        <rFont val="WenQuanYi Zen Hei"/>
        <family val="2"/>
      </rPr>
      <t xml:space="preserve">기도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말씀 회복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심판과 남은 소망</t>
    </r>
  </si>
  <si>
    <t xml:space="preserve">역대기② 돌아오는 자를 받으시는 하나님</t>
  </si>
  <si>
    <r>
      <rPr>
        <sz val="10"/>
        <color rgb="FF000000"/>
        <rFont val="WenQuanYi Zen Hei"/>
        <family val="2"/>
      </rPr>
      <t xml:space="preserve">대하 </t>
    </r>
    <r>
      <rPr>
        <sz val="10"/>
        <color rgb="FF000000"/>
        <rFont val="Arial"/>
        <family val="0"/>
        <charset val="1"/>
      </rPr>
      <t xml:space="preserve">1:1~36:23</t>
    </r>
  </si>
  <si>
    <r>
      <rPr>
        <sz val="10"/>
        <color rgb="FF000000"/>
        <rFont val="WenQuanYi Zen Hei"/>
        <family val="2"/>
      </rPr>
      <t xml:space="preserve">성전에 임한 영광 → 우리 안에 거하시는 성령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고레스 칙령 → 포로에서의 해방</t>
    </r>
  </si>
  <si>
    <r>
      <rPr>
        <sz val="10"/>
        <color rgb="FF000000"/>
        <rFont val="WenQuanYi Zen Hei"/>
        <family val="2"/>
      </rPr>
      <t xml:space="preserve">회개와 회복</t>
    </r>
    <r>
      <rPr>
        <sz val="10"/>
        <color rgb="FF000000"/>
        <rFont val="Arial"/>
        <family val="0"/>
        <charset val="1"/>
      </rPr>
      <t xml:space="preserve">(7:14), </t>
    </r>
    <r>
      <rPr>
        <sz val="10"/>
        <color rgb="FF000000"/>
        <rFont val="WenQuanYi Zen Hei"/>
        <family val="2"/>
      </rPr>
      <t xml:space="preserve">겸손한 기도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신실하심</t>
    </r>
  </si>
  <si>
    <t xml:space="preserve">돌아온 백성과 성전</t>
  </si>
  <si>
    <r>
      <rPr>
        <sz val="10"/>
        <color rgb="FF000000"/>
        <rFont val="WenQuanYi Zen Hei"/>
        <family val="2"/>
      </rPr>
      <t xml:space="preserve">스 </t>
    </r>
    <r>
      <rPr>
        <sz val="10"/>
        <color rgb="FF000000"/>
        <rFont val="Arial"/>
        <family val="0"/>
        <charset val="1"/>
      </rPr>
      <t xml:space="preserve">1:1~10:44</t>
    </r>
  </si>
  <si>
    <r>
      <rPr>
        <sz val="10"/>
        <color rgb="FF000000"/>
        <rFont val="WenQuanYi Zen Hei"/>
        <family val="2"/>
      </rPr>
      <t xml:space="preserve">무너진 것을 다시 세울 때 무엇부터 해야 할까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</si>
  <si>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다시 세운 성전 → 참 성전이신 그리스도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말씀을 가르친 에스라</t>
    </r>
  </si>
  <si>
    <r>
      <rPr>
        <sz val="10"/>
        <color rgb="FF000000"/>
        <rFont val="WenQuanYi Zen Hei"/>
        <family val="2"/>
      </rPr>
      <t xml:space="preserve">말씀 중심 회복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주권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이방 왕도 사용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회개</t>
    </r>
  </si>
  <si>
    <t xml:space="preserve">성벽을 다시 세우다</t>
  </si>
  <si>
    <r>
      <rPr>
        <sz val="10"/>
        <color rgb="FF000000"/>
        <rFont val="WenQuanYi Zen Hei"/>
        <family val="2"/>
      </rPr>
      <t xml:space="preserve">느 </t>
    </r>
    <r>
      <rPr>
        <sz val="10"/>
        <color rgb="FF000000"/>
        <rFont val="Arial"/>
        <family val="0"/>
        <charset val="1"/>
      </rPr>
      <t xml:space="preserve">1:1~13:31</t>
    </r>
  </si>
  <si>
    <t xml:space="preserve">무너진 성벽을 세운 느헤미야 → 무너진 우리를 다시 세우시는 그리스도</t>
  </si>
  <si>
    <r>
      <rPr>
        <sz val="10"/>
        <color rgb="FF000000"/>
        <rFont val="WenQuanYi Zen Hei"/>
        <family val="2"/>
      </rPr>
      <t xml:space="preserve">기도와 실행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공동체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말씀의 기쁨</t>
    </r>
  </si>
  <si>
    <t xml:space="preserve">왕비 에스더</t>
  </si>
  <si>
    <r>
      <rPr>
        <sz val="10"/>
        <color rgb="FF000000"/>
        <rFont val="WenQuanYi Zen Hei"/>
        <family val="2"/>
      </rPr>
      <t xml:space="preserve">에 </t>
    </r>
    <r>
      <rPr>
        <sz val="10"/>
        <color rgb="FF000000"/>
        <rFont val="Arial"/>
        <family val="0"/>
        <charset val="1"/>
      </rPr>
      <t xml:space="preserve">1:1~10:3</t>
    </r>
  </si>
  <si>
    <t xml:space="preserve">죽으면 죽으리라 나선 중보자 → 우리를 위해 죽으신 중보자 그리스도</t>
  </si>
  <si>
    <r>
      <rPr>
        <sz val="10"/>
        <color rgb="FF000000"/>
        <rFont val="WenQuanYi Zen Hei"/>
        <family val="2"/>
      </rPr>
      <t xml:space="preserve">보이지 않는 섭리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용기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구원</t>
    </r>
  </si>
  <si>
    <r>
      <rPr>
        <sz val="10"/>
        <color rgb="FF000000"/>
        <rFont val="WenQuanYi Zen Hei"/>
        <family val="2"/>
      </rPr>
      <t xml:space="preserve">욥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고난 속의 하나님</t>
    </r>
  </si>
  <si>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1:1~42:17</t>
    </r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</si>
  <si>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나의 대속자가 살아 계시니</t>
    </r>
    <r>
      <rPr>
        <sz val="10"/>
        <color rgb="FF000000"/>
        <rFont val="Arial"/>
        <family val="0"/>
        <charset val="1"/>
      </rPr>
      <t xml:space="preserve">"(19:25) → </t>
    </r>
    <r>
      <rPr>
        <sz val="10"/>
        <color rgb="FF000000"/>
        <rFont val="WenQuanYi Zen Hei"/>
        <family val="2"/>
      </rPr>
      <t xml:space="preserve">부활하신 구속자 그리스도</t>
    </r>
  </si>
  <si>
    <r>
      <rPr>
        <sz val="10"/>
        <color rgb="FF000000"/>
        <rFont val="WenQuanYi Zen Hei"/>
        <family val="2"/>
      </rPr>
      <t xml:space="preserve">하나님의 주권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고난의 신비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인과응보 신앙의 한계</t>
    </r>
  </si>
  <si>
    <r>
      <rPr>
        <sz val="10"/>
        <color rgb="FF000000"/>
        <rFont val="WenQuanYi Zen Hei"/>
        <family val="2"/>
      </rPr>
      <t xml:space="preserve">시편① 노래하는 기도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제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권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</si>
  <si>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1~32</t>
    </r>
    <r>
      <rPr>
        <sz val="10"/>
        <color rgb="FF000000"/>
        <rFont val="WenQuanYi Zen Hei"/>
        <family val="2"/>
      </rPr>
      <t xml:space="preserve">편</t>
    </r>
  </si>
  <si>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편의 아들</t>
    </r>
    <r>
      <rPr>
        <sz val="10"/>
        <color rgb="FF000000"/>
        <rFont val="Arial"/>
        <family val="0"/>
        <charset val="1"/>
      </rPr>
      <t xml:space="preserve">, 22</t>
    </r>
    <r>
      <rPr>
        <sz val="10"/>
        <color rgb="FF000000"/>
        <rFont val="WenQuanYi Zen Hei"/>
        <family val="2"/>
      </rPr>
      <t xml:space="preserve">편의 십자가</t>
    </r>
    <r>
      <rPr>
        <sz val="10"/>
        <color rgb="FF000000"/>
        <rFont val="Arial"/>
        <family val="0"/>
        <charset val="1"/>
      </rPr>
      <t xml:space="preserve">, 23</t>
    </r>
    <r>
      <rPr>
        <sz val="10"/>
        <color rgb="FF000000"/>
        <rFont val="WenQuanYi Zen Hei"/>
        <family val="2"/>
      </rPr>
      <t xml:space="preserve">편의 목자 → 그리스도</t>
    </r>
  </si>
  <si>
    <r>
      <rPr>
        <sz val="10"/>
        <color rgb="FF000000"/>
        <rFont val="WenQuanYi Zen Hei"/>
        <family val="2"/>
      </rPr>
      <t xml:space="preserve">말씀 묵상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메시아 예언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목자 되심</t>
    </r>
  </si>
  <si>
    <r>
      <rPr>
        <sz val="10"/>
        <color rgb="FF000000"/>
        <rFont val="WenQuanYi Zen Hei"/>
        <family val="2"/>
      </rPr>
      <t xml:space="preserve">시편④ 올라가는 노래와 할렐루야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제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권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</si>
  <si>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시편 </t>
    </r>
    <r>
      <rPr>
        <sz val="10"/>
        <color rgb="FF000000"/>
        <rFont val="Arial"/>
        <family val="0"/>
        <charset val="1"/>
      </rPr>
      <t xml:space="preserve">110~150</t>
    </r>
    <r>
      <rPr>
        <sz val="10"/>
        <color rgb="FF000000"/>
        <rFont val="WenQuanYi Zen Hei"/>
        <family val="2"/>
      </rPr>
      <t xml:space="preserve">편</t>
    </r>
  </si>
  <si>
    <r>
      <rPr>
        <sz val="10"/>
        <color rgb="FF000000"/>
        <rFont val="Arial"/>
        <family val="0"/>
        <charset val="1"/>
      </rPr>
      <t xml:space="preserve">110</t>
    </r>
    <r>
      <rPr>
        <sz val="10"/>
        <color rgb="FF000000"/>
        <rFont val="WenQuanYi Zen Hei"/>
        <family val="2"/>
      </rPr>
      <t xml:space="preserve">편 멜기세덱 반차의 제사장 →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7), 119</t>
    </r>
    <r>
      <rPr>
        <sz val="10"/>
        <color rgb="FF000000"/>
        <rFont val="WenQuanYi Zen Hei"/>
        <family val="2"/>
      </rPr>
      <t xml:space="preserve">편 말씀 → 말씀이신 그리스도</t>
    </r>
  </si>
  <si>
    <r>
      <rPr>
        <sz val="10"/>
        <color rgb="FF000000"/>
        <rFont val="WenQuanYi Zen Hei"/>
        <family val="2"/>
      </rPr>
      <t xml:space="preserve">말씀의 등불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예배의 여정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찬양</t>
    </r>
  </si>
  <si>
    <r>
      <rPr>
        <sz val="10"/>
        <color rgb="FF000000"/>
        <rFont val="WenQuanYi Zen Hei"/>
        <family val="2"/>
      </rPr>
      <t xml:space="preserve">잠언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지혜로운 삶</t>
    </r>
  </si>
  <si>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1:1~31:31</t>
    </r>
  </si>
  <si>
    <r>
      <rPr>
        <sz val="10"/>
        <color rgb="FF000000"/>
        <rFont val="WenQuanYi Zen Hei"/>
        <family val="2"/>
      </rPr>
      <t xml:space="preserve">어떻게 하면 지혜롭게 살 수 있을까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</si>
  <si>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하나님의 지혜이신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1:24, 30)</t>
    </r>
  </si>
  <si>
    <r>
      <rPr>
        <sz val="10"/>
        <color rgb="FF000000"/>
        <rFont val="WenQuanYi Zen Hei"/>
        <family val="2"/>
      </rPr>
      <t xml:space="preserve">하나님 경외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말과 마음의 지혜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하나님의 주권</t>
    </r>
  </si>
  <si>
    <r>
      <rPr>
        <sz val="10"/>
        <color rgb="FF000000"/>
        <rFont val="WenQuanYi Zen Hei"/>
        <family val="2"/>
      </rPr>
      <t xml:space="preserve">전도서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아가</t>
    </r>
  </si>
  <si>
    <t xml:space="preserve">이사야① 거룩하신 하나님과 임마누엘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</si>
  <si>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1:1~12:6</t>
    </r>
  </si>
  <si>
    <r>
      <rPr>
        <sz val="10"/>
        <color rgb="FF000000"/>
        <rFont val="WenQuanYi Zen Hei"/>
        <family val="2"/>
      </rPr>
      <t xml:space="preserve">임마누엘</t>
    </r>
    <r>
      <rPr>
        <sz val="10"/>
        <color rgb="FF000000"/>
        <rFont val="Arial"/>
        <family val="0"/>
        <charset val="1"/>
      </rPr>
      <t xml:space="preserve">(7:14), </t>
    </r>
    <r>
      <rPr>
        <sz val="10"/>
        <color rgb="FF000000"/>
        <rFont val="WenQuanYi Zen Hei"/>
        <family val="2"/>
      </rPr>
      <t xml:space="preserve">한 아기</t>
    </r>
    <r>
      <rPr>
        <sz val="10"/>
        <color rgb="FF000000"/>
        <rFont val="Arial"/>
        <family val="0"/>
        <charset val="1"/>
      </rPr>
      <t xml:space="preserve">(9:6), </t>
    </r>
    <r>
      <rPr>
        <sz val="10"/>
        <color rgb="FF000000"/>
        <rFont val="WenQuanYi Zen Hei"/>
        <family val="2"/>
      </rPr>
      <t xml:space="preserve">이새의 줄기</t>
    </r>
    <r>
      <rPr>
        <sz val="10"/>
        <color rgb="FF000000"/>
        <rFont val="Arial"/>
        <family val="0"/>
        <charset val="1"/>
      </rPr>
      <t xml:space="preserve">(11:1) → </t>
    </r>
    <r>
      <rPr>
        <sz val="10"/>
        <color rgb="FF000000"/>
        <rFont val="WenQuanYi Zen Hei"/>
        <family val="2"/>
      </rPr>
      <t xml:space="preserve">그리스도의 탄생</t>
    </r>
  </si>
  <si>
    <r>
      <rPr>
        <sz val="10"/>
        <color rgb="FF000000"/>
        <rFont val="WenQuanYi Zen Hei"/>
        <family val="2"/>
      </rPr>
      <t xml:space="preserve">하나님의 거룩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은혜의 초청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메시아 예언</t>
    </r>
  </si>
  <si>
    <t xml:space="preserve">이사야② 열방의 심판과 위로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</si>
  <si>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13:1~40:31</t>
    </r>
  </si>
  <si>
    <r>
      <rPr>
        <sz val="10"/>
        <color rgb="FF000000"/>
        <rFont val="WenQuanYi Zen Hei"/>
        <family val="2"/>
      </rPr>
      <t xml:space="preserve">세상이 혼란스러울 때 무엇을 붙들어야 할까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</si>
  <si>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사망을 영원히 멸하실 하나님</t>
    </r>
    <r>
      <rPr>
        <sz val="10"/>
        <color rgb="FF000000"/>
        <rFont val="Arial"/>
        <family val="0"/>
        <charset val="1"/>
      </rPr>
      <t xml:space="preserve">(25:8) → </t>
    </r>
    <r>
      <rPr>
        <sz val="10"/>
        <color rgb="FF000000"/>
        <rFont val="WenQuanYi Zen Hei"/>
        <family val="2"/>
      </rPr>
      <t xml:space="preserve">부활하신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15:54)</t>
    </r>
  </si>
  <si>
    <r>
      <rPr>
        <sz val="10"/>
        <color rgb="FF000000"/>
        <rFont val="WenQuanYi Zen Hei"/>
        <family val="2"/>
      </rPr>
      <t xml:space="preserve">열방을 다스리시는 하나님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의뢰하는 믿음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위로</t>
    </r>
  </si>
  <si>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1:1~25:38</t>
    </r>
  </si>
  <si>
    <r>
      <rPr>
        <sz val="10"/>
        <color rgb="FF000000"/>
        <rFont val="WenQuanYi Zen Hei"/>
        <family val="2"/>
      </rPr>
      <t xml:space="preserve">예레미야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예레미야애가</t>
    </r>
  </si>
  <si>
    <r>
      <rPr>
        <sz val="10"/>
        <color rgb="FF000000"/>
        <rFont val="WenQuanYi Zen Hei"/>
        <family val="2"/>
      </rPr>
      <t xml:space="preserve">다니엘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바벨론의 믿음</t>
    </r>
  </si>
  <si>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1:1~12:13</t>
    </r>
  </si>
  <si>
    <r>
      <rPr>
        <sz val="10"/>
        <color rgb="FF000000"/>
        <rFont val="WenQuanYi Zen Hei"/>
        <family val="2"/>
      </rPr>
      <t xml:space="preserve">풀무불 속 넷째 사람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인자 같은 이</t>
    </r>
    <r>
      <rPr>
        <sz val="10"/>
        <color rgb="FF000000"/>
        <rFont val="Arial"/>
        <family val="0"/>
        <charset val="1"/>
      </rPr>
      <t xml:space="preserve">(7:13) → </t>
    </r>
    <r>
      <rPr>
        <sz val="10"/>
        <color rgb="FF000000"/>
        <rFont val="WenQuanYi Zen Hei"/>
        <family val="2"/>
      </rPr>
      <t xml:space="preserve">영원한 나라의 왕 그리스도</t>
    </r>
  </si>
  <si>
    <r>
      <rPr>
        <sz val="10"/>
        <color rgb="FF000000"/>
        <rFont val="WenQuanYi Zen Hei"/>
        <family val="2"/>
      </rPr>
      <t xml:space="preserve">하나님의 주권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신앙의 절개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영원한 하나님 나라</t>
    </r>
  </si>
  <si>
    <r>
      <rPr>
        <sz val="10"/>
        <color rgb="FF000000"/>
        <rFont val="WenQuanYi Zen Hei"/>
        <family val="2"/>
      </rPr>
      <t xml:space="preserve">호세아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요엘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아모스</t>
    </r>
  </si>
  <si>
    <r>
      <rPr>
        <sz val="10"/>
        <color rgb="FF000000"/>
        <rFont val="WenQuanYi Zen Hei"/>
        <family val="2"/>
      </rPr>
      <t xml:space="preserve">호 </t>
    </r>
    <r>
      <rPr>
        <sz val="10"/>
        <color rgb="FF000000"/>
        <rFont val="Arial"/>
        <family val="0"/>
        <charset val="1"/>
      </rPr>
      <t xml:space="preserve">1:1~</t>
    </r>
    <r>
      <rPr>
        <sz val="10"/>
        <color rgb="FF000000"/>
        <rFont val="WenQuanYi Zen Hei"/>
        <family val="2"/>
      </rPr>
      <t xml:space="preserve">암 </t>
    </r>
    <r>
      <rPr>
        <sz val="10"/>
        <color rgb="FF000000"/>
        <rFont val="Arial"/>
        <family val="0"/>
        <charset val="1"/>
      </rPr>
      <t xml:space="preserve">9:15</t>
    </r>
  </si>
  <si>
    <r>
      <rPr>
        <sz val="10"/>
        <color rgb="FF000000"/>
        <rFont val="WenQuanYi Zen Hei"/>
        <family val="2"/>
      </rPr>
      <t xml:space="preserve">오바댜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미가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나훔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열방을 향한 하나님</t>
    </r>
  </si>
  <si>
    <r>
      <rPr>
        <sz val="10"/>
        <color rgb="FF000000"/>
        <rFont val="WenQuanYi Zen Hei"/>
        <family val="2"/>
      </rPr>
      <t xml:space="preserve">오바댜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요나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미가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나훔</t>
    </r>
  </si>
  <si>
    <r>
      <rPr>
        <sz val="10"/>
        <color rgb="FF000000"/>
        <rFont val="WenQuanYi Zen Hei"/>
        <family val="2"/>
      </rPr>
      <t xml:space="preserve">옵 </t>
    </r>
    <r>
      <rPr>
        <sz val="10"/>
        <color rgb="FF000000"/>
        <rFont val="Arial"/>
        <family val="0"/>
        <charset val="1"/>
      </rPr>
      <t xml:space="preserve">1:1~</t>
    </r>
    <r>
      <rPr>
        <sz val="10"/>
        <color rgb="FF000000"/>
        <rFont val="WenQuanYi Zen Hei"/>
        <family val="2"/>
      </rPr>
      <t xml:space="preserve">나 </t>
    </r>
    <r>
      <rPr>
        <sz val="10"/>
        <color rgb="FF000000"/>
        <rFont val="Arial"/>
        <family val="0"/>
        <charset val="1"/>
      </rPr>
      <t xml:space="preserve">3:19</t>
    </r>
  </si>
  <si>
    <r>
      <rPr>
        <sz val="10"/>
        <color rgb="FF000000"/>
        <rFont val="WenQuanYi Zen Hei"/>
        <family val="2"/>
      </rPr>
      <t xml:space="preserve">요나의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일 → 그리스도의 장사와 부활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12:40), </t>
    </r>
    <r>
      <rPr>
        <sz val="10"/>
        <color rgb="FF000000"/>
        <rFont val="WenQuanYi Zen Hei"/>
        <family val="2"/>
      </rPr>
      <t xml:space="preserve">베들레헴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미 </t>
    </r>
    <r>
      <rPr>
        <sz val="10"/>
        <color rgb="FF000000"/>
        <rFont val="Arial"/>
        <family val="0"/>
        <charset val="1"/>
      </rPr>
      <t xml:space="preserve">5:2) → </t>
    </r>
    <r>
      <rPr>
        <sz val="10"/>
        <color rgb="FF000000"/>
        <rFont val="WenQuanYi Zen Hei"/>
        <family val="2"/>
      </rPr>
      <t xml:space="preserve">그리스도 탄생</t>
    </r>
  </si>
  <si>
    <r>
      <rPr>
        <sz val="10"/>
        <color rgb="FF000000"/>
        <rFont val="WenQuanYi Zen Hei"/>
        <family val="2"/>
      </rPr>
      <t xml:space="preserve">열방을 향한 긍휼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교만의 심판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정의와 인자</t>
    </r>
  </si>
  <si>
    <r>
      <rPr>
        <sz val="10"/>
        <color rgb="FF000000"/>
        <rFont val="WenQuanYi Zen Hei"/>
        <family val="2"/>
      </rPr>
      <t xml:space="preserve">하박국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스바냐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학개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스가랴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말라기</t>
    </r>
  </si>
  <si>
    <r>
      <rPr>
        <sz val="10"/>
        <color rgb="FF000000"/>
        <rFont val="WenQuanYi Zen Hei"/>
        <family val="2"/>
      </rPr>
      <t xml:space="preserve">합 </t>
    </r>
    <r>
      <rPr>
        <sz val="10"/>
        <color rgb="FF000000"/>
        <rFont val="Arial"/>
        <family val="0"/>
        <charset val="1"/>
      </rPr>
      <t xml:space="preserve">1:1~</t>
    </r>
    <r>
      <rPr>
        <sz val="10"/>
        <color rgb="FF000000"/>
        <rFont val="WenQuanYi Zen Hei"/>
        <family val="2"/>
      </rPr>
      <t xml:space="preserve">말 </t>
    </r>
    <r>
      <rPr>
        <sz val="10"/>
        <color rgb="FF000000"/>
        <rFont val="Arial"/>
        <family val="0"/>
        <charset val="1"/>
      </rPr>
      <t xml:space="preserve">4:6</t>
    </r>
  </si>
  <si>
    <t xml:space="preserve">왕이 오시다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</si>
  <si>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1:1~4:25</t>
    </r>
  </si>
  <si>
    <r>
      <rPr>
        <sz val="10"/>
        <color rgb="FF000000"/>
        <rFont val="WenQuanYi Zen Hei"/>
        <family val="2"/>
      </rPr>
      <t xml:space="preserve">구약 약속의 성취이신 그리스도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임마누엘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다윗의 자손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</si>
  <si>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동정녀 탄생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성육신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삼위일체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그리스도의 순종</t>
    </r>
  </si>
  <si>
    <t xml:space="preserve">산상수훈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</si>
  <si>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5:1~7:29</t>
    </r>
  </si>
  <si>
    <r>
      <rPr>
        <sz val="10"/>
        <color rgb="FF000000"/>
        <rFont val="WenQuanYi Zen Hei"/>
        <family val="2"/>
      </rPr>
      <t xml:space="preserve">행복한 삶은 무엇일까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</si>
  <si>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율법을 완성하러 오신 그리스도</t>
    </r>
    <r>
      <rPr>
        <sz val="10"/>
        <color rgb="FF000000"/>
        <rFont val="Arial"/>
        <family val="0"/>
        <charset val="1"/>
      </rPr>
      <t xml:space="preserve">(5:17)</t>
    </r>
  </si>
  <si>
    <r>
      <rPr>
        <sz val="10"/>
        <color rgb="FF000000"/>
        <rFont val="WenQuanYi Zen Hei"/>
        <family val="2"/>
      </rPr>
      <t xml:space="preserve">천국 백성의 삶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은혜로 사는 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기도</t>
    </r>
  </si>
  <si>
    <t xml:space="preserve">권세 있는 왕의 사역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</si>
  <si>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8:1~13:52</t>
    </r>
  </si>
  <si>
    <t xml:space="preserve">병과 죄와 자연과 죽음을 다스리시는 하나님의 아들</t>
  </si>
  <si>
    <r>
      <rPr>
        <sz val="10"/>
        <color rgb="FF000000"/>
        <rFont val="WenQuanYi Zen Hei"/>
        <family val="2"/>
      </rPr>
      <t xml:space="preserve">그리스도의 신성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믿음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천국 비유</t>
    </r>
  </si>
  <si>
    <t xml:space="preserve">따르는 자의 길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</si>
  <si>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14:1~20:34</t>
    </r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</si>
  <si>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너는 그리스도시요 살아 계신 하나님의 아들이시니이다</t>
    </r>
    <r>
      <rPr>
        <sz val="10"/>
        <color rgb="FF000000"/>
        <rFont val="Arial"/>
        <family val="0"/>
        <charset val="1"/>
      </rPr>
      <t xml:space="preserve">"(16:16)</t>
    </r>
  </si>
  <si>
    <r>
      <rPr>
        <sz val="10"/>
        <color rgb="FF000000"/>
        <rFont val="WenQuanYi Zen Hei"/>
        <family val="2"/>
      </rPr>
      <t xml:space="preserve">신앙고백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십자가의 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용서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섬김</t>
    </r>
  </si>
  <si>
    <t xml:space="preserve">예루살렘의 마지막 한 주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</si>
  <si>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21:1~25:46</t>
    </r>
  </si>
  <si>
    <t xml:space="preserve">겸손의 왕으로 입성하신 그리스도 → 영광의 왕으로 다시 오실 그리스도</t>
  </si>
  <si>
    <r>
      <rPr>
        <sz val="10"/>
        <color rgb="FF000000"/>
        <rFont val="WenQuanYi Zen Hei"/>
        <family val="2"/>
      </rPr>
      <t xml:space="preserve">그리스도의 재림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깨어 있음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최후 심판</t>
    </r>
  </si>
  <si>
    <t xml:space="preserve">십자가와 부활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</si>
  <si>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26:1~28:20</t>
    </r>
  </si>
  <si>
    <t xml:space="preserve">대속의 죽음과 부활 → 우리의 구원과 사명</t>
  </si>
  <si>
    <r>
      <rPr>
        <sz val="10"/>
        <color rgb="FF000000"/>
        <rFont val="WenQuanYi Zen Hei"/>
        <family val="2"/>
      </rPr>
      <t xml:space="preserve">대속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부활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대위임령</t>
    </r>
  </si>
  <si>
    <r>
      <rPr>
        <sz val="10"/>
        <color rgb="FF000000"/>
        <rFont val="WenQuanYi Zen Hei"/>
        <family val="2"/>
      </rPr>
      <t xml:space="preserve">마가복음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섬기러 오신 종</t>
    </r>
  </si>
  <si>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1:1~16:20</t>
    </r>
  </si>
  <si>
    <r>
      <rPr>
        <sz val="10"/>
        <color rgb="FF000000"/>
        <rFont val="WenQuanYi Zen Hei"/>
        <family val="2"/>
      </rPr>
      <t xml:space="preserve">대속물로 자기 목숨을 주신 섬기는 종</t>
    </r>
    <r>
      <rPr>
        <sz val="10"/>
        <color rgb="FF000000"/>
        <rFont val="Arial"/>
        <family val="0"/>
        <charset val="1"/>
      </rPr>
      <t xml:space="preserve">(10:45)</t>
    </r>
  </si>
  <si>
    <r>
      <rPr>
        <sz val="10"/>
        <color rgb="FF000000"/>
        <rFont val="WenQuanYi Zen Hei"/>
        <family val="2"/>
      </rPr>
      <t xml:space="preserve">그리스도의 섬김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믿음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복음 전파</t>
    </r>
  </si>
  <si>
    <t xml:space="preserve">누가복음① 구주가 나셨다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</si>
  <si>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1:1~2:52</t>
    </r>
  </si>
  <si>
    <t xml:space="preserve">구유에 누이신 구주 그리스도</t>
  </si>
  <si>
    <r>
      <rPr>
        <sz val="10"/>
        <color rgb="FF000000"/>
        <rFont val="WenQuanYi Zen Hei"/>
        <family val="2"/>
      </rPr>
      <t xml:space="preserve">성육신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겸손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성령의 역사</t>
    </r>
  </si>
  <si>
    <t xml:space="preserve">누가복음② 잃어버린 자를 찾아서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</si>
  <si>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4:16~14:35</t>
    </r>
  </si>
  <si>
    <r>
      <rPr>
        <sz val="10"/>
        <color rgb="FF000000"/>
        <rFont val="WenQuanYi Zen Hei"/>
        <family val="2"/>
      </rPr>
      <t xml:space="preserve">잃어버린 자를 찾아 구원하러 오신 인자</t>
    </r>
    <r>
      <rPr>
        <sz val="10"/>
        <color rgb="FF000000"/>
        <rFont val="Arial"/>
        <family val="0"/>
        <charset val="1"/>
      </rPr>
      <t xml:space="preserve">(19:10)</t>
    </r>
  </si>
  <si>
    <r>
      <rPr>
        <sz val="10"/>
        <color rgb="FF000000"/>
        <rFont val="WenQuanYi Zen Hei"/>
        <family val="2"/>
      </rPr>
      <t xml:space="preserve">은혜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이웃 사랑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회개</t>
    </r>
  </si>
  <si>
    <t xml:space="preserve">누가복음③ 탕자의 아버지</t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</si>
  <si>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15:1~24:53</t>
    </r>
  </si>
  <si>
    <t xml:space="preserve">먼 거리에서 달려오는 아버지 → 십자가에서 두 팔 벌리신 그리스도</t>
  </si>
  <si>
    <r>
      <rPr>
        <sz val="10"/>
        <color rgb="FF000000"/>
        <rFont val="WenQuanYi Zen Hei"/>
        <family val="2"/>
      </rPr>
      <t xml:space="preserve">회개와 용서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감사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십자가와 부활</t>
    </r>
  </si>
  <si>
    <r>
      <rPr>
        <sz val="10"/>
        <color rgb="FF000000"/>
        <rFont val="WenQuanYi Zen Hei"/>
        <family val="2"/>
      </rPr>
      <t xml:space="preserve">요한복음② 나는 </t>
    </r>
    <r>
      <rPr>
        <sz val="10"/>
        <color rgb="FF000000"/>
        <rFont val="Arial"/>
        <family val="0"/>
        <charset val="1"/>
      </rPr>
      <t xml:space="preserve">~</t>
    </r>
    <r>
      <rPr>
        <sz val="10"/>
        <color rgb="FF000000"/>
        <rFont val="WenQuanYi Zen Hei"/>
        <family val="2"/>
      </rPr>
      <t xml:space="preserve">이다</t>
    </r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</si>
  <si>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7:1~12:50</t>
    </r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</si>
  <si>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나는 세상의 빛</t>
    </r>
    <r>
      <rPr>
        <sz val="10"/>
        <color rgb="FF000000"/>
        <rFont val="Arial"/>
        <family val="0"/>
        <charset val="1"/>
      </rPr>
      <t xml:space="preserve">", "</t>
    </r>
    <r>
      <rPr>
        <sz val="10"/>
        <color rgb="FF000000"/>
        <rFont val="WenQuanYi Zen Hei"/>
        <family val="2"/>
      </rPr>
      <t xml:space="preserve">선한 목자</t>
    </r>
    <r>
      <rPr>
        <sz val="10"/>
        <color rgb="FF000000"/>
        <rFont val="Arial"/>
        <family val="0"/>
        <charset val="1"/>
      </rPr>
      <t xml:space="preserve">", "</t>
    </r>
    <r>
      <rPr>
        <sz val="10"/>
        <color rgb="FF000000"/>
        <rFont val="WenQuanYi Zen Hei"/>
        <family val="2"/>
      </rPr>
      <t xml:space="preserve">부활이요 생명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이신 그리스도</t>
    </r>
  </si>
  <si>
    <r>
      <rPr>
        <sz val="10"/>
        <color rgb="FF000000"/>
        <rFont val="WenQuanYi Zen Hei"/>
        <family val="2"/>
      </rPr>
      <t xml:space="preserve">그리스도의 신성</t>
    </r>
    <r>
      <rPr>
        <sz val="10"/>
        <color rgb="FF000000"/>
        <rFont val="Arial"/>
        <family val="0"/>
        <charset val="1"/>
      </rPr>
      <t xml:space="preserve">(8:58), </t>
    </r>
    <r>
      <rPr>
        <sz val="10"/>
        <color rgb="FF000000"/>
        <rFont val="WenQuanYi Zen Hei"/>
        <family val="2"/>
      </rPr>
      <t xml:space="preserve">영생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부활</t>
    </r>
  </si>
  <si>
    <t xml:space="preserve">요한복음③ 다 이루었다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</si>
  <si>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13:1~21:25</t>
    </r>
  </si>
  <si>
    <r>
      <rPr>
        <sz val="10"/>
        <color rgb="FF000000"/>
        <rFont val="WenQuanYi Zen Hei"/>
        <family val="2"/>
      </rPr>
      <t xml:space="preserve">발을 씻기신 종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다 이루신 구원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부활하신 주</t>
    </r>
  </si>
  <si>
    <r>
      <rPr>
        <sz val="10"/>
        <color rgb="FF000000"/>
        <rFont val="WenQuanYi Zen Hei"/>
        <family val="2"/>
      </rPr>
      <t xml:space="preserve">새 계명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보혜사 성령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대속 완성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부활</t>
    </r>
  </si>
  <si>
    <t xml:space="preserve">교회의 탄생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</si>
  <si>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1:1~7:60</t>
    </r>
  </si>
  <si>
    <t xml:space="preserve">승천하신 그리스도가 보내신 성령 → 땅끝까지 증인</t>
  </si>
  <si>
    <r>
      <rPr>
        <sz val="10"/>
        <color rgb="FF000000"/>
        <rFont val="WenQuanYi Zen Hei"/>
        <family val="2"/>
      </rPr>
      <t xml:space="preserve">성령 강림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교회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복음의 능력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오직 예수</t>
    </r>
  </si>
  <si>
    <t xml:space="preserve">사마리아와 땅끝으로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</si>
  <si>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8:1~12:25</t>
    </r>
  </si>
  <si>
    <t xml:space="preserve">핍박자 사울을 부르신 부활의 주 → 이방인에게도 열린 복음</t>
  </si>
  <si>
    <r>
      <rPr>
        <sz val="10"/>
        <color rgb="FF000000"/>
        <rFont val="WenQuanYi Zen Hei"/>
        <family val="2"/>
      </rPr>
      <t xml:space="preserve">이방인 구원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회심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기도의 능력</t>
    </r>
  </si>
  <si>
    <t xml:space="preserve">바울의 전도 여행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</si>
  <si>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13:1~20:38</t>
    </r>
  </si>
  <si>
    <r>
      <rPr>
        <sz val="10"/>
        <color rgb="FF000000"/>
        <rFont val="WenQuanYi Zen Hei"/>
        <family val="2"/>
      </rPr>
      <t xml:space="preserve">이방인의 빛</t>
    </r>
    <r>
      <rPr>
        <sz val="10"/>
        <color rgb="FF000000"/>
        <rFont val="Arial"/>
        <family val="0"/>
        <charset val="1"/>
      </rPr>
      <t xml:space="preserve">(13:47) </t>
    </r>
    <r>
      <rPr>
        <sz val="10"/>
        <color rgb="FF000000"/>
        <rFont val="WenQuanYi Zen Hei"/>
        <family val="2"/>
      </rPr>
      <t xml:space="preserve">그리스도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오직 은혜</t>
    </r>
    <r>
      <rPr>
        <sz val="10"/>
        <color rgb="FF000000"/>
        <rFont val="Arial"/>
        <family val="0"/>
        <charset val="1"/>
      </rPr>
      <t xml:space="preserve">(15:11)</t>
    </r>
  </si>
  <si>
    <r>
      <rPr>
        <sz val="10"/>
        <color rgb="FF000000"/>
        <rFont val="WenQuanYi Zen Hei"/>
        <family val="2"/>
      </rPr>
      <t xml:space="preserve">선교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은혜의 복음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성경 상고</t>
    </r>
  </si>
  <si>
    <t xml:space="preserve">로마까지 간 복음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</si>
  <si>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21:1~28:31</t>
    </r>
  </si>
  <si>
    <r>
      <rPr>
        <sz val="10"/>
        <color rgb="FF000000"/>
        <rFont val="WenQuanYi Zen Hei"/>
        <family val="2"/>
      </rPr>
      <t xml:space="preserve">사슬에 매여도 매이지 않는 하나님의 말씀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딤후 </t>
    </r>
    <r>
      <rPr>
        <sz val="10"/>
        <color rgb="FF000000"/>
        <rFont val="Arial"/>
        <family val="0"/>
        <charset val="1"/>
      </rPr>
      <t xml:space="preserve">2:9)</t>
    </r>
  </si>
  <si>
    <r>
      <rPr>
        <sz val="10"/>
        <color rgb="FF000000"/>
        <rFont val="WenQuanYi Zen Hei"/>
        <family val="2"/>
      </rPr>
      <t xml:space="preserve">하나님의 섭리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담대한 증언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복음의 승리</t>
    </r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</si>
  <si>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1:1~16:27</t>
    </r>
  </si>
  <si>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1:1~16:24</t>
    </r>
  </si>
  <si>
    <r>
      <rPr>
        <sz val="10"/>
        <color rgb="FF000000"/>
        <rFont val="WenQuanYi Zen Hei"/>
        <family val="2"/>
      </rPr>
      <t xml:space="preserve">고린도후서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갈라디아서</t>
    </r>
  </si>
  <si>
    <r>
      <rPr>
        <sz val="10"/>
        <color rgb="FF000000"/>
        <rFont val="WenQuanYi Zen Hei"/>
        <family val="2"/>
      </rPr>
      <t xml:space="preserve">에베소서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빌립보서</t>
    </r>
  </si>
  <si>
    <r>
      <rPr>
        <sz val="10"/>
        <color rgb="FF000000"/>
        <rFont val="WenQuanYi Zen Hei"/>
        <family val="2"/>
      </rPr>
      <t xml:space="preserve">골로새서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데살로니가전서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데살로니가후서</t>
    </r>
  </si>
  <si>
    <r>
      <rPr>
        <sz val="10"/>
        <color rgb="FF000000"/>
        <rFont val="WenQuanYi Zen Hei"/>
        <family val="2"/>
      </rPr>
      <t xml:space="preserve">디모데전서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디모데후서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디도서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빌레몬서</t>
    </r>
  </si>
  <si>
    <r>
      <rPr>
        <sz val="10"/>
        <color rgb="FF000000"/>
        <rFont val="WenQuanYi Zen Hei"/>
        <family val="2"/>
      </rPr>
      <t xml:space="preserve">야고보서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베드로전서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베드로후서</t>
    </r>
  </si>
  <si>
    <r>
      <rPr>
        <sz val="10"/>
        <color rgb="FF000000"/>
        <rFont val="WenQuanYi Zen Hei"/>
        <family val="2"/>
      </rPr>
      <t xml:space="preserve">요한일서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요한이서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요한삼서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유다서</t>
    </r>
  </si>
  <si>
    <r>
      <rPr>
        <sz val="10"/>
        <color rgb="FF000000"/>
        <rFont val="WenQuanYi Zen Hei"/>
        <family val="2"/>
      </rPr>
      <t xml:space="preserve">계시록 공통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상징을 특정 국가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인물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날짜에 대입 금지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신천지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실상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해석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이긴자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두 증인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보혜사 자칭 철저 배제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공포 연출 금지</t>
    </r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</si>
  <si>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12:1~22:21</t>
    </r>
  </si>
  <si>
    <t xml:space="preserve">누락 점검</t>
  </si>
  <si>
    <r>
      <rPr>
        <sz val="10"/>
        <color rgb="FF595959"/>
        <rFont val="WenQuanYi Zen Hei"/>
        <family val="2"/>
      </rPr>
      <t xml:space="preserve">시즌</t>
    </r>
    <r>
      <rPr>
        <sz val="10"/>
        <color rgb="FF595959"/>
        <rFont val="Arial"/>
        <family val="0"/>
        <charset val="1"/>
      </rPr>
      <t xml:space="preserve">1 + </t>
    </r>
    <r>
      <rPr>
        <sz val="10"/>
        <color rgb="FF595959"/>
        <rFont val="WenQuanYi Zen Hei"/>
        <family val="2"/>
      </rPr>
      <t xml:space="preserve">시즌</t>
    </r>
    <r>
      <rPr>
        <sz val="10"/>
        <color rgb="FF595959"/>
        <rFont val="Arial"/>
        <family val="0"/>
        <charset val="1"/>
      </rPr>
      <t xml:space="preserve">2 = </t>
    </r>
    <r>
      <rPr>
        <sz val="10"/>
        <color rgb="FF595959"/>
        <rFont val="WenQuanYi Zen Hei"/>
        <family val="2"/>
      </rPr>
      <t xml:space="preserve">성경 전체가 되는지 확인합니다</t>
    </r>
    <r>
      <rPr>
        <sz val="10"/>
        <color rgb="FF595959"/>
        <rFont val="Arial"/>
        <family val="0"/>
        <charset val="1"/>
      </rPr>
      <t xml:space="preserve">. </t>
    </r>
    <r>
      <rPr>
        <sz val="10"/>
        <color rgb="FF595959"/>
        <rFont val="WenQuanYi Zen Hei"/>
        <family val="2"/>
      </rPr>
      <t xml:space="preserve">결과가 모두 </t>
    </r>
    <r>
      <rPr>
        <sz val="10"/>
        <color rgb="FF595959"/>
        <rFont val="Arial"/>
        <family val="0"/>
        <charset val="1"/>
      </rPr>
      <t xml:space="preserve">'</t>
    </r>
    <r>
      <rPr>
        <sz val="10"/>
        <color rgb="FF595959"/>
        <rFont val="WenQuanYi Zen Hei"/>
        <family val="2"/>
      </rPr>
      <t xml:space="preserve">정상</t>
    </r>
    <r>
      <rPr>
        <sz val="10"/>
        <color rgb="FF595959"/>
        <rFont val="Arial"/>
        <family val="0"/>
        <charset val="1"/>
      </rPr>
      <t xml:space="preserve">'</t>
    </r>
    <r>
      <rPr>
        <sz val="10"/>
        <color rgb="FF595959"/>
        <rFont val="WenQuanYi Zen Hei"/>
        <family val="2"/>
      </rPr>
      <t xml:space="preserve">이어야 합니다</t>
    </r>
    <r>
      <rPr>
        <sz val="10"/>
        <color rgb="FF595959"/>
        <rFont val="Arial"/>
        <family val="0"/>
        <charset val="1"/>
      </rPr>
      <t xml:space="preserve">.</t>
    </r>
  </si>
  <si>
    <r>
      <rPr>
        <b val="true"/>
        <sz val="12"/>
        <color rgb="FFFFFFFF"/>
        <rFont val="Arial"/>
        <family val="0"/>
        <charset val="1"/>
      </rPr>
      <t xml:space="preserve">1. </t>
    </r>
    <r>
      <rPr>
        <b val="true"/>
        <sz val="12"/>
        <color rgb="FFFFFFFF"/>
        <rFont val="WenQuanYi Zen Hei"/>
        <family val="2"/>
      </rPr>
      <t xml:space="preserve">전체 점검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자동 계산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</si>
  <si>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점검 항목</t>
  </si>
  <si>
    <t xml:space="preserve">현재 값</t>
  </si>
  <si>
    <t xml:space="preserve">기대 값</t>
  </si>
  <si>
    <t xml:space="preserve">결과</t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</si>
  <si>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편수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</si>
  <si>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편수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</si>
  <si>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+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2 (</t>
    </r>
    <r>
      <rPr>
        <sz val="10"/>
        <color rgb="FF000000"/>
        <rFont val="WenQuanYi Zen Hei"/>
        <family val="2"/>
      </rPr>
      <t xml:space="preserve">전체와 같아야 함</t>
    </r>
    <r>
      <rPr>
        <sz val="10"/>
        <color rgb="FF000000"/>
        <rFont val="Arial"/>
        <family val="0"/>
        <charset val="1"/>
      </rPr>
      <t xml:space="preserve">)</t>
    </r>
  </si>
  <si>
    <t xml:space="preserve">시즌이 지정되지 않은 편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</si>
  <si>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코드 중복</t>
    </r>
  </si>
  <si>
    <t xml:space="preserve">트랙 회차 중복</t>
  </si>
  <si>
    <r>
      <rPr>
        <sz val="10"/>
        <color rgb="FF000000"/>
        <rFont val="WenQuanYi Zen Hei"/>
        <family val="2"/>
      </rPr>
      <t xml:space="preserve">구약 트랙 마지막 회차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구약 편수</t>
    </r>
  </si>
  <si>
    <r>
      <rPr>
        <sz val="10"/>
        <color rgb="FF000000"/>
        <rFont val="WenQuanYi Zen Hei"/>
        <family val="2"/>
      </rPr>
      <t xml:space="preserve">신약 트랙 마지막 회차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신약 편수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</si>
  <si>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구약 편수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목표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</si>
  <si>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신약 편수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목표</t>
    </r>
  </si>
  <si>
    <r>
      <rPr>
        <sz val="10"/>
        <color rgb="FF000000"/>
        <rFont val="WenQuanYi Zen Hei"/>
        <family val="2"/>
      </rPr>
      <t xml:space="preserve">같은 트랙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같은 날 겹친 업로드</t>
    </r>
  </si>
  <si>
    <t xml:space="preserve">시즌 롱폼에 배정되지 않은 편</t>
  </si>
  <si>
    <r>
      <rPr>
        <sz val="10"/>
        <color rgb="FF000000"/>
        <rFont val="WenQuanYi Zen Hei"/>
        <family val="2"/>
      </rPr>
      <t xml:space="preserve">통합본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에 배정되지 않은 편</t>
    </r>
  </si>
  <si>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시작일이 시즌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종료일보다 뒤인가 </t>
    </r>
    <r>
      <rPr>
        <sz val="10"/>
        <color rgb="FF000000"/>
        <rFont val="Arial"/>
        <family val="0"/>
        <charset val="1"/>
      </rPr>
      <t xml:space="preserve">(1 = </t>
    </r>
    <r>
      <rPr>
        <sz val="10"/>
        <color rgb="FF000000"/>
        <rFont val="WenQuanYi Zen Hei"/>
        <family val="2"/>
      </rPr>
      <t xml:space="preserve">예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</si>
  <si>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시작일이 월요일인가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1·2 </t>
    </r>
    <r>
      <rPr>
        <sz val="10"/>
        <color rgb="FF000000"/>
        <rFont val="WenQuanYi Zen Hei"/>
        <family val="2"/>
      </rPr>
      <t xml:space="preserve">모두</t>
    </r>
    <r>
      <rPr>
        <sz val="10"/>
        <color rgb="FF000000"/>
        <rFont val="Arial"/>
        <family val="0"/>
        <charset val="1"/>
      </rPr>
      <t xml:space="preserve">, 2 = </t>
    </r>
    <r>
      <rPr>
        <sz val="10"/>
        <color rgb="FF000000"/>
        <rFont val="WenQuanYi Zen Hei"/>
        <family val="2"/>
      </rPr>
      <t xml:space="preserve">예</t>
    </r>
    <r>
      <rPr>
        <sz val="10"/>
        <color rgb="FF000000"/>
        <rFont val="Arial"/>
        <family val="0"/>
        <charset val="1"/>
      </rPr>
      <t xml:space="preserve">)</t>
    </r>
  </si>
  <si>
    <t xml:space="preserve">전체 결과</t>
  </si>
  <si>
    <r>
      <rPr>
        <b val="true"/>
        <sz val="12"/>
        <color rgb="FFFFFFFF"/>
        <rFont val="Arial"/>
        <family val="0"/>
        <charset val="1"/>
      </rPr>
      <t xml:space="preserve">2. </t>
    </r>
    <r>
      <rPr>
        <b val="true"/>
        <sz val="12"/>
        <color rgb="FFFFFFFF"/>
        <rFont val="WenQuanYi Zen Hei"/>
        <family val="2"/>
      </rPr>
      <t xml:space="preserve">권별 점검</t>
    </r>
  </si>
  <si>
    <t xml:space="preserve">장 수</t>
  </si>
  <si>
    <t xml:space="preserve">다룬 장 수</t>
  </si>
  <si>
    <r>
      <rPr>
        <b val="true"/>
        <sz val="10"/>
        <color rgb="FF000000"/>
        <rFont val="Arial"/>
        <family val="0"/>
        <charset val="1"/>
      </rPr>
      <t xml:space="preserve">A </t>
    </r>
    <r>
      <rPr>
        <b val="true"/>
        <sz val="10"/>
        <color rgb="FF000000"/>
        <rFont val="WenQuanYi Zen Hei"/>
        <family val="2"/>
      </rPr>
      <t xml:space="preserve">편수</t>
    </r>
  </si>
  <si>
    <r>
      <rPr>
        <b val="true"/>
        <sz val="10"/>
        <color rgb="FF000000"/>
        <rFont val="WenQuanYi Zen Hei"/>
        <family val="2"/>
      </rPr>
      <t xml:space="preserve">시즌</t>
    </r>
    <r>
      <rPr>
        <b val="true"/>
        <sz val="10"/>
        <color rgb="FF000000"/>
        <rFont val="Arial"/>
        <family val="0"/>
        <charset val="1"/>
      </rPr>
      <t xml:space="preserve">1</t>
    </r>
  </si>
  <si>
    <r>
      <rPr>
        <b val="true"/>
        <sz val="10"/>
        <color rgb="FF000000"/>
        <rFont val="WenQuanYi Zen Hei"/>
        <family val="2"/>
      </rPr>
      <t xml:space="preserve">시즌</t>
    </r>
    <r>
      <rPr>
        <b val="true"/>
        <sz val="10"/>
        <color rgb="FF000000"/>
        <rFont val="Arial"/>
        <family val="0"/>
        <charset val="1"/>
      </rPr>
      <t xml:space="preserve">2</t>
    </r>
  </si>
  <si>
    <t xml:space="preserve">시즌 합계</t>
  </si>
  <si>
    <r>
      <rPr>
        <b val="true"/>
        <sz val="10"/>
        <color rgb="FF000000"/>
        <rFont val="WenQuanYi Zen Hei"/>
        <family val="2"/>
      </rPr>
      <t xml:space="preserve">빠진 장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WenQuanYi Zen Hei"/>
        <family val="2"/>
      </rPr>
      <t xml:space="preserve">비고</t>
    </r>
  </si>
  <si>
    <r>
      <rPr>
        <sz val="10"/>
        <color rgb="FF000000"/>
        <rFont val="WenQuanYi Zen Hei"/>
        <family val="2"/>
      </rPr>
      <t xml:space="preserve">없음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모든 장 포함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</si>
  <si>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C00000"/>
        <rFont val="WenQuanYi Zen Hei"/>
        <family val="2"/>
      </rPr>
      <t xml:space="preserve">대표 </t>
    </r>
    <r>
      <rPr>
        <sz val="10"/>
        <color rgb="FFC00000"/>
        <rFont val="Arial"/>
        <family val="0"/>
        <charset val="1"/>
      </rPr>
      <t xml:space="preserve">31</t>
    </r>
    <r>
      <rPr>
        <sz val="10"/>
        <color rgb="FFC00000"/>
        <rFont val="WenQuanYi Zen Hei"/>
        <family val="2"/>
      </rPr>
      <t xml:space="preserve">편 선별 — 나머지 </t>
    </r>
    <r>
      <rPr>
        <sz val="10"/>
        <color rgb="FFC00000"/>
        <rFont val="Arial"/>
        <family val="0"/>
        <charset val="1"/>
      </rPr>
      <t xml:space="preserve">119</t>
    </r>
    <r>
      <rPr>
        <sz val="10"/>
        <color rgb="FFC00000"/>
        <rFont val="WenQuanYi Zen Hei"/>
        <family val="2"/>
      </rPr>
      <t xml:space="preserve">편은 이번 시리즈 범위 밖 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의도적</t>
    </r>
    <r>
      <rPr>
        <sz val="10"/>
        <color rgb="FFC00000"/>
        <rFont val="Arial"/>
        <family val="0"/>
        <charset val="1"/>
      </rPr>
      <t xml:space="preserve">)</t>
    </r>
  </si>
  <si>
    <r>
      <rPr>
        <sz val="10"/>
        <color rgb="FFC00000"/>
        <rFont val="Arial"/>
        <family val="0"/>
        <charset val="1"/>
      </rPr>
      <t xml:space="preserve">3, 6, 11, 13, 14, 15</t>
    </r>
    <r>
      <rPr>
        <sz val="10"/>
        <color rgb="FFC00000"/>
        <rFont val="WenQuanYi Zen Hei"/>
        <family val="2"/>
      </rPr>
      <t xml:space="preserve">장 — 마태복음과 겹치는 사건은 제외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마가 고유 장면 위주 선별 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의도적</t>
    </r>
    <r>
      <rPr>
        <sz val="10"/>
        <color rgb="FFC00000"/>
        <rFont val="Arial"/>
        <family val="0"/>
        <charset val="1"/>
      </rPr>
      <t xml:space="preserve">)</t>
    </r>
  </si>
  <si>
    <r>
      <rPr>
        <sz val="10"/>
        <color rgb="FFC00000"/>
        <rFont val="Arial"/>
        <family val="0"/>
        <charset val="1"/>
      </rPr>
      <t xml:space="preserve">3, 6, 8, 9, 20, 21</t>
    </r>
    <r>
      <rPr>
        <sz val="10"/>
        <color rgb="FFC00000"/>
        <rFont val="WenQuanYi Zen Hei"/>
        <family val="2"/>
      </rPr>
      <t xml:space="preserve">장 — 탄생 이야기와 누가 고유 비유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WenQuanYi Zen Hei"/>
        <family val="2"/>
      </rPr>
      <t xml:space="preserve">장면 위주 선별 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의도적</t>
    </r>
    <r>
      <rPr>
        <sz val="10"/>
        <color rgb="FFC00000"/>
        <rFont val="Arial"/>
        <family val="0"/>
        <charset val="1"/>
      </rPr>
      <t xml:space="preserve">)</t>
    </r>
  </si>
  <si>
    <r>
      <rPr>
        <b val="true"/>
        <sz val="12"/>
        <color rgb="FFFFFFFF"/>
        <rFont val="Arial"/>
        <family val="0"/>
        <charset val="1"/>
      </rPr>
      <t xml:space="preserve">3. </t>
    </r>
    <r>
      <rPr>
        <b val="true"/>
        <sz val="12"/>
        <color rgb="FFFFFFFF"/>
        <rFont val="WenQuanYi Zen Hei"/>
        <family val="2"/>
      </rPr>
      <t xml:space="preserve">시즌</t>
    </r>
    <r>
      <rPr>
        <b val="true"/>
        <sz val="12"/>
        <color rgb="FFFFFFFF"/>
        <rFont val="Arial"/>
        <family val="0"/>
        <charset val="1"/>
      </rPr>
      <t xml:space="preserve">1 </t>
    </r>
    <r>
      <rPr>
        <b val="true"/>
        <sz val="12"/>
        <color rgb="FFFFFFFF"/>
        <rFont val="WenQuanYi Zen Hei"/>
        <family val="2"/>
      </rPr>
      <t xml:space="preserve">흐름 점검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건너뛴 구간</t>
    </r>
    <r>
      <rPr>
        <b val="true"/>
        <sz val="12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</si>
  <si>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시즌</t>
    </r>
    <r>
      <rPr>
        <b val="true"/>
        <sz val="10"/>
        <color rgb="FF000000"/>
        <rFont val="Arial"/>
        <family val="0"/>
        <charset val="1"/>
      </rPr>
      <t xml:space="preserve">1 </t>
    </r>
    <r>
      <rPr>
        <b val="true"/>
        <sz val="10"/>
        <color rgb="FF000000"/>
        <rFont val="WenQuanYi Zen Hei"/>
        <family val="2"/>
      </rPr>
      <t xml:space="preserve">편수</t>
    </r>
  </si>
  <si>
    <t xml:space="preserve">바로 이어지는 편</t>
  </si>
  <si>
    <t xml:space="preserve">건너뛴 구간이 있는 편</t>
  </si>
  <si>
    <t xml:space="preserve">가장 긴 건너뜀</t>
  </si>
  <si>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WenQuanYi Zen Hei"/>
        <family val="2"/>
      </rPr>
      <t xml:space="preserve">편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#175 '</t>
    </r>
    <r>
      <rPr>
        <sz val="10"/>
        <color rgb="FF000000"/>
        <rFont val="WenQuanYi Zen Hei"/>
        <family val="2"/>
      </rPr>
      <t xml:space="preserve">반대로 간 선지자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앞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</si>
  <si>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편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#098 '</t>
    </r>
    <r>
      <rPr>
        <sz val="10"/>
        <color rgb="FF000000"/>
        <rFont val="WenQuanYi Zen Hei"/>
        <family val="2"/>
      </rPr>
      <t xml:space="preserve">믿음장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앞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</si>
  <si>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※ 건너뛴 구간이 있는 편은 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WenQuanYi Zen Hei"/>
        <family val="2"/>
      </rPr>
      <t xml:space="preserve">타입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제작표 </t>
    </r>
    <r>
      <rPr>
        <sz val="9"/>
        <color rgb="FF595959"/>
        <rFont val="Arial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연결 내레이션</t>
    </r>
    <r>
      <rPr>
        <sz val="9"/>
        <color rgb="FF595959"/>
        <rFont val="Arial"/>
        <family val="0"/>
        <charset val="1"/>
      </rPr>
      <t xml:space="preserve">' </t>
    </r>
    <r>
      <rPr>
        <sz val="9"/>
        <color rgb="FF595959"/>
        <rFont val="WenQuanYi Zen Hei"/>
        <family val="2"/>
      </rPr>
      <t xml:space="preserve">칸에 건너뛴 편 목록이 적혀 있습니다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대본 작성 시 </t>
    </r>
    <r>
      <rPr>
        <sz val="9"/>
        <color rgb="FF595959"/>
        <rFont val="Arial"/>
        <family val="0"/>
        <charset val="1"/>
      </rPr>
      <t xml:space="preserve">1~2</t>
    </r>
    <r>
      <rPr>
        <sz val="9"/>
        <color rgb="FF595959"/>
        <rFont val="WenQuanYi Zen Hei"/>
        <family val="2"/>
      </rPr>
      <t xml:space="preserve">문장으로 이어 주세요</t>
    </r>
    <r>
      <rPr>
        <sz val="9"/>
        <color rgb="FF595959"/>
        <rFont val="Arial"/>
        <family val="0"/>
        <charset val="1"/>
      </rPr>
      <t xml:space="preserve">.</t>
    </r>
  </si>
  <si>
    <r>
      <rPr>
        <sz val="9"/>
        <color rgb="FF595959"/>
        <rFont val="WenQuanYi Zen Hei"/>
        <family val="2"/>
      </rPr>
      <t xml:space="preserve">※ 이 시트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번의 </t>
    </r>
    <r>
      <rPr>
        <sz val="9"/>
        <color rgb="FF595959"/>
        <rFont val="Arial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다룬 장 수</t>
    </r>
    <r>
      <rPr>
        <sz val="9"/>
        <color rgb="FF595959"/>
        <rFont val="Arial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와 </t>
    </r>
    <r>
      <rPr>
        <sz val="9"/>
        <color rgb="FF595959"/>
        <rFont val="Arial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빠진 장</t>
    </r>
    <r>
      <rPr>
        <sz val="9"/>
        <color rgb="FF595959"/>
        <rFont val="Arial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은 제작표를 만들 때 스크립트가 본문 범위를 장 단위로 검사한 결과입니다</t>
    </r>
    <r>
      <rPr>
        <sz val="9"/>
        <color rgb="FF595959"/>
        <rFont val="Arial"/>
        <family val="0"/>
        <charset val="1"/>
      </rPr>
      <t xml:space="preserve">.</t>
    </r>
  </si>
  <si>
    <t xml:space="preserve">순서</t>
  </si>
  <si>
    <t xml:space="preserve">약어</t>
  </si>
  <si>
    <r>
      <rPr>
        <b val="true"/>
        <sz val="10"/>
        <color rgb="FFFFFFFF"/>
        <rFont val="WenQuanYi Zen Hei"/>
        <family val="2"/>
      </rPr>
      <t xml:space="preserve">구약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신약</t>
    </r>
  </si>
  <si>
    <t xml:space="preserve">장르</t>
  </si>
  <si>
    <r>
      <rPr>
        <b val="true"/>
        <sz val="10"/>
        <color rgb="FFFFFFFF"/>
        <rFont val="WenQuanYi Zen Hei"/>
        <family val="2"/>
      </rPr>
      <t xml:space="preserve">시즌</t>
    </r>
    <r>
      <rPr>
        <b val="true"/>
        <sz val="10"/>
        <color rgb="FFFFFFFF"/>
        <rFont val="Arial"/>
        <family val="0"/>
        <charset val="1"/>
      </rPr>
      <t xml:space="preserve">1</t>
    </r>
  </si>
  <si>
    <r>
      <rPr>
        <b val="true"/>
        <sz val="10"/>
        <color rgb="FFFFFFFF"/>
        <rFont val="WenQuanYi Zen Hei"/>
        <family val="2"/>
      </rPr>
      <t xml:space="preserve">시즌</t>
    </r>
    <r>
      <rPr>
        <b val="true"/>
        <sz val="10"/>
        <color rgb="FFFFFFFF"/>
        <rFont val="Arial"/>
        <family val="0"/>
        <charset val="1"/>
      </rPr>
      <t xml:space="preserve">2</t>
    </r>
  </si>
  <si>
    <r>
      <rPr>
        <b val="true"/>
        <sz val="10"/>
        <color rgb="FFFFFFFF"/>
        <rFont val="WenQuanYi Zen Hei"/>
        <family val="2"/>
      </rPr>
      <t xml:space="preserve">통합본 </t>
    </r>
    <r>
      <rPr>
        <b val="true"/>
        <sz val="10"/>
        <color rgb="FFFFFFFF"/>
        <rFont val="Arial"/>
        <family val="0"/>
        <charset val="1"/>
      </rPr>
      <t xml:space="preserve">B </t>
    </r>
    <r>
      <rPr>
        <b val="true"/>
        <sz val="10"/>
        <color rgb="FFFFFFFF"/>
        <rFont val="WenQuanYi Zen Hei"/>
        <family val="2"/>
      </rPr>
      <t xml:space="preserve">수</t>
    </r>
  </si>
  <si>
    <r>
      <rPr>
        <b val="true"/>
        <sz val="10"/>
        <color rgb="FFFFFFFF"/>
        <rFont val="WenQuanYi Zen Hei"/>
        <family val="2"/>
      </rPr>
      <t xml:space="preserve">숏폼 분량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분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</si>
  <si>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성경 순서 시작</t>
  </si>
  <si>
    <t xml:space="preserve">성경 순서 끝</t>
  </si>
  <si>
    <t xml:space="preserve">분할 방식</t>
  </si>
  <si>
    <t xml:space="preserve">창</t>
  </si>
  <si>
    <t xml:space="preserve">율법서</t>
  </si>
  <si>
    <t xml:space="preserve">전체 장을 순서대로 빠짐없이 분할</t>
  </si>
  <si>
    <t xml:space="preserve">출</t>
  </si>
  <si>
    <t xml:space="preserve">레</t>
  </si>
  <si>
    <t xml:space="preserve">민</t>
  </si>
  <si>
    <t xml:space="preserve">신</t>
  </si>
  <si>
    <t xml:space="preserve">수</t>
  </si>
  <si>
    <t xml:space="preserve">역사서</t>
  </si>
  <si>
    <t xml:space="preserve">삿</t>
  </si>
  <si>
    <t xml:space="preserve">룻</t>
  </si>
  <si>
    <t xml:space="preserve">삼상</t>
  </si>
  <si>
    <t xml:space="preserve">삼하</t>
  </si>
  <si>
    <t xml:space="preserve">왕상</t>
  </si>
  <si>
    <t xml:space="preserve">왕하</t>
  </si>
  <si>
    <t xml:space="preserve">대상</t>
  </si>
  <si>
    <r>
      <rPr>
        <sz val="10"/>
        <color rgb="FF000000"/>
        <rFont val="WenQuanYi Zen Hei"/>
        <family val="2"/>
      </rPr>
      <t xml:space="preserve">사무엘서와 겹치는 내용은 압축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역대기 고유 관점 중심</t>
    </r>
  </si>
  <si>
    <t xml:space="preserve">대하</t>
  </si>
  <si>
    <r>
      <rPr>
        <sz val="10"/>
        <color rgb="FF000000"/>
        <rFont val="WenQuanYi Zen Hei"/>
        <family val="2"/>
      </rPr>
      <t xml:space="preserve">열왕기와 겹치는 내용은 압축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역대기 고유 관점 중심</t>
    </r>
  </si>
  <si>
    <t xml:space="preserve">스</t>
  </si>
  <si>
    <t xml:space="preserve">느</t>
  </si>
  <si>
    <t xml:space="preserve">에</t>
  </si>
  <si>
    <t xml:space="preserve">시가서</t>
  </si>
  <si>
    <t xml:space="preserve">시</t>
  </si>
  <si>
    <r>
      <rPr>
        <sz val="10"/>
        <color rgb="FF000000"/>
        <rFont val="Arial"/>
        <family val="0"/>
        <charset val="1"/>
      </rPr>
      <t xml:space="preserve">150</t>
    </r>
    <r>
      <rPr>
        <sz val="10"/>
        <color rgb="FF000000"/>
        <rFont val="WenQuanYi Zen Hei"/>
        <family val="2"/>
      </rPr>
      <t xml:space="preserve">편 중 대표 시편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WenQuanYi Zen Hei"/>
        <family val="2"/>
      </rPr>
      <t xml:space="preserve">편을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권 구조 순서로 선별</t>
    </r>
  </si>
  <si>
    <t xml:space="preserve">잠</t>
  </si>
  <si>
    <t xml:space="preserve">전</t>
  </si>
  <si>
    <t xml:space="preserve">아</t>
  </si>
  <si>
    <t xml:space="preserve">사</t>
  </si>
  <si>
    <t xml:space="preserve">선지서</t>
  </si>
  <si>
    <t xml:space="preserve">렘</t>
  </si>
  <si>
    <t xml:space="preserve">애</t>
  </si>
  <si>
    <t xml:space="preserve">겔</t>
  </si>
  <si>
    <t xml:space="preserve">단</t>
  </si>
  <si>
    <t xml:space="preserve">호</t>
  </si>
  <si>
    <t xml:space="preserve">욜</t>
  </si>
  <si>
    <t xml:space="preserve">암</t>
  </si>
  <si>
    <t xml:space="preserve">옵</t>
  </si>
  <si>
    <t xml:space="preserve">욘</t>
  </si>
  <si>
    <t xml:space="preserve">미</t>
  </si>
  <si>
    <t xml:space="preserve">나</t>
  </si>
  <si>
    <t xml:space="preserve">합</t>
  </si>
  <si>
    <t xml:space="preserve">습</t>
  </si>
  <si>
    <t xml:space="preserve">학</t>
  </si>
  <si>
    <t xml:space="preserve">슥</t>
  </si>
  <si>
    <t xml:space="preserve">말</t>
  </si>
  <si>
    <t xml:space="preserve">마</t>
  </si>
  <si>
    <t xml:space="preserve">복음서</t>
  </si>
  <si>
    <t xml:space="preserve">막</t>
  </si>
  <si>
    <r>
      <rPr>
        <sz val="10"/>
        <color rgb="FF000000"/>
        <rFont val="WenQuanYi Zen Hei"/>
        <family val="2"/>
      </rPr>
      <t xml:space="preserve">마태복음과 겹치는 사건은 제외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마가 고유 장면 위주 선별</t>
    </r>
  </si>
  <si>
    <t xml:space="preserve">눅</t>
  </si>
  <si>
    <r>
      <rPr>
        <sz val="10"/>
        <color rgb="FF000000"/>
        <rFont val="WenQuanYi Zen Hei"/>
        <family val="2"/>
      </rPr>
      <t xml:space="preserve">탄생 이야기와 누가 고유 비유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장면 위주 선별</t>
    </r>
  </si>
  <si>
    <t xml:space="preserve">요</t>
  </si>
  <si>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WenQuanYi Zen Hei"/>
        <family val="2"/>
      </rPr>
      <t xml:space="preserve">장 전체를 다루되 일부 강화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講話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는 대표 단락으로 압축</t>
    </r>
  </si>
  <si>
    <t xml:space="preserve">행</t>
  </si>
  <si>
    <t xml:space="preserve">롬</t>
  </si>
  <si>
    <t xml:space="preserve">바울서신</t>
  </si>
  <si>
    <t xml:space="preserve">고전</t>
  </si>
  <si>
    <t xml:space="preserve">고후</t>
  </si>
  <si>
    <t xml:space="preserve">갈</t>
  </si>
  <si>
    <t xml:space="preserve">엡</t>
  </si>
  <si>
    <t xml:space="preserve">빌</t>
  </si>
  <si>
    <t xml:space="preserve">골</t>
  </si>
  <si>
    <t xml:space="preserve">살전</t>
  </si>
  <si>
    <t xml:space="preserve">살후</t>
  </si>
  <si>
    <t xml:space="preserve">딤전</t>
  </si>
  <si>
    <t xml:space="preserve">목회서신</t>
  </si>
  <si>
    <t xml:space="preserve">딤후</t>
  </si>
  <si>
    <t xml:space="preserve">딛</t>
  </si>
  <si>
    <t xml:space="preserve">몬</t>
  </si>
  <si>
    <t xml:space="preserve">옥중서신</t>
  </si>
  <si>
    <t xml:space="preserve">히</t>
  </si>
  <si>
    <t xml:space="preserve">일반서신</t>
  </si>
  <si>
    <t xml:space="preserve">약</t>
  </si>
  <si>
    <t xml:space="preserve">벧전</t>
  </si>
  <si>
    <t xml:space="preserve">벧후</t>
  </si>
  <si>
    <t xml:space="preserve">요이</t>
  </si>
  <si>
    <t xml:space="preserve">요삼</t>
  </si>
  <si>
    <t xml:space="preserve">유</t>
  </si>
  <si>
    <t xml:space="preserve">계</t>
  </si>
  <si>
    <t xml:space="preserve">예언서</t>
  </si>
  <si>
    <t xml:space="preserve">합계</t>
  </si>
  <si>
    <t xml:space="preserve">ID</t>
  </si>
  <si>
    <t xml:space="preserve">인물</t>
  </si>
  <si>
    <t xml:space="preserve">집계 키워드</t>
  </si>
  <si>
    <t xml:space="preserve">구분</t>
  </si>
  <si>
    <t xml:space="preserve">주요 등장</t>
  </si>
  <si>
    <t xml:space="preserve">연령 단계</t>
  </si>
  <si>
    <r>
      <rPr>
        <b val="true"/>
        <sz val="10"/>
        <color rgb="FFFFFFFF"/>
        <rFont val="WenQuanYi Zen Hei"/>
        <family val="2"/>
      </rPr>
      <t xml:space="preserve">외형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가안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</si>
  <si>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의상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소품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가안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</si>
  <si>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연기 톤</t>
  </si>
  <si>
    <t xml:space="preserve">표현 주의</t>
  </si>
  <si>
    <r>
      <rPr>
        <b val="true"/>
        <sz val="10"/>
        <color rgb="FFFFFFFF"/>
        <rFont val="WenQuanYi Zen Hei"/>
        <family val="2"/>
      </rPr>
      <t xml:space="preserve">등장 </t>
    </r>
    <r>
      <rPr>
        <b val="true"/>
        <sz val="10"/>
        <color rgb="FFFFFFFF"/>
        <rFont val="Arial"/>
        <family val="0"/>
        <charset val="1"/>
      </rPr>
      <t xml:space="preserve">A </t>
    </r>
    <r>
      <rPr>
        <b val="true"/>
        <sz val="10"/>
        <color rgb="FFFFFFFF"/>
        <rFont val="WenQuanYi Zen Hei"/>
        <family val="2"/>
      </rPr>
      <t xml:space="preserve">편수</t>
    </r>
  </si>
  <si>
    <t xml:space="preserve">C01</t>
  </si>
  <si>
    <t xml:space="preserve">성부 하나님</t>
  </si>
  <si>
    <t xml:space="preserve">하나님</t>
  </si>
  <si>
    <t xml:space="preserve">삼위 하나님</t>
  </si>
  <si>
    <t xml:space="preserve">전권</t>
  </si>
  <si>
    <t xml:space="preserve">-</t>
  </si>
  <si>
    <t xml:space="preserve">사람 형상 없음</t>
  </si>
  <si>
    <r>
      <rPr>
        <sz val="10"/>
        <color rgb="FF000000"/>
        <rFont val="WenQuanYi Zen Hei"/>
        <family val="2"/>
      </rPr>
      <t xml:space="preserve">빛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구름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불꽃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폭풍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음성</t>
    </r>
  </si>
  <si>
    <r>
      <rPr>
        <sz val="10"/>
        <color rgb="FF000000"/>
        <rFont val="WenQuanYi Zen Hei"/>
        <family val="2"/>
      </rPr>
      <t xml:space="preserve">깊고 따뜻한 저음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은은한 울림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내레이터와 다른 목소리</t>
    </r>
  </si>
  <si>
    <r>
      <rPr>
        <sz val="10"/>
        <color rgb="FF000000"/>
        <rFont val="WenQuanYi Zen Hei"/>
        <family val="2"/>
      </rPr>
      <t xml:space="preserve">얼굴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노인 형상 절대 금지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대요리문답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WenQuanYi Zen Hei"/>
        <family val="2"/>
      </rPr>
      <t xml:space="preserve">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4:15-16)</t>
    </r>
  </si>
  <si>
    <t xml:space="preserve">C02</t>
  </si>
  <si>
    <t xml:space="preserve">성자 예수님</t>
  </si>
  <si>
    <t xml:space="preserve">예수님</t>
  </si>
  <si>
    <r>
      <rPr>
        <sz val="10"/>
        <color rgb="FF000000"/>
        <rFont val="WenQuanYi Zen Hei"/>
        <family val="2"/>
      </rPr>
      <t xml:space="preserve">복음서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사도행전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계시록</t>
    </r>
  </si>
  <si>
    <r>
      <rPr>
        <sz val="10"/>
        <color rgb="FF000000"/>
        <rFont val="WenQuanYi Zen Hei"/>
        <family val="2"/>
      </rPr>
      <t xml:space="preserve">아기</t>
    </r>
    <r>
      <rPr>
        <sz val="10"/>
        <color rgb="FF000000"/>
        <rFont val="Arial"/>
        <family val="0"/>
        <charset val="1"/>
      </rPr>
      <t xml:space="preserve">, 12</t>
    </r>
    <r>
      <rPr>
        <sz val="10"/>
        <color rgb="FF000000"/>
        <rFont val="WenQuanYi Zen Hei"/>
        <family val="2"/>
      </rPr>
      <t xml:space="preserve">세</t>
    </r>
    <r>
      <rPr>
        <sz val="10"/>
        <color rgb="FF000000"/>
        <rFont val="Arial"/>
        <family val="0"/>
        <charset val="1"/>
      </rPr>
      <t xml:space="preserve">, 30</t>
    </r>
    <r>
      <rPr>
        <sz val="10"/>
        <color rgb="FF000000"/>
        <rFont val="WenQuanYi Zen Hei"/>
        <family val="2"/>
      </rPr>
      <t xml:space="preserve">대</t>
    </r>
  </si>
  <si>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대 초반 중동계 남성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올리브빛 피부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어깨 길이 짙은 갈색 머리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짧은 수염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가안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</si>
  <si>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연한 베이지 튜닉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짙은 청색 겉옷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샌들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가안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</si>
  <si>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온화하고 단호함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과장된 표정 금지</t>
    </r>
  </si>
  <si>
    <r>
      <rPr>
        <sz val="10"/>
        <color rgb="FF000000"/>
        <rFont val="WenQuanYi Zen Hei"/>
        <family val="2"/>
      </rPr>
      <t xml:space="preserve">절충안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역광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측면 위주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얼굴 클로즈업 최소화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십자가 잔혹 묘사 금지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시리즈 내내 단일 디자인 고정</t>
    </r>
  </si>
  <si>
    <t xml:space="preserve">C03</t>
  </si>
  <si>
    <t xml:space="preserve">성령</t>
  </si>
  <si>
    <r>
      <rPr>
        <sz val="10"/>
        <color rgb="FF000000"/>
        <rFont val="WenQuanYi Zen Hei"/>
        <family val="2"/>
      </rPr>
      <t xml:space="preserve">비둘기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불의 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바람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생수</t>
    </r>
  </si>
  <si>
    <t xml:space="preserve">성경에 나오는 상징만 사용</t>
  </si>
  <si>
    <t xml:space="preserve">C04</t>
  </si>
  <si>
    <r>
      <rPr>
        <sz val="10"/>
        <color rgb="FF000000"/>
        <rFont val="WenQuanYi Zen Hei"/>
        <family val="2"/>
      </rPr>
      <t xml:space="preserve">천사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가브리엘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미가엘 등</t>
    </r>
    <r>
      <rPr>
        <sz val="10"/>
        <color rgb="FF000000"/>
        <rFont val="Arial"/>
        <family val="0"/>
        <charset val="1"/>
      </rPr>
      <t xml:space="preserve">)</t>
    </r>
  </si>
  <si>
    <t xml:space="preserve">천사</t>
  </si>
  <si>
    <t xml:space="preserve">영적 존재</t>
  </si>
  <si>
    <r>
      <rPr>
        <sz val="10"/>
        <color rgb="FF000000"/>
        <rFont val="WenQuanYi Zen Hei"/>
        <family val="2"/>
      </rPr>
      <t xml:space="preserve">빛나는 성인 남성 형상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신비로운 분위기</t>
    </r>
  </si>
  <si>
    <r>
      <rPr>
        <sz val="10"/>
        <color rgb="FF000000"/>
        <rFont val="WenQuanYi Zen Hei"/>
        <family val="2"/>
      </rPr>
      <t xml:space="preserve">흰 세마포 옷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은은한 빛</t>
    </r>
  </si>
  <si>
    <t xml:space="preserve">위엄 있고 차분함</t>
  </si>
  <si>
    <r>
      <rPr>
        <sz val="10"/>
        <color rgb="FF000000"/>
        <rFont val="WenQuanYi Zen Hei"/>
        <family val="2"/>
      </rPr>
      <t xml:space="preserve">아기천사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큐피드</t>
    </r>
    <r>
      <rPr>
        <sz val="10"/>
        <color rgb="FF000000"/>
        <rFont val="Arial"/>
        <family val="0"/>
        <charset val="1"/>
      </rPr>
      <t xml:space="preserve">)·</t>
    </r>
    <r>
      <rPr>
        <sz val="10"/>
        <color rgb="FF000000"/>
        <rFont val="WenQuanYi Zen Hei"/>
        <family val="2"/>
      </rPr>
      <t xml:space="preserve">여성화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과장된 날개 금지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그룹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스랍만 성경 묘사대로 날개 표현</t>
    </r>
  </si>
  <si>
    <t xml:space="preserve">C05</t>
  </si>
  <si>
    <r>
      <rPr>
        <sz val="10"/>
        <color rgb="FF000000"/>
        <rFont val="WenQuanYi Zen Hei"/>
        <family val="2"/>
      </rPr>
      <t xml:space="preserve">사탄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에덴의 뱀</t>
    </r>
  </si>
  <si>
    <t xml:space="preserve">사탄</t>
  </si>
  <si>
    <r>
      <rPr>
        <sz val="10"/>
        <color rgb="FF000000"/>
        <rFont val="WenQuanYi Zen Hei"/>
        <family val="2"/>
      </rPr>
      <t xml:space="preserve">창세기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욥기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복음서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계시록</t>
    </r>
  </si>
  <si>
    <r>
      <rPr>
        <sz val="10"/>
        <color rgb="FF000000"/>
        <rFont val="WenQuanYi Zen Hei"/>
        <family val="2"/>
      </rPr>
      <t xml:space="preserve">에덴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실제 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교활한 눈빛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WenQuanYi Zen Hei"/>
        <family val="2"/>
      </rPr>
      <t xml:space="preserve">그 외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형체 없는 그림자</t>
    </r>
  </si>
  <si>
    <t xml:space="preserve">부드럽고 속이는 말투</t>
  </si>
  <si>
    <r>
      <rPr>
        <sz val="10"/>
        <color rgb="FF000000"/>
        <rFont val="WenQuanYi Zen Hei"/>
        <family val="2"/>
      </rPr>
      <t xml:space="preserve">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삼지창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빨간 악마 금지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공포 연출 최소화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하나님 허락 아래 제한된 존재로</t>
    </r>
  </si>
  <si>
    <t xml:space="preserve">C06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</si>
  <si>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1~5</t>
    </r>
  </si>
  <si>
    <r>
      <rPr>
        <sz val="10"/>
        <color rgb="FF000000"/>
        <rFont val="WenQuanYi Zen Hei"/>
        <family val="2"/>
      </rPr>
      <t xml:space="preserve">청년</t>
    </r>
    <r>
      <rPr>
        <sz val="10"/>
        <color rgb="FF000000"/>
        <rFont val="Arial"/>
        <family val="0"/>
        <charset val="1"/>
      </rPr>
      <t xml:space="preserve">~</t>
    </r>
    <r>
      <rPr>
        <sz val="10"/>
        <color rgb="FF000000"/>
        <rFont val="WenQuanYi Zen Hei"/>
        <family val="2"/>
      </rPr>
      <t xml:space="preserve">노년</t>
    </r>
  </si>
  <si>
    <r>
      <rPr>
        <sz val="10"/>
        <color rgb="FF000000"/>
        <rFont val="WenQuanYi Zen Hei"/>
        <family val="2"/>
      </rPr>
      <t xml:space="preserve">건장한 청년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갈색 피부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곱슬 머리</t>
    </r>
  </si>
  <si>
    <r>
      <rPr>
        <sz val="10"/>
        <color rgb="FF000000"/>
        <rFont val="WenQuanYi Zen Hei"/>
        <family val="2"/>
      </rPr>
      <t xml:space="preserve">에덴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식물로 자연스럽게 가림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이후 가죽옷</t>
    </r>
  </si>
  <si>
    <t xml:space="preserve">순수함→부끄러움</t>
  </si>
  <si>
    <t xml:space="preserve">노출 금지</t>
  </si>
  <si>
    <t xml:space="preserve">C07</t>
  </si>
  <si>
    <t xml:space="preserve">하와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</si>
  <si>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1~4</t>
    </r>
  </si>
  <si>
    <r>
      <rPr>
        <sz val="10"/>
        <color rgb="FF000000"/>
        <rFont val="WenQuanYi Zen Hei"/>
        <family val="2"/>
      </rPr>
      <t xml:space="preserve">청년</t>
    </r>
    <r>
      <rPr>
        <sz val="10"/>
        <color rgb="FF000000"/>
        <rFont val="Arial"/>
        <family val="0"/>
        <charset val="1"/>
      </rPr>
      <t xml:space="preserve">~</t>
    </r>
    <r>
      <rPr>
        <sz val="10"/>
        <color rgb="FF000000"/>
        <rFont val="WenQuanYi Zen Hei"/>
        <family val="2"/>
      </rPr>
      <t xml:space="preserve">장년</t>
    </r>
  </si>
  <si>
    <r>
      <rPr>
        <sz val="10"/>
        <color rgb="FF000000"/>
        <rFont val="WenQuanYi Zen Hei"/>
        <family val="2"/>
      </rPr>
      <t xml:space="preserve">긴 검은 곱슬머리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갈색 피부</t>
    </r>
  </si>
  <si>
    <r>
      <rPr>
        <sz val="10"/>
        <color rgb="FF000000"/>
        <rFont val="WenQuanYi Zen Hei"/>
        <family val="2"/>
      </rPr>
      <t xml:space="preserve">에덴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긴 머리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식물로 가림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이후 가죽옷</t>
    </r>
  </si>
  <si>
    <t xml:space="preserve">호기심→후회</t>
  </si>
  <si>
    <r>
      <rPr>
        <sz val="10"/>
        <color rgb="FF000000"/>
        <rFont val="WenQuanYi Zen Hei"/>
        <family val="2"/>
      </rPr>
      <t xml:space="preserve">노출 금지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타락의 책임을 여성에게만 돌리는 연출 금지</t>
    </r>
  </si>
  <si>
    <t xml:space="preserve">C08</t>
  </si>
  <si>
    <r>
      <rPr>
        <sz val="10"/>
        <color rgb="FF000000"/>
        <rFont val="WenQuanYi Zen Hei"/>
        <family val="2"/>
      </rPr>
      <t xml:space="preserve">가인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아벨</t>
    </r>
  </si>
  <si>
    <t xml:space="preserve">가인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</si>
  <si>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4</t>
    </r>
  </si>
  <si>
    <t xml:space="preserve">청년</t>
  </si>
  <si>
    <r>
      <rPr>
        <sz val="10"/>
        <color rgb="FF000000"/>
        <rFont val="WenQuanYi Zen Hei"/>
        <family val="2"/>
      </rPr>
      <t xml:space="preserve">가인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굵은 체격 농부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아벨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마른 체격 목자</t>
    </r>
  </si>
  <si>
    <r>
      <rPr>
        <sz val="10"/>
        <color rgb="FF000000"/>
        <rFont val="WenQuanYi Zen Hei"/>
        <family val="2"/>
      </rPr>
      <t xml:space="preserve">가인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흙빛 옷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농기구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아벨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양털 옷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지팡이</t>
    </r>
  </si>
  <si>
    <r>
      <rPr>
        <sz val="10"/>
        <color rgb="FF000000"/>
        <rFont val="WenQuanYi Zen Hei"/>
        <family val="2"/>
      </rPr>
      <t xml:space="preserve">가인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분노 억누름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아벨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온화함</t>
    </r>
  </si>
  <si>
    <t xml:space="preserve">살해 장면 직접 묘사 금지</t>
  </si>
  <si>
    <t xml:space="preserve">C09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</si>
  <si>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5~9</t>
    </r>
  </si>
  <si>
    <r>
      <rPr>
        <sz val="10"/>
        <color rgb="FF000000"/>
        <rFont val="Arial"/>
        <family val="0"/>
        <charset val="1"/>
      </rPr>
      <t xml:space="preserve">500~600</t>
    </r>
    <r>
      <rPr>
        <sz val="10"/>
        <color rgb="FF000000"/>
        <rFont val="WenQuanYi Zen Hei"/>
        <family val="2"/>
      </rPr>
      <t xml:space="preserve">세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노년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</si>
  <si>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흰 긴 수염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굵은 팔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주름진 따뜻한 눈</t>
    </r>
  </si>
  <si>
    <r>
      <rPr>
        <sz val="10"/>
        <color rgb="FF000000"/>
        <rFont val="WenQuanYi Zen Hei"/>
        <family val="2"/>
      </rPr>
      <t xml:space="preserve">갈색 양모 겉옷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망치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목재</t>
    </r>
  </si>
  <si>
    <t xml:space="preserve">묵묵하고 성실함</t>
  </si>
  <si>
    <t xml:space="preserve">C10</t>
  </si>
  <si>
    <r>
      <rPr>
        <sz val="10"/>
        <color rgb="FF000000"/>
        <rFont val="WenQuanYi Zen Hei"/>
        <family val="2"/>
      </rPr>
      <t xml:space="preserve">아브라함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아브람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</si>
  <si>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11~25</t>
    </r>
  </si>
  <si>
    <r>
      <rPr>
        <sz val="10"/>
        <color rgb="FF000000"/>
        <rFont val="Arial"/>
        <family val="0"/>
        <charset val="1"/>
      </rPr>
      <t xml:space="preserve">75</t>
    </r>
    <r>
      <rPr>
        <sz val="10"/>
        <color rgb="FF000000"/>
        <rFont val="WenQuanYi Zen Hei"/>
        <family val="2"/>
      </rPr>
      <t xml:space="preserve">세</t>
    </r>
    <r>
      <rPr>
        <sz val="10"/>
        <color rgb="FF000000"/>
        <rFont val="Arial"/>
        <family val="0"/>
        <charset val="1"/>
      </rPr>
      <t xml:space="preserve">~175</t>
    </r>
    <r>
      <rPr>
        <sz val="10"/>
        <color rgb="FF000000"/>
        <rFont val="WenQuanYi Zen Hei"/>
        <family val="2"/>
      </rPr>
      <t xml:space="preserve">세</t>
    </r>
  </si>
  <si>
    <r>
      <rPr>
        <sz val="10"/>
        <color rgb="FF000000"/>
        <rFont val="WenQuanYi Zen Hei"/>
        <family val="2"/>
      </rPr>
      <t xml:space="preserve">회색→흰 수염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키 크고 마른 체격</t>
    </r>
  </si>
  <si>
    <r>
      <rPr>
        <sz val="10"/>
        <color rgb="FF000000"/>
        <rFont val="WenQuanYi Zen Hei"/>
        <family val="2"/>
      </rPr>
      <t xml:space="preserve">줄무늬 양모 겉옷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지팡이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장막</t>
    </r>
  </si>
  <si>
    <t xml:space="preserve">믿음과 흔들림이 공존</t>
  </si>
  <si>
    <r>
      <rPr>
        <sz val="10"/>
        <color rgb="FF000000"/>
        <rFont val="WenQuanYi Zen Hei"/>
        <family val="2"/>
      </rPr>
      <t xml:space="preserve">연령별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단계</t>
    </r>
    <r>
      <rPr>
        <sz val="10"/>
        <color rgb="FF000000"/>
        <rFont val="Arial"/>
        <family val="0"/>
        <charset val="1"/>
      </rPr>
      <t xml:space="preserve">(75</t>
    </r>
    <r>
      <rPr>
        <sz val="10"/>
        <color rgb="FF000000"/>
        <rFont val="WenQuanYi Zen Hei"/>
        <family val="2"/>
      </rPr>
      <t xml:space="preserve">세</t>
    </r>
    <r>
      <rPr>
        <sz val="10"/>
        <color rgb="FF000000"/>
        <rFont val="Arial"/>
        <family val="0"/>
        <charset val="1"/>
      </rPr>
      <t xml:space="preserve">/100</t>
    </r>
    <r>
      <rPr>
        <sz val="10"/>
        <color rgb="FF000000"/>
        <rFont val="WenQuanYi Zen Hei"/>
        <family val="2"/>
      </rPr>
      <t xml:space="preserve">세 이후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시트 분리</t>
    </r>
  </si>
  <si>
    <t xml:space="preserve">C11</t>
  </si>
  <si>
    <r>
      <rPr>
        <sz val="10"/>
        <color rgb="FF000000"/>
        <rFont val="WenQuanYi Zen Hei"/>
        <family val="2"/>
      </rPr>
      <t xml:space="preserve">사라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사래</t>
    </r>
    <r>
      <rPr>
        <sz val="10"/>
        <color rgb="FF000000"/>
        <rFont val="Arial"/>
        <family val="0"/>
        <charset val="1"/>
      </rPr>
      <t xml:space="preserve">)</t>
    </r>
  </si>
  <si>
    <t xml:space="preserve">사라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</si>
  <si>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11~23</t>
    </r>
  </si>
  <si>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WenQuanYi Zen Hei"/>
        <family val="2"/>
      </rPr>
      <t xml:space="preserve">세</t>
    </r>
    <r>
      <rPr>
        <sz val="10"/>
        <color rgb="FF000000"/>
        <rFont val="Arial"/>
        <family val="0"/>
        <charset val="1"/>
      </rPr>
      <t xml:space="preserve">~127</t>
    </r>
    <r>
      <rPr>
        <sz val="10"/>
        <color rgb="FF000000"/>
        <rFont val="WenQuanYi Zen Hei"/>
        <family val="2"/>
      </rPr>
      <t xml:space="preserve">세</t>
    </r>
  </si>
  <si>
    <r>
      <rPr>
        <sz val="10"/>
        <color rgb="FF000000"/>
        <rFont val="WenQuanYi Zen Hei"/>
        <family val="2"/>
      </rPr>
      <t xml:space="preserve">기품 있는 얼굴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은빛이 섞인 머리</t>
    </r>
  </si>
  <si>
    <r>
      <rPr>
        <sz val="10"/>
        <color rgb="FF000000"/>
        <rFont val="WenQuanYi Zen Hei"/>
        <family val="2"/>
      </rPr>
      <t xml:space="preserve">청색 머릿수건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고운 겉옷</t>
    </r>
  </si>
  <si>
    <t xml:space="preserve">웃음과 기다림</t>
  </si>
  <si>
    <t xml:space="preserve">C12</t>
  </si>
  <si>
    <t xml:space="preserve">이삭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</si>
  <si>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21~35</t>
    </r>
  </si>
  <si>
    <r>
      <rPr>
        <sz val="10"/>
        <color rgb="FF000000"/>
        <rFont val="WenQuanYi Zen Hei"/>
        <family val="2"/>
      </rPr>
      <t xml:space="preserve">소년</t>
    </r>
    <r>
      <rPr>
        <sz val="10"/>
        <color rgb="FF000000"/>
        <rFont val="Arial"/>
        <family val="0"/>
        <charset val="1"/>
      </rPr>
      <t xml:space="preserve">~</t>
    </r>
    <r>
      <rPr>
        <sz val="10"/>
        <color rgb="FF000000"/>
        <rFont val="WenQuanYi Zen Hei"/>
        <family val="2"/>
      </rPr>
      <t xml:space="preserve">노년</t>
    </r>
  </si>
  <si>
    <r>
      <rPr>
        <sz val="10"/>
        <color rgb="FF000000"/>
        <rFont val="WenQuanYi Zen Hei"/>
        <family val="2"/>
      </rPr>
      <t xml:space="preserve">온순한 인상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아버지 닮은 얼굴</t>
    </r>
  </si>
  <si>
    <r>
      <rPr>
        <sz val="10"/>
        <color rgb="FF000000"/>
        <rFont val="WenQuanYi Zen Hei"/>
        <family val="2"/>
      </rPr>
      <t xml:space="preserve">흰색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베이지 겉옷</t>
    </r>
  </si>
  <si>
    <t xml:space="preserve">조용하고 온순함</t>
  </si>
  <si>
    <r>
      <rPr>
        <sz val="10"/>
        <color rgb="FF000000"/>
        <rFont val="WenQuanYi Zen Hei"/>
        <family val="2"/>
      </rPr>
      <t xml:space="preserve">모리아 장면 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결박 공포 연출 금지</t>
    </r>
  </si>
  <si>
    <t xml:space="preserve">C13</t>
  </si>
  <si>
    <t xml:space="preserve">리브가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</si>
  <si>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24~27</t>
    </r>
  </si>
  <si>
    <r>
      <rPr>
        <sz val="10"/>
        <color rgb="FF000000"/>
        <rFont val="WenQuanYi Zen Hei"/>
        <family val="2"/>
      </rPr>
      <t xml:space="preserve">소녀</t>
    </r>
    <r>
      <rPr>
        <sz val="10"/>
        <color rgb="FF000000"/>
        <rFont val="Arial"/>
        <family val="0"/>
        <charset val="1"/>
      </rPr>
      <t xml:space="preserve">~</t>
    </r>
    <r>
      <rPr>
        <sz val="10"/>
        <color rgb="FF000000"/>
        <rFont val="WenQuanYi Zen Hei"/>
        <family val="2"/>
      </rPr>
      <t xml:space="preserve">장년</t>
    </r>
  </si>
  <si>
    <r>
      <rPr>
        <sz val="10"/>
        <color rgb="FF000000"/>
        <rFont val="WenQuanYi Zen Hei"/>
        <family val="2"/>
      </rPr>
      <t xml:space="preserve">큰 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긴 땋은 머리</t>
    </r>
  </si>
  <si>
    <r>
      <rPr>
        <sz val="10"/>
        <color rgb="FF000000"/>
        <rFont val="WenQuanYi Zen Hei"/>
        <family val="2"/>
      </rPr>
      <t xml:space="preserve">물동이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금 코걸이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팔찌</t>
    </r>
  </si>
  <si>
    <t xml:space="preserve">결단력</t>
  </si>
  <si>
    <t xml:space="preserve">C14</t>
  </si>
  <si>
    <r>
      <rPr>
        <sz val="10"/>
        <color rgb="FF000000"/>
        <rFont val="WenQuanYi Zen Hei"/>
        <family val="2"/>
      </rPr>
      <t xml:space="preserve">야곱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이스라엘</t>
    </r>
    <r>
      <rPr>
        <sz val="10"/>
        <color rgb="FF000000"/>
        <rFont val="Arial"/>
        <family val="0"/>
        <charset val="1"/>
      </rPr>
      <t xml:space="preserve">)</t>
    </r>
  </si>
  <si>
    <t xml:space="preserve">야곱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</si>
  <si>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25~50</t>
    </r>
  </si>
  <si>
    <r>
      <rPr>
        <sz val="10"/>
        <color rgb="FF000000"/>
        <rFont val="WenQuanYi Zen Hei"/>
        <family val="2"/>
      </rPr>
      <t xml:space="preserve">청년</t>
    </r>
    <r>
      <rPr>
        <sz val="10"/>
        <color rgb="FF000000"/>
        <rFont val="Arial"/>
        <family val="0"/>
        <charset val="1"/>
      </rPr>
      <t xml:space="preserve">~147</t>
    </r>
    <r>
      <rPr>
        <sz val="10"/>
        <color rgb="FF000000"/>
        <rFont val="WenQuanYi Zen Hei"/>
        <family val="2"/>
      </rPr>
      <t xml:space="preserve">세</t>
    </r>
  </si>
  <si>
    <r>
      <rPr>
        <sz val="10"/>
        <color rgb="FF000000"/>
        <rFont val="WenQuanYi Zen Hei"/>
        <family val="2"/>
      </rPr>
      <t xml:space="preserve">영리한 눈빛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매끈한 피부 → 얍복강 후 절뚝임</t>
    </r>
  </si>
  <si>
    <t xml:space="preserve">청색 겉옷 → 노년 지팡이</t>
  </si>
  <si>
    <t xml:space="preserve">꾀 많음→성숙</t>
  </si>
  <si>
    <r>
      <rPr>
        <sz val="10"/>
        <color rgb="FF000000"/>
        <rFont val="WenQuanYi Zen Hei"/>
        <family val="2"/>
      </rPr>
      <t xml:space="preserve">연령별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단계 시트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청년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귀향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노년</t>
    </r>
    <r>
      <rPr>
        <sz val="10"/>
        <color rgb="FF000000"/>
        <rFont val="Arial"/>
        <family val="0"/>
        <charset val="1"/>
      </rPr>
      <t xml:space="preserve">)</t>
    </r>
  </si>
  <si>
    <t xml:space="preserve">C15</t>
  </si>
  <si>
    <t xml:space="preserve">에서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</si>
  <si>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25~36</t>
    </r>
  </si>
  <si>
    <r>
      <rPr>
        <sz val="10"/>
        <color rgb="FF000000"/>
        <rFont val="WenQuanYi Zen Hei"/>
        <family val="2"/>
      </rPr>
      <t xml:space="preserve">붉은빛 피부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털이 많은 체격</t>
    </r>
  </si>
  <si>
    <r>
      <rPr>
        <sz val="10"/>
        <color rgb="FF000000"/>
        <rFont val="WenQuanYi Zen Hei"/>
        <family val="2"/>
      </rPr>
      <t xml:space="preserve">사냥 가죽옷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활</t>
    </r>
  </si>
  <si>
    <t xml:space="preserve">거칠고 충동적</t>
  </si>
  <si>
    <t xml:space="preserve">C16</t>
  </si>
  <si>
    <r>
      <rPr>
        <sz val="10"/>
        <color rgb="FF000000"/>
        <rFont val="WenQuanYi Zen Hei"/>
        <family val="2"/>
      </rPr>
      <t xml:space="preserve">라헬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레아</t>
    </r>
  </si>
  <si>
    <t xml:space="preserve">라헬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</si>
  <si>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29~35</t>
    </r>
  </si>
  <si>
    <r>
      <rPr>
        <sz val="10"/>
        <color rgb="FF000000"/>
        <rFont val="WenQuanYi Zen Hei"/>
        <family val="2"/>
      </rPr>
      <t xml:space="preserve">라헬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아름다운 목자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레아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부드러운 눈매</t>
    </r>
  </si>
  <si>
    <r>
      <rPr>
        <sz val="10"/>
        <color rgb="FF000000"/>
        <rFont val="WenQuanYi Zen Hei"/>
        <family val="2"/>
      </rPr>
      <t xml:space="preserve">라헬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붉은 머릿수건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레아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녹색 머릿수건</t>
    </r>
  </si>
  <si>
    <r>
      <rPr>
        <sz val="10"/>
        <color rgb="FF000000"/>
        <rFont val="WenQuanYi Zen Hei"/>
        <family val="2"/>
      </rPr>
      <t xml:space="preserve">라헬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밝음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레아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외로움→감사</t>
    </r>
  </si>
  <si>
    <t xml:space="preserve">외모 비하 연출 금지</t>
  </si>
  <si>
    <t xml:space="preserve">C17</t>
  </si>
  <si>
    <r>
      <rPr>
        <sz val="10"/>
        <color rgb="FF000000"/>
        <rFont val="WenQuanYi Zen Hei"/>
        <family val="2"/>
      </rPr>
      <t xml:space="preserve">요셉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구약</t>
    </r>
    <r>
      <rPr>
        <sz val="10"/>
        <color rgb="FF000000"/>
        <rFont val="Arial"/>
        <family val="0"/>
        <charset val="1"/>
      </rPr>
      <t xml:space="preserve">)</t>
    </r>
  </si>
  <si>
    <t xml:space="preserve">요셉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</si>
  <si>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37~50</t>
    </r>
  </si>
  <si>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WenQuanYi Zen Hei"/>
        <family val="2"/>
      </rPr>
      <t xml:space="preserve">세</t>
    </r>
    <r>
      <rPr>
        <sz val="10"/>
        <color rgb="FF000000"/>
        <rFont val="Arial"/>
        <family val="0"/>
        <charset val="1"/>
      </rPr>
      <t xml:space="preserve">, 30</t>
    </r>
    <r>
      <rPr>
        <sz val="10"/>
        <color rgb="FF000000"/>
        <rFont val="WenQuanYi Zen Hei"/>
        <family val="2"/>
      </rPr>
      <t xml:space="preserve">세</t>
    </r>
    <r>
      <rPr>
        <sz val="10"/>
        <color rgb="FF000000"/>
        <rFont val="Arial"/>
        <family val="0"/>
        <charset val="1"/>
      </rPr>
      <t xml:space="preserve">, 110</t>
    </r>
    <r>
      <rPr>
        <sz val="10"/>
        <color rgb="FF000000"/>
        <rFont val="WenQuanYi Zen Hei"/>
        <family val="2"/>
      </rPr>
      <t xml:space="preserve">세</t>
    </r>
  </si>
  <si>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WenQuanYi Zen Hei"/>
        <family val="2"/>
      </rPr>
      <t xml:space="preserve">세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소년 </t>
    </r>
    <r>
      <rPr>
        <sz val="10"/>
        <color rgb="FF000000"/>
        <rFont val="Arial"/>
        <family val="0"/>
        <charset val="1"/>
      </rPr>
      <t xml:space="preserve">/ 30</t>
    </r>
    <r>
      <rPr>
        <sz val="10"/>
        <color rgb="FF000000"/>
        <rFont val="WenQuanYi Zen Hei"/>
        <family val="2"/>
      </rPr>
      <t xml:space="preserve">세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깔끔히 면도한 애굽 총리</t>
    </r>
  </si>
  <si>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WenQuanYi Zen Hei"/>
        <family val="2"/>
      </rPr>
      <t xml:space="preserve">세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채색옷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총리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흰 세마포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금 목걸이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인장 반지</t>
    </r>
  </si>
  <si>
    <t xml:space="preserve">꿈꾸는 소년→지혜로운 총리</t>
  </si>
  <si>
    <r>
      <rPr>
        <sz val="10"/>
        <color rgb="FF000000"/>
        <rFont val="WenQuanYi Zen Hei"/>
        <family val="2"/>
      </rPr>
      <t xml:space="preserve">신약의 요셉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마리아의 남편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과 디자인 확실히 구분</t>
    </r>
  </si>
  <si>
    <t xml:space="preserve">C18</t>
  </si>
  <si>
    <r>
      <rPr>
        <sz val="10"/>
        <color rgb="FF000000"/>
        <rFont val="WenQuanYi Zen Hei"/>
        <family val="2"/>
      </rPr>
      <t xml:space="preserve">유다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야곱의 아들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</si>
  <si>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굳센 턱선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넓은 어깨</t>
    </r>
  </si>
  <si>
    <t xml:space="preserve">붉은 갈색 겉옷</t>
  </si>
  <si>
    <t xml:space="preserve">책임을 지는 사람으로 변화</t>
  </si>
  <si>
    <t xml:space="preserve">가룟 유다와 혼동 없게 자막 표기</t>
  </si>
  <si>
    <t xml:space="preserve">C19</t>
  </si>
  <si>
    <r>
      <rPr>
        <sz val="10"/>
        <color rgb="FF000000"/>
        <rFont val="WenQuanYi Zen Hei"/>
        <family val="2"/>
      </rPr>
      <t xml:space="preserve">출애굽기</t>
    </r>
    <r>
      <rPr>
        <sz val="10"/>
        <color rgb="FF000000"/>
        <rFont val="Arial"/>
        <family val="0"/>
        <charset val="1"/>
      </rPr>
      <t xml:space="preserve">~</t>
    </r>
    <r>
      <rPr>
        <sz val="10"/>
        <color rgb="FF000000"/>
        <rFont val="WenQuanYi Zen Hei"/>
        <family val="2"/>
      </rPr>
      <t xml:space="preserve">신명기</t>
    </r>
  </si>
  <si>
    <r>
      <rPr>
        <sz val="10"/>
        <color rgb="FF000000"/>
        <rFont val="WenQuanYi Zen Hei"/>
        <family val="2"/>
      </rPr>
      <t xml:space="preserve">아기</t>
    </r>
    <r>
      <rPr>
        <sz val="10"/>
        <color rgb="FF000000"/>
        <rFont val="Arial"/>
        <family val="0"/>
        <charset val="1"/>
      </rPr>
      <t xml:space="preserve">, 40</t>
    </r>
    <r>
      <rPr>
        <sz val="10"/>
        <color rgb="FF000000"/>
        <rFont val="WenQuanYi Zen Hei"/>
        <family val="2"/>
      </rPr>
      <t xml:space="preserve">세</t>
    </r>
    <r>
      <rPr>
        <sz val="10"/>
        <color rgb="FF000000"/>
        <rFont val="Arial"/>
        <family val="0"/>
        <charset val="1"/>
      </rPr>
      <t xml:space="preserve">, 80</t>
    </r>
    <r>
      <rPr>
        <sz val="10"/>
        <color rgb="FF000000"/>
        <rFont val="WenQuanYi Zen Hei"/>
        <family val="2"/>
      </rPr>
      <t xml:space="preserve">세</t>
    </r>
    <r>
      <rPr>
        <sz val="10"/>
        <color rgb="FF000000"/>
        <rFont val="Arial"/>
        <family val="0"/>
        <charset val="1"/>
      </rPr>
      <t xml:space="preserve">, 120</t>
    </r>
    <r>
      <rPr>
        <sz val="10"/>
        <color rgb="FF000000"/>
        <rFont val="WenQuanYi Zen Hei"/>
        <family val="2"/>
      </rPr>
      <t xml:space="preserve">세</t>
    </r>
  </si>
  <si>
    <r>
      <rPr>
        <sz val="10"/>
        <color rgb="FF000000"/>
        <rFont val="Arial"/>
        <family val="0"/>
        <charset val="1"/>
      </rPr>
      <t xml:space="preserve">80</t>
    </r>
    <r>
      <rPr>
        <sz val="10"/>
        <color rgb="FF000000"/>
        <rFont val="WenQuanYi Zen Hei"/>
        <family val="2"/>
      </rPr>
      <t xml:space="preserve">세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흰 수염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강한 눈빛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햇볕에 그을린 피부</t>
    </r>
  </si>
  <si>
    <r>
      <rPr>
        <sz val="10"/>
        <color rgb="FF000000"/>
        <rFont val="WenQuanYi Zen Hei"/>
        <family val="2"/>
      </rPr>
      <t xml:space="preserve">갈색 양치기 겉옷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지팡이 </t>
    </r>
    <r>
      <rPr>
        <sz val="10"/>
        <color rgb="FF000000"/>
        <rFont val="Arial"/>
        <family val="0"/>
        <charset val="1"/>
      </rPr>
      <t xml:space="preserve">/ 34</t>
    </r>
    <r>
      <rPr>
        <sz val="10"/>
        <color rgb="FF000000"/>
        <rFont val="WenQuanYi Zen Hei"/>
        <family val="2"/>
      </rPr>
      <t xml:space="preserve">장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빛나는 얼굴</t>
    </r>
  </si>
  <si>
    <t xml:space="preserve">말이 서툴지만 온유함</t>
  </si>
  <si>
    <r>
      <rPr>
        <sz val="10"/>
        <color rgb="FF000000"/>
        <rFont val="WenQuanYi Zen Hei"/>
        <family val="2"/>
      </rPr>
      <t xml:space="preserve">연령별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단계 시트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지팡이 디자인 고정</t>
    </r>
  </si>
  <si>
    <t xml:space="preserve">C20</t>
  </si>
  <si>
    <t xml:space="preserve">아론</t>
  </si>
  <si>
    <r>
      <rPr>
        <sz val="10"/>
        <color rgb="FF000000"/>
        <rFont val="WenQuanYi Zen Hei"/>
        <family val="2"/>
      </rPr>
      <t xml:space="preserve">출애굽기</t>
    </r>
    <r>
      <rPr>
        <sz val="10"/>
        <color rgb="FF000000"/>
        <rFont val="Arial"/>
        <family val="0"/>
        <charset val="1"/>
      </rPr>
      <t xml:space="preserve">~</t>
    </r>
    <r>
      <rPr>
        <sz val="10"/>
        <color rgb="FF000000"/>
        <rFont val="WenQuanYi Zen Hei"/>
        <family val="2"/>
      </rPr>
      <t xml:space="preserve">민수기</t>
    </r>
  </si>
  <si>
    <r>
      <rPr>
        <sz val="10"/>
        <color rgb="FF000000"/>
        <rFont val="Arial"/>
        <family val="0"/>
        <charset val="1"/>
      </rPr>
      <t xml:space="preserve">83</t>
    </r>
    <r>
      <rPr>
        <sz val="10"/>
        <color rgb="FF000000"/>
        <rFont val="WenQuanYi Zen Hei"/>
        <family val="2"/>
      </rPr>
      <t xml:space="preserve">세</t>
    </r>
    <r>
      <rPr>
        <sz val="10"/>
        <color rgb="FF000000"/>
        <rFont val="Arial"/>
        <family val="0"/>
        <charset val="1"/>
      </rPr>
      <t xml:space="preserve">~123</t>
    </r>
    <r>
      <rPr>
        <sz val="10"/>
        <color rgb="FF000000"/>
        <rFont val="WenQuanYi Zen Hei"/>
        <family val="2"/>
      </rPr>
      <t xml:space="preserve">세</t>
    </r>
  </si>
  <si>
    <r>
      <rPr>
        <sz val="10"/>
        <color rgb="FF000000"/>
        <rFont val="WenQuanYi Zen Hei"/>
        <family val="2"/>
      </rPr>
      <t xml:space="preserve">모세보다 둥근 얼굴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회색 수염</t>
    </r>
  </si>
  <si>
    <r>
      <rPr>
        <sz val="10"/>
        <color rgb="FF000000"/>
        <rFont val="WenQuanYi Zen Hei"/>
        <family val="2"/>
      </rPr>
      <t xml:space="preserve">대제사장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청색 겉옷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흉패</t>
    </r>
    <r>
      <rPr>
        <sz val="10"/>
        <color rgb="FF000000"/>
        <rFont val="Arial"/>
        <family val="0"/>
        <charset val="1"/>
      </rPr>
      <t xml:space="preserve">(12</t>
    </r>
    <r>
      <rPr>
        <sz val="10"/>
        <color rgb="FF000000"/>
        <rFont val="WenQuanYi Zen Hei"/>
        <family val="2"/>
      </rPr>
      <t xml:space="preserve">보석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관</t>
    </r>
  </si>
  <si>
    <t xml:space="preserve">말 잘하는 형</t>
  </si>
  <si>
    <r>
      <rPr>
        <sz val="10"/>
        <color rgb="FF000000"/>
        <rFont val="WenQuanYi Zen Hei"/>
        <family val="2"/>
      </rPr>
      <t xml:space="preserve">흉패 보석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개 정확히</t>
    </r>
  </si>
  <si>
    <t xml:space="preserve">C21</t>
  </si>
  <si>
    <t xml:space="preserve">미리암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</si>
  <si>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2, 15 / </t>
    </r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12</t>
    </r>
  </si>
  <si>
    <r>
      <rPr>
        <sz val="10"/>
        <color rgb="FF000000"/>
        <rFont val="WenQuanYi Zen Hei"/>
        <family val="2"/>
      </rPr>
      <t xml:space="preserve">소녀</t>
    </r>
    <r>
      <rPr>
        <sz val="10"/>
        <color rgb="FF000000"/>
        <rFont val="Arial"/>
        <family val="0"/>
        <charset val="1"/>
      </rPr>
      <t xml:space="preserve">~</t>
    </r>
    <r>
      <rPr>
        <sz val="10"/>
        <color rgb="FF000000"/>
        <rFont val="WenQuanYi Zen Hei"/>
        <family val="2"/>
      </rPr>
      <t xml:space="preserve">노년</t>
    </r>
  </si>
  <si>
    <t xml:space="preserve">총명한 눈</t>
  </si>
  <si>
    <t xml:space="preserve">소고</t>
  </si>
  <si>
    <t xml:space="preserve">용감함</t>
  </si>
  <si>
    <t xml:space="preserve">C22</t>
  </si>
  <si>
    <r>
      <rPr>
        <sz val="10"/>
        <color rgb="FF000000"/>
        <rFont val="WenQuanYi Zen Hei"/>
        <family val="2"/>
      </rPr>
      <t xml:space="preserve">바로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애굽 왕</t>
    </r>
    <r>
      <rPr>
        <sz val="10"/>
        <color rgb="FF000000"/>
        <rFont val="Arial"/>
        <family val="0"/>
        <charset val="1"/>
      </rPr>
      <t xml:space="preserve">)</t>
    </r>
  </si>
  <si>
    <t xml:space="preserve">바로</t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</si>
  <si>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12~50 / </t>
    </r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1~14</t>
    </r>
  </si>
  <si>
    <t xml:space="preserve">장년</t>
  </si>
  <si>
    <r>
      <rPr>
        <sz val="10"/>
        <color rgb="FF000000"/>
        <rFont val="WenQuanYi Zen Hei"/>
        <family val="2"/>
      </rPr>
      <t xml:space="preserve">삭발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짙은 눈 화장</t>
    </r>
  </si>
  <si>
    <r>
      <rPr>
        <sz val="10"/>
        <color rgb="FF000000"/>
        <rFont val="WenQuanYi Zen Hei"/>
        <family val="2"/>
      </rPr>
      <t xml:space="preserve">애굽 왕관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금장식</t>
    </r>
  </si>
  <si>
    <t xml:space="preserve">교만함</t>
  </si>
  <si>
    <t xml:space="preserve">출애굽 바로와 요셉 시대 바로는 다른 인물로 디자인</t>
  </si>
  <si>
    <t xml:space="preserve">C23</t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</si>
  <si>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17 ~ </t>
    </r>
    <r>
      <rPr>
        <sz val="10"/>
        <color rgb="FF000000"/>
        <rFont val="WenQuanYi Zen Hei"/>
        <family val="2"/>
      </rPr>
      <t xml:space="preserve">여호수아</t>
    </r>
  </si>
  <si>
    <r>
      <rPr>
        <sz val="10"/>
        <color rgb="FF000000"/>
        <rFont val="WenQuanYi Zen Hei"/>
        <family val="2"/>
      </rPr>
      <t xml:space="preserve">청년</t>
    </r>
    <r>
      <rPr>
        <sz val="10"/>
        <color rgb="FF000000"/>
        <rFont val="Arial"/>
        <family val="0"/>
        <charset val="1"/>
      </rPr>
      <t xml:space="preserve">~110</t>
    </r>
    <r>
      <rPr>
        <sz val="10"/>
        <color rgb="FF000000"/>
        <rFont val="WenQuanYi Zen Hei"/>
        <family val="2"/>
      </rPr>
      <t xml:space="preserve">세</t>
    </r>
  </si>
  <si>
    <r>
      <rPr>
        <sz val="10"/>
        <color rgb="FF000000"/>
        <rFont val="WenQuanYi Zen Hei"/>
        <family val="2"/>
      </rPr>
      <t xml:space="preserve">군인 체격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짧은 수염</t>
    </r>
  </si>
  <si>
    <r>
      <rPr>
        <sz val="10"/>
        <color rgb="FF000000"/>
        <rFont val="WenQuanYi Zen Hei"/>
        <family val="2"/>
      </rPr>
      <t xml:space="preserve">가죽 갑옷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칼</t>
    </r>
  </si>
  <si>
    <t xml:space="preserve">충성스럽고 담대함</t>
  </si>
  <si>
    <t xml:space="preserve">C24</t>
  </si>
  <si>
    <t xml:space="preserve">갈렙</t>
  </si>
  <si>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13~14 / </t>
    </r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14</t>
    </r>
  </si>
  <si>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세</t>
    </r>
    <r>
      <rPr>
        <sz val="10"/>
        <color rgb="FF000000"/>
        <rFont val="Arial"/>
        <family val="0"/>
        <charset val="1"/>
      </rPr>
      <t xml:space="preserve">, 85</t>
    </r>
    <r>
      <rPr>
        <sz val="10"/>
        <color rgb="FF000000"/>
        <rFont val="WenQuanYi Zen Hei"/>
        <family val="2"/>
      </rPr>
      <t xml:space="preserve">세</t>
    </r>
  </si>
  <si>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WenQuanYi Zen Hei"/>
        <family val="2"/>
      </rPr>
      <t xml:space="preserve">세에도 강건한 체격</t>
    </r>
  </si>
  <si>
    <r>
      <rPr>
        <sz val="10"/>
        <color rgb="FF000000"/>
        <rFont val="WenQuanYi Zen Hei"/>
        <family val="2"/>
      </rPr>
      <t xml:space="preserve">등산용 지팡이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갑옷</t>
    </r>
  </si>
  <si>
    <t xml:space="preserve">밝고 확신에 참</t>
  </si>
  <si>
    <t xml:space="preserve">C25</t>
  </si>
  <si>
    <t xml:space="preserve">라합</t>
  </si>
  <si>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2, 6</t>
    </r>
  </si>
  <si>
    <t xml:space="preserve">지혜로운 눈빛</t>
  </si>
  <si>
    <r>
      <rPr>
        <sz val="10"/>
        <color rgb="FF000000"/>
        <rFont val="WenQuanYi Zen Hei"/>
        <family val="2"/>
      </rPr>
      <t xml:space="preserve">붉은 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성벽 위 집</t>
    </r>
  </si>
  <si>
    <t xml:space="preserve">두려움→믿음</t>
  </si>
  <si>
    <t xml:space="preserve">직업 관련 선정적 연출 금지</t>
  </si>
  <si>
    <t xml:space="preserve">C26</t>
  </si>
  <si>
    <t xml:space="preserve">드보라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</si>
  <si>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4~5</t>
    </r>
  </si>
  <si>
    <t xml:space="preserve">위엄 있는 여성 재판관</t>
  </si>
  <si>
    <t xml:space="preserve">종려나무 아래 자리</t>
  </si>
  <si>
    <t xml:space="preserve">지혜롭고 담대함</t>
  </si>
  <si>
    <t xml:space="preserve">C27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</si>
  <si>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6~8</t>
    </r>
  </si>
  <si>
    <r>
      <rPr>
        <sz val="10"/>
        <color rgb="FF000000"/>
        <rFont val="WenQuanYi Zen Hei"/>
        <family val="2"/>
      </rPr>
      <t xml:space="preserve">마른 체격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겁먹은 눈→결의</t>
    </r>
  </si>
  <si>
    <r>
      <rPr>
        <sz val="10"/>
        <color rgb="FF000000"/>
        <rFont val="WenQuanYi Zen Hei"/>
        <family val="2"/>
      </rPr>
      <t xml:space="preserve">농부 옷 → 횃불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항아리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나팔</t>
    </r>
  </si>
  <si>
    <t xml:space="preserve">소심함→용기</t>
  </si>
  <si>
    <t xml:space="preserve">C28</t>
  </si>
  <si>
    <t xml:space="preserve">삼손</t>
  </si>
  <si>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13~16</t>
    </r>
  </si>
  <si>
    <r>
      <rPr>
        <sz val="10"/>
        <color rgb="FF000000"/>
        <rFont val="WenQuanYi Zen Hei"/>
        <family val="2"/>
      </rPr>
      <t xml:space="preserve">긴 일곱 가닥 머리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거대한 근육</t>
    </r>
  </si>
  <si>
    <t xml:space="preserve">가죽 허리띠</t>
  </si>
  <si>
    <t xml:space="preserve">충동적 힘</t>
  </si>
  <si>
    <r>
      <rPr>
        <sz val="10"/>
        <color rgb="FF000000"/>
        <rFont val="WenQuanYi Zen Hei"/>
        <family val="2"/>
      </rPr>
      <t xml:space="preserve">눈 뽑는 장면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자극적 장면 금지</t>
    </r>
  </si>
  <si>
    <t xml:space="preserve">C29</t>
  </si>
  <si>
    <r>
      <rPr>
        <sz val="10"/>
        <color rgb="FF000000"/>
        <rFont val="WenQuanYi Zen Hei"/>
        <family val="2"/>
      </rPr>
      <t xml:space="preserve">룻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나오미</t>
    </r>
  </si>
  <si>
    <r>
      <rPr>
        <sz val="10"/>
        <color rgb="FF000000"/>
        <rFont val="WenQuanYi Zen Hei"/>
        <family val="2"/>
      </rPr>
      <t xml:space="preserve">룻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청년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나오미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노년</t>
    </r>
  </si>
  <si>
    <r>
      <rPr>
        <sz val="10"/>
        <color rgb="FF000000"/>
        <rFont val="WenQuanYi Zen Hei"/>
        <family val="2"/>
      </rPr>
      <t xml:space="preserve">룻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모압 여인 특유의 장신구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나오미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지친 얼굴</t>
    </r>
  </si>
  <si>
    <r>
      <rPr>
        <sz val="10"/>
        <color rgb="FF000000"/>
        <rFont val="WenQuanYi Zen Hei"/>
        <family val="2"/>
      </rPr>
      <t xml:space="preserve">룻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보리 이삭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나오미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회색 겉옷</t>
    </r>
  </si>
  <si>
    <r>
      <rPr>
        <sz val="10"/>
        <color rgb="FF000000"/>
        <rFont val="WenQuanYi Zen Hei"/>
        <family val="2"/>
      </rPr>
      <t xml:space="preserve">룻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성실함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나오미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쓴맛→기쁨</t>
    </r>
  </si>
  <si>
    <t xml:space="preserve">C30</t>
  </si>
  <si>
    <t xml:space="preserve">보아스</t>
  </si>
  <si>
    <r>
      <rPr>
        <sz val="10"/>
        <color rgb="FF000000"/>
        <rFont val="WenQuanYi Zen Hei"/>
        <family val="2"/>
      </rPr>
      <t xml:space="preserve">단정한 수염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인자한 인상</t>
    </r>
  </si>
  <si>
    <t xml:space="preserve">부유한 농장주 겉옷</t>
  </si>
  <si>
    <t xml:space="preserve">너그러움</t>
  </si>
  <si>
    <t xml:space="preserve">C31</t>
  </si>
  <si>
    <t xml:space="preserve">한나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</si>
  <si>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1~2</t>
    </r>
  </si>
  <si>
    <t xml:space="preserve">눈물 고인 눈</t>
  </si>
  <si>
    <t xml:space="preserve">푸른 머릿수건</t>
  </si>
  <si>
    <t xml:space="preserve">간절함→기쁨</t>
  </si>
  <si>
    <t xml:space="preserve">C32</t>
  </si>
  <si>
    <t xml:space="preserve">사무엘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</si>
  <si>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1~25</t>
    </r>
  </si>
  <si>
    <r>
      <rPr>
        <sz val="10"/>
        <color rgb="FF000000"/>
        <rFont val="WenQuanYi Zen Hei"/>
        <family val="2"/>
      </rPr>
      <t xml:space="preserve">소년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작은 세마포 에봇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노년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흰 수염</t>
    </r>
  </si>
  <si>
    <r>
      <rPr>
        <sz val="10"/>
        <color rgb="FF000000"/>
        <rFont val="WenQuanYi Zen Hei"/>
        <family val="2"/>
      </rPr>
      <t xml:space="preserve">세마포 에봇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기름 뿔병</t>
    </r>
  </si>
  <si>
    <t xml:space="preserve">듣는 사람</t>
  </si>
  <si>
    <r>
      <rPr>
        <sz val="10"/>
        <color rgb="FF000000"/>
        <rFont val="WenQuanYi Zen Hei"/>
        <family val="2"/>
      </rPr>
      <t xml:space="preserve">연령별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단계</t>
    </r>
  </si>
  <si>
    <t xml:space="preserve">C33</t>
  </si>
  <si>
    <t xml:space="preserve">사울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</si>
  <si>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9~31</t>
    </r>
  </si>
  <si>
    <r>
      <rPr>
        <sz val="10"/>
        <color rgb="FF000000"/>
        <rFont val="WenQuanYi Zen Hei"/>
        <family val="2"/>
      </rPr>
      <t xml:space="preserve">어깨 위만큼 큰 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잘생긴 얼굴</t>
    </r>
  </si>
  <si>
    <r>
      <rPr>
        <sz val="10"/>
        <color rgb="FF000000"/>
        <rFont val="WenQuanYi Zen Hei"/>
        <family val="2"/>
      </rPr>
      <t xml:space="preserve">왕관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창</t>
    </r>
  </si>
  <si>
    <t xml:space="preserve">불안과 질투</t>
  </si>
  <si>
    <t xml:space="preserve">자결 장면 묘사 금지</t>
  </si>
  <si>
    <t xml:space="preserve">C34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</si>
  <si>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16 ~ </t>
    </r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</si>
  <si>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WenQuanYi Zen Hei"/>
        <family val="2"/>
      </rPr>
      <t xml:space="preserve">소년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청년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노년</t>
    </r>
  </si>
  <si>
    <r>
      <rPr>
        <sz val="10"/>
        <color rgb="FF000000"/>
        <rFont val="WenQuanYi Zen Hei"/>
        <family val="2"/>
      </rPr>
      <t xml:space="preserve">붉은빛이 돌고 눈이 빼어남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16:12), </t>
    </r>
    <r>
      <rPr>
        <sz val="10"/>
        <color rgb="FF000000"/>
        <rFont val="WenQuanYi Zen Hei"/>
        <family val="2"/>
      </rPr>
      <t xml:space="preserve">곱슬머리</t>
    </r>
  </si>
  <si>
    <r>
      <rPr>
        <sz val="10"/>
        <color rgb="FF000000"/>
        <rFont val="WenQuanYi Zen Hei"/>
        <family val="2"/>
      </rPr>
      <t xml:space="preserve">소년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목동 옷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물맷돌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수금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왕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자색 겉옷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왕관</t>
    </r>
  </si>
  <si>
    <t xml:space="preserve">용기와 눈물이 많은 사람</t>
  </si>
  <si>
    <r>
      <rPr>
        <sz val="10"/>
        <color rgb="FF000000"/>
        <rFont val="WenQuanYi Zen Hei"/>
        <family val="2"/>
      </rPr>
      <t xml:space="preserve">연령별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단계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밧세바 장면 선정성 금지</t>
    </r>
  </si>
  <si>
    <t xml:space="preserve">C35</t>
  </si>
  <si>
    <t xml:space="preserve">요나단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</si>
  <si>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13~31</t>
    </r>
  </si>
  <si>
    <r>
      <rPr>
        <sz val="10"/>
        <color rgb="FF000000"/>
        <rFont val="WenQuanYi Zen Hei"/>
        <family val="2"/>
      </rPr>
      <t xml:space="preserve">밝은 눈빛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활</t>
    </r>
  </si>
  <si>
    <r>
      <rPr>
        <sz val="10"/>
        <color rgb="FF000000"/>
        <rFont val="WenQuanYi Zen Hei"/>
        <family val="2"/>
      </rPr>
      <t xml:space="preserve">왕자 겉옷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활과 화살</t>
    </r>
  </si>
  <si>
    <t xml:space="preserve">신실한 친구</t>
  </si>
  <si>
    <t xml:space="preserve">C36</t>
  </si>
  <si>
    <t xml:space="preserve">골리앗</t>
  </si>
  <si>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17</t>
    </r>
  </si>
  <si>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3m </t>
    </r>
    <r>
      <rPr>
        <sz val="10"/>
        <color rgb="FF000000"/>
        <rFont val="WenQuanYi Zen Hei"/>
        <family val="2"/>
      </rPr>
      <t xml:space="preserve">거인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여섯 규빗 한 뼘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</si>
  <si>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놋 투구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비늘 갑옷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큰 창</t>
    </r>
  </si>
  <si>
    <t xml:space="preserve">조롱</t>
  </si>
  <si>
    <t xml:space="preserve">참수 장면 금지</t>
  </si>
  <si>
    <t xml:space="preserve">C37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</si>
  <si>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1~11 / </t>
    </r>
    <r>
      <rPr>
        <sz val="10"/>
        <color rgb="FF000000"/>
        <rFont val="WenQuanYi Zen Hei"/>
        <family val="2"/>
      </rPr>
      <t xml:space="preserve">대하 </t>
    </r>
    <r>
      <rPr>
        <sz val="10"/>
        <color rgb="FF000000"/>
        <rFont val="Arial"/>
        <family val="0"/>
        <charset val="1"/>
      </rPr>
      <t xml:space="preserve">1~9</t>
    </r>
  </si>
  <si>
    <r>
      <rPr>
        <sz val="10"/>
        <color rgb="FF000000"/>
        <rFont val="WenQuanYi Zen Hei"/>
        <family val="2"/>
      </rPr>
      <t xml:space="preserve">지혜로운 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잘 다듬은 수염</t>
    </r>
  </si>
  <si>
    <r>
      <rPr>
        <sz val="10"/>
        <color rgb="FF000000"/>
        <rFont val="WenQuanYi Zen Hei"/>
        <family val="2"/>
      </rPr>
      <t xml:space="preserve">금 왕관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화려한 겉옷</t>
    </r>
  </si>
  <si>
    <t xml:space="preserve">지혜→교만</t>
  </si>
  <si>
    <t xml:space="preserve">C38</t>
  </si>
  <si>
    <t xml:space="preserve">엘리야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</si>
  <si>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17 ~ </t>
    </r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</si>
  <si>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WenQuanYi Zen Hei"/>
        <family val="2"/>
      </rPr>
      <t xml:space="preserve">거친 머리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강한 눈빛</t>
    </r>
  </si>
  <si>
    <r>
      <rPr>
        <sz val="10"/>
        <color rgb="FF000000"/>
        <rFont val="WenQuanYi Zen Hei"/>
        <family val="2"/>
      </rPr>
      <t xml:space="preserve">털옷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가죽 띠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1:8), </t>
    </r>
    <r>
      <rPr>
        <sz val="10"/>
        <color rgb="FF000000"/>
        <rFont val="WenQuanYi Zen Hei"/>
        <family val="2"/>
      </rPr>
      <t xml:space="preserve">겉옷</t>
    </r>
  </si>
  <si>
    <t xml:space="preserve">불같은 열정과 깊은 탈진</t>
  </si>
  <si>
    <r>
      <rPr>
        <sz val="10"/>
        <color rgb="FF000000"/>
        <rFont val="WenQuanYi Zen Hei"/>
        <family val="2"/>
      </rPr>
      <t xml:space="preserve">자칭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엘리야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이단 경계</t>
    </r>
  </si>
  <si>
    <t xml:space="preserve">C39</t>
  </si>
  <si>
    <t xml:space="preserve">엘리사</t>
  </si>
  <si>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19 ~ </t>
    </r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13</t>
    </r>
  </si>
  <si>
    <r>
      <rPr>
        <sz val="10"/>
        <color rgb="FF000000"/>
        <rFont val="WenQuanYi Zen Hei"/>
        <family val="2"/>
      </rPr>
      <t xml:space="preserve">대머리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2:23)</t>
    </r>
  </si>
  <si>
    <t xml:space="preserve">엘리야의 겉옷</t>
  </si>
  <si>
    <t xml:space="preserve">따뜻하고 단호함</t>
  </si>
  <si>
    <t xml:space="preserve">곰 장면 묘사 금지</t>
  </si>
  <si>
    <t xml:space="preserve">C40</t>
  </si>
  <si>
    <t xml:space="preserve">나아만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</si>
  <si>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5</t>
    </r>
  </si>
  <si>
    <r>
      <rPr>
        <sz val="10"/>
        <color rgb="FF000000"/>
        <rFont val="WenQuanYi Zen Hei"/>
        <family val="2"/>
      </rPr>
      <t xml:space="preserve">위엄 있는 장군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피부병 흔적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절제</t>
    </r>
    <r>
      <rPr>
        <sz val="10"/>
        <color rgb="FF000000"/>
        <rFont val="Arial"/>
        <family val="0"/>
        <charset val="1"/>
      </rPr>
      <t xml:space="preserve">)</t>
    </r>
  </si>
  <si>
    <t xml:space="preserve">아람 장군 갑옷</t>
  </si>
  <si>
    <t xml:space="preserve">교만→겸손</t>
  </si>
  <si>
    <t xml:space="preserve">피부병 과도 묘사 금지</t>
  </si>
  <si>
    <t xml:space="preserve">C41</t>
  </si>
  <si>
    <r>
      <rPr>
        <sz val="10"/>
        <color rgb="FF000000"/>
        <rFont val="WenQuanYi Zen Hei"/>
        <family val="2"/>
      </rPr>
      <t xml:space="preserve">히스기야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요시야</t>
    </r>
  </si>
  <si>
    <t xml:space="preserve">히스기야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</si>
  <si>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18~23 / </t>
    </r>
    <r>
      <rPr>
        <sz val="10"/>
        <color rgb="FF000000"/>
        <rFont val="WenQuanYi Zen Hei"/>
        <family val="2"/>
      </rPr>
      <t xml:space="preserve">대하 </t>
    </r>
    <r>
      <rPr>
        <sz val="10"/>
        <color rgb="FF000000"/>
        <rFont val="Arial"/>
        <family val="0"/>
        <charset val="1"/>
      </rPr>
      <t xml:space="preserve">29~35</t>
    </r>
  </si>
  <si>
    <r>
      <rPr>
        <sz val="10"/>
        <color rgb="FF000000"/>
        <rFont val="WenQuanYi Zen Hei"/>
        <family val="2"/>
      </rPr>
      <t xml:space="preserve">히스기야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기도하는 왕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요시야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소년 왕</t>
    </r>
  </si>
  <si>
    <r>
      <rPr>
        <sz val="10"/>
        <color rgb="FF000000"/>
        <rFont val="WenQuanYi Zen Hei"/>
        <family val="2"/>
      </rPr>
      <t xml:space="preserve">왕관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율법 두루마리</t>
    </r>
  </si>
  <si>
    <t xml:space="preserve">경건함</t>
  </si>
  <si>
    <t xml:space="preserve">C42</t>
  </si>
  <si>
    <r>
      <rPr>
        <sz val="10"/>
        <color rgb="FF000000"/>
        <rFont val="WenQuanYi Zen Hei"/>
        <family val="2"/>
      </rPr>
      <t xml:space="preserve">이사야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19~20</t>
    </r>
  </si>
  <si>
    <t xml:space="preserve">귀족풍 선지자</t>
  </si>
  <si>
    <r>
      <rPr>
        <sz val="10"/>
        <color rgb="FF000000"/>
        <rFont val="WenQuanYi Zen Hei"/>
        <family val="2"/>
      </rPr>
      <t xml:space="preserve">두루마리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굵은 베옷</t>
    </r>
  </si>
  <si>
    <t xml:space="preserve">장엄함</t>
  </si>
  <si>
    <t xml:space="preserve">C43</t>
  </si>
  <si>
    <r>
      <rPr>
        <sz val="10"/>
        <color rgb="FF000000"/>
        <rFont val="WenQuanYi Zen Hei"/>
        <family val="2"/>
      </rPr>
      <t xml:space="preserve">예레미야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애가</t>
    </r>
  </si>
  <si>
    <t xml:space="preserve">눈물 많은 얼굴</t>
  </si>
  <si>
    <r>
      <rPr>
        <sz val="10"/>
        <color rgb="FF000000"/>
        <rFont val="WenQuanYi Zen Hei"/>
        <family val="2"/>
      </rPr>
      <t xml:space="preserve">나무 멍에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두루마리</t>
    </r>
  </si>
  <si>
    <t xml:space="preserve">슬픔과 끈기</t>
  </si>
  <si>
    <t xml:space="preserve">C44</t>
  </si>
  <si>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세</t>
    </r>
    <r>
      <rPr>
        <sz val="10"/>
        <color rgb="FF000000"/>
        <rFont val="Arial"/>
        <family val="0"/>
        <charset val="1"/>
      </rPr>
      <t xml:space="preserve">~</t>
    </r>
  </si>
  <si>
    <t xml:space="preserve">제사장 출신 선지자</t>
  </si>
  <si>
    <t xml:space="preserve">포로지 옷</t>
  </si>
  <si>
    <t xml:space="preserve">놀람과 순종</t>
  </si>
  <si>
    <r>
      <rPr>
        <sz val="10"/>
        <color rgb="FF000000"/>
        <rFont val="WenQuanYi Zen Hei"/>
        <family val="2"/>
      </rPr>
      <t xml:space="preserve">환상은 빛 위주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기괴한 생물 연출 금지</t>
    </r>
  </si>
  <si>
    <t xml:space="preserve">C45</t>
  </si>
  <si>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대</t>
    </r>
    <r>
      <rPr>
        <sz val="10"/>
        <color rgb="FF000000"/>
        <rFont val="Arial"/>
        <family val="0"/>
        <charset val="1"/>
      </rPr>
      <t xml:space="preserve">~80</t>
    </r>
    <r>
      <rPr>
        <sz val="10"/>
        <color rgb="FF000000"/>
        <rFont val="WenQuanYi Zen Hei"/>
        <family val="2"/>
      </rPr>
      <t xml:space="preserve">대</t>
    </r>
  </si>
  <si>
    <t xml:space="preserve">단정한 유다 청년 → 백발 총리</t>
  </si>
  <si>
    <t xml:space="preserve">바벨론 관원 옷</t>
  </si>
  <si>
    <t xml:space="preserve">절제된 단호함</t>
  </si>
  <si>
    <r>
      <rPr>
        <sz val="10"/>
        <color rgb="FF000000"/>
        <rFont val="WenQuanYi Zen Hei"/>
        <family val="2"/>
      </rPr>
      <t xml:space="preserve">연령별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단계</t>
    </r>
  </si>
  <si>
    <t xml:space="preserve">C46</t>
  </si>
  <si>
    <r>
      <rPr>
        <sz val="10"/>
        <color rgb="FF000000"/>
        <rFont val="WenQuanYi Zen Hei"/>
        <family val="2"/>
      </rPr>
      <t xml:space="preserve">하나냐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미사엘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아사랴</t>
    </r>
  </si>
  <si>
    <t xml:space="preserve">하나냐</t>
  </si>
  <si>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1~3</t>
    </r>
  </si>
  <si>
    <t xml:space="preserve">세 명 각기 다른 체형</t>
  </si>
  <si>
    <r>
      <rPr>
        <sz val="10"/>
        <color rgb="FF000000"/>
        <rFont val="WenQuanYi Zen Hei"/>
        <family val="2"/>
      </rPr>
      <t xml:space="preserve">바벨론 관원 옷</t>
    </r>
    <r>
      <rPr>
        <sz val="10"/>
        <color rgb="FF000000"/>
        <rFont val="Arial"/>
        <family val="0"/>
        <charset val="1"/>
      </rPr>
      <t xml:space="preserve">(3:21)</t>
    </r>
  </si>
  <si>
    <t xml:space="preserve">담대함</t>
  </si>
  <si>
    <r>
      <rPr>
        <sz val="10"/>
        <color rgb="FF000000"/>
        <rFont val="WenQuanYi Zen Hei"/>
        <family val="2"/>
      </rPr>
      <t xml:space="preserve">바벨론 이름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사드락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메삭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아벳느고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병기</t>
    </r>
  </si>
  <si>
    <t xml:space="preserve">C47</t>
  </si>
  <si>
    <t xml:space="preserve">느부갓네살</t>
  </si>
  <si>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24~25 / </t>
    </r>
    <r>
      <rPr>
        <sz val="10"/>
        <color rgb="FF000000"/>
        <rFont val="WenQuanYi Zen Hei"/>
        <family val="2"/>
      </rPr>
      <t xml:space="preserve">다니엘</t>
    </r>
  </si>
  <si>
    <r>
      <rPr>
        <sz val="10"/>
        <color rgb="FF000000"/>
        <rFont val="WenQuanYi Zen Hei"/>
        <family val="2"/>
      </rPr>
      <t xml:space="preserve">곱슬 수염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위압적 체격</t>
    </r>
  </si>
  <si>
    <r>
      <rPr>
        <sz val="10"/>
        <color rgb="FF000000"/>
        <rFont val="WenQuanYi Zen Hei"/>
        <family val="2"/>
      </rPr>
      <t xml:space="preserve">바벨론 왕관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금장식</t>
    </r>
  </si>
  <si>
    <t xml:space="preserve">C48</t>
  </si>
  <si>
    <t xml:space="preserve">기품 있는 얼굴</t>
  </si>
  <si>
    <t xml:space="preserve">바사 왕후 예복</t>
  </si>
  <si>
    <t xml:space="preserve">두려움→용기</t>
  </si>
  <si>
    <t xml:space="preserve">선정적 연출 금지</t>
  </si>
  <si>
    <t xml:space="preserve">C49</t>
  </si>
  <si>
    <r>
      <rPr>
        <sz val="10"/>
        <color rgb="FF000000"/>
        <rFont val="WenQuanYi Zen Hei"/>
        <family val="2"/>
      </rPr>
      <t xml:space="preserve">모르드개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하만</t>
    </r>
  </si>
  <si>
    <t xml:space="preserve">모르드개</t>
  </si>
  <si>
    <r>
      <rPr>
        <sz val="10"/>
        <color rgb="FF000000"/>
        <rFont val="WenQuanYi Zen Hei"/>
        <family val="2"/>
      </rPr>
      <t xml:space="preserve">모르드개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단정한 유다 노인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하만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날카로운 인상</t>
    </r>
  </si>
  <si>
    <r>
      <rPr>
        <sz val="10"/>
        <color rgb="FF000000"/>
        <rFont val="WenQuanYi Zen Hei"/>
        <family val="2"/>
      </rPr>
      <t xml:space="preserve">모르드개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베옷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하만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화려한 관복</t>
    </r>
  </si>
  <si>
    <r>
      <rPr>
        <sz val="10"/>
        <color rgb="FF000000"/>
        <rFont val="WenQuanYi Zen Hei"/>
        <family val="2"/>
      </rPr>
      <t xml:space="preserve">모르드개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충직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하만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교만</t>
    </r>
  </si>
  <si>
    <t xml:space="preserve">처형 장면 금지</t>
  </si>
  <si>
    <t xml:space="preserve">C50</t>
  </si>
  <si>
    <r>
      <rPr>
        <sz val="10"/>
        <color rgb="FF000000"/>
        <rFont val="WenQuanYi Zen Hei"/>
        <family val="2"/>
      </rPr>
      <t xml:space="preserve">느헤미야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에스라</t>
    </r>
  </si>
  <si>
    <r>
      <rPr>
        <sz val="10"/>
        <color rgb="FF000000"/>
        <rFont val="WenQuanYi Zen Hei"/>
        <family val="2"/>
      </rPr>
      <t xml:space="preserve">에스라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느헤미야</t>
    </r>
  </si>
  <si>
    <r>
      <rPr>
        <sz val="10"/>
        <color rgb="FF000000"/>
        <rFont val="WenQuanYi Zen Hei"/>
        <family val="2"/>
      </rPr>
      <t xml:space="preserve">느헤미야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관리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에스라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학자</t>
    </r>
  </si>
  <si>
    <r>
      <rPr>
        <sz val="10"/>
        <color rgb="FF000000"/>
        <rFont val="WenQuanYi Zen Hei"/>
        <family val="2"/>
      </rPr>
      <t xml:space="preserve">느헤미야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술 맡은 관원 옷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에스라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율법 두루마리</t>
    </r>
  </si>
  <si>
    <r>
      <rPr>
        <sz val="10"/>
        <color rgb="FF000000"/>
        <rFont val="WenQuanYi Zen Hei"/>
        <family val="2"/>
      </rPr>
      <t xml:space="preserve">추진력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경건</t>
    </r>
  </si>
  <si>
    <t xml:space="preserve">C51</t>
  </si>
  <si>
    <t xml:space="preserve">부유한 족장 → 잿더미 위의 모습</t>
  </si>
  <si>
    <r>
      <rPr>
        <sz val="10"/>
        <color rgb="FF000000"/>
        <rFont val="WenQuanYi Zen Hei"/>
        <family val="2"/>
      </rPr>
      <t xml:space="preserve">찢은 겉옷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재</t>
    </r>
  </si>
  <si>
    <t xml:space="preserve">인내와 정직한 탄식</t>
  </si>
  <si>
    <t xml:space="preserve">질병 묘사 절제</t>
  </si>
  <si>
    <t xml:space="preserve">C52</t>
  </si>
  <si>
    <t xml:space="preserve">고집스러운 표정</t>
  </si>
  <si>
    <t xml:space="preserve">선지자 겉옷</t>
  </si>
  <si>
    <r>
      <rPr>
        <sz val="10"/>
        <color rgb="FF000000"/>
        <rFont val="WenQuanYi Zen Hei"/>
        <family val="2"/>
      </rPr>
      <t xml:space="preserve">반항→순종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여전히 불평</t>
    </r>
    <r>
      <rPr>
        <sz val="10"/>
        <color rgb="FF000000"/>
        <rFont val="Arial"/>
        <family val="0"/>
        <charset val="1"/>
      </rPr>
      <t xml:space="preserve">)</t>
    </r>
  </si>
  <si>
    <t xml:space="preserve">희화화 허용하되 하나님 메시지 훼손 금지</t>
  </si>
  <si>
    <t xml:space="preserve">C53</t>
  </si>
  <si>
    <r>
      <rPr>
        <sz val="10"/>
        <color rgb="FF000000"/>
        <rFont val="WenQuanYi Zen Hei"/>
        <family val="2"/>
      </rPr>
      <t xml:space="preserve">마리아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예수님의 어머니</t>
    </r>
    <r>
      <rPr>
        <sz val="10"/>
        <color rgb="FF000000"/>
        <rFont val="Arial"/>
        <family val="0"/>
        <charset val="1"/>
      </rPr>
      <t xml:space="preserve">)</t>
    </r>
  </si>
  <si>
    <t xml:space="preserve">마리아</t>
  </si>
  <si>
    <r>
      <rPr>
        <sz val="10"/>
        <color rgb="FF000000"/>
        <rFont val="WenQuanYi Zen Hei"/>
        <family val="2"/>
      </rPr>
      <t xml:space="preserve">복음서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</si>
  <si>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대 후반</t>
    </r>
    <r>
      <rPr>
        <sz val="10"/>
        <color rgb="FF000000"/>
        <rFont val="Arial"/>
        <family val="0"/>
        <charset val="1"/>
      </rPr>
      <t xml:space="preserve">~</t>
    </r>
    <r>
      <rPr>
        <sz val="10"/>
        <color rgb="FF000000"/>
        <rFont val="WenQuanYi Zen Hei"/>
        <family val="2"/>
      </rPr>
      <t xml:space="preserve">장년</t>
    </r>
  </si>
  <si>
    <t xml:space="preserve">단정하고 소박한 갈릴리 여인</t>
  </si>
  <si>
    <r>
      <rPr>
        <sz val="10"/>
        <color rgb="FF000000"/>
        <rFont val="WenQuanYi Zen Hei"/>
        <family val="2"/>
      </rPr>
      <t xml:space="preserve">청색 머릿수건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전통 성화 복제 금지</t>
    </r>
    <r>
      <rPr>
        <sz val="10"/>
        <color rgb="FF000000"/>
        <rFont val="Arial"/>
        <family val="0"/>
        <charset val="1"/>
      </rPr>
      <t xml:space="preserve">)</t>
    </r>
  </si>
  <si>
    <t xml:space="preserve">순종과 묵상</t>
  </si>
  <si>
    <r>
      <rPr>
        <sz val="10"/>
        <color rgb="FF000000"/>
        <rFont val="WenQuanYi Zen Hei"/>
        <family val="2"/>
      </rPr>
      <t xml:space="preserve">숭배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중보 연출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후광 금지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개신교</t>
    </r>
    <r>
      <rPr>
        <sz val="10"/>
        <color rgb="FF000000"/>
        <rFont val="Arial"/>
        <family val="0"/>
        <charset val="1"/>
      </rPr>
      <t xml:space="preserve">)</t>
    </r>
  </si>
  <si>
    <t xml:space="preserve">C54</t>
  </si>
  <si>
    <r>
      <rPr>
        <sz val="10"/>
        <color rgb="FF000000"/>
        <rFont val="WenQuanYi Zen Hei"/>
        <family val="2"/>
      </rPr>
      <t xml:space="preserve">요셉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마리아의 남편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</si>
  <si>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1~2 / 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1~2</t>
    </r>
  </si>
  <si>
    <r>
      <rPr>
        <sz val="10"/>
        <color rgb="FF000000"/>
        <rFont val="WenQuanYi Zen Hei"/>
        <family val="2"/>
      </rPr>
      <t xml:space="preserve">목수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다부진 손</t>
    </r>
  </si>
  <si>
    <r>
      <rPr>
        <sz val="10"/>
        <color rgb="FF000000"/>
        <rFont val="WenQuanYi Zen Hei"/>
        <family val="2"/>
      </rPr>
      <t xml:space="preserve">목수 앞치마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갈색 겉옷</t>
    </r>
  </si>
  <si>
    <t xml:space="preserve">의롭고 과묵함</t>
  </si>
  <si>
    <t xml:space="preserve">구약 요셉과 디자인 구분</t>
  </si>
  <si>
    <t xml:space="preserve">C55</t>
  </si>
  <si>
    <t xml:space="preserve">세례 요한</t>
  </si>
  <si>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세</t>
    </r>
  </si>
  <si>
    <r>
      <rPr>
        <sz val="10"/>
        <color rgb="FF000000"/>
        <rFont val="WenQuanYi Zen Hei"/>
        <family val="2"/>
      </rPr>
      <t xml:space="preserve">야윈 체격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거친 머리</t>
    </r>
  </si>
  <si>
    <r>
      <rPr>
        <sz val="10"/>
        <color rgb="FF000000"/>
        <rFont val="WenQuanYi Zen Hei"/>
        <family val="2"/>
      </rPr>
      <t xml:space="preserve">낙타털 옷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가죽 띠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3:4)</t>
    </r>
  </si>
  <si>
    <t xml:space="preserve">외치는 목소리</t>
  </si>
  <si>
    <t xml:space="preserve">C56</t>
  </si>
  <si>
    <r>
      <rPr>
        <sz val="10"/>
        <color rgb="FF000000"/>
        <rFont val="WenQuanYi Zen Hei"/>
        <family val="2"/>
      </rPr>
      <t xml:space="preserve">베드로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시몬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</si>
  <si>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복음서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사도행전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서신</t>
    </r>
  </si>
  <si>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대</t>
    </r>
    <r>
      <rPr>
        <sz val="10"/>
        <color rgb="FF000000"/>
        <rFont val="Arial"/>
        <family val="0"/>
        <charset val="1"/>
      </rPr>
      <t xml:space="preserve">~</t>
    </r>
    <r>
      <rPr>
        <sz val="10"/>
        <color rgb="FF000000"/>
        <rFont val="WenQuanYi Zen Hei"/>
        <family val="2"/>
      </rPr>
      <t xml:space="preserve">노년</t>
    </r>
  </si>
  <si>
    <r>
      <rPr>
        <sz val="10"/>
        <color rgb="FF000000"/>
        <rFont val="WenQuanYi Zen Hei"/>
        <family val="2"/>
      </rPr>
      <t xml:space="preserve">건장한 어부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짙은 수염</t>
    </r>
  </si>
  <si>
    <r>
      <rPr>
        <sz val="10"/>
        <color rgb="FF000000"/>
        <rFont val="WenQuanYi Zen Hei"/>
        <family val="2"/>
      </rPr>
      <t xml:space="preserve">어부 옷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그물</t>
    </r>
  </si>
  <si>
    <t xml:space="preserve">충동적→담대한 목자</t>
  </si>
  <si>
    <t xml:space="preserve">교황권 연상 연출 금지</t>
  </si>
  <si>
    <t xml:space="preserve">C57</t>
  </si>
  <si>
    <r>
      <rPr>
        <sz val="10"/>
        <color rgb="FF000000"/>
        <rFont val="WenQuanYi Zen Hei"/>
        <family val="2"/>
      </rPr>
      <t xml:space="preserve">요한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야고보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세베대의 아들들</t>
    </r>
    <r>
      <rPr>
        <sz val="10"/>
        <color rgb="FF000000"/>
        <rFont val="Arial"/>
        <family val="0"/>
        <charset val="1"/>
      </rPr>
      <t xml:space="preserve">)</t>
    </r>
  </si>
  <si>
    <t xml:space="preserve">요한</t>
  </si>
  <si>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대</t>
    </r>
    <r>
      <rPr>
        <sz val="10"/>
        <color rgb="FF000000"/>
        <rFont val="Arial"/>
        <family val="0"/>
        <charset val="1"/>
      </rPr>
      <t xml:space="preserve">~</t>
    </r>
    <r>
      <rPr>
        <sz val="10"/>
        <color rgb="FF000000"/>
        <rFont val="WenQuanYi Zen Hei"/>
        <family val="2"/>
      </rPr>
      <t xml:space="preserve">노년</t>
    </r>
  </si>
  <si>
    <r>
      <rPr>
        <sz val="10"/>
        <color rgb="FF000000"/>
        <rFont val="WenQuanYi Zen Hei"/>
        <family val="2"/>
      </rPr>
      <t xml:space="preserve">요한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가장 젊은 제자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밧모 섬에서는 노년</t>
    </r>
  </si>
  <si>
    <t xml:space="preserve">어부 옷</t>
  </si>
  <si>
    <r>
      <rPr>
        <sz val="10"/>
        <color rgb="FF000000"/>
        <rFont val="WenQuanYi Zen Hei"/>
        <family val="2"/>
      </rPr>
      <t xml:space="preserve">요한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사랑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야고보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열정</t>
    </r>
  </si>
  <si>
    <t xml:space="preserve">계시록 요한은 노년 디자인</t>
  </si>
  <si>
    <t xml:space="preserve">C58</t>
  </si>
  <si>
    <r>
      <rPr>
        <sz val="10"/>
        <color rgb="FF000000"/>
        <rFont val="WenQuanYi Zen Hei"/>
        <family val="2"/>
      </rPr>
      <t xml:space="preserve">안드레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마태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도마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빌립 등 제자들</t>
    </r>
  </si>
  <si>
    <t xml:space="preserve">제자들</t>
  </si>
  <si>
    <r>
      <rPr>
        <sz val="10"/>
        <color rgb="FF000000"/>
        <rFont val="Arial"/>
        <family val="0"/>
        <charset val="1"/>
      </rPr>
      <t xml:space="preserve">20~30</t>
    </r>
    <r>
      <rPr>
        <sz val="10"/>
        <color rgb="FF000000"/>
        <rFont val="WenQuanYi Zen Hei"/>
        <family val="2"/>
      </rPr>
      <t xml:space="preserve">대</t>
    </r>
  </si>
  <si>
    <t xml:space="preserve">각자 다른 체형과 머리 모양으로 구분</t>
  </si>
  <si>
    <t xml:space="preserve">색이 다른 겉옷으로 구분</t>
  </si>
  <si>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명 구분 표 별도 제작 필요</t>
    </r>
  </si>
  <si>
    <t xml:space="preserve">C59</t>
  </si>
  <si>
    <t xml:space="preserve">가룟 유다</t>
  </si>
  <si>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대</t>
    </r>
  </si>
  <si>
    <r>
      <rPr>
        <sz val="10"/>
        <color rgb="FF000000"/>
        <rFont val="WenQuanYi Zen Hei"/>
        <family val="2"/>
      </rPr>
      <t xml:space="preserve">평범한 외모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악역 과장 금지</t>
    </r>
    <r>
      <rPr>
        <sz val="10"/>
        <color rgb="FF000000"/>
        <rFont val="Arial"/>
        <family val="0"/>
        <charset val="1"/>
      </rPr>
      <t xml:space="preserve">)</t>
    </r>
  </si>
  <si>
    <t xml:space="preserve">돈주머니</t>
  </si>
  <si>
    <t xml:space="preserve">갈등</t>
  </si>
  <si>
    <t xml:space="preserve">자결 장면 금지</t>
  </si>
  <si>
    <t xml:space="preserve">C60</t>
  </si>
  <si>
    <r>
      <rPr>
        <sz val="10"/>
        <color rgb="FF000000"/>
        <rFont val="WenQuanYi Zen Hei"/>
        <family val="2"/>
      </rPr>
      <t xml:space="preserve">막달라 마리아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마르다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나사로</t>
    </r>
  </si>
  <si>
    <t xml:space="preserve">마르다</t>
  </si>
  <si>
    <t xml:space="preserve">각자 구분되는 얼굴</t>
  </si>
  <si>
    <r>
      <rPr>
        <sz val="10"/>
        <color rgb="FF000000"/>
        <rFont val="WenQuanYi Zen Hei"/>
        <family val="2"/>
      </rPr>
      <t xml:space="preserve">마르다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앞치마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막달라 마리아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향유</t>
    </r>
  </si>
  <si>
    <r>
      <rPr>
        <sz val="10"/>
        <color rgb="FF000000"/>
        <rFont val="WenQuanYi Zen Hei"/>
        <family val="2"/>
      </rPr>
      <t xml:space="preserve">막달라 마리아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죄 많은 여인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동일시 금지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성경 근거 없음</t>
    </r>
    <r>
      <rPr>
        <sz val="10"/>
        <color rgb="FF000000"/>
        <rFont val="Arial"/>
        <family val="0"/>
        <charset val="1"/>
      </rPr>
      <t xml:space="preserve">)</t>
    </r>
  </si>
  <si>
    <t xml:space="preserve">C61</t>
  </si>
  <si>
    <r>
      <rPr>
        <sz val="10"/>
        <color rgb="FF000000"/>
        <rFont val="WenQuanYi Zen Hei"/>
        <family val="2"/>
      </rPr>
      <t xml:space="preserve">니고데모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삭개오</t>
    </r>
  </si>
  <si>
    <t xml:space="preserve">삭개오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</si>
  <si>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3, 19 / 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19</t>
    </r>
  </si>
  <si>
    <r>
      <rPr>
        <sz val="10"/>
        <color rgb="FF000000"/>
        <rFont val="WenQuanYi Zen Hei"/>
        <family val="2"/>
      </rPr>
      <t xml:space="preserve">니고데모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학자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삭개오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키 작은 부자</t>
    </r>
  </si>
  <si>
    <r>
      <rPr>
        <sz val="10"/>
        <color rgb="FF000000"/>
        <rFont val="WenQuanYi Zen Hei"/>
        <family val="2"/>
      </rPr>
      <t xml:space="preserve">니고데모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바리새인 옷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삭개오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세리 장부</t>
    </r>
  </si>
  <si>
    <r>
      <rPr>
        <sz val="10"/>
        <color rgb="FF000000"/>
        <rFont val="WenQuanYi Zen Hei"/>
        <family val="2"/>
      </rPr>
      <t xml:space="preserve">니고데모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신중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삭개오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기쁨</t>
    </r>
  </si>
  <si>
    <t xml:space="preserve">C62</t>
  </si>
  <si>
    <r>
      <rPr>
        <sz val="10"/>
        <color rgb="FF000000"/>
        <rFont val="WenQuanYi Zen Hei"/>
        <family val="2"/>
      </rPr>
      <t xml:space="preserve">빌라도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헤롯</t>
    </r>
  </si>
  <si>
    <t xml:space="preserve">빌라도</t>
  </si>
  <si>
    <r>
      <rPr>
        <sz val="10"/>
        <color rgb="FF000000"/>
        <rFont val="WenQuanYi Zen Hei"/>
        <family val="2"/>
      </rPr>
      <t xml:space="preserve">빌라도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로마 귀족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헤롯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화려한 분봉왕</t>
    </r>
  </si>
  <si>
    <r>
      <rPr>
        <sz val="10"/>
        <color rgb="FF000000"/>
        <rFont val="WenQuanYi Zen Hei"/>
        <family val="2"/>
      </rPr>
      <t xml:space="preserve">로마 토가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왕의 예복</t>
    </r>
  </si>
  <si>
    <r>
      <rPr>
        <sz val="10"/>
        <color rgb="FF000000"/>
        <rFont val="WenQuanYi Zen Hei"/>
        <family val="2"/>
      </rPr>
      <t xml:space="preserve">책임 회피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잔혹</t>
    </r>
  </si>
  <si>
    <t xml:space="preserve">C63</t>
  </si>
  <si>
    <r>
      <rPr>
        <sz val="10"/>
        <color rgb="FF000000"/>
        <rFont val="WenQuanYi Zen Hei"/>
        <family val="2"/>
      </rPr>
      <t xml:space="preserve">바울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사울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</si>
  <si>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사도행전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바울서신</t>
    </r>
  </si>
  <si>
    <r>
      <rPr>
        <sz val="10"/>
        <color rgb="FF000000"/>
        <rFont val="WenQuanYi Zen Hei"/>
        <family val="2"/>
      </rPr>
      <t xml:space="preserve">작은 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대머리 기미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짙은 눈썹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전승 기반 가안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</si>
  <si>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여행용 겉옷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두루마리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천막 바늘</t>
    </r>
  </si>
  <si>
    <t xml:space="preserve">열정과 눈물</t>
  </si>
  <si>
    <r>
      <rPr>
        <sz val="10"/>
        <color rgb="FF000000"/>
        <rFont val="WenQuanYi Zen Hei"/>
        <family val="2"/>
      </rPr>
      <t xml:space="preserve">회심 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사울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과 후 표정 대비</t>
    </r>
  </si>
  <si>
    <t xml:space="preserve">C64</t>
  </si>
  <si>
    <r>
      <rPr>
        <sz val="10"/>
        <color rgb="FF000000"/>
        <rFont val="WenQuanYi Zen Hei"/>
        <family val="2"/>
      </rPr>
      <t xml:space="preserve">바나바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실라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디모데</t>
    </r>
  </si>
  <si>
    <t xml:space="preserve">바나바</t>
  </si>
  <si>
    <r>
      <rPr>
        <sz val="10"/>
        <color rgb="FF000000"/>
        <rFont val="WenQuanYi Zen Hei"/>
        <family val="2"/>
      </rPr>
      <t xml:space="preserve">사도행전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서신</t>
    </r>
  </si>
  <si>
    <r>
      <rPr>
        <sz val="10"/>
        <color rgb="FF000000"/>
        <rFont val="WenQuanYi Zen Hei"/>
        <family val="2"/>
      </rPr>
      <t xml:space="preserve">바나바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덩치 큰 위로자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디모데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젊은 목회자</t>
    </r>
  </si>
  <si>
    <t xml:space="preserve">여행용 겉옷</t>
  </si>
  <si>
    <t xml:space="preserve">격려</t>
  </si>
  <si>
    <t xml:space="preserve">C65</t>
  </si>
  <si>
    <r>
      <rPr>
        <sz val="10"/>
        <color rgb="FF000000"/>
        <rFont val="WenQuanYi Zen Hei"/>
        <family val="2"/>
      </rPr>
      <t xml:space="preserve">스데반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빌립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집사</t>
    </r>
    <r>
      <rPr>
        <sz val="10"/>
        <color rgb="FF000000"/>
        <rFont val="Arial"/>
        <family val="0"/>
        <charset val="1"/>
      </rPr>
      <t xml:space="preserve">)</t>
    </r>
  </si>
  <si>
    <t xml:space="preserve">스데반</t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</si>
  <si>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6~8</t>
    </r>
  </si>
  <si>
    <r>
      <rPr>
        <sz val="10"/>
        <color rgb="FF000000"/>
        <rFont val="WenQuanYi Zen Hei"/>
        <family val="2"/>
      </rPr>
      <t xml:space="preserve">빛나는 얼굴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6:15)</t>
    </r>
  </si>
  <si>
    <t xml:space="preserve">집사 겉옷</t>
  </si>
  <si>
    <t xml:space="preserve">돌 맞는 장면 묘사 금지</t>
  </si>
  <si>
    <t xml:space="preserve">C66</t>
  </si>
  <si>
    <r>
      <rPr>
        <sz val="10"/>
        <color rgb="FF000000"/>
        <rFont val="WenQuanYi Zen Hei"/>
        <family val="2"/>
      </rPr>
      <t xml:space="preserve">진행 캐릭터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하람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가안</t>
    </r>
    <r>
      <rPr>
        <sz val="10"/>
        <color rgb="FF000000"/>
        <rFont val="Arial"/>
        <family val="0"/>
        <charset val="1"/>
      </rPr>
      <t xml:space="preserve">)</t>
    </r>
  </si>
  <si>
    <t xml:space="preserve">하람</t>
  </si>
  <si>
    <t xml:space="preserve">진행자</t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</si>
  <si>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타입 인트로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아웃트로</t>
    </r>
    <r>
      <rPr>
        <sz val="10"/>
        <color rgb="FF000000"/>
        <rFont val="Arial"/>
        <family val="0"/>
        <charset val="1"/>
      </rPr>
      <t xml:space="preserve">, A</t>
    </r>
    <r>
      <rPr>
        <sz val="10"/>
        <color rgb="FF000000"/>
        <rFont val="WenQuanYi Zen Hei"/>
        <family val="2"/>
      </rPr>
      <t xml:space="preserve">타입 끝 </t>
    </r>
    <r>
      <rPr>
        <sz val="10"/>
        <color rgb="FF000000"/>
        <rFont val="Arial"/>
        <family val="0"/>
        <charset val="1"/>
      </rPr>
      <t xml:space="preserve">2~3</t>
    </r>
    <r>
      <rPr>
        <sz val="10"/>
        <color rgb="FF000000"/>
        <rFont val="WenQuanYi Zen Hei"/>
        <family val="2"/>
      </rPr>
      <t xml:space="preserve">초</t>
    </r>
  </si>
  <si>
    <r>
      <rPr>
        <sz val="10"/>
        <color rgb="FF000000"/>
        <rFont val="WenQuanYi Zen Hei"/>
        <family val="2"/>
      </rPr>
      <t xml:space="preserve">초등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학년</t>
    </r>
  </si>
  <si>
    <t xml:space="preserve">참고 영상 분석 후 확정</t>
  </si>
  <si>
    <t xml:space="preserve">현대 한국 아동 복장</t>
  </si>
  <si>
    <t xml:space="preserve">호기심 많은 오빠</t>
  </si>
  <si>
    <r>
      <rPr>
        <sz val="10"/>
        <color rgb="FF000000"/>
        <rFont val="WenQuanYi Zen Hei"/>
        <family val="2"/>
      </rPr>
      <t xml:space="preserve">실존 인물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기존 작품 캐릭터와 닮지 않게</t>
    </r>
  </si>
  <si>
    <t xml:space="preserve">C67</t>
  </si>
  <si>
    <r>
      <rPr>
        <sz val="10"/>
        <color rgb="FF000000"/>
        <rFont val="WenQuanYi Zen Hei"/>
        <family val="2"/>
      </rPr>
      <t xml:space="preserve">진행 캐릭터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은솔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가안</t>
    </r>
    <r>
      <rPr>
        <sz val="10"/>
        <color rgb="FF000000"/>
        <rFont val="Arial"/>
        <family val="0"/>
        <charset val="1"/>
      </rPr>
      <t xml:space="preserve">)</t>
    </r>
  </si>
  <si>
    <t xml:space="preserve">은솔</t>
  </si>
  <si>
    <r>
      <rPr>
        <sz val="10"/>
        <color rgb="FF000000"/>
        <rFont val="WenQuanYi Zen Hei"/>
        <family val="2"/>
      </rPr>
      <t xml:space="preserve">초등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학년</t>
    </r>
  </si>
  <si>
    <t xml:space="preserve">질문 많은 동생</t>
  </si>
  <si>
    <t xml:space="preserve">C68</t>
  </si>
  <si>
    <r>
      <rPr>
        <sz val="10"/>
        <color rgb="FF000000"/>
        <rFont val="WenQuanYi Zen Hei"/>
        <family val="2"/>
      </rPr>
      <t xml:space="preserve">진행 캐릭터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할아버지 장로님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가안</t>
    </r>
    <r>
      <rPr>
        <sz val="10"/>
        <color rgb="FF000000"/>
        <rFont val="Arial"/>
        <family val="0"/>
        <charset val="1"/>
      </rPr>
      <t xml:space="preserve">)</t>
    </r>
  </si>
  <si>
    <t xml:space="preserve">할아버지</t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</si>
  <si>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타입 인트로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아웃트로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내레이션 후보</t>
    </r>
  </si>
  <si>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WenQuanYi Zen Hei"/>
        <family val="2"/>
      </rPr>
      <t xml:space="preserve">대</t>
    </r>
  </si>
  <si>
    <r>
      <rPr>
        <sz val="10"/>
        <color rgb="FF000000"/>
        <rFont val="WenQuanYi Zen Hei"/>
        <family val="2"/>
      </rPr>
      <t xml:space="preserve">카디건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손때 묻은 성경책</t>
    </r>
  </si>
  <si>
    <t xml:space="preserve">따뜻한 이야기꾼</t>
  </si>
  <si>
    <t xml:space="preserve">실존 인물과 닮지 않게</t>
  </si>
  <si>
    <r>
      <rPr>
        <sz val="9"/>
        <color rgb="FFC00000"/>
        <rFont val="WenQuanYi Zen Hei"/>
        <family val="2"/>
      </rPr>
      <t xml:space="preserve">※ 외형</t>
    </r>
    <r>
      <rPr>
        <sz val="9"/>
        <color rgb="FFC00000"/>
        <rFont val="Arial"/>
        <family val="0"/>
        <charset val="1"/>
      </rPr>
      <t xml:space="preserve">·</t>
    </r>
    <r>
      <rPr>
        <sz val="9"/>
        <color rgb="FFC00000"/>
        <rFont val="WenQuanYi Zen Hei"/>
        <family val="2"/>
      </rPr>
      <t xml:space="preserve">의상</t>
    </r>
    <r>
      <rPr>
        <sz val="9"/>
        <color rgb="FFC00000"/>
        <rFont val="Arial"/>
        <family val="0"/>
        <charset val="1"/>
      </rPr>
      <t xml:space="preserve">(</t>
    </r>
    <r>
      <rPr>
        <sz val="9"/>
        <color rgb="FFC00000"/>
        <rFont val="WenQuanYi Zen Hei"/>
        <family val="2"/>
      </rPr>
      <t xml:space="preserve">노란 칸</t>
    </r>
    <r>
      <rPr>
        <sz val="9"/>
        <color rgb="FFC00000"/>
        <rFont val="Arial"/>
        <family val="0"/>
        <charset val="1"/>
      </rPr>
      <t xml:space="preserve">)</t>
    </r>
    <r>
      <rPr>
        <sz val="9"/>
        <color rgb="FFC00000"/>
        <rFont val="WenQuanYi Zen Hei"/>
        <family val="2"/>
      </rPr>
      <t xml:space="preserve">은 가안입니다</t>
    </r>
    <r>
      <rPr>
        <sz val="9"/>
        <color rgb="FFC00000"/>
        <rFont val="Arial"/>
        <family val="0"/>
        <charset val="1"/>
      </rPr>
      <t xml:space="preserve">. </t>
    </r>
    <r>
      <rPr>
        <sz val="9"/>
        <color rgb="FFC00000"/>
        <rFont val="WenQuanYi Zen Hei"/>
        <family val="2"/>
      </rPr>
      <t xml:space="preserve">참고 영상 분석 후 화풍과 함께 확정하세요</t>
    </r>
    <r>
      <rPr>
        <sz val="9"/>
        <color rgb="FFC00000"/>
        <rFont val="Arial"/>
        <family val="0"/>
        <charset val="1"/>
      </rPr>
      <t xml:space="preserve">.</t>
    </r>
  </si>
  <si>
    <r>
      <rPr>
        <sz val="9"/>
        <color rgb="FF595959"/>
        <rFont val="Arial"/>
        <family val="0"/>
        <charset val="1"/>
      </rPr>
      <t xml:space="preserve">※ '</t>
    </r>
    <r>
      <rPr>
        <sz val="9"/>
        <color rgb="FF595959"/>
        <rFont val="WenQuanYi Zen Hei"/>
        <family val="2"/>
      </rPr>
      <t xml:space="preserve">등장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편수</t>
    </r>
    <r>
      <rPr>
        <sz val="9"/>
        <color rgb="FF595959"/>
        <rFont val="Arial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는 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WenQuanYi Zen Hei"/>
        <family val="2"/>
      </rPr>
      <t xml:space="preserve">타입 등장인물 칸에 키워드가 들어간 편수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동명이인 포함 가능</t>
    </r>
    <r>
      <rPr>
        <sz val="9"/>
        <color rgb="FF595959"/>
        <rFont val="Arial"/>
        <family val="0"/>
        <charset val="1"/>
      </rPr>
      <t xml:space="preserve">).</t>
    </r>
  </si>
  <si>
    <r>
      <rPr>
        <sz val="9"/>
        <color rgb="FF595959"/>
        <rFont val="WenQuanYi Zen Hei"/>
        <family val="2"/>
      </rPr>
      <t xml:space="preserve">※ 기존 애니메이션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슈퍼북 등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캐릭터와 외형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의상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색 조합이 닮지 않게 디자인하세요</t>
    </r>
    <r>
      <rPr>
        <sz val="9"/>
        <color rgb="FF595959"/>
        <rFont val="Arial"/>
        <family val="0"/>
        <charset val="1"/>
      </rPr>
      <t xml:space="preserve">.</t>
    </r>
  </si>
  <si>
    <r>
      <rPr>
        <b val="true"/>
        <sz val="16"/>
        <color rgb="FF1F3864"/>
        <rFont val="WenQuanYi Zen Hei"/>
        <family val="2"/>
      </rPr>
      <t xml:space="preserve">교리 감수 기준 </t>
    </r>
    <r>
      <rPr>
        <b val="true"/>
        <sz val="16"/>
        <color rgb="FF1F3864"/>
        <rFont val="Arial"/>
        <family val="0"/>
        <charset val="1"/>
      </rPr>
      <t xml:space="preserve">(</t>
    </r>
    <r>
      <rPr>
        <b val="true"/>
        <sz val="16"/>
        <color rgb="FF1F3864"/>
        <rFont val="WenQuanYi Zen Hei"/>
        <family val="2"/>
      </rPr>
      <t xml:space="preserve">대한예수교장로회 합동측</t>
    </r>
    <r>
      <rPr>
        <b val="true"/>
        <sz val="16"/>
        <color rgb="FF1F3864"/>
        <rFont val="Arial"/>
        <family val="0"/>
        <charset val="1"/>
      </rPr>
      <t xml:space="preserve">)</t>
    </r>
  </si>
  <si>
    <r>
      <rPr>
        <sz val="10"/>
        <color rgb="FF595959"/>
        <rFont val="WenQuanYi Zen Hei"/>
        <family val="2"/>
      </rPr>
      <t xml:space="preserve">모든 대본과 영상은 아래 기준으로 감수합니다</t>
    </r>
    <r>
      <rPr>
        <sz val="10"/>
        <color rgb="FF595959"/>
        <rFont val="Arial"/>
        <family val="0"/>
        <charset val="1"/>
      </rPr>
      <t xml:space="preserve">.</t>
    </r>
  </si>
  <si>
    <r>
      <rPr>
        <b val="true"/>
        <sz val="12"/>
        <color rgb="FFFFFFFF"/>
        <rFont val="Arial"/>
        <family val="0"/>
        <charset val="1"/>
      </rPr>
      <t xml:space="preserve">1. </t>
    </r>
    <r>
      <rPr>
        <b val="true"/>
        <sz val="12"/>
        <color rgb="FFFFFFFF"/>
        <rFont val="WenQuanYi Zen Hei"/>
        <family val="2"/>
      </rPr>
      <t xml:space="preserve">신앙 표준</t>
    </r>
  </si>
  <si>
    <t xml:space="preserve">항목</t>
  </si>
  <si>
    <t xml:space="preserve">기준</t>
  </si>
  <si>
    <t xml:space="preserve">성경</t>
  </si>
  <si>
    <r>
      <rPr>
        <sz val="10"/>
        <color rgb="FF000000"/>
        <rFont val="WenQuanYi Zen Hei"/>
        <family val="2"/>
      </rPr>
      <t xml:space="preserve">개역개정 성경 </t>
    </r>
    <r>
      <rPr>
        <sz val="10"/>
        <color rgb="FF000000"/>
        <rFont val="Arial"/>
        <family val="0"/>
        <charset val="1"/>
      </rPr>
      <t xml:space="preserve">66</t>
    </r>
    <r>
      <rPr>
        <sz val="10"/>
        <color rgb="FF000000"/>
        <rFont val="WenQuanYi Zen Hei"/>
        <family val="2"/>
      </rPr>
      <t xml:space="preserve">권만 정경으로 사용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외경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위경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에녹서 등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내용 사용 금지</t>
    </r>
  </si>
  <si>
    <t xml:space="preserve">신앙 표준</t>
  </si>
  <si>
    <r>
      <rPr>
        <sz val="10"/>
        <color rgb="FF000000"/>
        <rFont val="WenQuanYi Zen Hei"/>
        <family val="2"/>
      </rPr>
      <t xml:space="preserve">웨스트민스터 신앙고백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대요리문답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소요리문답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대한예수교장로회 합동 헌법</t>
    </r>
    <r>
      <rPr>
        <sz val="10"/>
        <color rgb="FF000000"/>
        <rFont val="Arial"/>
        <family val="0"/>
        <charset val="1"/>
      </rPr>
      <t xml:space="preserve">)</t>
    </r>
  </si>
  <si>
    <t xml:space="preserve">해석 원칙</t>
  </si>
  <si>
    <r>
      <rPr>
        <sz val="10"/>
        <color rgb="FF000000"/>
        <rFont val="WenQuanYi Zen Hei"/>
        <family val="2"/>
      </rPr>
      <t xml:space="preserve">성경으로 성경을 해석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문맥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역사적 배경 중심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구속사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그리스도 중심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관점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자의적 비유 풀이 금지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벧후 </t>
    </r>
    <r>
      <rPr>
        <sz val="10"/>
        <color rgb="FF000000"/>
        <rFont val="Arial"/>
        <family val="0"/>
        <charset val="1"/>
      </rPr>
      <t xml:space="preserve">1:20)</t>
    </r>
  </si>
  <si>
    <t xml:space="preserve">최종 확인</t>
  </si>
  <si>
    <r>
      <rPr>
        <sz val="10"/>
        <color rgb="FF000000"/>
        <rFont val="WenQuanYi Zen Hei"/>
        <family val="2"/>
      </rPr>
      <t xml:space="preserve">이단 관련 판단은 총회 이단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사이비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대책위원회의 최신 결의를 기준으로 확인</t>
    </r>
  </si>
  <si>
    <r>
      <rPr>
        <b val="true"/>
        <sz val="12"/>
        <color rgb="FFFFFFFF"/>
        <rFont val="Arial"/>
        <family val="0"/>
        <charset val="1"/>
      </rPr>
      <t xml:space="preserve">2. </t>
    </r>
    <r>
      <rPr>
        <b val="true"/>
        <sz val="12"/>
        <color rgb="FFFFFFFF"/>
        <rFont val="WenQuanYi Zen Hei"/>
        <family val="2"/>
      </rPr>
      <t xml:space="preserve">핵심 교리 체크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대본마다 확인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</si>
  <si>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교리</t>
  </si>
  <si>
    <t xml:space="preserve">근거 본문</t>
  </si>
  <si>
    <t xml:space="preserve">점검 질문</t>
  </si>
  <si>
    <t xml:space="preserve">확인</t>
  </si>
  <si>
    <t xml:space="preserve">성경의 영감과 무오</t>
  </si>
  <si>
    <r>
      <rPr>
        <sz val="10"/>
        <color rgb="FF000000"/>
        <rFont val="WenQuanYi Zen Hei"/>
        <family val="2"/>
      </rPr>
      <t xml:space="preserve">딤후 </t>
    </r>
    <r>
      <rPr>
        <sz val="10"/>
        <color rgb="FF000000"/>
        <rFont val="Arial"/>
        <family val="0"/>
        <charset val="1"/>
      </rPr>
      <t xml:space="preserve">3:16, </t>
    </r>
    <r>
      <rPr>
        <sz val="10"/>
        <color rgb="FF000000"/>
        <rFont val="WenQuanYi Zen Hei"/>
        <family val="2"/>
      </rPr>
      <t xml:space="preserve">벧후 </t>
    </r>
    <r>
      <rPr>
        <sz val="10"/>
        <color rgb="FF000000"/>
        <rFont val="Arial"/>
        <family val="0"/>
        <charset val="1"/>
      </rPr>
      <t xml:space="preserve">1:21</t>
    </r>
  </si>
  <si>
    <r>
      <rPr>
        <sz val="10"/>
        <color rgb="FF000000"/>
        <rFont val="WenQuanYi Zen Hei"/>
        <family val="2"/>
      </rPr>
      <t xml:space="preserve">성경에 없는 내용을 사실처럼 단정하지 않았는가</t>
    </r>
    <r>
      <rPr>
        <sz val="10"/>
        <color rgb="FF000000"/>
        <rFont val="Arial"/>
        <family val="0"/>
        <charset val="1"/>
      </rPr>
      <t xml:space="preserve">? </t>
    </r>
    <r>
      <rPr>
        <sz val="10"/>
        <color rgb="FF000000"/>
        <rFont val="WenQuanYi Zen Hei"/>
        <family val="2"/>
      </rPr>
      <t xml:space="preserve">새 계시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직통 계시를 암시하지 않았는가</t>
    </r>
    <r>
      <rPr>
        <sz val="10"/>
        <color rgb="FF000000"/>
        <rFont val="Arial"/>
        <family val="0"/>
        <charset val="1"/>
      </rPr>
      <t xml:space="preserve">?</t>
    </r>
  </si>
  <si>
    <t xml:space="preserve">□</t>
  </si>
  <si>
    <t xml:space="preserve">삼위일체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</si>
  <si>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3:16-17, 28:19</t>
    </r>
  </si>
  <si>
    <r>
      <rPr>
        <sz val="10"/>
        <color rgb="FF000000"/>
        <rFont val="WenQuanYi Zen Hei"/>
        <family val="2"/>
      </rPr>
      <t xml:space="preserve">성부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성자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성령을 한 분 하나님의 세 위격으로 표현했는가</t>
    </r>
    <r>
      <rPr>
        <sz val="10"/>
        <color rgb="FF000000"/>
        <rFont val="Arial"/>
        <family val="0"/>
        <charset val="1"/>
      </rPr>
      <t xml:space="preserve">? </t>
    </r>
    <r>
      <rPr>
        <sz val="10"/>
        <color rgb="FF000000"/>
        <rFont val="WenQuanYi Zen Hei"/>
        <family val="2"/>
      </rPr>
      <t xml:space="preserve">양태론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한 분이 모양만 바꿈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연출은 없는가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</si>
  <si>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1:1, 14 / </t>
    </r>
    <r>
      <rPr>
        <sz val="10"/>
        <color rgb="FF000000"/>
        <rFont val="WenQuanYi Zen Hei"/>
        <family val="2"/>
      </rPr>
      <t xml:space="preserve">빌 </t>
    </r>
    <r>
      <rPr>
        <sz val="10"/>
        <color rgb="FF000000"/>
        <rFont val="Arial"/>
        <family val="0"/>
        <charset val="1"/>
      </rPr>
      <t xml:space="preserve">2:6-8</t>
    </r>
  </si>
  <si>
    <r>
      <rPr>
        <sz val="10"/>
        <color rgb="FF000000"/>
        <rFont val="WenQuanYi Zen Hei"/>
        <family val="2"/>
      </rPr>
      <t xml:space="preserve">예수님을 단지 훌륭한 선생이나 피조물로 그리지 않았는가</t>
    </r>
    <r>
      <rPr>
        <sz val="10"/>
        <color rgb="FF000000"/>
        <rFont val="Arial"/>
        <family val="0"/>
        <charset val="1"/>
      </rPr>
      <t xml:space="preserve">?</t>
    </r>
  </si>
  <si>
    <t xml:space="preserve">동정녀 탄생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</si>
  <si>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1:18-25 / 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1:35</t>
    </r>
  </si>
  <si>
    <r>
      <rPr>
        <sz val="10"/>
        <color rgb="FF000000"/>
        <rFont val="WenQuanYi Zen Hei"/>
        <family val="2"/>
      </rPr>
      <t xml:space="preserve">성령으로 잉태됨을 분명히 했는가</t>
    </r>
    <r>
      <rPr>
        <sz val="10"/>
        <color rgb="FF000000"/>
        <rFont val="Arial"/>
        <family val="0"/>
        <charset val="1"/>
      </rPr>
      <t xml:space="preserve">?</t>
    </r>
  </si>
  <si>
    <t xml:space="preserve">대속의 죽음</t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</si>
  <si>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53:5 / </t>
    </r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10:45</t>
    </r>
  </si>
  <si>
    <r>
      <rPr>
        <sz val="10"/>
        <color rgb="FF000000"/>
        <rFont val="WenQuanYi Zen Hei"/>
        <family val="2"/>
      </rPr>
      <t xml:space="preserve">십자가를 단순한 순교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모범이 아닌 우리 죄를 대신 지신 죽음으로 설명했는가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</si>
  <si>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육체 부활과 승천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재림</t>
    </r>
  </si>
  <si>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15:3-8 / </t>
    </r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1:11</t>
    </r>
  </si>
  <si>
    <r>
      <rPr>
        <sz val="10"/>
        <color rgb="FF000000"/>
        <rFont val="WenQuanYi Zen Hei"/>
        <family val="2"/>
      </rPr>
      <t xml:space="preserve">부활을 상징이 아닌 역사적 사실로 표현했는가</t>
    </r>
    <r>
      <rPr>
        <sz val="10"/>
        <color rgb="FF000000"/>
        <rFont val="Arial"/>
        <family val="0"/>
        <charset val="1"/>
      </rPr>
      <t xml:space="preserve">? </t>
    </r>
    <r>
      <rPr>
        <sz val="10"/>
        <color rgb="FF000000"/>
        <rFont val="WenQuanYi Zen Hei"/>
        <family val="2"/>
      </rPr>
      <t xml:space="preserve">재림 날짜를 암시하지 않았는가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</si>
  <si>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이신칭의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오직 믿음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오직 은혜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</si>
  <si>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3:24, </t>
    </r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2:8-9</t>
    </r>
  </si>
  <si>
    <r>
      <rPr>
        <sz val="10"/>
        <color rgb="FF000000"/>
        <rFont val="WenQuanYi Zen Hei"/>
        <family val="2"/>
      </rPr>
      <t xml:space="preserve">구원을 행위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율법 준수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특정 단체 소속의 대가로 표현하지 않았는가</t>
    </r>
    <r>
      <rPr>
        <sz val="10"/>
        <color rgb="FF000000"/>
        <rFont val="Arial"/>
        <family val="0"/>
        <charset val="1"/>
      </rPr>
      <t xml:space="preserve">?</t>
    </r>
  </si>
  <si>
    <t xml:space="preserve">예정과 하나님의 주권</t>
  </si>
  <si>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1:4-5 / 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9~11</t>
    </r>
  </si>
  <si>
    <r>
      <rPr>
        <sz val="10"/>
        <color rgb="FF000000"/>
        <rFont val="WenQuanYi Zen Hei"/>
        <family val="2"/>
      </rPr>
      <t xml:space="preserve">선택을 숙명론이나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노력하면 선택된다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로 왜곡하지 않았는가</t>
    </r>
    <r>
      <rPr>
        <sz val="10"/>
        <color rgb="FF000000"/>
        <rFont val="Arial"/>
        <family val="0"/>
        <charset val="1"/>
      </rPr>
      <t xml:space="preserve">?</t>
    </r>
  </si>
  <si>
    <t xml:space="preserve">원죄와 전적 부패</t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</si>
  <si>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3:10, 5:12</t>
    </r>
  </si>
  <si>
    <r>
      <rPr>
        <sz val="10"/>
        <color rgb="FF000000"/>
        <rFont val="WenQuanYi Zen Hei"/>
        <family val="2"/>
      </rPr>
      <t xml:space="preserve">사람이 스스로 착해서 구원받는 것처럼 표현하지 않았는가</t>
    </r>
    <r>
      <rPr>
        <sz val="10"/>
        <color rgb="FF000000"/>
        <rFont val="Arial"/>
        <family val="0"/>
        <charset val="1"/>
      </rPr>
      <t xml:space="preserve">?</t>
    </r>
  </si>
  <si>
    <t xml:space="preserve">성령의 사역</t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</si>
  <si>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14:16-17, </t>
    </r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</si>
  <si>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WenQuanYi Zen Hei"/>
        <family val="2"/>
      </rPr>
      <t xml:space="preserve">성령을 특정 인물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교주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이나 단체와 동일시하지 않았는가</t>
    </r>
    <r>
      <rPr>
        <sz val="10"/>
        <color rgb="FF000000"/>
        <rFont val="Arial"/>
        <family val="0"/>
        <charset val="1"/>
      </rPr>
      <t xml:space="preserve">?</t>
    </r>
  </si>
  <si>
    <t xml:space="preserve">교회와 성례</t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</si>
  <si>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28:19, 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11:23-26</t>
    </r>
  </si>
  <si>
    <r>
      <rPr>
        <sz val="10"/>
        <color rgb="FF000000"/>
        <rFont val="WenQuanYi Zen Hei"/>
        <family val="2"/>
      </rPr>
      <t xml:space="preserve">성례는 세례와 성찬 두 가지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성찬은 화체설이 아닌 영적 임재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개혁주의</t>
    </r>
    <r>
      <rPr>
        <sz val="10"/>
        <color rgb="FF000000"/>
        <rFont val="Arial"/>
        <family val="0"/>
        <charset val="1"/>
      </rPr>
      <t xml:space="preserve">)</t>
    </r>
  </si>
  <si>
    <t xml:space="preserve">주일 성수</t>
  </si>
  <si>
    <r>
      <rPr>
        <sz val="10"/>
        <color rgb="FF000000"/>
        <rFont val="WenQuanYi Zen Hei"/>
        <family val="2"/>
      </rPr>
      <t xml:space="preserve">웨스트민스터 신앙고백 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WenQuanYi Zen Hei"/>
        <family val="2"/>
      </rPr>
      <t xml:space="preserve">장</t>
    </r>
  </si>
  <si>
    <r>
      <rPr>
        <sz val="10"/>
        <color rgb="FF000000"/>
        <rFont val="WenQuanYi Zen Hei"/>
        <family val="2"/>
      </rPr>
      <t xml:space="preserve">토요일 안식일 준수를 구원 조건처럼 표현하지 않았는가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</si>
  <si>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마리아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성인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천사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교주를 중보자로 연출하지 않았는가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</si>
  <si>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24:27</t>
    </r>
  </si>
  <si>
    <r>
      <rPr>
        <sz val="10"/>
        <color rgb="FF000000"/>
        <rFont val="WenQuanYi Zen Hei"/>
        <family val="2"/>
      </rPr>
      <t xml:space="preserve">도덕 교훈</t>
    </r>
    <r>
      <rPr>
        <sz val="10"/>
        <color rgb="FF000000"/>
        <rFont val="Arial"/>
        <family val="0"/>
        <charset val="1"/>
      </rPr>
      <t xml:space="preserve">('</t>
    </r>
    <r>
      <rPr>
        <sz val="10"/>
        <color rgb="FF000000"/>
        <rFont val="WenQuanYi Zen Hei"/>
        <family val="2"/>
      </rPr>
      <t xml:space="preserve">다윗처럼 용감하자</t>
    </r>
    <r>
      <rPr>
        <sz val="10"/>
        <color rgb="FF000000"/>
        <rFont val="Arial"/>
        <family val="0"/>
        <charset val="1"/>
      </rPr>
      <t xml:space="preserve">')</t>
    </r>
    <r>
      <rPr>
        <sz val="10"/>
        <color rgb="FF000000"/>
        <rFont val="WenQuanYi Zen Hei"/>
        <family val="2"/>
      </rPr>
      <t xml:space="preserve">에서 끝나지 않고 그리스도를 가리켰는가</t>
    </r>
    <r>
      <rPr>
        <sz val="10"/>
        <color rgb="FF000000"/>
        <rFont val="Arial"/>
        <family val="0"/>
        <charset val="1"/>
      </rPr>
      <t xml:space="preserve">?</t>
    </r>
  </si>
  <si>
    <r>
      <rPr>
        <b val="true"/>
        <sz val="12"/>
        <color rgb="FFFFFFFF"/>
        <rFont val="Arial"/>
        <family val="0"/>
        <charset val="1"/>
      </rPr>
      <t xml:space="preserve">3. </t>
    </r>
    <r>
      <rPr>
        <b val="true"/>
        <sz val="12"/>
        <color rgb="FFFFFFFF"/>
        <rFont val="WenQuanYi Zen Hei"/>
        <family val="2"/>
      </rPr>
      <t xml:space="preserve">이단 해석 경계 목록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한국 교계가 이단</t>
    </r>
    <r>
      <rPr>
        <b val="true"/>
        <sz val="12"/>
        <color rgb="FFFFFFFF"/>
        <rFont val="Arial"/>
        <family val="0"/>
        <charset val="1"/>
      </rPr>
      <t xml:space="preserve">·</t>
    </r>
    <r>
      <rPr>
        <b val="true"/>
        <sz val="12"/>
        <color rgb="FFFFFFFF"/>
        <rFont val="WenQuanYi Zen Hei"/>
        <family val="2"/>
      </rPr>
      <t xml:space="preserve">사이비로 규정하거나 경계해 온 해석</t>
    </r>
    <r>
      <rPr>
        <b val="true"/>
        <sz val="12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</si>
  <si>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단체</t>
    </r>
    <r>
      <rPr>
        <b val="true"/>
        <sz val="10"/>
        <color rgb="FF000000"/>
        <rFont val="Arial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사상</t>
    </r>
  </si>
  <si>
    <t xml:space="preserve">핵심 오류</t>
  </si>
  <si>
    <t xml:space="preserve">오용하는 본문</t>
  </si>
  <si>
    <t xml:space="preserve">제작 지침</t>
  </si>
  <si>
    <r>
      <rPr>
        <sz val="10"/>
        <color rgb="FF000000"/>
        <rFont val="WenQuanYi Zen Hei"/>
        <family val="2"/>
      </rPr>
      <t xml:space="preserve">신천지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이만희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</si>
  <si>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비유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짝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풀이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계시록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실상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성취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이긴 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보혜사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두 증인 자칭</t>
    </r>
    <r>
      <rPr>
        <sz val="10"/>
        <color rgb="FF000000"/>
        <rFont val="Arial"/>
        <family val="0"/>
        <charset val="1"/>
      </rPr>
      <t xml:space="preserve">, 144,000, </t>
    </r>
    <r>
      <rPr>
        <sz val="10"/>
        <color rgb="FF000000"/>
        <rFont val="WenQuanYi Zen Hei"/>
        <family val="2"/>
      </rPr>
      <t xml:space="preserve">배도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WenQuanYi Zen Hei"/>
        <family val="2"/>
      </rPr>
      <t xml:space="preserve">멸망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WenQuanYi Zen Hei"/>
        <family val="2"/>
      </rPr>
      <t xml:space="preserve">구원</t>
    </r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</si>
  <si>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WenQuanYi Zen Hei"/>
        <family val="2"/>
      </rPr>
      <t xml:space="preserve">장 비유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14:16(</t>
    </r>
    <r>
      <rPr>
        <sz val="10"/>
        <color rgb="FF000000"/>
        <rFont val="WenQuanYi Zen Hei"/>
        <family val="2"/>
      </rPr>
      <t xml:space="preserve">보혜사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2~3</t>
    </r>
    <r>
      <rPr>
        <sz val="10"/>
        <color rgb="FF000000"/>
        <rFont val="WenQuanYi Zen Hei"/>
        <family val="2"/>
      </rPr>
      <t xml:space="preserve">장</t>
    </r>
    <r>
      <rPr>
        <sz val="10"/>
        <color rgb="FF000000"/>
        <rFont val="Arial"/>
        <family val="0"/>
        <charset val="1"/>
      </rPr>
      <t xml:space="preserve">, 7</t>
    </r>
    <r>
      <rPr>
        <sz val="10"/>
        <color rgb="FF000000"/>
        <rFont val="WenQuanYi Zen Hei"/>
        <family val="2"/>
      </rPr>
      <t xml:space="preserve">장</t>
    </r>
    <r>
      <rPr>
        <sz val="10"/>
        <color rgb="FF000000"/>
        <rFont val="Arial"/>
        <family val="0"/>
        <charset val="1"/>
      </rPr>
      <t xml:space="preserve">, 11</t>
    </r>
    <r>
      <rPr>
        <sz val="10"/>
        <color rgb="FF000000"/>
        <rFont val="WenQuanYi Zen Hei"/>
        <family val="2"/>
      </rPr>
      <t xml:space="preserve">장</t>
    </r>
    <r>
      <rPr>
        <sz val="10"/>
        <color rgb="FF000000"/>
        <rFont val="Arial"/>
        <family val="0"/>
        <charset val="1"/>
      </rPr>
      <t xml:space="preserve">, 12</t>
    </r>
    <r>
      <rPr>
        <sz val="10"/>
        <color rgb="FF000000"/>
        <rFont val="WenQuanYi Zen Hei"/>
        <family val="2"/>
      </rPr>
      <t xml:space="preserve">장</t>
    </r>
    <r>
      <rPr>
        <sz val="10"/>
        <color rgb="FF000000"/>
        <rFont val="Arial"/>
        <family val="0"/>
        <charset val="1"/>
      </rPr>
      <t xml:space="preserve">, 14</t>
    </r>
    <r>
      <rPr>
        <sz val="10"/>
        <color rgb="FF000000"/>
        <rFont val="WenQuanYi Zen Hei"/>
        <family val="2"/>
      </rPr>
      <t xml:space="preserve">장</t>
    </r>
  </si>
  <si>
    <r>
      <rPr>
        <sz val="10"/>
        <color rgb="FF000000"/>
        <rFont val="WenQuanYi Zen Hei"/>
        <family val="2"/>
      </rPr>
      <t xml:space="preserve">비유는 예수님 자신의 해석만 사용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계시록 상징을 실존 인물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장소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단체에 대입 금지</t>
    </r>
  </si>
  <si>
    <r>
      <rPr>
        <sz val="10"/>
        <color rgb="FF000000"/>
        <rFont val="WenQuanYi Zen Hei"/>
        <family val="2"/>
      </rPr>
      <t xml:space="preserve">하나님의교회 세계복음선교협회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안상홍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</si>
  <si>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어머니 하나님</t>
    </r>
    <r>
      <rPr>
        <sz val="10"/>
        <color rgb="FF000000"/>
        <rFont val="Arial"/>
        <family val="0"/>
        <charset val="1"/>
      </rPr>
      <t xml:space="preserve">', </t>
    </r>
    <r>
      <rPr>
        <sz val="10"/>
        <color rgb="FF000000"/>
        <rFont val="WenQuanYi Zen Hei"/>
        <family val="2"/>
      </rPr>
      <t xml:space="preserve">안상홍 재림 그리스도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유월절 지켜야 구원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토요 안식일</t>
    </r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</si>
  <si>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22:17, </t>
    </r>
    <r>
      <rPr>
        <sz val="10"/>
        <color rgb="FF000000"/>
        <rFont val="WenQuanYi Zen Hei"/>
        <family val="2"/>
      </rPr>
      <t xml:space="preserve">갈 </t>
    </r>
    <r>
      <rPr>
        <sz val="10"/>
        <color rgb="FF000000"/>
        <rFont val="Arial"/>
        <family val="0"/>
        <charset val="1"/>
      </rPr>
      <t xml:space="preserve">4:26, </t>
    </r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31:22, 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WenQuanYi Zen Hei"/>
        <family val="2"/>
      </rPr>
      <t xml:space="preserve">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장</t>
    </r>
  </si>
  <si>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신부</t>
    </r>
    <r>
      <rPr>
        <sz val="10"/>
        <color rgb="FF000000"/>
        <rFont val="Arial"/>
        <family val="0"/>
        <charset val="1"/>
      </rPr>
      <t xml:space="preserve">'·'</t>
    </r>
    <r>
      <rPr>
        <sz val="10"/>
        <color rgb="FF000000"/>
        <rFont val="WenQuanYi Zen Hei"/>
        <family val="2"/>
      </rPr>
      <t xml:space="preserve">예루살렘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을 여성 신으로 해석 금지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유월절은 그리스도 안에서 성취</t>
    </r>
  </si>
  <si>
    <r>
      <rPr>
        <sz val="10"/>
        <color rgb="FF000000"/>
        <rFont val="WenQuanYi Zen Hei"/>
        <family val="2"/>
      </rPr>
      <t xml:space="preserve">통일교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세계평화통일가정연합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</si>
  <si>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하와와 뱀의 성적 타락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혈통 타락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문선명 재림주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</si>
  <si>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장</t>
    </r>
  </si>
  <si>
    <r>
      <rPr>
        <sz val="10"/>
        <color rgb="FF000000"/>
        <rFont val="WenQuanYi Zen Hei"/>
        <family val="2"/>
      </rPr>
      <t xml:space="preserve">선악과 사건을 성적으로 해석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연출 절대 금지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뱀은 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열매는 열매</t>
    </r>
  </si>
  <si>
    <r>
      <rPr>
        <sz val="10"/>
        <color rgb="FF000000"/>
        <rFont val="Arial"/>
        <family val="0"/>
        <charset val="1"/>
      </rPr>
      <t xml:space="preserve">JMS </t>
    </r>
    <r>
      <rPr>
        <sz val="10"/>
        <color rgb="FF000000"/>
        <rFont val="WenQuanYi Zen Hei"/>
        <family val="2"/>
      </rPr>
      <t xml:space="preserve">기독교복음선교회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정명석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</si>
  <si>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개론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성적 타락 해석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정명석 메시아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</si>
  <si>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비유 본문</t>
    </r>
  </si>
  <si>
    <r>
      <rPr>
        <sz val="10"/>
        <color rgb="FF000000"/>
        <rFont val="WenQuanYi Zen Hei"/>
        <family val="2"/>
      </rPr>
      <t xml:space="preserve">통일교와 같은 창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장 해석 경계</t>
    </r>
  </si>
  <si>
    <r>
      <rPr>
        <sz val="10"/>
        <color rgb="FF000000"/>
        <rFont val="WenQuanYi Zen Hei"/>
        <family val="2"/>
      </rPr>
      <t xml:space="preserve">구원파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기독교복음침례회 등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</si>
  <si>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깨달음으로 구원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구원받은 날짜 기억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회개 불필요</t>
    </r>
  </si>
  <si>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요일 </t>
    </r>
    <r>
      <rPr>
        <sz val="10"/>
        <color rgb="FF000000"/>
        <rFont val="Arial"/>
        <family val="0"/>
        <charset val="1"/>
      </rPr>
      <t xml:space="preserve">1:9</t>
    </r>
  </si>
  <si>
    <r>
      <rPr>
        <sz val="10"/>
        <color rgb="FF000000"/>
        <rFont val="WenQuanYi Zen Hei"/>
        <family val="2"/>
      </rPr>
      <t xml:space="preserve">구원 확신을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깨달은 날짜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로 연출 금지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회개와 성화 강조</t>
    </r>
  </si>
  <si>
    <t xml:space="preserve">여호와의 증인</t>
  </si>
  <si>
    <r>
      <rPr>
        <sz val="10"/>
        <color rgb="FF000000"/>
        <rFont val="WenQuanYi Zen Hei"/>
        <family val="2"/>
      </rPr>
      <t xml:space="preserve">삼위일체 부정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예수님은 피조물</t>
    </r>
    <r>
      <rPr>
        <sz val="10"/>
        <color rgb="FF000000"/>
        <rFont val="Arial"/>
        <family val="0"/>
        <charset val="1"/>
      </rPr>
      <t xml:space="preserve">, '</t>
    </r>
    <r>
      <rPr>
        <sz val="10"/>
        <color rgb="FF000000"/>
        <rFont val="WenQuanYi Zen Hei"/>
        <family val="2"/>
      </rPr>
      <t xml:space="preserve">말씀은 신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이라는 번역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수혈 거부</t>
    </r>
    <r>
      <rPr>
        <sz val="10"/>
        <color rgb="FF000000"/>
        <rFont val="Arial"/>
        <family val="0"/>
        <charset val="1"/>
      </rPr>
      <t xml:space="preserve">, 144,000</t>
    </r>
  </si>
  <si>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1:1, </t>
    </r>
    <r>
      <rPr>
        <sz val="10"/>
        <color rgb="FF000000"/>
        <rFont val="WenQuanYi Zen Hei"/>
        <family val="2"/>
      </rPr>
      <t xml:space="preserve">골 </t>
    </r>
    <r>
      <rPr>
        <sz val="10"/>
        <color rgb="FF000000"/>
        <rFont val="Arial"/>
        <family val="0"/>
        <charset val="1"/>
      </rPr>
      <t xml:space="preserve">1:15, 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8:22, </t>
    </r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17:11, </t>
    </r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7·14</t>
    </r>
    <r>
      <rPr>
        <sz val="10"/>
        <color rgb="FF000000"/>
        <rFont val="WenQuanYi Zen Hei"/>
        <family val="2"/>
      </rPr>
      <t xml:space="preserve">장</t>
    </r>
  </si>
  <si>
    <r>
      <rPr>
        <sz val="10"/>
        <color rgb="FF000000"/>
        <rFont val="WenQuanYi Zen Hei"/>
        <family val="2"/>
      </rPr>
      <t xml:space="preserve">그리스도의 완전한 신성 강조</t>
    </r>
    <r>
      <rPr>
        <sz val="10"/>
        <color rgb="FF000000"/>
        <rFont val="Arial"/>
        <family val="0"/>
        <charset val="1"/>
      </rPr>
      <t xml:space="preserve">. '</t>
    </r>
    <r>
      <rPr>
        <sz val="10"/>
        <color rgb="FF000000"/>
        <rFont val="WenQuanYi Zen Hei"/>
        <family val="2"/>
      </rPr>
      <t xml:space="preserve">먼저 나신 이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는 피조물이 아님</t>
    </r>
  </si>
  <si>
    <t xml:space="preserve">제칠일안식일예수재림교</t>
  </si>
  <si>
    <r>
      <rPr>
        <sz val="10"/>
        <color rgb="FF000000"/>
        <rFont val="WenQuanYi Zen Hei"/>
        <family val="2"/>
      </rPr>
      <t xml:space="preserve">토요 안식일 준수 강조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엘렌 </t>
    </r>
    <r>
      <rPr>
        <sz val="10"/>
        <color rgb="FF000000"/>
        <rFont val="Arial"/>
        <family val="0"/>
        <charset val="1"/>
      </rPr>
      <t xml:space="preserve">G. </t>
    </r>
    <r>
      <rPr>
        <sz val="10"/>
        <color rgb="FF000000"/>
        <rFont val="WenQuanYi Zen Hei"/>
        <family val="2"/>
      </rPr>
      <t xml:space="preserve">화이트 예언</t>
    </r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</si>
  <si>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20:8-11, 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장</t>
    </r>
  </si>
  <si>
    <r>
      <rPr>
        <sz val="10"/>
        <color rgb="FF000000"/>
        <rFont val="WenQuanYi Zen Hei"/>
        <family val="2"/>
      </rPr>
      <t xml:space="preserve">주일 성수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웨신 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WenQuanYi Zen Hei"/>
        <family val="2"/>
      </rPr>
      <t xml:space="preserve">장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WenQuanYi Zen Hei"/>
        <family val="2"/>
      </rPr>
      <t xml:space="preserve">안식일 장면은 그리스도 안의 안식으로 설명</t>
    </r>
  </si>
  <si>
    <r>
      <rPr>
        <sz val="10"/>
        <color rgb="FF000000"/>
        <rFont val="WenQuanYi Zen Hei"/>
        <family val="2"/>
      </rPr>
      <t xml:space="preserve">몰몬교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말일성도예수그리스도교회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</si>
  <si>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몰몬경 등 추가 경전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다신론적 신관</t>
    </r>
  </si>
  <si>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22:18-19, </t>
    </r>
    <r>
      <rPr>
        <sz val="10"/>
        <color rgb="FF000000"/>
        <rFont val="WenQuanYi Zen Hei"/>
        <family val="2"/>
      </rPr>
      <t xml:space="preserve">갈 </t>
    </r>
    <r>
      <rPr>
        <sz val="10"/>
        <color rgb="FF000000"/>
        <rFont val="Arial"/>
        <family val="0"/>
        <charset val="1"/>
      </rPr>
      <t xml:space="preserve">1:8</t>
    </r>
  </si>
  <si>
    <r>
      <rPr>
        <sz val="10"/>
        <color rgb="FF000000"/>
        <rFont val="WenQuanYi Zen Hei"/>
        <family val="2"/>
      </rPr>
      <t xml:space="preserve">성경 </t>
    </r>
    <r>
      <rPr>
        <sz val="10"/>
        <color rgb="FF000000"/>
        <rFont val="Arial"/>
        <family val="0"/>
        <charset val="1"/>
      </rPr>
      <t xml:space="preserve">66</t>
    </r>
    <r>
      <rPr>
        <sz val="10"/>
        <color rgb="FF000000"/>
        <rFont val="WenQuanYi Zen Hei"/>
        <family val="2"/>
      </rPr>
      <t xml:space="preserve">권 외 계시 부정</t>
    </r>
  </si>
  <si>
    <r>
      <rPr>
        <sz val="10"/>
        <color rgb="FF000000"/>
        <rFont val="WenQuanYi Zen Hei"/>
        <family val="2"/>
      </rPr>
      <t xml:space="preserve">시한부 종말론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예</t>
    </r>
    <r>
      <rPr>
        <sz val="10"/>
        <color rgb="FF000000"/>
        <rFont val="Arial"/>
        <family val="0"/>
        <charset val="1"/>
      </rPr>
      <t xml:space="preserve">: 1992 </t>
    </r>
    <r>
      <rPr>
        <sz val="10"/>
        <color rgb="FF000000"/>
        <rFont val="WenQuanYi Zen Hei"/>
        <family val="2"/>
      </rPr>
      <t xml:space="preserve">다미선교회 등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</si>
  <si>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재림 날짜 지정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숫자 계산</t>
    </r>
    <r>
      <rPr>
        <sz val="10"/>
        <color rgb="FF000000"/>
        <rFont val="Arial"/>
        <family val="0"/>
        <charset val="1"/>
      </rPr>
      <t xml:space="preserve">(70</t>
    </r>
    <r>
      <rPr>
        <sz val="10"/>
        <color rgb="FF000000"/>
        <rFont val="WenQuanYi Zen Hei"/>
        <family val="2"/>
      </rPr>
      <t xml:space="preserve">이레</t>
    </r>
    <r>
      <rPr>
        <sz val="10"/>
        <color rgb="FF000000"/>
        <rFont val="Arial"/>
        <family val="0"/>
        <charset val="1"/>
      </rPr>
      <t xml:space="preserve">, 1260</t>
    </r>
    <r>
      <rPr>
        <sz val="10"/>
        <color rgb="FF000000"/>
        <rFont val="WenQuanYi Zen Hei"/>
        <family val="2"/>
      </rPr>
      <t xml:space="preserve">일 등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</si>
  <si>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WenQuanYi Zen Hei"/>
        <family val="2"/>
      </rPr>
      <t xml:space="preserve">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11~13</t>
    </r>
    <r>
      <rPr>
        <sz val="10"/>
        <color rgb="FF000000"/>
        <rFont val="WenQuanYi Zen Hei"/>
        <family val="2"/>
      </rPr>
      <t xml:space="preserve">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살전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장</t>
    </r>
  </si>
  <si>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그날과 그때는 아무도 모른다</t>
    </r>
    <r>
      <rPr>
        <sz val="10"/>
        <color rgb="FF000000"/>
        <rFont val="Arial"/>
        <family val="0"/>
        <charset val="1"/>
      </rPr>
      <t xml:space="preserve">'(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24:36)</t>
    </r>
    <r>
      <rPr>
        <sz val="10"/>
        <color rgb="FF000000"/>
        <rFont val="WenQuanYi Zen Hei"/>
        <family val="2"/>
      </rPr>
      <t xml:space="preserve">를 원칙으로</t>
    </r>
  </si>
  <si>
    <r>
      <rPr>
        <sz val="10"/>
        <color rgb="FF000000"/>
        <rFont val="WenQuanYi Zen Hei"/>
        <family val="2"/>
      </rPr>
      <t xml:space="preserve">다락방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류광수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등 직통계시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신비주의</t>
    </r>
  </si>
  <si>
    <r>
      <rPr>
        <sz val="10"/>
        <color rgb="FF000000"/>
        <rFont val="WenQuanYi Zen Hei"/>
        <family val="2"/>
      </rPr>
      <t xml:space="preserve">특정 지도자 계시 강조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귀신론 과장</t>
    </r>
  </si>
  <si>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장 등 축귀 본문</t>
    </r>
  </si>
  <si>
    <r>
      <rPr>
        <sz val="10"/>
        <color rgb="FF000000"/>
        <rFont val="WenQuanYi Zen Hei"/>
        <family val="2"/>
      </rPr>
      <t xml:space="preserve">축귀 장면 공포 연출 금지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말씀 중심 설명</t>
    </r>
  </si>
  <si>
    <r>
      <rPr>
        <sz val="10"/>
        <color rgb="FF000000"/>
        <rFont val="WenQuanYi Zen Hei"/>
        <family val="2"/>
      </rPr>
      <t xml:space="preserve">번영신학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기복신앙</t>
    </r>
  </si>
  <si>
    <r>
      <rPr>
        <sz val="10"/>
        <color rgb="FF000000"/>
        <rFont val="WenQuanYi Zen Hei"/>
        <family val="2"/>
      </rPr>
      <t xml:space="preserve">믿음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부와 건강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헌금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복의 투자</t>
    </r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</si>
  <si>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WenQuanYi Zen Hei"/>
        <family val="2"/>
      </rPr>
      <t xml:space="preserve">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말 </t>
    </r>
    <r>
      <rPr>
        <sz val="10"/>
        <color rgb="FF000000"/>
        <rFont val="Arial"/>
        <family val="0"/>
        <charset val="1"/>
      </rPr>
      <t xml:space="preserve">3:10, </t>
    </r>
    <r>
      <rPr>
        <sz val="10"/>
        <color rgb="FF000000"/>
        <rFont val="WenQuanYi Zen Hei"/>
        <family val="2"/>
      </rPr>
      <t xml:space="preserve">대상 </t>
    </r>
    <r>
      <rPr>
        <sz val="10"/>
        <color rgb="FF000000"/>
        <rFont val="Arial"/>
        <family val="0"/>
        <charset val="1"/>
      </rPr>
      <t xml:space="preserve">4:10, </t>
    </r>
    <r>
      <rPr>
        <sz val="10"/>
        <color rgb="FF000000"/>
        <rFont val="WenQuanYi Zen Hei"/>
        <family val="2"/>
      </rPr>
      <t xml:space="preserve">요삼 </t>
    </r>
    <r>
      <rPr>
        <sz val="10"/>
        <color rgb="FF000000"/>
        <rFont val="Arial"/>
        <family val="0"/>
        <charset val="1"/>
      </rPr>
      <t xml:space="preserve">1:2, </t>
    </r>
    <r>
      <rPr>
        <sz val="10"/>
        <color rgb="FF000000"/>
        <rFont val="WenQuanYi Zen Hei"/>
        <family val="2"/>
      </rPr>
      <t xml:space="preserve">빌 </t>
    </r>
    <r>
      <rPr>
        <sz val="10"/>
        <color rgb="FF000000"/>
        <rFont val="Arial"/>
        <family val="0"/>
        <charset val="1"/>
      </rPr>
      <t xml:space="preserve">4:13</t>
    </r>
  </si>
  <si>
    <r>
      <rPr>
        <sz val="10"/>
        <color rgb="FF000000"/>
        <rFont val="WenQuanYi Zen Hei"/>
        <family val="2"/>
      </rPr>
      <t xml:space="preserve">고난 속 신실함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자족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 자신이 복임을 강조</t>
    </r>
  </si>
  <si>
    <r>
      <rPr>
        <b val="true"/>
        <sz val="12"/>
        <color rgb="FFFFFFFF"/>
        <rFont val="Arial"/>
        <family val="0"/>
        <charset val="1"/>
      </rPr>
      <t xml:space="preserve">4. </t>
    </r>
    <r>
      <rPr>
        <b val="true"/>
        <sz val="12"/>
        <color rgb="FFFFFFFF"/>
        <rFont val="WenQuanYi Zen Hei"/>
        <family val="2"/>
      </rPr>
      <t xml:space="preserve">연출</t>
    </r>
    <r>
      <rPr>
        <b val="true"/>
        <sz val="12"/>
        <color rgb="FFFFFFFF"/>
        <rFont val="Arial"/>
        <family val="0"/>
        <charset val="1"/>
      </rPr>
      <t xml:space="preserve">·</t>
    </r>
    <r>
      <rPr>
        <b val="true"/>
        <sz val="12"/>
        <color rgb="FFFFFFFF"/>
        <rFont val="WenQuanYi Zen Hei"/>
        <family val="2"/>
      </rPr>
      <t xml:space="preserve">표현 원칙</t>
    </r>
  </si>
  <si>
    <t xml:space="preserve">원칙</t>
  </si>
  <si>
    <t xml:space="preserve">내용</t>
  </si>
  <si>
    <t xml:space="preserve">성경 외 내용 표시</t>
  </si>
  <si>
    <r>
      <rPr>
        <sz val="10"/>
        <color rgb="FF000000"/>
        <rFont val="WenQuanYi Zen Hei"/>
        <family val="2"/>
      </rPr>
      <t xml:space="preserve">성경에 없는 대사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장면은 최소화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필요한 경우 대본에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상상 장면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으로 표시하고 감수</t>
    </r>
  </si>
  <si>
    <t xml:space="preserve">전승과 사실 구분</t>
  </si>
  <si>
    <r>
      <rPr>
        <sz val="10"/>
        <color rgb="FF000000"/>
        <rFont val="WenQuanYi Zen Hei"/>
        <family val="2"/>
      </rPr>
      <t xml:space="preserve">동방 박사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세 명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과 이름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선악과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사과</t>
    </r>
    <r>
      <rPr>
        <sz val="10"/>
        <color rgb="FF000000"/>
        <rFont val="Arial"/>
        <family val="0"/>
        <charset val="1"/>
      </rPr>
      <t xml:space="preserve">', </t>
    </r>
    <r>
      <rPr>
        <sz val="10"/>
        <color rgb="FF000000"/>
        <rFont val="WenQuanYi Zen Hei"/>
        <family val="2"/>
      </rPr>
      <t xml:space="preserve">막달라 마리아</t>
    </r>
    <r>
      <rPr>
        <sz val="10"/>
        <color rgb="FF000000"/>
        <rFont val="Arial"/>
        <family val="0"/>
        <charset val="1"/>
      </rPr>
      <t xml:space="preserve">=</t>
    </r>
    <r>
      <rPr>
        <sz val="10"/>
        <color rgb="FF000000"/>
        <rFont val="WenQuanYi Zen Hei"/>
        <family val="2"/>
      </rPr>
      <t xml:space="preserve">죄 많은 여인 등은 성경 사실처럼 단정 금지</t>
    </r>
  </si>
  <si>
    <r>
      <rPr>
        <sz val="10"/>
        <color rgb="FF000000"/>
        <rFont val="WenQuanYi Zen Hei"/>
        <family val="2"/>
      </rPr>
      <t xml:space="preserve">폭력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성적 장면</t>
    </r>
  </si>
  <si>
    <r>
      <rPr>
        <sz val="10"/>
        <color rgb="FF000000"/>
        <rFont val="WenQuanYi Zen Hei"/>
        <family val="2"/>
      </rPr>
      <t xml:space="preserve">살해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처형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성범죄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전쟁 유혈은 직접 묘사 금지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실루엣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소리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내레이션으로 처리</t>
    </r>
  </si>
  <si>
    <t xml:space="preserve">공포 연출</t>
  </si>
  <si>
    <r>
      <rPr>
        <sz val="10"/>
        <color rgb="FF000000"/>
        <rFont val="WenQuanYi Zen Hei"/>
        <family val="2"/>
      </rPr>
      <t xml:space="preserve">귀신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심판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재앙 장면은 아이들이 시청 가능한 수준으로 절제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소망과 하나님의 승리로 마무리</t>
    </r>
  </si>
  <si>
    <t xml:space="preserve">인물 숭배 금지</t>
  </si>
  <si>
    <r>
      <rPr>
        <sz val="10"/>
        <color rgb="FF000000"/>
        <rFont val="WenQuanYi Zen Hei"/>
        <family val="2"/>
      </rPr>
      <t xml:space="preserve">마리아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성인에게 후광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경배 연출 금지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영광은 하나님께만</t>
    </r>
  </si>
  <si>
    <t xml:space="preserve">성경 인용</t>
  </si>
  <si>
    <r>
      <rPr>
        <sz val="10"/>
        <color rgb="FF000000"/>
        <rFont val="WenQuanYi Zen Hei"/>
        <family val="2"/>
      </rPr>
      <t xml:space="preserve">핵심 구절은 개역개정 원문과 한 글자씩 대조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장절 표기 필수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예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1:1, </t>
    </r>
    <r>
      <rPr>
        <sz val="10"/>
        <color rgb="FF000000"/>
        <rFont val="WenQuanYi Zen Hei"/>
        <family val="2"/>
      </rPr>
      <t xml:space="preserve">개역개정</t>
    </r>
    <r>
      <rPr>
        <sz val="10"/>
        <color rgb="FF000000"/>
        <rFont val="Arial"/>
        <family val="0"/>
        <charset val="1"/>
      </rPr>
      <t xml:space="preserve">)</t>
    </r>
  </si>
  <si>
    <t xml:space="preserve">하나님의 감정 표현</t>
  </si>
  <si>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한탄하셨다</t>
    </r>
    <r>
      <rPr>
        <sz val="10"/>
        <color rgb="FF000000"/>
        <rFont val="Arial"/>
        <family val="0"/>
        <charset val="1"/>
      </rPr>
      <t xml:space="preserve">', '</t>
    </r>
    <r>
      <rPr>
        <sz val="10"/>
        <color rgb="FF000000"/>
        <rFont val="WenQuanYi Zen Hei"/>
        <family val="2"/>
      </rPr>
      <t xml:space="preserve">뜻을 돌이키셨다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등은 사람의 말로 표현한 것임을 필요시 설명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하나님은 변하지 않으심</t>
    </r>
    <r>
      <rPr>
        <sz val="10"/>
        <color rgb="FF000000"/>
        <rFont val="Arial"/>
        <family val="0"/>
        <charset val="1"/>
      </rPr>
      <t xml:space="preserve">)</t>
    </r>
  </si>
  <si>
    <t xml:space="preserve">유머 사용</t>
  </si>
  <si>
    <r>
      <rPr>
        <sz val="10"/>
        <color rgb="FF000000"/>
        <rFont val="WenQuanYi Zen Hei"/>
        <family val="2"/>
      </rPr>
      <t xml:space="preserve">인물의 실수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요나 등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는 재미있게 연출 가능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하나님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성령은 희화화 금지</t>
    </r>
  </si>
  <si>
    <r>
      <rPr>
        <b val="true"/>
        <sz val="12"/>
        <color rgb="FFFFFFFF"/>
        <rFont val="Arial"/>
        <family val="0"/>
        <charset val="1"/>
      </rPr>
      <t xml:space="preserve">5. </t>
    </r>
    <r>
      <rPr>
        <b val="true"/>
        <sz val="12"/>
        <color rgb="FFFFFFFF"/>
        <rFont val="WenQuanYi Zen Hei"/>
        <family val="2"/>
      </rPr>
      <t xml:space="preserve">감수 절차</t>
    </r>
  </si>
  <si>
    <t xml:space="preserve">단계</t>
  </si>
  <si>
    <t xml:space="preserve">담당</t>
  </si>
  <si>
    <r>
      <rPr>
        <sz val="10"/>
        <color rgb="FF000000"/>
        <rFont val="Arial"/>
        <family val="0"/>
        <charset val="1"/>
      </rPr>
      <t xml:space="preserve">1. </t>
    </r>
    <r>
      <rPr>
        <sz val="10"/>
        <color rgb="FF000000"/>
        <rFont val="WenQuanYi Zen Hei"/>
        <family val="2"/>
      </rPr>
      <t xml:space="preserve">대본 작성</t>
    </r>
  </si>
  <si>
    <r>
      <rPr>
        <sz val="10"/>
        <color rgb="FF000000"/>
        <rFont val="WenQuanYi Zen Hei"/>
        <family val="2"/>
      </rPr>
      <t xml:space="preserve">제작표의 본문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핵심 구절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주의 칸을 기준으로 대본 작성</t>
    </r>
  </si>
  <si>
    <t xml:space="preserve">작성자</t>
  </si>
  <si>
    <r>
      <rPr>
        <sz val="10"/>
        <color rgb="FF000000"/>
        <rFont val="Arial"/>
        <family val="0"/>
        <charset val="1"/>
      </rPr>
      <t xml:space="preserve">2. </t>
    </r>
    <r>
      <rPr>
        <sz val="10"/>
        <color rgb="FF000000"/>
        <rFont val="WenQuanYi Zen Hei"/>
        <family val="2"/>
      </rPr>
      <t xml:space="preserve">자체 점검</t>
    </r>
  </si>
  <si>
    <r>
      <rPr>
        <sz val="10"/>
        <color rgb="FF000000"/>
        <rFont val="WenQuanYi Zen Hei"/>
        <family val="2"/>
      </rPr>
      <t xml:space="preserve">본 시트의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핵심 교리 체크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와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이단 해석 경계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항목 확인</t>
    </r>
  </si>
  <si>
    <r>
      <rPr>
        <sz val="10"/>
        <color rgb="FF000000"/>
        <rFont val="Arial"/>
        <family val="0"/>
        <charset val="1"/>
      </rPr>
      <t xml:space="preserve">3. </t>
    </r>
    <r>
      <rPr>
        <sz val="10"/>
        <color rgb="FF000000"/>
        <rFont val="WenQuanYi Zen Hei"/>
        <family val="2"/>
      </rPr>
      <t xml:space="preserve">성경 대조</t>
    </r>
  </si>
  <si>
    <r>
      <rPr>
        <sz val="10"/>
        <color rgb="FF000000"/>
        <rFont val="WenQuanYi Zen Hei"/>
        <family val="2"/>
      </rPr>
      <t xml:space="preserve">핵심 구절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장절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인명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지명을 개역개정과 대조</t>
    </r>
  </si>
  <si>
    <r>
      <rPr>
        <sz val="10"/>
        <color rgb="FF000000"/>
        <rFont val="Arial"/>
        <family val="0"/>
        <charset val="1"/>
      </rPr>
      <t xml:space="preserve">4. </t>
    </r>
    <r>
      <rPr>
        <sz val="10"/>
        <color rgb="FF000000"/>
        <rFont val="WenQuanYi Zen Hei"/>
        <family val="2"/>
      </rPr>
      <t xml:space="preserve">목회자 감수</t>
    </r>
  </si>
  <si>
    <t xml:space="preserve">담당 목사님께 대본 제출 → 수정 요청 반영</t>
  </si>
  <si>
    <t xml:space="preserve">감수 목사님</t>
  </si>
  <si>
    <r>
      <rPr>
        <sz val="10"/>
        <color rgb="FF000000"/>
        <rFont val="Arial"/>
        <family val="0"/>
        <charset val="1"/>
      </rPr>
      <t xml:space="preserve">5. </t>
    </r>
    <r>
      <rPr>
        <sz val="10"/>
        <color rgb="FF000000"/>
        <rFont val="WenQuanYi Zen Hei"/>
        <family val="2"/>
      </rPr>
      <t xml:space="preserve">영상 감수</t>
    </r>
  </si>
  <si>
    <r>
      <rPr>
        <sz val="10"/>
        <color rgb="FF000000"/>
        <rFont val="WenQuanYi Zen Hei"/>
        <family val="2"/>
      </rPr>
      <t xml:space="preserve">완성 영상의 하나님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예수님 표현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자막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연출 최종 확인</t>
    </r>
  </si>
  <si>
    <r>
      <rPr>
        <sz val="10"/>
        <color rgb="FF000000"/>
        <rFont val="Arial"/>
        <family val="0"/>
        <charset val="1"/>
      </rPr>
      <t xml:space="preserve">6. </t>
    </r>
    <r>
      <rPr>
        <sz val="10"/>
        <color rgb="FF000000"/>
        <rFont val="WenQuanYi Zen Hei"/>
        <family val="2"/>
      </rPr>
      <t xml:space="preserve">승인 기록</t>
    </r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</si>
  <si>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타입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WenQuanYi Zen Hei"/>
        <family val="2"/>
      </rPr>
      <t xml:space="preserve">제작표의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교리감수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칸을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완료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로 변경하고 비고에 감수자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날짜 기록</t>
    </r>
  </si>
  <si>
    <t xml:space="preserve">제작 책임자</t>
  </si>
  <si>
    <t xml:space="preserve">제작 템플릿</t>
  </si>
  <si>
    <r>
      <rPr>
        <sz val="10"/>
        <color rgb="FF595959"/>
        <rFont val="Arial"/>
        <family val="0"/>
        <charset val="1"/>
      </rPr>
      <t xml:space="preserve">A·B</t>
    </r>
    <r>
      <rPr>
        <sz val="10"/>
        <color rgb="FF595959"/>
        <rFont val="WenQuanYi Zen Hei"/>
        <family val="2"/>
      </rPr>
      <t xml:space="preserve">타입 구성</t>
    </r>
    <r>
      <rPr>
        <sz val="10"/>
        <color rgb="FF595959"/>
        <rFont val="Arial"/>
        <family val="0"/>
        <charset val="1"/>
      </rPr>
      <t xml:space="preserve">, </t>
    </r>
    <r>
      <rPr>
        <sz val="10"/>
        <color rgb="FF595959"/>
        <rFont val="WenQuanYi Zen Hei"/>
        <family val="2"/>
      </rPr>
      <t xml:space="preserve">프롬프트</t>
    </r>
    <r>
      <rPr>
        <sz val="10"/>
        <color rgb="FF595959"/>
        <rFont val="Arial"/>
        <family val="0"/>
        <charset val="1"/>
      </rPr>
      <t xml:space="preserve">, </t>
    </r>
    <r>
      <rPr>
        <sz val="10"/>
        <color rgb="FF595959"/>
        <rFont val="WenQuanYi Zen Hei"/>
        <family val="2"/>
      </rPr>
      <t xml:space="preserve">기술 규격</t>
    </r>
    <r>
      <rPr>
        <sz val="10"/>
        <color rgb="FF595959"/>
        <rFont val="Arial"/>
        <family val="0"/>
        <charset val="1"/>
      </rPr>
      <t xml:space="preserve">, </t>
    </r>
    <r>
      <rPr>
        <sz val="10"/>
        <color rgb="FF595959"/>
        <rFont val="WenQuanYi Zen Hei"/>
        <family val="2"/>
      </rPr>
      <t xml:space="preserve">업로드 체크리스트 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화풍 관련 항목은 참고 영상 분석 후 확정</t>
    </r>
    <r>
      <rPr>
        <sz val="10"/>
        <color rgb="FF595959"/>
        <rFont val="Arial"/>
        <family val="0"/>
        <charset val="1"/>
      </rPr>
      <t xml:space="preserve">)</t>
    </r>
  </si>
  <si>
    <r>
      <rPr>
        <b val="true"/>
        <sz val="12"/>
        <color rgb="FFFFFFFF"/>
        <rFont val="Arial"/>
        <family val="0"/>
        <charset val="1"/>
      </rPr>
      <t xml:space="preserve">1. A</t>
    </r>
    <r>
      <rPr>
        <b val="true"/>
        <sz val="12"/>
        <color rgb="FFFFFFFF"/>
        <rFont val="WenQuanYi Zen Hei"/>
        <family val="2"/>
      </rPr>
      <t xml:space="preserve">타입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숏폼 </t>
    </r>
    <r>
      <rPr>
        <b val="true"/>
        <sz val="12"/>
        <color rgb="FFFFFFFF"/>
        <rFont val="Arial"/>
        <family val="0"/>
        <charset val="1"/>
      </rPr>
      <t xml:space="preserve">60</t>
    </r>
    <r>
      <rPr>
        <b val="true"/>
        <sz val="12"/>
        <color rgb="FFFFFFFF"/>
        <rFont val="WenQuanYi Zen Hei"/>
        <family val="2"/>
      </rPr>
      <t xml:space="preserve">초</t>
    </r>
    <r>
      <rPr>
        <b val="true"/>
        <sz val="12"/>
        <color rgb="FFFFFFFF"/>
        <rFont val="Arial"/>
        <family val="0"/>
        <charset val="1"/>
      </rPr>
      <t xml:space="preserve">) </t>
    </r>
    <r>
      <rPr>
        <b val="true"/>
        <sz val="12"/>
        <color rgb="FFFFFFFF"/>
        <rFont val="WenQuanYi Zen Hei"/>
        <family val="2"/>
      </rPr>
      <t xml:space="preserve">구성 공식</t>
    </r>
  </si>
  <si>
    <t xml:space="preserve">구간</t>
  </si>
  <si>
    <t xml:space="preserve">제작표 연결 칸</t>
  </si>
  <si>
    <t xml:space="preserve">컷 수</t>
  </si>
  <si>
    <r>
      <rPr>
        <sz val="10"/>
        <color rgb="FF000000"/>
        <rFont val="Arial"/>
        <family val="0"/>
        <charset val="1"/>
      </rPr>
      <t xml:space="preserve">0~3</t>
    </r>
    <r>
      <rPr>
        <sz val="10"/>
        <color rgb="FF000000"/>
        <rFont val="WenQuanYi Zen Hei"/>
        <family val="2"/>
      </rPr>
      <t xml:space="preserve">초 훅</t>
    </r>
  </si>
  <si>
    <r>
      <rPr>
        <sz val="10"/>
        <color rgb="FF000000"/>
        <rFont val="WenQuanYi Zen Hei"/>
        <family val="2"/>
      </rPr>
      <t xml:space="preserve">질문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반전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놀라운 사실 한 줄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첫 컷은 가장 강한 장면</t>
    </r>
  </si>
  <si>
    <r>
      <rPr>
        <sz val="10"/>
        <color rgb="FF000000"/>
        <rFont val="WenQuanYi Zen Hei"/>
        <family val="2"/>
      </rPr>
      <t xml:space="preserve">첫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초 훅</t>
    </r>
  </si>
  <si>
    <t xml:space="preserve">1</t>
  </si>
  <si>
    <r>
      <rPr>
        <sz val="10"/>
        <color rgb="FF000000"/>
        <rFont val="Arial"/>
        <family val="0"/>
        <charset val="1"/>
      </rPr>
      <t xml:space="preserve">3~10</t>
    </r>
    <r>
      <rPr>
        <sz val="10"/>
        <color rgb="FF000000"/>
        <rFont val="WenQuanYi Zen Hei"/>
        <family val="2"/>
      </rPr>
      <t xml:space="preserve">초 상황</t>
    </r>
  </si>
  <si>
    <t xml:space="preserve">배경과 인물 소개</t>
  </si>
  <si>
    <r>
      <rPr>
        <sz val="10"/>
        <color rgb="FF000000"/>
        <rFont val="WenQuanYi Zen Hei"/>
        <family val="2"/>
      </rPr>
      <t xml:space="preserve">장소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배경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등장인물</t>
    </r>
  </si>
  <si>
    <t xml:space="preserve">1~2</t>
  </si>
  <si>
    <r>
      <rPr>
        <sz val="10"/>
        <color rgb="FF000000"/>
        <rFont val="Arial"/>
        <family val="0"/>
        <charset val="1"/>
      </rPr>
      <t xml:space="preserve">10~40</t>
    </r>
    <r>
      <rPr>
        <sz val="10"/>
        <color rgb="FF000000"/>
        <rFont val="WenQuanYi Zen Hei"/>
        <family val="2"/>
      </rPr>
      <t xml:space="preserve">초 사건</t>
    </r>
  </si>
  <si>
    <r>
      <rPr>
        <sz val="10"/>
        <color rgb="FF000000"/>
        <rFont val="WenQuanYi Zen Hei"/>
        <family val="2"/>
      </rPr>
      <t xml:space="preserve">사건 전개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컷당 </t>
    </r>
    <r>
      <rPr>
        <sz val="10"/>
        <color rgb="FF000000"/>
        <rFont val="Arial"/>
        <family val="0"/>
        <charset val="1"/>
      </rPr>
      <t xml:space="preserve">5~8</t>
    </r>
    <r>
      <rPr>
        <sz val="10"/>
        <color rgb="FF000000"/>
        <rFont val="WenQuanYi Zen Hei"/>
        <family val="2"/>
      </rPr>
      <t xml:space="preserve">초</t>
    </r>
  </si>
  <si>
    <t xml:space="preserve">4~5</t>
  </si>
  <si>
    <r>
      <rPr>
        <sz val="10"/>
        <color rgb="FF000000"/>
        <rFont val="Arial"/>
        <family val="0"/>
        <charset val="1"/>
      </rPr>
      <t xml:space="preserve">40~50</t>
    </r>
    <r>
      <rPr>
        <sz val="10"/>
        <color rgb="FF000000"/>
        <rFont val="WenQuanYi Zen Hei"/>
        <family val="2"/>
      </rPr>
      <t xml:space="preserve">초 절정</t>
    </r>
  </si>
  <si>
    <r>
      <rPr>
        <sz val="10"/>
        <color rgb="FF000000"/>
        <rFont val="WenQuanYi Zen Hei"/>
        <family val="2"/>
      </rPr>
      <t xml:space="preserve">핵심 구절을 화면 가운데 큰 자막으로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장절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개역개정 표기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</si>
  <si>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50~57</t>
    </r>
    <r>
      <rPr>
        <sz val="10"/>
        <color rgb="FF000000"/>
        <rFont val="WenQuanYi Zen Hei"/>
        <family val="2"/>
      </rPr>
      <t xml:space="preserve">초 메시지</t>
    </r>
  </si>
  <si>
    <r>
      <rPr>
        <sz val="10"/>
        <color rgb="FF000000"/>
        <rFont val="WenQuanYi Zen Hei"/>
        <family val="2"/>
      </rPr>
      <t xml:space="preserve">한 줄 메시지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그리스도 연결</t>
    </r>
  </si>
  <si>
    <r>
      <rPr>
        <sz val="10"/>
        <color rgb="FF000000"/>
        <rFont val="Arial"/>
        <family val="0"/>
        <charset val="1"/>
      </rPr>
      <t xml:space="preserve">57~60</t>
    </r>
    <r>
      <rPr>
        <sz val="10"/>
        <color rgb="FF000000"/>
        <rFont val="WenQuanYi Zen Hei"/>
        <family val="2"/>
      </rPr>
      <t xml:space="preserve">초 진행자</t>
    </r>
  </si>
  <si>
    <r>
      <rPr>
        <sz val="10"/>
        <color rgb="FF000000"/>
        <rFont val="WenQuanYi Zen Hei"/>
        <family val="2"/>
      </rPr>
      <t xml:space="preserve">진행 캐릭터 </t>
    </r>
    <r>
      <rPr>
        <sz val="10"/>
        <color rgb="FF000000"/>
        <rFont val="Arial"/>
        <family val="0"/>
        <charset val="1"/>
      </rPr>
      <t xml:space="preserve">2~3</t>
    </r>
    <r>
      <rPr>
        <sz val="10"/>
        <color rgb="FF000000"/>
        <rFont val="WenQuanYi Zen Hei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: "</t>
    </r>
    <r>
      <rPr>
        <sz val="10"/>
        <color rgb="FF000000"/>
        <rFont val="WenQuanYi Zen Hei"/>
        <family val="2"/>
      </rPr>
      <t xml:space="preserve">다음 편</t>
    </r>
    <r>
      <rPr>
        <sz val="10"/>
        <color rgb="FF000000"/>
        <rFont val="Arial"/>
        <family val="0"/>
        <charset val="1"/>
      </rPr>
      <t xml:space="preserve">: ○○" → </t>
    </r>
    <r>
      <rPr>
        <sz val="10"/>
        <color rgb="FF000000"/>
        <rFont val="WenQuanYi Zen Hei"/>
        <family val="2"/>
      </rPr>
      <t xml:space="preserve">첫 장면과 이어지게 반복 시청 유도</t>
    </r>
  </si>
  <si>
    <t xml:space="preserve">분량</t>
  </si>
  <si>
    <r>
      <rPr>
        <sz val="10"/>
        <color rgb="FF000000"/>
        <rFont val="WenQuanYi Zen Hei"/>
        <family val="2"/>
      </rPr>
      <t xml:space="preserve">내레이션 약 </t>
    </r>
    <r>
      <rPr>
        <sz val="10"/>
        <color rgb="FF000000"/>
        <rFont val="Arial"/>
        <family val="0"/>
        <charset val="1"/>
      </rPr>
      <t xml:space="preserve">230~260</t>
    </r>
    <r>
      <rPr>
        <sz val="10"/>
        <color rgb="FF000000"/>
        <rFont val="WenQuanYi Zen Hei"/>
        <family val="2"/>
      </rPr>
      <t xml:space="preserve">음절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차분한 속도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WenQuanYi Zen Hei"/>
        <family val="2"/>
      </rPr>
      <t xml:space="preserve">총 컷 </t>
    </r>
    <r>
      <rPr>
        <sz val="10"/>
        <color rgb="FF000000"/>
        <rFont val="Arial"/>
        <family val="0"/>
        <charset val="1"/>
      </rPr>
      <t xml:space="preserve">8~10</t>
    </r>
    <r>
      <rPr>
        <sz val="10"/>
        <color rgb="FF000000"/>
        <rFont val="WenQuanYi Zen Hei"/>
        <family val="2"/>
      </rPr>
      <t xml:space="preserve">개</t>
    </r>
  </si>
  <si>
    <t xml:space="preserve">8~10</t>
  </si>
  <si>
    <r>
      <rPr>
        <b val="true"/>
        <sz val="12"/>
        <color rgb="FFFFFFFF"/>
        <rFont val="Arial"/>
        <family val="0"/>
        <charset val="1"/>
      </rPr>
      <t xml:space="preserve">2. B</t>
    </r>
    <r>
      <rPr>
        <b val="true"/>
        <sz val="12"/>
        <color rgb="FFFFFFFF"/>
        <rFont val="WenQuanYi Zen Hei"/>
        <family val="2"/>
      </rPr>
      <t xml:space="preserve">타입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롱폼</t>
    </r>
    <r>
      <rPr>
        <b val="true"/>
        <sz val="12"/>
        <color rgb="FFFFFFFF"/>
        <rFont val="Arial"/>
        <family val="0"/>
        <charset val="1"/>
      </rPr>
      <t xml:space="preserve">) </t>
    </r>
    <r>
      <rPr>
        <b val="true"/>
        <sz val="12"/>
        <color rgb="FFFFFFFF"/>
        <rFont val="WenQuanYi Zen Hei"/>
        <family val="2"/>
      </rPr>
      <t xml:space="preserve">구성 공식</t>
    </r>
  </si>
  <si>
    <t xml:space="preserve">길이</t>
  </si>
  <si>
    <t xml:space="preserve">인트로</t>
  </si>
  <si>
    <r>
      <rPr>
        <sz val="10"/>
        <color rgb="FF000000"/>
        <rFont val="WenQuanYi Zen Hei"/>
        <family val="2"/>
      </rPr>
      <t xml:space="preserve">하람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은솔 가족의 일상 고민 → 할아버지가 성경을 펼침</t>
    </r>
  </si>
  <si>
    <r>
      <rPr>
        <sz val="10"/>
        <color rgb="FF000000"/>
        <rFont val="Arial"/>
        <family val="0"/>
        <charset val="1"/>
      </rPr>
      <t xml:space="preserve">B: </t>
    </r>
    <r>
      <rPr>
        <sz val="10"/>
        <color rgb="FF000000"/>
        <rFont val="WenQuanYi Zen Hei"/>
        <family val="2"/>
      </rPr>
      <t xml:space="preserve">진행자 인트로 질문</t>
    </r>
  </si>
  <si>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초</t>
    </r>
  </si>
  <si>
    <t xml:space="preserve">본편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</si>
  <si>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타입 편들을 순서대로 연결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각 편의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다음 편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예고는 빼고 연결 내레이션으로 대체</t>
    </r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</si>
  <si>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타입 목록</t>
    </r>
  </si>
  <si>
    <r>
      <rPr>
        <sz val="10"/>
        <color rgb="FF000000"/>
        <rFont val="WenQuanYi Zen Hei"/>
        <family val="2"/>
      </rPr>
      <t xml:space="preserve">편당 약 </t>
    </r>
    <r>
      <rPr>
        <sz val="10"/>
        <color rgb="FF000000"/>
        <rFont val="Arial"/>
        <family val="0"/>
        <charset val="1"/>
      </rPr>
      <t xml:space="preserve">52</t>
    </r>
    <r>
      <rPr>
        <sz val="10"/>
        <color rgb="FF000000"/>
        <rFont val="WenQuanYi Zen Hei"/>
        <family val="2"/>
      </rPr>
      <t xml:space="preserve">초</t>
    </r>
  </si>
  <si>
    <t xml:space="preserve">중간 질문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</si>
  <si>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여러분이라면 어떻게 했을까요</t>
    </r>
    <r>
      <rPr>
        <sz val="10"/>
        <color rgb="FF000000"/>
        <rFont val="Arial"/>
        <family val="0"/>
        <charset val="1"/>
      </rPr>
      <t xml:space="preserve">?" (</t>
    </r>
    <r>
      <rPr>
        <sz val="10"/>
        <color rgb="FF000000"/>
        <rFont val="WenQuanYi Zen Hei"/>
        <family val="2"/>
      </rPr>
      <t xml:space="preserve">분반 토론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댓글 유도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</si>
  <si>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초</t>
    </r>
  </si>
  <si>
    <t xml:space="preserve">아웃트로</t>
  </si>
  <si>
    <r>
      <rPr>
        <sz val="10"/>
        <color rgb="FF000000"/>
        <rFont val="WenQuanYi Zen Hei"/>
        <family val="2"/>
      </rPr>
      <t xml:space="preserve">그리스도 연결점 정리 → 삶의 적용 → 짧은 기도 → 다음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예고</t>
    </r>
  </si>
  <si>
    <r>
      <rPr>
        <sz val="10"/>
        <color rgb="FF000000"/>
        <rFont val="Arial"/>
        <family val="0"/>
        <charset val="1"/>
      </rPr>
      <t xml:space="preserve">B: </t>
    </r>
    <r>
      <rPr>
        <sz val="10"/>
        <color rgb="FF000000"/>
        <rFont val="WenQuanYi Zen Hei"/>
        <family val="2"/>
      </rPr>
      <t xml:space="preserve">그리스도 연결점</t>
    </r>
  </si>
  <si>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WenQuanYi Zen Hei"/>
        <family val="2"/>
      </rPr>
      <t xml:space="preserve">초</t>
    </r>
  </si>
  <si>
    <t xml:space="preserve">설명란</t>
  </si>
  <si>
    <r>
      <rPr>
        <sz val="10"/>
        <color rgb="FF000000"/>
        <rFont val="WenQuanYi Zen Hei"/>
        <family val="2"/>
      </rPr>
      <t xml:space="preserve">챕터 타임스탬프</t>
    </r>
    <r>
      <rPr>
        <sz val="10"/>
        <color rgb="FF000000"/>
        <rFont val="Arial"/>
        <family val="0"/>
        <charset val="1"/>
      </rPr>
      <t xml:space="preserve">(A</t>
    </r>
    <r>
      <rPr>
        <sz val="10"/>
        <color rgb="FF000000"/>
        <rFont val="WenQuanYi Zen Hei"/>
        <family val="2"/>
      </rPr>
      <t xml:space="preserve">별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본문 범위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분반 질문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암송 구절</t>
    </r>
  </si>
  <si>
    <r>
      <rPr>
        <b val="true"/>
        <sz val="12"/>
        <color rgb="FFFFFFFF"/>
        <rFont val="Arial"/>
        <family val="0"/>
        <charset val="1"/>
      </rPr>
      <t xml:space="preserve">3. </t>
    </r>
    <r>
      <rPr>
        <b val="true"/>
        <sz val="12"/>
        <color rgb="FFFFFFFF"/>
        <rFont val="WenQuanYi Zen Hei"/>
        <family val="2"/>
      </rPr>
      <t xml:space="preserve">프롬프트 </t>
    </r>
    <r>
      <rPr>
        <b val="true"/>
        <sz val="12"/>
        <color rgb="FFFFFFFF"/>
        <rFont val="Arial"/>
        <family val="0"/>
        <charset val="1"/>
      </rPr>
      <t xml:space="preserve">5</t>
    </r>
    <r>
      <rPr>
        <b val="true"/>
        <sz val="12"/>
        <color rgb="FFFFFFFF"/>
        <rFont val="WenQuanYi Zen Hei"/>
        <family val="2"/>
      </rPr>
      <t xml:space="preserve">블록 구조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영문</t>
    </r>
    <r>
      <rPr>
        <b val="true"/>
        <sz val="12"/>
        <color rgb="FFFFFFFF"/>
        <rFont val="Arial"/>
        <family val="0"/>
        <charset val="1"/>
      </rPr>
      <t xml:space="preserve">, AI </t>
    </r>
    <r>
      <rPr>
        <b val="true"/>
        <sz val="12"/>
        <color rgb="FFFFFFFF"/>
        <rFont val="WenQuanYi Zen Hei"/>
        <family val="2"/>
      </rPr>
      <t xml:space="preserve">영상 생성용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</si>
  <si>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블록</t>
  </si>
  <si>
    <r>
      <rPr>
        <b val="true"/>
        <sz val="10"/>
        <color rgb="FF000000"/>
        <rFont val="WenQuanYi Zen Hei"/>
        <family val="2"/>
      </rPr>
      <t xml:space="preserve">예시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가안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</si>
  <si>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작성 원칙</t>
  </si>
  <si>
    <t xml:space="preserve">변경 주기</t>
  </si>
  <si>
    <t xml:space="preserve">① 스타일 고정</t>
  </si>
  <si>
    <t xml:space="preserve">stylized 3D animated feature film, cinematic lighting, ancient Near East setting, warm color grading, soft volumetric light, vertical 9:16</t>
  </si>
  <si>
    <r>
      <rPr>
        <sz val="10"/>
        <color rgb="FF000000"/>
        <rFont val="WenQuanYi Zen Hei"/>
        <family val="2"/>
      </rPr>
      <t xml:space="preserve">참고 영상 분석 후 확정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다른 작품명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회사명 넣지 않기</t>
    </r>
  </si>
  <si>
    <t xml:space="preserve">시리즈 고정</t>
  </si>
  <si>
    <t xml:space="preserve">② 캐릭터 시트</t>
  </si>
  <si>
    <t xml:space="preserve">NOAH: elderly Middle Eastern man, long white beard, strong forearms, brown wool robe, kind tired eyes</t>
  </si>
  <si>
    <r>
      <rPr>
        <sz val="10"/>
        <color rgb="FF000000"/>
        <rFont val="WenQuanYi Zen Hei"/>
        <family val="2"/>
      </rPr>
      <t xml:space="preserve">인물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WenQuanYi Zen Hei"/>
        <family val="2"/>
      </rPr>
      <t xml:space="preserve">캐릭터시트에서 복사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같은 인물은 항상 같은 문장</t>
    </r>
  </si>
  <si>
    <t xml:space="preserve">인물별 고정</t>
  </si>
  <si>
    <t xml:space="preserve">③ 장면</t>
  </si>
  <si>
    <t xml:space="preserve">Noah hammering the last plank of a giant wooden ark at sunset, neighbors mocking in the distance</t>
  </si>
  <si>
    <r>
      <rPr>
        <sz val="10"/>
        <color rgb="FF000000"/>
        <rFont val="WenQuanYi Zen Hei"/>
        <family val="2"/>
      </rPr>
      <t xml:space="preserve">제작표의 본문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장소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배경으로 작성</t>
    </r>
  </si>
  <si>
    <t xml:space="preserve">컷마다</t>
  </si>
  <si>
    <t xml:space="preserve">④ 카메라</t>
  </si>
  <si>
    <t xml:space="preserve">slow low-angle push-in, 6 seconds</t>
  </si>
  <si>
    <r>
      <rPr>
        <sz val="10"/>
        <color rgb="FF000000"/>
        <rFont val="WenQuanYi Zen Hei"/>
        <family val="2"/>
      </rPr>
      <t xml:space="preserve">컷 길이 </t>
    </r>
    <r>
      <rPr>
        <sz val="10"/>
        <color rgb="FF000000"/>
        <rFont val="Arial"/>
        <family val="0"/>
        <charset val="1"/>
      </rPr>
      <t xml:space="preserve">5~8</t>
    </r>
    <r>
      <rPr>
        <sz val="10"/>
        <color rgb="FF000000"/>
        <rFont val="WenQuanYi Zen Hei"/>
        <family val="2"/>
      </rPr>
      <t xml:space="preserve">초</t>
    </r>
  </si>
  <si>
    <t xml:space="preserve">⑤ 금지 요소</t>
  </si>
  <si>
    <t xml:space="preserve">no text, no logos, no modern objects, no depiction of God's face or body, no gore, no nudity, no medieval European costume, no halo on humans</t>
  </si>
  <si>
    <r>
      <rPr>
        <sz val="10"/>
        <color rgb="FF000000"/>
        <rFont val="WenQuanYi Zen Hei"/>
        <family val="2"/>
      </rPr>
      <t xml:space="preserve">교리감수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WenQuanYi Zen Hei"/>
        <family val="2"/>
      </rPr>
      <t xml:space="preserve">기준의 표현 원칙 반영</t>
    </r>
  </si>
  <si>
    <r>
      <rPr>
        <b val="true"/>
        <sz val="12"/>
        <color rgb="FFFFFFFF"/>
        <rFont val="Arial"/>
        <family val="0"/>
        <charset val="1"/>
      </rPr>
      <t xml:space="preserve">4. </t>
    </r>
    <r>
      <rPr>
        <b val="true"/>
        <sz val="12"/>
        <color rgb="FFFFFFFF"/>
        <rFont val="WenQuanYi Zen Hei"/>
        <family val="2"/>
      </rPr>
      <t xml:space="preserve">기술 규격</t>
    </r>
  </si>
  <si>
    <t xml:space="preserve">규격</t>
  </si>
  <si>
    <t xml:space="preserve">숏폼 화면</t>
  </si>
  <si>
    <t xml:space="preserve">1080×1920 (9:16), 30fps</t>
  </si>
  <si>
    <r>
      <rPr>
        <sz val="10"/>
        <color rgb="FF000000"/>
        <rFont val="WenQuanYi Zen Hei"/>
        <family val="2"/>
      </rPr>
      <t xml:space="preserve">상단 약 </t>
    </r>
    <r>
      <rPr>
        <sz val="10"/>
        <color rgb="FF000000"/>
        <rFont val="Arial"/>
        <family val="0"/>
        <charset val="1"/>
      </rPr>
      <t xml:space="preserve">250px·</t>
    </r>
    <r>
      <rPr>
        <sz val="10"/>
        <color rgb="FF000000"/>
        <rFont val="WenQuanYi Zen Hei"/>
        <family val="2"/>
      </rPr>
      <t xml:space="preserve">하단 약 </t>
    </r>
    <r>
      <rPr>
        <sz val="10"/>
        <color rgb="FF000000"/>
        <rFont val="Arial"/>
        <family val="0"/>
        <charset val="1"/>
      </rPr>
      <t xml:space="preserve">400px</t>
    </r>
    <r>
      <rPr>
        <sz val="10"/>
        <color rgb="FF000000"/>
        <rFont val="WenQuanYi Zen Hei"/>
        <family val="2"/>
      </rPr>
      <t xml:space="preserve">는 플랫폼 </t>
    </r>
    <r>
      <rPr>
        <sz val="10"/>
        <color rgb="FF000000"/>
        <rFont val="Arial"/>
        <family val="0"/>
        <charset val="1"/>
      </rPr>
      <t xml:space="preserve">UI</t>
    </r>
    <r>
      <rPr>
        <sz val="10"/>
        <color rgb="FF000000"/>
        <rFont val="WenQuanYi Zen Hei"/>
        <family val="2"/>
      </rPr>
      <t xml:space="preserve">에 가려지므로 자막 피하기</t>
    </r>
  </si>
  <si>
    <t xml:space="preserve">교회 상영용</t>
  </si>
  <si>
    <t xml:space="preserve">1920×1080 (16:9)</t>
  </si>
  <si>
    <t xml:space="preserve">핵심 피사체를 중앙 정사각형 영역에 두어 가로 버전 재구성 가능하게</t>
  </si>
  <si>
    <t xml:space="preserve">롱폼 화면</t>
  </si>
  <si>
    <t xml:space="preserve">1920×1080 (16:9), 30fps</t>
  </si>
  <si>
    <t xml:space="preserve">숏폼 세로 컷은 가로 배경 확장 또는 재생성</t>
  </si>
  <si>
    <t xml:space="preserve">자막</t>
  </si>
  <si>
    <r>
      <rPr>
        <sz val="10"/>
        <color rgb="FF000000"/>
        <rFont val="WenQuanYi Zen Hei"/>
        <family val="2"/>
      </rPr>
      <t xml:space="preserve">한 줄 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WenQuanYi Zen Hei"/>
        <family val="2"/>
      </rPr>
      <t xml:space="preserve">자 이내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최대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굵은 고딕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하단 </t>
    </r>
    <r>
      <rPr>
        <sz val="10"/>
        <color rgb="FF000000"/>
        <rFont val="Arial"/>
        <family val="0"/>
        <charset val="1"/>
      </rPr>
      <t xml:space="preserve">1/3 </t>
    </r>
    <r>
      <rPr>
        <sz val="10"/>
        <color rgb="FF000000"/>
        <rFont val="WenQuanYi Zen Hei"/>
        <family val="2"/>
      </rPr>
      <t xml:space="preserve">위</t>
    </r>
  </si>
  <si>
    <r>
      <rPr>
        <sz val="10"/>
        <color rgb="FF000000"/>
        <rFont val="WenQuanYi Zen Hei"/>
        <family val="2"/>
      </rPr>
      <t xml:space="preserve">핵심 구절 자막은 중앙</t>
    </r>
    <r>
      <rPr>
        <sz val="10"/>
        <color rgb="FF000000"/>
        <rFont val="Arial"/>
        <family val="0"/>
        <charset val="1"/>
      </rPr>
      <t xml:space="preserve">, '(</t>
    </r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1:1, </t>
    </r>
    <r>
      <rPr>
        <sz val="10"/>
        <color rgb="FF000000"/>
        <rFont val="WenQuanYi Zen Hei"/>
        <family val="2"/>
      </rPr>
      <t xml:space="preserve">개역개정</t>
    </r>
    <r>
      <rPr>
        <sz val="10"/>
        <color rgb="FF000000"/>
        <rFont val="Arial"/>
        <family val="0"/>
        <charset val="1"/>
      </rPr>
      <t xml:space="preserve">)' </t>
    </r>
    <r>
      <rPr>
        <sz val="10"/>
        <color rgb="FF000000"/>
        <rFont val="WenQuanYi Zen Hei"/>
        <family val="2"/>
      </rPr>
      <t xml:space="preserve">표기</t>
    </r>
  </si>
  <si>
    <t xml:space="preserve">음량</t>
  </si>
  <si>
    <r>
      <rPr>
        <sz val="10"/>
        <color rgb="FF000000"/>
        <rFont val="WenQuanYi Zen Hei"/>
        <family val="2"/>
      </rPr>
      <t xml:space="preserve">내레이션 기준 약 </t>
    </r>
    <r>
      <rPr>
        <sz val="10"/>
        <color rgb="FF000000"/>
        <rFont val="Arial"/>
        <family val="0"/>
        <charset val="1"/>
      </rPr>
      <t xml:space="preserve">-14 LUFS, </t>
    </r>
    <r>
      <rPr>
        <sz val="10"/>
        <color rgb="FF000000"/>
        <rFont val="WenQuanYi Zen Hei"/>
        <family val="2"/>
      </rPr>
      <t xml:space="preserve">배경음악은 내레이션보다 충분히 낮게</t>
    </r>
  </si>
  <si>
    <t xml:space="preserve">유튜브 음량 평준화 기준</t>
  </si>
  <si>
    <t xml:space="preserve">내레이션</t>
  </si>
  <si>
    <r>
      <rPr>
        <sz val="10"/>
        <color rgb="FF000000"/>
        <rFont val="WenQuanYi Zen Hei"/>
        <family val="2"/>
      </rPr>
      <t xml:space="preserve">따뜻한 존댓말</t>
    </r>
    <r>
      <rPr>
        <sz val="10"/>
        <color rgb="FF000000"/>
        <rFont val="Arial"/>
        <family val="0"/>
        <charset val="1"/>
      </rPr>
      <t xml:space="preserve">("~</t>
    </r>
    <r>
      <rPr>
        <sz val="10"/>
        <color rgb="FF000000"/>
        <rFont val="WenQuanYi Zen Hei"/>
        <family val="2"/>
      </rPr>
      <t xml:space="preserve">했어요</t>
    </r>
    <r>
      <rPr>
        <sz val="10"/>
        <color rgb="FF000000"/>
        <rFont val="Arial"/>
        <family val="0"/>
        <charset val="1"/>
      </rPr>
      <t xml:space="preserve">"), </t>
    </r>
    <r>
      <rPr>
        <sz val="10"/>
        <color rgb="FF000000"/>
        <rFont val="WenQuanYi Zen Hei"/>
        <family val="2"/>
      </rPr>
      <t xml:space="preserve">분당 약 </t>
    </r>
    <r>
      <rPr>
        <sz val="10"/>
        <color rgb="FF000000"/>
        <rFont val="Arial"/>
        <family val="0"/>
        <charset val="1"/>
      </rPr>
      <t xml:space="preserve">260</t>
    </r>
    <r>
      <rPr>
        <sz val="10"/>
        <color rgb="FF000000"/>
        <rFont val="WenQuanYi Zen Hei"/>
        <family val="2"/>
      </rPr>
      <t xml:space="preserve">음절</t>
    </r>
  </si>
  <si>
    <t xml:space="preserve">목소리 확정은 참고 영상 분석 후</t>
  </si>
  <si>
    <r>
      <rPr>
        <b val="true"/>
        <sz val="12"/>
        <color rgb="FFFFFFFF"/>
        <rFont val="Arial"/>
        <family val="0"/>
        <charset val="1"/>
      </rPr>
      <t xml:space="preserve">5. </t>
    </r>
    <r>
      <rPr>
        <b val="true"/>
        <sz val="12"/>
        <color rgb="FFFFFFFF"/>
        <rFont val="WenQuanYi Zen Hei"/>
        <family val="2"/>
      </rPr>
      <t xml:space="preserve">업로드 메타데이터</t>
    </r>
  </si>
  <si>
    <t xml:space="preserve">형식</t>
  </si>
  <si>
    <t xml:space="preserve">예시</t>
  </si>
  <si>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WenQuanYi Zen Hei"/>
        <family val="2"/>
      </rPr>
      <t xml:space="preserve">시리즈명 </t>
    </r>
    <r>
      <rPr>
        <sz val="10"/>
        <color rgb="FF000000"/>
        <rFont val="Arial"/>
        <family val="0"/>
        <charset val="1"/>
      </rPr>
      <t xml:space="preserve">#</t>
    </r>
    <r>
      <rPr>
        <sz val="10"/>
        <color rgb="FF000000"/>
        <rFont val="WenQuanYi Zen Hei"/>
        <family val="2"/>
      </rPr>
      <t xml:space="preserve">회차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WenQuanYi Zen Hei"/>
        <family val="2"/>
      </rPr>
      <t xml:space="preserve">제목 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WenQuanYi Zen Hei"/>
        <family val="2"/>
      </rPr>
      <t xml:space="preserve">본문</t>
    </r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</si>
  <si>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타입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WenQuanYi Zen Hei"/>
        <family val="2"/>
      </rPr>
      <t xml:space="preserve">제작표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유튜브 제목안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칸에 자동 생성</t>
    </r>
  </si>
  <si>
    <r>
      <rPr>
        <sz val="10"/>
        <color rgb="FF000000"/>
        <rFont val="WenQuanYi Zen Hei"/>
        <family val="2"/>
      </rPr>
      <t xml:space="preserve">본문 요약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줄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핵심 구절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장절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개역개정</t>
    </r>
    <r>
      <rPr>
        <sz val="10"/>
        <color rgb="FF000000"/>
        <rFont val="Arial"/>
        <family val="0"/>
        <charset val="1"/>
      </rPr>
      <t xml:space="preserve">) + </t>
    </r>
    <r>
      <rPr>
        <sz val="10"/>
        <color rgb="FF000000"/>
        <rFont val="WenQuanYi Zen Hei"/>
        <family val="2"/>
      </rPr>
      <t xml:space="preserve">이전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다음 편 링크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재생목록</t>
    </r>
  </si>
  <si>
    <t xml:space="preserve">해시태그</t>
  </si>
  <si>
    <r>
      <rPr>
        <sz val="10"/>
        <color rgb="FF000000"/>
        <rFont val="Arial"/>
        <family val="0"/>
        <charset val="1"/>
      </rPr>
      <t xml:space="preserve">#</t>
    </r>
    <r>
      <rPr>
        <sz val="10"/>
        <color rgb="FF000000"/>
        <rFont val="WenQuanYi Zen Hei"/>
        <family val="2"/>
      </rPr>
      <t xml:space="preserve">성경 </t>
    </r>
    <r>
      <rPr>
        <sz val="10"/>
        <color rgb="FF000000"/>
        <rFont val="Arial"/>
        <family val="0"/>
        <charset val="1"/>
      </rPr>
      <t xml:space="preserve">#</t>
    </r>
    <r>
      <rPr>
        <sz val="10"/>
        <color rgb="FF000000"/>
        <rFont val="WenQuanYi Zen Hei"/>
        <family val="2"/>
      </rPr>
      <t xml:space="preserve">성경이야기 </t>
    </r>
    <r>
      <rPr>
        <sz val="10"/>
        <color rgb="FF000000"/>
        <rFont val="Arial"/>
        <family val="0"/>
        <charset val="1"/>
      </rPr>
      <t xml:space="preserve">#</t>
    </r>
    <r>
      <rPr>
        <sz val="10"/>
        <color rgb="FF000000"/>
        <rFont val="WenQuanYi Zen Hei"/>
        <family val="2"/>
      </rPr>
      <t xml:space="preserve">성경애니메이션 </t>
    </r>
    <r>
      <rPr>
        <sz val="10"/>
        <color rgb="FF000000"/>
        <rFont val="Arial"/>
        <family val="0"/>
        <charset val="1"/>
      </rPr>
      <t xml:space="preserve">#</t>
    </r>
    <r>
      <rPr>
        <sz val="10"/>
        <color rgb="FF000000"/>
        <rFont val="WenQuanYi Zen Hei"/>
        <family val="2"/>
      </rPr>
      <t xml:space="preserve">주일학교 </t>
    </r>
    <r>
      <rPr>
        <sz val="10"/>
        <color rgb="FF000000"/>
        <rFont val="Arial"/>
        <family val="0"/>
        <charset val="1"/>
      </rPr>
      <t xml:space="preserve">#</t>
    </r>
    <r>
      <rPr>
        <sz val="10"/>
        <color rgb="FF000000"/>
        <rFont val="WenQuanYi Zen Hei"/>
        <family val="2"/>
      </rPr>
      <t xml:space="preserve">교회학교 </t>
    </r>
    <r>
      <rPr>
        <sz val="10"/>
        <color rgb="FF000000"/>
        <rFont val="Arial"/>
        <family val="0"/>
        <charset val="1"/>
      </rPr>
      <t xml:space="preserve">#</t>
    </r>
    <r>
      <rPr>
        <sz val="10"/>
        <color rgb="FF000000"/>
        <rFont val="WenQuanYi Zen Hei"/>
        <family val="2"/>
      </rPr>
      <t xml:space="preserve">바이블 </t>
    </r>
    <r>
      <rPr>
        <sz val="10"/>
        <color rgb="FF000000"/>
        <rFont val="Arial"/>
        <family val="0"/>
        <charset val="1"/>
      </rPr>
      <t xml:space="preserve">#[</t>
    </r>
    <r>
      <rPr>
        <sz val="10"/>
        <color rgb="FF000000"/>
        <rFont val="WenQuanYi Zen Hei"/>
        <family val="2"/>
      </rPr>
      <t xml:space="preserve">책이름</t>
    </r>
    <r>
      <rPr>
        <sz val="10"/>
        <color rgb="FF000000"/>
        <rFont val="Arial"/>
        <family val="0"/>
        <charset val="1"/>
      </rPr>
      <t xml:space="preserve">] #[</t>
    </r>
    <r>
      <rPr>
        <sz val="10"/>
        <color rgb="FF000000"/>
        <rFont val="WenQuanYi Zen Hei"/>
        <family val="2"/>
      </rPr>
      <t xml:space="preserve">인물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</si>
  <si>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10"/>
        <color rgb="FF000000"/>
        <rFont val="Arial"/>
        <family val="0"/>
        <charset val="1"/>
      </rPr>
      <t xml:space="preserve">3~5</t>
    </r>
    <r>
      <rPr>
        <sz val="10"/>
        <color rgb="FF000000"/>
        <rFont val="WenQuanYi Zen Hei"/>
        <family val="2"/>
      </rPr>
      <t xml:space="preserve">개만 제목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설명에 노출</t>
    </r>
  </si>
  <si>
    <t xml:space="preserve">고정 댓글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</si>
  <si>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이 장면에서 가장 놀라웠던 점은</t>
    </r>
    <r>
      <rPr>
        <sz val="10"/>
        <color rgb="FF000000"/>
        <rFont val="Arial"/>
        <family val="0"/>
        <charset val="1"/>
      </rPr>
      <t xml:space="preserve">?" </t>
    </r>
    <r>
      <rPr>
        <sz val="10"/>
        <color rgb="FF000000"/>
        <rFont val="WenQuanYi Zen Hei"/>
        <family val="2"/>
      </rPr>
      <t xml:space="preserve">같은 질문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개</t>
    </r>
  </si>
  <si>
    <t xml:space="preserve">댓글 참여 유도</t>
  </si>
  <si>
    <t xml:space="preserve">재생목록</t>
  </si>
  <si>
    <r>
      <rPr>
        <sz val="10"/>
        <color rgb="FF000000"/>
        <rFont val="WenQuanYi Zen Hei"/>
        <family val="2"/>
      </rPr>
      <t xml:space="preserve">① 권별 ② 인물별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모세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다윗 등</t>
    </r>
    <r>
      <rPr>
        <sz val="10"/>
        <color rgb="FF000000"/>
        <rFont val="Arial"/>
        <family val="0"/>
        <charset val="1"/>
      </rPr>
      <t xml:space="preserve">) ③ </t>
    </r>
    <r>
      <rPr>
        <sz val="10"/>
        <color rgb="FF000000"/>
        <rFont val="WenQuanYi Zen Hei"/>
        <family val="2"/>
      </rPr>
      <t xml:space="preserve">주제별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용서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믿음 등</t>
    </r>
    <r>
      <rPr>
        <sz val="10"/>
        <color rgb="FF000000"/>
        <rFont val="Arial"/>
        <family val="0"/>
        <charset val="1"/>
      </rPr>
      <t xml:space="preserve">) ④ B</t>
    </r>
    <r>
      <rPr>
        <sz val="10"/>
        <color rgb="FF000000"/>
        <rFont val="WenQuanYi Zen Hei"/>
        <family val="2"/>
      </rPr>
      <t xml:space="preserve">타입 롱폼</t>
    </r>
  </si>
  <si>
    <r>
      <rPr>
        <b val="true"/>
        <sz val="12"/>
        <color rgb="FFFFFFFF"/>
        <rFont val="Arial"/>
        <family val="0"/>
        <charset val="1"/>
      </rPr>
      <t xml:space="preserve">6. </t>
    </r>
    <r>
      <rPr>
        <b val="true"/>
        <sz val="12"/>
        <color rgb="FFFFFFFF"/>
        <rFont val="WenQuanYi Zen Hei"/>
        <family val="2"/>
      </rPr>
      <t xml:space="preserve">저작권 체크리스트</t>
    </r>
  </si>
  <si>
    <r>
      <rPr>
        <sz val="10"/>
        <color rgb="FF000000"/>
        <rFont val="WenQuanYi Zen Hei"/>
        <family val="2"/>
      </rPr>
      <t xml:space="preserve">캐릭터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로고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제목이 기존 작품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슈퍼북 등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과 닮지 않았는가</t>
    </r>
  </si>
  <si>
    <r>
      <rPr>
        <sz val="10"/>
        <color rgb="FF000000"/>
        <rFont val="WenQuanYi Zen Hei"/>
        <family val="2"/>
      </rPr>
      <t xml:space="preserve">프롬프트에 다른 작품명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회사명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작가명을 넣지 않았는가</t>
    </r>
  </si>
  <si>
    <r>
      <rPr>
        <sz val="10"/>
        <color rgb="FF000000"/>
        <rFont val="WenQuanYi Zen Hei"/>
        <family val="2"/>
      </rPr>
      <t xml:space="preserve">배경음악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효과음이 상업적 이용 가능한 음원인가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라이선스 기록 보관</t>
    </r>
    <r>
      <rPr>
        <sz val="10"/>
        <color rgb="FF000000"/>
        <rFont val="Arial"/>
        <family val="0"/>
        <charset val="1"/>
      </rPr>
      <t xml:space="preserve">)</t>
    </r>
  </si>
  <si>
    <t xml:space="preserve">개역개정 인용이 대한성서공회 사용 지침 범위 안이며 출처를 표기했는가</t>
  </si>
  <si>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영상 도구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뉴테이크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힉스필드 등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요금제가 상업적 이용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수익 창출을 허용하는가</t>
    </r>
  </si>
  <si>
    <r>
      <rPr>
        <sz val="10"/>
        <color rgb="FF000000"/>
        <rFont val="WenQuanYi Zen Hei"/>
        <family val="2"/>
      </rPr>
      <t xml:space="preserve">썸네일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자막 폰트가 상업적 이용 가능한 무료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구매 폰트인가</t>
    </r>
  </si>
  <si>
    <r>
      <rPr>
        <b val="true"/>
        <sz val="12"/>
        <color rgb="FFFFFFFF"/>
        <rFont val="Arial"/>
        <family val="0"/>
        <charset val="1"/>
      </rPr>
      <t xml:space="preserve">7. </t>
    </r>
    <r>
      <rPr>
        <b val="true"/>
        <sz val="12"/>
        <color rgb="FFFFFFFF"/>
        <rFont val="WenQuanYi Zen Hei"/>
        <family val="2"/>
      </rPr>
      <t xml:space="preserve">업로드 전 최종 체크리스트</t>
    </r>
  </si>
  <si>
    <r>
      <rPr>
        <sz val="10"/>
        <color rgb="FF000000"/>
        <rFont val="WenQuanYi Zen Hei"/>
        <family val="2"/>
      </rPr>
      <t xml:space="preserve">교리 감수 완료 </t>
    </r>
    <r>
      <rPr>
        <sz val="10"/>
        <color rgb="FF000000"/>
        <rFont val="Arial"/>
        <family val="0"/>
        <charset val="1"/>
      </rPr>
      <t xml:space="preserve">(A</t>
    </r>
    <r>
      <rPr>
        <sz val="10"/>
        <color rgb="FF000000"/>
        <rFont val="WenQuanYi Zen Hei"/>
        <family val="2"/>
      </rPr>
      <t xml:space="preserve">타입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WenQuanYi Zen Hei"/>
        <family val="2"/>
      </rPr>
      <t xml:space="preserve">제작표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교리감수</t>
    </r>
    <r>
      <rPr>
        <sz val="10"/>
        <color rgb="FF000000"/>
        <rFont val="Arial"/>
        <family val="0"/>
        <charset val="1"/>
      </rPr>
      <t xml:space="preserve">' = </t>
    </r>
    <r>
      <rPr>
        <sz val="10"/>
        <color rgb="FF000000"/>
        <rFont val="WenQuanYi Zen Hei"/>
        <family val="2"/>
      </rPr>
      <t xml:space="preserve">완료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</si>
  <si>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핵심 구절 장절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문구를 개역개정과 대조</t>
    </r>
  </si>
  <si>
    <r>
      <rPr>
        <sz val="10"/>
        <color rgb="FF000000"/>
        <rFont val="WenQuanYi Zen Hei"/>
        <family val="2"/>
      </rPr>
      <t xml:space="preserve">자막 맞춤법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인명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지명 표기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표기통일 시트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</si>
  <si>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유튜브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아동용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설정 결정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아동용으로 지정하면 댓글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일부 기능 제한됨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</si>
  <si>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유튜브의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생성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합성 콘텐츠 표시 정책 확인</t>
    </r>
  </si>
  <si>
    <t xml:space="preserve">다음 편 예고가 실제 다음 회차와 일치하는가</t>
  </si>
  <si>
    <t xml:space="preserve">절기</t>
  </si>
  <si>
    <r>
      <rPr>
        <b val="true"/>
        <sz val="10"/>
        <color rgb="FFFFFFFF"/>
        <rFont val="WenQuanYi Zen Hei"/>
        <family val="2"/>
      </rPr>
      <t xml:space="preserve">시기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의미</t>
    </r>
  </si>
  <si>
    <r>
      <rPr>
        <b val="true"/>
        <sz val="10"/>
        <color rgb="FFFFFFFF"/>
        <rFont val="WenQuanYi Zen Hei"/>
        <family val="2"/>
      </rPr>
      <t xml:space="preserve">추천 편 </t>
    </r>
    <r>
      <rPr>
        <b val="true"/>
        <sz val="10"/>
        <color rgb="FFFFFFFF"/>
        <rFont val="Arial"/>
        <family val="0"/>
        <charset val="1"/>
      </rPr>
      <t xml:space="preserve">(A</t>
    </r>
    <r>
      <rPr>
        <b val="true"/>
        <sz val="10"/>
        <color rgb="FFFFFFFF"/>
        <rFont val="WenQuanYi Zen Hei"/>
        <family val="2"/>
      </rPr>
      <t xml:space="preserve">코드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회차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시즌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</si>
  <si>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추천 편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본문 </t>
    </r>
    <r>
      <rPr>
        <b val="true"/>
        <sz val="10"/>
        <color rgb="FFFFFFFF"/>
        <rFont val="Arial"/>
        <family val="0"/>
        <charset val="1"/>
      </rPr>
      <t xml:space="preserve">· </t>
    </r>
    <r>
      <rPr>
        <b val="true"/>
        <sz val="10"/>
        <color rgb="FFFFFFFF"/>
        <rFont val="WenQuanYi Zen Hei"/>
        <family val="2"/>
      </rPr>
      <t xml:space="preserve">제목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</si>
  <si>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신년 </t>
    </r>
    <r>
      <rPr>
        <sz val="10"/>
        <color rgb="FF000000"/>
        <rFont val="Arial"/>
        <family val="0"/>
        <charset val="1"/>
      </rPr>
      <t xml:space="preserve">(1</t>
    </r>
    <r>
      <rPr>
        <sz val="10"/>
        <color rgb="FF000000"/>
        <rFont val="WenQuanYi Zen Hei"/>
        <family val="2"/>
      </rPr>
      <t xml:space="preserve">월 첫 주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</si>
  <si>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새해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새 시작</t>
    </r>
  </si>
  <si>
    <r>
      <rPr>
        <sz val="10"/>
        <color rgb="FF000000"/>
        <rFont val="Arial"/>
        <family val="0"/>
        <charset val="1"/>
      </rPr>
      <t xml:space="preserve">A0001 (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#001,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1)
A0379 (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#409,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2)</t>
    </r>
  </si>
  <si>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1:1-5 · </t>
    </r>
    <r>
      <rPr>
        <sz val="10"/>
        <color rgb="FF000000"/>
        <rFont val="WenQuanYi Zen Hei"/>
        <family val="2"/>
      </rPr>
      <t xml:space="preserve">태초에
시편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WenQuanYi Zen Hei"/>
        <family val="2"/>
      </rPr>
      <t xml:space="preserve">편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우리의 날 계수함을 가르치소서</t>
    </r>
  </si>
  <si>
    <r>
      <rPr>
        <sz val="10"/>
        <color rgb="FF000000"/>
        <rFont val="WenQuanYi Zen Hei"/>
        <family val="2"/>
      </rPr>
      <t xml:space="preserve">사순절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고난주간</t>
    </r>
  </si>
  <si>
    <r>
      <rPr>
        <sz val="10"/>
        <color rgb="FF000000"/>
        <rFont val="WenQuanYi Zen Hei"/>
        <family val="2"/>
      </rPr>
      <t xml:space="preserve">부활절 전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고난주간</t>
    </r>
  </si>
  <si>
    <r>
      <rPr>
        <sz val="10"/>
        <color rgb="FF000000"/>
        <rFont val="Arial"/>
        <family val="0"/>
        <charset val="1"/>
      </rPr>
      <t xml:space="preserve">A0432 (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#161,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1)
A0570 (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#026,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1)
A0573 (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#029,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1)
A0643 (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#069,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1)</t>
    </r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</si>
  <si>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52:13-53:12 · </t>
    </r>
    <r>
      <rPr>
        <sz val="10"/>
        <color rgb="FF000000"/>
        <rFont val="WenQuanYi Zen Hei"/>
        <family val="2"/>
      </rPr>
      <t xml:space="preserve">그가 찔림은
마 </t>
    </r>
    <r>
      <rPr>
        <sz val="10"/>
        <color rgb="FF000000"/>
        <rFont val="Arial"/>
        <family val="0"/>
        <charset val="1"/>
      </rPr>
      <t xml:space="preserve">26:31-56 · </t>
    </r>
    <r>
      <rPr>
        <sz val="10"/>
        <color rgb="FF000000"/>
        <rFont val="WenQuanYi Zen Hei"/>
        <family val="2"/>
      </rPr>
      <t xml:space="preserve">겟세마네
마 </t>
    </r>
    <r>
      <rPr>
        <sz val="10"/>
        <color rgb="FF000000"/>
        <rFont val="Arial"/>
        <family val="0"/>
        <charset val="1"/>
      </rPr>
      <t xml:space="preserve">27:27-56 · </t>
    </r>
    <r>
      <rPr>
        <sz val="10"/>
        <color rgb="FF000000"/>
        <rFont val="WenQuanYi Zen Hei"/>
        <family val="2"/>
      </rPr>
      <t xml:space="preserve">십자가
요 </t>
    </r>
    <r>
      <rPr>
        <sz val="10"/>
        <color rgb="FF000000"/>
        <rFont val="Arial"/>
        <family val="0"/>
        <charset val="1"/>
      </rPr>
      <t xml:space="preserve">19:17-42 · </t>
    </r>
    <r>
      <rPr>
        <sz val="10"/>
        <color rgb="FF000000"/>
        <rFont val="WenQuanYi Zen Hei"/>
        <family val="2"/>
      </rPr>
      <t xml:space="preserve">다 이루었다</t>
    </r>
  </si>
  <si>
    <t xml:space="preserve">부활절</t>
  </si>
  <si>
    <t xml:space="preserve">매년 날짜 변동</t>
  </si>
  <si>
    <r>
      <rPr>
        <sz val="10"/>
        <color rgb="FF000000"/>
        <rFont val="Arial"/>
        <family val="0"/>
        <charset val="1"/>
      </rPr>
      <t xml:space="preserve">A0575 (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#031,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1)
A0644 (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#070,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1)
A0707 (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#094,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1)</t>
    </r>
  </si>
  <si>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28:1-15 · </t>
    </r>
    <r>
      <rPr>
        <sz val="10"/>
        <color rgb="FF000000"/>
        <rFont val="WenQuanYi Zen Hei"/>
        <family val="2"/>
      </rPr>
      <t xml:space="preserve">부활
요 </t>
    </r>
    <r>
      <rPr>
        <sz val="10"/>
        <color rgb="FF000000"/>
        <rFont val="Arial"/>
        <family val="0"/>
        <charset val="1"/>
      </rPr>
      <t xml:space="preserve">20:1-18 · </t>
    </r>
    <r>
      <rPr>
        <sz val="10"/>
        <color rgb="FF000000"/>
        <rFont val="WenQuanYi Zen Hei"/>
        <family val="2"/>
      </rPr>
      <t xml:space="preserve">마리아야
고전 </t>
    </r>
    <r>
      <rPr>
        <sz val="10"/>
        <color rgb="FF000000"/>
        <rFont val="Arial"/>
        <family val="0"/>
        <charset val="1"/>
      </rPr>
      <t xml:space="preserve">15:1-16:24 · </t>
    </r>
    <r>
      <rPr>
        <sz val="10"/>
        <color rgb="FF000000"/>
        <rFont val="WenQuanYi Zen Hei"/>
        <family val="2"/>
      </rPr>
      <t xml:space="preserve">부활장</t>
    </r>
  </si>
  <si>
    <r>
      <rPr>
        <sz val="10"/>
        <color rgb="FF000000"/>
        <rFont val="WenQuanYi Zen Hei"/>
        <family val="2"/>
      </rPr>
      <t xml:space="preserve">어린이주일 </t>
    </r>
    <r>
      <rPr>
        <sz val="10"/>
        <color rgb="FF000000"/>
        <rFont val="Arial"/>
        <family val="0"/>
        <charset val="1"/>
      </rPr>
      <t xml:space="preserve">(5</t>
    </r>
    <r>
      <rPr>
        <sz val="10"/>
        <color rgb="FF000000"/>
        <rFont val="WenQuanYi Zen Hei"/>
        <family val="2"/>
      </rPr>
      <t xml:space="preserve">월 첫째 주일</t>
    </r>
    <r>
      <rPr>
        <sz val="10"/>
        <color rgb="FF000000"/>
        <rFont val="Arial"/>
        <family val="0"/>
        <charset val="1"/>
      </rPr>
      <t xml:space="preserve">)</t>
    </r>
  </si>
  <si>
    <t xml:space="preserve">교회학교 연계</t>
  </si>
  <si>
    <r>
      <rPr>
        <sz val="10"/>
        <color rgb="FF000000"/>
        <rFont val="Arial"/>
        <family val="0"/>
        <charset val="1"/>
      </rPr>
      <t xml:space="preserve">A0585 (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#035,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1)
A0212 (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#091,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1)</t>
    </r>
  </si>
  <si>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10:13-16 · </t>
    </r>
    <r>
      <rPr>
        <sz val="10"/>
        <color rgb="FF000000"/>
        <rFont val="WenQuanYi Zen Hei"/>
        <family val="2"/>
      </rPr>
      <t xml:space="preserve">어린아이를 안으시다
삼상 </t>
    </r>
    <r>
      <rPr>
        <sz val="10"/>
        <color rgb="FF000000"/>
        <rFont val="Arial"/>
        <family val="0"/>
        <charset val="1"/>
      </rPr>
      <t xml:space="preserve">3:1-21 · </t>
    </r>
    <r>
      <rPr>
        <sz val="10"/>
        <color rgb="FF000000"/>
        <rFont val="WenQuanYi Zen Hei"/>
        <family val="2"/>
      </rPr>
      <t xml:space="preserve">말씀하옵소서</t>
    </r>
  </si>
  <si>
    <r>
      <rPr>
        <sz val="10"/>
        <color rgb="FF000000"/>
        <rFont val="WenQuanYi Zen Hei"/>
        <family val="2"/>
      </rPr>
      <t xml:space="preserve">어버이주일 </t>
    </r>
    <r>
      <rPr>
        <sz val="10"/>
        <color rgb="FF000000"/>
        <rFont val="Arial"/>
        <family val="0"/>
        <charset val="1"/>
      </rPr>
      <t xml:space="preserve">(5</t>
    </r>
    <r>
      <rPr>
        <sz val="10"/>
        <color rgb="FF000000"/>
        <rFont val="WenQuanYi Zen Hei"/>
        <family val="2"/>
      </rPr>
      <t xml:space="preserve">월 둘째 주일</t>
    </r>
    <r>
      <rPr>
        <sz val="10"/>
        <color rgb="FF000000"/>
        <rFont val="Arial"/>
        <family val="0"/>
        <charset val="1"/>
      </rPr>
      <t xml:space="preserve">)</t>
    </r>
  </si>
  <si>
    <t xml:space="preserve">부모 공경</t>
  </si>
  <si>
    <r>
      <rPr>
        <sz val="10"/>
        <color rgb="FF000000"/>
        <rFont val="Arial"/>
        <family val="0"/>
        <charset val="1"/>
      </rPr>
      <t xml:space="preserve">A0108 (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#062,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1)
A0205 (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#086,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1)</t>
    </r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</si>
  <si>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20:12-17 · </t>
    </r>
    <r>
      <rPr>
        <sz val="10"/>
        <color rgb="FF000000"/>
        <rFont val="WenQuanYi Zen Hei"/>
        <family val="2"/>
      </rPr>
      <t xml:space="preserve">십계명 ② 이웃 사랑
룻 </t>
    </r>
    <r>
      <rPr>
        <sz val="10"/>
        <color rgb="FF000000"/>
        <rFont val="Arial"/>
        <family val="0"/>
        <charset val="1"/>
      </rPr>
      <t xml:space="preserve">1:1-22 · </t>
    </r>
    <r>
      <rPr>
        <sz val="10"/>
        <color rgb="FF000000"/>
        <rFont val="WenQuanYi Zen Hei"/>
        <family val="2"/>
      </rPr>
      <t xml:space="preserve">어머니가 가시는 곳에 나도</t>
    </r>
  </si>
  <si>
    <r>
      <rPr>
        <sz val="10"/>
        <color rgb="FF000000"/>
        <rFont val="WenQuanYi Zen Hei"/>
        <family val="2"/>
      </rPr>
      <t xml:space="preserve">성령강림절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부활절 후 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WenQuanYi Zen Hei"/>
        <family val="2"/>
      </rPr>
      <t xml:space="preserve">일</t>
    </r>
    <r>
      <rPr>
        <sz val="10"/>
        <color rgb="FF000000"/>
        <rFont val="Arial"/>
        <family val="0"/>
        <charset val="1"/>
      </rPr>
      <t xml:space="preserve">)</t>
    </r>
  </si>
  <si>
    <t xml:space="preserve">오순절</t>
  </si>
  <si>
    <r>
      <rPr>
        <sz val="10"/>
        <color rgb="FF000000"/>
        <rFont val="Arial"/>
        <family val="0"/>
        <charset val="1"/>
      </rPr>
      <t xml:space="preserve">A0649 (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#074,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1)
A0492 (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#500,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2)</t>
    </r>
  </si>
  <si>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2:1-13 · </t>
    </r>
    <r>
      <rPr>
        <sz val="10"/>
        <color rgb="FF000000"/>
        <rFont val="WenQuanYi Zen Hei"/>
        <family val="2"/>
      </rPr>
      <t xml:space="preserve">오순절 성령 강림
욜 </t>
    </r>
    <r>
      <rPr>
        <sz val="10"/>
        <color rgb="FF000000"/>
        <rFont val="Arial"/>
        <family val="0"/>
        <charset val="1"/>
      </rPr>
      <t xml:space="preserve">2:18-32 · </t>
    </r>
    <r>
      <rPr>
        <sz val="10"/>
        <color rgb="FF000000"/>
        <rFont val="WenQuanYi Zen Hei"/>
        <family val="2"/>
      </rPr>
      <t xml:space="preserve">내 영을 부어 주리라</t>
    </r>
  </si>
  <si>
    <r>
      <rPr>
        <sz val="10"/>
        <color rgb="FF000000"/>
        <rFont val="WenQuanYi Zen Hei"/>
        <family val="2"/>
      </rPr>
      <t xml:space="preserve">맥추감사절 </t>
    </r>
    <r>
      <rPr>
        <sz val="10"/>
        <color rgb="FF000000"/>
        <rFont val="Arial"/>
        <family val="0"/>
        <charset val="1"/>
      </rPr>
      <t xml:space="preserve">(7</t>
    </r>
    <r>
      <rPr>
        <sz val="10"/>
        <color rgb="FF000000"/>
        <rFont val="WenQuanYi Zen Hei"/>
        <family val="2"/>
      </rPr>
      <t xml:space="preserve">월 첫째 주일</t>
    </r>
    <r>
      <rPr>
        <sz val="10"/>
        <color rgb="FF000000"/>
        <rFont val="Arial"/>
        <family val="0"/>
        <charset val="1"/>
      </rPr>
      <t xml:space="preserve">)</t>
    </r>
  </si>
  <si>
    <t xml:space="preserve">상반기 감사</t>
  </si>
  <si>
    <r>
      <rPr>
        <sz val="10"/>
        <color rgb="FF000000"/>
        <rFont val="Arial"/>
        <family val="0"/>
        <charset val="1"/>
      </rPr>
      <t xml:space="preserve">A0129 (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#245,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2)
A0382 (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#412,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2)</t>
    </r>
  </si>
  <si>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23:1-44 · </t>
    </r>
    <r>
      <rPr>
        <sz val="10"/>
        <color rgb="FF000000"/>
        <rFont val="WenQuanYi Zen Hei"/>
        <family val="2"/>
      </rPr>
      <t xml:space="preserve">이스라엘의 일곱 절기
시편 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WenQuanYi Zen Hei"/>
        <family val="2"/>
      </rPr>
      <t xml:space="preserve">편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감사의 노래</t>
    </r>
  </si>
  <si>
    <r>
      <rPr>
        <sz val="10"/>
        <color rgb="FF000000"/>
        <rFont val="WenQuanYi Zen Hei"/>
        <family val="2"/>
      </rPr>
      <t xml:space="preserve">광복절 </t>
    </r>
    <r>
      <rPr>
        <sz val="10"/>
        <color rgb="FF000000"/>
        <rFont val="Arial"/>
        <family val="0"/>
        <charset val="1"/>
      </rPr>
      <t xml:space="preserve">(8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Arial"/>
        <family val="0"/>
        <charset val="1"/>
      </rPr>
      <t xml:space="preserve">15</t>
    </r>
    <r>
      <rPr>
        <sz val="10"/>
        <color rgb="FF000000"/>
        <rFont val="WenQuanYi Zen Hei"/>
        <family val="2"/>
      </rPr>
      <t xml:space="preserve">일</t>
    </r>
    <r>
      <rPr>
        <sz val="10"/>
        <color rgb="FF000000"/>
        <rFont val="Arial"/>
        <family val="0"/>
        <charset val="1"/>
      </rPr>
      <t xml:space="preserve">)</t>
    </r>
  </si>
  <si>
    <t xml:space="preserve">해방과 회복</t>
  </si>
  <si>
    <r>
      <rPr>
        <sz val="10"/>
        <color rgb="FF000000"/>
        <rFont val="Arial"/>
        <family val="0"/>
        <charset val="1"/>
      </rPr>
      <t xml:space="preserve">A0099 (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#055,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1)
A0325 (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#133,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1)</t>
    </r>
  </si>
  <si>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14:15-31 · </t>
    </r>
    <r>
      <rPr>
        <sz val="10"/>
        <color rgb="FF000000"/>
        <rFont val="WenQuanYi Zen Hei"/>
        <family val="2"/>
      </rPr>
      <t xml:space="preserve">바다가 갈라지다
스 </t>
    </r>
    <r>
      <rPr>
        <sz val="10"/>
        <color rgb="FF000000"/>
        <rFont val="Arial"/>
        <family val="0"/>
        <charset val="1"/>
      </rPr>
      <t xml:space="preserve">1:1-11 · </t>
    </r>
    <r>
      <rPr>
        <sz val="10"/>
        <color rgb="FF000000"/>
        <rFont val="WenQuanYi Zen Hei"/>
        <family val="2"/>
      </rPr>
      <t xml:space="preserve">고레스의 칙령</t>
    </r>
  </si>
  <si>
    <r>
      <rPr>
        <sz val="10"/>
        <color rgb="FF000000"/>
        <rFont val="WenQuanYi Zen Hei"/>
        <family val="2"/>
      </rPr>
      <t xml:space="preserve">종교개혁주일 </t>
    </r>
    <r>
      <rPr>
        <sz val="10"/>
        <color rgb="FF000000"/>
        <rFont val="Arial"/>
        <family val="0"/>
        <charset val="1"/>
      </rPr>
      <t xml:space="preserve">(10</t>
    </r>
    <r>
      <rPr>
        <sz val="10"/>
        <color rgb="FF000000"/>
        <rFont val="WenQuanYi Zen Hei"/>
        <family val="2"/>
      </rPr>
      <t xml:space="preserve">월 마지막 주일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</si>
  <si>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오직 믿음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오직 은혜</t>
    </r>
  </si>
  <si>
    <r>
      <rPr>
        <sz val="10"/>
        <color rgb="FF000000"/>
        <rFont val="Arial"/>
        <family val="0"/>
        <charset val="1"/>
      </rPr>
      <t xml:space="preserve">A0509 (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#181,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1)
A0687 (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#091,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1)
A0716 (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#205,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2)</t>
    </r>
  </si>
  <si>
    <r>
      <rPr>
        <sz val="10"/>
        <color rgb="FF000000"/>
        <rFont val="WenQuanYi Zen Hei"/>
        <family val="2"/>
      </rPr>
      <t xml:space="preserve">합 </t>
    </r>
    <r>
      <rPr>
        <sz val="10"/>
        <color rgb="FF000000"/>
        <rFont val="Arial"/>
        <family val="0"/>
        <charset val="1"/>
      </rPr>
      <t xml:space="preserve">2:2-20 · </t>
    </r>
    <r>
      <rPr>
        <sz val="10"/>
        <color rgb="FF000000"/>
        <rFont val="WenQuanYi Zen Hei"/>
        <family val="2"/>
      </rPr>
      <t xml:space="preserve">의인은 믿음으로
롬 </t>
    </r>
    <r>
      <rPr>
        <sz val="10"/>
        <color rgb="FF000000"/>
        <rFont val="Arial"/>
        <family val="0"/>
        <charset val="1"/>
      </rPr>
      <t xml:space="preserve">3:21-31 · </t>
    </r>
    <r>
      <rPr>
        <sz val="10"/>
        <color rgb="FF000000"/>
        <rFont val="WenQuanYi Zen Hei"/>
        <family val="2"/>
      </rPr>
      <t xml:space="preserve">값없이 의롭다 하심
갈 </t>
    </r>
    <r>
      <rPr>
        <sz val="10"/>
        <color rgb="FF000000"/>
        <rFont val="Arial"/>
        <family val="0"/>
        <charset val="1"/>
      </rPr>
      <t xml:space="preserve">5:1-15 · </t>
    </r>
    <r>
      <rPr>
        <sz val="10"/>
        <color rgb="FF000000"/>
        <rFont val="WenQuanYi Zen Hei"/>
        <family val="2"/>
      </rPr>
      <t xml:space="preserve">자유를 주셨으니</t>
    </r>
  </si>
  <si>
    <r>
      <rPr>
        <sz val="10"/>
        <color rgb="FF000000"/>
        <rFont val="WenQuanYi Zen Hei"/>
        <family val="2"/>
      </rPr>
      <t xml:space="preserve">추수감사절 </t>
    </r>
    <r>
      <rPr>
        <sz val="10"/>
        <color rgb="FF000000"/>
        <rFont val="Arial"/>
        <family val="0"/>
        <charset val="1"/>
      </rPr>
      <t xml:space="preserve">(11</t>
    </r>
    <r>
      <rPr>
        <sz val="10"/>
        <color rgb="FF000000"/>
        <rFont val="WenQuanYi Zen Hei"/>
        <family val="2"/>
      </rPr>
      <t xml:space="preserve">월 셋째 주일</t>
    </r>
    <r>
      <rPr>
        <sz val="10"/>
        <color rgb="FF000000"/>
        <rFont val="Arial"/>
        <family val="0"/>
        <charset val="1"/>
      </rPr>
      <t xml:space="preserve">)</t>
    </r>
  </si>
  <si>
    <t xml:space="preserve">감사</t>
  </si>
  <si>
    <r>
      <rPr>
        <sz val="10"/>
        <color rgb="FF000000"/>
        <rFont val="Arial"/>
        <family val="0"/>
        <charset val="1"/>
      </rPr>
      <t xml:space="preserve">A0610 (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#049,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1)
A0382 (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#412,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2)
A0160 (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#271,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2)</t>
    </r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</si>
  <si>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17:11-19 · </t>
    </r>
    <r>
      <rPr>
        <sz val="10"/>
        <color rgb="FF000000"/>
        <rFont val="WenQuanYi Zen Hei"/>
        <family val="2"/>
      </rPr>
      <t xml:space="preserve">돌아온 한 사람
시편 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WenQuanYi Zen Hei"/>
        <family val="2"/>
      </rPr>
      <t xml:space="preserve">편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감사의 노래
신 </t>
    </r>
    <r>
      <rPr>
        <sz val="10"/>
        <color rgb="FF000000"/>
        <rFont val="Arial"/>
        <family val="0"/>
        <charset val="1"/>
      </rPr>
      <t xml:space="preserve">8:1-20 · </t>
    </r>
    <r>
      <rPr>
        <sz val="10"/>
        <color rgb="FF000000"/>
        <rFont val="WenQuanYi Zen Hei"/>
        <family val="2"/>
      </rPr>
      <t xml:space="preserve">떡으로만 살지 않는다</t>
    </r>
  </si>
  <si>
    <r>
      <rPr>
        <sz val="10"/>
        <color rgb="FF000000"/>
        <rFont val="WenQuanYi Zen Hei"/>
        <family val="2"/>
      </rPr>
      <t xml:space="preserve">대림절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성탄 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주</t>
    </r>
    <r>
      <rPr>
        <sz val="10"/>
        <color rgb="FF000000"/>
        <rFont val="Arial"/>
        <family val="0"/>
        <charset val="1"/>
      </rPr>
      <t xml:space="preserve">)</t>
    </r>
  </si>
  <si>
    <t xml:space="preserve">메시아 예언</t>
  </si>
  <si>
    <r>
      <rPr>
        <sz val="10"/>
        <color rgb="FF000000"/>
        <rFont val="Arial"/>
        <family val="0"/>
        <charset val="1"/>
      </rPr>
      <t xml:space="preserve">A0414 (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#158,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1)
A0415 (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#159,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1)
A0505 (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#180,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1)</t>
    </r>
  </si>
  <si>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7:1-25 · </t>
    </r>
    <r>
      <rPr>
        <sz val="10"/>
        <color rgb="FF000000"/>
        <rFont val="WenQuanYi Zen Hei"/>
        <family val="2"/>
      </rPr>
      <t xml:space="preserve">임마누엘의 징조
사 </t>
    </r>
    <r>
      <rPr>
        <sz val="10"/>
        <color rgb="FF000000"/>
        <rFont val="Arial"/>
        <family val="0"/>
        <charset val="1"/>
      </rPr>
      <t xml:space="preserve">8:1-9:7 · </t>
    </r>
    <r>
      <rPr>
        <sz val="10"/>
        <color rgb="FF000000"/>
        <rFont val="WenQuanYi Zen Hei"/>
        <family val="2"/>
      </rPr>
      <t xml:space="preserve">한 아기가 우리에게
미 </t>
    </r>
    <r>
      <rPr>
        <sz val="10"/>
        <color rgb="FF000000"/>
        <rFont val="Arial"/>
        <family val="0"/>
        <charset val="1"/>
      </rPr>
      <t xml:space="preserve">4:1-5:15 · </t>
    </r>
    <r>
      <rPr>
        <sz val="10"/>
        <color rgb="FF000000"/>
        <rFont val="WenQuanYi Zen Hei"/>
        <family val="2"/>
      </rPr>
      <t xml:space="preserve">베들레헴 에브라다</t>
    </r>
  </si>
  <si>
    <t xml:space="preserve">성탄절</t>
  </si>
  <si>
    <t xml:space="preserve">탄생</t>
  </si>
  <si>
    <r>
      <rPr>
        <sz val="10"/>
        <color rgb="FF000000"/>
        <rFont val="Arial"/>
        <family val="0"/>
        <charset val="1"/>
      </rPr>
      <t xml:space="preserve">A0593 (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#040,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1)
A0594 (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#041,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1)
A0524 (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#002,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1)</t>
    </r>
  </si>
  <si>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2:1-7 · </t>
    </r>
    <r>
      <rPr>
        <sz val="10"/>
        <color rgb="FF000000"/>
        <rFont val="WenQuanYi Zen Hei"/>
        <family val="2"/>
      </rPr>
      <t xml:space="preserve">구유에 누이다
눅 </t>
    </r>
    <r>
      <rPr>
        <sz val="10"/>
        <color rgb="FF000000"/>
        <rFont val="Arial"/>
        <family val="0"/>
        <charset val="1"/>
      </rPr>
      <t xml:space="preserve">2:8-20 · </t>
    </r>
    <r>
      <rPr>
        <sz val="10"/>
        <color rgb="FF000000"/>
        <rFont val="WenQuanYi Zen Hei"/>
        <family val="2"/>
      </rPr>
      <t xml:space="preserve">목자들에게 들린 소식
마 </t>
    </r>
    <r>
      <rPr>
        <sz val="10"/>
        <color rgb="FF000000"/>
        <rFont val="Arial"/>
        <family val="0"/>
        <charset val="1"/>
      </rPr>
      <t xml:space="preserve">2:1-12 · </t>
    </r>
    <r>
      <rPr>
        <sz val="10"/>
        <color rgb="FF000000"/>
        <rFont val="WenQuanYi Zen Hei"/>
        <family val="2"/>
      </rPr>
      <t xml:space="preserve">별을 따라온 사람들</t>
    </r>
  </si>
  <si>
    <r>
      <rPr>
        <sz val="10"/>
        <color rgb="FF000000"/>
        <rFont val="WenQuanYi Zen Hei"/>
        <family val="2"/>
      </rPr>
      <t xml:space="preserve">송구영신 </t>
    </r>
    <r>
      <rPr>
        <sz val="10"/>
        <color rgb="FF000000"/>
        <rFont val="Arial"/>
        <family val="0"/>
        <charset val="1"/>
      </rPr>
      <t xml:space="preserve">(12</t>
    </r>
    <r>
      <rPr>
        <sz val="10"/>
        <color rgb="FF000000"/>
        <rFont val="WenQuanYi Zen Hei"/>
        <family val="2"/>
      </rPr>
      <t xml:space="preserve">월 마지막 주</t>
    </r>
    <r>
      <rPr>
        <sz val="10"/>
        <color rgb="FF000000"/>
        <rFont val="Arial"/>
        <family val="0"/>
        <charset val="1"/>
      </rPr>
      <t xml:space="preserve">)</t>
    </r>
  </si>
  <si>
    <t xml:space="preserve">돌아봄과 소망</t>
  </si>
  <si>
    <r>
      <rPr>
        <sz val="10"/>
        <color rgb="FF000000"/>
        <rFont val="Arial"/>
        <family val="0"/>
        <charset val="1"/>
      </rPr>
      <t xml:space="preserve">A0155 (</t>
    </r>
    <r>
      <rPr>
        <sz val="10"/>
        <color rgb="FF000000"/>
        <rFont val="WenQuanYi Zen Hei"/>
        <family val="2"/>
      </rPr>
      <t xml:space="preserve">구약 </t>
    </r>
    <r>
      <rPr>
        <sz val="10"/>
        <color rgb="FF000000"/>
        <rFont val="Arial"/>
        <family val="0"/>
        <charset val="1"/>
      </rPr>
      <t xml:space="preserve">#267,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2)
A0796 (</t>
    </r>
    <r>
      <rPr>
        <sz val="10"/>
        <color rgb="FF000000"/>
        <rFont val="WenQuanYi Zen Hei"/>
        <family val="2"/>
      </rPr>
      <t xml:space="preserve">신약 </t>
    </r>
    <r>
      <rPr>
        <sz val="10"/>
        <color rgb="FF000000"/>
        <rFont val="Arial"/>
        <family val="0"/>
        <charset val="1"/>
      </rPr>
      <t xml:space="preserve">#102, </t>
    </r>
    <r>
      <rPr>
        <sz val="10"/>
        <color rgb="FF000000"/>
        <rFont val="WenQuanYi Zen Hei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1)</t>
    </r>
  </si>
  <si>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1:1-3:29 · </t>
    </r>
    <r>
      <rPr>
        <sz val="10"/>
        <color rgb="FF000000"/>
        <rFont val="WenQuanYi Zen Hei"/>
        <family val="2"/>
      </rPr>
      <t xml:space="preserve">아버지가 아들을 안듯
계 </t>
    </r>
    <r>
      <rPr>
        <sz val="10"/>
        <color rgb="FF000000"/>
        <rFont val="Arial"/>
        <family val="0"/>
        <charset val="1"/>
      </rPr>
      <t xml:space="preserve">21:1-8 · </t>
    </r>
    <r>
      <rPr>
        <sz val="10"/>
        <color rgb="FF000000"/>
        <rFont val="WenQuanYi Zen Hei"/>
        <family val="2"/>
      </rPr>
      <t xml:space="preserve">새 하늘과 새 땅</t>
    </r>
  </si>
  <si>
    <r>
      <rPr>
        <sz val="9"/>
        <color rgb="FF595959"/>
        <rFont val="WenQuanYi Zen Hei"/>
        <family val="2"/>
      </rPr>
      <t xml:space="preserve">※ 절기 주간에는 순서대로 올리던 회차 대신 추천 편을 재업로드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리마스터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하거나 </t>
    </r>
    <r>
      <rPr>
        <sz val="9"/>
        <color rgb="FF595959"/>
        <rFont val="Arial"/>
        <family val="0"/>
        <charset val="1"/>
      </rPr>
      <t xml:space="preserve">B</t>
    </r>
    <r>
      <rPr>
        <sz val="9"/>
        <color rgb="FF595959"/>
        <rFont val="WenQuanYi Zen Hei"/>
        <family val="2"/>
      </rPr>
      <t xml:space="preserve">타입으로 묶어 특집 편성하세요</t>
    </r>
    <r>
      <rPr>
        <sz val="9"/>
        <color rgb="FF595959"/>
        <rFont val="Arial"/>
        <family val="0"/>
        <charset val="1"/>
      </rPr>
      <t xml:space="preserve">.</t>
    </r>
  </si>
  <si>
    <r>
      <rPr>
        <b val="true"/>
        <sz val="16"/>
        <color rgb="FF1F3864"/>
        <rFont val="WenQuanYi Zen Hei"/>
        <family val="2"/>
      </rPr>
      <t xml:space="preserve">표기 통일 </t>
    </r>
    <r>
      <rPr>
        <b val="true"/>
        <sz val="16"/>
        <color rgb="FF1F3864"/>
        <rFont val="Arial"/>
        <family val="0"/>
        <charset val="1"/>
      </rPr>
      <t xml:space="preserve">(</t>
    </r>
    <r>
      <rPr>
        <b val="true"/>
        <sz val="16"/>
        <color rgb="FF1F3864"/>
        <rFont val="WenQuanYi Zen Hei"/>
        <family val="2"/>
      </rPr>
      <t xml:space="preserve">개역개정 기준</t>
    </r>
    <r>
      <rPr>
        <b val="true"/>
        <sz val="16"/>
        <color rgb="FF1F3864"/>
        <rFont val="Arial"/>
        <family val="0"/>
        <charset val="1"/>
      </rPr>
      <t xml:space="preserve">)</t>
    </r>
  </si>
  <si>
    <r>
      <rPr>
        <sz val="10"/>
        <color rgb="FF595959"/>
        <rFont val="WenQuanYi Zen Hei"/>
        <family val="2"/>
      </rPr>
      <t xml:space="preserve">내레이션</t>
    </r>
    <r>
      <rPr>
        <sz val="10"/>
        <color rgb="FF595959"/>
        <rFont val="Arial"/>
        <family val="0"/>
        <charset val="1"/>
      </rPr>
      <t xml:space="preserve">·</t>
    </r>
    <r>
      <rPr>
        <sz val="10"/>
        <color rgb="FF595959"/>
        <rFont val="WenQuanYi Zen Hei"/>
        <family val="2"/>
      </rPr>
      <t xml:space="preserve">자막</t>
    </r>
    <r>
      <rPr>
        <sz val="10"/>
        <color rgb="FF595959"/>
        <rFont val="Arial"/>
        <family val="0"/>
        <charset val="1"/>
      </rPr>
      <t xml:space="preserve">·</t>
    </r>
    <r>
      <rPr>
        <sz val="10"/>
        <color rgb="FF595959"/>
        <rFont val="WenQuanYi Zen Hei"/>
        <family val="2"/>
      </rPr>
      <t xml:space="preserve">제목</t>
    </r>
    <r>
      <rPr>
        <sz val="10"/>
        <color rgb="FF595959"/>
        <rFont val="Arial"/>
        <family val="0"/>
        <charset val="1"/>
      </rPr>
      <t xml:space="preserve">·</t>
    </r>
    <r>
      <rPr>
        <sz val="10"/>
        <color rgb="FF595959"/>
        <rFont val="WenQuanYi Zen Hei"/>
        <family val="2"/>
      </rPr>
      <t xml:space="preserve">설명란에 모두 적용</t>
    </r>
  </si>
  <si>
    <t xml:space="preserve">사용할 표기</t>
  </si>
  <si>
    <t xml:space="preserve">쓰지 않을 표기</t>
  </si>
  <si>
    <t xml:space="preserve">하느님</t>
  </si>
  <si>
    <t xml:space="preserve">개신교 표준</t>
  </si>
  <si>
    <t xml:space="preserve">여호와</t>
  </si>
  <si>
    <r>
      <rPr>
        <sz val="10"/>
        <color rgb="FF000000"/>
        <rFont val="WenQuanYi Zen Hei"/>
        <family val="2"/>
      </rPr>
      <t xml:space="preserve">야훼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야웨</t>
    </r>
  </si>
  <si>
    <t xml:space="preserve">개역개정 표기</t>
  </si>
  <si>
    <t xml:space="preserve">성신</t>
  </si>
  <si>
    <r>
      <rPr>
        <sz val="10"/>
        <color rgb="FF000000"/>
        <rFont val="WenQuanYi Zen Hei"/>
        <family val="2"/>
      </rPr>
      <t xml:space="preserve">예수님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예수 그리스도</t>
    </r>
  </si>
  <si>
    <t xml:space="preserve">예수</t>
  </si>
  <si>
    <r>
      <rPr>
        <sz val="10"/>
        <color rgb="FF000000"/>
        <rFont val="WenQuanYi Zen Hei"/>
        <family val="2"/>
      </rPr>
      <t xml:space="preserve">내레이션에서는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예수님</t>
    </r>
    <r>
      <rPr>
        <sz val="10"/>
        <color rgb="FF000000"/>
        <rFont val="Arial"/>
        <family val="0"/>
        <charset val="1"/>
      </rPr>
      <t xml:space="preserve">'</t>
    </r>
  </si>
  <si>
    <r>
      <rPr>
        <sz val="10"/>
        <color rgb="FF000000"/>
        <rFont val="WenQuanYi Zen Hei"/>
        <family val="2"/>
      </rPr>
      <t xml:space="preserve">세례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세례 요한</t>
    </r>
  </si>
  <si>
    <r>
      <rPr>
        <sz val="10"/>
        <color rgb="FF000000"/>
        <rFont val="WenQuanYi Zen Hei"/>
        <family val="2"/>
      </rPr>
      <t xml:space="preserve">침례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침례 요한</t>
    </r>
  </si>
  <si>
    <t xml:space="preserve">합동측 표기</t>
  </si>
  <si>
    <t xml:space="preserve">성찬</t>
  </si>
  <si>
    <r>
      <rPr>
        <sz val="10"/>
        <color rgb="FF000000"/>
        <rFont val="WenQuanYi Zen Hei"/>
        <family val="2"/>
      </rPr>
      <t xml:space="preserve">성체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영성체</t>
    </r>
  </si>
  <si>
    <t xml:space="preserve">주일</t>
  </si>
  <si>
    <t xml:space="preserve">일요일</t>
  </si>
  <si>
    <t xml:space="preserve">교회 용어</t>
  </si>
  <si>
    <r>
      <rPr>
        <sz val="10"/>
        <color rgb="FF000000"/>
        <rFont val="WenQuanYi Zen Hei"/>
        <family val="2"/>
      </rPr>
      <t xml:space="preserve">목사님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장로님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집사님</t>
    </r>
  </si>
  <si>
    <t xml:space="preserve">신부님</t>
  </si>
  <si>
    <t xml:space="preserve">파라오</t>
  </si>
  <si>
    <t xml:space="preserve">이집트</t>
  </si>
  <si>
    <r>
      <rPr>
        <sz val="10"/>
        <color rgb="FF000000"/>
        <rFont val="WenQuanYi Zen Hei"/>
        <family val="2"/>
      </rPr>
      <t xml:space="preserve">자막에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이집트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병기 가능</t>
    </r>
  </si>
  <si>
    <t xml:space="preserve">바사</t>
  </si>
  <si>
    <r>
      <rPr>
        <sz val="10"/>
        <color rgb="FF000000"/>
        <rFont val="WenQuanYi Zen Hei"/>
        <family val="2"/>
      </rPr>
      <t xml:space="preserve">개역개정 표기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자막에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페르시아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병기 가능</t>
    </r>
  </si>
  <si>
    <r>
      <rPr>
        <sz val="10"/>
        <color rgb="FF000000"/>
        <rFont val="WenQuanYi Zen Hei"/>
        <family val="2"/>
      </rPr>
      <t xml:space="preserve">앗수르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바벨론</t>
    </r>
  </si>
  <si>
    <r>
      <rPr>
        <sz val="10"/>
        <color rgb="FF000000"/>
        <rFont val="WenQuanYi Zen Hei"/>
        <family val="2"/>
      </rPr>
      <t xml:space="preserve">아시리아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바빌론</t>
    </r>
  </si>
  <si>
    <t xml:space="preserve">블레셋</t>
  </si>
  <si>
    <t xml:space="preserve">팔레스타인</t>
  </si>
  <si>
    <r>
      <rPr>
        <sz val="10"/>
        <color rgb="FF000000"/>
        <rFont val="WenQuanYi Zen Hei"/>
        <family val="2"/>
      </rPr>
      <t xml:space="preserve">아덴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구브로</t>
    </r>
  </si>
  <si>
    <r>
      <rPr>
        <sz val="10"/>
        <color rgb="FF000000"/>
        <rFont val="WenQuanYi Zen Hei"/>
        <family val="2"/>
      </rPr>
      <t xml:space="preserve">아테네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키프로스</t>
    </r>
  </si>
  <si>
    <t xml:space="preserve">자막 병기 가능</t>
  </si>
  <si>
    <r>
      <rPr>
        <sz val="10"/>
        <color rgb="FF000000"/>
        <rFont val="WenQuanYi Zen Hei"/>
        <family val="2"/>
      </rPr>
      <t xml:space="preserve">그룹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스랍</t>
    </r>
  </si>
  <si>
    <r>
      <rPr>
        <sz val="10"/>
        <color rgb="FF000000"/>
        <rFont val="WenQuanYi Zen Hei"/>
        <family val="2"/>
      </rPr>
      <t xml:space="preserve">케루빔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세라핌</t>
    </r>
  </si>
  <si>
    <r>
      <rPr>
        <sz val="10"/>
        <color rgb="FF000000"/>
        <rFont val="WenQuanYi Zen Hei"/>
        <family val="2"/>
      </rPr>
      <t xml:space="preserve">사탄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마귀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귀신</t>
    </r>
  </si>
  <si>
    <t xml:space="preserve">악마 캐릭터식 표현</t>
  </si>
  <si>
    <t xml:space="preserve">선악을 알게 하는 나무의 열매</t>
  </si>
  <si>
    <t xml:space="preserve">사과</t>
  </si>
  <si>
    <r>
      <rPr>
        <sz val="10"/>
        <color rgb="FF000000"/>
        <rFont val="WenQuanYi Zen Hei"/>
        <family val="2"/>
      </rPr>
      <t xml:space="preserve">성경에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사과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라는 말은 없음</t>
    </r>
  </si>
  <si>
    <t xml:space="preserve">동방에서 온 박사들</t>
  </si>
  <si>
    <t xml:space="preserve">동방 박사 세 사람</t>
  </si>
  <si>
    <t xml:space="preserve">수는 성경에 없음</t>
  </si>
  <si>
    <r>
      <rPr>
        <sz val="10"/>
        <color rgb="FF000000"/>
        <rFont val="WenQuanYi Zen Hei"/>
        <family val="2"/>
      </rPr>
      <t xml:space="preserve">주전</t>
    </r>
    <r>
      <rPr>
        <sz val="10"/>
        <color rgb="FF000000"/>
        <rFont val="Arial"/>
        <family val="0"/>
        <charset val="1"/>
      </rPr>
      <t xml:space="preserve">(BC) / </t>
    </r>
    <r>
      <rPr>
        <sz val="10"/>
        <color rgb="FF000000"/>
        <rFont val="WenQuanYi Zen Hei"/>
        <family val="2"/>
      </rPr>
      <t xml:space="preserve">주후</t>
    </r>
    <r>
      <rPr>
        <sz val="10"/>
        <color rgb="FF000000"/>
        <rFont val="Arial"/>
        <family val="0"/>
        <charset val="1"/>
      </rPr>
      <t xml:space="preserve">(AD)</t>
    </r>
  </si>
  <si>
    <r>
      <rPr>
        <sz val="10"/>
        <color rgb="FF000000"/>
        <rFont val="WenQuanYi Zen Hei"/>
        <family val="2"/>
      </rPr>
      <t xml:space="preserve">기원전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기원후</t>
    </r>
  </si>
  <si>
    <t xml:space="preserve">교회 표기 권장</t>
  </si>
  <si>
    <r>
      <rPr>
        <sz val="10"/>
        <color rgb="FF000000"/>
        <rFont val="WenQuanYi Zen Hei"/>
        <family val="2"/>
      </rPr>
      <t xml:space="preserve">천국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하나님 나라</t>
    </r>
  </si>
  <si>
    <t xml:space="preserve">천당</t>
  </si>
  <si>
    <r>
      <rPr>
        <sz val="10"/>
        <color rgb="FF000000"/>
        <rFont val="WenQuanYi Zen Hei"/>
        <family val="2"/>
      </rPr>
      <t xml:space="preserve">부활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승천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재림</t>
    </r>
  </si>
  <si>
    <t xml:space="preserve">환생</t>
  </si>
  <si>
    <t xml:space="preserve">환생 표현 금지</t>
  </si>
  <si>
    <r>
      <rPr>
        <sz val="10"/>
        <color rgb="FF000000"/>
        <rFont val="WenQuanYi Zen Hei"/>
        <family val="2"/>
      </rPr>
      <t xml:space="preserve">사도 바울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베드로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요한</t>
    </r>
  </si>
  <si>
    <r>
      <rPr>
        <sz val="10"/>
        <color rgb="FF000000"/>
        <rFont val="WenQuanYi Zen Hei"/>
        <family val="2"/>
      </rPr>
      <t xml:space="preserve">성 바울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 베드로</t>
    </r>
  </si>
  <si>
    <r>
      <rPr>
        <sz val="10"/>
        <color rgb="FF000000"/>
        <rFont val="WenQuanYi Zen Hei"/>
        <family val="2"/>
      </rPr>
      <t xml:space="preserve">개신교는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성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聖</t>
    </r>
    <r>
      <rPr>
        <sz val="10"/>
        <color rgb="FF000000"/>
        <rFont val="Arial"/>
        <family val="0"/>
        <charset val="1"/>
      </rPr>
      <t xml:space="preserve">)' </t>
    </r>
    <r>
      <rPr>
        <sz val="10"/>
        <color rgb="FF000000"/>
        <rFont val="WenQuanYi Zen Hei"/>
        <family val="2"/>
      </rPr>
      <t xml:space="preserve">칭호 안 붙임</t>
    </r>
  </si>
  <si>
    <r>
      <rPr>
        <sz val="10"/>
        <color rgb="FF000000"/>
        <rFont val="WenQuanYi Zen Hei"/>
        <family val="2"/>
      </rPr>
      <t xml:space="preserve">성모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성모 마리아</t>
    </r>
  </si>
  <si>
    <t xml:space="preserve">개신교 표기</t>
  </si>
  <si>
    <r>
      <rPr>
        <sz val="10"/>
        <color rgb="FF000000"/>
        <rFont val="WenQuanYi Zen Hei"/>
        <family val="2"/>
      </rPr>
      <t xml:space="preserve">느부갓네살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고레스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다리오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아하수에로</t>
    </r>
  </si>
  <si>
    <r>
      <rPr>
        <sz val="10"/>
        <color rgb="FF000000"/>
        <rFont val="WenQuanYi Zen Hei"/>
        <family val="2"/>
      </rPr>
      <t xml:space="preserve">네부카드네자르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키루스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다리우스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크세르크세스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</si>
</sst>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WenQuanYi Zen Hei"/>
      <family val="2"/>
    </font>
    <font>
      <b val="true"/>
      <sz val="16"/>
      <color rgb="FF1F3864"/>
      <name val="Arial"/>
      <family val="0"/>
      <charset val="1"/>
    </font>
    <font>
      <sz val="10"/>
      <color rgb="FF595959"/>
      <name val="WenQuanYi Zen Hei"/>
      <family val="2"/>
    </font>
    <font>
      <sz val="10"/>
      <color rgb="FF595959"/>
      <name val="Arial"/>
      <family val="0"/>
      <charset val="1"/>
    </font>
    <font>
      <b val="true"/>
      <sz val="12"/>
      <color rgb="FFFFFFFF"/>
      <name val="WenQuanYi Zen Hei"/>
      <family val="2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WenQuanYi Zen Hei"/>
      <family val="2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WenQuanYi Zen Hei"/>
      <family val="2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sz val="10"/>
      <color rgb="FF000000"/>
      <name val="WenQuanYi Zen Hei"/>
      <family val="2"/>
    </font>
    <font>
      <sz val="10"/>
      <color rgb="FF000000"/>
      <name val="Arial"/>
      <family val="0"/>
      <charset val="1"/>
    </font>
    <font>
      <sz val="9"/>
      <color rgb="FFC00000"/>
      <name val="WenQuanYi Zen Hei"/>
      <family val="2"/>
    </font>
    <font>
      <sz val="9"/>
      <color rgb="FFC00000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sz val="10"/>
      <color rgb="FFC00000"/>
      <name val="WenQuanYi Zen Hei"/>
      <family val="2"/>
    </font>
    <font>
      <sz val="10"/>
      <color rgb="FFC00000"/>
      <name val="Arial"/>
      <family val="0"/>
      <charset val="1"/>
    </font>
    <font>
      <sz val="10"/>
      <color rgb="FF1F3864"/>
      <name val="WenQuanYi Zen Hei"/>
      <family val="2"/>
    </font>
    <font>
      <sz val="10"/>
      <color rgb="FF1F3864"/>
      <name val="Arial"/>
      <family val="0"/>
      <charset val="1"/>
    </font>
    <font>
      <sz val="10"/>
      <name val="Arial"/>
      <family val="2"/>
    </font>
    <font>
      <sz val="10"/>
      <name val="WenQuanYi Zen Hei"/>
      <family val="2"/>
    </font>
    <font>
      <b val="true"/>
      <sz val="11"/>
      <color rgb="FFC00000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66"/>
  </cols>
  <sheetData>
    <row r="1" customFormat="false" ht="20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6.4" hidden="false" customHeight="false" outlineLevel="0" collapsed="false">
      <c r="A4" s="3" t="s">
        <v>2</v>
      </c>
      <c r="B4" s="4"/>
      <c r="C4" s="4"/>
      <c r="D4" s="4"/>
    </row>
    <row r="5" customFormat="false" ht="15" hidden="false" customHeight="false" outlineLevel="0" collapsed="false">
      <c r="A5" s="5" t="s">
        <v>3</v>
      </c>
      <c r="C5" s="6" t="s">
        <v>4</v>
      </c>
      <c r="D5" s="7" t="s">
        <v>5</v>
      </c>
    </row>
    <row r="6" customFormat="false" ht="15" hidden="false" customHeight="false" outlineLevel="0" collapsed="false">
      <c r="A6" s="5" t="s">
        <v>6</v>
      </c>
      <c r="C6" s="6" t="n">
        <v>60</v>
      </c>
      <c r="D6" s="8" t="s">
        <v>7</v>
      </c>
    </row>
    <row r="7" customFormat="false" ht="15" hidden="false" customHeight="false" outlineLevel="0" collapsed="false">
      <c r="A7" s="5" t="s">
        <v>8</v>
      </c>
      <c r="C7" s="6" t="n">
        <v>52</v>
      </c>
      <c r="D7" s="7" t="s">
        <v>9</v>
      </c>
    </row>
    <row r="8" customFormat="false" ht="15" hidden="false" customHeight="false" outlineLevel="0" collapsed="false">
      <c r="A8" s="5" t="s">
        <v>10</v>
      </c>
      <c r="C8" s="6" t="n">
        <v>120</v>
      </c>
      <c r="D8" s="7" t="s">
        <v>11</v>
      </c>
    </row>
    <row r="9" customFormat="false" ht="15" hidden="false" customHeight="false" outlineLevel="0" collapsed="false">
      <c r="A9" s="5" t="s">
        <v>12</v>
      </c>
      <c r="C9" s="9" t="n">
        <v>46391</v>
      </c>
      <c r="D9" s="7" t="s">
        <v>13</v>
      </c>
    </row>
    <row r="10" customFormat="false" ht="15" hidden="false" customHeight="false" outlineLevel="0" collapsed="false">
      <c r="A10" s="5" t="s">
        <v>14</v>
      </c>
      <c r="C10" s="9" t="n">
        <f aca="false">안내!$C$9+7*(ROUNDUP(MAX(COUNTIFS(A타입_제작표!$C$2:$C$799,1,A타입_제작표!$D$2:$D$799,"구약")/7,COUNTIFS(A타입_제작표!$C$2:$C$799,1,A타입_제작표!$D$2:$D$799,"신약")/4),0)+1)</f>
        <v>46580</v>
      </c>
      <c r="D10" s="7" t="s">
        <v>15</v>
      </c>
    </row>
    <row r="11" customFormat="false" ht="15" hidden="false" customHeight="false" outlineLevel="0" collapsed="false">
      <c r="A11" s="5" t="s">
        <v>16</v>
      </c>
      <c r="C11" s="6" t="n">
        <v>182</v>
      </c>
      <c r="D11" s="8" t="s">
        <v>17</v>
      </c>
    </row>
    <row r="12" customFormat="false" ht="15" hidden="false" customHeight="false" outlineLevel="0" collapsed="false">
      <c r="A12" s="5" t="s">
        <v>18</v>
      </c>
      <c r="C12" s="6" t="n">
        <v>104</v>
      </c>
      <c r="D12" s="8" t="s">
        <v>19</v>
      </c>
    </row>
    <row r="14" customFormat="false" ht="15" hidden="false" customHeight="false" outlineLevel="0" collapsed="false">
      <c r="A14" s="3" t="s">
        <v>20</v>
      </c>
      <c r="B14" s="4"/>
      <c r="C14" s="4"/>
      <c r="D14" s="4"/>
    </row>
    <row r="15" customFormat="false" ht="30" hidden="false" customHeight="true" outlineLevel="0" collapsed="false">
      <c r="A15" s="5" t="s">
        <v>21</v>
      </c>
      <c r="B15" s="10" t="s">
        <v>22</v>
      </c>
      <c r="C15" s="10"/>
      <c r="D15" s="10"/>
    </row>
    <row r="16" customFormat="false" ht="30" hidden="false" customHeight="true" outlineLevel="0" collapsed="false">
      <c r="A16" s="5" t="s">
        <v>23</v>
      </c>
      <c r="B16" s="10" t="s">
        <v>24</v>
      </c>
      <c r="C16" s="10"/>
      <c r="D16" s="10"/>
    </row>
    <row r="17" customFormat="false" ht="30" hidden="false" customHeight="true" outlineLevel="0" collapsed="false">
      <c r="A17" s="5" t="s">
        <v>25</v>
      </c>
      <c r="B17" s="10" t="s">
        <v>26</v>
      </c>
      <c r="C17" s="10"/>
      <c r="D17" s="10"/>
    </row>
    <row r="18" customFormat="false" ht="30" hidden="false" customHeight="true" outlineLevel="0" collapsed="false">
      <c r="A18" s="5" t="s">
        <v>27</v>
      </c>
      <c r="B18" s="10" t="s">
        <v>28</v>
      </c>
      <c r="C18" s="10"/>
      <c r="D18" s="10"/>
    </row>
    <row r="19" customFormat="false" ht="30" hidden="false" customHeight="true" outlineLevel="0" collapsed="false">
      <c r="A19" s="5" t="s">
        <v>29</v>
      </c>
      <c r="B19" s="10" t="s">
        <v>30</v>
      </c>
      <c r="C19" s="10"/>
      <c r="D19" s="10"/>
    </row>
    <row r="20" customFormat="false" ht="30" hidden="false" customHeight="true" outlineLevel="0" collapsed="false">
      <c r="A20" s="5" t="s">
        <v>31</v>
      </c>
      <c r="B20" s="10" t="s">
        <v>32</v>
      </c>
      <c r="C20" s="10"/>
      <c r="D20" s="10"/>
    </row>
    <row r="22" customFormat="false" ht="16.4" hidden="false" customHeight="false" outlineLevel="0" collapsed="false">
      <c r="A22" s="3" t="s">
        <v>33</v>
      </c>
      <c r="B22" s="4"/>
      <c r="C22" s="4"/>
      <c r="D22" s="4"/>
    </row>
    <row r="23" customFormat="false" ht="15" hidden="false" customHeight="false" outlineLevel="0" collapsed="false">
      <c r="A23" s="5" t="s">
        <v>34</v>
      </c>
      <c r="C23" s="11" t="n">
        <f aca="false">COUNTA(A타입_제작표!$B$2:$B$799)</f>
        <v>798</v>
      </c>
      <c r="D23" s="7" t="s">
        <v>35</v>
      </c>
    </row>
    <row r="24" customFormat="false" ht="15" hidden="false" customHeight="false" outlineLevel="0" collapsed="false">
      <c r="A24" s="5" t="s">
        <v>36</v>
      </c>
      <c r="C24" s="11" t="str">
        <f aca="false">COUNTIFS(A타입_제작표!$C$2:$C$799,1,A타입_제작표!$D$2:$D$799,"구약")&amp;" / "&amp;COUNTIFS(A타입_제작표!$C$2:$C$799,1,A타입_제작표!$D$2:$D$799,"신약")</f>
        <v>182 / 104</v>
      </c>
      <c r="D24" s="7" t="s">
        <v>35</v>
      </c>
    </row>
    <row r="25" customFormat="false" ht="15" hidden="false" customHeight="false" outlineLevel="0" collapsed="false">
      <c r="A25" s="5" t="s">
        <v>37</v>
      </c>
      <c r="C25" s="11" t="str">
        <f aca="false">COUNTIFS(A타입_제작표!$C$2:$C$799,2,A타입_제작표!$D$2:$D$799,"구약")&amp;" / "&amp;COUNTIFS(A타입_제작표!$C$2:$C$799,2,A타입_제작표!$D$2:$D$799,"신약")</f>
        <v>339 / 173</v>
      </c>
      <c r="D25" s="7" t="s">
        <v>35</v>
      </c>
    </row>
    <row r="26" customFormat="false" ht="15" hidden="false" customHeight="false" outlineLevel="0" collapsed="false">
      <c r="A26" s="5" t="s">
        <v>38</v>
      </c>
      <c r="C26" s="12" t="n">
        <f aca="false">_xlfn.MAXIFS(A타입_제작표!$U$2:$U$799,A타입_제작표!$C$2:$C$799,1)</f>
        <v>46572</v>
      </c>
      <c r="D26" s="7"/>
    </row>
    <row r="27" customFormat="false" ht="15" hidden="false" customHeight="false" outlineLevel="0" collapsed="false">
      <c r="A27" s="5" t="s">
        <v>39</v>
      </c>
      <c r="C27" s="12" t="n">
        <f aca="false">_xlfn.MAXIFS(A타입_제작표!$U$2:$U$799,A타입_제작표!$C$2:$C$799,2)</f>
        <v>46918</v>
      </c>
      <c r="D27" s="7"/>
    </row>
    <row r="28" customFormat="false" ht="15" hidden="false" customHeight="false" outlineLevel="0" collapsed="false">
      <c r="A28" s="5" t="s">
        <v>40</v>
      </c>
      <c r="C28" s="11" t="n">
        <f aca="false">ROUND((C26-안내!$C$9+1)/7,1)</f>
        <v>26</v>
      </c>
      <c r="D28" s="7" t="s">
        <v>41</v>
      </c>
    </row>
    <row r="29" customFormat="false" ht="15" hidden="false" customHeight="false" outlineLevel="0" collapsed="false">
      <c r="A29" s="5" t="s">
        <v>42</v>
      </c>
      <c r="C29" s="11" t="n">
        <f aca="false">ROUND((C27-안내!$C$9+1)/7,1)</f>
        <v>75.4</v>
      </c>
      <c r="D29" s="7" t="s">
        <v>43</v>
      </c>
    </row>
    <row r="30" customFormat="false" ht="15" hidden="false" customHeight="false" outlineLevel="0" collapsed="false">
      <c r="A30" s="5" t="s">
        <v>44</v>
      </c>
      <c r="C30" s="11" t="n">
        <f aca="false">COUNTA(롱폼_시즌별!$B$2:$B$86)</f>
        <v>85</v>
      </c>
      <c r="D30" s="7" t="s">
        <v>35</v>
      </c>
    </row>
    <row r="31" customFormat="false" ht="15" hidden="false" customHeight="false" outlineLevel="0" collapsed="false">
      <c r="A31" s="5" t="s">
        <v>45</v>
      </c>
      <c r="C31" s="11" t="n">
        <f aca="false">COUNTA(롱폼_통합본!$B$2:$B$85)</f>
        <v>84</v>
      </c>
      <c r="D31" s="7" t="s">
        <v>35</v>
      </c>
    </row>
    <row r="32" customFormat="false" ht="15" hidden="false" customHeight="false" outlineLevel="0" collapsed="false">
      <c r="A32" s="5" t="s">
        <v>46</v>
      </c>
      <c r="C32" s="11" t="n">
        <f aca="false">ROUND(C23*안내!$C$6/3600,1)</f>
        <v>13.3</v>
      </c>
      <c r="D32" s="7" t="s">
        <v>47</v>
      </c>
    </row>
    <row r="34" customFormat="false" ht="15" hidden="false" customHeight="false" outlineLevel="0" collapsed="false">
      <c r="A34" s="3" t="s">
        <v>48</v>
      </c>
      <c r="B34" s="4"/>
      <c r="C34" s="4"/>
      <c r="D34" s="4"/>
    </row>
    <row r="35" customFormat="false" ht="30" hidden="false" customHeight="true" outlineLevel="0" collapsed="false">
      <c r="A35" s="13" t="s">
        <v>49</v>
      </c>
      <c r="B35" s="14" t="s">
        <v>50</v>
      </c>
      <c r="C35" s="14"/>
      <c r="D35" s="14"/>
    </row>
    <row r="36" customFormat="false" ht="30" hidden="false" customHeight="true" outlineLevel="0" collapsed="false">
      <c r="A36" s="5" t="s">
        <v>31</v>
      </c>
      <c r="B36" s="14" t="s">
        <v>51</v>
      </c>
      <c r="C36" s="14"/>
      <c r="D36" s="14"/>
    </row>
    <row r="37" customFormat="false" ht="30" hidden="false" customHeight="true" outlineLevel="0" collapsed="false">
      <c r="A37" s="5" t="s">
        <v>52</v>
      </c>
      <c r="B37" s="14" t="s">
        <v>53</v>
      </c>
      <c r="C37" s="14"/>
      <c r="D37" s="14"/>
    </row>
    <row r="38" customFormat="false" ht="30" hidden="false" customHeight="true" outlineLevel="0" collapsed="false">
      <c r="A38" s="5" t="s">
        <v>54</v>
      </c>
      <c r="B38" s="10" t="s">
        <v>55</v>
      </c>
      <c r="C38" s="10"/>
      <c r="D38" s="10"/>
    </row>
    <row r="39" customFormat="false" ht="30" hidden="false" customHeight="true" outlineLevel="0" collapsed="false">
      <c r="A39" s="5" t="s">
        <v>56</v>
      </c>
      <c r="B39" s="10" t="s">
        <v>57</v>
      </c>
      <c r="C39" s="10"/>
      <c r="D39" s="10"/>
    </row>
    <row r="40" customFormat="false" ht="30" hidden="false" customHeight="true" outlineLevel="0" collapsed="false">
      <c r="A40" s="5" t="s">
        <v>58</v>
      </c>
      <c r="B40" s="10" t="s">
        <v>59</v>
      </c>
      <c r="C40" s="10"/>
      <c r="D40" s="10"/>
    </row>
    <row r="41" customFormat="false" ht="60" hidden="false" customHeight="true" outlineLevel="0" collapsed="false">
      <c r="A41" s="5" t="s">
        <v>60</v>
      </c>
      <c r="B41" s="10" t="s">
        <v>61</v>
      </c>
      <c r="C41" s="10"/>
      <c r="D41" s="10"/>
    </row>
    <row r="43" customFormat="false" ht="15" hidden="false" customHeight="false" outlineLevel="0" collapsed="false">
      <c r="A43" s="3" t="s">
        <v>62</v>
      </c>
      <c r="B43" s="4"/>
      <c r="C43" s="4"/>
      <c r="D43" s="4"/>
    </row>
    <row r="44" customFormat="false" ht="26.85" hidden="false" customHeight="true" outlineLevel="0" collapsed="false">
      <c r="A44" s="13" t="s">
        <v>63</v>
      </c>
      <c r="B44" s="10" t="s">
        <v>64</v>
      </c>
      <c r="C44" s="10"/>
      <c r="D44" s="10"/>
    </row>
    <row r="45" customFormat="false" ht="15" hidden="false" customHeight="true" outlineLevel="0" collapsed="false">
      <c r="A45" s="5" t="s">
        <v>65</v>
      </c>
      <c r="B45" s="10" t="s">
        <v>66</v>
      </c>
      <c r="C45" s="10"/>
      <c r="D45" s="10"/>
    </row>
    <row r="46" customFormat="false" ht="15" hidden="false" customHeight="true" outlineLevel="0" collapsed="false">
      <c r="A46" s="5" t="s">
        <v>67</v>
      </c>
      <c r="B46" s="10" t="s">
        <v>68</v>
      </c>
      <c r="C46" s="10"/>
      <c r="D46" s="10"/>
    </row>
    <row r="47" customFormat="false" ht="15" hidden="false" customHeight="true" outlineLevel="0" collapsed="false">
      <c r="A47" s="5" t="s">
        <v>69</v>
      </c>
      <c r="B47" s="10" t="s">
        <v>70</v>
      </c>
      <c r="C47" s="10"/>
      <c r="D47" s="10"/>
    </row>
    <row r="48" customFormat="false" ht="15" hidden="false" customHeight="true" outlineLevel="0" collapsed="false">
      <c r="A48" s="5" t="s">
        <v>71</v>
      </c>
      <c r="B48" s="14" t="s">
        <v>72</v>
      </c>
      <c r="C48" s="14"/>
      <c r="D48" s="14"/>
    </row>
    <row r="49" customFormat="false" ht="15" hidden="false" customHeight="true" outlineLevel="0" collapsed="false">
      <c r="A49" s="5" t="s">
        <v>73</v>
      </c>
      <c r="B49" s="10" t="s">
        <v>74</v>
      </c>
      <c r="C49" s="10"/>
      <c r="D49" s="10"/>
    </row>
    <row r="50" customFormat="false" ht="15" hidden="false" customHeight="true" outlineLevel="0" collapsed="false">
      <c r="A50" s="5" t="s">
        <v>75</v>
      </c>
      <c r="B50" s="10" t="s">
        <v>76</v>
      </c>
      <c r="C50" s="10"/>
      <c r="D50" s="10"/>
    </row>
    <row r="51" customFormat="false" ht="15" hidden="false" customHeight="true" outlineLevel="0" collapsed="false">
      <c r="A51" s="5" t="s">
        <v>77</v>
      </c>
      <c r="B51" s="14" t="s">
        <v>78</v>
      </c>
      <c r="C51" s="14"/>
      <c r="D51" s="14"/>
    </row>
    <row r="52" customFormat="false" ht="15" hidden="false" customHeight="true" outlineLevel="0" collapsed="false">
      <c r="A52" s="5" t="s">
        <v>79</v>
      </c>
      <c r="B52" s="10" t="s">
        <v>80</v>
      </c>
      <c r="C52" s="10"/>
      <c r="D52" s="10"/>
    </row>
    <row r="53" customFormat="false" ht="15" hidden="false" customHeight="true" outlineLevel="0" collapsed="false">
      <c r="A53" s="5" t="s">
        <v>81</v>
      </c>
      <c r="B53" s="10" t="s">
        <v>82</v>
      </c>
      <c r="C53" s="10"/>
      <c r="D53" s="10"/>
    </row>
    <row r="55" customFormat="false" ht="15" hidden="false" customHeight="false" outlineLevel="0" collapsed="false">
      <c r="A55" s="15" t="s">
        <v>83</v>
      </c>
    </row>
    <row r="56" customFormat="false" ht="15" hidden="false" customHeight="false" outlineLevel="0" collapsed="false">
      <c r="A56" s="7" t="s">
        <v>84</v>
      </c>
    </row>
  </sheetData>
  <mergeCells count="23">
    <mergeCell ref="B15:D15"/>
    <mergeCell ref="B16:D16"/>
    <mergeCell ref="B17:D17"/>
    <mergeCell ref="B18:D18"/>
    <mergeCell ref="B19:D19"/>
    <mergeCell ref="B20:D20"/>
    <mergeCell ref="B35:D35"/>
    <mergeCell ref="B36:D36"/>
    <mergeCell ref="B37:D37"/>
    <mergeCell ref="B38:D38"/>
    <mergeCell ref="B39:D39"/>
    <mergeCell ref="B40:D40"/>
    <mergeCell ref="B41:D41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2" ySplit="1" topLeftCell="M2" activePane="bottomRight" state="frozen"/>
      <selection pane="topLeft" activeCell="A1" activeCellId="0" sqref="A1"/>
      <selection pane="topRight" activeCell="M1" activeCellId="0" sqref="M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5"/>
    <col collapsed="false" customWidth="true" hidden="false" outlineLevel="0" max="4" min="4" style="0" width="6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7" min="7" style="0" width="7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6"/>
    <col collapsed="false" customWidth="true" hidden="false" outlineLevel="0" max="12" min="12" style="0" width="20"/>
    <col collapsed="false" customWidth="true" hidden="false" outlineLevel="0" max="13" min="13" style="0" width="30"/>
    <col collapsed="false" customWidth="true" hidden="false" outlineLevel="0" max="14" min="14" style="0" width="12"/>
    <col collapsed="false" customWidth="true" hidden="false" outlineLevel="0" max="15" min="15" style="0" width="32"/>
    <col collapsed="false" customWidth="true" hidden="false" outlineLevel="0" max="17" min="16" style="0" width="22"/>
    <col collapsed="false" customWidth="true" hidden="false" outlineLevel="0" max="18" min="18" style="0" width="34"/>
    <col collapsed="false" customWidth="true" hidden="false" outlineLevel="0" max="20" min="19" style="0" width="40"/>
    <col collapsed="false" customWidth="true" hidden="false" outlineLevel="0" max="21" min="21" style="0" width="11"/>
    <col collapsed="false" customWidth="true" hidden="false" outlineLevel="0" max="22" min="22" style="0" width="5"/>
    <col collapsed="false" customWidth="true" hidden="false" outlineLevel="0" max="23" min="23" style="0" width="24"/>
    <col collapsed="false" customWidth="true" hidden="false" outlineLevel="0" max="27" min="24" style="0" width="8"/>
    <col collapsed="false" customWidth="true" hidden="false" outlineLevel="0" max="28" min="28" style="0" width="16"/>
    <col collapsed="false" customWidth="true" hidden="false" outlineLevel="0" max="29" min="29" style="0" width="9"/>
    <col collapsed="false" customWidth="true" hidden="false" outlineLevel="0" max="30" min="30" style="0" width="7"/>
  </cols>
  <sheetData>
    <row r="1" customFormat="false" ht="30" hidden="false" customHeight="true" outlineLevel="0" collapsed="false">
      <c r="A1" s="16" t="s">
        <v>85</v>
      </c>
      <c r="B1" s="17" t="s">
        <v>86</v>
      </c>
      <c r="C1" s="16" t="s">
        <v>87</v>
      </c>
      <c r="D1" s="16" t="s">
        <v>88</v>
      </c>
      <c r="E1" s="16" t="s">
        <v>89</v>
      </c>
      <c r="F1" s="16" t="s">
        <v>90</v>
      </c>
      <c r="G1" s="16" t="s">
        <v>91</v>
      </c>
      <c r="H1" s="16" t="s">
        <v>92</v>
      </c>
      <c r="I1" s="16" t="s">
        <v>93</v>
      </c>
      <c r="J1" s="16" t="s">
        <v>94</v>
      </c>
      <c r="K1" s="16" t="s">
        <v>95</v>
      </c>
      <c r="L1" s="16" t="s">
        <v>96</v>
      </c>
      <c r="M1" s="16" t="s">
        <v>97</v>
      </c>
      <c r="N1" s="16" t="s">
        <v>98</v>
      </c>
      <c r="O1" s="16" t="s">
        <v>99</v>
      </c>
      <c r="P1" s="16" t="s">
        <v>100</v>
      </c>
      <c r="Q1" s="16" t="s">
        <v>101</v>
      </c>
      <c r="R1" s="16" t="s">
        <v>102</v>
      </c>
      <c r="S1" s="16" t="s">
        <v>103</v>
      </c>
      <c r="T1" s="16" t="s">
        <v>104</v>
      </c>
      <c r="U1" s="16" t="s">
        <v>105</v>
      </c>
      <c r="V1" s="16" t="s">
        <v>106</v>
      </c>
      <c r="W1" s="16" t="s">
        <v>107</v>
      </c>
      <c r="X1" s="16" t="s">
        <v>108</v>
      </c>
      <c r="Y1" s="16" t="s">
        <v>109</v>
      </c>
      <c r="Z1" s="16" t="s">
        <v>110</v>
      </c>
      <c r="AA1" s="16" t="s">
        <v>111</v>
      </c>
      <c r="AB1" s="16" t="s">
        <v>112</v>
      </c>
      <c r="AC1" s="16" t="s">
        <v>113</v>
      </c>
      <c r="AD1" s="16" t="s">
        <v>114</v>
      </c>
    </row>
    <row r="2" customFormat="false" ht="26.85" hidden="false" customHeight="false" outlineLevel="0" collapsed="false">
      <c r="A2" s="18" t="n">
        <v>1</v>
      </c>
      <c r="B2" s="18" t="s">
        <v>115</v>
      </c>
      <c r="C2" s="19" t="n">
        <v>1</v>
      </c>
      <c r="D2" s="20" t="s">
        <v>116</v>
      </c>
      <c r="E2" s="20" t="n">
        <f aca="false">IF(C2=1,COUNTIFS($C$2:C2,1,$D$2:D2,D2),COUNTIFS($C$2:$C$799,1,$D$2:$D$799,D2)+COUNTIFS($C$2:C2,2,$D$2:D2,D2))</f>
        <v>1</v>
      </c>
      <c r="F2" s="20" t="str">
        <f aca="false">D2&amp;" #"&amp;TEXT(E2,"000")</f>
        <v>구약 #001</v>
      </c>
      <c r="G2" s="18" t="s">
        <v>117</v>
      </c>
      <c r="H2" s="18" t="s">
        <v>118</v>
      </c>
      <c r="I2" s="21" t="s">
        <v>119</v>
      </c>
      <c r="J2" s="22" t="s">
        <v>120</v>
      </c>
      <c r="K2" s="23" t="s">
        <v>121</v>
      </c>
      <c r="L2" s="24" t="s">
        <v>122</v>
      </c>
      <c r="M2" s="24" t="s">
        <v>123</v>
      </c>
      <c r="N2" s="23" t="s">
        <v>124</v>
      </c>
      <c r="O2" s="24" t="s">
        <v>125</v>
      </c>
      <c r="P2" s="24" t="s">
        <v>126</v>
      </c>
      <c r="Q2" s="24" t="s">
        <v>127</v>
      </c>
      <c r="R2" s="25" t="s">
        <v>128</v>
      </c>
      <c r="S2" s="24" t="s">
        <v>129</v>
      </c>
      <c r="T2" s="24" t="str">
        <f aca="false">"["&amp;안내!$C$5&amp;" "&amp;F2&amp;"] "&amp;L2&amp;" | "&amp;J2</f>
        <v>[1분 성경 구약 #001] 태초에 | 창 1:1-5</v>
      </c>
      <c r="U2" s="26" t="n">
        <f aca="false">IF(D2="구약",IF(C2=1,안내!$C$9,안내!$C$10)+AD2-1,IF(C2=1,안내!$C$9,안내!$C$10)+7*INT((AD2-1)/4)+CHOOSE(MOD(AD2-1,4)+1,0,2,4,5))</f>
        <v>46391</v>
      </c>
      <c r="V2" s="23" t="str">
        <f aca="false">CHOOSE(WEEKDAY(U2,2),"월","화","수","목","금","토","일")</f>
        <v>월</v>
      </c>
      <c r="W2" s="24" t="str">
        <f aca="false">IFERROR(IF(INDEX($C$2:$C$799,MATCH(D2&amp;"#"&amp;(E2+1),$AC$2:$AC$799,0))=C2,"다음 편: ","시즌1 완결 · 시즌2 첫 편: ")&amp;INDEX($L$2:$L$799,MATCH(D2&amp;"#"&amp;(E2+1),$AC$2:$AC$799,0)),"구약 트랙 완결")</f>
        <v>다음 편: 하늘과 바다와 땅</v>
      </c>
      <c r="X2" s="23" t="s">
        <v>130</v>
      </c>
      <c r="Y2" s="23" t="s">
        <v>130</v>
      </c>
      <c r="Z2" s="23" t="s">
        <v>130</v>
      </c>
      <c r="AA2" s="23" t="s">
        <v>130</v>
      </c>
      <c r="AB2" s="24"/>
      <c r="AC2" s="23" t="str">
        <f aca="false">D2&amp;"#"&amp;E2</f>
        <v>구약#1</v>
      </c>
      <c r="AD2" s="23" t="n">
        <f aca="false">COUNTIFS($C$2:C2,C2,$D$2:D2,D2)</f>
        <v>1</v>
      </c>
    </row>
    <row r="3" customFormat="false" ht="26.85" hidden="false" customHeight="false" outlineLevel="0" collapsed="false">
      <c r="A3" s="21" t="n">
        <v>2</v>
      </c>
      <c r="B3" s="18" t="s">
        <v>131</v>
      </c>
      <c r="C3" s="20" t="n">
        <v>1</v>
      </c>
      <c r="D3" s="20" t="s">
        <v>116</v>
      </c>
      <c r="E3" s="20" t="n">
        <f aca="false">IF(C3=1,COUNTIFS($C$2:C3,1,$D$2:D3,D3),COUNTIFS($C$2:$C$799,1,$D$2:$D$799,D3)+COUNTIFS($C$2:C3,2,$D$2:D3,D3))</f>
        <v>2</v>
      </c>
      <c r="F3" s="20" t="str">
        <f aca="false">D3&amp;" #"&amp;TEXT(E3,"000")</f>
        <v>구약 #002</v>
      </c>
      <c r="G3" s="18" t="s">
        <v>117</v>
      </c>
      <c r="H3" s="18" t="s">
        <v>118</v>
      </c>
      <c r="I3" s="21" t="s">
        <v>119</v>
      </c>
      <c r="J3" s="22" t="s">
        <v>132</v>
      </c>
      <c r="K3" s="23" t="s">
        <v>121</v>
      </c>
      <c r="L3" s="24" t="s">
        <v>133</v>
      </c>
      <c r="M3" s="24" t="s">
        <v>134</v>
      </c>
      <c r="N3" s="23" t="s">
        <v>135</v>
      </c>
      <c r="O3" s="24" t="s">
        <v>136</v>
      </c>
      <c r="P3" s="24" t="s">
        <v>137</v>
      </c>
      <c r="Q3" s="24" t="s">
        <v>138</v>
      </c>
      <c r="R3" s="25" t="s">
        <v>139</v>
      </c>
      <c r="S3" s="24" t="s">
        <v>129</v>
      </c>
      <c r="T3" s="24" t="str">
        <f aca="false">"["&amp;안내!$C$5&amp;" "&amp;F3&amp;"] "&amp;L3&amp;" | "&amp;J3</f>
        <v>[1분 성경 구약 #002] 하늘과 바다와 땅 | 창 1:6-13</v>
      </c>
      <c r="U3" s="26" t="n">
        <f aca="false">IF(D3="구약",IF(C3=1,안내!$C$9,안내!$C$10)+AD3-1,IF(C3=1,안내!$C$9,안내!$C$10)+7*INT((AD3-1)/4)+CHOOSE(MOD(AD3-1,4)+1,0,2,4,5))</f>
        <v>46392</v>
      </c>
      <c r="V3" s="23" t="str">
        <f aca="false">CHOOSE(WEEKDAY(U3,2),"월","화","수","목","금","토","일")</f>
        <v>화</v>
      </c>
      <c r="W3" s="24" t="str">
        <f aca="false">IFERROR(IF(INDEX($C$2:$C$799,MATCH(D3&amp;"#"&amp;(E3+1),$AC$2:$AC$799,0))=C3,"다음 편: ","시즌1 완결 · 시즌2 첫 편: ")&amp;INDEX($L$2:$L$799,MATCH(D3&amp;"#"&amp;(E3+1),$AC$2:$AC$799,0)),"구약 트랙 완결")</f>
        <v>다음 편: 해·달·별, 그리고 생명들</v>
      </c>
      <c r="X3" s="23" t="s">
        <v>130</v>
      </c>
      <c r="Y3" s="23" t="s">
        <v>130</v>
      </c>
      <c r="Z3" s="23" t="s">
        <v>130</v>
      </c>
      <c r="AA3" s="23" t="s">
        <v>130</v>
      </c>
      <c r="AB3" s="24"/>
      <c r="AC3" s="23" t="str">
        <f aca="false">D3&amp;"#"&amp;E3</f>
        <v>구약#2</v>
      </c>
      <c r="AD3" s="23" t="n">
        <f aca="false">COUNTIFS($C$2:C3,C3,$D$2:D3,D3)</f>
        <v>2</v>
      </c>
    </row>
    <row r="4" customFormat="false" ht="26.85" hidden="false" customHeight="false" outlineLevel="0" collapsed="false">
      <c r="A4" s="21" t="n">
        <v>3</v>
      </c>
      <c r="B4" s="18" t="s">
        <v>140</v>
      </c>
      <c r="C4" s="20" t="n">
        <v>1</v>
      </c>
      <c r="D4" s="20" t="s">
        <v>116</v>
      </c>
      <c r="E4" s="20" t="n">
        <f aca="false">IF(C4=1,COUNTIFS($C$2:C4,1,$D$2:D4,D4),COUNTIFS($C$2:$C$799,1,$D$2:$D$799,D4)+COUNTIFS($C$2:C4,2,$D$2:D4,D4))</f>
        <v>3</v>
      </c>
      <c r="F4" s="20" t="str">
        <f aca="false">D4&amp;" #"&amp;TEXT(E4,"000")</f>
        <v>구약 #003</v>
      </c>
      <c r="G4" s="18" t="s">
        <v>117</v>
      </c>
      <c r="H4" s="18" t="s">
        <v>118</v>
      </c>
      <c r="I4" s="21" t="s">
        <v>119</v>
      </c>
      <c r="J4" s="22" t="s">
        <v>141</v>
      </c>
      <c r="K4" s="23" t="s">
        <v>121</v>
      </c>
      <c r="L4" s="24" t="s">
        <v>142</v>
      </c>
      <c r="M4" s="24" t="s">
        <v>143</v>
      </c>
      <c r="N4" s="23" t="s">
        <v>144</v>
      </c>
      <c r="O4" s="24" t="s">
        <v>145</v>
      </c>
      <c r="P4" s="24" t="s">
        <v>137</v>
      </c>
      <c r="Q4" s="24" t="s">
        <v>146</v>
      </c>
      <c r="R4" s="24"/>
      <c r="S4" s="24" t="s">
        <v>129</v>
      </c>
      <c r="T4" s="24" t="str">
        <f aca="false">"["&amp;안내!$C$5&amp;" "&amp;F4&amp;"] "&amp;L4&amp;" | "&amp;J4</f>
        <v>[1분 성경 구약 #003] 해·달·별, 그리고 생명들 | 창 1:14-25</v>
      </c>
      <c r="U4" s="26" t="n">
        <f aca="false">IF(D4="구약",IF(C4=1,안내!$C$9,안내!$C$10)+AD4-1,IF(C4=1,안내!$C$9,안내!$C$10)+7*INT((AD4-1)/4)+CHOOSE(MOD(AD4-1,4)+1,0,2,4,5))</f>
        <v>46393</v>
      </c>
      <c r="V4" s="23" t="str">
        <f aca="false">CHOOSE(WEEKDAY(U4,2),"월","화","수","목","금","토","일")</f>
        <v>수</v>
      </c>
      <c r="W4" s="24" t="str">
        <f aca="false">IFERROR(IF(INDEX($C$2:$C$799,MATCH(D4&amp;"#"&amp;(E4+1),$AC$2:$AC$799,0))=C4,"다음 편: ","시즌1 완결 · 시즌2 첫 편: ")&amp;INDEX($L$2:$L$799,MATCH(D4&amp;"#"&amp;(E4+1),$AC$2:$AC$799,0)),"구약 트랙 완결")</f>
        <v>다음 편: 하나님의 형상, 사람</v>
      </c>
      <c r="X4" s="23" t="s">
        <v>130</v>
      </c>
      <c r="Y4" s="23" t="s">
        <v>130</v>
      </c>
      <c r="Z4" s="23" t="s">
        <v>130</v>
      </c>
      <c r="AA4" s="23" t="s">
        <v>130</v>
      </c>
      <c r="AB4" s="24"/>
      <c r="AC4" s="23" t="str">
        <f aca="false">D4&amp;"#"&amp;E4</f>
        <v>구약#3</v>
      </c>
      <c r="AD4" s="23" t="n">
        <f aca="false">COUNTIFS($C$2:C4,C4,$D$2:D4,D4)</f>
        <v>3</v>
      </c>
    </row>
    <row r="5" customFormat="false" ht="26.85" hidden="false" customHeight="false" outlineLevel="0" collapsed="false">
      <c r="A5" s="21" t="n">
        <v>4</v>
      </c>
      <c r="B5" s="18" t="s">
        <v>147</v>
      </c>
      <c r="C5" s="20" t="n">
        <v>1</v>
      </c>
      <c r="D5" s="20" t="s">
        <v>116</v>
      </c>
      <c r="E5" s="20" t="n">
        <f aca="false">IF(C5=1,COUNTIFS($C$2:C5,1,$D$2:D5,D5),COUNTIFS($C$2:$C$799,1,$D$2:$D$799,D5)+COUNTIFS($C$2:C5,2,$D$2:D5,D5))</f>
        <v>4</v>
      </c>
      <c r="F5" s="20" t="str">
        <f aca="false">D5&amp;" #"&amp;TEXT(E5,"000")</f>
        <v>구약 #004</v>
      </c>
      <c r="G5" s="18" t="s">
        <v>117</v>
      </c>
      <c r="H5" s="18" t="s">
        <v>118</v>
      </c>
      <c r="I5" s="21" t="s">
        <v>119</v>
      </c>
      <c r="J5" s="22" t="s">
        <v>148</v>
      </c>
      <c r="K5" s="23" t="s">
        <v>121</v>
      </c>
      <c r="L5" s="24" t="s">
        <v>149</v>
      </c>
      <c r="M5" s="24" t="s">
        <v>150</v>
      </c>
      <c r="N5" s="23" t="s">
        <v>151</v>
      </c>
      <c r="O5" s="24" t="s">
        <v>152</v>
      </c>
      <c r="P5" s="24" t="s">
        <v>153</v>
      </c>
      <c r="Q5" s="24" t="s">
        <v>154</v>
      </c>
      <c r="R5" s="25" t="s">
        <v>155</v>
      </c>
      <c r="S5" s="24" t="s">
        <v>129</v>
      </c>
      <c r="T5" s="24" t="str">
        <f aca="false">"["&amp;안내!$C$5&amp;" "&amp;F5&amp;"] "&amp;L5&amp;" | "&amp;J5</f>
        <v>[1분 성경 구약 #004] 하나님의 형상, 사람 | 창 1:26-2:3</v>
      </c>
      <c r="U5" s="26" t="n">
        <f aca="false">IF(D5="구약",IF(C5=1,안내!$C$9,안내!$C$10)+AD5-1,IF(C5=1,안내!$C$9,안내!$C$10)+7*INT((AD5-1)/4)+CHOOSE(MOD(AD5-1,4)+1,0,2,4,5))</f>
        <v>46394</v>
      </c>
      <c r="V5" s="23" t="str">
        <f aca="false">CHOOSE(WEEKDAY(U5,2),"월","화","수","목","금","토","일")</f>
        <v>목</v>
      </c>
      <c r="W5" s="24" t="str">
        <f aca="false">IFERROR(IF(INDEX($C$2:$C$799,MATCH(D5&amp;"#"&amp;(E5+1),$AC$2:$AC$799,0))=C5,"다음 편: ","시즌1 완결 · 시즌2 첫 편: ")&amp;INDEX($L$2:$L$799,MATCH(D5&amp;"#"&amp;(E5+1),$AC$2:$AC$799,0)),"구약 트랙 완결")</f>
        <v>다음 편: 에덴동산과 한 가지 명령</v>
      </c>
      <c r="X5" s="23" t="s">
        <v>130</v>
      </c>
      <c r="Y5" s="23" t="s">
        <v>130</v>
      </c>
      <c r="Z5" s="23" t="s">
        <v>130</v>
      </c>
      <c r="AA5" s="23" t="s">
        <v>130</v>
      </c>
      <c r="AB5" s="24"/>
      <c r="AC5" s="23" t="str">
        <f aca="false">D5&amp;"#"&amp;E5</f>
        <v>구약#4</v>
      </c>
      <c r="AD5" s="23" t="n">
        <f aca="false">COUNTIFS($C$2:C5,C5,$D$2:D5,D5)</f>
        <v>4</v>
      </c>
    </row>
    <row r="6" customFormat="false" ht="26.85" hidden="false" customHeight="false" outlineLevel="0" collapsed="false">
      <c r="A6" s="21" t="n">
        <v>5</v>
      </c>
      <c r="B6" s="18" t="s">
        <v>156</v>
      </c>
      <c r="C6" s="20" t="n">
        <v>1</v>
      </c>
      <c r="D6" s="20" t="s">
        <v>116</v>
      </c>
      <c r="E6" s="20" t="n">
        <f aca="false">IF(C6=1,COUNTIFS($C$2:C6,1,$D$2:D6,D6),COUNTIFS($C$2:$C$799,1,$D$2:$D$799,D6)+COUNTIFS($C$2:C6,2,$D$2:D6,D6))</f>
        <v>5</v>
      </c>
      <c r="F6" s="20" t="str">
        <f aca="false">D6&amp;" #"&amp;TEXT(E6,"000")</f>
        <v>구약 #005</v>
      </c>
      <c r="G6" s="18" t="s">
        <v>117</v>
      </c>
      <c r="H6" s="18" t="s">
        <v>118</v>
      </c>
      <c r="I6" s="21" t="s">
        <v>119</v>
      </c>
      <c r="J6" s="22" t="s">
        <v>157</v>
      </c>
      <c r="K6" s="23" t="s">
        <v>121</v>
      </c>
      <c r="L6" s="24" t="s">
        <v>158</v>
      </c>
      <c r="M6" s="24" t="s">
        <v>159</v>
      </c>
      <c r="N6" s="23" t="s">
        <v>160</v>
      </c>
      <c r="O6" s="24" t="s">
        <v>161</v>
      </c>
      <c r="P6" s="24" t="s">
        <v>162</v>
      </c>
      <c r="Q6" s="24" t="s">
        <v>163</v>
      </c>
      <c r="R6" s="25" t="s">
        <v>164</v>
      </c>
      <c r="S6" s="24" t="s">
        <v>129</v>
      </c>
      <c r="T6" s="24" t="str">
        <f aca="false">"["&amp;안내!$C$5&amp;" "&amp;F6&amp;"] "&amp;L6&amp;" | "&amp;J6</f>
        <v>[1분 성경 구약 #005] 에덴동산과 한 가지 명령 | 창 2:4-17</v>
      </c>
      <c r="U6" s="26" t="n">
        <f aca="false">IF(D6="구약",IF(C6=1,안내!$C$9,안내!$C$10)+AD6-1,IF(C6=1,안내!$C$9,안내!$C$10)+7*INT((AD6-1)/4)+CHOOSE(MOD(AD6-1,4)+1,0,2,4,5))</f>
        <v>46395</v>
      </c>
      <c r="V6" s="23" t="str">
        <f aca="false">CHOOSE(WEEKDAY(U6,2),"월","화","수","목","금","토","일")</f>
        <v>금</v>
      </c>
      <c r="W6" s="24" t="str">
        <f aca="false">IFERROR(IF(INDEX($C$2:$C$799,MATCH(D6&amp;"#"&amp;(E6+1),$AC$2:$AC$799,0))=C6,"다음 편: ","시즌1 완결 · 시즌2 첫 편: ")&amp;INDEX($L$2:$L$799,MATCH(D6&amp;"#"&amp;(E6+1),$AC$2:$AC$799,0)),"구약 트랙 완결")</f>
        <v>다음 편: 첫 번째 가정</v>
      </c>
      <c r="X6" s="23" t="s">
        <v>130</v>
      </c>
      <c r="Y6" s="23" t="s">
        <v>130</v>
      </c>
      <c r="Z6" s="23" t="s">
        <v>130</v>
      </c>
      <c r="AA6" s="23" t="s">
        <v>130</v>
      </c>
      <c r="AB6" s="24"/>
      <c r="AC6" s="23" t="str">
        <f aca="false">D6&amp;"#"&amp;E6</f>
        <v>구약#5</v>
      </c>
      <c r="AD6" s="23" t="n">
        <f aca="false">COUNTIFS($C$2:C6,C6,$D$2:D6,D6)</f>
        <v>5</v>
      </c>
    </row>
    <row r="7" customFormat="false" ht="26.85" hidden="false" customHeight="false" outlineLevel="0" collapsed="false">
      <c r="A7" s="21" t="n">
        <v>6</v>
      </c>
      <c r="B7" s="18" t="s">
        <v>165</v>
      </c>
      <c r="C7" s="20" t="n">
        <v>1</v>
      </c>
      <c r="D7" s="20" t="s">
        <v>116</v>
      </c>
      <c r="E7" s="20" t="n">
        <f aca="false">IF(C7=1,COUNTIFS($C$2:C7,1,$D$2:D7,D7),COUNTIFS($C$2:$C$799,1,$D$2:$D$799,D7)+COUNTIFS($C$2:C7,2,$D$2:D7,D7))</f>
        <v>6</v>
      </c>
      <c r="F7" s="20" t="str">
        <f aca="false">D7&amp;" #"&amp;TEXT(E7,"000")</f>
        <v>구약 #006</v>
      </c>
      <c r="G7" s="18" t="s">
        <v>117</v>
      </c>
      <c r="H7" s="18" t="s">
        <v>118</v>
      </c>
      <c r="I7" s="21" t="s">
        <v>119</v>
      </c>
      <c r="J7" s="22" t="s">
        <v>166</v>
      </c>
      <c r="K7" s="23" t="s">
        <v>121</v>
      </c>
      <c r="L7" s="24" t="s">
        <v>167</v>
      </c>
      <c r="M7" s="24" t="s">
        <v>168</v>
      </c>
      <c r="N7" s="23" t="s">
        <v>169</v>
      </c>
      <c r="O7" s="24" t="s">
        <v>170</v>
      </c>
      <c r="P7" s="24" t="s">
        <v>153</v>
      </c>
      <c r="Q7" s="24" t="s">
        <v>171</v>
      </c>
      <c r="R7" s="24"/>
      <c r="S7" s="24" t="s">
        <v>129</v>
      </c>
      <c r="T7" s="24" t="str">
        <f aca="false">"["&amp;안내!$C$5&amp;" "&amp;F7&amp;"] "&amp;L7&amp;" | "&amp;J7</f>
        <v>[1분 성경 구약 #006] 첫 번째 가정 | 창 2:18-25</v>
      </c>
      <c r="U7" s="26" t="n">
        <f aca="false">IF(D7="구약",IF(C7=1,안내!$C$9,안내!$C$10)+AD7-1,IF(C7=1,안내!$C$9,안내!$C$10)+7*INT((AD7-1)/4)+CHOOSE(MOD(AD7-1,4)+1,0,2,4,5))</f>
        <v>46396</v>
      </c>
      <c r="V7" s="23" t="str">
        <f aca="false">CHOOSE(WEEKDAY(U7,2),"월","화","수","목","금","토","일")</f>
        <v>토</v>
      </c>
      <c r="W7" s="24" t="str">
        <f aca="false">IFERROR(IF(INDEX($C$2:$C$799,MATCH(D7&amp;"#"&amp;(E7+1),$AC$2:$AC$799,0))=C7,"다음 편: ","시즌1 완결 · 시즌2 첫 편: ")&amp;INDEX($L$2:$L$799,MATCH(D7&amp;"#"&amp;(E7+1),$AC$2:$AC$799,0)),"구약 트랙 완결")</f>
        <v>다음 편: 뱀의 유혹</v>
      </c>
      <c r="X7" s="23" t="s">
        <v>130</v>
      </c>
      <c r="Y7" s="23" t="s">
        <v>130</v>
      </c>
      <c r="Z7" s="23" t="s">
        <v>130</v>
      </c>
      <c r="AA7" s="23" t="s">
        <v>130</v>
      </c>
      <c r="AB7" s="24"/>
      <c r="AC7" s="23" t="str">
        <f aca="false">D7&amp;"#"&amp;E7</f>
        <v>구약#6</v>
      </c>
      <c r="AD7" s="23" t="n">
        <f aca="false">COUNTIFS($C$2:C7,C7,$D$2:D7,D7)</f>
        <v>6</v>
      </c>
    </row>
    <row r="8" customFormat="false" ht="26.85" hidden="false" customHeight="false" outlineLevel="0" collapsed="false">
      <c r="A8" s="21" t="n">
        <v>7</v>
      </c>
      <c r="B8" s="18" t="s">
        <v>172</v>
      </c>
      <c r="C8" s="20" t="n">
        <v>1</v>
      </c>
      <c r="D8" s="20" t="s">
        <v>116</v>
      </c>
      <c r="E8" s="20" t="n">
        <f aca="false">IF(C8=1,COUNTIFS($C$2:C8,1,$D$2:D8,D8),COUNTIFS($C$2:$C$799,1,$D$2:$D$799,D8)+COUNTIFS($C$2:C8,2,$D$2:D8,D8))</f>
        <v>7</v>
      </c>
      <c r="F8" s="20" t="str">
        <f aca="false">D8&amp;" #"&amp;TEXT(E8,"000")</f>
        <v>구약 #007</v>
      </c>
      <c r="G8" s="18" t="s">
        <v>117</v>
      </c>
      <c r="H8" s="18" t="s">
        <v>118</v>
      </c>
      <c r="I8" s="21" t="s">
        <v>119</v>
      </c>
      <c r="J8" s="22" t="s">
        <v>173</v>
      </c>
      <c r="K8" s="23" t="s">
        <v>121</v>
      </c>
      <c r="L8" s="24" t="s">
        <v>174</v>
      </c>
      <c r="M8" s="24" t="s">
        <v>175</v>
      </c>
      <c r="N8" s="23" t="s">
        <v>176</v>
      </c>
      <c r="O8" s="24" t="s">
        <v>177</v>
      </c>
      <c r="P8" s="24" t="s">
        <v>178</v>
      </c>
      <c r="Q8" s="24" t="s">
        <v>179</v>
      </c>
      <c r="R8" s="25" t="s">
        <v>180</v>
      </c>
      <c r="S8" s="24" t="s">
        <v>129</v>
      </c>
      <c r="T8" s="24" t="str">
        <f aca="false">"["&amp;안내!$C$5&amp;" "&amp;F8&amp;"] "&amp;L8&amp;" | "&amp;J8</f>
        <v>[1분 성경 구약 #007] 뱀의 유혹 | 창 3:1-7</v>
      </c>
      <c r="U8" s="26" t="n">
        <f aca="false">IF(D8="구약",IF(C8=1,안내!$C$9,안내!$C$10)+AD8-1,IF(C8=1,안내!$C$9,안내!$C$10)+7*INT((AD8-1)/4)+CHOOSE(MOD(AD8-1,4)+1,0,2,4,5))</f>
        <v>46397</v>
      </c>
      <c r="V8" s="23" t="str">
        <f aca="false">CHOOSE(WEEKDAY(U8,2),"월","화","수","목","금","토","일")</f>
        <v>일</v>
      </c>
      <c r="W8" s="24" t="str">
        <f aca="false">IFERROR(IF(INDEX($C$2:$C$799,MATCH(D8&amp;"#"&amp;(E8+1),$AC$2:$AC$799,0))=C8,"다음 편: ","시즌1 완결 · 시즌2 첫 편: ")&amp;INDEX($L$2:$L$799,MATCH(D8&amp;"#"&amp;(E8+1),$AC$2:$AC$799,0)),"구약 트랙 완결")</f>
        <v>다음 편: 네가 어디 있느냐</v>
      </c>
      <c r="X8" s="23" t="s">
        <v>130</v>
      </c>
      <c r="Y8" s="23" t="s">
        <v>130</v>
      </c>
      <c r="Z8" s="23" t="s">
        <v>130</v>
      </c>
      <c r="AA8" s="23" t="s">
        <v>130</v>
      </c>
      <c r="AB8" s="24"/>
      <c r="AC8" s="23" t="str">
        <f aca="false">D8&amp;"#"&amp;E8</f>
        <v>구약#7</v>
      </c>
      <c r="AD8" s="23" t="n">
        <f aca="false">COUNTIFS($C$2:C8,C8,$D$2:D8,D8)</f>
        <v>7</v>
      </c>
    </row>
    <row r="9" customFormat="false" ht="26.85" hidden="false" customHeight="false" outlineLevel="0" collapsed="false">
      <c r="A9" s="21" t="n">
        <v>8</v>
      </c>
      <c r="B9" s="18" t="s">
        <v>181</v>
      </c>
      <c r="C9" s="20" t="n">
        <v>1</v>
      </c>
      <c r="D9" s="20" t="s">
        <v>116</v>
      </c>
      <c r="E9" s="20" t="n">
        <f aca="false">IF(C9=1,COUNTIFS($C$2:C9,1,$D$2:D9,D9),COUNTIFS($C$2:$C$799,1,$D$2:$D$799,D9)+COUNTIFS($C$2:C9,2,$D$2:D9,D9))</f>
        <v>8</v>
      </c>
      <c r="F9" s="20" t="str">
        <f aca="false">D9&amp;" #"&amp;TEXT(E9,"000")</f>
        <v>구약 #008</v>
      </c>
      <c r="G9" s="18" t="s">
        <v>117</v>
      </c>
      <c r="H9" s="18" t="s">
        <v>118</v>
      </c>
      <c r="I9" s="21" t="s">
        <v>119</v>
      </c>
      <c r="J9" s="22" t="s">
        <v>182</v>
      </c>
      <c r="K9" s="23" t="s">
        <v>121</v>
      </c>
      <c r="L9" s="24" t="s">
        <v>183</v>
      </c>
      <c r="M9" s="24" t="s">
        <v>184</v>
      </c>
      <c r="N9" s="23" t="s">
        <v>185</v>
      </c>
      <c r="O9" s="24" t="s">
        <v>186</v>
      </c>
      <c r="P9" s="24" t="s">
        <v>187</v>
      </c>
      <c r="Q9" s="24" t="s">
        <v>188</v>
      </c>
      <c r="R9" s="24"/>
      <c r="S9" s="24" t="s">
        <v>129</v>
      </c>
      <c r="T9" s="24" t="str">
        <f aca="false">"["&amp;안내!$C$5&amp;" "&amp;F9&amp;"] "&amp;L9&amp;" | "&amp;J9</f>
        <v>[1분 성경 구약 #008] 네가 어디 있느냐 | 창 3:8-13</v>
      </c>
      <c r="U9" s="26" t="n">
        <f aca="false">IF(D9="구약",IF(C9=1,안내!$C$9,안내!$C$10)+AD9-1,IF(C9=1,안내!$C$9,안내!$C$10)+7*INT((AD9-1)/4)+CHOOSE(MOD(AD9-1,4)+1,0,2,4,5))</f>
        <v>46398</v>
      </c>
      <c r="V9" s="23" t="str">
        <f aca="false">CHOOSE(WEEKDAY(U9,2),"월","화","수","목","금","토","일")</f>
        <v>월</v>
      </c>
      <c r="W9" s="24" t="str">
        <f aca="false">IFERROR(IF(INDEX($C$2:$C$799,MATCH(D9&amp;"#"&amp;(E9+1),$AC$2:$AC$799,0))=C9,"다음 편: ","시즌1 완결 · 시즌2 첫 편: ")&amp;INDEX($L$2:$L$799,MATCH(D9&amp;"#"&amp;(E9+1),$AC$2:$AC$799,0)),"구약 트랙 완결")</f>
        <v>다음 편: 첫 번째 복음</v>
      </c>
      <c r="X9" s="23" t="s">
        <v>130</v>
      </c>
      <c r="Y9" s="23" t="s">
        <v>130</v>
      </c>
      <c r="Z9" s="23" t="s">
        <v>130</v>
      </c>
      <c r="AA9" s="23" t="s">
        <v>130</v>
      </c>
      <c r="AB9" s="24"/>
      <c r="AC9" s="23" t="str">
        <f aca="false">D9&amp;"#"&amp;E9</f>
        <v>구약#8</v>
      </c>
      <c r="AD9" s="23" t="n">
        <f aca="false">COUNTIFS($C$2:C9,C9,$D$2:D9,D9)</f>
        <v>8</v>
      </c>
    </row>
    <row r="10" customFormat="false" ht="26.85" hidden="false" customHeight="false" outlineLevel="0" collapsed="false">
      <c r="A10" s="21" t="n">
        <v>9</v>
      </c>
      <c r="B10" s="18" t="s">
        <v>189</v>
      </c>
      <c r="C10" s="20" t="n">
        <v>1</v>
      </c>
      <c r="D10" s="20" t="s">
        <v>116</v>
      </c>
      <c r="E10" s="20" t="n">
        <f aca="false">IF(C10=1,COUNTIFS($C$2:C10,1,$D$2:D10,D10),COUNTIFS($C$2:$C$799,1,$D$2:$D$799,D10)+COUNTIFS($C$2:C10,2,$D$2:D10,D10))</f>
        <v>9</v>
      </c>
      <c r="F10" s="20" t="str">
        <f aca="false">D10&amp;" #"&amp;TEXT(E10,"000")</f>
        <v>구약 #009</v>
      </c>
      <c r="G10" s="18" t="s">
        <v>117</v>
      </c>
      <c r="H10" s="18" t="s">
        <v>118</v>
      </c>
      <c r="I10" s="21" t="s">
        <v>119</v>
      </c>
      <c r="J10" s="22" t="s">
        <v>190</v>
      </c>
      <c r="K10" s="23" t="s">
        <v>121</v>
      </c>
      <c r="L10" s="24" t="s">
        <v>191</v>
      </c>
      <c r="M10" s="24" t="s">
        <v>192</v>
      </c>
      <c r="N10" s="23" t="s">
        <v>193</v>
      </c>
      <c r="O10" s="24" t="s">
        <v>194</v>
      </c>
      <c r="P10" s="24" t="s">
        <v>195</v>
      </c>
      <c r="Q10" s="24" t="s">
        <v>171</v>
      </c>
      <c r="R10" s="27" t="s">
        <v>196</v>
      </c>
      <c r="S10" s="24" t="s">
        <v>129</v>
      </c>
      <c r="T10" s="24" t="str">
        <f aca="false">"["&amp;안내!$C$5&amp;" "&amp;F10&amp;"] "&amp;L10&amp;" | "&amp;J10</f>
        <v>[1분 성경 구약 #009] 첫 번째 복음 | 창 3:14-19</v>
      </c>
      <c r="U10" s="26" t="n">
        <f aca="false">IF(D10="구약",IF(C10=1,안내!$C$9,안내!$C$10)+AD10-1,IF(C10=1,안내!$C$9,안내!$C$10)+7*INT((AD10-1)/4)+CHOOSE(MOD(AD10-1,4)+1,0,2,4,5))</f>
        <v>46399</v>
      </c>
      <c r="V10" s="23" t="str">
        <f aca="false">CHOOSE(WEEKDAY(U10,2),"월","화","수","목","금","토","일")</f>
        <v>화</v>
      </c>
      <c r="W10" s="24" t="str">
        <f aca="false">IFERROR(IF(INDEX($C$2:$C$799,MATCH(D10&amp;"#"&amp;(E10+1),$AC$2:$AC$799,0))=C10,"다음 편: ","시즌1 완결 · 시즌2 첫 편: ")&amp;INDEX($L$2:$L$799,MATCH(D10&amp;"#"&amp;(E10+1),$AC$2:$AC$799,0)),"구약 트랙 완결")</f>
        <v>다음 편: 가죽옷과 에덴 밖으로</v>
      </c>
      <c r="X10" s="23" t="s">
        <v>130</v>
      </c>
      <c r="Y10" s="23" t="s">
        <v>130</v>
      </c>
      <c r="Z10" s="23" t="s">
        <v>130</v>
      </c>
      <c r="AA10" s="23" t="s">
        <v>130</v>
      </c>
      <c r="AB10" s="24"/>
      <c r="AC10" s="23" t="str">
        <f aca="false">D10&amp;"#"&amp;E10</f>
        <v>구약#9</v>
      </c>
      <c r="AD10" s="23" t="n">
        <f aca="false">COUNTIFS($C$2:C10,C10,$D$2:D10,D10)</f>
        <v>9</v>
      </c>
    </row>
    <row r="11" customFormat="false" ht="26.85" hidden="false" customHeight="false" outlineLevel="0" collapsed="false">
      <c r="A11" s="21" t="n">
        <v>10</v>
      </c>
      <c r="B11" s="18" t="s">
        <v>197</v>
      </c>
      <c r="C11" s="20" t="n">
        <v>1</v>
      </c>
      <c r="D11" s="20" t="s">
        <v>116</v>
      </c>
      <c r="E11" s="20" t="n">
        <f aca="false">IF(C11=1,COUNTIFS($C$2:C11,1,$D$2:D11,D11),COUNTIFS($C$2:$C$799,1,$D$2:$D$799,D11)+COUNTIFS($C$2:C11,2,$D$2:D11,D11))</f>
        <v>10</v>
      </c>
      <c r="F11" s="20" t="str">
        <f aca="false">D11&amp;" #"&amp;TEXT(E11,"000")</f>
        <v>구약 #010</v>
      </c>
      <c r="G11" s="18" t="s">
        <v>117</v>
      </c>
      <c r="H11" s="18" t="s">
        <v>118</v>
      </c>
      <c r="I11" s="21" t="s">
        <v>119</v>
      </c>
      <c r="J11" s="22" t="s">
        <v>198</v>
      </c>
      <c r="K11" s="23" t="s">
        <v>121</v>
      </c>
      <c r="L11" s="24" t="s">
        <v>199</v>
      </c>
      <c r="M11" s="24" t="s">
        <v>200</v>
      </c>
      <c r="N11" s="23" t="s">
        <v>201</v>
      </c>
      <c r="O11" s="24" t="s">
        <v>202</v>
      </c>
      <c r="P11" s="24" t="s">
        <v>203</v>
      </c>
      <c r="Q11" s="24" t="s">
        <v>204</v>
      </c>
      <c r="R11" s="25" t="s">
        <v>205</v>
      </c>
      <c r="S11" s="24" t="s">
        <v>129</v>
      </c>
      <c r="T11" s="24" t="str">
        <f aca="false">"["&amp;안내!$C$5&amp;" "&amp;F11&amp;"] "&amp;L11&amp;" | "&amp;J11</f>
        <v>[1분 성경 구약 #010] 가죽옷과 에덴 밖으로 | 창 3:20-24</v>
      </c>
      <c r="U11" s="26" t="n">
        <f aca="false">IF(D11="구약",IF(C11=1,안내!$C$9,안내!$C$10)+AD11-1,IF(C11=1,안내!$C$9,안내!$C$10)+7*INT((AD11-1)/4)+CHOOSE(MOD(AD11-1,4)+1,0,2,4,5))</f>
        <v>46400</v>
      </c>
      <c r="V11" s="23" t="str">
        <f aca="false">CHOOSE(WEEKDAY(U11,2),"월","화","수","목","금","토","일")</f>
        <v>수</v>
      </c>
      <c r="W11" s="24" t="str">
        <f aca="false">IFERROR(IF(INDEX($C$2:$C$799,MATCH(D11&amp;"#"&amp;(E11+1),$AC$2:$AC$799,0))=C11,"다음 편: ","시즌1 완결 · 시즌2 첫 편: ")&amp;INDEX($L$2:$L$799,MATCH(D11&amp;"#"&amp;(E11+1),$AC$2:$AC$799,0)),"구약 트랙 완결")</f>
        <v>다음 편: 가인과 아벨</v>
      </c>
      <c r="X11" s="23" t="s">
        <v>130</v>
      </c>
      <c r="Y11" s="23" t="s">
        <v>130</v>
      </c>
      <c r="Z11" s="23" t="s">
        <v>130</v>
      </c>
      <c r="AA11" s="23" t="s">
        <v>130</v>
      </c>
      <c r="AB11" s="24"/>
      <c r="AC11" s="23" t="str">
        <f aca="false">D11&amp;"#"&amp;E11</f>
        <v>구약#10</v>
      </c>
      <c r="AD11" s="23" t="n">
        <f aca="false">COUNTIFS($C$2:C11,C11,$D$2:D11,D11)</f>
        <v>10</v>
      </c>
    </row>
    <row r="12" customFormat="false" ht="26.85" hidden="false" customHeight="false" outlineLevel="0" collapsed="false">
      <c r="A12" s="21" t="n">
        <v>11</v>
      </c>
      <c r="B12" s="18" t="s">
        <v>206</v>
      </c>
      <c r="C12" s="20" t="n">
        <v>1</v>
      </c>
      <c r="D12" s="20" t="s">
        <v>116</v>
      </c>
      <c r="E12" s="20" t="n">
        <f aca="false">IF(C12=1,COUNTIFS($C$2:C12,1,$D$2:D12,D12),COUNTIFS($C$2:$C$799,1,$D$2:$D$799,D12)+COUNTIFS($C$2:C12,2,$D$2:D12,D12))</f>
        <v>11</v>
      </c>
      <c r="F12" s="20" t="str">
        <f aca="false">D12&amp;" #"&amp;TEXT(E12,"000")</f>
        <v>구약 #011</v>
      </c>
      <c r="G12" s="18" t="s">
        <v>207</v>
      </c>
      <c r="H12" s="18" t="s">
        <v>208</v>
      </c>
      <c r="I12" s="21" t="s">
        <v>119</v>
      </c>
      <c r="J12" s="22" t="s">
        <v>209</v>
      </c>
      <c r="K12" s="23" t="s">
        <v>121</v>
      </c>
      <c r="L12" s="24" t="s">
        <v>210</v>
      </c>
      <c r="M12" s="24" t="s">
        <v>211</v>
      </c>
      <c r="N12" s="23" t="s">
        <v>212</v>
      </c>
      <c r="O12" s="24" t="s">
        <v>213</v>
      </c>
      <c r="P12" s="24" t="s">
        <v>214</v>
      </c>
      <c r="Q12" s="24" t="s">
        <v>215</v>
      </c>
      <c r="R12" s="25" t="s">
        <v>216</v>
      </c>
      <c r="S12" s="24" t="s">
        <v>129</v>
      </c>
      <c r="T12" s="24" t="str">
        <f aca="false">"["&amp;안내!$C$5&amp;" "&amp;F12&amp;"] "&amp;L12&amp;" | "&amp;J12</f>
        <v>[1분 성경 구약 #011] 가인과 아벨 | 창 4:1-8</v>
      </c>
      <c r="U12" s="26" t="n">
        <f aca="false">IF(D12="구약",IF(C12=1,안내!$C$9,안내!$C$10)+AD12-1,IF(C12=1,안내!$C$9,안내!$C$10)+7*INT((AD12-1)/4)+CHOOSE(MOD(AD12-1,4)+1,0,2,4,5))</f>
        <v>46401</v>
      </c>
      <c r="V12" s="23" t="str">
        <f aca="false">CHOOSE(WEEKDAY(U12,2),"월","화","수","목","금","토","일")</f>
        <v>목</v>
      </c>
      <c r="W12" s="24" t="str">
        <f aca="false">IFERROR(IF(INDEX($C$2:$C$799,MATCH(D12&amp;"#"&amp;(E12+1),$AC$2:$AC$799,0))=C12,"다음 편: ","시즌1 완결 · 시즌2 첫 편: ")&amp;INDEX($L$2:$L$799,MATCH(D12&amp;"#"&amp;(E12+1),$AC$2:$AC$799,0)),"구약 트랙 완결")</f>
        <v>다음 편: 하나님과 동행한 에녹</v>
      </c>
      <c r="X12" s="23" t="s">
        <v>130</v>
      </c>
      <c r="Y12" s="23" t="s">
        <v>130</v>
      </c>
      <c r="Z12" s="23" t="s">
        <v>130</v>
      </c>
      <c r="AA12" s="23" t="s">
        <v>130</v>
      </c>
      <c r="AB12" s="24"/>
      <c r="AC12" s="23" t="str">
        <f aca="false">D12&amp;"#"&amp;E12</f>
        <v>구약#11</v>
      </c>
      <c r="AD12" s="23" t="n">
        <f aca="false">COUNTIFS($C$2:C12,C12,$D$2:D12,D12)</f>
        <v>11</v>
      </c>
    </row>
    <row r="13" customFormat="false" ht="25.35" hidden="false" customHeight="false" outlineLevel="0" collapsed="false">
      <c r="A13" s="21" t="n">
        <v>12</v>
      </c>
      <c r="B13" s="18" t="s">
        <v>217</v>
      </c>
      <c r="C13" s="23" t="n">
        <v>2</v>
      </c>
      <c r="D13" s="23" t="s">
        <v>116</v>
      </c>
      <c r="E13" s="23" t="n">
        <f aca="false">IF(C13=1,COUNTIFS($C$2:C13,1,$D$2:D13,D13),COUNTIFS($C$2:$C$799,1,$D$2:$D$799,D13)+COUNTIFS($C$2:C13,2,$D$2:D13,D13))</f>
        <v>183</v>
      </c>
      <c r="F13" s="23" t="str">
        <f aca="false">D13&amp;" #"&amp;TEXT(E13,"000")</f>
        <v>구약 #183</v>
      </c>
      <c r="G13" s="18" t="s">
        <v>207</v>
      </c>
      <c r="H13" s="18" t="s">
        <v>218</v>
      </c>
      <c r="I13" s="21" t="s">
        <v>119</v>
      </c>
      <c r="J13" s="22" t="s">
        <v>219</v>
      </c>
      <c r="K13" s="23" t="s">
        <v>121</v>
      </c>
      <c r="L13" s="24" t="s">
        <v>220</v>
      </c>
      <c r="M13" s="24" t="s">
        <v>221</v>
      </c>
      <c r="N13" s="23" t="s">
        <v>222</v>
      </c>
      <c r="O13" s="24" t="s">
        <v>223</v>
      </c>
      <c r="P13" s="24" t="s">
        <v>224</v>
      </c>
      <c r="Q13" s="24" t="s">
        <v>225</v>
      </c>
      <c r="R13" s="25" t="s">
        <v>226</v>
      </c>
      <c r="S13" s="24" t="s">
        <v>227</v>
      </c>
      <c r="T13" s="24" t="str">
        <f aca="false">"["&amp;안내!$C$5&amp;" "&amp;F13&amp;"] "&amp;L13&amp;" | "&amp;J13</f>
        <v>[1분 성경 구약 #183] 네 아우가 어디 있느냐 | 창 4:9-16</v>
      </c>
      <c r="U13" s="26" t="n">
        <f aca="false">IF(D13="구약",IF(C13=1,안내!$C$9,안내!$C$10)+AD13-1,IF(C13=1,안내!$C$9,안내!$C$10)+7*INT((AD13-1)/4)+CHOOSE(MOD(AD13-1,4)+1,0,2,4,5))</f>
        <v>46580</v>
      </c>
      <c r="V13" s="23" t="str">
        <f aca="false">CHOOSE(WEEKDAY(U13,2),"월","화","수","목","금","토","일")</f>
        <v>월</v>
      </c>
      <c r="W13" s="24" t="str">
        <f aca="false">IFERROR(IF(INDEX($C$2:$C$799,MATCH(D13&amp;"#"&amp;(E13+1),$AC$2:$AC$799,0))=C13,"다음 편: ","시즌1 완결 · 시즌2 첫 편: ")&amp;INDEX($L$2:$L$799,MATCH(D13&amp;"#"&amp;(E13+1),$AC$2:$AC$799,0)),"구약 트랙 완결")</f>
        <v>다음 편: 가인의 후손과 셋</v>
      </c>
      <c r="X13" s="23" t="s">
        <v>130</v>
      </c>
      <c r="Y13" s="23" t="s">
        <v>130</v>
      </c>
      <c r="Z13" s="23" t="s">
        <v>130</v>
      </c>
      <c r="AA13" s="23" t="s">
        <v>130</v>
      </c>
      <c r="AB13" s="24"/>
      <c r="AC13" s="23" t="str">
        <f aca="false">D13&amp;"#"&amp;E13</f>
        <v>구약#183</v>
      </c>
      <c r="AD13" s="23" t="n">
        <f aca="false">COUNTIFS($C$2:C13,C13,$D$2:D13,D13)</f>
        <v>1</v>
      </c>
    </row>
    <row r="14" customFormat="false" ht="26.85" hidden="false" customHeight="false" outlineLevel="0" collapsed="false">
      <c r="A14" s="21" t="n">
        <v>13</v>
      </c>
      <c r="B14" s="18" t="s">
        <v>228</v>
      </c>
      <c r="C14" s="23" t="n">
        <v>2</v>
      </c>
      <c r="D14" s="23" t="s">
        <v>116</v>
      </c>
      <c r="E14" s="23" t="n">
        <f aca="false">IF(C14=1,COUNTIFS($C$2:C14,1,$D$2:D14,D14),COUNTIFS($C$2:$C$799,1,$D$2:$D$799,D14)+COUNTIFS($C$2:C14,2,$D$2:D14,D14))</f>
        <v>184</v>
      </c>
      <c r="F14" s="23" t="str">
        <f aca="false">D14&amp;" #"&amp;TEXT(E14,"000")</f>
        <v>구약 #184</v>
      </c>
      <c r="G14" s="18" t="s">
        <v>207</v>
      </c>
      <c r="H14" s="18" t="s">
        <v>218</v>
      </c>
      <c r="I14" s="21" t="s">
        <v>119</v>
      </c>
      <c r="J14" s="22" t="s">
        <v>229</v>
      </c>
      <c r="K14" s="23" t="s">
        <v>121</v>
      </c>
      <c r="L14" s="24" t="s">
        <v>230</v>
      </c>
      <c r="M14" s="24" t="s">
        <v>231</v>
      </c>
      <c r="N14" s="23" t="s">
        <v>232</v>
      </c>
      <c r="O14" s="24" t="s">
        <v>233</v>
      </c>
      <c r="P14" s="24" t="s">
        <v>234</v>
      </c>
      <c r="Q14" s="24" t="s">
        <v>235</v>
      </c>
      <c r="R14" s="24"/>
      <c r="S14" s="24" t="s">
        <v>227</v>
      </c>
      <c r="T14" s="24" t="str">
        <f aca="false">"["&amp;안내!$C$5&amp;" "&amp;F14&amp;"] "&amp;L14&amp;" | "&amp;J14</f>
        <v>[1분 성경 구약 #184] 가인의 후손과 셋 | 창 4:17-26</v>
      </c>
      <c r="U14" s="26" t="n">
        <f aca="false">IF(D14="구약",IF(C14=1,안내!$C$9,안내!$C$10)+AD14-1,IF(C14=1,안내!$C$9,안내!$C$10)+7*INT((AD14-1)/4)+CHOOSE(MOD(AD14-1,4)+1,0,2,4,5))</f>
        <v>46581</v>
      </c>
      <c r="V14" s="23" t="str">
        <f aca="false">CHOOSE(WEEKDAY(U14,2),"월","화","수","목","금","토","일")</f>
        <v>화</v>
      </c>
      <c r="W14" s="24" t="str">
        <f aca="false">IFERROR(IF(INDEX($C$2:$C$799,MATCH(D14&amp;"#"&amp;(E14+1),$AC$2:$AC$799,0))=C14,"다음 편: ","시즌1 완결 · 시즌2 첫 편: ")&amp;INDEX($L$2:$L$799,MATCH(D14&amp;"#"&amp;(E14+1),$AC$2:$AC$799,0)),"구약 트랙 완결")</f>
        <v>다음 편: 노아의 실수와 세 아들</v>
      </c>
      <c r="X14" s="23" t="s">
        <v>130</v>
      </c>
      <c r="Y14" s="23" t="s">
        <v>130</v>
      </c>
      <c r="Z14" s="23" t="s">
        <v>130</v>
      </c>
      <c r="AA14" s="23" t="s">
        <v>130</v>
      </c>
      <c r="AB14" s="24"/>
      <c r="AC14" s="23" t="str">
        <f aca="false">D14&amp;"#"&amp;E14</f>
        <v>구약#184</v>
      </c>
      <c r="AD14" s="23" t="n">
        <f aca="false">COUNTIFS($C$2:C14,C14,$D$2:D14,D14)</f>
        <v>2</v>
      </c>
    </row>
    <row r="15" customFormat="false" ht="39.55" hidden="false" customHeight="false" outlineLevel="0" collapsed="false">
      <c r="A15" s="21" t="n">
        <v>14</v>
      </c>
      <c r="B15" s="18" t="s">
        <v>236</v>
      </c>
      <c r="C15" s="20" t="n">
        <v>1</v>
      </c>
      <c r="D15" s="20" t="s">
        <v>116</v>
      </c>
      <c r="E15" s="20" t="n">
        <f aca="false">IF(C15=1,COUNTIFS($C$2:C15,1,$D$2:D15,D15),COUNTIFS($C$2:$C$799,1,$D$2:$D$799,D15)+COUNTIFS($C$2:C15,2,$D$2:D15,D15))</f>
        <v>12</v>
      </c>
      <c r="F15" s="20" t="str">
        <f aca="false">D15&amp;" #"&amp;TEXT(E15,"000")</f>
        <v>구약 #012</v>
      </c>
      <c r="G15" s="18" t="s">
        <v>207</v>
      </c>
      <c r="H15" s="18" t="s">
        <v>208</v>
      </c>
      <c r="I15" s="21" t="s">
        <v>119</v>
      </c>
      <c r="J15" s="22" t="s">
        <v>237</v>
      </c>
      <c r="K15" s="23" t="s">
        <v>121</v>
      </c>
      <c r="L15" s="24" t="s">
        <v>238</v>
      </c>
      <c r="M15" s="24" t="s">
        <v>239</v>
      </c>
      <c r="N15" s="23" t="s">
        <v>240</v>
      </c>
      <c r="O15" s="24" t="s">
        <v>241</v>
      </c>
      <c r="P15" s="24" t="s">
        <v>242</v>
      </c>
      <c r="Q15" s="24" t="s">
        <v>243</v>
      </c>
      <c r="R15" s="25" t="s">
        <v>244</v>
      </c>
      <c r="S15" s="28" t="s">
        <v>245</v>
      </c>
      <c r="T15" s="24" t="str">
        <f aca="false">"["&amp;안내!$C$5&amp;" "&amp;F15&amp;"] "&amp;L15&amp;" | "&amp;J15</f>
        <v>[1분 성경 구약 #012] 하나님과 동행한 에녹 | 창 5:1-32</v>
      </c>
      <c r="U15" s="26" t="n">
        <f aca="false">IF(D15="구약",IF(C15=1,안내!$C$9,안내!$C$10)+AD15-1,IF(C15=1,안내!$C$9,안내!$C$10)+7*INT((AD15-1)/4)+CHOOSE(MOD(AD15-1,4)+1,0,2,4,5))</f>
        <v>46402</v>
      </c>
      <c r="V15" s="23" t="str">
        <f aca="false">CHOOSE(WEEKDAY(U15,2),"월","화","수","목","금","토","일")</f>
        <v>금</v>
      </c>
      <c r="W15" s="24" t="str">
        <f aca="false">IFERROR(IF(INDEX($C$2:$C$799,MATCH(D15&amp;"#"&amp;(E15+1),$AC$2:$AC$799,0))=C15,"다음 편: ","시즌1 완결 · 시즌2 첫 편: ")&amp;INDEX($L$2:$L$799,MATCH(D15&amp;"#"&amp;(E15+1),$AC$2:$AC$799,0)),"구약 트랙 완결")</f>
        <v>다음 편: 은혜를 입은 노아</v>
      </c>
      <c r="X15" s="23" t="s">
        <v>130</v>
      </c>
      <c r="Y15" s="23" t="s">
        <v>130</v>
      </c>
      <c r="Z15" s="23" t="s">
        <v>130</v>
      </c>
      <c r="AA15" s="23" t="s">
        <v>130</v>
      </c>
      <c r="AB15" s="24"/>
      <c r="AC15" s="23" t="str">
        <f aca="false">D15&amp;"#"&amp;E15</f>
        <v>구약#12</v>
      </c>
      <c r="AD15" s="23" t="n">
        <f aca="false">COUNTIFS($C$2:C15,C15,$D$2:D15,D15)</f>
        <v>12</v>
      </c>
    </row>
    <row r="16" customFormat="false" ht="26.85" hidden="false" customHeight="false" outlineLevel="0" collapsed="false">
      <c r="A16" s="21" t="n">
        <v>15</v>
      </c>
      <c r="B16" s="18" t="s">
        <v>246</v>
      </c>
      <c r="C16" s="20" t="n">
        <v>1</v>
      </c>
      <c r="D16" s="20" t="s">
        <v>116</v>
      </c>
      <c r="E16" s="20" t="n">
        <f aca="false">IF(C16=1,COUNTIFS($C$2:C16,1,$D$2:D16,D16),COUNTIFS($C$2:$C$799,1,$D$2:$D$799,D16)+COUNTIFS($C$2:C16,2,$D$2:D16,D16))</f>
        <v>13</v>
      </c>
      <c r="F16" s="20" t="str">
        <f aca="false">D16&amp;" #"&amp;TEXT(E16,"000")</f>
        <v>구약 #013</v>
      </c>
      <c r="G16" s="18" t="s">
        <v>207</v>
      </c>
      <c r="H16" s="18" t="s">
        <v>208</v>
      </c>
      <c r="I16" s="21" t="s">
        <v>119</v>
      </c>
      <c r="J16" s="22" t="s">
        <v>247</v>
      </c>
      <c r="K16" s="23" t="s">
        <v>121</v>
      </c>
      <c r="L16" s="24" t="s">
        <v>248</v>
      </c>
      <c r="M16" s="24" t="s">
        <v>249</v>
      </c>
      <c r="N16" s="23" t="s">
        <v>250</v>
      </c>
      <c r="O16" s="24" t="s">
        <v>251</v>
      </c>
      <c r="P16" s="24" t="s">
        <v>252</v>
      </c>
      <c r="Q16" s="24" t="s">
        <v>253</v>
      </c>
      <c r="R16" s="27" t="s">
        <v>254</v>
      </c>
      <c r="S16" s="24" t="s">
        <v>129</v>
      </c>
      <c r="T16" s="24" t="str">
        <f aca="false">"["&amp;안내!$C$5&amp;" "&amp;F16&amp;"] "&amp;L16&amp;" | "&amp;J16</f>
        <v>[1분 성경 구약 #013] 은혜를 입은 노아 | 창 6:1-8</v>
      </c>
      <c r="U16" s="26" t="n">
        <f aca="false">IF(D16="구약",IF(C16=1,안내!$C$9,안내!$C$10)+AD16-1,IF(C16=1,안내!$C$9,안내!$C$10)+7*INT((AD16-1)/4)+CHOOSE(MOD(AD16-1,4)+1,0,2,4,5))</f>
        <v>46403</v>
      </c>
      <c r="V16" s="23" t="str">
        <f aca="false">CHOOSE(WEEKDAY(U16,2),"월","화","수","목","금","토","일")</f>
        <v>토</v>
      </c>
      <c r="W16" s="24" t="str">
        <f aca="false">IFERROR(IF(INDEX($C$2:$C$799,MATCH(D16&amp;"#"&amp;(E16+1),$AC$2:$AC$799,0))=C16,"다음 편: ","시즌1 완결 · 시즌2 첫 편: ")&amp;INDEX($L$2:$L$799,MATCH(D16&amp;"#"&amp;(E16+1),$AC$2:$AC$799,0)),"구약 트랙 완결")</f>
        <v>다음 편: 방주를 지어라</v>
      </c>
      <c r="X16" s="23" t="s">
        <v>130</v>
      </c>
      <c r="Y16" s="23" t="s">
        <v>130</v>
      </c>
      <c r="Z16" s="23" t="s">
        <v>130</v>
      </c>
      <c r="AA16" s="23" t="s">
        <v>130</v>
      </c>
      <c r="AB16" s="24"/>
      <c r="AC16" s="23" t="str">
        <f aca="false">D16&amp;"#"&amp;E16</f>
        <v>구약#13</v>
      </c>
      <c r="AD16" s="23" t="n">
        <f aca="false">COUNTIFS($C$2:C16,C16,$D$2:D16,D16)</f>
        <v>13</v>
      </c>
    </row>
    <row r="17" customFormat="false" ht="26.85" hidden="false" customHeight="false" outlineLevel="0" collapsed="false">
      <c r="A17" s="21" t="n">
        <v>16</v>
      </c>
      <c r="B17" s="18" t="s">
        <v>255</v>
      </c>
      <c r="C17" s="20" t="n">
        <v>1</v>
      </c>
      <c r="D17" s="20" t="s">
        <v>116</v>
      </c>
      <c r="E17" s="20" t="n">
        <f aca="false">IF(C17=1,COUNTIFS($C$2:C17,1,$D$2:D17,D17),COUNTIFS($C$2:$C$799,1,$D$2:$D$799,D17)+COUNTIFS($C$2:C17,2,$D$2:D17,D17))</f>
        <v>14</v>
      </c>
      <c r="F17" s="20" t="str">
        <f aca="false">D17&amp;" #"&amp;TEXT(E17,"000")</f>
        <v>구약 #014</v>
      </c>
      <c r="G17" s="18" t="s">
        <v>207</v>
      </c>
      <c r="H17" s="18" t="s">
        <v>208</v>
      </c>
      <c r="I17" s="21" t="s">
        <v>119</v>
      </c>
      <c r="J17" s="22" t="s">
        <v>256</v>
      </c>
      <c r="K17" s="23" t="s">
        <v>121</v>
      </c>
      <c r="L17" s="24" t="s">
        <v>257</v>
      </c>
      <c r="M17" s="24" t="s">
        <v>258</v>
      </c>
      <c r="N17" s="23" t="s">
        <v>259</v>
      </c>
      <c r="O17" s="24" t="s">
        <v>260</v>
      </c>
      <c r="P17" s="24" t="s">
        <v>261</v>
      </c>
      <c r="Q17" s="24" t="s">
        <v>262</v>
      </c>
      <c r="R17" s="24"/>
      <c r="S17" s="24" t="s">
        <v>129</v>
      </c>
      <c r="T17" s="24" t="str">
        <f aca="false">"["&amp;안내!$C$5&amp;" "&amp;F17&amp;"] "&amp;L17&amp;" | "&amp;J17</f>
        <v>[1분 성경 구약 #014] 방주를 지어라 | 창 6:9-22</v>
      </c>
      <c r="U17" s="26" t="n">
        <f aca="false">IF(D17="구약",IF(C17=1,안내!$C$9,안내!$C$10)+AD17-1,IF(C17=1,안내!$C$9,안내!$C$10)+7*INT((AD17-1)/4)+CHOOSE(MOD(AD17-1,4)+1,0,2,4,5))</f>
        <v>46404</v>
      </c>
      <c r="V17" s="23" t="str">
        <f aca="false">CHOOSE(WEEKDAY(U17,2),"월","화","수","목","금","토","일")</f>
        <v>일</v>
      </c>
      <c r="W17" s="24" t="str">
        <f aca="false">IFERROR(IF(INDEX($C$2:$C$799,MATCH(D17&amp;"#"&amp;(E17+1),$AC$2:$AC$799,0))=C17,"다음 편: ","시즌1 완결 · 시즌2 첫 편: ")&amp;INDEX($L$2:$L$799,MATCH(D17&amp;"#"&amp;(E17+1),$AC$2:$AC$799,0)),"구약 트랙 완결")</f>
        <v>다음 편: 홍수</v>
      </c>
      <c r="X17" s="23" t="s">
        <v>130</v>
      </c>
      <c r="Y17" s="23" t="s">
        <v>130</v>
      </c>
      <c r="Z17" s="23" t="s">
        <v>130</v>
      </c>
      <c r="AA17" s="23" t="s">
        <v>130</v>
      </c>
      <c r="AB17" s="24"/>
      <c r="AC17" s="23" t="str">
        <f aca="false">D17&amp;"#"&amp;E17</f>
        <v>구약#14</v>
      </c>
      <c r="AD17" s="23" t="n">
        <f aca="false">COUNTIFS($C$2:C17,C17,$D$2:D17,D17)</f>
        <v>14</v>
      </c>
    </row>
    <row r="18" customFormat="false" ht="26.85" hidden="false" customHeight="false" outlineLevel="0" collapsed="false">
      <c r="A18" s="21" t="n">
        <v>17</v>
      </c>
      <c r="B18" s="18" t="s">
        <v>263</v>
      </c>
      <c r="C18" s="20" t="n">
        <v>1</v>
      </c>
      <c r="D18" s="20" t="s">
        <v>116</v>
      </c>
      <c r="E18" s="20" t="n">
        <f aca="false">IF(C18=1,COUNTIFS($C$2:C18,1,$D$2:D18,D18),COUNTIFS($C$2:$C$799,1,$D$2:$D$799,D18)+COUNTIFS($C$2:C18,2,$D$2:D18,D18))</f>
        <v>15</v>
      </c>
      <c r="F18" s="20" t="str">
        <f aca="false">D18&amp;" #"&amp;TEXT(E18,"000")</f>
        <v>구약 #015</v>
      </c>
      <c r="G18" s="18" t="s">
        <v>207</v>
      </c>
      <c r="H18" s="18" t="s">
        <v>208</v>
      </c>
      <c r="I18" s="21" t="s">
        <v>119</v>
      </c>
      <c r="J18" s="22" t="s">
        <v>264</v>
      </c>
      <c r="K18" s="23" t="s">
        <v>121</v>
      </c>
      <c r="L18" s="24" t="s">
        <v>265</v>
      </c>
      <c r="M18" s="29" t="s">
        <v>266</v>
      </c>
      <c r="N18" s="23" t="s">
        <v>267</v>
      </c>
      <c r="O18" s="24" t="s">
        <v>268</v>
      </c>
      <c r="P18" s="24" t="s">
        <v>269</v>
      </c>
      <c r="Q18" s="24" t="s">
        <v>270</v>
      </c>
      <c r="R18" s="25" t="s">
        <v>271</v>
      </c>
      <c r="S18" s="24" t="s">
        <v>129</v>
      </c>
      <c r="T18" s="24" t="str">
        <f aca="false">"["&amp;안내!$C$5&amp;" "&amp;F18&amp;"] "&amp;L18&amp;" | "&amp;J18</f>
        <v>[1분 성경 구약 #015] 홍수 | 창 7:1-24</v>
      </c>
      <c r="U18" s="26" t="n">
        <f aca="false">IF(D18="구약",IF(C18=1,안내!$C$9,안내!$C$10)+AD18-1,IF(C18=1,안내!$C$9,안내!$C$10)+7*INT((AD18-1)/4)+CHOOSE(MOD(AD18-1,4)+1,0,2,4,5))</f>
        <v>46405</v>
      </c>
      <c r="V18" s="23" t="str">
        <f aca="false">CHOOSE(WEEKDAY(U18,2),"월","화","수","목","금","토","일")</f>
        <v>월</v>
      </c>
      <c r="W18" s="24" t="str">
        <f aca="false">IFERROR(IF(INDEX($C$2:$C$799,MATCH(D18&amp;"#"&amp;(E18+1),$AC$2:$AC$799,0))=C18,"다음 편: ","시즌1 완결 · 시즌2 첫 편: ")&amp;INDEX($L$2:$L$799,MATCH(D18&amp;"#"&amp;(E18+1),$AC$2:$AC$799,0)),"구약 트랙 완결")</f>
        <v>다음 편: 비둘기와 감람나무 잎</v>
      </c>
      <c r="X18" s="23" t="s">
        <v>130</v>
      </c>
      <c r="Y18" s="23" t="s">
        <v>130</v>
      </c>
      <c r="Z18" s="23" t="s">
        <v>130</v>
      </c>
      <c r="AA18" s="23" t="s">
        <v>130</v>
      </c>
      <c r="AB18" s="24"/>
      <c r="AC18" s="23" t="str">
        <f aca="false">D18&amp;"#"&amp;E18</f>
        <v>구약#15</v>
      </c>
      <c r="AD18" s="23" t="n">
        <f aca="false">COUNTIFS($C$2:C18,C18,$D$2:D18,D18)</f>
        <v>15</v>
      </c>
    </row>
    <row r="19" customFormat="false" ht="25.35" hidden="false" customHeight="false" outlineLevel="0" collapsed="false">
      <c r="A19" s="21" t="n">
        <v>18</v>
      </c>
      <c r="B19" s="18" t="s">
        <v>272</v>
      </c>
      <c r="C19" s="20" t="n">
        <v>1</v>
      </c>
      <c r="D19" s="20" t="s">
        <v>116</v>
      </c>
      <c r="E19" s="20" t="n">
        <f aca="false">IF(C19=1,COUNTIFS($C$2:C19,1,$D$2:D19,D19),COUNTIFS($C$2:$C$799,1,$D$2:$D$799,D19)+COUNTIFS($C$2:C19,2,$D$2:D19,D19))</f>
        <v>16</v>
      </c>
      <c r="F19" s="20" t="str">
        <f aca="false">D19&amp;" #"&amp;TEXT(E19,"000")</f>
        <v>구약 #016</v>
      </c>
      <c r="G19" s="18" t="s">
        <v>207</v>
      </c>
      <c r="H19" s="18" t="s">
        <v>208</v>
      </c>
      <c r="I19" s="21" t="s">
        <v>119</v>
      </c>
      <c r="J19" s="22" t="s">
        <v>273</v>
      </c>
      <c r="K19" s="23" t="s">
        <v>121</v>
      </c>
      <c r="L19" s="24" t="s">
        <v>274</v>
      </c>
      <c r="M19" s="24" t="s">
        <v>275</v>
      </c>
      <c r="N19" s="23" t="s">
        <v>276</v>
      </c>
      <c r="O19" s="24" t="s">
        <v>277</v>
      </c>
      <c r="P19" s="24" t="s">
        <v>278</v>
      </c>
      <c r="Q19" s="24" t="s">
        <v>279</v>
      </c>
      <c r="R19" s="24"/>
      <c r="S19" s="24" t="s">
        <v>129</v>
      </c>
      <c r="T19" s="24" t="str">
        <f aca="false">"["&amp;안내!$C$5&amp;" "&amp;F19&amp;"] "&amp;L19&amp;" | "&amp;J19</f>
        <v>[1분 성경 구약 #016] 비둘기와 감람나무 잎 | 창 8:1-19</v>
      </c>
      <c r="U19" s="26" t="n">
        <f aca="false">IF(D19="구약",IF(C19=1,안내!$C$9,안내!$C$10)+AD19-1,IF(C19=1,안내!$C$9,안내!$C$10)+7*INT((AD19-1)/4)+CHOOSE(MOD(AD19-1,4)+1,0,2,4,5))</f>
        <v>46406</v>
      </c>
      <c r="V19" s="23" t="str">
        <f aca="false">CHOOSE(WEEKDAY(U19,2),"월","화","수","목","금","토","일")</f>
        <v>화</v>
      </c>
      <c r="W19" s="24" t="str">
        <f aca="false">IFERROR(IF(INDEX($C$2:$C$799,MATCH(D19&amp;"#"&amp;(E19+1),$AC$2:$AC$799,0))=C19,"다음 편: ","시즌1 완결 · 시즌2 첫 편: ")&amp;INDEX($L$2:$L$799,MATCH(D19&amp;"#"&amp;(E19+1),$AC$2:$AC$799,0)),"구약 트랙 완결")</f>
        <v>다음 편: 무지개 언약</v>
      </c>
      <c r="X19" s="23" t="s">
        <v>130</v>
      </c>
      <c r="Y19" s="23" t="s">
        <v>130</v>
      </c>
      <c r="Z19" s="23" t="s">
        <v>130</v>
      </c>
      <c r="AA19" s="23" t="s">
        <v>130</v>
      </c>
      <c r="AB19" s="24"/>
      <c r="AC19" s="23" t="str">
        <f aca="false">D19&amp;"#"&amp;E19</f>
        <v>구약#16</v>
      </c>
      <c r="AD19" s="23" t="n">
        <f aca="false">COUNTIFS($C$2:C19,C19,$D$2:D19,D19)</f>
        <v>16</v>
      </c>
    </row>
    <row r="20" customFormat="false" ht="26.85" hidden="false" customHeight="false" outlineLevel="0" collapsed="false">
      <c r="A20" s="21" t="n">
        <v>19</v>
      </c>
      <c r="B20" s="18" t="s">
        <v>280</v>
      </c>
      <c r="C20" s="20" t="n">
        <v>1</v>
      </c>
      <c r="D20" s="20" t="s">
        <v>116</v>
      </c>
      <c r="E20" s="20" t="n">
        <f aca="false">IF(C20=1,COUNTIFS($C$2:C20,1,$D$2:D20,D20),COUNTIFS($C$2:$C$799,1,$D$2:$D$799,D20)+COUNTIFS($C$2:C20,2,$D$2:D20,D20))</f>
        <v>17</v>
      </c>
      <c r="F20" s="20" t="str">
        <f aca="false">D20&amp;" #"&amp;TEXT(E20,"000")</f>
        <v>구약 #017</v>
      </c>
      <c r="G20" s="18" t="s">
        <v>207</v>
      </c>
      <c r="H20" s="18" t="s">
        <v>208</v>
      </c>
      <c r="I20" s="21" t="s">
        <v>119</v>
      </c>
      <c r="J20" s="22" t="s">
        <v>281</v>
      </c>
      <c r="K20" s="23" t="s">
        <v>121</v>
      </c>
      <c r="L20" s="24" t="s">
        <v>282</v>
      </c>
      <c r="M20" s="24" t="s">
        <v>283</v>
      </c>
      <c r="N20" s="23" t="s">
        <v>284</v>
      </c>
      <c r="O20" s="24" t="s">
        <v>285</v>
      </c>
      <c r="P20" s="24" t="s">
        <v>286</v>
      </c>
      <c r="Q20" s="24" t="s">
        <v>287</v>
      </c>
      <c r="R20" s="25" t="s">
        <v>288</v>
      </c>
      <c r="S20" s="24" t="s">
        <v>129</v>
      </c>
      <c r="T20" s="24" t="str">
        <f aca="false">"["&amp;안내!$C$5&amp;" "&amp;F20&amp;"] "&amp;L20&amp;" | "&amp;J20</f>
        <v>[1분 성경 구약 #017] 무지개 언약 | 창 8:20-9:17</v>
      </c>
      <c r="U20" s="26" t="n">
        <f aca="false">IF(D20="구약",IF(C20=1,안내!$C$9,안내!$C$10)+AD20-1,IF(C20=1,안내!$C$9,안내!$C$10)+7*INT((AD20-1)/4)+CHOOSE(MOD(AD20-1,4)+1,0,2,4,5))</f>
        <v>46407</v>
      </c>
      <c r="V20" s="23" t="str">
        <f aca="false">CHOOSE(WEEKDAY(U20,2),"월","화","수","목","금","토","일")</f>
        <v>수</v>
      </c>
      <c r="W20" s="24" t="str">
        <f aca="false">IFERROR(IF(INDEX($C$2:$C$799,MATCH(D20&amp;"#"&amp;(E20+1),$AC$2:$AC$799,0))=C20,"다음 편: ","시즌1 완결 · 시즌2 첫 편: ")&amp;INDEX($L$2:$L$799,MATCH(D20&amp;"#"&amp;(E20+1),$AC$2:$AC$799,0)),"구약 트랙 완결")</f>
        <v>다음 편: 바벨탑</v>
      </c>
      <c r="X20" s="23" t="s">
        <v>130</v>
      </c>
      <c r="Y20" s="23" t="s">
        <v>130</v>
      </c>
      <c r="Z20" s="23" t="s">
        <v>130</v>
      </c>
      <c r="AA20" s="23" t="s">
        <v>130</v>
      </c>
      <c r="AB20" s="24"/>
      <c r="AC20" s="23" t="str">
        <f aca="false">D20&amp;"#"&amp;E20</f>
        <v>구약#17</v>
      </c>
      <c r="AD20" s="23" t="n">
        <f aca="false">COUNTIFS($C$2:C20,C20,$D$2:D20,D20)</f>
        <v>17</v>
      </c>
    </row>
    <row r="21" customFormat="false" ht="25.35" hidden="false" customHeight="false" outlineLevel="0" collapsed="false">
      <c r="A21" s="21" t="n">
        <v>20</v>
      </c>
      <c r="B21" s="18" t="s">
        <v>289</v>
      </c>
      <c r="C21" s="23" t="n">
        <v>2</v>
      </c>
      <c r="D21" s="23" t="s">
        <v>116</v>
      </c>
      <c r="E21" s="23" t="n">
        <f aca="false">IF(C21=1,COUNTIFS($C$2:C21,1,$D$2:D21,D21),COUNTIFS($C$2:$C$799,1,$D$2:$D$799,D21)+COUNTIFS($C$2:C21,2,$D$2:D21,D21))</f>
        <v>185</v>
      </c>
      <c r="F21" s="23" t="str">
        <f aca="false">D21&amp;" #"&amp;TEXT(E21,"000")</f>
        <v>구약 #185</v>
      </c>
      <c r="G21" s="18" t="s">
        <v>207</v>
      </c>
      <c r="H21" s="18" t="s">
        <v>218</v>
      </c>
      <c r="I21" s="21" t="s">
        <v>119</v>
      </c>
      <c r="J21" s="22" t="s">
        <v>290</v>
      </c>
      <c r="K21" s="23" t="s">
        <v>121</v>
      </c>
      <c r="L21" s="24" t="s">
        <v>291</v>
      </c>
      <c r="M21" s="24" t="s">
        <v>292</v>
      </c>
      <c r="N21" s="23" t="s">
        <v>293</v>
      </c>
      <c r="O21" s="24" t="s">
        <v>294</v>
      </c>
      <c r="P21" s="24" t="s">
        <v>261</v>
      </c>
      <c r="Q21" s="24" t="s">
        <v>295</v>
      </c>
      <c r="R21" s="25" t="s">
        <v>296</v>
      </c>
      <c r="S21" s="24" t="s">
        <v>297</v>
      </c>
      <c r="T21" s="24" t="str">
        <f aca="false">"["&amp;안내!$C$5&amp;" "&amp;F21&amp;"] "&amp;L21&amp;" | "&amp;J21</f>
        <v>[1분 성경 구약 #185] 노아의 실수와 세 아들 | 창 9:18-29</v>
      </c>
      <c r="U21" s="26" t="n">
        <f aca="false">IF(D21="구약",IF(C21=1,안내!$C$9,안내!$C$10)+AD21-1,IF(C21=1,안내!$C$9,안내!$C$10)+7*INT((AD21-1)/4)+CHOOSE(MOD(AD21-1,4)+1,0,2,4,5))</f>
        <v>46582</v>
      </c>
      <c r="V21" s="23" t="str">
        <f aca="false">CHOOSE(WEEKDAY(U21,2),"월","화","수","목","금","토","일")</f>
        <v>수</v>
      </c>
      <c r="W21" s="24" t="str">
        <f aca="false">IFERROR(IF(INDEX($C$2:$C$799,MATCH(D21&amp;"#"&amp;(E21+1),$AC$2:$AC$799,0))=C21,"다음 편: ","시즌1 완결 · 시즌2 첫 편: ")&amp;INDEX($L$2:$L$799,MATCH(D21&amp;"#"&amp;(E21+1),$AC$2:$AC$799,0)),"구약 트랙 완결")</f>
        <v>다음 편: 민족들의 시작</v>
      </c>
      <c r="X21" s="23" t="s">
        <v>130</v>
      </c>
      <c r="Y21" s="23" t="s">
        <v>130</v>
      </c>
      <c r="Z21" s="23" t="s">
        <v>130</v>
      </c>
      <c r="AA21" s="23" t="s">
        <v>130</v>
      </c>
      <c r="AB21" s="24"/>
      <c r="AC21" s="23" t="str">
        <f aca="false">D21&amp;"#"&amp;E21</f>
        <v>구약#185</v>
      </c>
      <c r="AD21" s="23" t="n">
        <f aca="false">COUNTIFS($C$2:C21,C21,$D$2:D21,D21)</f>
        <v>3</v>
      </c>
    </row>
    <row r="22" customFormat="false" ht="15" hidden="false" customHeight="false" outlineLevel="0" collapsed="false">
      <c r="A22" s="21" t="n">
        <v>21</v>
      </c>
      <c r="B22" s="18" t="s">
        <v>298</v>
      </c>
      <c r="C22" s="23" t="n">
        <v>2</v>
      </c>
      <c r="D22" s="23" t="s">
        <v>116</v>
      </c>
      <c r="E22" s="23" t="n">
        <f aca="false">IF(C22=1,COUNTIFS($C$2:C22,1,$D$2:D22,D22),COUNTIFS($C$2:$C$799,1,$D$2:$D$799,D22)+COUNTIFS($C$2:C22,2,$D$2:D22,D22))</f>
        <v>186</v>
      </c>
      <c r="F22" s="23" t="str">
        <f aca="false">D22&amp;" #"&amp;TEXT(E22,"000")</f>
        <v>구약 #186</v>
      </c>
      <c r="G22" s="18" t="s">
        <v>207</v>
      </c>
      <c r="H22" s="18" t="s">
        <v>218</v>
      </c>
      <c r="I22" s="21" t="s">
        <v>119</v>
      </c>
      <c r="J22" s="22" t="s">
        <v>299</v>
      </c>
      <c r="K22" s="23" t="s">
        <v>121</v>
      </c>
      <c r="L22" s="24" t="s">
        <v>300</v>
      </c>
      <c r="M22" s="24" t="s">
        <v>301</v>
      </c>
      <c r="N22" s="23" t="s">
        <v>302</v>
      </c>
      <c r="O22" s="24" t="s">
        <v>303</v>
      </c>
      <c r="P22" s="24" t="s">
        <v>304</v>
      </c>
      <c r="Q22" s="24" t="s">
        <v>305</v>
      </c>
      <c r="R22" s="24"/>
      <c r="S22" s="24" t="s">
        <v>297</v>
      </c>
      <c r="T22" s="24" t="str">
        <f aca="false">"["&amp;안내!$C$5&amp;" "&amp;F22&amp;"] "&amp;L22&amp;" | "&amp;J22</f>
        <v>[1분 성경 구약 #186] 민족들의 시작 | 창 10:1-32</v>
      </c>
      <c r="U22" s="26" t="n">
        <f aca="false">IF(D22="구약",IF(C22=1,안내!$C$9,안내!$C$10)+AD22-1,IF(C22=1,안내!$C$9,안내!$C$10)+7*INT((AD22-1)/4)+CHOOSE(MOD(AD22-1,4)+1,0,2,4,5))</f>
        <v>46583</v>
      </c>
      <c r="V22" s="23" t="str">
        <f aca="false">CHOOSE(WEEKDAY(U22,2),"월","화","수","목","금","토","일")</f>
        <v>목</v>
      </c>
      <c r="W22" s="24" t="str">
        <f aca="false">IFERROR(IF(INDEX($C$2:$C$799,MATCH(D22&amp;"#"&amp;(E22+1),$AC$2:$AC$799,0))=C22,"다음 편: ","시즌1 완결 · 시즌2 첫 편: ")&amp;INDEX($L$2:$L$799,MATCH(D22&amp;"#"&amp;(E22+1),$AC$2:$AC$799,0)),"구약 트랙 완결")</f>
        <v>다음 편: 셈에서 아브람까지</v>
      </c>
      <c r="X22" s="23" t="s">
        <v>130</v>
      </c>
      <c r="Y22" s="23" t="s">
        <v>130</v>
      </c>
      <c r="Z22" s="23" t="s">
        <v>130</v>
      </c>
      <c r="AA22" s="23" t="s">
        <v>130</v>
      </c>
      <c r="AB22" s="24"/>
      <c r="AC22" s="23" t="str">
        <f aca="false">D22&amp;"#"&amp;E22</f>
        <v>구약#186</v>
      </c>
      <c r="AD22" s="23" t="n">
        <f aca="false">COUNTIFS($C$2:C22,C22,$D$2:D22,D22)</f>
        <v>4</v>
      </c>
    </row>
    <row r="23" customFormat="false" ht="39.55" hidden="false" customHeight="false" outlineLevel="0" collapsed="false">
      <c r="A23" s="21" t="n">
        <v>22</v>
      </c>
      <c r="B23" s="18" t="s">
        <v>306</v>
      </c>
      <c r="C23" s="20" t="n">
        <v>1</v>
      </c>
      <c r="D23" s="20" t="s">
        <v>116</v>
      </c>
      <c r="E23" s="20" t="n">
        <f aca="false">IF(C23=1,COUNTIFS($C$2:C23,1,$D$2:D23,D23),COUNTIFS($C$2:$C$799,1,$D$2:$D$799,D23)+COUNTIFS($C$2:C23,2,$D$2:D23,D23))</f>
        <v>18</v>
      </c>
      <c r="F23" s="20" t="str">
        <f aca="false">D23&amp;" #"&amp;TEXT(E23,"000")</f>
        <v>구약 #018</v>
      </c>
      <c r="G23" s="18" t="s">
        <v>207</v>
      </c>
      <c r="H23" s="18" t="s">
        <v>208</v>
      </c>
      <c r="I23" s="21" t="s">
        <v>119</v>
      </c>
      <c r="J23" s="22" t="s">
        <v>307</v>
      </c>
      <c r="K23" s="23" t="s">
        <v>121</v>
      </c>
      <c r="L23" s="24" t="s">
        <v>308</v>
      </c>
      <c r="M23" s="24" t="s">
        <v>309</v>
      </c>
      <c r="N23" s="23" t="s">
        <v>310</v>
      </c>
      <c r="O23" s="24" t="s">
        <v>311</v>
      </c>
      <c r="P23" s="24" t="s">
        <v>312</v>
      </c>
      <c r="Q23" s="24" t="s">
        <v>313</v>
      </c>
      <c r="R23" s="24"/>
      <c r="S23" s="28" t="s">
        <v>314</v>
      </c>
      <c r="T23" s="24" t="str">
        <f aca="false">"["&amp;안내!$C$5&amp;" "&amp;F23&amp;"] "&amp;L23&amp;" | "&amp;J23</f>
        <v>[1분 성경 구약 #018] 바벨탑 | 창 11:1-9</v>
      </c>
      <c r="U23" s="26" t="n">
        <f aca="false">IF(D23="구약",IF(C23=1,안내!$C$9,안내!$C$10)+AD23-1,IF(C23=1,안내!$C$9,안내!$C$10)+7*INT((AD23-1)/4)+CHOOSE(MOD(AD23-1,4)+1,0,2,4,5))</f>
        <v>46408</v>
      </c>
      <c r="V23" s="23" t="str">
        <f aca="false">CHOOSE(WEEKDAY(U23,2),"월","화","수","목","금","토","일")</f>
        <v>목</v>
      </c>
      <c r="W23" s="24" t="str">
        <f aca="false">IFERROR(IF(INDEX($C$2:$C$799,MATCH(D23&amp;"#"&amp;(E23+1),$AC$2:$AC$799,0))=C23,"다음 편: ","시즌1 완결 · 시즌2 첫 편: ")&amp;INDEX($L$2:$L$799,MATCH(D23&amp;"#"&amp;(E23+1),$AC$2:$AC$799,0)),"구약 트랙 완결")</f>
        <v>다음 편: 떠나라</v>
      </c>
      <c r="X23" s="23" t="s">
        <v>130</v>
      </c>
      <c r="Y23" s="23" t="s">
        <v>130</v>
      </c>
      <c r="Z23" s="23" t="s">
        <v>130</v>
      </c>
      <c r="AA23" s="23" t="s">
        <v>130</v>
      </c>
      <c r="AB23" s="24"/>
      <c r="AC23" s="23" t="str">
        <f aca="false">D23&amp;"#"&amp;E23</f>
        <v>구약#18</v>
      </c>
      <c r="AD23" s="23" t="n">
        <f aca="false">COUNTIFS($C$2:C23,C23,$D$2:D23,D23)</f>
        <v>18</v>
      </c>
    </row>
    <row r="24" customFormat="false" ht="26.85" hidden="false" customHeight="false" outlineLevel="0" collapsed="false">
      <c r="A24" s="21" t="n">
        <v>23</v>
      </c>
      <c r="B24" s="18" t="s">
        <v>315</v>
      </c>
      <c r="C24" s="23" t="n">
        <v>2</v>
      </c>
      <c r="D24" s="23" t="s">
        <v>116</v>
      </c>
      <c r="E24" s="23" t="n">
        <f aca="false">IF(C24=1,COUNTIFS($C$2:C24,1,$D$2:D24,D24),COUNTIFS($C$2:$C$799,1,$D$2:$D$799,D24)+COUNTIFS($C$2:C24,2,$D$2:D24,D24))</f>
        <v>187</v>
      </c>
      <c r="F24" s="23" t="str">
        <f aca="false">D24&amp;" #"&amp;TEXT(E24,"000")</f>
        <v>구약 #187</v>
      </c>
      <c r="G24" s="18" t="s">
        <v>207</v>
      </c>
      <c r="H24" s="18" t="s">
        <v>218</v>
      </c>
      <c r="I24" s="21" t="s">
        <v>119</v>
      </c>
      <c r="J24" s="22" t="s">
        <v>316</v>
      </c>
      <c r="K24" s="23" t="s">
        <v>121</v>
      </c>
      <c r="L24" s="24" t="s">
        <v>317</v>
      </c>
      <c r="M24" s="24" t="s">
        <v>318</v>
      </c>
      <c r="N24" s="23" t="s">
        <v>319</v>
      </c>
      <c r="O24" s="24" t="s">
        <v>320</v>
      </c>
      <c r="P24" s="24" t="s">
        <v>321</v>
      </c>
      <c r="Q24" s="24" t="s">
        <v>322</v>
      </c>
      <c r="R24" s="24"/>
      <c r="S24" s="24" t="s">
        <v>323</v>
      </c>
      <c r="T24" s="24" t="str">
        <f aca="false">"["&amp;안내!$C$5&amp;" "&amp;F24&amp;"] "&amp;L24&amp;" | "&amp;J24</f>
        <v>[1분 성경 구약 #187] 셈에서 아브람까지 | 창 11:10-32</v>
      </c>
      <c r="U24" s="26" t="n">
        <f aca="false">IF(D24="구약",IF(C24=1,안내!$C$9,안내!$C$10)+AD24-1,IF(C24=1,안내!$C$9,안내!$C$10)+7*INT((AD24-1)/4)+CHOOSE(MOD(AD24-1,4)+1,0,2,4,5))</f>
        <v>46584</v>
      </c>
      <c r="V24" s="23" t="str">
        <f aca="false">CHOOSE(WEEKDAY(U24,2),"월","화","수","목","금","토","일")</f>
        <v>금</v>
      </c>
      <c r="W24" s="24" t="str">
        <f aca="false">IFERROR(IF(INDEX($C$2:$C$799,MATCH(D24&amp;"#"&amp;(E24+1),$AC$2:$AC$799,0))=C24,"다음 편: ","시즌1 완결 · 시즌2 첫 편: ")&amp;INDEX($L$2:$L$799,MATCH(D24&amp;"#"&amp;(E24+1),$AC$2:$AC$799,0)),"구약 트랙 완결")</f>
        <v>다음 편: 애굽에서의 거짓말</v>
      </c>
      <c r="X24" s="23" t="s">
        <v>130</v>
      </c>
      <c r="Y24" s="23" t="s">
        <v>130</v>
      </c>
      <c r="Z24" s="23" t="s">
        <v>130</v>
      </c>
      <c r="AA24" s="23" t="s">
        <v>130</v>
      </c>
      <c r="AB24" s="24"/>
      <c r="AC24" s="23" t="str">
        <f aca="false">D24&amp;"#"&amp;E24</f>
        <v>구약#187</v>
      </c>
      <c r="AD24" s="23" t="n">
        <f aca="false">COUNTIFS($C$2:C24,C24,$D$2:D24,D24)</f>
        <v>5</v>
      </c>
    </row>
    <row r="25" customFormat="false" ht="26.85" hidden="false" customHeight="false" outlineLevel="0" collapsed="false">
      <c r="A25" s="21" t="n">
        <v>24</v>
      </c>
      <c r="B25" s="18" t="s">
        <v>324</v>
      </c>
      <c r="C25" s="20" t="n">
        <v>1</v>
      </c>
      <c r="D25" s="20" t="s">
        <v>116</v>
      </c>
      <c r="E25" s="20" t="n">
        <f aca="false">IF(C25=1,COUNTIFS($C$2:C25,1,$D$2:D25,D25),COUNTIFS($C$2:$C$799,1,$D$2:$D$799,D25)+COUNTIFS($C$2:C25,2,$D$2:D25,D25))</f>
        <v>19</v>
      </c>
      <c r="F25" s="20" t="str">
        <f aca="false">D25&amp;" #"&amp;TEXT(E25,"000")</f>
        <v>구약 #019</v>
      </c>
      <c r="G25" s="18" t="s">
        <v>325</v>
      </c>
      <c r="H25" s="18" t="s">
        <v>326</v>
      </c>
      <c r="I25" s="21" t="s">
        <v>119</v>
      </c>
      <c r="J25" s="22" t="s">
        <v>327</v>
      </c>
      <c r="K25" s="23" t="s">
        <v>121</v>
      </c>
      <c r="L25" s="24" t="s">
        <v>328</v>
      </c>
      <c r="M25" s="29" t="s">
        <v>329</v>
      </c>
      <c r="N25" s="23" t="s">
        <v>330</v>
      </c>
      <c r="O25" s="24" t="s">
        <v>331</v>
      </c>
      <c r="P25" s="24" t="s">
        <v>332</v>
      </c>
      <c r="Q25" s="24" t="s">
        <v>333</v>
      </c>
      <c r="R25" s="24"/>
      <c r="S25" s="28" t="s">
        <v>334</v>
      </c>
      <c r="T25" s="24" t="str">
        <f aca="false">"["&amp;안내!$C$5&amp;" "&amp;F25&amp;"] "&amp;L25&amp;" | "&amp;J25</f>
        <v>[1분 성경 구약 #019] 떠나라 | 창 12:1-9</v>
      </c>
      <c r="U25" s="26" t="n">
        <f aca="false">IF(D25="구약",IF(C25=1,안내!$C$9,안내!$C$10)+AD25-1,IF(C25=1,안내!$C$9,안내!$C$10)+7*INT((AD25-1)/4)+CHOOSE(MOD(AD25-1,4)+1,0,2,4,5))</f>
        <v>46409</v>
      </c>
      <c r="V25" s="23" t="str">
        <f aca="false">CHOOSE(WEEKDAY(U25,2),"월","화","수","목","금","토","일")</f>
        <v>금</v>
      </c>
      <c r="W25" s="24" t="str">
        <f aca="false">IFERROR(IF(INDEX($C$2:$C$799,MATCH(D25&amp;"#"&amp;(E25+1),$AC$2:$AC$799,0))=C25,"다음 편: ","시즌1 완결 · 시즌2 첫 편: ")&amp;INDEX($L$2:$L$799,MATCH(D25&amp;"#"&amp;(E25+1),$AC$2:$AC$799,0)),"구약 트랙 완결")</f>
        <v>다음 편: 하늘의 별을 세어 보라</v>
      </c>
      <c r="X25" s="23" t="s">
        <v>130</v>
      </c>
      <c r="Y25" s="23" t="s">
        <v>130</v>
      </c>
      <c r="Z25" s="23" t="s">
        <v>130</v>
      </c>
      <c r="AA25" s="23" t="s">
        <v>130</v>
      </c>
      <c r="AB25" s="24"/>
      <c r="AC25" s="23" t="str">
        <f aca="false">D25&amp;"#"&amp;E25</f>
        <v>구약#19</v>
      </c>
      <c r="AD25" s="23" t="n">
        <f aca="false">COUNTIFS($C$2:C25,C25,$D$2:D25,D25)</f>
        <v>19</v>
      </c>
    </row>
    <row r="26" customFormat="false" ht="26.85" hidden="false" customHeight="false" outlineLevel="0" collapsed="false">
      <c r="A26" s="21" t="n">
        <v>25</v>
      </c>
      <c r="B26" s="18" t="s">
        <v>335</v>
      </c>
      <c r="C26" s="23" t="n">
        <v>2</v>
      </c>
      <c r="D26" s="23" t="s">
        <v>116</v>
      </c>
      <c r="E26" s="23" t="n">
        <f aca="false">IF(C26=1,COUNTIFS($C$2:C26,1,$D$2:D26,D26),COUNTIFS($C$2:$C$799,1,$D$2:$D$799,D26)+COUNTIFS($C$2:C26,2,$D$2:D26,D26))</f>
        <v>188</v>
      </c>
      <c r="F26" s="23" t="str">
        <f aca="false">D26&amp;" #"&amp;TEXT(E26,"000")</f>
        <v>구약 #188</v>
      </c>
      <c r="G26" s="18" t="s">
        <v>325</v>
      </c>
      <c r="H26" s="18" t="s">
        <v>218</v>
      </c>
      <c r="I26" s="21" t="s">
        <v>119</v>
      </c>
      <c r="J26" s="22" t="s">
        <v>336</v>
      </c>
      <c r="K26" s="23" t="s">
        <v>121</v>
      </c>
      <c r="L26" s="24" t="s">
        <v>337</v>
      </c>
      <c r="M26" s="24" t="s">
        <v>338</v>
      </c>
      <c r="N26" s="23" t="s">
        <v>339</v>
      </c>
      <c r="O26" s="24" t="s">
        <v>340</v>
      </c>
      <c r="P26" s="24" t="s">
        <v>341</v>
      </c>
      <c r="Q26" s="24" t="s">
        <v>342</v>
      </c>
      <c r="R26" s="24"/>
      <c r="S26" s="24" t="s">
        <v>343</v>
      </c>
      <c r="T26" s="24" t="str">
        <f aca="false">"["&amp;안내!$C$5&amp;" "&amp;F26&amp;"] "&amp;L26&amp;" | "&amp;J26</f>
        <v>[1분 성경 구약 #188] 애굽에서의 거짓말 | 창 12:10-20</v>
      </c>
      <c r="U26" s="26" t="n">
        <f aca="false">IF(D26="구약",IF(C26=1,안내!$C$9,안내!$C$10)+AD26-1,IF(C26=1,안내!$C$9,안내!$C$10)+7*INT((AD26-1)/4)+CHOOSE(MOD(AD26-1,4)+1,0,2,4,5))</f>
        <v>46585</v>
      </c>
      <c r="V26" s="23" t="str">
        <f aca="false">CHOOSE(WEEKDAY(U26,2),"월","화","수","목","금","토","일")</f>
        <v>토</v>
      </c>
      <c r="W26" s="24" t="str">
        <f aca="false">IFERROR(IF(INDEX($C$2:$C$799,MATCH(D26&amp;"#"&amp;(E26+1),$AC$2:$AC$799,0))=C26,"다음 편: ","시즌1 완결 · 시즌2 첫 편: ")&amp;INDEX($L$2:$L$799,MATCH(D26&amp;"#"&amp;(E26+1),$AC$2:$AC$799,0)),"구약 트랙 완결")</f>
        <v>다음 편: 롯과 갈라서다</v>
      </c>
      <c r="X26" s="23" t="s">
        <v>130</v>
      </c>
      <c r="Y26" s="23" t="s">
        <v>130</v>
      </c>
      <c r="Z26" s="23" t="s">
        <v>130</v>
      </c>
      <c r="AA26" s="23" t="s">
        <v>130</v>
      </c>
      <c r="AB26" s="24"/>
      <c r="AC26" s="23" t="str">
        <f aca="false">D26&amp;"#"&amp;E26</f>
        <v>구약#188</v>
      </c>
      <c r="AD26" s="23" t="n">
        <f aca="false">COUNTIFS($C$2:C26,C26,$D$2:D26,D26)</f>
        <v>6</v>
      </c>
    </row>
    <row r="27" customFormat="false" ht="26.85" hidden="false" customHeight="false" outlineLevel="0" collapsed="false">
      <c r="A27" s="21" t="n">
        <v>26</v>
      </c>
      <c r="B27" s="18" t="s">
        <v>344</v>
      </c>
      <c r="C27" s="23" t="n">
        <v>2</v>
      </c>
      <c r="D27" s="23" t="s">
        <v>116</v>
      </c>
      <c r="E27" s="23" t="n">
        <f aca="false">IF(C27=1,COUNTIFS($C$2:C27,1,$D$2:D27,D27),COUNTIFS($C$2:$C$799,1,$D$2:$D$799,D27)+COUNTIFS($C$2:C27,2,$D$2:D27,D27))</f>
        <v>189</v>
      </c>
      <c r="F27" s="23" t="str">
        <f aca="false">D27&amp;" #"&amp;TEXT(E27,"000")</f>
        <v>구약 #189</v>
      </c>
      <c r="G27" s="18" t="s">
        <v>325</v>
      </c>
      <c r="H27" s="18" t="s">
        <v>218</v>
      </c>
      <c r="I27" s="21" t="s">
        <v>119</v>
      </c>
      <c r="J27" s="22" t="s">
        <v>345</v>
      </c>
      <c r="K27" s="23" t="s">
        <v>121</v>
      </c>
      <c r="L27" s="24" t="s">
        <v>346</v>
      </c>
      <c r="M27" s="24" t="s">
        <v>347</v>
      </c>
      <c r="N27" s="23" t="s">
        <v>348</v>
      </c>
      <c r="O27" s="24" t="s">
        <v>349</v>
      </c>
      <c r="P27" s="24" t="s">
        <v>350</v>
      </c>
      <c r="Q27" s="24" t="s">
        <v>351</v>
      </c>
      <c r="R27" s="24"/>
      <c r="S27" s="24" t="s">
        <v>343</v>
      </c>
      <c r="T27" s="24" t="str">
        <f aca="false">"["&amp;안내!$C$5&amp;" "&amp;F27&amp;"] "&amp;L27&amp;" | "&amp;J27</f>
        <v>[1분 성경 구약 #189] 롯과 갈라서다 | 창 13:1-18</v>
      </c>
      <c r="U27" s="26" t="n">
        <f aca="false">IF(D27="구약",IF(C27=1,안내!$C$9,안내!$C$10)+AD27-1,IF(C27=1,안내!$C$9,안내!$C$10)+7*INT((AD27-1)/4)+CHOOSE(MOD(AD27-1,4)+1,0,2,4,5))</f>
        <v>46586</v>
      </c>
      <c r="V27" s="23" t="str">
        <f aca="false">CHOOSE(WEEKDAY(U27,2),"월","화","수","목","금","토","일")</f>
        <v>일</v>
      </c>
      <c r="W27" s="24" t="str">
        <f aca="false">IFERROR(IF(INDEX($C$2:$C$799,MATCH(D27&amp;"#"&amp;(E27+1),$AC$2:$AC$799,0))=C27,"다음 편: ","시즌1 완결 · 시즌2 첫 편: ")&amp;INDEX($L$2:$L$799,MATCH(D27&amp;"#"&amp;(E27+1),$AC$2:$AC$799,0)),"구약 트랙 완결")</f>
        <v>다음 편: 롯을 구하고 멜기세덱을 만나다</v>
      </c>
      <c r="X27" s="23" t="s">
        <v>130</v>
      </c>
      <c r="Y27" s="23" t="s">
        <v>130</v>
      </c>
      <c r="Z27" s="23" t="s">
        <v>130</v>
      </c>
      <c r="AA27" s="23" t="s">
        <v>130</v>
      </c>
      <c r="AB27" s="24"/>
      <c r="AC27" s="23" t="str">
        <f aca="false">D27&amp;"#"&amp;E27</f>
        <v>구약#189</v>
      </c>
      <c r="AD27" s="23" t="n">
        <f aca="false">COUNTIFS($C$2:C27,C27,$D$2:D27,D27)</f>
        <v>7</v>
      </c>
    </row>
    <row r="28" customFormat="false" ht="26.85" hidden="false" customHeight="false" outlineLevel="0" collapsed="false">
      <c r="A28" s="21" t="n">
        <v>27</v>
      </c>
      <c r="B28" s="18" t="s">
        <v>352</v>
      </c>
      <c r="C28" s="23" t="n">
        <v>2</v>
      </c>
      <c r="D28" s="23" t="s">
        <v>116</v>
      </c>
      <c r="E28" s="23" t="n">
        <f aca="false">IF(C28=1,COUNTIFS($C$2:C28,1,$D$2:D28,D28),COUNTIFS($C$2:$C$799,1,$D$2:$D$799,D28)+COUNTIFS($C$2:C28,2,$D$2:D28,D28))</f>
        <v>190</v>
      </c>
      <c r="F28" s="23" t="str">
        <f aca="false">D28&amp;" #"&amp;TEXT(E28,"000")</f>
        <v>구약 #190</v>
      </c>
      <c r="G28" s="18" t="s">
        <v>325</v>
      </c>
      <c r="H28" s="18" t="s">
        <v>218</v>
      </c>
      <c r="I28" s="21" t="s">
        <v>119</v>
      </c>
      <c r="J28" s="22" t="s">
        <v>353</v>
      </c>
      <c r="K28" s="23" t="s">
        <v>121</v>
      </c>
      <c r="L28" s="24" t="s">
        <v>354</v>
      </c>
      <c r="M28" s="29" t="s">
        <v>355</v>
      </c>
      <c r="N28" s="23" t="s">
        <v>356</v>
      </c>
      <c r="O28" s="24" t="s">
        <v>357</v>
      </c>
      <c r="P28" s="24" t="s">
        <v>358</v>
      </c>
      <c r="Q28" s="24" t="s">
        <v>359</v>
      </c>
      <c r="R28" s="25" t="s">
        <v>360</v>
      </c>
      <c r="S28" s="24" t="s">
        <v>343</v>
      </c>
      <c r="T28" s="24" t="str">
        <f aca="false">"["&amp;안내!$C$5&amp;" "&amp;F28&amp;"] "&amp;L28&amp;" | "&amp;J28</f>
        <v>[1분 성경 구약 #190] 롯을 구하고 멜기세덱을 만나다 | 창 14:1-24</v>
      </c>
      <c r="U28" s="26" t="n">
        <f aca="false">IF(D28="구약",IF(C28=1,안내!$C$9,안내!$C$10)+AD28-1,IF(C28=1,안내!$C$9,안내!$C$10)+7*INT((AD28-1)/4)+CHOOSE(MOD(AD28-1,4)+1,0,2,4,5))</f>
        <v>46587</v>
      </c>
      <c r="V28" s="23" t="str">
        <f aca="false">CHOOSE(WEEKDAY(U28,2),"월","화","수","목","금","토","일")</f>
        <v>월</v>
      </c>
      <c r="W28" s="24" t="str">
        <f aca="false">IFERROR(IF(INDEX($C$2:$C$799,MATCH(D28&amp;"#"&amp;(E28+1),$AC$2:$AC$799,0))=C28,"다음 편: ","시즌1 완결 · 시즌2 첫 편: ")&amp;INDEX($L$2:$L$799,MATCH(D28&amp;"#"&amp;(E28+1),$AC$2:$AC$799,0)),"구약 트랙 완결")</f>
        <v>다음 편: 하갈과 이스마엘</v>
      </c>
      <c r="X28" s="23" t="s">
        <v>130</v>
      </c>
      <c r="Y28" s="23" t="s">
        <v>130</v>
      </c>
      <c r="Z28" s="23" t="s">
        <v>130</v>
      </c>
      <c r="AA28" s="23" t="s">
        <v>130</v>
      </c>
      <c r="AB28" s="24"/>
      <c r="AC28" s="23" t="str">
        <f aca="false">D28&amp;"#"&amp;E28</f>
        <v>구약#190</v>
      </c>
      <c r="AD28" s="23" t="n">
        <f aca="false">COUNTIFS($C$2:C28,C28,$D$2:D28,D28)</f>
        <v>8</v>
      </c>
    </row>
    <row r="29" customFormat="false" ht="52.2" hidden="false" customHeight="false" outlineLevel="0" collapsed="false">
      <c r="A29" s="21" t="n">
        <v>28</v>
      </c>
      <c r="B29" s="18" t="s">
        <v>361</v>
      </c>
      <c r="C29" s="20" t="n">
        <v>1</v>
      </c>
      <c r="D29" s="20" t="s">
        <v>116</v>
      </c>
      <c r="E29" s="20" t="n">
        <f aca="false">IF(C29=1,COUNTIFS($C$2:C29,1,$D$2:D29,D29),COUNTIFS($C$2:$C$799,1,$D$2:$D$799,D29)+COUNTIFS($C$2:C29,2,$D$2:D29,D29))</f>
        <v>20</v>
      </c>
      <c r="F29" s="20" t="str">
        <f aca="false">D29&amp;" #"&amp;TEXT(E29,"000")</f>
        <v>구약 #020</v>
      </c>
      <c r="G29" s="18" t="s">
        <v>325</v>
      </c>
      <c r="H29" s="18" t="s">
        <v>326</v>
      </c>
      <c r="I29" s="21" t="s">
        <v>119</v>
      </c>
      <c r="J29" s="22" t="s">
        <v>362</v>
      </c>
      <c r="K29" s="23" t="s">
        <v>121</v>
      </c>
      <c r="L29" s="24" t="s">
        <v>363</v>
      </c>
      <c r="M29" s="24" t="s">
        <v>364</v>
      </c>
      <c r="N29" s="23" t="s">
        <v>365</v>
      </c>
      <c r="O29" s="24" t="s">
        <v>366</v>
      </c>
      <c r="P29" s="24" t="s">
        <v>367</v>
      </c>
      <c r="Q29" s="24" t="s">
        <v>368</v>
      </c>
      <c r="R29" s="25" t="s">
        <v>369</v>
      </c>
      <c r="S29" s="28" t="s">
        <v>370</v>
      </c>
      <c r="T29" s="24" t="str">
        <f aca="false">"["&amp;안내!$C$5&amp;" "&amp;F29&amp;"] "&amp;L29&amp;" | "&amp;J29</f>
        <v>[1분 성경 구약 #020] 하늘의 별을 세어 보라 | 창 15:1-21</v>
      </c>
      <c r="U29" s="26" t="n">
        <f aca="false">IF(D29="구약",IF(C29=1,안내!$C$9,안내!$C$10)+AD29-1,IF(C29=1,안내!$C$9,안내!$C$10)+7*INT((AD29-1)/4)+CHOOSE(MOD(AD29-1,4)+1,0,2,4,5))</f>
        <v>46410</v>
      </c>
      <c r="V29" s="23" t="str">
        <f aca="false">CHOOSE(WEEKDAY(U29,2),"월","화","수","목","금","토","일")</f>
        <v>토</v>
      </c>
      <c r="W29" s="24" t="str">
        <f aca="false">IFERROR(IF(INDEX($C$2:$C$799,MATCH(D29&amp;"#"&amp;(E29+1),$AC$2:$AC$799,0))=C29,"다음 편: ","시즌1 완결 · 시즌2 첫 편: ")&amp;INDEX($L$2:$L$799,MATCH(D29&amp;"#"&amp;(E29+1),$AC$2:$AC$799,0)),"구약 트랙 완결")</f>
        <v>다음 편: 세 나그네</v>
      </c>
      <c r="X29" s="23" t="s">
        <v>130</v>
      </c>
      <c r="Y29" s="23" t="s">
        <v>130</v>
      </c>
      <c r="Z29" s="23" t="s">
        <v>130</v>
      </c>
      <c r="AA29" s="23" t="s">
        <v>130</v>
      </c>
      <c r="AB29" s="24"/>
      <c r="AC29" s="23" t="str">
        <f aca="false">D29&amp;"#"&amp;E29</f>
        <v>구약#20</v>
      </c>
      <c r="AD29" s="23" t="n">
        <f aca="false">COUNTIFS($C$2:C29,C29,$D$2:D29,D29)</f>
        <v>20</v>
      </c>
    </row>
    <row r="30" customFormat="false" ht="26.85" hidden="false" customHeight="false" outlineLevel="0" collapsed="false">
      <c r="A30" s="21" t="n">
        <v>29</v>
      </c>
      <c r="B30" s="18" t="s">
        <v>371</v>
      </c>
      <c r="C30" s="23" t="n">
        <v>2</v>
      </c>
      <c r="D30" s="23" t="s">
        <v>116</v>
      </c>
      <c r="E30" s="23" t="n">
        <f aca="false">IF(C30=1,COUNTIFS($C$2:C30,1,$D$2:D30,D30),COUNTIFS($C$2:$C$799,1,$D$2:$D$799,D30)+COUNTIFS($C$2:C30,2,$D$2:D30,D30))</f>
        <v>191</v>
      </c>
      <c r="F30" s="23" t="str">
        <f aca="false">D30&amp;" #"&amp;TEXT(E30,"000")</f>
        <v>구약 #191</v>
      </c>
      <c r="G30" s="18" t="s">
        <v>325</v>
      </c>
      <c r="H30" s="18" t="s">
        <v>218</v>
      </c>
      <c r="I30" s="21" t="s">
        <v>119</v>
      </c>
      <c r="J30" s="22" t="s">
        <v>372</v>
      </c>
      <c r="K30" s="23" t="s">
        <v>121</v>
      </c>
      <c r="L30" s="24" t="s">
        <v>373</v>
      </c>
      <c r="M30" s="24" t="s">
        <v>374</v>
      </c>
      <c r="N30" s="23" t="s">
        <v>375</v>
      </c>
      <c r="O30" s="24" t="s">
        <v>376</v>
      </c>
      <c r="P30" s="24" t="s">
        <v>377</v>
      </c>
      <c r="Q30" s="24" t="s">
        <v>378</v>
      </c>
      <c r="R30" s="25" t="s">
        <v>379</v>
      </c>
      <c r="S30" s="24" t="s">
        <v>380</v>
      </c>
      <c r="T30" s="24" t="str">
        <f aca="false">"["&amp;안내!$C$5&amp;" "&amp;F30&amp;"] "&amp;L30&amp;" | "&amp;J30</f>
        <v>[1분 성경 구약 #191] 하갈과 이스마엘 | 창 16:1-16</v>
      </c>
      <c r="U30" s="26" t="n">
        <f aca="false">IF(D30="구약",IF(C30=1,안내!$C$9,안내!$C$10)+AD30-1,IF(C30=1,안내!$C$9,안내!$C$10)+7*INT((AD30-1)/4)+CHOOSE(MOD(AD30-1,4)+1,0,2,4,5))</f>
        <v>46588</v>
      </c>
      <c r="V30" s="23" t="str">
        <f aca="false">CHOOSE(WEEKDAY(U30,2),"월","화","수","목","금","토","일")</f>
        <v>화</v>
      </c>
      <c r="W30" s="24" t="str">
        <f aca="false">IFERROR(IF(INDEX($C$2:$C$799,MATCH(D30&amp;"#"&amp;(E30+1),$AC$2:$AC$799,0))=C30,"다음 편: ","시즌1 완결 · 시즌2 첫 편: ")&amp;INDEX($L$2:$L$799,MATCH(D30&amp;"#"&amp;(E30+1),$AC$2:$AC$799,0)),"구약 트랙 완결")</f>
        <v>다음 편: 이름이 바뀌다</v>
      </c>
      <c r="X30" s="23" t="s">
        <v>130</v>
      </c>
      <c r="Y30" s="23" t="s">
        <v>130</v>
      </c>
      <c r="Z30" s="23" t="s">
        <v>130</v>
      </c>
      <c r="AA30" s="23" t="s">
        <v>130</v>
      </c>
      <c r="AB30" s="24"/>
      <c r="AC30" s="23" t="str">
        <f aca="false">D30&amp;"#"&amp;E30</f>
        <v>구약#191</v>
      </c>
      <c r="AD30" s="23" t="n">
        <f aca="false">COUNTIFS($C$2:C30,C30,$D$2:D30,D30)</f>
        <v>9</v>
      </c>
    </row>
    <row r="31" customFormat="false" ht="26.85" hidden="false" customHeight="false" outlineLevel="0" collapsed="false">
      <c r="A31" s="21" t="n">
        <v>30</v>
      </c>
      <c r="B31" s="18" t="s">
        <v>381</v>
      </c>
      <c r="C31" s="23" t="n">
        <v>2</v>
      </c>
      <c r="D31" s="23" t="s">
        <v>116</v>
      </c>
      <c r="E31" s="23" t="n">
        <f aca="false">IF(C31=1,COUNTIFS($C$2:C31,1,$D$2:D31,D31),COUNTIFS($C$2:$C$799,1,$D$2:$D$799,D31)+COUNTIFS($C$2:C31,2,$D$2:D31,D31))</f>
        <v>192</v>
      </c>
      <c r="F31" s="23" t="str">
        <f aca="false">D31&amp;" #"&amp;TEXT(E31,"000")</f>
        <v>구약 #192</v>
      </c>
      <c r="G31" s="18" t="s">
        <v>325</v>
      </c>
      <c r="H31" s="18" t="s">
        <v>218</v>
      </c>
      <c r="I31" s="21" t="s">
        <v>119</v>
      </c>
      <c r="J31" s="22" t="s">
        <v>382</v>
      </c>
      <c r="K31" s="23" t="s">
        <v>121</v>
      </c>
      <c r="L31" s="24" t="s">
        <v>383</v>
      </c>
      <c r="M31" s="29" t="s">
        <v>384</v>
      </c>
      <c r="N31" s="23" t="s">
        <v>385</v>
      </c>
      <c r="O31" s="24" t="s">
        <v>386</v>
      </c>
      <c r="P31" s="24" t="s">
        <v>387</v>
      </c>
      <c r="Q31" s="24" t="s">
        <v>388</v>
      </c>
      <c r="R31" s="25" t="s">
        <v>389</v>
      </c>
      <c r="S31" s="24" t="s">
        <v>380</v>
      </c>
      <c r="T31" s="24" t="str">
        <f aca="false">"["&amp;안내!$C$5&amp;" "&amp;F31&amp;"] "&amp;L31&amp;" | "&amp;J31</f>
        <v>[1분 성경 구약 #192] 이름이 바뀌다 | 창 17:1-27</v>
      </c>
      <c r="U31" s="26" t="n">
        <f aca="false">IF(D31="구약",IF(C31=1,안내!$C$9,안내!$C$10)+AD31-1,IF(C31=1,안내!$C$9,안내!$C$10)+7*INT((AD31-1)/4)+CHOOSE(MOD(AD31-1,4)+1,0,2,4,5))</f>
        <v>46589</v>
      </c>
      <c r="V31" s="23" t="str">
        <f aca="false">CHOOSE(WEEKDAY(U31,2),"월","화","수","목","금","토","일")</f>
        <v>수</v>
      </c>
      <c r="W31" s="24" t="str">
        <f aca="false">IFERROR(IF(INDEX($C$2:$C$799,MATCH(D31&amp;"#"&amp;(E31+1),$AC$2:$AC$799,0))=C31,"다음 편: ","시즌1 완결 · 시즌2 첫 편: ")&amp;INDEX($L$2:$L$799,MATCH(D31&amp;"#"&amp;(E31+1),$AC$2:$AC$799,0)),"구약 트랙 완결")</f>
        <v>다음 편: 의인 열 명만 있다면</v>
      </c>
      <c r="X31" s="23" t="s">
        <v>130</v>
      </c>
      <c r="Y31" s="23" t="s">
        <v>130</v>
      </c>
      <c r="Z31" s="23" t="s">
        <v>130</v>
      </c>
      <c r="AA31" s="23" t="s">
        <v>130</v>
      </c>
      <c r="AB31" s="24"/>
      <c r="AC31" s="23" t="str">
        <f aca="false">D31&amp;"#"&amp;E31</f>
        <v>구약#192</v>
      </c>
      <c r="AD31" s="23" t="n">
        <f aca="false">COUNTIFS($C$2:C31,C31,$D$2:D31,D31)</f>
        <v>10</v>
      </c>
    </row>
    <row r="32" customFormat="false" ht="39.55" hidden="false" customHeight="false" outlineLevel="0" collapsed="false">
      <c r="A32" s="21" t="n">
        <v>31</v>
      </c>
      <c r="B32" s="18" t="s">
        <v>390</v>
      </c>
      <c r="C32" s="20" t="n">
        <v>1</v>
      </c>
      <c r="D32" s="20" t="s">
        <v>116</v>
      </c>
      <c r="E32" s="20" t="n">
        <f aca="false">IF(C32=1,COUNTIFS($C$2:C32,1,$D$2:D32,D32),COUNTIFS($C$2:$C$799,1,$D$2:$D$799,D32)+COUNTIFS($C$2:C32,2,$D$2:D32,D32))</f>
        <v>21</v>
      </c>
      <c r="F32" s="20" t="str">
        <f aca="false">D32&amp;" #"&amp;TEXT(E32,"000")</f>
        <v>구약 #021</v>
      </c>
      <c r="G32" s="18" t="s">
        <v>391</v>
      </c>
      <c r="H32" s="18" t="s">
        <v>326</v>
      </c>
      <c r="I32" s="21" t="s">
        <v>119</v>
      </c>
      <c r="J32" s="22" t="s">
        <v>392</v>
      </c>
      <c r="K32" s="23" t="s">
        <v>121</v>
      </c>
      <c r="L32" s="24" t="s">
        <v>393</v>
      </c>
      <c r="M32" s="29" t="s">
        <v>394</v>
      </c>
      <c r="N32" s="23" t="s">
        <v>395</v>
      </c>
      <c r="O32" s="24" t="s">
        <v>396</v>
      </c>
      <c r="P32" s="24" t="s">
        <v>397</v>
      </c>
      <c r="Q32" s="24" t="s">
        <v>398</v>
      </c>
      <c r="R32" s="25" t="s">
        <v>399</v>
      </c>
      <c r="S32" s="28" t="s">
        <v>400</v>
      </c>
      <c r="T32" s="24" t="str">
        <f aca="false">"["&amp;안내!$C$5&amp;" "&amp;F32&amp;"] "&amp;L32&amp;" | "&amp;J32</f>
        <v>[1분 성경 구약 #021] 세 나그네 | 창 18:1-15</v>
      </c>
      <c r="U32" s="26" t="n">
        <f aca="false">IF(D32="구약",IF(C32=1,안내!$C$9,안내!$C$10)+AD32-1,IF(C32=1,안내!$C$9,안내!$C$10)+7*INT((AD32-1)/4)+CHOOSE(MOD(AD32-1,4)+1,0,2,4,5))</f>
        <v>46411</v>
      </c>
      <c r="V32" s="23" t="str">
        <f aca="false">CHOOSE(WEEKDAY(U32,2),"월","화","수","목","금","토","일")</f>
        <v>일</v>
      </c>
      <c r="W32" s="24" t="str">
        <f aca="false">IFERROR(IF(INDEX($C$2:$C$799,MATCH(D32&amp;"#"&amp;(E32+1),$AC$2:$AC$799,0))=C32,"다음 편: ","시즌1 완결 · 시즌2 첫 편: ")&amp;INDEX($L$2:$L$799,MATCH(D32&amp;"#"&amp;(E32+1),$AC$2:$AC$799,0)),"구약 트랙 완결")</f>
        <v>다음 편: 웃음이라는 이름의 아이</v>
      </c>
      <c r="X32" s="23" t="s">
        <v>130</v>
      </c>
      <c r="Y32" s="23" t="s">
        <v>130</v>
      </c>
      <c r="Z32" s="23" t="s">
        <v>130</v>
      </c>
      <c r="AA32" s="23" t="s">
        <v>130</v>
      </c>
      <c r="AB32" s="24"/>
      <c r="AC32" s="23" t="str">
        <f aca="false">D32&amp;"#"&amp;E32</f>
        <v>구약#21</v>
      </c>
      <c r="AD32" s="23" t="n">
        <f aca="false">COUNTIFS($C$2:C32,C32,$D$2:D32,D32)</f>
        <v>21</v>
      </c>
    </row>
    <row r="33" customFormat="false" ht="26.85" hidden="false" customHeight="false" outlineLevel="0" collapsed="false">
      <c r="A33" s="21" t="n">
        <v>32</v>
      </c>
      <c r="B33" s="18" t="s">
        <v>401</v>
      </c>
      <c r="C33" s="23" t="n">
        <v>2</v>
      </c>
      <c r="D33" s="23" t="s">
        <v>116</v>
      </c>
      <c r="E33" s="23" t="n">
        <f aca="false">IF(C33=1,COUNTIFS($C$2:C33,1,$D$2:D33,D33),COUNTIFS($C$2:$C$799,1,$D$2:$D$799,D33)+COUNTIFS($C$2:C33,2,$D$2:D33,D33))</f>
        <v>193</v>
      </c>
      <c r="F33" s="23" t="str">
        <f aca="false">D33&amp;" #"&amp;TEXT(E33,"000")</f>
        <v>구약 #193</v>
      </c>
      <c r="G33" s="18" t="s">
        <v>391</v>
      </c>
      <c r="H33" s="18" t="s">
        <v>402</v>
      </c>
      <c r="I33" s="21" t="s">
        <v>119</v>
      </c>
      <c r="J33" s="22" t="s">
        <v>403</v>
      </c>
      <c r="K33" s="23" t="s">
        <v>121</v>
      </c>
      <c r="L33" s="24" t="s">
        <v>404</v>
      </c>
      <c r="M33" s="24" t="s">
        <v>405</v>
      </c>
      <c r="N33" s="23" t="s">
        <v>406</v>
      </c>
      <c r="O33" s="24" t="s">
        <v>407</v>
      </c>
      <c r="P33" s="24" t="s">
        <v>408</v>
      </c>
      <c r="Q33" s="24" t="s">
        <v>409</v>
      </c>
      <c r="R33" s="24"/>
      <c r="S33" s="24" t="s">
        <v>410</v>
      </c>
      <c r="T33" s="24" t="str">
        <f aca="false">"["&amp;안내!$C$5&amp;" "&amp;F33&amp;"] "&amp;L33&amp;" | "&amp;J33</f>
        <v>[1분 성경 구약 #193] 의인 열 명만 있다면 | 창 18:16-33</v>
      </c>
      <c r="U33" s="26" t="n">
        <f aca="false">IF(D33="구약",IF(C33=1,안내!$C$9,안내!$C$10)+AD33-1,IF(C33=1,안내!$C$9,안내!$C$10)+7*INT((AD33-1)/4)+CHOOSE(MOD(AD33-1,4)+1,0,2,4,5))</f>
        <v>46590</v>
      </c>
      <c r="V33" s="23" t="str">
        <f aca="false">CHOOSE(WEEKDAY(U33,2),"월","화","수","목","금","토","일")</f>
        <v>목</v>
      </c>
      <c r="W33" s="24" t="str">
        <f aca="false">IFERROR(IF(INDEX($C$2:$C$799,MATCH(D33&amp;"#"&amp;(E33+1),$AC$2:$AC$799,0))=C33,"다음 편: ","시즌1 완결 · 시즌2 첫 편: ")&amp;INDEX($L$2:$L$799,MATCH(D33&amp;"#"&amp;(E33+1),$AC$2:$AC$799,0)),"구약 트랙 완결")</f>
        <v>다음 편: 소돔과 고모라</v>
      </c>
      <c r="X33" s="23" t="s">
        <v>130</v>
      </c>
      <c r="Y33" s="23" t="s">
        <v>130</v>
      </c>
      <c r="Z33" s="23" t="s">
        <v>130</v>
      </c>
      <c r="AA33" s="23" t="s">
        <v>130</v>
      </c>
      <c r="AB33" s="24"/>
      <c r="AC33" s="23" t="str">
        <f aca="false">D33&amp;"#"&amp;E33</f>
        <v>구약#193</v>
      </c>
      <c r="AD33" s="23" t="n">
        <f aca="false">COUNTIFS($C$2:C33,C33,$D$2:D33,D33)</f>
        <v>11</v>
      </c>
    </row>
    <row r="34" customFormat="false" ht="26.85" hidden="false" customHeight="false" outlineLevel="0" collapsed="false">
      <c r="A34" s="21" t="n">
        <v>33</v>
      </c>
      <c r="B34" s="18" t="s">
        <v>411</v>
      </c>
      <c r="C34" s="23" t="n">
        <v>2</v>
      </c>
      <c r="D34" s="23" t="s">
        <v>116</v>
      </c>
      <c r="E34" s="23" t="n">
        <f aca="false">IF(C34=1,COUNTIFS($C$2:C34,1,$D$2:D34,D34),COUNTIFS($C$2:$C$799,1,$D$2:$D$799,D34)+COUNTIFS($C$2:C34,2,$D$2:D34,D34))</f>
        <v>194</v>
      </c>
      <c r="F34" s="23" t="str">
        <f aca="false">D34&amp;" #"&amp;TEXT(E34,"000")</f>
        <v>구약 #194</v>
      </c>
      <c r="G34" s="18" t="s">
        <v>391</v>
      </c>
      <c r="H34" s="18" t="s">
        <v>402</v>
      </c>
      <c r="I34" s="21" t="s">
        <v>119</v>
      </c>
      <c r="J34" s="22" t="s">
        <v>412</v>
      </c>
      <c r="K34" s="23" t="s">
        <v>121</v>
      </c>
      <c r="L34" s="24" t="s">
        <v>413</v>
      </c>
      <c r="M34" s="24" t="s">
        <v>414</v>
      </c>
      <c r="N34" s="23" t="s">
        <v>415</v>
      </c>
      <c r="O34" s="24" t="s">
        <v>416</v>
      </c>
      <c r="P34" s="24" t="s">
        <v>417</v>
      </c>
      <c r="Q34" s="24" t="s">
        <v>418</v>
      </c>
      <c r="R34" s="25" t="s">
        <v>419</v>
      </c>
      <c r="S34" s="24" t="s">
        <v>410</v>
      </c>
      <c r="T34" s="24" t="str">
        <f aca="false">"["&amp;안내!$C$5&amp;" "&amp;F34&amp;"] "&amp;L34&amp;" | "&amp;J34</f>
        <v>[1분 성경 구약 #194] 소돔과 고모라 | 창 19:1-29</v>
      </c>
      <c r="U34" s="26" t="n">
        <f aca="false">IF(D34="구약",IF(C34=1,안내!$C$9,안내!$C$10)+AD34-1,IF(C34=1,안내!$C$9,안내!$C$10)+7*INT((AD34-1)/4)+CHOOSE(MOD(AD34-1,4)+1,0,2,4,5))</f>
        <v>46591</v>
      </c>
      <c r="V34" s="23" t="str">
        <f aca="false">CHOOSE(WEEKDAY(U34,2),"월","화","수","목","금","토","일")</f>
        <v>금</v>
      </c>
      <c r="W34" s="24" t="str">
        <f aca="false">IFERROR(IF(INDEX($C$2:$C$799,MATCH(D34&amp;"#"&amp;(E34+1),$AC$2:$AC$799,0))=C34,"다음 편: ","시즌1 완결 · 시즌2 첫 편: ")&amp;INDEX($L$2:$L$799,MATCH(D34&amp;"#"&amp;(E34+1),$AC$2:$AC$799,0)),"구약 트랙 완결")</f>
        <v>다음 편: 같은 실수를 또?</v>
      </c>
      <c r="X34" s="23" t="s">
        <v>130</v>
      </c>
      <c r="Y34" s="23" t="s">
        <v>130</v>
      </c>
      <c r="Z34" s="23" t="s">
        <v>130</v>
      </c>
      <c r="AA34" s="23" t="s">
        <v>130</v>
      </c>
      <c r="AB34" s="24"/>
      <c r="AC34" s="23" t="str">
        <f aca="false">D34&amp;"#"&amp;E34</f>
        <v>구약#194</v>
      </c>
      <c r="AD34" s="23" t="n">
        <f aca="false">COUNTIFS($C$2:C34,C34,$D$2:D34,D34)</f>
        <v>12</v>
      </c>
    </row>
    <row r="35" customFormat="false" ht="25.35" hidden="false" customHeight="false" outlineLevel="0" collapsed="false">
      <c r="A35" s="21" t="n">
        <v>34</v>
      </c>
      <c r="B35" s="18" t="s">
        <v>420</v>
      </c>
      <c r="C35" s="23" t="n">
        <v>2</v>
      </c>
      <c r="D35" s="23" t="s">
        <v>116</v>
      </c>
      <c r="E35" s="23" t="n">
        <f aca="false">IF(C35=1,COUNTIFS($C$2:C35,1,$D$2:D35,D35),COUNTIFS($C$2:$C$799,1,$D$2:$D$799,D35)+COUNTIFS($C$2:C35,2,$D$2:D35,D35))</f>
        <v>195</v>
      </c>
      <c r="F35" s="23" t="str">
        <f aca="false">D35&amp;" #"&amp;TEXT(E35,"000")</f>
        <v>구약 #195</v>
      </c>
      <c r="G35" s="18" t="s">
        <v>391</v>
      </c>
      <c r="H35" s="18" t="s">
        <v>402</v>
      </c>
      <c r="I35" s="21" t="s">
        <v>119</v>
      </c>
      <c r="J35" s="22" t="s">
        <v>421</v>
      </c>
      <c r="K35" s="23" t="s">
        <v>121</v>
      </c>
      <c r="L35" s="24" t="s">
        <v>422</v>
      </c>
      <c r="M35" s="24" t="s">
        <v>423</v>
      </c>
      <c r="N35" s="23" t="s">
        <v>424</v>
      </c>
      <c r="O35" s="24" t="s">
        <v>425</v>
      </c>
      <c r="P35" s="24" t="s">
        <v>426</v>
      </c>
      <c r="Q35" s="24" t="s">
        <v>427</v>
      </c>
      <c r="R35" s="24"/>
      <c r="S35" s="24" t="s">
        <v>410</v>
      </c>
      <c r="T35" s="24" t="str">
        <f aca="false">"["&amp;안내!$C$5&amp;" "&amp;F35&amp;"] "&amp;L35&amp;" | "&amp;J35</f>
        <v>[1분 성경 구약 #195] 같은 실수를 또? | 창 20:1-18</v>
      </c>
      <c r="U35" s="26" t="n">
        <f aca="false">IF(D35="구약",IF(C35=1,안내!$C$9,안내!$C$10)+AD35-1,IF(C35=1,안내!$C$9,안내!$C$10)+7*INT((AD35-1)/4)+CHOOSE(MOD(AD35-1,4)+1,0,2,4,5))</f>
        <v>46592</v>
      </c>
      <c r="V35" s="23" t="str">
        <f aca="false">CHOOSE(WEEKDAY(U35,2),"월","화","수","목","금","토","일")</f>
        <v>토</v>
      </c>
      <c r="W35" s="24" t="str">
        <f aca="false">IFERROR(IF(INDEX($C$2:$C$799,MATCH(D35&amp;"#"&amp;(E35+1),$AC$2:$AC$799,0))=C35,"다음 편: ","시즌1 완결 · 시즌2 첫 편: ")&amp;INDEX($L$2:$L$799,MATCH(D35&amp;"#"&amp;(E35+1),$AC$2:$AC$799,0)),"구약 트랙 완결")</f>
        <v>다음 편: 광야에서 우는 아이</v>
      </c>
      <c r="X35" s="23" t="s">
        <v>130</v>
      </c>
      <c r="Y35" s="23" t="s">
        <v>130</v>
      </c>
      <c r="Z35" s="23" t="s">
        <v>130</v>
      </c>
      <c r="AA35" s="23" t="s">
        <v>130</v>
      </c>
      <c r="AB35" s="24"/>
      <c r="AC35" s="23" t="str">
        <f aca="false">D35&amp;"#"&amp;E35</f>
        <v>구약#195</v>
      </c>
      <c r="AD35" s="23" t="n">
        <f aca="false">COUNTIFS($C$2:C35,C35,$D$2:D35,D35)</f>
        <v>13</v>
      </c>
    </row>
    <row r="36" customFormat="false" ht="52.2" hidden="false" customHeight="false" outlineLevel="0" collapsed="false">
      <c r="A36" s="21" t="n">
        <v>35</v>
      </c>
      <c r="B36" s="18" t="s">
        <v>428</v>
      </c>
      <c r="C36" s="20" t="n">
        <v>1</v>
      </c>
      <c r="D36" s="20" t="s">
        <v>116</v>
      </c>
      <c r="E36" s="20" t="n">
        <f aca="false">IF(C36=1,COUNTIFS($C$2:C36,1,$D$2:D36,D36),COUNTIFS($C$2:$C$799,1,$D$2:$D$799,D36)+COUNTIFS($C$2:C36,2,$D$2:D36,D36))</f>
        <v>22</v>
      </c>
      <c r="F36" s="20" t="str">
        <f aca="false">D36&amp;" #"&amp;TEXT(E36,"000")</f>
        <v>구약 #022</v>
      </c>
      <c r="G36" s="18" t="s">
        <v>391</v>
      </c>
      <c r="H36" s="18" t="s">
        <v>326</v>
      </c>
      <c r="I36" s="21" t="s">
        <v>119</v>
      </c>
      <c r="J36" s="22" t="s">
        <v>429</v>
      </c>
      <c r="K36" s="23" t="s">
        <v>121</v>
      </c>
      <c r="L36" s="24" t="s">
        <v>430</v>
      </c>
      <c r="M36" s="29" t="s">
        <v>431</v>
      </c>
      <c r="N36" s="23" t="s">
        <v>432</v>
      </c>
      <c r="O36" s="24" t="s">
        <v>433</v>
      </c>
      <c r="P36" s="24" t="s">
        <v>434</v>
      </c>
      <c r="Q36" s="24" t="s">
        <v>388</v>
      </c>
      <c r="R36" s="24"/>
      <c r="S36" s="28" t="s">
        <v>435</v>
      </c>
      <c r="T36" s="24" t="str">
        <f aca="false">"["&amp;안내!$C$5&amp;" "&amp;F36&amp;"] "&amp;L36&amp;" | "&amp;J36</f>
        <v>[1분 성경 구약 #022] 웃음이라는 이름의 아이 | 창 21:1-7</v>
      </c>
      <c r="U36" s="26" t="n">
        <f aca="false">IF(D36="구약",IF(C36=1,안내!$C$9,안내!$C$10)+AD36-1,IF(C36=1,안내!$C$9,안내!$C$10)+7*INT((AD36-1)/4)+CHOOSE(MOD(AD36-1,4)+1,0,2,4,5))</f>
        <v>46412</v>
      </c>
      <c r="V36" s="23" t="str">
        <f aca="false">CHOOSE(WEEKDAY(U36,2),"월","화","수","목","금","토","일")</f>
        <v>월</v>
      </c>
      <c r="W36" s="24" t="str">
        <f aca="false">IFERROR(IF(INDEX($C$2:$C$799,MATCH(D36&amp;"#"&amp;(E36+1),$AC$2:$AC$799,0))=C36,"다음 편: ","시즌1 완결 · 시즌2 첫 편: ")&amp;INDEX($L$2:$L$799,MATCH(D36&amp;"#"&amp;(E36+1),$AC$2:$AC$799,0)),"구약 트랙 완결")</f>
        <v>다음 편: 모리아 산</v>
      </c>
      <c r="X36" s="23" t="s">
        <v>130</v>
      </c>
      <c r="Y36" s="23" t="s">
        <v>130</v>
      </c>
      <c r="Z36" s="23" t="s">
        <v>130</v>
      </c>
      <c r="AA36" s="23" t="s">
        <v>130</v>
      </c>
      <c r="AB36" s="24"/>
      <c r="AC36" s="23" t="str">
        <f aca="false">D36&amp;"#"&amp;E36</f>
        <v>구약#22</v>
      </c>
      <c r="AD36" s="23" t="n">
        <f aca="false">COUNTIFS($C$2:C36,C36,$D$2:D36,D36)</f>
        <v>22</v>
      </c>
    </row>
    <row r="37" customFormat="false" ht="26.85" hidden="false" customHeight="false" outlineLevel="0" collapsed="false">
      <c r="A37" s="21" t="n">
        <v>36</v>
      </c>
      <c r="B37" s="18" t="s">
        <v>436</v>
      </c>
      <c r="C37" s="23" t="n">
        <v>2</v>
      </c>
      <c r="D37" s="23" t="s">
        <v>116</v>
      </c>
      <c r="E37" s="23" t="n">
        <f aca="false">IF(C37=1,COUNTIFS($C$2:C37,1,$D$2:D37,D37),COUNTIFS($C$2:$C$799,1,$D$2:$D$799,D37)+COUNTIFS($C$2:C37,2,$D$2:D37,D37))</f>
        <v>196</v>
      </c>
      <c r="F37" s="23" t="str">
        <f aca="false">D37&amp;" #"&amp;TEXT(E37,"000")</f>
        <v>구약 #196</v>
      </c>
      <c r="G37" s="18" t="s">
        <v>391</v>
      </c>
      <c r="H37" s="18" t="s">
        <v>402</v>
      </c>
      <c r="I37" s="21" t="s">
        <v>119</v>
      </c>
      <c r="J37" s="22" t="s">
        <v>437</v>
      </c>
      <c r="K37" s="23" t="s">
        <v>121</v>
      </c>
      <c r="L37" s="24" t="s">
        <v>438</v>
      </c>
      <c r="M37" s="24" t="s">
        <v>439</v>
      </c>
      <c r="N37" s="23" t="s">
        <v>440</v>
      </c>
      <c r="O37" s="24" t="s">
        <v>441</v>
      </c>
      <c r="P37" s="24" t="s">
        <v>442</v>
      </c>
      <c r="Q37" s="24" t="s">
        <v>443</v>
      </c>
      <c r="R37" s="24"/>
      <c r="S37" s="24" t="s">
        <v>444</v>
      </c>
      <c r="T37" s="24" t="str">
        <f aca="false">"["&amp;안내!$C$5&amp;" "&amp;F37&amp;"] "&amp;L37&amp;" | "&amp;J37</f>
        <v>[1분 성경 구약 #196] 광야에서 우는 아이 | 창 21:8-34</v>
      </c>
      <c r="U37" s="26" t="n">
        <f aca="false">IF(D37="구약",IF(C37=1,안내!$C$9,안내!$C$10)+AD37-1,IF(C37=1,안내!$C$9,안내!$C$10)+7*INT((AD37-1)/4)+CHOOSE(MOD(AD37-1,4)+1,0,2,4,5))</f>
        <v>46593</v>
      </c>
      <c r="V37" s="23" t="str">
        <f aca="false">CHOOSE(WEEKDAY(U37,2),"월","화","수","목","금","토","일")</f>
        <v>일</v>
      </c>
      <c r="W37" s="24" t="str">
        <f aca="false">IFERROR(IF(INDEX($C$2:$C$799,MATCH(D37&amp;"#"&amp;(E37+1),$AC$2:$AC$799,0))=C37,"다음 편: ","시즌1 완결 · 시즌2 첫 편: ")&amp;INDEX($L$2:$L$799,MATCH(D37&amp;"#"&amp;(E37+1),$AC$2:$AC$799,0)),"구약 트랙 완결")</f>
        <v>다음 편: 사라의 죽음과 막벨라 굴</v>
      </c>
      <c r="X37" s="23" t="s">
        <v>130</v>
      </c>
      <c r="Y37" s="23" t="s">
        <v>130</v>
      </c>
      <c r="Z37" s="23" t="s">
        <v>130</v>
      </c>
      <c r="AA37" s="23" t="s">
        <v>130</v>
      </c>
      <c r="AB37" s="24"/>
      <c r="AC37" s="23" t="str">
        <f aca="false">D37&amp;"#"&amp;E37</f>
        <v>구약#196</v>
      </c>
      <c r="AD37" s="23" t="n">
        <f aca="false">COUNTIFS($C$2:C37,C37,$D$2:D37,D37)</f>
        <v>14</v>
      </c>
    </row>
    <row r="38" customFormat="false" ht="26.85" hidden="false" customHeight="false" outlineLevel="0" collapsed="false">
      <c r="A38" s="21" t="n">
        <v>37</v>
      </c>
      <c r="B38" s="18" t="s">
        <v>445</v>
      </c>
      <c r="C38" s="20" t="n">
        <v>1</v>
      </c>
      <c r="D38" s="20" t="s">
        <v>116</v>
      </c>
      <c r="E38" s="20" t="n">
        <f aca="false">IF(C38=1,COUNTIFS($C$2:C38,1,$D$2:D38,D38),COUNTIFS($C$2:$C$799,1,$D$2:$D$799,D38)+COUNTIFS($C$2:C38,2,$D$2:D38,D38))</f>
        <v>23</v>
      </c>
      <c r="F38" s="20" t="str">
        <f aca="false">D38&amp;" #"&amp;TEXT(E38,"000")</f>
        <v>구약 #023</v>
      </c>
      <c r="G38" s="18" t="s">
        <v>391</v>
      </c>
      <c r="H38" s="18" t="s">
        <v>326</v>
      </c>
      <c r="I38" s="21" t="s">
        <v>119</v>
      </c>
      <c r="J38" s="22" t="s">
        <v>446</v>
      </c>
      <c r="K38" s="23" t="s">
        <v>121</v>
      </c>
      <c r="L38" s="24" t="s">
        <v>447</v>
      </c>
      <c r="M38" s="24" t="s">
        <v>448</v>
      </c>
      <c r="N38" s="23" t="s">
        <v>449</v>
      </c>
      <c r="O38" s="24" t="s">
        <v>450</v>
      </c>
      <c r="P38" s="24" t="s">
        <v>451</v>
      </c>
      <c r="Q38" s="24" t="s">
        <v>452</v>
      </c>
      <c r="R38" s="25" t="s">
        <v>453</v>
      </c>
      <c r="S38" s="28" t="s">
        <v>454</v>
      </c>
      <c r="T38" s="24" t="str">
        <f aca="false">"["&amp;안내!$C$5&amp;" "&amp;F38&amp;"] "&amp;L38&amp;" | "&amp;J38</f>
        <v>[1분 성경 구약 #023] 모리아 산 | 창 22:1-19</v>
      </c>
      <c r="U38" s="26" t="n">
        <f aca="false">IF(D38="구약",IF(C38=1,안내!$C$9,안내!$C$10)+AD38-1,IF(C38=1,안내!$C$9,안내!$C$10)+7*INT((AD38-1)/4)+CHOOSE(MOD(AD38-1,4)+1,0,2,4,5))</f>
        <v>46413</v>
      </c>
      <c r="V38" s="23" t="str">
        <f aca="false">CHOOSE(WEEKDAY(U38,2),"월","화","수","목","금","토","일")</f>
        <v>화</v>
      </c>
      <c r="W38" s="24" t="str">
        <f aca="false">IFERROR(IF(INDEX($C$2:$C$799,MATCH(D38&amp;"#"&amp;(E38+1),$AC$2:$AC$799,0))=C38,"다음 편: ","시즌1 완결 · 시즌2 첫 편: ")&amp;INDEX($L$2:$L$799,MATCH(D38&amp;"#"&amp;(E38+1),$AC$2:$AC$799,0)),"구약 트랙 완결")</f>
        <v>다음 편: 낙타에게 물을 주는 여인</v>
      </c>
      <c r="X38" s="23" t="s">
        <v>130</v>
      </c>
      <c r="Y38" s="23" t="s">
        <v>130</v>
      </c>
      <c r="Z38" s="23" t="s">
        <v>130</v>
      </c>
      <c r="AA38" s="23" t="s">
        <v>130</v>
      </c>
      <c r="AB38" s="24"/>
      <c r="AC38" s="23" t="str">
        <f aca="false">D38&amp;"#"&amp;E38</f>
        <v>구약#23</v>
      </c>
      <c r="AD38" s="23" t="n">
        <f aca="false">COUNTIFS($C$2:C38,C38,$D$2:D38,D38)</f>
        <v>23</v>
      </c>
    </row>
    <row r="39" customFormat="false" ht="26.85" hidden="false" customHeight="false" outlineLevel="0" collapsed="false">
      <c r="A39" s="21" t="n">
        <v>38</v>
      </c>
      <c r="B39" s="18" t="s">
        <v>455</v>
      </c>
      <c r="C39" s="23" t="n">
        <v>2</v>
      </c>
      <c r="D39" s="23" t="s">
        <v>116</v>
      </c>
      <c r="E39" s="23" t="n">
        <f aca="false">IF(C39=1,COUNTIFS($C$2:C39,1,$D$2:D39,D39),COUNTIFS($C$2:$C$799,1,$D$2:$D$799,D39)+COUNTIFS($C$2:C39,2,$D$2:D39,D39))</f>
        <v>197</v>
      </c>
      <c r="F39" s="23" t="str">
        <f aca="false">D39&amp;" #"&amp;TEXT(E39,"000")</f>
        <v>구약 #197</v>
      </c>
      <c r="G39" s="18" t="s">
        <v>391</v>
      </c>
      <c r="H39" s="18" t="s">
        <v>402</v>
      </c>
      <c r="I39" s="21" t="s">
        <v>119</v>
      </c>
      <c r="J39" s="22" t="s">
        <v>456</v>
      </c>
      <c r="K39" s="23" t="s">
        <v>121</v>
      </c>
      <c r="L39" s="24" t="s">
        <v>457</v>
      </c>
      <c r="M39" s="24" t="s">
        <v>458</v>
      </c>
      <c r="N39" s="23" t="s">
        <v>459</v>
      </c>
      <c r="O39" s="24" t="s">
        <v>460</v>
      </c>
      <c r="P39" s="24" t="s">
        <v>461</v>
      </c>
      <c r="Q39" s="24" t="s">
        <v>462</v>
      </c>
      <c r="R39" s="24"/>
      <c r="S39" s="24" t="s">
        <v>463</v>
      </c>
      <c r="T39" s="24" t="str">
        <f aca="false">"["&amp;안내!$C$5&amp;" "&amp;F39&amp;"] "&amp;L39&amp;" | "&amp;J39</f>
        <v>[1분 성경 구약 #197] 사라의 죽음과 막벨라 굴 | 창 22:20-23:20</v>
      </c>
      <c r="U39" s="26" t="n">
        <f aca="false">IF(D39="구약",IF(C39=1,안내!$C$9,안내!$C$10)+AD39-1,IF(C39=1,안내!$C$9,안내!$C$10)+7*INT((AD39-1)/4)+CHOOSE(MOD(AD39-1,4)+1,0,2,4,5))</f>
        <v>46594</v>
      </c>
      <c r="V39" s="23" t="str">
        <f aca="false">CHOOSE(WEEKDAY(U39,2),"월","화","수","목","금","토","일")</f>
        <v>월</v>
      </c>
      <c r="W39" s="24" t="str">
        <f aca="false">IFERROR(IF(INDEX($C$2:$C$799,MATCH(D39&amp;"#"&amp;(E39+1),$AC$2:$AC$799,0))=C39,"다음 편: ","시즌1 완결 · 시즌2 첫 편: ")&amp;INDEX($L$2:$L$799,MATCH(D39&amp;"#"&amp;(E39+1),$AC$2:$AC$799,0)),"구약 트랙 완결")</f>
        <v>다음 편: 가겠나이다</v>
      </c>
      <c r="X39" s="23" t="s">
        <v>130</v>
      </c>
      <c r="Y39" s="23" t="s">
        <v>130</v>
      </c>
      <c r="Z39" s="23" t="s">
        <v>130</v>
      </c>
      <c r="AA39" s="23" t="s">
        <v>130</v>
      </c>
      <c r="AB39" s="24"/>
      <c r="AC39" s="23" t="str">
        <f aca="false">D39&amp;"#"&amp;E39</f>
        <v>구약#197</v>
      </c>
      <c r="AD39" s="23" t="n">
        <f aca="false">COUNTIFS($C$2:C39,C39,$D$2:D39,D39)</f>
        <v>15</v>
      </c>
    </row>
    <row r="40" customFormat="false" ht="26.85" hidden="false" customHeight="false" outlineLevel="0" collapsed="false">
      <c r="A40" s="21" t="n">
        <v>39</v>
      </c>
      <c r="B40" s="18" t="s">
        <v>464</v>
      </c>
      <c r="C40" s="20" t="n">
        <v>1</v>
      </c>
      <c r="D40" s="20" t="s">
        <v>116</v>
      </c>
      <c r="E40" s="20" t="n">
        <f aca="false">IF(C40=1,COUNTIFS($C$2:C40,1,$D$2:D40,D40),COUNTIFS($C$2:$C$799,1,$D$2:$D$799,D40)+COUNTIFS($C$2:C40,2,$D$2:D40,D40))</f>
        <v>24</v>
      </c>
      <c r="F40" s="20" t="str">
        <f aca="false">D40&amp;" #"&amp;TEXT(E40,"000")</f>
        <v>구약 #024</v>
      </c>
      <c r="G40" s="18" t="s">
        <v>465</v>
      </c>
      <c r="H40" s="18" t="s">
        <v>326</v>
      </c>
      <c r="I40" s="21" t="s">
        <v>119</v>
      </c>
      <c r="J40" s="22" t="s">
        <v>466</v>
      </c>
      <c r="K40" s="23" t="s">
        <v>121</v>
      </c>
      <c r="L40" s="24" t="s">
        <v>467</v>
      </c>
      <c r="M40" s="24" t="s">
        <v>468</v>
      </c>
      <c r="N40" s="23" t="s">
        <v>469</v>
      </c>
      <c r="O40" s="24" t="s">
        <v>470</v>
      </c>
      <c r="P40" s="24" t="s">
        <v>471</v>
      </c>
      <c r="Q40" s="24" t="s">
        <v>472</v>
      </c>
      <c r="R40" s="24"/>
      <c r="S40" s="28" t="s">
        <v>473</v>
      </c>
      <c r="T40" s="24" t="str">
        <f aca="false">"["&amp;안내!$C$5&amp;" "&amp;F40&amp;"] "&amp;L40&amp;" | "&amp;J40</f>
        <v>[1분 성경 구약 #024] 낙타에게 물을 주는 여인 | 창 24:1-27</v>
      </c>
      <c r="U40" s="26" t="n">
        <f aca="false">IF(D40="구약",IF(C40=1,안내!$C$9,안내!$C$10)+AD40-1,IF(C40=1,안내!$C$9,안내!$C$10)+7*INT((AD40-1)/4)+CHOOSE(MOD(AD40-1,4)+1,0,2,4,5))</f>
        <v>46414</v>
      </c>
      <c r="V40" s="23" t="str">
        <f aca="false">CHOOSE(WEEKDAY(U40,2),"월","화","수","목","금","토","일")</f>
        <v>수</v>
      </c>
      <c r="W40" s="24" t="str">
        <f aca="false">IFERROR(IF(INDEX($C$2:$C$799,MATCH(D40&amp;"#"&amp;(E40+1),$AC$2:$AC$799,0))=C40,"다음 편: ","시즌1 완결 · 시즌2 첫 편: ")&amp;INDEX($L$2:$L$799,MATCH(D40&amp;"#"&amp;(E40+1),$AC$2:$AC$799,0)),"구약 트랙 완결")</f>
        <v>다음 편: 배 속에서부터 싸운 쌍둥이</v>
      </c>
      <c r="X40" s="23" t="s">
        <v>130</v>
      </c>
      <c r="Y40" s="23" t="s">
        <v>130</v>
      </c>
      <c r="Z40" s="23" t="s">
        <v>130</v>
      </c>
      <c r="AA40" s="23" t="s">
        <v>130</v>
      </c>
      <c r="AB40" s="24"/>
      <c r="AC40" s="23" t="str">
        <f aca="false">D40&amp;"#"&amp;E40</f>
        <v>구약#24</v>
      </c>
      <c r="AD40" s="23" t="n">
        <f aca="false">COUNTIFS($C$2:C40,C40,$D$2:D40,D40)</f>
        <v>24</v>
      </c>
    </row>
    <row r="41" customFormat="false" ht="26.85" hidden="false" customHeight="false" outlineLevel="0" collapsed="false">
      <c r="A41" s="21" t="n">
        <v>40</v>
      </c>
      <c r="B41" s="18" t="s">
        <v>474</v>
      </c>
      <c r="C41" s="23" t="n">
        <v>2</v>
      </c>
      <c r="D41" s="23" t="s">
        <v>116</v>
      </c>
      <c r="E41" s="23" t="n">
        <f aca="false">IF(C41=1,COUNTIFS($C$2:C41,1,$D$2:D41,D41),COUNTIFS($C$2:$C$799,1,$D$2:$D$799,D41)+COUNTIFS($C$2:C41,2,$D$2:D41,D41))</f>
        <v>198</v>
      </c>
      <c r="F41" s="23" t="str">
        <f aca="false">D41&amp;" #"&amp;TEXT(E41,"000")</f>
        <v>구약 #198</v>
      </c>
      <c r="G41" s="18" t="s">
        <v>465</v>
      </c>
      <c r="H41" s="18" t="s">
        <v>402</v>
      </c>
      <c r="I41" s="21" t="s">
        <v>119</v>
      </c>
      <c r="J41" s="22" t="s">
        <v>475</v>
      </c>
      <c r="K41" s="23" t="s">
        <v>121</v>
      </c>
      <c r="L41" s="24" t="s">
        <v>476</v>
      </c>
      <c r="M41" s="24" t="s">
        <v>477</v>
      </c>
      <c r="N41" s="23" t="s">
        <v>478</v>
      </c>
      <c r="O41" s="24" t="s">
        <v>479</v>
      </c>
      <c r="P41" s="24" t="s">
        <v>480</v>
      </c>
      <c r="Q41" s="24" t="s">
        <v>481</v>
      </c>
      <c r="R41" s="24"/>
      <c r="S41" s="24" t="s">
        <v>482</v>
      </c>
      <c r="T41" s="24" t="str">
        <f aca="false">"["&amp;안내!$C$5&amp;" "&amp;F41&amp;"] "&amp;L41&amp;" | "&amp;J41</f>
        <v>[1분 성경 구약 #198] 가겠나이다 | 창 24:28-67</v>
      </c>
      <c r="U41" s="26" t="n">
        <f aca="false">IF(D41="구약",IF(C41=1,안내!$C$9,안내!$C$10)+AD41-1,IF(C41=1,안내!$C$9,안내!$C$10)+7*INT((AD41-1)/4)+CHOOSE(MOD(AD41-1,4)+1,0,2,4,5))</f>
        <v>46595</v>
      </c>
      <c r="V41" s="23" t="str">
        <f aca="false">CHOOSE(WEEKDAY(U41,2),"월","화","수","목","금","토","일")</f>
        <v>화</v>
      </c>
      <c r="W41" s="24" t="str">
        <f aca="false">IFERROR(IF(INDEX($C$2:$C$799,MATCH(D41&amp;"#"&amp;(E41+1),$AC$2:$AC$799,0))=C41,"다음 편: ","시즌1 완결 · 시즌2 첫 편: ")&amp;INDEX($L$2:$L$799,MATCH(D41&amp;"#"&amp;(E41+1),$AC$2:$AC$799,0)),"구약 트랙 완결")</f>
        <v>다음 편: 아브라함의 죽음</v>
      </c>
      <c r="X41" s="23" t="s">
        <v>130</v>
      </c>
      <c r="Y41" s="23" t="s">
        <v>130</v>
      </c>
      <c r="Z41" s="23" t="s">
        <v>130</v>
      </c>
      <c r="AA41" s="23" t="s">
        <v>130</v>
      </c>
      <c r="AB41" s="24"/>
      <c r="AC41" s="23" t="str">
        <f aca="false">D41&amp;"#"&amp;E41</f>
        <v>구약#198</v>
      </c>
      <c r="AD41" s="23" t="n">
        <f aca="false">COUNTIFS($C$2:C41,C41,$D$2:D41,D41)</f>
        <v>16</v>
      </c>
    </row>
    <row r="42" customFormat="false" ht="26.85" hidden="false" customHeight="false" outlineLevel="0" collapsed="false">
      <c r="A42" s="21" t="n">
        <v>41</v>
      </c>
      <c r="B42" s="18" t="s">
        <v>483</v>
      </c>
      <c r="C42" s="23" t="n">
        <v>2</v>
      </c>
      <c r="D42" s="23" t="s">
        <v>116</v>
      </c>
      <c r="E42" s="23" t="n">
        <f aca="false">IF(C42=1,COUNTIFS($C$2:C42,1,$D$2:D42,D42),COUNTIFS($C$2:$C$799,1,$D$2:$D$799,D42)+COUNTIFS($C$2:C42,2,$D$2:D42,D42))</f>
        <v>199</v>
      </c>
      <c r="F42" s="23" t="str">
        <f aca="false">D42&amp;" #"&amp;TEXT(E42,"000")</f>
        <v>구약 #199</v>
      </c>
      <c r="G42" s="18" t="s">
        <v>465</v>
      </c>
      <c r="H42" s="18" t="s">
        <v>402</v>
      </c>
      <c r="I42" s="21" t="s">
        <v>119</v>
      </c>
      <c r="J42" s="22" t="s">
        <v>484</v>
      </c>
      <c r="K42" s="23" t="s">
        <v>121</v>
      </c>
      <c r="L42" s="24" t="s">
        <v>485</v>
      </c>
      <c r="M42" s="29" t="s">
        <v>486</v>
      </c>
      <c r="N42" s="23" t="s">
        <v>487</v>
      </c>
      <c r="O42" s="24" t="s">
        <v>488</v>
      </c>
      <c r="P42" s="24" t="s">
        <v>489</v>
      </c>
      <c r="Q42" s="24" t="s">
        <v>490</v>
      </c>
      <c r="R42" s="24"/>
      <c r="S42" s="24" t="s">
        <v>482</v>
      </c>
      <c r="T42" s="24" t="str">
        <f aca="false">"["&amp;안내!$C$5&amp;" "&amp;F42&amp;"] "&amp;L42&amp;" | "&amp;J42</f>
        <v>[1분 성경 구약 #199] 아브라함의 죽음 | 창 25:1-18</v>
      </c>
      <c r="U42" s="26" t="n">
        <f aca="false">IF(D42="구약",IF(C42=1,안내!$C$9,안내!$C$10)+AD42-1,IF(C42=1,안내!$C$9,안내!$C$10)+7*INT((AD42-1)/4)+CHOOSE(MOD(AD42-1,4)+1,0,2,4,5))</f>
        <v>46596</v>
      </c>
      <c r="V42" s="23" t="str">
        <f aca="false">CHOOSE(WEEKDAY(U42,2),"월","화","수","목","금","토","일")</f>
        <v>수</v>
      </c>
      <c r="W42" s="24" t="str">
        <f aca="false">IFERROR(IF(INDEX($C$2:$C$799,MATCH(D42&amp;"#"&amp;(E42+1),$AC$2:$AC$799,0))=C42,"다음 편: ","시즌1 완결 · 시즌2 첫 편: ")&amp;INDEX($L$2:$L$799,MATCH(D42&amp;"#"&amp;(E42+1),$AC$2:$AC$799,0)),"구약 트랙 완결")</f>
        <v>다음 편: 아버지의 실수를 아들도</v>
      </c>
      <c r="X42" s="23" t="s">
        <v>130</v>
      </c>
      <c r="Y42" s="23" t="s">
        <v>130</v>
      </c>
      <c r="Z42" s="23" t="s">
        <v>130</v>
      </c>
      <c r="AA42" s="23" t="s">
        <v>130</v>
      </c>
      <c r="AB42" s="24"/>
      <c r="AC42" s="23" t="str">
        <f aca="false">D42&amp;"#"&amp;E42</f>
        <v>구약#199</v>
      </c>
      <c r="AD42" s="23" t="n">
        <f aca="false">COUNTIFS($C$2:C42,C42,$D$2:D42,D42)</f>
        <v>17</v>
      </c>
    </row>
    <row r="43" customFormat="false" ht="39.55" hidden="false" customHeight="false" outlineLevel="0" collapsed="false">
      <c r="A43" s="21" t="n">
        <v>42</v>
      </c>
      <c r="B43" s="18" t="s">
        <v>491</v>
      </c>
      <c r="C43" s="20" t="n">
        <v>1</v>
      </c>
      <c r="D43" s="20" t="s">
        <v>116</v>
      </c>
      <c r="E43" s="20" t="n">
        <f aca="false">IF(C43=1,COUNTIFS($C$2:C43,1,$D$2:D43,D43),COUNTIFS($C$2:$C$799,1,$D$2:$D$799,D43)+COUNTIFS($C$2:C43,2,$D$2:D43,D43))</f>
        <v>25</v>
      </c>
      <c r="F43" s="20" t="str">
        <f aca="false">D43&amp;" #"&amp;TEXT(E43,"000")</f>
        <v>구약 #025</v>
      </c>
      <c r="G43" s="18" t="s">
        <v>465</v>
      </c>
      <c r="H43" s="18" t="s">
        <v>326</v>
      </c>
      <c r="I43" s="21" t="s">
        <v>119</v>
      </c>
      <c r="J43" s="22" t="s">
        <v>492</v>
      </c>
      <c r="K43" s="23" t="s">
        <v>121</v>
      </c>
      <c r="L43" s="24" t="s">
        <v>493</v>
      </c>
      <c r="M43" s="24" t="s">
        <v>494</v>
      </c>
      <c r="N43" s="23" t="s">
        <v>495</v>
      </c>
      <c r="O43" s="24" t="s">
        <v>496</v>
      </c>
      <c r="P43" s="24" t="s">
        <v>497</v>
      </c>
      <c r="Q43" s="24" t="s">
        <v>388</v>
      </c>
      <c r="R43" s="25" t="s">
        <v>498</v>
      </c>
      <c r="S43" s="28" t="s">
        <v>499</v>
      </c>
      <c r="T43" s="24" t="str">
        <f aca="false">"["&amp;안내!$C$5&amp;" "&amp;F43&amp;"] "&amp;L43&amp;" | "&amp;J43</f>
        <v>[1분 성경 구약 #025] 배 속에서부터 싸운 쌍둥이 | 창 25:19-26</v>
      </c>
      <c r="U43" s="26" t="n">
        <f aca="false">IF(D43="구약",IF(C43=1,안내!$C$9,안내!$C$10)+AD43-1,IF(C43=1,안내!$C$9,안내!$C$10)+7*INT((AD43-1)/4)+CHOOSE(MOD(AD43-1,4)+1,0,2,4,5))</f>
        <v>46415</v>
      </c>
      <c r="V43" s="23" t="str">
        <f aca="false">CHOOSE(WEEKDAY(U43,2),"월","화","수","목","금","토","일")</f>
        <v>목</v>
      </c>
      <c r="W43" s="24" t="str">
        <f aca="false">IFERROR(IF(INDEX($C$2:$C$799,MATCH(D43&amp;"#"&amp;(E43+1),$AC$2:$AC$799,0))=C43,"다음 편: ","시즌1 완결 · 시즌2 첫 편: ")&amp;INDEX($L$2:$L$799,MATCH(D43&amp;"#"&amp;(E43+1),$AC$2:$AC$799,0)),"구약 트랙 완결")</f>
        <v>다음 편: 팥죽 한 그릇</v>
      </c>
      <c r="X43" s="23" t="s">
        <v>130</v>
      </c>
      <c r="Y43" s="23" t="s">
        <v>130</v>
      </c>
      <c r="Z43" s="23" t="s">
        <v>130</v>
      </c>
      <c r="AA43" s="23" t="s">
        <v>130</v>
      </c>
      <c r="AB43" s="24"/>
      <c r="AC43" s="23" t="str">
        <f aca="false">D43&amp;"#"&amp;E43</f>
        <v>구약#25</v>
      </c>
      <c r="AD43" s="23" t="n">
        <f aca="false">COUNTIFS($C$2:C43,C43,$D$2:D43,D43)</f>
        <v>25</v>
      </c>
    </row>
    <row r="44" customFormat="false" ht="26.85" hidden="false" customHeight="false" outlineLevel="0" collapsed="false">
      <c r="A44" s="21" t="n">
        <v>43</v>
      </c>
      <c r="B44" s="18" t="s">
        <v>500</v>
      </c>
      <c r="C44" s="20" t="n">
        <v>1</v>
      </c>
      <c r="D44" s="20" t="s">
        <v>116</v>
      </c>
      <c r="E44" s="20" t="n">
        <f aca="false">IF(C44=1,COUNTIFS($C$2:C44,1,$D$2:D44,D44),COUNTIFS($C$2:$C$799,1,$D$2:$D$799,D44)+COUNTIFS($C$2:C44,2,$D$2:D44,D44))</f>
        <v>26</v>
      </c>
      <c r="F44" s="20" t="str">
        <f aca="false">D44&amp;" #"&amp;TEXT(E44,"000")</f>
        <v>구약 #026</v>
      </c>
      <c r="G44" s="18" t="s">
        <v>465</v>
      </c>
      <c r="H44" s="18" t="s">
        <v>326</v>
      </c>
      <c r="I44" s="21" t="s">
        <v>119</v>
      </c>
      <c r="J44" s="22" t="s">
        <v>501</v>
      </c>
      <c r="K44" s="23" t="s">
        <v>121</v>
      </c>
      <c r="L44" s="24" t="s">
        <v>502</v>
      </c>
      <c r="M44" s="24" t="s">
        <v>503</v>
      </c>
      <c r="N44" s="23" t="s">
        <v>504</v>
      </c>
      <c r="O44" s="24" t="s">
        <v>505</v>
      </c>
      <c r="P44" s="24" t="s">
        <v>506</v>
      </c>
      <c r="Q44" s="24" t="s">
        <v>507</v>
      </c>
      <c r="R44" s="24"/>
      <c r="S44" s="24" t="s">
        <v>129</v>
      </c>
      <c r="T44" s="24" t="str">
        <f aca="false">"["&amp;안내!$C$5&amp;" "&amp;F44&amp;"] "&amp;L44&amp;" | "&amp;J44</f>
        <v>[1분 성경 구약 #026] 팥죽 한 그릇 | 창 25:27-34</v>
      </c>
      <c r="U44" s="26" t="n">
        <f aca="false">IF(D44="구약",IF(C44=1,안내!$C$9,안내!$C$10)+AD44-1,IF(C44=1,안내!$C$9,안내!$C$10)+7*INT((AD44-1)/4)+CHOOSE(MOD(AD44-1,4)+1,0,2,4,5))</f>
        <v>46416</v>
      </c>
      <c r="V44" s="23" t="str">
        <f aca="false">CHOOSE(WEEKDAY(U44,2),"월","화","수","목","금","토","일")</f>
        <v>금</v>
      </c>
      <c r="W44" s="24" t="str">
        <f aca="false">IFERROR(IF(INDEX($C$2:$C$799,MATCH(D44&amp;"#"&amp;(E44+1),$AC$2:$AC$799,0))=C44,"다음 편: ","시즌1 완결 · 시즌2 첫 편: ")&amp;INDEX($L$2:$L$799,MATCH(D44&amp;"#"&amp;(E44+1),$AC$2:$AC$799,0)),"구약 트랙 완결")</f>
        <v>다음 편: 눈먼 아버지를 속이다</v>
      </c>
      <c r="X44" s="23" t="s">
        <v>130</v>
      </c>
      <c r="Y44" s="23" t="s">
        <v>130</v>
      </c>
      <c r="Z44" s="23" t="s">
        <v>130</v>
      </c>
      <c r="AA44" s="23" t="s">
        <v>130</v>
      </c>
      <c r="AB44" s="24"/>
      <c r="AC44" s="23" t="str">
        <f aca="false">D44&amp;"#"&amp;E44</f>
        <v>구약#26</v>
      </c>
      <c r="AD44" s="23" t="n">
        <f aca="false">COUNTIFS($C$2:C44,C44,$D$2:D44,D44)</f>
        <v>26</v>
      </c>
    </row>
    <row r="45" customFormat="false" ht="25.35" hidden="false" customHeight="false" outlineLevel="0" collapsed="false">
      <c r="A45" s="21" t="n">
        <v>44</v>
      </c>
      <c r="B45" s="18" t="s">
        <v>508</v>
      </c>
      <c r="C45" s="23" t="n">
        <v>2</v>
      </c>
      <c r="D45" s="23" t="s">
        <v>116</v>
      </c>
      <c r="E45" s="23" t="n">
        <f aca="false">IF(C45=1,COUNTIFS($C$2:C45,1,$D$2:D45,D45),COUNTIFS($C$2:$C$799,1,$D$2:$D$799,D45)+COUNTIFS($C$2:C45,2,$D$2:D45,D45))</f>
        <v>200</v>
      </c>
      <c r="F45" s="23" t="str">
        <f aca="false">D45&amp;" #"&amp;TEXT(E45,"000")</f>
        <v>구약 #200</v>
      </c>
      <c r="G45" s="18" t="s">
        <v>465</v>
      </c>
      <c r="H45" s="18" t="s">
        <v>402</v>
      </c>
      <c r="I45" s="21" t="s">
        <v>119</v>
      </c>
      <c r="J45" s="22" t="s">
        <v>509</v>
      </c>
      <c r="K45" s="23" t="s">
        <v>121</v>
      </c>
      <c r="L45" s="24" t="s">
        <v>510</v>
      </c>
      <c r="M45" s="24" t="s">
        <v>511</v>
      </c>
      <c r="N45" s="23" t="s">
        <v>512</v>
      </c>
      <c r="O45" s="24" t="s">
        <v>513</v>
      </c>
      <c r="P45" s="24" t="s">
        <v>514</v>
      </c>
      <c r="Q45" s="24" t="s">
        <v>427</v>
      </c>
      <c r="R45" s="24"/>
      <c r="S45" s="24" t="s">
        <v>515</v>
      </c>
      <c r="T45" s="24" t="str">
        <f aca="false">"["&amp;안내!$C$5&amp;" "&amp;F45&amp;"] "&amp;L45&amp;" | "&amp;J45</f>
        <v>[1분 성경 구약 #200] 아버지의 실수를 아들도 | 창 26:1-16</v>
      </c>
      <c r="U45" s="26" t="n">
        <f aca="false">IF(D45="구약",IF(C45=1,안내!$C$9,안내!$C$10)+AD45-1,IF(C45=1,안내!$C$9,안내!$C$10)+7*INT((AD45-1)/4)+CHOOSE(MOD(AD45-1,4)+1,0,2,4,5))</f>
        <v>46597</v>
      </c>
      <c r="V45" s="23" t="str">
        <f aca="false">CHOOSE(WEEKDAY(U45,2),"월","화","수","목","금","토","일")</f>
        <v>목</v>
      </c>
      <c r="W45" s="24" t="str">
        <f aca="false">IFERROR(IF(INDEX($C$2:$C$799,MATCH(D45&amp;"#"&amp;(E45+1),$AC$2:$AC$799,0))=C45,"다음 편: ","시즌1 완결 · 시즌2 첫 편: ")&amp;INDEX($L$2:$L$799,MATCH(D45&amp;"#"&amp;(E45+1),$AC$2:$AC$799,0)),"구약 트랙 완결")</f>
        <v>다음 편: 우물을 빼앗겨도</v>
      </c>
      <c r="X45" s="23" t="s">
        <v>130</v>
      </c>
      <c r="Y45" s="23" t="s">
        <v>130</v>
      </c>
      <c r="Z45" s="23" t="s">
        <v>130</v>
      </c>
      <c r="AA45" s="23" t="s">
        <v>130</v>
      </c>
      <c r="AB45" s="24"/>
      <c r="AC45" s="23" t="str">
        <f aca="false">D45&amp;"#"&amp;E45</f>
        <v>구약#200</v>
      </c>
      <c r="AD45" s="23" t="n">
        <f aca="false">COUNTIFS($C$2:C45,C45,$D$2:D45,D45)</f>
        <v>18</v>
      </c>
    </row>
    <row r="46" customFormat="false" ht="26.85" hidden="false" customHeight="false" outlineLevel="0" collapsed="false">
      <c r="A46" s="21" t="n">
        <v>45</v>
      </c>
      <c r="B46" s="18" t="s">
        <v>516</v>
      </c>
      <c r="C46" s="23" t="n">
        <v>2</v>
      </c>
      <c r="D46" s="23" t="s">
        <v>116</v>
      </c>
      <c r="E46" s="23" t="n">
        <f aca="false">IF(C46=1,COUNTIFS($C$2:C46,1,$D$2:D46,D46),COUNTIFS($C$2:$C$799,1,$D$2:$D$799,D46)+COUNTIFS($C$2:C46,2,$D$2:D46,D46))</f>
        <v>201</v>
      </c>
      <c r="F46" s="23" t="str">
        <f aca="false">D46&amp;" #"&amp;TEXT(E46,"000")</f>
        <v>구약 #201</v>
      </c>
      <c r="G46" s="18" t="s">
        <v>465</v>
      </c>
      <c r="H46" s="18" t="s">
        <v>402</v>
      </c>
      <c r="I46" s="21" t="s">
        <v>119</v>
      </c>
      <c r="J46" s="22" t="s">
        <v>517</v>
      </c>
      <c r="K46" s="23" t="s">
        <v>121</v>
      </c>
      <c r="L46" s="24" t="s">
        <v>518</v>
      </c>
      <c r="M46" s="24" t="s">
        <v>519</v>
      </c>
      <c r="N46" s="23" t="s">
        <v>520</v>
      </c>
      <c r="O46" s="24" t="s">
        <v>521</v>
      </c>
      <c r="P46" s="24" t="s">
        <v>522</v>
      </c>
      <c r="Q46" s="24" t="s">
        <v>523</v>
      </c>
      <c r="R46" s="24"/>
      <c r="S46" s="24" t="s">
        <v>515</v>
      </c>
      <c r="T46" s="24" t="str">
        <f aca="false">"["&amp;안내!$C$5&amp;" "&amp;F46&amp;"] "&amp;L46&amp;" | "&amp;J46</f>
        <v>[1분 성경 구약 #201] 우물을 빼앗겨도 | 창 26:17-35</v>
      </c>
      <c r="U46" s="26" t="n">
        <f aca="false">IF(D46="구약",IF(C46=1,안내!$C$9,안내!$C$10)+AD46-1,IF(C46=1,안내!$C$9,안내!$C$10)+7*INT((AD46-1)/4)+CHOOSE(MOD(AD46-1,4)+1,0,2,4,5))</f>
        <v>46598</v>
      </c>
      <c r="V46" s="23" t="str">
        <f aca="false">CHOOSE(WEEKDAY(U46,2),"월","화","수","목","금","토","일")</f>
        <v>금</v>
      </c>
      <c r="W46" s="24" t="str">
        <f aca="false">IFERROR(IF(INDEX($C$2:$C$799,MATCH(D46&amp;"#"&amp;(E46+1),$AC$2:$AC$799,0))=C46,"다음 편: ","시즌1 완결 · 시즌2 첫 편: ")&amp;INDEX($L$2:$L$799,MATCH(D46&amp;"#"&amp;(E46+1),$AC$2:$AC$799,0)),"구약 트랙 완결")</f>
        <v>다음 편: 형이 나를 죽이려 한다</v>
      </c>
      <c r="X46" s="23" t="s">
        <v>130</v>
      </c>
      <c r="Y46" s="23" t="s">
        <v>130</v>
      </c>
      <c r="Z46" s="23" t="s">
        <v>130</v>
      </c>
      <c r="AA46" s="23" t="s">
        <v>130</v>
      </c>
      <c r="AB46" s="24"/>
      <c r="AC46" s="23" t="str">
        <f aca="false">D46&amp;"#"&amp;E46</f>
        <v>구약#201</v>
      </c>
      <c r="AD46" s="23" t="n">
        <f aca="false">COUNTIFS($C$2:C46,C46,$D$2:D46,D46)</f>
        <v>19</v>
      </c>
    </row>
    <row r="47" customFormat="false" ht="39.55" hidden="false" customHeight="false" outlineLevel="0" collapsed="false">
      <c r="A47" s="21" t="n">
        <v>46</v>
      </c>
      <c r="B47" s="18" t="s">
        <v>524</v>
      </c>
      <c r="C47" s="20" t="n">
        <v>1</v>
      </c>
      <c r="D47" s="20" t="s">
        <v>116</v>
      </c>
      <c r="E47" s="20" t="n">
        <f aca="false">IF(C47=1,COUNTIFS($C$2:C47,1,$D$2:D47,D47),COUNTIFS($C$2:$C$799,1,$D$2:$D$799,D47)+COUNTIFS($C$2:C47,2,$D$2:D47,D47))</f>
        <v>27</v>
      </c>
      <c r="F47" s="20" t="str">
        <f aca="false">D47&amp;" #"&amp;TEXT(E47,"000")</f>
        <v>구약 #027</v>
      </c>
      <c r="G47" s="18" t="s">
        <v>525</v>
      </c>
      <c r="H47" s="18" t="s">
        <v>526</v>
      </c>
      <c r="I47" s="21" t="s">
        <v>119</v>
      </c>
      <c r="J47" s="22" t="s">
        <v>527</v>
      </c>
      <c r="K47" s="23" t="s">
        <v>121</v>
      </c>
      <c r="L47" s="24" t="s">
        <v>528</v>
      </c>
      <c r="M47" s="24" t="s">
        <v>529</v>
      </c>
      <c r="N47" s="23" t="s">
        <v>530</v>
      </c>
      <c r="O47" s="24" t="s">
        <v>531</v>
      </c>
      <c r="P47" s="24" t="s">
        <v>532</v>
      </c>
      <c r="Q47" s="24" t="s">
        <v>388</v>
      </c>
      <c r="R47" s="24"/>
      <c r="S47" s="28" t="s">
        <v>533</v>
      </c>
      <c r="T47" s="24" t="str">
        <f aca="false">"["&amp;안내!$C$5&amp;" "&amp;F47&amp;"] "&amp;L47&amp;" | "&amp;J47</f>
        <v>[1분 성경 구약 #027] 눈먼 아버지를 속이다 | 창 27:1-29</v>
      </c>
      <c r="U47" s="26" t="n">
        <f aca="false">IF(D47="구약",IF(C47=1,안내!$C$9,안내!$C$10)+AD47-1,IF(C47=1,안내!$C$9,안내!$C$10)+7*INT((AD47-1)/4)+CHOOSE(MOD(AD47-1,4)+1,0,2,4,5))</f>
        <v>46417</v>
      </c>
      <c r="V47" s="23" t="str">
        <f aca="false">CHOOSE(WEEKDAY(U47,2),"월","화","수","목","금","토","일")</f>
        <v>토</v>
      </c>
      <c r="W47" s="24" t="str">
        <f aca="false">IFERROR(IF(INDEX($C$2:$C$799,MATCH(D47&amp;"#"&amp;(E47+1),$AC$2:$AC$799,0))=C47,"다음 편: ","시즌1 완결 · 시즌2 첫 편: ")&amp;INDEX($L$2:$L$799,MATCH(D47&amp;"#"&amp;(E47+1),$AC$2:$AC$799,0)),"구약 트랙 완결")</f>
        <v>다음 편: 돌베개와 하늘 사다리</v>
      </c>
      <c r="X47" s="23" t="s">
        <v>130</v>
      </c>
      <c r="Y47" s="23" t="s">
        <v>130</v>
      </c>
      <c r="Z47" s="23" t="s">
        <v>130</v>
      </c>
      <c r="AA47" s="23" t="s">
        <v>130</v>
      </c>
      <c r="AB47" s="24"/>
      <c r="AC47" s="23" t="str">
        <f aca="false">D47&amp;"#"&amp;E47</f>
        <v>구약#27</v>
      </c>
      <c r="AD47" s="23" t="n">
        <f aca="false">COUNTIFS($C$2:C47,C47,$D$2:D47,D47)</f>
        <v>27</v>
      </c>
    </row>
    <row r="48" customFormat="false" ht="26.85" hidden="false" customHeight="false" outlineLevel="0" collapsed="false">
      <c r="A48" s="21" t="n">
        <v>47</v>
      </c>
      <c r="B48" s="18" t="s">
        <v>534</v>
      </c>
      <c r="C48" s="23" t="n">
        <v>2</v>
      </c>
      <c r="D48" s="23" t="s">
        <v>116</v>
      </c>
      <c r="E48" s="23" t="n">
        <f aca="false">IF(C48=1,COUNTIFS($C$2:C48,1,$D$2:D48,D48),COUNTIFS($C$2:$C$799,1,$D$2:$D$799,D48)+COUNTIFS($C$2:C48,2,$D$2:D48,D48))</f>
        <v>202</v>
      </c>
      <c r="F48" s="23" t="str">
        <f aca="false">D48&amp;" #"&amp;TEXT(E48,"000")</f>
        <v>구약 #202</v>
      </c>
      <c r="G48" s="18" t="s">
        <v>525</v>
      </c>
      <c r="H48" s="18" t="s">
        <v>535</v>
      </c>
      <c r="I48" s="21" t="s">
        <v>119</v>
      </c>
      <c r="J48" s="22" t="s">
        <v>536</v>
      </c>
      <c r="K48" s="23" t="s">
        <v>121</v>
      </c>
      <c r="L48" s="24" t="s">
        <v>537</v>
      </c>
      <c r="M48" s="24" t="s">
        <v>538</v>
      </c>
      <c r="N48" s="23" t="s">
        <v>539</v>
      </c>
      <c r="O48" s="24" t="s">
        <v>540</v>
      </c>
      <c r="P48" s="24" t="s">
        <v>541</v>
      </c>
      <c r="Q48" s="24" t="s">
        <v>388</v>
      </c>
      <c r="R48" s="24"/>
      <c r="S48" s="24" t="s">
        <v>542</v>
      </c>
      <c r="T48" s="24" t="str">
        <f aca="false">"["&amp;안내!$C$5&amp;" "&amp;F48&amp;"] "&amp;L48&amp;" | "&amp;J48</f>
        <v>[1분 성경 구약 #202] 형이 나를 죽이려 한다 | 창 27:30-28:9</v>
      </c>
      <c r="U48" s="26" t="n">
        <f aca="false">IF(D48="구약",IF(C48=1,안내!$C$9,안내!$C$10)+AD48-1,IF(C48=1,안내!$C$9,안내!$C$10)+7*INT((AD48-1)/4)+CHOOSE(MOD(AD48-1,4)+1,0,2,4,5))</f>
        <v>46599</v>
      </c>
      <c r="V48" s="23" t="str">
        <f aca="false">CHOOSE(WEEKDAY(U48,2),"월","화","수","목","금","토","일")</f>
        <v>토</v>
      </c>
      <c r="W48" s="24" t="str">
        <f aca="false">IFERROR(IF(INDEX($C$2:$C$799,MATCH(D48&amp;"#"&amp;(E48+1),$AC$2:$AC$799,0))=C48,"다음 편: ","시즌1 완결 · 시즌2 첫 편: ")&amp;INDEX($L$2:$L$799,MATCH(D48&amp;"#"&amp;(E48+1),$AC$2:$AC$799,0)),"구약 트랙 완결")</f>
        <v>다음 편: 사랑받지 못한 레아</v>
      </c>
      <c r="X48" s="23" t="s">
        <v>130</v>
      </c>
      <c r="Y48" s="23" t="s">
        <v>130</v>
      </c>
      <c r="Z48" s="23" t="s">
        <v>130</v>
      </c>
      <c r="AA48" s="23" t="s">
        <v>130</v>
      </c>
      <c r="AB48" s="24"/>
      <c r="AC48" s="23" t="str">
        <f aca="false">D48&amp;"#"&amp;E48</f>
        <v>구약#202</v>
      </c>
      <c r="AD48" s="23" t="n">
        <f aca="false">COUNTIFS($C$2:C48,C48,$D$2:D48,D48)</f>
        <v>20</v>
      </c>
    </row>
    <row r="49" customFormat="false" ht="26.85" hidden="false" customHeight="false" outlineLevel="0" collapsed="false">
      <c r="A49" s="21" t="n">
        <v>48</v>
      </c>
      <c r="B49" s="18" t="s">
        <v>543</v>
      </c>
      <c r="C49" s="20" t="n">
        <v>1</v>
      </c>
      <c r="D49" s="20" t="s">
        <v>116</v>
      </c>
      <c r="E49" s="20" t="n">
        <f aca="false">IF(C49=1,COUNTIFS($C$2:C49,1,$D$2:D49,D49),COUNTIFS($C$2:$C$799,1,$D$2:$D$799,D49)+COUNTIFS($C$2:C49,2,$D$2:D49,D49))</f>
        <v>28</v>
      </c>
      <c r="F49" s="20" t="str">
        <f aca="false">D49&amp;" #"&amp;TEXT(E49,"000")</f>
        <v>구약 #028</v>
      </c>
      <c r="G49" s="18" t="s">
        <v>525</v>
      </c>
      <c r="H49" s="18" t="s">
        <v>526</v>
      </c>
      <c r="I49" s="21" t="s">
        <v>119</v>
      </c>
      <c r="J49" s="22" t="s">
        <v>544</v>
      </c>
      <c r="K49" s="23" t="s">
        <v>121</v>
      </c>
      <c r="L49" s="24" t="s">
        <v>545</v>
      </c>
      <c r="M49" s="24" t="s">
        <v>546</v>
      </c>
      <c r="N49" s="23" t="s">
        <v>547</v>
      </c>
      <c r="O49" s="24" t="s">
        <v>548</v>
      </c>
      <c r="P49" s="24" t="s">
        <v>549</v>
      </c>
      <c r="Q49" s="24" t="s">
        <v>550</v>
      </c>
      <c r="R49" s="25" t="s">
        <v>551</v>
      </c>
      <c r="S49" s="28" t="s">
        <v>552</v>
      </c>
      <c r="T49" s="24" t="str">
        <f aca="false">"["&amp;안내!$C$5&amp;" "&amp;F49&amp;"] "&amp;L49&amp;" | "&amp;J49</f>
        <v>[1분 성경 구약 #028] 돌베개와 하늘 사다리 | 창 28:10-22</v>
      </c>
      <c r="U49" s="26" t="n">
        <f aca="false">IF(D49="구약",IF(C49=1,안내!$C$9,안내!$C$10)+AD49-1,IF(C49=1,안내!$C$9,안내!$C$10)+7*INT((AD49-1)/4)+CHOOSE(MOD(AD49-1,4)+1,0,2,4,5))</f>
        <v>46418</v>
      </c>
      <c r="V49" s="23" t="str">
        <f aca="false">CHOOSE(WEEKDAY(U49,2),"월","화","수","목","금","토","일")</f>
        <v>일</v>
      </c>
      <c r="W49" s="24" t="str">
        <f aca="false">IFERROR(IF(INDEX($C$2:$C$799,MATCH(D49&amp;"#"&amp;(E49+1),$AC$2:$AC$799,0))=C49,"다음 편: ","시즌1 완결 · 시즌2 첫 편: ")&amp;INDEX($L$2:$L$799,MATCH(D49&amp;"#"&amp;(E49+1),$AC$2:$AC$799,0)),"구약 트랙 완결")</f>
        <v>다음 편: 속이던 자가 속다</v>
      </c>
      <c r="X49" s="23" t="s">
        <v>130</v>
      </c>
      <c r="Y49" s="23" t="s">
        <v>130</v>
      </c>
      <c r="Z49" s="23" t="s">
        <v>130</v>
      </c>
      <c r="AA49" s="23" t="s">
        <v>130</v>
      </c>
      <c r="AB49" s="24"/>
      <c r="AC49" s="23" t="str">
        <f aca="false">D49&amp;"#"&amp;E49</f>
        <v>구약#28</v>
      </c>
      <c r="AD49" s="23" t="n">
        <f aca="false">COUNTIFS($C$2:C49,C49,$D$2:D49,D49)</f>
        <v>28</v>
      </c>
    </row>
    <row r="50" customFormat="false" ht="26.85" hidden="false" customHeight="false" outlineLevel="0" collapsed="false">
      <c r="A50" s="21" t="n">
        <v>49</v>
      </c>
      <c r="B50" s="18" t="s">
        <v>553</v>
      </c>
      <c r="C50" s="20" t="n">
        <v>1</v>
      </c>
      <c r="D50" s="20" t="s">
        <v>116</v>
      </c>
      <c r="E50" s="20" t="n">
        <f aca="false">IF(C50=1,COUNTIFS($C$2:C50,1,$D$2:D50,D50),COUNTIFS($C$2:$C$799,1,$D$2:$D$799,D50)+COUNTIFS($C$2:C50,2,$D$2:D50,D50))</f>
        <v>29</v>
      </c>
      <c r="F50" s="20" t="str">
        <f aca="false">D50&amp;" #"&amp;TEXT(E50,"000")</f>
        <v>구약 #029</v>
      </c>
      <c r="G50" s="18" t="s">
        <v>525</v>
      </c>
      <c r="H50" s="18" t="s">
        <v>526</v>
      </c>
      <c r="I50" s="21" t="s">
        <v>119</v>
      </c>
      <c r="J50" s="22" t="s">
        <v>554</v>
      </c>
      <c r="K50" s="23" t="s">
        <v>121</v>
      </c>
      <c r="L50" s="24" t="s">
        <v>555</v>
      </c>
      <c r="M50" s="29" t="s">
        <v>556</v>
      </c>
      <c r="N50" s="23" t="s">
        <v>557</v>
      </c>
      <c r="O50" s="24" t="s">
        <v>558</v>
      </c>
      <c r="P50" s="24" t="s">
        <v>559</v>
      </c>
      <c r="Q50" s="24" t="s">
        <v>560</v>
      </c>
      <c r="R50" s="24"/>
      <c r="S50" s="24" t="s">
        <v>129</v>
      </c>
      <c r="T50" s="24" t="str">
        <f aca="false">"["&amp;안내!$C$5&amp;" "&amp;F50&amp;"] "&amp;L50&amp;" | "&amp;J50</f>
        <v>[1분 성경 구약 #029] 속이던 자가 속다 | 창 29:1-30</v>
      </c>
      <c r="U50" s="26" t="n">
        <f aca="false">IF(D50="구약",IF(C50=1,안내!$C$9,안내!$C$10)+AD50-1,IF(C50=1,안내!$C$9,안내!$C$10)+7*INT((AD50-1)/4)+CHOOSE(MOD(AD50-1,4)+1,0,2,4,5))</f>
        <v>46419</v>
      </c>
      <c r="V50" s="23" t="str">
        <f aca="false">CHOOSE(WEEKDAY(U50,2),"월","화","수","목","금","토","일")</f>
        <v>월</v>
      </c>
      <c r="W50" s="24" t="str">
        <f aca="false">IFERROR(IF(INDEX($C$2:$C$799,MATCH(D50&amp;"#"&amp;(E50+1),$AC$2:$AC$799,0))=C50,"다음 편: ","시즌1 완결 · 시즌2 첫 편: ")&amp;INDEX($L$2:$L$799,MATCH(D50&amp;"#"&amp;(E50+1),$AC$2:$AC$799,0)),"구약 트랙 완결")</f>
        <v>다음 편: 얍복강의 씨름</v>
      </c>
      <c r="X50" s="23" t="s">
        <v>130</v>
      </c>
      <c r="Y50" s="23" t="s">
        <v>130</v>
      </c>
      <c r="Z50" s="23" t="s">
        <v>130</v>
      </c>
      <c r="AA50" s="23" t="s">
        <v>130</v>
      </c>
      <c r="AB50" s="24"/>
      <c r="AC50" s="23" t="str">
        <f aca="false">D50&amp;"#"&amp;E50</f>
        <v>구약#29</v>
      </c>
      <c r="AD50" s="23" t="n">
        <f aca="false">COUNTIFS($C$2:C50,C50,$D$2:D50,D50)</f>
        <v>29</v>
      </c>
    </row>
    <row r="51" customFormat="false" ht="25.35" hidden="false" customHeight="false" outlineLevel="0" collapsed="false">
      <c r="A51" s="21" t="n">
        <v>50</v>
      </c>
      <c r="B51" s="18" t="s">
        <v>561</v>
      </c>
      <c r="C51" s="23" t="n">
        <v>2</v>
      </c>
      <c r="D51" s="23" t="s">
        <v>116</v>
      </c>
      <c r="E51" s="23" t="n">
        <f aca="false">IF(C51=1,COUNTIFS($C$2:C51,1,$D$2:D51,D51),COUNTIFS($C$2:$C$799,1,$D$2:$D$799,D51)+COUNTIFS($C$2:C51,2,$D$2:D51,D51))</f>
        <v>203</v>
      </c>
      <c r="F51" s="23" t="str">
        <f aca="false">D51&amp;" #"&amp;TEXT(E51,"000")</f>
        <v>구약 #203</v>
      </c>
      <c r="G51" s="18" t="s">
        <v>525</v>
      </c>
      <c r="H51" s="18" t="s">
        <v>535</v>
      </c>
      <c r="I51" s="21" t="s">
        <v>119</v>
      </c>
      <c r="J51" s="22" t="s">
        <v>562</v>
      </c>
      <c r="K51" s="23" t="s">
        <v>121</v>
      </c>
      <c r="L51" s="24" t="s">
        <v>563</v>
      </c>
      <c r="M51" s="24" t="s">
        <v>564</v>
      </c>
      <c r="N51" s="23" t="s">
        <v>565</v>
      </c>
      <c r="O51" s="24" t="s">
        <v>566</v>
      </c>
      <c r="P51" s="24" t="s">
        <v>567</v>
      </c>
      <c r="Q51" s="24" t="s">
        <v>568</v>
      </c>
      <c r="R51" s="25" t="s">
        <v>569</v>
      </c>
      <c r="S51" s="24" t="s">
        <v>570</v>
      </c>
      <c r="T51" s="24" t="str">
        <f aca="false">"["&amp;안내!$C$5&amp;" "&amp;F51&amp;"] "&amp;L51&amp;" | "&amp;J51</f>
        <v>[1분 성경 구약 #203] 사랑받지 못한 레아 | 창 29:31-30:24</v>
      </c>
      <c r="U51" s="26" t="n">
        <f aca="false">IF(D51="구약",IF(C51=1,안내!$C$9,안내!$C$10)+AD51-1,IF(C51=1,안내!$C$9,안내!$C$10)+7*INT((AD51-1)/4)+CHOOSE(MOD(AD51-1,4)+1,0,2,4,5))</f>
        <v>46600</v>
      </c>
      <c r="V51" s="23" t="str">
        <f aca="false">CHOOSE(WEEKDAY(U51,2),"월","화","수","목","금","토","일")</f>
        <v>일</v>
      </c>
      <c r="W51" s="24" t="str">
        <f aca="false">IFERROR(IF(INDEX($C$2:$C$799,MATCH(D51&amp;"#"&amp;(E51+1),$AC$2:$AC$799,0))=C51,"다음 편: ","시즌1 완결 · 시즌2 첫 편: ")&amp;INDEX($L$2:$L$799,MATCH(D51&amp;"#"&amp;(E51+1),$AC$2:$AC$799,0)),"구약 트랙 완결")</f>
        <v>다음 편: 얼룩 양 떼</v>
      </c>
      <c r="X51" s="23" t="s">
        <v>130</v>
      </c>
      <c r="Y51" s="23" t="s">
        <v>130</v>
      </c>
      <c r="Z51" s="23" t="s">
        <v>130</v>
      </c>
      <c r="AA51" s="23" t="s">
        <v>130</v>
      </c>
      <c r="AB51" s="24"/>
      <c r="AC51" s="23" t="str">
        <f aca="false">D51&amp;"#"&amp;E51</f>
        <v>구약#203</v>
      </c>
      <c r="AD51" s="23" t="n">
        <f aca="false">COUNTIFS($C$2:C51,C51,$D$2:D51,D51)</f>
        <v>21</v>
      </c>
    </row>
    <row r="52" customFormat="false" ht="26.85" hidden="false" customHeight="false" outlineLevel="0" collapsed="false">
      <c r="A52" s="21" t="n">
        <v>51</v>
      </c>
      <c r="B52" s="18" t="s">
        <v>571</v>
      </c>
      <c r="C52" s="23" t="n">
        <v>2</v>
      </c>
      <c r="D52" s="23" t="s">
        <v>116</v>
      </c>
      <c r="E52" s="23" t="n">
        <f aca="false">IF(C52=1,COUNTIFS($C$2:C52,1,$D$2:D52,D52),COUNTIFS($C$2:$C$799,1,$D$2:$D$799,D52)+COUNTIFS($C$2:C52,2,$D$2:D52,D52))</f>
        <v>204</v>
      </c>
      <c r="F52" s="23" t="str">
        <f aca="false">D52&amp;" #"&amp;TEXT(E52,"000")</f>
        <v>구약 #204</v>
      </c>
      <c r="G52" s="18" t="s">
        <v>525</v>
      </c>
      <c r="H52" s="18" t="s">
        <v>535</v>
      </c>
      <c r="I52" s="21" t="s">
        <v>119</v>
      </c>
      <c r="J52" s="22" t="s">
        <v>572</v>
      </c>
      <c r="K52" s="23" t="s">
        <v>121</v>
      </c>
      <c r="L52" s="24" t="s">
        <v>573</v>
      </c>
      <c r="M52" s="24" t="s">
        <v>574</v>
      </c>
      <c r="N52" s="23" t="s">
        <v>575</v>
      </c>
      <c r="O52" s="24" t="s">
        <v>576</v>
      </c>
      <c r="P52" s="24" t="s">
        <v>577</v>
      </c>
      <c r="Q52" s="24" t="s">
        <v>578</v>
      </c>
      <c r="R52" s="25" t="s">
        <v>579</v>
      </c>
      <c r="S52" s="24" t="s">
        <v>570</v>
      </c>
      <c r="T52" s="24" t="str">
        <f aca="false">"["&amp;안내!$C$5&amp;" "&amp;F52&amp;"] "&amp;L52&amp;" | "&amp;J52</f>
        <v>[1분 성경 구약 #204] 얼룩 양 떼 | 창 30:25-43</v>
      </c>
      <c r="U52" s="26" t="n">
        <f aca="false">IF(D52="구약",IF(C52=1,안내!$C$9,안내!$C$10)+AD52-1,IF(C52=1,안내!$C$9,안내!$C$10)+7*INT((AD52-1)/4)+CHOOSE(MOD(AD52-1,4)+1,0,2,4,5))</f>
        <v>46601</v>
      </c>
      <c r="V52" s="23" t="str">
        <f aca="false">CHOOSE(WEEKDAY(U52,2),"월","화","수","목","금","토","일")</f>
        <v>월</v>
      </c>
      <c r="W52" s="24" t="str">
        <f aca="false">IFERROR(IF(INDEX($C$2:$C$799,MATCH(D52&amp;"#"&amp;(E52+1),$AC$2:$AC$799,0))=C52,"다음 편: ","시즌1 완결 · 시즌2 첫 편: ")&amp;INDEX($L$2:$L$799,MATCH(D52&amp;"#"&amp;(E52+1),$AC$2:$AC$799,0)),"구약 트랙 완결")</f>
        <v>다음 편: 20년 만의 귀향</v>
      </c>
      <c r="X52" s="23" t="s">
        <v>130</v>
      </c>
      <c r="Y52" s="23" t="s">
        <v>130</v>
      </c>
      <c r="Z52" s="23" t="s">
        <v>130</v>
      </c>
      <c r="AA52" s="23" t="s">
        <v>130</v>
      </c>
      <c r="AB52" s="24"/>
      <c r="AC52" s="23" t="str">
        <f aca="false">D52&amp;"#"&amp;E52</f>
        <v>구약#204</v>
      </c>
      <c r="AD52" s="23" t="n">
        <f aca="false">COUNTIFS($C$2:C52,C52,$D$2:D52,D52)</f>
        <v>22</v>
      </c>
    </row>
    <row r="53" customFormat="false" ht="15" hidden="false" customHeight="false" outlineLevel="0" collapsed="false">
      <c r="A53" s="21" t="n">
        <v>52</v>
      </c>
      <c r="B53" s="18" t="s">
        <v>580</v>
      </c>
      <c r="C53" s="23" t="n">
        <v>2</v>
      </c>
      <c r="D53" s="23" t="s">
        <v>116</v>
      </c>
      <c r="E53" s="23" t="n">
        <f aca="false">IF(C53=1,COUNTIFS($C$2:C53,1,$D$2:D53,D53),COUNTIFS($C$2:$C$799,1,$D$2:$D$799,D53)+COUNTIFS($C$2:C53,2,$D$2:D53,D53))</f>
        <v>205</v>
      </c>
      <c r="F53" s="23" t="str">
        <f aca="false">D53&amp;" #"&amp;TEXT(E53,"000")</f>
        <v>구약 #205</v>
      </c>
      <c r="G53" s="18" t="s">
        <v>525</v>
      </c>
      <c r="H53" s="18" t="s">
        <v>535</v>
      </c>
      <c r="I53" s="21" t="s">
        <v>119</v>
      </c>
      <c r="J53" s="22" t="s">
        <v>581</v>
      </c>
      <c r="K53" s="23" t="s">
        <v>121</v>
      </c>
      <c r="L53" s="29" t="s">
        <v>582</v>
      </c>
      <c r="M53" s="24" t="s">
        <v>583</v>
      </c>
      <c r="N53" s="23" t="s">
        <v>584</v>
      </c>
      <c r="O53" s="24" t="s">
        <v>585</v>
      </c>
      <c r="P53" s="24" t="s">
        <v>586</v>
      </c>
      <c r="Q53" s="24" t="s">
        <v>587</v>
      </c>
      <c r="R53" s="25" t="s">
        <v>588</v>
      </c>
      <c r="S53" s="24" t="s">
        <v>570</v>
      </c>
      <c r="T53" s="24" t="str">
        <f aca="false">"["&amp;안내!$C$5&amp;" "&amp;F53&amp;"] "&amp;L53&amp;" | "&amp;J53</f>
        <v>[1분 성경 구약 #205] 20년 만의 귀향 | 창 31:1-21</v>
      </c>
      <c r="U53" s="26" t="n">
        <f aca="false">IF(D53="구약",IF(C53=1,안내!$C$9,안내!$C$10)+AD53-1,IF(C53=1,안내!$C$9,안내!$C$10)+7*INT((AD53-1)/4)+CHOOSE(MOD(AD53-1,4)+1,0,2,4,5))</f>
        <v>46602</v>
      </c>
      <c r="V53" s="23" t="str">
        <f aca="false">CHOOSE(WEEKDAY(U53,2),"월","화","수","목","금","토","일")</f>
        <v>화</v>
      </c>
      <c r="W53" s="24" t="str">
        <f aca="false">IFERROR(IF(INDEX($C$2:$C$799,MATCH(D53&amp;"#"&amp;(E53+1),$AC$2:$AC$799,0))=C53,"다음 편: ","시즌1 완결 · 시즌2 첫 편: ")&amp;INDEX($L$2:$L$799,MATCH(D53&amp;"#"&amp;(E53+1),$AC$2:$AC$799,0)),"구약 트랙 완결")</f>
        <v>다음 편: 미스바</v>
      </c>
      <c r="X53" s="23" t="s">
        <v>130</v>
      </c>
      <c r="Y53" s="23" t="s">
        <v>130</v>
      </c>
      <c r="Z53" s="23" t="s">
        <v>130</v>
      </c>
      <c r="AA53" s="23" t="s">
        <v>130</v>
      </c>
      <c r="AB53" s="24"/>
      <c r="AC53" s="23" t="str">
        <f aca="false">D53&amp;"#"&amp;E53</f>
        <v>구약#205</v>
      </c>
      <c r="AD53" s="23" t="n">
        <f aca="false">COUNTIFS($C$2:C53,C53,$D$2:D53,D53)</f>
        <v>23</v>
      </c>
    </row>
    <row r="54" customFormat="false" ht="26.85" hidden="false" customHeight="false" outlineLevel="0" collapsed="false">
      <c r="A54" s="21" t="n">
        <v>53</v>
      </c>
      <c r="B54" s="18" t="s">
        <v>589</v>
      </c>
      <c r="C54" s="23" t="n">
        <v>2</v>
      </c>
      <c r="D54" s="23" t="s">
        <v>116</v>
      </c>
      <c r="E54" s="23" t="n">
        <f aca="false">IF(C54=1,COUNTIFS($C$2:C54,1,$D$2:D54,D54),COUNTIFS($C$2:$C$799,1,$D$2:$D$799,D54)+COUNTIFS($C$2:C54,2,$D$2:D54,D54))</f>
        <v>206</v>
      </c>
      <c r="F54" s="23" t="str">
        <f aca="false">D54&amp;" #"&amp;TEXT(E54,"000")</f>
        <v>구약 #206</v>
      </c>
      <c r="G54" s="18" t="s">
        <v>525</v>
      </c>
      <c r="H54" s="18" t="s">
        <v>535</v>
      </c>
      <c r="I54" s="21" t="s">
        <v>119</v>
      </c>
      <c r="J54" s="22" t="s">
        <v>590</v>
      </c>
      <c r="K54" s="23" t="s">
        <v>121</v>
      </c>
      <c r="L54" s="24" t="s">
        <v>591</v>
      </c>
      <c r="M54" s="24" t="s">
        <v>592</v>
      </c>
      <c r="N54" s="23" t="s">
        <v>593</v>
      </c>
      <c r="O54" s="24" t="s">
        <v>594</v>
      </c>
      <c r="P54" s="24" t="s">
        <v>577</v>
      </c>
      <c r="Q54" s="24" t="s">
        <v>595</v>
      </c>
      <c r="R54" s="24"/>
      <c r="S54" s="24" t="s">
        <v>570</v>
      </c>
      <c r="T54" s="24" t="str">
        <f aca="false">"["&amp;안내!$C$5&amp;" "&amp;F54&amp;"] "&amp;L54&amp;" | "&amp;J54</f>
        <v>[1분 성경 구약 #206] 미스바 | 창 31:22-55</v>
      </c>
      <c r="U54" s="26" t="n">
        <f aca="false">IF(D54="구약",IF(C54=1,안내!$C$9,안내!$C$10)+AD54-1,IF(C54=1,안내!$C$9,안내!$C$10)+7*INT((AD54-1)/4)+CHOOSE(MOD(AD54-1,4)+1,0,2,4,5))</f>
        <v>46603</v>
      </c>
      <c r="V54" s="23" t="str">
        <f aca="false">CHOOSE(WEEKDAY(U54,2),"월","화","수","목","금","토","일")</f>
        <v>수</v>
      </c>
      <c r="W54" s="24" t="str">
        <f aca="false">IFERROR(IF(INDEX($C$2:$C$799,MATCH(D54&amp;"#"&amp;(E54+1),$AC$2:$AC$799,0))=C54,"다음 편: ","시즌1 완결 · 시즌2 첫 편: ")&amp;INDEX($L$2:$L$799,MATCH(D54&amp;"#"&amp;(E54+1),$AC$2:$AC$799,0)),"구약 트랙 완결")</f>
        <v>다음 편: 형이 400명을 데리고 온다</v>
      </c>
      <c r="X54" s="23" t="s">
        <v>130</v>
      </c>
      <c r="Y54" s="23" t="s">
        <v>130</v>
      </c>
      <c r="Z54" s="23" t="s">
        <v>130</v>
      </c>
      <c r="AA54" s="23" t="s">
        <v>130</v>
      </c>
      <c r="AB54" s="24"/>
      <c r="AC54" s="23" t="str">
        <f aca="false">D54&amp;"#"&amp;E54</f>
        <v>구약#206</v>
      </c>
      <c r="AD54" s="23" t="n">
        <f aca="false">COUNTIFS($C$2:C54,C54,$D$2:D54,D54)</f>
        <v>24</v>
      </c>
    </row>
    <row r="55" customFormat="false" ht="26.85" hidden="false" customHeight="false" outlineLevel="0" collapsed="false">
      <c r="A55" s="21" t="n">
        <v>54</v>
      </c>
      <c r="B55" s="18" t="s">
        <v>596</v>
      </c>
      <c r="C55" s="23" t="n">
        <v>2</v>
      </c>
      <c r="D55" s="23" t="s">
        <v>116</v>
      </c>
      <c r="E55" s="23" t="n">
        <f aca="false">IF(C55=1,COUNTIFS($C$2:C55,1,$D$2:D55,D55),COUNTIFS($C$2:$C$799,1,$D$2:$D$799,D55)+COUNTIFS($C$2:C55,2,$D$2:D55,D55))</f>
        <v>207</v>
      </c>
      <c r="F55" s="23" t="str">
        <f aca="false">D55&amp;" #"&amp;TEXT(E55,"000")</f>
        <v>구약 #207</v>
      </c>
      <c r="G55" s="18" t="s">
        <v>597</v>
      </c>
      <c r="H55" s="18" t="s">
        <v>535</v>
      </c>
      <c r="I55" s="21" t="s">
        <v>119</v>
      </c>
      <c r="J55" s="22" t="s">
        <v>598</v>
      </c>
      <c r="K55" s="23" t="s">
        <v>121</v>
      </c>
      <c r="L55" s="24" t="s">
        <v>599</v>
      </c>
      <c r="M55" s="29" t="s">
        <v>600</v>
      </c>
      <c r="N55" s="23" t="s">
        <v>601</v>
      </c>
      <c r="O55" s="24" t="s">
        <v>602</v>
      </c>
      <c r="P55" s="24" t="s">
        <v>603</v>
      </c>
      <c r="Q55" s="24" t="s">
        <v>604</v>
      </c>
      <c r="R55" s="24"/>
      <c r="S55" s="24" t="s">
        <v>570</v>
      </c>
      <c r="T55" s="24" t="str">
        <f aca="false">"["&amp;안내!$C$5&amp;" "&amp;F55&amp;"] "&amp;L55&amp;" | "&amp;J55</f>
        <v>[1분 성경 구약 #207] 형이 400명을 데리고 온다 | 창 32:1-21</v>
      </c>
      <c r="U55" s="26" t="n">
        <f aca="false">IF(D55="구약",IF(C55=1,안내!$C$9,안내!$C$10)+AD55-1,IF(C55=1,안내!$C$9,안내!$C$10)+7*INT((AD55-1)/4)+CHOOSE(MOD(AD55-1,4)+1,0,2,4,5))</f>
        <v>46604</v>
      </c>
      <c r="V55" s="23" t="str">
        <f aca="false">CHOOSE(WEEKDAY(U55,2),"월","화","수","목","금","토","일")</f>
        <v>목</v>
      </c>
      <c r="W55" s="24" t="str">
        <f aca="false">IFERROR(IF(INDEX($C$2:$C$799,MATCH(D55&amp;"#"&amp;(E55+1),$AC$2:$AC$799,0))=C55,"다음 편: ","시즌1 완결 · 시즌2 첫 편: ")&amp;INDEX($L$2:$L$799,MATCH(D55&amp;"#"&amp;(E55+1),$AC$2:$AC$799,0)),"구약 트랙 완결")</f>
        <v>다음 편: 세겜의 비극</v>
      </c>
      <c r="X55" s="23" t="s">
        <v>130</v>
      </c>
      <c r="Y55" s="23" t="s">
        <v>130</v>
      </c>
      <c r="Z55" s="23" t="s">
        <v>130</v>
      </c>
      <c r="AA55" s="23" t="s">
        <v>130</v>
      </c>
      <c r="AB55" s="24"/>
      <c r="AC55" s="23" t="str">
        <f aca="false">D55&amp;"#"&amp;E55</f>
        <v>구약#207</v>
      </c>
      <c r="AD55" s="23" t="n">
        <f aca="false">COUNTIFS($C$2:C55,C55,$D$2:D55,D55)</f>
        <v>25</v>
      </c>
    </row>
    <row r="56" customFormat="false" ht="52.2" hidden="false" customHeight="false" outlineLevel="0" collapsed="false">
      <c r="A56" s="21" t="n">
        <v>55</v>
      </c>
      <c r="B56" s="18" t="s">
        <v>605</v>
      </c>
      <c r="C56" s="20" t="n">
        <v>1</v>
      </c>
      <c r="D56" s="20" t="s">
        <v>116</v>
      </c>
      <c r="E56" s="20" t="n">
        <f aca="false">IF(C56=1,COUNTIFS($C$2:C56,1,$D$2:D56,D56),COUNTIFS($C$2:$C$799,1,$D$2:$D$799,D56)+COUNTIFS($C$2:C56,2,$D$2:D56,D56))</f>
        <v>30</v>
      </c>
      <c r="F56" s="20" t="str">
        <f aca="false">D56&amp;" #"&amp;TEXT(E56,"000")</f>
        <v>구약 #030</v>
      </c>
      <c r="G56" s="18" t="s">
        <v>597</v>
      </c>
      <c r="H56" s="18" t="s">
        <v>526</v>
      </c>
      <c r="I56" s="21" t="s">
        <v>119</v>
      </c>
      <c r="J56" s="22" t="s">
        <v>606</v>
      </c>
      <c r="K56" s="23" t="s">
        <v>121</v>
      </c>
      <c r="L56" s="24" t="s">
        <v>607</v>
      </c>
      <c r="M56" s="24" t="s">
        <v>608</v>
      </c>
      <c r="N56" s="23" t="s">
        <v>609</v>
      </c>
      <c r="O56" s="24" t="s">
        <v>610</v>
      </c>
      <c r="P56" s="24" t="s">
        <v>611</v>
      </c>
      <c r="Q56" s="24" t="s">
        <v>612</v>
      </c>
      <c r="R56" s="25" t="s">
        <v>613</v>
      </c>
      <c r="S56" s="28" t="s">
        <v>614</v>
      </c>
      <c r="T56" s="24" t="str">
        <f aca="false">"["&amp;안내!$C$5&amp;" "&amp;F56&amp;"] "&amp;L56&amp;" | "&amp;J56</f>
        <v>[1분 성경 구약 #030] 얍복강의 씨름 | 창 32:22-32</v>
      </c>
      <c r="U56" s="26" t="n">
        <f aca="false">IF(D56="구약",IF(C56=1,안내!$C$9,안내!$C$10)+AD56-1,IF(C56=1,안내!$C$9,안내!$C$10)+7*INT((AD56-1)/4)+CHOOSE(MOD(AD56-1,4)+1,0,2,4,5))</f>
        <v>46420</v>
      </c>
      <c r="V56" s="23" t="str">
        <f aca="false">CHOOSE(WEEKDAY(U56,2),"월","화","수","목","금","토","일")</f>
        <v>화</v>
      </c>
      <c r="W56" s="24" t="str">
        <f aca="false">IFERROR(IF(INDEX($C$2:$C$799,MATCH(D56&amp;"#"&amp;(E56+1),$AC$2:$AC$799,0))=C56,"다음 편: ","시즌1 완결 · 시즌2 첫 편: ")&amp;INDEX($L$2:$L$799,MATCH(D56&amp;"#"&amp;(E56+1),$AC$2:$AC$799,0)),"구약 트랙 완결")</f>
        <v>다음 편: 형이 달려와 끌어안다</v>
      </c>
      <c r="X56" s="23" t="s">
        <v>130</v>
      </c>
      <c r="Y56" s="23" t="s">
        <v>130</v>
      </c>
      <c r="Z56" s="23" t="s">
        <v>130</v>
      </c>
      <c r="AA56" s="23" t="s">
        <v>130</v>
      </c>
      <c r="AB56" s="24"/>
      <c r="AC56" s="23" t="str">
        <f aca="false">D56&amp;"#"&amp;E56</f>
        <v>구약#30</v>
      </c>
      <c r="AD56" s="23" t="n">
        <f aca="false">COUNTIFS($C$2:C56,C56,$D$2:D56,D56)</f>
        <v>30</v>
      </c>
    </row>
    <row r="57" customFormat="false" ht="25.35" hidden="false" customHeight="false" outlineLevel="0" collapsed="false">
      <c r="A57" s="21" t="n">
        <v>56</v>
      </c>
      <c r="B57" s="18" t="s">
        <v>615</v>
      </c>
      <c r="C57" s="20" t="n">
        <v>1</v>
      </c>
      <c r="D57" s="20" t="s">
        <v>116</v>
      </c>
      <c r="E57" s="20" t="n">
        <f aca="false">IF(C57=1,COUNTIFS($C$2:C57,1,$D$2:D57,D57),COUNTIFS($C$2:$C$799,1,$D$2:$D$799,D57)+COUNTIFS($C$2:C57,2,$D$2:D57,D57))</f>
        <v>31</v>
      </c>
      <c r="F57" s="20" t="str">
        <f aca="false">D57&amp;" #"&amp;TEXT(E57,"000")</f>
        <v>구약 #031</v>
      </c>
      <c r="G57" s="18" t="s">
        <v>597</v>
      </c>
      <c r="H57" s="18" t="s">
        <v>526</v>
      </c>
      <c r="I57" s="21" t="s">
        <v>119</v>
      </c>
      <c r="J57" s="22" t="s">
        <v>616</v>
      </c>
      <c r="K57" s="23" t="s">
        <v>121</v>
      </c>
      <c r="L57" s="24" t="s">
        <v>617</v>
      </c>
      <c r="M57" s="24" t="s">
        <v>618</v>
      </c>
      <c r="N57" s="23" t="s">
        <v>619</v>
      </c>
      <c r="O57" s="24" t="s">
        <v>620</v>
      </c>
      <c r="P57" s="24" t="s">
        <v>621</v>
      </c>
      <c r="Q57" s="24" t="s">
        <v>622</v>
      </c>
      <c r="R57" s="24"/>
      <c r="S57" s="24" t="s">
        <v>129</v>
      </c>
      <c r="T57" s="24" t="str">
        <f aca="false">"["&amp;안내!$C$5&amp;" "&amp;F57&amp;"] "&amp;L57&amp;" | "&amp;J57</f>
        <v>[1분 성경 구약 #031] 형이 달려와 끌어안다 | 창 33:1-20</v>
      </c>
      <c r="U57" s="26" t="n">
        <f aca="false">IF(D57="구약",IF(C57=1,안내!$C$9,안내!$C$10)+AD57-1,IF(C57=1,안내!$C$9,안내!$C$10)+7*INT((AD57-1)/4)+CHOOSE(MOD(AD57-1,4)+1,0,2,4,5))</f>
        <v>46421</v>
      </c>
      <c r="V57" s="23" t="str">
        <f aca="false">CHOOSE(WEEKDAY(U57,2),"월","화","수","목","금","토","일")</f>
        <v>수</v>
      </c>
      <c r="W57" s="24" t="str">
        <f aca="false">IFERROR(IF(INDEX($C$2:$C$799,MATCH(D57&amp;"#"&amp;(E57+1),$AC$2:$AC$799,0))=C57,"다음 편: ","시즌1 완결 · 시즌2 첫 편: ")&amp;INDEX($L$2:$L$799,MATCH(D57&amp;"#"&amp;(E57+1),$AC$2:$AC$799,0)),"구약 트랙 완결")</f>
        <v>다음 편: 꿈꾸는 소년</v>
      </c>
      <c r="X57" s="23" t="s">
        <v>130</v>
      </c>
      <c r="Y57" s="23" t="s">
        <v>130</v>
      </c>
      <c r="Z57" s="23" t="s">
        <v>130</v>
      </c>
      <c r="AA57" s="23" t="s">
        <v>130</v>
      </c>
      <c r="AB57" s="24"/>
      <c r="AC57" s="23" t="str">
        <f aca="false">D57&amp;"#"&amp;E57</f>
        <v>구약#31</v>
      </c>
      <c r="AD57" s="23" t="n">
        <f aca="false">COUNTIFS($C$2:C57,C57,$D$2:D57,D57)</f>
        <v>31</v>
      </c>
    </row>
    <row r="58" customFormat="false" ht="26.85" hidden="false" customHeight="false" outlineLevel="0" collapsed="false">
      <c r="A58" s="21" t="n">
        <v>57</v>
      </c>
      <c r="B58" s="18" t="s">
        <v>623</v>
      </c>
      <c r="C58" s="23" t="n">
        <v>2</v>
      </c>
      <c r="D58" s="23" t="s">
        <v>116</v>
      </c>
      <c r="E58" s="23" t="n">
        <f aca="false">IF(C58=1,COUNTIFS($C$2:C58,1,$D$2:D58,D58),COUNTIFS($C$2:$C$799,1,$D$2:$D$799,D58)+COUNTIFS($C$2:C58,2,$D$2:D58,D58))</f>
        <v>208</v>
      </c>
      <c r="F58" s="23" t="str">
        <f aca="false">D58&amp;" #"&amp;TEXT(E58,"000")</f>
        <v>구약 #208</v>
      </c>
      <c r="G58" s="18" t="s">
        <v>597</v>
      </c>
      <c r="H58" s="18" t="s">
        <v>535</v>
      </c>
      <c r="I58" s="21" t="s">
        <v>119</v>
      </c>
      <c r="J58" s="22" t="s">
        <v>624</v>
      </c>
      <c r="K58" s="23" t="s">
        <v>121</v>
      </c>
      <c r="L58" s="24" t="s">
        <v>625</v>
      </c>
      <c r="M58" s="24" t="s">
        <v>626</v>
      </c>
      <c r="N58" s="23" t="s">
        <v>627</v>
      </c>
      <c r="O58" s="24" t="s">
        <v>628</v>
      </c>
      <c r="P58" s="24" t="s">
        <v>629</v>
      </c>
      <c r="Q58" s="24" t="s">
        <v>630</v>
      </c>
      <c r="R58" s="25" t="s">
        <v>631</v>
      </c>
      <c r="S58" s="24" t="s">
        <v>632</v>
      </c>
      <c r="T58" s="24" t="str">
        <f aca="false">"["&amp;안내!$C$5&amp;" "&amp;F58&amp;"] "&amp;L58&amp;" | "&amp;J58</f>
        <v>[1분 성경 구약 #208] 세겜의 비극 | 창 34:1-31</v>
      </c>
      <c r="U58" s="26" t="n">
        <f aca="false">IF(D58="구약",IF(C58=1,안내!$C$9,안내!$C$10)+AD58-1,IF(C58=1,안내!$C$9,안내!$C$10)+7*INT((AD58-1)/4)+CHOOSE(MOD(AD58-1,4)+1,0,2,4,5))</f>
        <v>46605</v>
      </c>
      <c r="V58" s="23" t="str">
        <f aca="false">CHOOSE(WEEKDAY(U58,2),"월","화","수","목","금","토","일")</f>
        <v>금</v>
      </c>
      <c r="W58" s="24" t="str">
        <f aca="false">IFERROR(IF(INDEX($C$2:$C$799,MATCH(D58&amp;"#"&amp;(E58+1),$AC$2:$AC$799,0))=C58,"다음 편: ","시즌1 완결 · 시즌2 첫 편: ")&amp;INDEX($L$2:$L$799,MATCH(D58&amp;"#"&amp;(E58+1),$AC$2:$AC$799,0)),"구약 트랙 완결")</f>
        <v>다음 편: 다시 벧엘로</v>
      </c>
      <c r="X58" s="23" t="s">
        <v>130</v>
      </c>
      <c r="Y58" s="23" t="s">
        <v>130</v>
      </c>
      <c r="Z58" s="23" t="s">
        <v>130</v>
      </c>
      <c r="AA58" s="23" t="s">
        <v>130</v>
      </c>
      <c r="AB58" s="24"/>
      <c r="AC58" s="23" t="str">
        <f aca="false">D58&amp;"#"&amp;E58</f>
        <v>구약#208</v>
      </c>
      <c r="AD58" s="23" t="n">
        <f aca="false">COUNTIFS($C$2:C58,C58,$D$2:D58,D58)</f>
        <v>26</v>
      </c>
    </row>
    <row r="59" customFormat="false" ht="26.85" hidden="false" customHeight="false" outlineLevel="0" collapsed="false">
      <c r="A59" s="21" t="n">
        <v>58</v>
      </c>
      <c r="B59" s="18" t="s">
        <v>633</v>
      </c>
      <c r="C59" s="23" t="n">
        <v>2</v>
      </c>
      <c r="D59" s="23" t="s">
        <v>116</v>
      </c>
      <c r="E59" s="23" t="n">
        <f aca="false">IF(C59=1,COUNTIFS($C$2:C59,1,$D$2:D59,D59),COUNTIFS($C$2:$C$799,1,$D$2:$D$799,D59)+COUNTIFS($C$2:C59,2,$D$2:D59,D59))</f>
        <v>209</v>
      </c>
      <c r="F59" s="23" t="str">
        <f aca="false">D59&amp;" #"&amp;TEXT(E59,"000")</f>
        <v>구약 #209</v>
      </c>
      <c r="G59" s="18" t="s">
        <v>597</v>
      </c>
      <c r="H59" s="18" t="s">
        <v>535</v>
      </c>
      <c r="I59" s="21" t="s">
        <v>119</v>
      </c>
      <c r="J59" s="22" t="s">
        <v>634</v>
      </c>
      <c r="K59" s="23" t="s">
        <v>121</v>
      </c>
      <c r="L59" s="24" t="s">
        <v>635</v>
      </c>
      <c r="M59" s="24" t="s">
        <v>636</v>
      </c>
      <c r="N59" s="23" t="s">
        <v>637</v>
      </c>
      <c r="O59" s="24" t="s">
        <v>638</v>
      </c>
      <c r="P59" s="24" t="s">
        <v>639</v>
      </c>
      <c r="Q59" s="24" t="s">
        <v>640</v>
      </c>
      <c r="R59" s="24"/>
      <c r="S59" s="24" t="s">
        <v>632</v>
      </c>
      <c r="T59" s="24" t="str">
        <f aca="false">"["&amp;안내!$C$5&amp;" "&amp;F59&amp;"] "&amp;L59&amp;" | "&amp;J59</f>
        <v>[1분 성경 구약 #209] 다시 벧엘로 | 창 35:1-15</v>
      </c>
      <c r="U59" s="26" t="n">
        <f aca="false">IF(D59="구약",IF(C59=1,안내!$C$9,안내!$C$10)+AD59-1,IF(C59=1,안내!$C$9,안내!$C$10)+7*INT((AD59-1)/4)+CHOOSE(MOD(AD59-1,4)+1,0,2,4,5))</f>
        <v>46606</v>
      </c>
      <c r="V59" s="23" t="str">
        <f aca="false">CHOOSE(WEEKDAY(U59,2),"월","화","수","목","금","토","일")</f>
        <v>토</v>
      </c>
      <c r="W59" s="24" t="str">
        <f aca="false">IFERROR(IF(INDEX($C$2:$C$799,MATCH(D59&amp;"#"&amp;(E59+1),$AC$2:$AC$799,0))=C59,"다음 편: ","시즌1 완결 · 시즌2 첫 편: ")&amp;INDEX($L$2:$L$799,MATCH(D59&amp;"#"&amp;(E59+1),$AC$2:$AC$799,0)),"구약 트랙 완결")</f>
        <v>다음 편: 라헬과 이삭의 죽음</v>
      </c>
      <c r="X59" s="23" t="s">
        <v>130</v>
      </c>
      <c r="Y59" s="23" t="s">
        <v>130</v>
      </c>
      <c r="Z59" s="23" t="s">
        <v>130</v>
      </c>
      <c r="AA59" s="23" t="s">
        <v>130</v>
      </c>
      <c r="AB59" s="24"/>
      <c r="AC59" s="23" t="str">
        <f aca="false">D59&amp;"#"&amp;E59</f>
        <v>구약#209</v>
      </c>
      <c r="AD59" s="23" t="n">
        <f aca="false">COUNTIFS($C$2:C59,C59,$D$2:D59,D59)</f>
        <v>27</v>
      </c>
    </row>
    <row r="60" customFormat="false" ht="26.85" hidden="false" customHeight="false" outlineLevel="0" collapsed="false">
      <c r="A60" s="21" t="n">
        <v>59</v>
      </c>
      <c r="B60" s="18" t="s">
        <v>641</v>
      </c>
      <c r="C60" s="23" t="n">
        <v>2</v>
      </c>
      <c r="D60" s="23" t="s">
        <v>116</v>
      </c>
      <c r="E60" s="23" t="n">
        <f aca="false">IF(C60=1,COUNTIFS($C$2:C60,1,$D$2:D60,D60),COUNTIFS($C$2:$C$799,1,$D$2:$D$799,D60)+COUNTIFS($C$2:C60,2,$D$2:D60,D60))</f>
        <v>210</v>
      </c>
      <c r="F60" s="23" t="str">
        <f aca="false">D60&amp;" #"&amp;TEXT(E60,"000")</f>
        <v>구약 #210</v>
      </c>
      <c r="G60" s="18" t="s">
        <v>597</v>
      </c>
      <c r="H60" s="18" t="s">
        <v>535</v>
      </c>
      <c r="I60" s="21" t="s">
        <v>119</v>
      </c>
      <c r="J60" s="22" t="s">
        <v>642</v>
      </c>
      <c r="K60" s="23" t="s">
        <v>121</v>
      </c>
      <c r="L60" s="24" t="s">
        <v>643</v>
      </c>
      <c r="M60" s="24" t="s">
        <v>644</v>
      </c>
      <c r="N60" s="23" t="s">
        <v>645</v>
      </c>
      <c r="O60" s="24" t="s">
        <v>646</v>
      </c>
      <c r="P60" s="24" t="s">
        <v>647</v>
      </c>
      <c r="Q60" s="24" t="s">
        <v>648</v>
      </c>
      <c r="R60" s="24"/>
      <c r="S60" s="24" t="s">
        <v>632</v>
      </c>
      <c r="T60" s="24" t="str">
        <f aca="false">"["&amp;안내!$C$5&amp;" "&amp;F60&amp;"] "&amp;L60&amp;" | "&amp;J60</f>
        <v>[1분 성경 구약 #210] 라헬과 이삭의 죽음 | 창 35:16-29</v>
      </c>
      <c r="U60" s="26" t="n">
        <f aca="false">IF(D60="구약",IF(C60=1,안내!$C$9,안내!$C$10)+AD60-1,IF(C60=1,안내!$C$9,안내!$C$10)+7*INT((AD60-1)/4)+CHOOSE(MOD(AD60-1,4)+1,0,2,4,5))</f>
        <v>46607</v>
      </c>
      <c r="V60" s="23" t="str">
        <f aca="false">CHOOSE(WEEKDAY(U60,2),"월","화","수","목","금","토","일")</f>
        <v>일</v>
      </c>
      <c r="W60" s="24" t="str">
        <f aca="false">IFERROR(IF(INDEX($C$2:$C$799,MATCH(D60&amp;"#"&amp;(E60+1),$AC$2:$AC$799,0))=C60,"다음 편: ","시즌1 완결 · 시즌2 첫 편: ")&amp;INDEX($L$2:$L$799,MATCH(D60&amp;"#"&amp;(E60+1),$AC$2:$AC$799,0)),"구약 트랙 완결")</f>
        <v>다음 편: 에서의 후손</v>
      </c>
      <c r="X60" s="23" t="s">
        <v>130</v>
      </c>
      <c r="Y60" s="23" t="s">
        <v>130</v>
      </c>
      <c r="Z60" s="23" t="s">
        <v>130</v>
      </c>
      <c r="AA60" s="23" t="s">
        <v>130</v>
      </c>
      <c r="AB60" s="24"/>
      <c r="AC60" s="23" t="str">
        <f aca="false">D60&amp;"#"&amp;E60</f>
        <v>구약#210</v>
      </c>
      <c r="AD60" s="23" t="n">
        <f aca="false">COUNTIFS($C$2:C60,C60,$D$2:D60,D60)</f>
        <v>28</v>
      </c>
    </row>
    <row r="61" customFormat="false" ht="26.85" hidden="false" customHeight="false" outlineLevel="0" collapsed="false">
      <c r="A61" s="21" t="n">
        <v>60</v>
      </c>
      <c r="B61" s="18" t="s">
        <v>649</v>
      </c>
      <c r="C61" s="23" t="n">
        <v>2</v>
      </c>
      <c r="D61" s="23" t="s">
        <v>116</v>
      </c>
      <c r="E61" s="23" t="n">
        <f aca="false">IF(C61=1,COUNTIFS($C$2:C61,1,$D$2:D61,D61),COUNTIFS($C$2:$C$799,1,$D$2:$D$799,D61)+COUNTIFS($C$2:C61,2,$D$2:D61,D61))</f>
        <v>211</v>
      </c>
      <c r="F61" s="23" t="str">
        <f aca="false">D61&amp;" #"&amp;TEXT(E61,"000")</f>
        <v>구약 #211</v>
      </c>
      <c r="G61" s="18" t="s">
        <v>597</v>
      </c>
      <c r="H61" s="18" t="s">
        <v>535</v>
      </c>
      <c r="I61" s="21" t="s">
        <v>119</v>
      </c>
      <c r="J61" s="22" t="s">
        <v>650</v>
      </c>
      <c r="K61" s="23" t="s">
        <v>121</v>
      </c>
      <c r="L61" s="24" t="s">
        <v>651</v>
      </c>
      <c r="M61" s="24" t="s">
        <v>652</v>
      </c>
      <c r="N61" s="23" t="s">
        <v>653</v>
      </c>
      <c r="O61" s="24" t="s">
        <v>654</v>
      </c>
      <c r="P61" s="24" t="s">
        <v>655</v>
      </c>
      <c r="Q61" s="24" t="s">
        <v>656</v>
      </c>
      <c r="R61" s="24"/>
      <c r="S61" s="24" t="s">
        <v>632</v>
      </c>
      <c r="T61" s="24" t="str">
        <f aca="false">"["&amp;안내!$C$5&amp;" "&amp;F61&amp;"] "&amp;L61&amp;" | "&amp;J61</f>
        <v>[1분 성경 구약 #211] 에서의 후손 | 창 36:1-43</v>
      </c>
      <c r="U61" s="26" t="n">
        <f aca="false">IF(D61="구약",IF(C61=1,안내!$C$9,안내!$C$10)+AD61-1,IF(C61=1,안내!$C$9,안내!$C$10)+7*INT((AD61-1)/4)+CHOOSE(MOD(AD61-1,4)+1,0,2,4,5))</f>
        <v>46608</v>
      </c>
      <c r="V61" s="23" t="str">
        <f aca="false">CHOOSE(WEEKDAY(U61,2),"월","화","수","목","금","토","일")</f>
        <v>월</v>
      </c>
      <c r="W61" s="24" t="str">
        <f aca="false">IFERROR(IF(INDEX($C$2:$C$799,MATCH(D61&amp;"#"&amp;(E61+1),$AC$2:$AC$799,0))=C61,"다음 편: ","시즌1 완결 · 시즌2 첫 편: ")&amp;INDEX($L$2:$L$799,MATCH(D61&amp;"#"&amp;(E61+1),$AC$2:$AC$799,0)),"구약 트랙 완결")</f>
        <v>다음 편: 유다와 다말</v>
      </c>
      <c r="X61" s="23" t="s">
        <v>130</v>
      </c>
      <c r="Y61" s="23" t="s">
        <v>130</v>
      </c>
      <c r="Z61" s="23" t="s">
        <v>130</v>
      </c>
      <c r="AA61" s="23" t="s">
        <v>130</v>
      </c>
      <c r="AB61" s="24"/>
      <c r="AC61" s="23" t="str">
        <f aca="false">D61&amp;"#"&amp;E61</f>
        <v>구약#211</v>
      </c>
      <c r="AD61" s="23" t="n">
        <f aca="false">COUNTIFS($C$2:C61,C61,$D$2:D61,D61)</f>
        <v>29</v>
      </c>
    </row>
    <row r="62" customFormat="false" ht="52.2" hidden="false" customHeight="false" outlineLevel="0" collapsed="false">
      <c r="A62" s="21" t="n">
        <v>61</v>
      </c>
      <c r="B62" s="18" t="s">
        <v>657</v>
      </c>
      <c r="C62" s="20" t="n">
        <v>1</v>
      </c>
      <c r="D62" s="20" t="s">
        <v>116</v>
      </c>
      <c r="E62" s="20" t="n">
        <f aca="false">IF(C62=1,COUNTIFS($C$2:C62,1,$D$2:D62,D62),COUNTIFS($C$2:$C$799,1,$D$2:$D$799,D62)+COUNTIFS($C$2:C62,2,$D$2:D62,D62))</f>
        <v>32</v>
      </c>
      <c r="F62" s="20" t="str">
        <f aca="false">D62&amp;" #"&amp;TEXT(E62,"000")</f>
        <v>구약 #032</v>
      </c>
      <c r="G62" s="18" t="s">
        <v>658</v>
      </c>
      <c r="H62" s="18" t="s">
        <v>526</v>
      </c>
      <c r="I62" s="21" t="s">
        <v>119</v>
      </c>
      <c r="J62" s="22" t="s">
        <v>659</v>
      </c>
      <c r="K62" s="23" t="s">
        <v>121</v>
      </c>
      <c r="L62" s="24" t="s">
        <v>660</v>
      </c>
      <c r="M62" s="24" t="s">
        <v>661</v>
      </c>
      <c r="N62" s="23" t="s">
        <v>662</v>
      </c>
      <c r="O62" s="24" t="s">
        <v>663</v>
      </c>
      <c r="P62" s="24" t="s">
        <v>664</v>
      </c>
      <c r="Q62" s="24" t="s">
        <v>665</v>
      </c>
      <c r="R62" s="24"/>
      <c r="S62" s="28" t="s">
        <v>666</v>
      </c>
      <c r="T62" s="24" t="str">
        <f aca="false">"["&amp;안내!$C$5&amp;" "&amp;F62&amp;"] "&amp;L62&amp;" | "&amp;J62</f>
        <v>[1분 성경 구약 #032] 꿈꾸는 소년 | 창 37:1-11</v>
      </c>
      <c r="U62" s="26" t="n">
        <f aca="false">IF(D62="구약",IF(C62=1,안내!$C$9,안내!$C$10)+AD62-1,IF(C62=1,안내!$C$9,안내!$C$10)+7*INT((AD62-1)/4)+CHOOSE(MOD(AD62-1,4)+1,0,2,4,5))</f>
        <v>46422</v>
      </c>
      <c r="V62" s="23" t="str">
        <f aca="false">CHOOSE(WEEKDAY(U62,2),"월","화","수","목","금","토","일")</f>
        <v>목</v>
      </c>
      <c r="W62" s="24" t="str">
        <f aca="false">IFERROR(IF(INDEX($C$2:$C$799,MATCH(D62&amp;"#"&amp;(E62+1),$AC$2:$AC$799,0))=C62,"다음 편: ","시즌1 완결 · 시즌2 첫 편: ")&amp;INDEX($L$2:$L$799,MATCH(D62&amp;"#"&amp;(E62+1),$AC$2:$AC$799,0)),"구약 트랙 완결")</f>
        <v>다음 편: 은 20개에 팔리다</v>
      </c>
      <c r="X62" s="23" t="s">
        <v>130</v>
      </c>
      <c r="Y62" s="23" t="s">
        <v>130</v>
      </c>
      <c r="Z62" s="23" t="s">
        <v>130</v>
      </c>
      <c r="AA62" s="23" t="s">
        <v>130</v>
      </c>
      <c r="AB62" s="24"/>
      <c r="AC62" s="23" t="str">
        <f aca="false">D62&amp;"#"&amp;E62</f>
        <v>구약#32</v>
      </c>
      <c r="AD62" s="23" t="n">
        <f aca="false">COUNTIFS($C$2:C62,C62,$D$2:D62,D62)</f>
        <v>32</v>
      </c>
    </row>
    <row r="63" customFormat="false" ht="26.85" hidden="false" customHeight="false" outlineLevel="0" collapsed="false">
      <c r="A63" s="21" t="n">
        <v>62</v>
      </c>
      <c r="B63" s="18" t="s">
        <v>667</v>
      </c>
      <c r="C63" s="20" t="n">
        <v>1</v>
      </c>
      <c r="D63" s="20" t="s">
        <v>116</v>
      </c>
      <c r="E63" s="20" t="n">
        <f aca="false">IF(C63=1,COUNTIFS($C$2:C63,1,$D$2:D63,D63),COUNTIFS($C$2:$C$799,1,$D$2:$D$799,D63)+COUNTIFS($C$2:C63,2,$D$2:D63,D63))</f>
        <v>33</v>
      </c>
      <c r="F63" s="20" t="str">
        <f aca="false">D63&amp;" #"&amp;TEXT(E63,"000")</f>
        <v>구약 #033</v>
      </c>
      <c r="G63" s="18" t="s">
        <v>658</v>
      </c>
      <c r="H63" s="18" t="s">
        <v>526</v>
      </c>
      <c r="I63" s="21" t="s">
        <v>119</v>
      </c>
      <c r="J63" s="22" t="s">
        <v>668</v>
      </c>
      <c r="K63" s="23" t="s">
        <v>121</v>
      </c>
      <c r="L63" s="24" t="s">
        <v>669</v>
      </c>
      <c r="M63" s="24" t="s">
        <v>670</v>
      </c>
      <c r="N63" s="23" t="s">
        <v>671</v>
      </c>
      <c r="O63" s="24" t="s">
        <v>672</v>
      </c>
      <c r="P63" s="24" t="s">
        <v>673</v>
      </c>
      <c r="Q63" s="24" t="s">
        <v>674</v>
      </c>
      <c r="R63" s="24"/>
      <c r="S63" s="24" t="s">
        <v>129</v>
      </c>
      <c r="T63" s="24" t="str">
        <f aca="false">"["&amp;안내!$C$5&amp;" "&amp;F63&amp;"] "&amp;L63&amp;" | "&amp;J63</f>
        <v>[1분 성경 구약 #033] 은 20개에 팔리다 | 창 37:12-36</v>
      </c>
      <c r="U63" s="26" t="n">
        <f aca="false">IF(D63="구약",IF(C63=1,안내!$C$9,안내!$C$10)+AD63-1,IF(C63=1,안내!$C$9,안내!$C$10)+7*INT((AD63-1)/4)+CHOOSE(MOD(AD63-1,4)+1,0,2,4,5))</f>
        <v>46423</v>
      </c>
      <c r="V63" s="23" t="str">
        <f aca="false">CHOOSE(WEEKDAY(U63,2),"월","화","수","목","금","토","일")</f>
        <v>금</v>
      </c>
      <c r="W63" s="24" t="str">
        <f aca="false">IFERROR(IF(INDEX($C$2:$C$799,MATCH(D63&amp;"#"&amp;(E63+1),$AC$2:$AC$799,0))=C63,"다음 편: ","시즌1 완결 · 시즌2 첫 편: ")&amp;INDEX($L$2:$L$799,MATCH(D63&amp;"#"&amp;(E63+1),$AC$2:$AC$799,0)),"구약 트랙 완결")</f>
        <v>다음 편: 아무도 없는 집에서</v>
      </c>
      <c r="X63" s="23" t="s">
        <v>130</v>
      </c>
      <c r="Y63" s="23" t="s">
        <v>130</v>
      </c>
      <c r="Z63" s="23" t="s">
        <v>130</v>
      </c>
      <c r="AA63" s="23" t="s">
        <v>130</v>
      </c>
      <c r="AB63" s="24"/>
      <c r="AC63" s="23" t="str">
        <f aca="false">D63&amp;"#"&amp;E63</f>
        <v>구약#33</v>
      </c>
      <c r="AD63" s="23" t="n">
        <f aca="false">COUNTIFS($C$2:C63,C63,$D$2:D63,D63)</f>
        <v>33</v>
      </c>
    </row>
    <row r="64" customFormat="false" ht="26.85" hidden="false" customHeight="false" outlineLevel="0" collapsed="false">
      <c r="A64" s="21" t="n">
        <v>63</v>
      </c>
      <c r="B64" s="18" t="s">
        <v>675</v>
      </c>
      <c r="C64" s="23" t="n">
        <v>2</v>
      </c>
      <c r="D64" s="23" t="s">
        <v>116</v>
      </c>
      <c r="E64" s="23" t="n">
        <f aca="false">IF(C64=1,COUNTIFS($C$2:C64,1,$D$2:D64,D64),COUNTIFS($C$2:$C$799,1,$D$2:$D$799,D64)+COUNTIFS($C$2:C64,2,$D$2:D64,D64))</f>
        <v>212</v>
      </c>
      <c r="F64" s="23" t="str">
        <f aca="false">D64&amp;" #"&amp;TEXT(E64,"000")</f>
        <v>구약 #212</v>
      </c>
      <c r="G64" s="18" t="s">
        <v>658</v>
      </c>
      <c r="H64" s="18" t="s">
        <v>676</v>
      </c>
      <c r="I64" s="21" t="s">
        <v>119</v>
      </c>
      <c r="J64" s="22" t="s">
        <v>677</v>
      </c>
      <c r="K64" s="23" t="s">
        <v>121</v>
      </c>
      <c r="L64" s="24" t="s">
        <v>678</v>
      </c>
      <c r="M64" s="24" t="s">
        <v>679</v>
      </c>
      <c r="N64" s="23" t="s">
        <v>680</v>
      </c>
      <c r="O64" s="24" t="s">
        <v>681</v>
      </c>
      <c r="P64" s="24" t="s">
        <v>682</v>
      </c>
      <c r="Q64" s="24" t="s">
        <v>683</v>
      </c>
      <c r="R64" s="25" t="s">
        <v>684</v>
      </c>
      <c r="S64" s="24" t="s">
        <v>685</v>
      </c>
      <c r="T64" s="24" t="str">
        <f aca="false">"["&amp;안내!$C$5&amp;" "&amp;F64&amp;"] "&amp;L64&amp;" | "&amp;J64</f>
        <v>[1분 성경 구약 #212] 유다와 다말 | 창 38:1-30</v>
      </c>
      <c r="U64" s="26" t="n">
        <f aca="false">IF(D64="구약",IF(C64=1,안내!$C$9,안내!$C$10)+AD64-1,IF(C64=1,안내!$C$9,안내!$C$10)+7*INT((AD64-1)/4)+CHOOSE(MOD(AD64-1,4)+1,0,2,4,5))</f>
        <v>46609</v>
      </c>
      <c r="V64" s="23" t="str">
        <f aca="false">CHOOSE(WEEKDAY(U64,2),"월","화","수","목","금","토","일")</f>
        <v>화</v>
      </c>
      <c r="W64" s="24" t="str">
        <f aca="false">IFERROR(IF(INDEX($C$2:$C$799,MATCH(D64&amp;"#"&amp;(E64+1),$AC$2:$AC$799,0))=C64,"다음 편: ","시즌1 완결 · 시즌2 첫 편: ")&amp;INDEX($L$2:$L$799,MATCH(D64&amp;"#"&amp;(E64+1),$AC$2:$AC$799,0)),"구약 트랙 완결")</f>
        <v>다음 편: 막내를 데려오라</v>
      </c>
      <c r="X64" s="23" t="s">
        <v>130</v>
      </c>
      <c r="Y64" s="23" t="s">
        <v>130</v>
      </c>
      <c r="Z64" s="23" t="s">
        <v>130</v>
      </c>
      <c r="AA64" s="23" t="s">
        <v>130</v>
      </c>
      <c r="AB64" s="24"/>
      <c r="AC64" s="23" t="str">
        <f aca="false">D64&amp;"#"&amp;E64</f>
        <v>구약#212</v>
      </c>
      <c r="AD64" s="23" t="n">
        <f aca="false">COUNTIFS($C$2:C64,C64,$D$2:D64,D64)</f>
        <v>30</v>
      </c>
    </row>
    <row r="65" customFormat="false" ht="26.85" hidden="false" customHeight="false" outlineLevel="0" collapsed="false">
      <c r="A65" s="21" t="n">
        <v>64</v>
      </c>
      <c r="B65" s="18" t="s">
        <v>686</v>
      </c>
      <c r="C65" s="20" t="n">
        <v>1</v>
      </c>
      <c r="D65" s="20" t="s">
        <v>116</v>
      </c>
      <c r="E65" s="20" t="n">
        <f aca="false">IF(C65=1,COUNTIFS($C$2:C65,1,$D$2:D65,D65),COUNTIFS($C$2:$C$799,1,$D$2:$D$799,D65)+COUNTIFS($C$2:C65,2,$D$2:D65,D65))</f>
        <v>34</v>
      </c>
      <c r="F65" s="20" t="str">
        <f aca="false">D65&amp;" #"&amp;TEXT(E65,"000")</f>
        <v>구약 #034</v>
      </c>
      <c r="G65" s="18" t="s">
        <v>658</v>
      </c>
      <c r="H65" s="18" t="s">
        <v>526</v>
      </c>
      <c r="I65" s="21" t="s">
        <v>119</v>
      </c>
      <c r="J65" s="22" t="s">
        <v>687</v>
      </c>
      <c r="K65" s="23" t="s">
        <v>121</v>
      </c>
      <c r="L65" s="24" t="s">
        <v>688</v>
      </c>
      <c r="M65" s="24" t="s">
        <v>689</v>
      </c>
      <c r="N65" s="23" t="s">
        <v>690</v>
      </c>
      <c r="O65" s="24" t="s">
        <v>691</v>
      </c>
      <c r="P65" s="24" t="s">
        <v>692</v>
      </c>
      <c r="Q65" s="24" t="s">
        <v>693</v>
      </c>
      <c r="R65" s="25" t="s">
        <v>694</v>
      </c>
      <c r="S65" s="28" t="s">
        <v>695</v>
      </c>
      <c r="T65" s="24" t="str">
        <f aca="false">"["&amp;안내!$C$5&amp;" "&amp;F65&amp;"] "&amp;L65&amp;" | "&amp;J65</f>
        <v>[1분 성경 구약 #034] 아무도 없는 집에서 | 창 39:1-23</v>
      </c>
      <c r="U65" s="26" t="n">
        <f aca="false">IF(D65="구약",IF(C65=1,안내!$C$9,안내!$C$10)+AD65-1,IF(C65=1,안내!$C$9,안내!$C$10)+7*INT((AD65-1)/4)+CHOOSE(MOD(AD65-1,4)+1,0,2,4,5))</f>
        <v>46424</v>
      </c>
      <c r="V65" s="23" t="str">
        <f aca="false">CHOOSE(WEEKDAY(U65,2),"월","화","수","목","금","토","일")</f>
        <v>토</v>
      </c>
      <c r="W65" s="24" t="str">
        <f aca="false">IFERROR(IF(INDEX($C$2:$C$799,MATCH(D65&amp;"#"&amp;(E65+1),$AC$2:$AC$799,0))=C65,"다음 편: ","시즌1 완결 · 시즌2 첫 편: ")&amp;INDEX($L$2:$L$799,MATCH(D65&amp;"#"&amp;(E65+1),$AC$2:$AC$799,0)),"구약 트랙 완결")</f>
        <v>다음 편: 감옥의 두 꿈</v>
      </c>
      <c r="X65" s="23" t="s">
        <v>130</v>
      </c>
      <c r="Y65" s="23" t="s">
        <v>130</v>
      </c>
      <c r="Z65" s="23" t="s">
        <v>130</v>
      </c>
      <c r="AA65" s="23" t="s">
        <v>130</v>
      </c>
      <c r="AB65" s="24"/>
      <c r="AC65" s="23" t="str">
        <f aca="false">D65&amp;"#"&amp;E65</f>
        <v>구약#34</v>
      </c>
      <c r="AD65" s="23" t="n">
        <f aca="false">COUNTIFS($C$2:C65,C65,$D$2:D65,D65)</f>
        <v>34</v>
      </c>
    </row>
    <row r="66" customFormat="false" ht="26.85" hidden="false" customHeight="false" outlineLevel="0" collapsed="false">
      <c r="A66" s="21" t="n">
        <v>65</v>
      </c>
      <c r="B66" s="18" t="s">
        <v>696</v>
      </c>
      <c r="C66" s="20" t="n">
        <v>1</v>
      </c>
      <c r="D66" s="20" t="s">
        <v>116</v>
      </c>
      <c r="E66" s="20" t="n">
        <f aca="false">IF(C66=1,COUNTIFS($C$2:C66,1,$D$2:D66,D66),COUNTIFS($C$2:$C$799,1,$D$2:$D$799,D66)+COUNTIFS($C$2:C66,2,$D$2:D66,D66))</f>
        <v>35</v>
      </c>
      <c r="F66" s="20" t="str">
        <f aca="false">D66&amp;" #"&amp;TEXT(E66,"000")</f>
        <v>구약 #035</v>
      </c>
      <c r="G66" s="18" t="s">
        <v>658</v>
      </c>
      <c r="H66" s="18" t="s">
        <v>526</v>
      </c>
      <c r="I66" s="21" t="s">
        <v>119</v>
      </c>
      <c r="J66" s="22" t="s">
        <v>697</v>
      </c>
      <c r="K66" s="23" t="s">
        <v>121</v>
      </c>
      <c r="L66" s="24" t="s">
        <v>698</v>
      </c>
      <c r="M66" s="24" t="s">
        <v>699</v>
      </c>
      <c r="N66" s="23" t="s">
        <v>700</v>
      </c>
      <c r="O66" s="24" t="s">
        <v>701</v>
      </c>
      <c r="P66" s="24" t="s">
        <v>702</v>
      </c>
      <c r="Q66" s="24" t="s">
        <v>703</v>
      </c>
      <c r="R66" s="25" t="s">
        <v>704</v>
      </c>
      <c r="S66" s="24" t="s">
        <v>129</v>
      </c>
      <c r="T66" s="24" t="str">
        <f aca="false">"["&amp;안내!$C$5&amp;" "&amp;F66&amp;"] "&amp;L66&amp;" | "&amp;J66</f>
        <v>[1분 성경 구약 #035] 감옥의 두 꿈 | 창 40:1-23</v>
      </c>
      <c r="U66" s="26" t="n">
        <f aca="false">IF(D66="구약",IF(C66=1,안내!$C$9,안내!$C$10)+AD66-1,IF(C66=1,안내!$C$9,안내!$C$10)+7*INT((AD66-1)/4)+CHOOSE(MOD(AD66-1,4)+1,0,2,4,5))</f>
        <v>46425</v>
      </c>
      <c r="V66" s="23" t="str">
        <f aca="false">CHOOSE(WEEKDAY(U66,2),"월","화","수","목","금","토","일")</f>
        <v>일</v>
      </c>
      <c r="W66" s="24" t="str">
        <f aca="false">IFERROR(IF(INDEX($C$2:$C$799,MATCH(D66&amp;"#"&amp;(E66+1),$AC$2:$AC$799,0))=C66,"다음 편: ","시즌1 완결 · 시즌2 첫 편: ")&amp;INDEX($L$2:$L$799,MATCH(D66&amp;"#"&amp;(E66+1),$AC$2:$AC$799,0)),"구약 트랙 완결")</f>
        <v>다음 편: 살진 소와 마른 소</v>
      </c>
      <c r="X66" s="23" t="s">
        <v>130</v>
      </c>
      <c r="Y66" s="23" t="s">
        <v>130</v>
      </c>
      <c r="Z66" s="23" t="s">
        <v>130</v>
      </c>
      <c r="AA66" s="23" t="s">
        <v>130</v>
      </c>
      <c r="AB66" s="24"/>
      <c r="AC66" s="23" t="str">
        <f aca="false">D66&amp;"#"&amp;E66</f>
        <v>구약#35</v>
      </c>
      <c r="AD66" s="23" t="n">
        <f aca="false">COUNTIFS($C$2:C66,C66,$D$2:D66,D66)</f>
        <v>35</v>
      </c>
    </row>
    <row r="67" customFormat="false" ht="26.85" hidden="false" customHeight="false" outlineLevel="0" collapsed="false">
      <c r="A67" s="21" t="n">
        <v>66</v>
      </c>
      <c r="B67" s="18" t="s">
        <v>705</v>
      </c>
      <c r="C67" s="20" t="n">
        <v>1</v>
      </c>
      <c r="D67" s="20" t="s">
        <v>116</v>
      </c>
      <c r="E67" s="20" t="n">
        <f aca="false">IF(C67=1,COUNTIFS($C$2:C67,1,$D$2:D67,D67),COUNTIFS($C$2:$C$799,1,$D$2:$D$799,D67)+COUNTIFS($C$2:C67,2,$D$2:D67,D67))</f>
        <v>36</v>
      </c>
      <c r="F67" s="20" t="str">
        <f aca="false">D67&amp;" #"&amp;TEXT(E67,"000")</f>
        <v>구약 #036</v>
      </c>
      <c r="G67" s="18" t="s">
        <v>658</v>
      </c>
      <c r="H67" s="18" t="s">
        <v>526</v>
      </c>
      <c r="I67" s="21" t="s">
        <v>119</v>
      </c>
      <c r="J67" s="22" t="s">
        <v>706</v>
      </c>
      <c r="K67" s="23" t="s">
        <v>121</v>
      </c>
      <c r="L67" s="24" t="s">
        <v>707</v>
      </c>
      <c r="M67" s="24" t="s">
        <v>708</v>
      </c>
      <c r="N67" s="23" t="s">
        <v>709</v>
      </c>
      <c r="O67" s="24" t="s">
        <v>710</v>
      </c>
      <c r="P67" s="24" t="s">
        <v>711</v>
      </c>
      <c r="Q67" s="24" t="s">
        <v>712</v>
      </c>
      <c r="R67" s="24"/>
      <c r="S67" s="24" t="s">
        <v>129</v>
      </c>
      <c r="T67" s="24" t="str">
        <f aca="false">"["&amp;안내!$C$5&amp;" "&amp;F67&amp;"] "&amp;L67&amp;" | "&amp;J67</f>
        <v>[1분 성경 구약 #036] 살진 소와 마른 소 | 창 41:1-36</v>
      </c>
      <c r="U67" s="26" t="n">
        <f aca="false">IF(D67="구약",IF(C67=1,안내!$C$9,안내!$C$10)+AD67-1,IF(C67=1,안내!$C$9,안내!$C$10)+7*INT((AD67-1)/4)+CHOOSE(MOD(AD67-1,4)+1,0,2,4,5))</f>
        <v>46426</v>
      </c>
      <c r="V67" s="23" t="str">
        <f aca="false">CHOOSE(WEEKDAY(U67,2),"월","화","수","목","금","토","일")</f>
        <v>월</v>
      </c>
      <c r="W67" s="24" t="str">
        <f aca="false">IFERROR(IF(INDEX($C$2:$C$799,MATCH(D67&amp;"#"&amp;(E67+1),$AC$2:$AC$799,0))=C67,"다음 편: ","시즌1 완결 · 시즌2 첫 편: ")&amp;INDEX($L$2:$L$799,MATCH(D67&amp;"#"&amp;(E67+1),$AC$2:$AC$799,0)),"구약 트랙 완결")</f>
        <v>다음 편: 하루 만에 총리로</v>
      </c>
      <c r="X67" s="23" t="s">
        <v>130</v>
      </c>
      <c r="Y67" s="23" t="s">
        <v>130</v>
      </c>
      <c r="Z67" s="23" t="s">
        <v>130</v>
      </c>
      <c r="AA67" s="23" t="s">
        <v>130</v>
      </c>
      <c r="AB67" s="24"/>
      <c r="AC67" s="23" t="str">
        <f aca="false">D67&amp;"#"&amp;E67</f>
        <v>구약#36</v>
      </c>
      <c r="AD67" s="23" t="n">
        <f aca="false">COUNTIFS($C$2:C67,C67,$D$2:D67,D67)</f>
        <v>36</v>
      </c>
    </row>
    <row r="68" customFormat="false" ht="26.85" hidden="false" customHeight="false" outlineLevel="0" collapsed="false">
      <c r="A68" s="21" t="n">
        <v>67</v>
      </c>
      <c r="B68" s="18" t="s">
        <v>713</v>
      </c>
      <c r="C68" s="20" t="n">
        <v>1</v>
      </c>
      <c r="D68" s="20" t="s">
        <v>116</v>
      </c>
      <c r="E68" s="20" t="n">
        <f aca="false">IF(C68=1,COUNTIFS($C$2:C68,1,$D$2:D68,D68),COUNTIFS($C$2:$C$799,1,$D$2:$D$799,D68)+COUNTIFS($C$2:C68,2,$D$2:D68,D68))</f>
        <v>37</v>
      </c>
      <c r="F68" s="20" t="str">
        <f aca="false">D68&amp;" #"&amp;TEXT(E68,"000")</f>
        <v>구약 #037</v>
      </c>
      <c r="G68" s="18" t="s">
        <v>658</v>
      </c>
      <c r="H68" s="18" t="s">
        <v>526</v>
      </c>
      <c r="I68" s="21" t="s">
        <v>119</v>
      </c>
      <c r="J68" s="22" t="s">
        <v>714</v>
      </c>
      <c r="K68" s="23" t="s">
        <v>121</v>
      </c>
      <c r="L68" s="24" t="s">
        <v>715</v>
      </c>
      <c r="M68" s="24" t="s">
        <v>716</v>
      </c>
      <c r="N68" s="23" t="s">
        <v>717</v>
      </c>
      <c r="O68" s="24" t="s">
        <v>718</v>
      </c>
      <c r="P68" s="24" t="s">
        <v>719</v>
      </c>
      <c r="Q68" s="24" t="s">
        <v>720</v>
      </c>
      <c r="R68" s="24"/>
      <c r="S68" s="24" t="s">
        <v>129</v>
      </c>
      <c r="T68" s="24" t="str">
        <f aca="false">"["&amp;안내!$C$5&amp;" "&amp;F68&amp;"] "&amp;L68&amp;" | "&amp;J68</f>
        <v>[1분 성경 구약 #037] 하루 만에 총리로 | 창 41:37-57</v>
      </c>
      <c r="U68" s="26" t="n">
        <f aca="false">IF(D68="구약",IF(C68=1,안내!$C$9,안내!$C$10)+AD68-1,IF(C68=1,안내!$C$9,안내!$C$10)+7*INT((AD68-1)/4)+CHOOSE(MOD(AD68-1,4)+1,0,2,4,5))</f>
        <v>46427</v>
      </c>
      <c r="V68" s="23" t="str">
        <f aca="false">CHOOSE(WEEKDAY(U68,2),"월","화","수","목","금","토","일")</f>
        <v>화</v>
      </c>
      <c r="W68" s="24" t="str">
        <f aca="false">IFERROR(IF(INDEX($C$2:$C$799,MATCH(D68&amp;"#"&amp;(E68+1),$AC$2:$AC$799,0))=C68,"다음 편: ","시즌1 완결 · 시즌2 첫 편: ")&amp;INDEX($L$2:$L$799,MATCH(D68&amp;"#"&amp;(E68+1),$AC$2:$AC$799,0)),"구약 트랙 완결")</f>
        <v>다음 편: 꿈이 이루어지던 날</v>
      </c>
      <c r="X68" s="23" t="s">
        <v>130</v>
      </c>
      <c r="Y68" s="23" t="s">
        <v>130</v>
      </c>
      <c r="Z68" s="23" t="s">
        <v>130</v>
      </c>
      <c r="AA68" s="23" t="s">
        <v>130</v>
      </c>
      <c r="AB68" s="24"/>
      <c r="AC68" s="23" t="str">
        <f aca="false">D68&amp;"#"&amp;E68</f>
        <v>구약#37</v>
      </c>
      <c r="AD68" s="23" t="n">
        <f aca="false">COUNTIFS($C$2:C68,C68,$D$2:D68,D68)</f>
        <v>37</v>
      </c>
    </row>
    <row r="69" customFormat="false" ht="25.35" hidden="false" customHeight="false" outlineLevel="0" collapsed="false">
      <c r="A69" s="21" t="n">
        <v>68</v>
      </c>
      <c r="B69" s="18" t="s">
        <v>721</v>
      </c>
      <c r="C69" s="20" t="n">
        <v>1</v>
      </c>
      <c r="D69" s="20" t="s">
        <v>116</v>
      </c>
      <c r="E69" s="20" t="n">
        <f aca="false">IF(C69=1,COUNTIFS($C$2:C69,1,$D$2:D69,D69),COUNTIFS($C$2:$C$799,1,$D$2:$D$799,D69)+COUNTIFS($C$2:C69,2,$D$2:D69,D69))</f>
        <v>38</v>
      </c>
      <c r="F69" s="20" t="str">
        <f aca="false">D69&amp;" #"&amp;TEXT(E69,"000")</f>
        <v>구약 #038</v>
      </c>
      <c r="G69" s="18" t="s">
        <v>722</v>
      </c>
      <c r="H69" s="18" t="s">
        <v>723</v>
      </c>
      <c r="I69" s="21" t="s">
        <v>119</v>
      </c>
      <c r="J69" s="22" t="s">
        <v>724</v>
      </c>
      <c r="K69" s="23" t="s">
        <v>121</v>
      </c>
      <c r="L69" s="24" t="s">
        <v>725</v>
      </c>
      <c r="M69" s="24" t="s">
        <v>726</v>
      </c>
      <c r="N69" s="23" t="s">
        <v>727</v>
      </c>
      <c r="O69" s="24" t="s">
        <v>728</v>
      </c>
      <c r="P69" s="24" t="s">
        <v>729</v>
      </c>
      <c r="Q69" s="24" t="s">
        <v>730</v>
      </c>
      <c r="R69" s="24"/>
      <c r="S69" s="24" t="s">
        <v>129</v>
      </c>
      <c r="T69" s="24" t="str">
        <f aca="false">"["&amp;안내!$C$5&amp;" "&amp;F69&amp;"] "&amp;L69&amp;" | "&amp;J69</f>
        <v>[1분 성경 구약 #038] 꿈이 이루어지던 날 | 창 42:1-28</v>
      </c>
      <c r="U69" s="26" t="n">
        <f aca="false">IF(D69="구약",IF(C69=1,안내!$C$9,안내!$C$10)+AD69-1,IF(C69=1,안내!$C$9,안내!$C$10)+7*INT((AD69-1)/4)+CHOOSE(MOD(AD69-1,4)+1,0,2,4,5))</f>
        <v>46428</v>
      </c>
      <c r="V69" s="23" t="str">
        <f aca="false">CHOOSE(WEEKDAY(U69,2),"월","화","수","목","금","토","일")</f>
        <v>수</v>
      </c>
      <c r="W69" s="24" t="str">
        <f aca="false">IFERROR(IF(INDEX($C$2:$C$799,MATCH(D69&amp;"#"&amp;(E69+1),$AC$2:$AC$799,0))=C69,"다음 편: ","시즌1 완결 · 시즌2 첫 편: ")&amp;INDEX($L$2:$L$799,MATCH(D69&amp;"#"&amp;(E69+1),$AC$2:$AC$799,0)),"구약 트랙 완결")</f>
        <v>다음 편: 은잔 사건</v>
      </c>
      <c r="X69" s="23" t="s">
        <v>130</v>
      </c>
      <c r="Y69" s="23" t="s">
        <v>130</v>
      </c>
      <c r="Z69" s="23" t="s">
        <v>130</v>
      </c>
      <c r="AA69" s="23" t="s">
        <v>130</v>
      </c>
      <c r="AB69" s="24"/>
      <c r="AC69" s="23" t="str">
        <f aca="false">D69&amp;"#"&amp;E69</f>
        <v>구약#38</v>
      </c>
      <c r="AD69" s="23" t="n">
        <f aca="false">COUNTIFS($C$2:C69,C69,$D$2:D69,D69)</f>
        <v>38</v>
      </c>
    </row>
    <row r="70" customFormat="false" ht="26.85" hidden="false" customHeight="false" outlineLevel="0" collapsed="false">
      <c r="A70" s="21" t="n">
        <v>69</v>
      </c>
      <c r="B70" s="18" t="s">
        <v>731</v>
      </c>
      <c r="C70" s="23" t="n">
        <v>2</v>
      </c>
      <c r="D70" s="23" t="s">
        <v>116</v>
      </c>
      <c r="E70" s="23" t="n">
        <f aca="false">IF(C70=1,COUNTIFS($C$2:C70,1,$D$2:D70,D70),COUNTIFS($C$2:$C$799,1,$D$2:$D$799,D70)+COUNTIFS($C$2:C70,2,$D$2:D70,D70))</f>
        <v>213</v>
      </c>
      <c r="F70" s="23" t="str">
        <f aca="false">D70&amp;" #"&amp;TEXT(E70,"000")</f>
        <v>구약 #213</v>
      </c>
      <c r="G70" s="18" t="s">
        <v>722</v>
      </c>
      <c r="H70" s="18" t="s">
        <v>676</v>
      </c>
      <c r="I70" s="21" t="s">
        <v>119</v>
      </c>
      <c r="J70" s="22" t="s">
        <v>732</v>
      </c>
      <c r="K70" s="23" t="s">
        <v>121</v>
      </c>
      <c r="L70" s="24" t="s">
        <v>733</v>
      </c>
      <c r="M70" s="24" t="s">
        <v>734</v>
      </c>
      <c r="N70" s="23" t="s">
        <v>735</v>
      </c>
      <c r="O70" s="24" t="s">
        <v>736</v>
      </c>
      <c r="P70" s="24" t="s">
        <v>737</v>
      </c>
      <c r="Q70" s="24" t="s">
        <v>738</v>
      </c>
      <c r="R70" s="24"/>
      <c r="S70" s="24" t="s">
        <v>739</v>
      </c>
      <c r="T70" s="24" t="str">
        <f aca="false">"["&amp;안내!$C$5&amp;" "&amp;F70&amp;"] "&amp;L70&amp;" | "&amp;J70</f>
        <v>[1분 성경 구약 #213] 막내를 데려오라 | 창 42:29-43:34</v>
      </c>
      <c r="U70" s="26" t="n">
        <f aca="false">IF(D70="구약",IF(C70=1,안내!$C$9,안내!$C$10)+AD70-1,IF(C70=1,안내!$C$9,안내!$C$10)+7*INT((AD70-1)/4)+CHOOSE(MOD(AD70-1,4)+1,0,2,4,5))</f>
        <v>46610</v>
      </c>
      <c r="V70" s="23" t="str">
        <f aca="false">CHOOSE(WEEKDAY(U70,2),"월","화","수","목","금","토","일")</f>
        <v>수</v>
      </c>
      <c r="W70" s="24" t="str">
        <f aca="false">IFERROR(IF(INDEX($C$2:$C$799,MATCH(D70&amp;"#"&amp;(E70+1),$AC$2:$AC$799,0))=C70,"다음 편: ","시즌1 완결 · 시즌2 첫 편: ")&amp;INDEX($L$2:$L$799,MATCH(D70&amp;"#"&amp;(E70+1),$AC$2:$AC$799,0)),"구약 트랙 완결")</f>
        <v>다음 편: 요셉이 살아 있다</v>
      </c>
      <c r="X70" s="23" t="s">
        <v>130</v>
      </c>
      <c r="Y70" s="23" t="s">
        <v>130</v>
      </c>
      <c r="Z70" s="23" t="s">
        <v>130</v>
      </c>
      <c r="AA70" s="23" t="s">
        <v>130</v>
      </c>
      <c r="AB70" s="24"/>
      <c r="AC70" s="23" t="str">
        <f aca="false">D70&amp;"#"&amp;E70</f>
        <v>구약#213</v>
      </c>
      <c r="AD70" s="23" t="n">
        <f aca="false">COUNTIFS($C$2:C70,C70,$D$2:D70,D70)</f>
        <v>31</v>
      </c>
    </row>
    <row r="71" customFormat="false" ht="26.85" hidden="false" customHeight="false" outlineLevel="0" collapsed="false">
      <c r="A71" s="21" t="n">
        <v>70</v>
      </c>
      <c r="B71" s="18" t="s">
        <v>740</v>
      </c>
      <c r="C71" s="20" t="n">
        <v>1</v>
      </c>
      <c r="D71" s="20" t="s">
        <v>116</v>
      </c>
      <c r="E71" s="20" t="n">
        <f aca="false">IF(C71=1,COUNTIFS($C$2:C71,1,$D$2:D71,D71),COUNTIFS($C$2:$C$799,1,$D$2:$D$799,D71)+COUNTIFS($C$2:C71,2,$D$2:D71,D71))</f>
        <v>39</v>
      </c>
      <c r="F71" s="20" t="str">
        <f aca="false">D71&amp;" #"&amp;TEXT(E71,"000")</f>
        <v>구약 #039</v>
      </c>
      <c r="G71" s="18" t="s">
        <v>722</v>
      </c>
      <c r="H71" s="18" t="s">
        <v>723</v>
      </c>
      <c r="I71" s="21" t="s">
        <v>119</v>
      </c>
      <c r="J71" s="22" t="s">
        <v>741</v>
      </c>
      <c r="K71" s="23" t="s">
        <v>121</v>
      </c>
      <c r="L71" s="24" t="s">
        <v>742</v>
      </c>
      <c r="M71" s="24" t="s">
        <v>743</v>
      </c>
      <c r="N71" s="23" t="s">
        <v>744</v>
      </c>
      <c r="O71" s="24" t="s">
        <v>745</v>
      </c>
      <c r="P71" s="24" t="s">
        <v>746</v>
      </c>
      <c r="Q71" s="24" t="s">
        <v>747</v>
      </c>
      <c r="R71" s="25" t="s">
        <v>748</v>
      </c>
      <c r="S71" s="28" t="s">
        <v>749</v>
      </c>
      <c r="T71" s="24" t="str">
        <f aca="false">"["&amp;안내!$C$5&amp;" "&amp;F71&amp;"] "&amp;L71&amp;" | "&amp;J71</f>
        <v>[1분 성경 구약 #039] 은잔 사건 | 창 44:1-34</v>
      </c>
      <c r="U71" s="26" t="n">
        <f aca="false">IF(D71="구약",IF(C71=1,안내!$C$9,안내!$C$10)+AD71-1,IF(C71=1,안내!$C$9,안내!$C$10)+7*INT((AD71-1)/4)+CHOOSE(MOD(AD71-1,4)+1,0,2,4,5))</f>
        <v>46429</v>
      </c>
      <c r="V71" s="23" t="str">
        <f aca="false">CHOOSE(WEEKDAY(U71,2),"월","화","수","목","금","토","일")</f>
        <v>목</v>
      </c>
      <c r="W71" s="24" t="str">
        <f aca="false">IFERROR(IF(INDEX($C$2:$C$799,MATCH(D71&amp;"#"&amp;(E71+1),$AC$2:$AC$799,0))=C71,"다음 편: ","시즌1 완결 · 시즌2 첫 편: ")&amp;INDEX($L$2:$L$799,MATCH(D71&amp;"#"&amp;(E71+1),$AC$2:$AC$799,0)),"구약 트랙 완결")</f>
        <v>다음 편: 내가 요셉이라</v>
      </c>
      <c r="X71" s="23" t="s">
        <v>130</v>
      </c>
      <c r="Y71" s="23" t="s">
        <v>130</v>
      </c>
      <c r="Z71" s="23" t="s">
        <v>130</v>
      </c>
      <c r="AA71" s="23" t="s">
        <v>130</v>
      </c>
      <c r="AB71" s="24"/>
      <c r="AC71" s="23" t="str">
        <f aca="false">D71&amp;"#"&amp;E71</f>
        <v>구약#39</v>
      </c>
      <c r="AD71" s="23" t="n">
        <f aca="false">COUNTIFS($C$2:C71,C71,$D$2:D71,D71)</f>
        <v>39</v>
      </c>
    </row>
    <row r="72" customFormat="false" ht="26.85" hidden="false" customHeight="false" outlineLevel="0" collapsed="false">
      <c r="A72" s="21" t="n">
        <v>71</v>
      </c>
      <c r="B72" s="18" t="s">
        <v>750</v>
      </c>
      <c r="C72" s="20" t="n">
        <v>1</v>
      </c>
      <c r="D72" s="20" t="s">
        <v>116</v>
      </c>
      <c r="E72" s="20" t="n">
        <f aca="false">IF(C72=1,COUNTIFS($C$2:C72,1,$D$2:D72,D72),COUNTIFS($C$2:$C$799,1,$D$2:$D$799,D72)+COUNTIFS($C$2:C72,2,$D$2:D72,D72))</f>
        <v>40</v>
      </c>
      <c r="F72" s="20" t="str">
        <f aca="false">D72&amp;" #"&amp;TEXT(E72,"000")</f>
        <v>구약 #040</v>
      </c>
      <c r="G72" s="18" t="s">
        <v>722</v>
      </c>
      <c r="H72" s="18" t="s">
        <v>723</v>
      </c>
      <c r="I72" s="21" t="s">
        <v>119</v>
      </c>
      <c r="J72" s="22" t="s">
        <v>751</v>
      </c>
      <c r="K72" s="23" t="s">
        <v>121</v>
      </c>
      <c r="L72" s="24" t="s">
        <v>752</v>
      </c>
      <c r="M72" s="24" t="s">
        <v>753</v>
      </c>
      <c r="N72" s="23" t="s">
        <v>754</v>
      </c>
      <c r="O72" s="24" t="s">
        <v>755</v>
      </c>
      <c r="P72" s="24" t="s">
        <v>756</v>
      </c>
      <c r="Q72" s="24" t="s">
        <v>747</v>
      </c>
      <c r="R72" s="24"/>
      <c r="S72" s="24" t="s">
        <v>129</v>
      </c>
      <c r="T72" s="24" t="str">
        <f aca="false">"["&amp;안내!$C$5&amp;" "&amp;F72&amp;"] "&amp;L72&amp;" | "&amp;J72</f>
        <v>[1분 성경 구약 #040] 내가 요셉이라 | 창 45:1-15</v>
      </c>
      <c r="U72" s="26" t="n">
        <f aca="false">IF(D72="구약",IF(C72=1,안내!$C$9,안내!$C$10)+AD72-1,IF(C72=1,안내!$C$9,안내!$C$10)+7*INT((AD72-1)/4)+CHOOSE(MOD(AD72-1,4)+1,0,2,4,5))</f>
        <v>46430</v>
      </c>
      <c r="V72" s="23" t="str">
        <f aca="false">CHOOSE(WEEKDAY(U72,2),"월","화","수","목","금","토","일")</f>
        <v>금</v>
      </c>
      <c r="W72" s="24" t="str">
        <f aca="false">IFERROR(IF(INDEX($C$2:$C$799,MATCH(D72&amp;"#"&amp;(E72+1),$AC$2:$AC$799,0))=C72,"다음 편: ","시즌1 완결 · 시즌2 첫 편: ")&amp;INDEX($L$2:$L$799,MATCH(D72&amp;"#"&amp;(E72+1),$AC$2:$AC$799,0)),"구약 트랙 완결")</f>
        <v>다음 편: 열두 아들을 위한 예언</v>
      </c>
      <c r="X72" s="23" t="s">
        <v>130</v>
      </c>
      <c r="Y72" s="23" t="s">
        <v>130</v>
      </c>
      <c r="Z72" s="23" t="s">
        <v>130</v>
      </c>
      <c r="AA72" s="23" t="s">
        <v>130</v>
      </c>
      <c r="AB72" s="24"/>
      <c r="AC72" s="23" t="str">
        <f aca="false">D72&amp;"#"&amp;E72</f>
        <v>구약#40</v>
      </c>
      <c r="AD72" s="23" t="n">
        <f aca="false">COUNTIFS($C$2:C72,C72,$D$2:D72,D72)</f>
        <v>40</v>
      </c>
    </row>
    <row r="73" customFormat="false" ht="26.85" hidden="false" customHeight="false" outlineLevel="0" collapsed="false">
      <c r="A73" s="21" t="n">
        <v>72</v>
      </c>
      <c r="B73" s="18" t="s">
        <v>757</v>
      </c>
      <c r="C73" s="23" t="n">
        <v>2</v>
      </c>
      <c r="D73" s="23" t="s">
        <v>116</v>
      </c>
      <c r="E73" s="23" t="n">
        <f aca="false">IF(C73=1,COUNTIFS($C$2:C73,1,$D$2:D73,D73),COUNTIFS($C$2:$C$799,1,$D$2:$D$799,D73)+COUNTIFS($C$2:C73,2,$D$2:D73,D73))</f>
        <v>214</v>
      </c>
      <c r="F73" s="23" t="str">
        <f aca="false">D73&amp;" #"&amp;TEXT(E73,"000")</f>
        <v>구약 #214</v>
      </c>
      <c r="G73" s="18" t="s">
        <v>722</v>
      </c>
      <c r="H73" s="18" t="s">
        <v>676</v>
      </c>
      <c r="I73" s="21" t="s">
        <v>119</v>
      </c>
      <c r="J73" s="22" t="s">
        <v>758</v>
      </c>
      <c r="K73" s="23" t="s">
        <v>121</v>
      </c>
      <c r="L73" s="24" t="s">
        <v>759</v>
      </c>
      <c r="M73" s="24" t="s">
        <v>760</v>
      </c>
      <c r="N73" s="23" t="s">
        <v>761</v>
      </c>
      <c r="O73" s="24" t="s">
        <v>762</v>
      </c>
      <c r="P73" s="24" t="s">
        <v>763</v>
      </c>
      <c r="Q73" s="24" t="s">
        <v>764</v>
      </c>
      <c r="R73" s="24"/>
      <c r="S73" s="24" t="s">
        <v>765</v>
      </c>
      <c r="T73" s="24" t="str">
        <f aca="false">"["&amp;안내!$C$5&amp;" "&amp;F73&amp;"] "&amp;L73&amp;" | "&amp;J73</f>
        <v>[1분 성경 구약 #214] 요셉이 살아 있다 | 창 45:16-46:7</v>
      </c>
      <c r="U73" s="26" t="n">
        <f aca="false">IF(D73="구약",IF(C73=1,안내!$C$9,안내!$C$10)+AD73-1,IF(C73=1,안내!$C$9,안내!$C$10)+7*INT((AD73-1)/4)+CHOOSE(MOD(AD73-1,4)+1,0,2,4,5))</f>
        <v>46611</v>
      </c>
      <c r="V73" s="23" t="str">
        <f aca="false">CHOOSE(WEEKDAY(U73,2),"월","화","수","목","금","토","일")</f>
        <v>목</v>
      </c>
      <c r="W73" s="24" t="str">
        <f aca="false">IFERROR(IF(INDEX($C$2:$C$799,MATCH(D73&amp;"#"&amp;(E73+1),$AC$2:$AC$799,0))=C73,"다음 편: ","시즌1 완결 · 시즌2 첫 편: ")&amp;INDEX($L$2:$L$799,MATCH(D73&amp;"#"&amp;(E73+1),$AC$2:$AC$799,0)),"구약 트랙 완결")</f>
        <v>다음 편: 바로를 축복한 노인</v>
      </c>
      <c r="X73" s="23" t="s">
        <v>130</v>
      </c>
      <c r="Y73" s="23" t="s">
        <v>130</v>
      </c>
      <c r="Z73" s="23" t="s">
        <v>130</v>
      </c>
      <c r="AA73" s="23" t="s">
        <v>130</v>
      </c>
      <c r="AB73" s="24"/>
      <c r="AC73" s="23" t="str">
        <f aca="false">D73&amp;"#"&amp;E73</f>
        <v>구약#214</v>
      </c>
      <c r="AD73" s="23" t="n">
        <f aca="false">COUNTIFS($C$2:C73,C73,$D$2:D73,D73)</f>
        <v>32</v>
      </c>
    </row>
    <row r="74" customFormat="false" ht="25.35" hidden="false" customHeight="false" outlineLevel="0" collapsed="false">
      <c r="A74" s="21" t="n">
        <v>73</v>
      </c>
      <c r="B74" s="18" t="s">
        <v>766</v>
      </c>
      <c r="C74" s="23" t="n">
        <v>2</v>
      </c>
      <c r="D74" s="23" t="s">
        <v>116</v>
      </c>
      <c r="E74" s="23" t="n">
        <f aca="false">IF(C74=1,COUNTIFS($C$2:C74,1,$D$2:D74,D74),COUNTIFS($C$2:$C$799,1,$D$2:$D$799,D74)+COUNTIFS($C$2:C74,2,$D$2:D74,D74))</f>
        <v>215</v>
      </c>
      <c r="F74" s="23" t="str">
        <f aca="false">D74&amp;" #"&amp;TEXT(E74,"000")</f>
        <v>구약 #215</v>
      </c>
      <c r="G74" s="18" t="s">
        <v>722</v>
      </c>
      <c r="H74" s="18" t="s">
        <v>676</v>
      </c>
      <c r="I74" s="21" t="s">
        <v>119</v>
      </c>
      <c r="J74" s="22" t="s">
        <v>767</v>
      </c>
      <c r="K74" s="23" t="s">
        <v>121</v>
      </c>
      <c r="L74" s="24" t="s">
        <v>768</v>
      </c>
      <c r="M74" s="29" t="s">
        <v>769</v>
      </c>
      <c r="N74" s="23" t="s">
        <v>770</v>
      </c>
      <c r="O74" s="24" t="s">
        <v>771</v>
      </c>
      <c r="P74" s="24" t="s">
        <v>772</v>
      </c>
      <c r="Q74" s="24" t="s">
        <v>773</v>
      </c>
      <c r="R74" s="24"/>
      <c r="S74" s="24" t="s">
        <v>765</v>
      </c>
      <c r="T74" s="24" t="str">
        <f aca="false">"["&amp;안내!$C$5&amp;" "&amp;F74&amp;"] "&amp;L74&amp;" | "&amp;J74</f>
        <v>[1분 성경 구약 #215] 바로를 축복한 노인 | 창 46:8-47:12</v>
      </c>
      <c r="U74" s="26" t="n">
        <f aca="false">IF(D74="구약",IF(C74=1,안내!$C$9,안내!$C$10)+AD74-1,IF(C74=1,안내!$C$9,안내!$C$10)+7*INT((AD74-1)/4)+CHOOSE(MOD(AD74-1,4)+1,0,2,4,5))</f>
        <v>46612</v>
      </c>
      <c r="V74" s="23" t="str">
        <f aca="false">CHOOSE(WEEKDAY(U74,2),"월","화","수","목","금","토","일")</f>
        <v>금</v>
      </c>
      <c r="W74" s="24" t="str">
        <f aca="false">IFERROR(IF(INDEX($C$2:$C$799,MATCH(D74&amp;"#"&amp;(E74+1),$AC$2:$AC$799,0))=C74,"다음 편: ","시즌1 완결 · 시즌2 첫 편: ")&amp;INDEX($L$2:$L$799,MATCH(D74&amp;"#"&amp;(E74+1),$AC$2:$AC$799,0)),"구약 트랙 완결")</f>
        <v>다음 편: 기근 속의 총리</v>
      </c>
      <c r="X74" s="23" t="s">
        <v>130</v>
      </c>
      <c r="Y74" s="23" t="s">
        <v>130</v>
      </c>
      <c r="Z74" s="23" t="s">
        <v>130</v>
      </c>
      <c r="AA74" s="23" t="s">
        <v>130</v>
      </c>
      <c r="AB74" s="24"/>
      <c r="AC74" s="23" t="str">
        <f aca="false">D74&amp;"#"&amp;E74</f>
        <v>구약#215</v>
      </c>
      <c r="AD74" s="23" t="n">
        <f aca="false">COUNTIFS($C$2:C74,C74,$D$2:D74,D74)</f>
        <v>33</v>
      </c>
    </row>
    <row r="75" customFormat="false" ht="25.35" hidden="false" customHeight="false" outlineLevel="0" collapsed="false">
      <c r="A75" s="21" t="n">
        <v>74</v>
      </c>
      <c r="B75" s="18" t="s">
        <v>774</v>
      </c>
      <c r="C75" s="23" t="n">
        <v>2</v>
      </c>
      <c r="D75" s="23" t="s">
        <v>116</v>
      </c>
      <c r="E75" s="23" t="n">
        <f aca="false">IF(C75=1,COUNTIFS($C$2:C75,1,$D$2:D75,D75),COUNTIFS($C$2:$C$799,1,$D$2:$D$799,D75)+COUNTIFS($C$2:C75,2,$D$2:D75,D75))</f>
        <v>216</v>
      </c>
      <c r="F75" s="23" t="str">
        <f aca="false">D75&amp;" #"&amp;TEXT(E75,"000")</f>
        <v>구약 #216</v>
      </c>
      <c r="G75" s="18" t="s">
        <v>722</v>
      </c>
      <c r="H75" s="18" t="s">
        <v>676</v>
      </c>
      <c r="I75" s="21" t="s">
        <v>119</v>
      </c>
      <c r="J75" s="22" t="s">
        <v>775</v>
      </c>
      <c r="K75" s="23" t="s">
        <v>121</v>
      </c>
      <c r="L75" s="24" t="s">
        <v>776</v>
      </c>
      <c r="M75" s="24" t="s">
        <v>777</v>
      </c>
      <c r="N75" s="23" t="s">
        <v>778</v>
      </c>
      <c r="O75" s="24" t="s">
        <v>779</v>
      </c>
      <c r="P75" s="24" t="s">
        <v>780</v>
      </c>
      <c r="Q75" s="24" t="s">
        <v>730</v>
      </c>
      <c r="R75" s="24"/>
      <c r="S75" s="24" t="s">
        <v>765</v>
      </c>
      <c r="T75" s="24" t="str">
        <f aca="false">"["&amp;안내!$C$5&amp;" "&amp;F75&amp;"] "&amp;L75&amp;" | "&amp;J75</f>
        <v>[1분 성경 구약 #216] 기근 속의 총리 | 창 47:13-31</v>
      </c>
      <c r="U75" s="26" t="n">
        <f aca="false">IF(D75="구약",IF(C75=1,안내!$C$9,안내!$C$10)+AD75-1,IF(C75=1,안내!$C$9,안내!$C$10)+7*INT((AD75-1)/4)+CHOOSE(MOD(AD75-1,4)+1,0,2,4,5))</f>
        <v>46613</v>
      </c>
      <c r="V75" s="23" t="str">
        <f aca="false">CHOOSE(WEEKDAY(U75,2),"월","화","수","목","금","토","일")</f>
        <v>토</v>
      </c>
      <c r="W75" s="24" t="str">
        <f aca="false">IFERROR(IF(INDEX($C$2:$C$799,MATCH(D75&amp;"#"&amp;(E75+1),$AC$2:$AC$799,0))=C75,"다음 편: ","시즌1 완결 · 시즌2 첫 편: ")&amp;INDEX($L$2:$L$799,MATCH(D75&amp;"#"&amp;(E75+1),$AC$2:$AC$799,0)),"구약 트랙 완결")</f>
        <v>다음 편: 엇갈린 두 손</v>
      </c>
      <c r="X75" s="23" t="s">
        <v>130</v>
      </c>
      <c r="Y75" s="23" t="s">
        <v>130</v>
      </c>
      <c r="Z75" s="23" t="s">
        <v>130</v>
      </c>
      <c r="AA75" s="23" t="s">
        <v>130</v>
      </c>
      <c r="AB75" s="24"/>
      <c r="AC75" s="23" t="str">
        <f aca="false">D75&amp;"#"&amp;E75</f>
        <v>구약#216</v>
      </c>
      <c r="AD75" s="23" t="n">
        <f aca="false">COUNTIFS($C$2:C75,C75,$D$2:D75,D75)</f>
        <v>34</v>
      </c>
    </row>
    <row r="76" customFormat="false" ht="26.85" hidden="false" customHeight="false" outlineLevel="0" collapsed="false">
      <c r="A76" s="21" t="n">
        <v>75</v>
      </c>
      <c r="B76" s="18" t="s">
        <v>781</v>
      </c>
      <c r="C76" s="23" t="n">
        <v>2</v>
      </c>
      <c r="D76" s="23" t="s">
        <v>116</v>
      </c>
      <c r="E76" s="23" t="n">
        <f aca="false">IF(C76=1,COUNTIFS($C$2:C76,1,$D$2:D76,D76),COUNTIFS($C$2:$C$799,1,$D$2:$D$799,D76)+COUNTIFS($C$2:C76,2,$D$2:D76,D76))</f>
        <v>217</v>
      </c>
      <c r="F76" s="23" t="str">
        <f aca="false">D76&amp;" #"&amp;TEXT(E76,"000")</f>
        <v>구약 #217</v>
      </c>
      <c r="G76" s="18" t="s">
        <v>722</v>
      </c>
      <c r="H76" s="18" t="s">
        <v>676</v>
      </c>
      <c r="I76" s="21" t="s">
        <v>119</v>
      </c>
      <c r="J76" s="22" t="s">
        <v>782</v>
      </c>
      <c r="K76" s="23" t="s">
        <v>121</v>
      </c>
      <c r="L76" s="24" t="s">
        <v>783</v>
      </c>
      <c r="M76" s="24" t="s">
        <v>784</v>
      </c>
      <c r="N76" s="23" t="s">
        <v>785</v>
      </c>
      <c r="O76" s="24" t="s">
        <v>786</v>
      </c>
      <c r="P76" s="24" t="s">
        <v>787</v>
      </c>
      <c r="Q76" s="24" t="s">
        <v>788</v>
      </c>
      <c r="R76" s="24"/>
      <c r="S76" s="24" t="s">
        <v>765</v>
      </c>
      <c r="T76" s="24" t="str">
        <f aca="false">"["&amp;안내!$C$5&amp;" "&amp;F76&amp;"] "&amp;L76&amp;" | "&amp;J76</f>
        <v>[1분 성경 구약 #217] 엇갈린 두 손 | 창 48:1-22</v>
      </c>
      <c r="U76" s="26" t="n">
        <f aca="false">IF(D76="구약",IF(C76=1,안내!$C$9,안내!$C$10)+AD76-1,IF(C76=1,안내!$C$9,안내!$C$10)+7*INT((AD76-1)/4)+CHOOSE(MOD(AD76-1,4)+1,0,2,4,5))</f>
        <v>46614</v>
      </c>
      <c r="V76" s="23" t="str">
        <f aca="false">CHOOSE(WEEKDAY(U76,2),"월","화","수","목","금","토","일")</f>
        <v>일</v>
      </c>
      <c r="W76" s="24" t="str">
        <f aca="false">IFERROR(IF(INDEX($C$2:$C$799,MATCH(D76&amp;"#"&amp;(E76+1),$AC$2:$AC$799,0))=C76,"다음 편: ","시즌1 완결 · 시즌2 첫 편: ")&amp;INDEX($L$2:$L$799,MATCH(D76&amp;"#"&amp;(E76+1),$AC$2:$AC$799,0)),"구약 트랙 완결")</f>
        <v>다음 편: 야곱의 장례</v>
      </c>
      <c r="X76" s="23" t="s">
        <v>130</v>
      </c>
      <c r="Y76" s="23" t="s">
        <v>130</v>
      </c>
      <c r="Z76" s="23" t="s">
        <v>130</v>
      </c>
      <c r="AA76" s="23" t="s">
        <v>130</v>
      </c>
      <c r="AB76" s="24"/>
      <c r="AC76" s="23" t="str">
        <f aca="false">D76&amp;"#"&amp;E76</f>
        <v>구약#217</v>
      </c>
      <c r="AD76" s="23" t="n">
        <f aca="false">COUNTIFS($C$2:C76,C76,$D$2:D76,D76)</f>
        <v>35</v>
      </c>
    </row>
    <row r="77" customFormat="false" ht="52.2" hidden="false" customHeight="false" outlineLevel="0" collapsed="false">
      <c r="A77" s="21" t="n">
        <v>76</v>
      </c>
      <c r="B77" s="18" t="s">
        <v>789</v>
      </c>
      <c r="C77" s="20" t="n">
        <v>1</v>
      </c>
      <c r="D77" s="20" t="s">
        <v>116</v>
      </c>
      <c r="E77" s="20" t="n">
        <f aca="false">IF(C77=1,COUNTIFS($C$2:C77,1,$D$2:D77,D77),COUNTIFS($C$2:$C$799,1,$D$2:$D$799,D77)+COUNTIFS($C$2:C77,2,$D$2:D77,D77))</f>
        <v>41</v>
      </c>
      <c r="F77" s="20" t="str">
        <f aca="false">D77&amp;" #"&amp;TEXT(E77,"000")</f>
        <v>구약 #041</v>
      </c>
      <c r="G77" s="18" t="s">
        <v>722</v>
      </c>
      <c r="H77" s="18" t="s">
        <v>723</v>
      </c>
      <c r="I77" s="21" t="s">
        <v>119</v>
      </c>
      <c r="J77" s="22" t="s">
        <v>790</v>
      </c>
      <c r="K77" s="23" t="s">
        <v>121</v>
      </c>
      <c r="L77" s="24" t="s">
        <v>791</v>
      </c>
      <c r="M77" s="24" t="s">
        <v>792</v>
      </c>
      <c r="N77" s="23" t="s">
        <v>793</v>
      </c>
      <c r="O77" s="24" t="s">
        <v>794</v>
      </c>
      <c r="P77" s="24" t="s">
        <v>795</v>
      </c>
      <c r="Q77" s="24" t="s">
        <v>796</v>
      </c>
      <c r="R77" s="27" t="s">
        <v>797</v>
      </c>
      <c r="S77" s="28" t="s">
        <v>798</v>
      </c>
      <c r="T77" s="24" t="str">
        <f aca="false">"["&amp;안내!$C$5&amp;" "&amp;F77&amp;"] "&amp;L77&amp;" | "&amp;J77</f>
        <v>[1분 성경 구약 #041] 열두 아들을 위한 예언 | 창 49:1-28</v>
      </c>
      <c r="U77" s="26" t="n">
        <f aca="false">IF(D77="구약",IF(C77=1,안내!$C$9,안내!$C$10)+AD77-1,IF(C77=1,안내!$C$9,안내!$C$10)+7*INT((AD77-1)/4)+CHOOSE(MOD(AD77-1,4)+1,0,2,4,5))</f>
        <v>46431</v>
      </c>
      <c r="V77" s="23" t="str">
        <f aca="false">CHOOSE(WEEKDAY(U77,2),"월","화","수","목","금","토","일")</f>
        <v>토</v>
      </c>
      <c r="W77" s="24" t="str">
        <f aca="false">IFERROR(IF(INDEX($C$2:$C$799,MATCH(D77&amp;"#"&amp;(E77+1),$AC$2:$AC$799,0))=C77,"다음 편: ","시즌1 완결 · 시즌2 첫 편: ")&amp;INDEX($L$2:$L$799,MATCH(D77&amp;"#"&amp;(E77+1),$AC$2:$AC$799,0)),"구약 트랙 완결")</f>
        <v>다음 편: 악을 선으로</v>
      </c>
      <c r="X77" s="23" t="s">
        <v>130</v>
      </c>
      <c r="Y77" s="23" t="s">
        <v>130</v>
      </c>
      <c r="Z77" s="23" t="s">
        <v>130</v>
      </c>
      <c r="AA77" s="23" t="s">
        <v>130</v>
      </c>
      <c r="AB77" s="24"/>
      <c r="AC77" s="23" t="str">
        <f aca="false">D77&amp;"#"&amp;E77</f>
        <v>구약#41</v>
      </c>
      <c r="AD77" s="23" t="n">
        <f aca="false">COUNTIFS($C$2:C77,C77,$D$2:D77,D77)</f>
        <v>41</v>
      </c>
    </row>
    <row r="78" customFormat="false" ht="26.85" hidden="false" customHeight="false" outlineLevel="0" collapsed="false">
      <c r="A78" s="21" t="n">
        <v>77</v>
      </c>
      <c r="B78" s="18" t="s">
        <v>799</v>
      </c>
      <c r="C78" s="23" t="n">
        <v>2</v>
      </c>
      <c r="D78" s="23" t="s">
        <v>116</v>
      </c>
      <c r="E78" s="23" t="n">
        <f aca="false">IF(C78=1,COUNTIFS($C$2:C78,1,$D$2:D78,D78),COUNTIFS($C$2:$C$799,1,$D$2:$D$799,D78)+COUNTIFS($C$2:C78,2,$D$2:D78,D78))</f>
        <v>218</v>
      </c>
      <c r="F78" s="23" t="str">
        <f aca="false">D78&amp;" #"&amp;TEXT(E78,"000")</f>
        <v>구약 #218</v>
      </c>
      <c r="G78" s="18" t="s">
        <v>722</v>
      </c>
      <c r="H78" s="18" t="s">
        <v>676</v>
      </c>
      <c r="I78" s="21" t="s">
        <v>119</v>
      </c>
      <c r="J78" s="22" t="s">
        <v>800</v>
      </c>
      <c r="K78" s="23" t="s">
        <v>121</v>
      </c>
      <c r="L78" s="24" t="s">
        <v>801</v>
      </c>
      <c r="M78" s="24" t="s">
        <v>802</v>
      </c>
      <c r="N78" s="23" t="s">
        <v>803</v>
      </c>
      <c r="O78" s="24" t="s">
        <v>804</v>
      </c>
      <c r="P78" s="24" t="s">
        <v>805</v>
      </c>
      <c r="Q78" s="24" t="s">
        <v>806</v>
      </c>
      <c r="R78" s="24"/>
      <c r="S78" s="24" t="s">
        <v>807</v>
      </c>
      <c r="T78" s="24" t="str">
        <f aca="false">"["&amp;안내!$C$5&amp;" "&amp;F78&amp;"] "&amp;L78&amp;" | "&amp;J78</f>
        <v>[1분 성경 구약 #218] 야곱의 장례 | 창 49:29-50:14</v>
      </c>
      <c r="U78" s="26" t="n">
        <f aca="false">IF(D78="구약",IF(C78=1,안내!$C$9,안내!$C$10)+AD78-1,IF(C78=1,안내!$C$9,안내!$C$10)+7*INT((AD78-1)/4)+CHOOSE(MOD(AD78-1,4)+1,0,2,4,5))</f>
        <v>46615</v>
      </c>
      <c r="V78" s="23" t="str">
        <f aca="false">CHOOSE(WEEKDAY(U78,2),"월","화","수","목","금","토","일")</f>
        <v>월</v>
      </c>
      <c r="W78" s="24" t="str">
        <f aca="false">IFERROR(IF(INDEX($C$2:$C$799,MATCH(D78&amp;"#"&amp;(E78+1),$AC$2:$AC$799,0))=C78,"다음 편: ","시즌1 완결 · 시즌2 첫 편: ")&amp;INDEX($L$2:$L$799,MATCH(D78&amp;"#"&amp;(E78+1),$AC$2:$AC$799,0)),"구약 트랙 완결")</f>
        <v>다음 편: 다시 애굽으로</v>
      </c>
      <c r="X78" s="23" t="s">
        <v>130</v>
      </c>
      <c r="Y78" s="23" t="s">
        <v>130</v>
      </c>
      <c r="Z78" s="23" t="s">
        <v>130</v>
      </c>
      <c r="AA78" s="23" t="s">
        <v>130</v>
      </c>
      <c r="AB78" s="24"/>
      <c r="AC78" s="23" t="str">
        <f aca="false">D78&amp;"#"&amp;E78</f>
        <v>구약#218</v>
      </c>
      <c r="AD78" s="23" t="n">
        <f aca="false">COUNTIFS($C$2:C78,C78,$D$2:D78,D78)</f>
        <v>36</v>
      </c>
    </row>
    <row r="79" customFormat="false" ht="26.85" hidden="false" customHeight="false" outlineLevel="0" collapsed="false">
      <c r="A79" s="21" t="n">
        <v>78</v>
      </c>
      <c r="B79" s="18" t="s">
        <v>808</v>
      </c>
      <c r="C79" s="20" t="n">
        <v>1</v>
      </c>
      <c r="D79" s="20" t="s">
        <v>116</v>
      </c>
      <c r="E79" s="20" t="n">
        <f aca="false">IF(C79=1,COUNTIFS($C$2:C79,1,$D$2:D79,D79),COUNTIFS($C$2:$C$799,1,$D$2:$D$799,D79)+COUNTIFS($C$2:C79,2,$D$2:D79,D79))</f>
        <v>42</v>
      </c>
      <c r="F79" s="20" t="str">
        <f aca="false">D79&amp;" #"&amp;TEXT(E79,"000")</f>
        <v>구약 #042</v>
      </c>
      <c r="G79" s="18" t="s">
        <v>722</v>
      </c>
      <c r="H79" s="18" t="s">
        <v>723</v>
      </c>
      <c r="I79" s="21" t="s">
        <v>119</v>
      </c>
      <c r="J79" s="22" t="s">
        <v>809</v>
      </c>
      <c r="K79" s="23" t="s">
        <v>121</v>
      </c>
      <c r="L79" s="24" t="s">
        <v>810</v>
      </c>
      <c r="M79" s="24" t="s">
        <v>811</v>
      </c>
      <c r="N79" s="23" t="s">
        <v>812</v>
      </c>
      <c r="O79" s="24" t="s">
        <v>813</v>
      </c>
      <c r="P79" s="24" t="s">
        <v>756</v>
      </c>
      <c r="Q79" s="24" t="s">
        <v>814</v>
      </c>
      <c r="R79" s="25" t="s">
        <v>815</v>
      </c>
      <c r="S79" s="28" t="s">
        <v>816</v>
      </c>
      <c r="T79" s="24" t="str">
        <f aca="false">"["&amp;안내!$C$5&amp;" "&amp;F79&amp;"] "&amp;L79&amp;" | "&amp;J79</f>
        <v>[1분 성경 구약 #042] 악을 선으로 | 창 50:15-26</v>
      </c>
      <c r="U79" s="26" t="n">
        <f aca="false">IF(D79="구약",IF(C79=1,안내!$C$9,안내!$C$10)+AD79-1,IF(C79=1,안내!$C$9,안내!$C$10)+7*INT((AD79-1)/4)+CHOOSE(MOD(AD79-1,4)+1,0,2,4,5))</f>
        <v>46432</v>
      </c>
      <c r="V79" s="23" t="str">
        <f aca="false">CHOOSE(WEEKDAY(U79,2),"월","화","수","목","금","토","일")</f>
        <v>일</v>
      </c>
      <c r="W79" s="24" t="str">
        <f aca="false">IFERROR(IF(INDEX($C$2:$C$799,MATCH(D79&amp;"#"&amp;(E79+1),$AC$2:$AC$799,0))=C79,"다음 편: ","시즌1 완결 · 시즌2 첫 편: ")&amp;INDEX($L$2:$L$799,MATCH(D79&amp;"#"&amp;(E79+1),$AC$2:$AC$799,0)),"구약 트랙 완결")</f>
        <v>다음 편: 나일강에 던져라</v>
      </c>
      <c r="X79" s="23" t="s">
        <v>130</v>
      </c>
      <c r="Y79" s="23" t="s">
        <v>130</v>
      </c>
      <c r="Z79" s="23" t="s">
        <v>130</v>
      </c>
      <c r="AA79" s="23" t="s">
        <v>130</v>
      </c>
      <c r="AB79" s="24"/>
      <c r="AC79" s="23" t="str">
        <f aca="false">D79&amp;"#"&amp;E79</f>
        <v>구약#42</v>
      </c>
      <c r="AD79" s="23" t="n">
        <f aca="false">COUNTIFS($C$2:C79,C79,$D$2:D79,D79)</f>
        <v>42</v>
      </c>
    </row>
    <row r="80" customFormat="false" ht="26.85" hidden="false" customHeight="false" outlineLevel="0" collapsed="false">
      <c r="A80" s="21" t="n">
        <v>79</v>
      </c>
      <c r="B80" s="18" t="s">
        <v>817</v>
      </c>
      <c r="C80" s="20" t="n">
        <v>1</v>
      </c>
      <c r="D80" s="20" t="s">
        <v>116</v>
      </c>
      <c r="E80" s="20" t="n">
        <f aca="false">IF(C80=1,COUNTIFS($C$2:C80,1,$D$2:D80,D80),COUNTIFS($C$2:$C$799,1,$D$2:$D$799,D80)+COUNTIFS($C$2:C80,2,$D$2:D80,D80))</f>
        <v>43</v>
      </c>
      <c r="F80" s="20" t="str">
        <f aca="false">D80&amp;" #"&amp;TEXT(E80,"000")</f>
        <v>구약 #043</v>
      </c>
      <c r="G80" s="18" t="s">
        <v>818</v>
      </c>
      <c r="H80" s="18" t="s">
        <v>723</v>
      </c>
      <c r="I80" s="21" t="s">
        <v>819</v>
      </c>
      <c r="J80" s="22" t="s">
        <v>820</v>
      </c>
      <c r="K80" s="23" t="s">
        <v>121</v>
      </c>
      <c r="L80" s="24" t="s">
        <v>821</v>
      </c>
      <c r="M80" s="24" t="s">
        <v>822</v>
      </c>
      <c r="N80" s="23" t="s">
        <v>823</v>
      </c>
      <c r="O80" s="24" t="s">
        <v>824</v>
      </c>
      <c r="P80" s="24" t="s">
        <v>825</v>
      </c>
      <c r="Q80" s="24" t="s">
        <v>826</v>
      </c>
      <c r="R80" s="25" t="s">
        <v>827</v>
      </c>
      <c r="S80" s="24" t="s">
        <v>129</v>
      </c>
      <c r="T80" s="24" t="str">
        <f aca="false">"["&amp;안내!$C$5&amp;" "&amp;F80&amp;"] "&amp;L80&amp;" | "&amp;J80</f>
        <v>[1분 성경 구약 #043] 나일강에 던져라 | 출 1:1-22</v>
      </c>
      <c r="U80" s="26" t="n">
        <f aca="false">IF(D80="구약",IF(C80=1,안내!$C$9,안내!$C$10)+AD80-1,IF(C80=1,안내!$C$9,안내!$C$10)+7*INT((AD80-1)/4)+CHOOSE(MOD(AD80-1,4)+1,0,2,4,5))</f>
        <v>46433</v>
      </c>
      <c r="V80" s="23" t="str">
        <f aca="false">CHOOSE(WEEKDAY(U80,2),"월","화","수","목","금","토","일")</f>
        <v>월</v>
      </c>
      <c r="W80" s="24" t="str">
        <f aca="false">IFERROR(IF(INDEX($C$2:$C$799,MATCH(D80&amp;"#"&amp;(E80+1),$AC$2:$AC$799,0))=C80,"다음 편: ","시즌1 완결 · 시즌2 첫 편: ")&amp;INDEX($L$2:$L$799,MATCH(D80&amp;"#"&amp;(E80+1),$AC$2:$AC$799,0)),"구약 트랙 완결")</f>
        <v>다음 편: 갈대 상자</v>
      </c>
      <c r="X80" s="23" t="s">
        <v>130</v>
      </c>
      <c r="Y80" s="23" t="s">
        <v>130</v>
      </c>
      <c r="Z80" s="23" t="s">
        <v>130</v>
      </c>
      <c r="AA80" s="23" t="s">
        <v>130</v>
      </c>
      <c r="AB80" s="24"/>
      <c r="AC80" s="23" t="str">
        <f aca="false">D80&amp;"#"&amp;E80</f>
        <v>구약#43</v>
      </c>
      <c r="AD80" s="23" t="n">
        <f aca="false">COUNTIFS($C$2:C80,C80,$D$2:D80,D80)</f>
        <v>43</v>
      </c>
    </row>
    <row r="81" customFormat="false" ht="26.85" hidden="false" customHeight="false" outlineLevel="0" collapsed="false">
      <c r="A81" s="21" t="n">
        <v>80</v>
      </c>
      <c r="B81" s="18" t="s">
        <v>828</v>
      </c>
      <c r="C81" s="20" t="n">
        <v>1</v>
      </c>
      <c r="D81" s="20" t="s">
        <v>116</v>
      </c>
      <c r="E81" s="20" t="n">
        <f aca="false">IF(C81=1,COUNTIFS($C$2:C81,1,$D$2:D81,D81),COUNTIFS($C$2:$C$799,1,$D$2:$D$799,D81)+COUNTIFS($C$2:C81,2,$D$2:D81,D81))</f>
        <v>44</v>
      </c>
      <c r="F81" s="20" t="str">
        <f aca="false">D81&amp;" #"&amp;TEXT(E81,"000")</f>
        <v>구약 #044</v>
      </c>
      <c r="G81" s="18" t="s">
        <v>818</v>
      </c>
      <c r="H81" s="18" t="s">
        <v>723</v>
      </c>
      <c r="I81" s="21" t="s">
        <v>819</v>
      </c>
      <c r="J81" s="22" t="s">
        <v>829</v>
      </c>
      <c r="K81" s="23" t="s">
        <v>121</v>
      </c>
      <c r="L81" s="24" t="s">
        <v>830</v>
      </c>
      <c r="M81" s="24" t="s">
        <v>831</v>
      </c>
      <c r="N81" s="23" t="s">
        <v>832</v>
      </c>
      <c r="O81" s="24" t="s">
        <v>833</v>
      </c>
      <c r="P81" s="24" t="s">
        <v>834</v>
      </c>
      <c r="Q81" s="24" t="s">
        <v>835</v>
      </c>
      <c r="R81" s="24"/>
      <c r="S81" s="24" t="s">
        <v>129</v>
      </c>
      <c r="T81" s="24" t="str">
        <f aca="false">"["&amp;안내!$C$5&amp;" "&amp;F81&amp;"] "&amp;L81&amp;" | "&amp;J81</f>
        <v>[1분 성경 구약 #044] 갈대 상자 | 출 2:1-10</v>
      </c>
      <c r="U81" s="26" t="n">
        <f aca="false">IF(D81="구약",IF(C81=1,안내!$C$9,안내!$C$10)+AD81-1,IF(C81=1,안내!$C$9,안내!$C$10)+7*INT((AD81-1)/4)+CHOOSE(MOD(AD81-1,4)+1,0,2,4,5))</f>
        <v>46434</v>
      </c>
      <c r="V81" s="23" t="str">
        <f aca="false">CHOOSE(WEEKDAY(U81,2),"월","화","수","목","금","토","일")</f>
        <v>화</v>
      </c>
      <c r="W81" s="24" t="str">
        <f aca="false">IFERROR(IF(INDEX($C$2:$C$799,MATCH(D81&amp;"#"&amp;(E81+1),$AC$2:$AC$799,0))=C81,"다음 편: ","시즌1 완결 · 시즌2 첫 편: ")&amp;INDEX($L$2:$L$799,MATCH(D81&amp;"#"&amp;(E81+1),$AC$2:$AC$799,0)),"구약 트랙 완결")</f>
        <v>다음 편: 왕자에서 도망자로</v>
      </c>
      <c r="X81" s="23" t="s">
        <v>130</v>
      </c>
      <c r="Y81" s="23" t="s">
        <v>130</v>
      </c>
      <c r="Z81" s="23" t="s">
        <v>130</v>
      </c>
      <c r="AA81" s="23" t="s">
        <v>130</v>
      </c>
      <c r="AB81" s="24"/>
      <c r="AC81" s="23" t="str">
        <f aca="false">D81&amp;"#"&amp;E81</f>
        <v>구약#44</v>
      </c>
      <c r="AD81" s="23" t="n">
        <f aca="false">COUNTIFS($C$2:C81,C81,$D$2:D81,D81)</f>
        <v>44</v>
      </c>
    </row>
    <row r="82" customFormat="false" ht="26.85" hidden="false" customHeight="false" outlineLevel="0" collapsed="false">
      <c r="A82" s="21" t="n">
        <v>81</v>
      </c>
      <c r="B82" s="18" t="s">
        <v>836</v>
      </c>
      <c r="C82" s="20" t="n">
        <v>1</v>
      </c>
      <c r="D82" s="20" t="s">
        <v>116</v>
      </c>
      <c r="E82" s="20" t="n">
        <f aca="false">IF(C82=1,COUNTIFS($C$2:C82,1,$D$2:D82,D82),COUNTIFS($C$2:$C$799,1,$D$2:$D$799,D82)+COUNTIFS($C$2:C82,2,$D$2:D82,D82))</f>
        <v>45</v>
      </c>
      <c r="F82" s="20" t="str">
        <f aca="false">D82&amp;" #"&amp;TEXT(E82,"000")</f>
        <v>구약 #045</v>
      </c>
      <c r="G82" s="18" t="s">
        <v>818</v>
      </c>
      <c r="H82" s="18" t="s">
        <v>723</v>
      </c>
      <c r="I82" s="21" t="s">
        <v>819</v>
      </c>
      <c r="J82" s="22" t="s">
        <v>837</v>
      </c>
      <c r="K82" s="23" t="s">
        <v>121</v>
      </c>
      <c r="L82" s="24" t="s">
        <v>838</v>
      </c>
      <c r="M82" s="29" t="s">
        <v>839</v>
      </c>
      <c r="N82" s="23" t="s">
        <v>840</v>
      </c>
      <c r="O82" s="24" t="s">
        <v>841</v>
      </c>
      <c r="P82" s="24" t="s">
        <v>842</v>
      </c>
      <c r="Q82" s="24" t="s">
        <v>843</v>
      </c>
      <c r="R82" s="25" t="s">
        <v>844</v>
      </c>
      <c r="S82" s="24" t="s">
        <v>129</v>
      </c>
      <c r="T82" s="24" t="str">
        <f aca="false">"["&amp;안내!$C$5&amp;" "&amp;F82&amp;"] "&amp;L82&amp;" | "&amp;J82</f>
        <v>[1분 성경 구약 #045] 왕자에서 도망자로 | 출 2:11-25</v>
      </c>
      <c r="U82" s="26" t="n">
        <f aca="false">IF(D82="구약",IF(C82=1,안내!$C$9,안내!$C$10)+AD82-1,IF(C82=1,안내!$C$9,안내!$C$10)+7*INT((AD82-1)/4)+CHOOSE(MOD(AD82-1,4)+1,0,2,4,5))</f>
        <v>46435</v>
      </c>
      <c r="V82" s="23" t="str">
        <f aca="false">CHOOSE(WEEKDAY(U82,2),"월","화","수","목","금","토","일")</f>
        <v>수</v>
      </c>
      <c r="W82" s="24" t="str">
        <f aca="false">IFERROR(IF(INDEX($C$2:$C$799,MATCH(D82&amp;"#"&amp;(E82+1),$AC$2:$AC$799,0))=C82,"다음 편: ","시즌1 완결 · 시즌2 첫 편: ")&amp;INDEX($L$2:$L$799,MATCH(D82&amp;"#"&amp;(E82+1),$AC$2:$AC$799,0)),"구약 트랙 완결")</f>
        <v>다음 편: 불붙은 떨기나무</v>
      </c>
      <c r="X82" s="23" t="s">
        <v>130</v>
      </c>
      <c r="Y82" s="23" t="s">
        <v>130</v>
      </c>
      <c r="Z82" s="23" t="s">
        <v>130</v>
      </c>
      <c r="AA82" s="23" t="s">
        <v>130</v>
      </c>
      <c r="AB82" s="24"/>
      <c r="AC82" s="23" t="str">
        <f aca="false">D82&amp;"#"&amp;E82</f>
        <v>구약#45</v>
      </c>
      <c r="AD82" s="23" t="n">
        <f aca="false">COUNTIFS($C$2:C82,C82,$D$2:D82,D82)</f>
        <v>45</v>
      </c>
    </row>
    <row r="83" customFormat="false" ht="15" hidden="false" customHeight="false" outlineLevel="0" collapsed="false">
      <c r="A83" s="21" t="n">
        <v>82</v>
      </c>
      <c r="B83" s="18" t="s">
        <v>845</v>
      </c>
      <c r="C83" s="20" t="n">
        <v>1</v>
      </c>
      <c r="D83" s="20" t="s">
        <v>116</v>
      </c>
      <c r="E83" s="20" t="n">
        <f aca="false">IF(C83=1,COUNTIFS($C$2:C83,1,$D$2:D83,D83),COUNTIFS($C$2:$C$799,1,$D$2:$D$799,D83)+COUNTIFS($C$2:C83,2,$D$2:D83,D83))</f>
        <v>46</v>
      </c>
      <c r="F83" s="20" t="str">
        <f aca="false">D83&amp;" #"&amp;TEXT(E83,"000")</f>
        <v>구약 #046</v>
      </c>
      <c r="G83" s="18" t="s">
        <v>818</v>
      </c>
      <c r="H83" s="18" t="s">
        <v>723</v>
      </c>
      <c r="I83" s="21" t="s">
        <v>819</v>
      </c>
      <c r="J83" s="22" t="s">
        <v>846</v>
      </c>
      <c r="K83" s="23" t="s">
        <v>121</v>
      </c>
      <c r="L83" s="24" t="s">
        <v>847</v>
      </c>
      <c r="M83" s="24" t="s">
        <v>848</v>
      </c>
      <c r="N83" s="23" t="s">
        <v>849</v>
      </c>
      <c r="O83" s="24" t="s">
        <v>850</v>
      </c>
      <c r="P83" s="24" t="s">
        <v>851</v>
      </c>
      <c r="Q83" s="24" t="s">
        <v>852</v>
      </c>
      <c r="R83" s="25" t="s">
        <v>853</v>
      </c>
      <c r="S83" s="24" t="s">
        <v>129</v>
      </c>
      <c r="T83" s="24" t="str">
        <f aca="false">"["&amp;안내!$C$5&amp;" "&amp;F83&amp;"] "&amp;L83&amp;" | "&amp;J83</f>
        <v>[1분 성경 구약 #046] 불붙은 떨기나무 | 출 3:1-12</v>
      </c>
      <c r="U83" s="26" t="n">
        <f aca="false">IF(D83="구약",IF(C83=1,안내!$C$9,안내!$C$10)+AD83-1,IF(C83=1,안내!$C$9,안내!$C$10)+7*INT((AD83-1)/4)+CHOOSE(MOD(AD83-1,4)+1,0,2,4,5))</f>
        <v>46436</v>
      </c>
      <c r="V83" s="23" t="str">
        <f aca="false">CHOOSE(WEEKDAY(U83,2),"월","화","수","목","금","토","일")</f>
        <v>목</v>
      </c>
      <c r="W83" s="24" t="str">
        <f aca="false">IFERROR(IF(INDEX($C$2:$C$799,MATCH(D83&amp;"#"&amp;(E83+1),$AC$2:$AC$799,0))=C83,"다음 편: ","시즌1 완결 · 시즌2 첫 편: ")&amp;INDEX($L$2:$L$799,MATCH(D83&amp;"#"&amp;(E83+1),$AC$2:$AC$799,0)),"구약 트랙 완결")</f>
        <v>다음 편: 나는 스스로 있는 자</v>
      </c>
      <c r="X83" s="23" t="s">
        <v>130</v>
      </c>
      <c r="Y83" s="23" t="s">
        <v>130</v>
      </c>
      <c r="Z83" s="23" t="s">
        <v>130</v>
      </c>
      <c r="AA83" s="23" t="s">
        <v>130</v>
      </c>
      <c r="AB83" s="24"/>
      <c r="AC83" s="23" t="str">
        <f aca="false">D83&amp;"#"&amp;E83</f>
        <v>구약#46</v>
      </c>
      <c r="AD83" s="23" t="n">
        <f aca="false">COUNTIFS($C$2:C83,C83,$D$2:D83,D83)</f>
        <v>46</v>
      </c>
    </row>
    <row r="84" customFormat="false" ht="26.85" hidden="false" customHeight="false" outlineLevel="0" collapsed="false">
      <c r="A84" s="21" t="n">
        <v>83</v>
      </c>
      <c r="B84" s="18" t="s">
        <v>854</v>
      </c>
      <c r="C84" s="20" t="n">
        <v>1</v>
      </c>
      <c r="D84" s="20" t="s">
        <v>116</v>
      </c>
      <c r="E84" s="20" t="n">
        <f aca="false">IF(C84=1,COUNTIFS($C$2:C84,1,$D$2:D84,D84),COUNTIFS($C$2:$C$799,1,$D$2:$D$799,D84)+COUNTIFS($C$2:C84,2,$D$2:D84,D84))</f>
        <v>47</v>
      </c>
      <c r="F84" s="20" t="str">
        <f aca="false">D84&amp;" #"&amp;TEXT(E84,"000")</f>
        <v>구약 #047</v>
      </c>
      <c r="G84" s="18" t="s">
        <v>818</v>
      </c>
      <c r="H84" s="18" t="s">
        <v>723</v>
      </c>
      <c r="I84" s="21" t="s">
        <v>819</v>
      </c>
      <c r="J84" s="22" t="s">
        <v>855</v>
      </c>
      <c r="K84" s="23" t="s">
        <v>121</v>
      </c>
      <c r="L84" s="24" t="s">
        <v>856</v>
      </c>
      <c r="M84" s="24" t="s">
        <v>857</v>
      </c>
      <c r="N84" s="23" t="s">
        <v>858</v>
      </c>
      <c r="O84" s="24" t="s">
        <v>859</v>
      </c>
      <c r="P84" s="24" t="s">
        <v>860</v>
      </c>
      <c r="Q84" s="24" t="s">
        <v>861</v>
      </c>
      <c r="R84" s="24"/>
      <c r="S84" s="24" t="s">
        <v>129</v>
      </c>
      <c r="T84" s="24" t="str">
        <f aca="false">"["&amp;안내!$C$5&amp;" "&amp;F84&amp;"] "&amp;L84&amp;" | "&amp;J84</f>
        <v>[1분 성경 구약 #047] 나는 스스로 있는 자 | 출 3:13-4:17</v>
      </c>
      <c r="U84" s="26" t="n">
        <f aca="false">IF(D84="구약",IF(C84=1,안내!$C$9,안내!$C$10)+AD84-1,IF(C84=1,안내!$C$9,안내!$C$10)+7*INT((AD84-1)/4)+CHOOSE(MOD(AD84-1,4)+1,0,2,4,5))</f>
        <v>46437</v>
      </c>
      <c r="V84" s="23" t="str">
        <f aca="false">CHOOSE(WEEKDAY(U84,2),"월","화","수","목","금","토","일")</f>
        <v>금</v>
      </c>
      <c r="W84" s="24" t="str">
        <f aca="false">IFERROR(IF(INDEX($C$2:$C$799,MATCH(D84&amp;"#"&amp;(E84+1),$AC$2:$AC$799,0))=C84,"다음 편: ","시즌1 완결 · 시즌2 첫 편: ")&amp;INDEX($L$2:$L$799,MATCH(D84&amp;"#"&amp;(E84+1),$AC$2:$AC$799,0)),"구약 트랙 완결")</f>
        <v>다음 편: 벽돌은 그대로, 짚은 없다</v>
      </c>
      <c r="X84" s="23" t="s">
        <v>130</v>
      </c>
      <c r="Y84" s="23" t="s">
        <v>130</v>
      </c>
      <c r="Z84" s="23" t="s">
        <v>130</v>
      </c>
      <c r="AA84" s="23" t="s">
        <v>130</v>
      </c>
      <c r="AB84" s="24"/>
      <c r="AC84" s="23" t="str">
        <f aca="false">D84&amp;"#"&amp;E84</f>
        <v>구약#47</v>
      </c>
      <c r="AD84" s="23" t="n">
        <f aca="false">COUNTIFS($C$2:C84,C84,$D$2:D84,D84)</f>
        <v>47</v>
      </c>
    </row>
    <row r="85" customFormat="false" ht="26.85" hidden="false" customHeight="false" outlineLevel="0" collapsed="false">
      <c r="A85" s="21" t="n">
        <v>84</v>
      </c>
      <c r="B85" s="18" t="s">
        <v>862</v>
      </c>
      <c r="C85" s="23" t="n">
        <v>2</v>
      </c>
      <c r="D85" s="23" t="s">
        <v>116</v>
      </c>
      <c r="E85" s="23" t="n">
        <f aca="false">IF(C85=1,COUNTIFS($C$2:C85,1,$D$2:D85,D85),COUNTIFS($C$2:$C$799,1,$D$2:$D$799,D85)+COUNTIFS($C$2:C85,2,$D$2:D85,D85))</f>
        <v>219</v>
      </c>
      <c r="F85" s="23" t="str">
        <f aca="false">D85&amp;" #"&amp;TEXT(E85,"000")</f>
        <v>구약 #219</v>
      </c>
      <c r="G85" s="18" t="s">
        <v>818</v>
      </c>
      <c r="H85" s="18" t="s">
        <v>863</v>
      </c>
      <c r="I85" s="21" t="s">
        <v>819</v>
      </c>
      <c r="J85" s="22" t="s">
        <v>864</v>
      </c>
      <c r="K85" s="23" t="s">
        <v>121</v>
      </c>
      <c r="L85" s="24" t="s">
        <v>865</v>
      </c>
      <c r="M85" s="29" t="s">
        <v>866</v>
      </c>
      <c r="N85" s="23" t="s">
        <v>867</v>
      </c>
      <c r="O85" s="24" t="s">
        <v>868</v>
      </c>
      <c r="P85" s="24" t="s">
        <v>869</v>
      </c>
      <c r="Q85" s="24" t="s">
        <v>870</v>
      </c>
      <c r="R85" s="27" t="s">
        <v>871</v>
      </c>
      <c r="S85" s="24" t="s">
        <v>872</v>
      </c>
      <c r="T85" s="24" t="str">
        <f aca="false">"["&amp;안내!$C$5&amp;" "&amp;F85&amp;"] "&amp;L85&amp;" | "&amp;J85</f>
        <v>[1분 성경 구약 #219] 다시 애굽으로 | 출 4:18-31</v>
      </c>
      <c r="U85" s="26" t="n">
        <f aca="false">IF(D85="구약",IF(C85=1,안내!$C$9,안내!$C$10)+AD85-1,IF(C85=1,안내!$C$9,안내!$C$10)+7*INT((AD85-1)/4)+CHOOSE(MOD(AD85-1,4)+1,0,2,4,5))</f>
        <v>46616</v>
      </c>
      <c r="V85" s="23" t="str">
        <f aca="false">CHOOSE(WEEKDAY(U85,2),"월","화","수","목","금","토","일")</f>
        <v>화</v>
      </c>
      <c r="W85" s="24" t="str">
        <f aca="false">IFERROR(IF(INDEX($C$2:$C$799,MATCH(D85&amp;"#"&amp;(E85+1),$AC$2:$AC$799,0))=C85,"다음 편: ","시즌1 완결 · 시즌2 첫 편: ")&amp;INDEX($L$2:$L$799,MATCH(D85&amp;"#"&amp;(E85+1),$AC$2:$AC$799,0)),"구약 트랙 완결")</f>
        <v>다음 편: 내가 여호와니라</v>
      </c>
      <c r="X85" s="23" t="s">
        <v>130</v>
      </c>
      <c r="Y85" s="23" t="s">
        <v>130</v>
      </c>
      <c r="Z85" s="23" t="s">
        <v>130</v>
      </c>
      <c r="AA85" s="23" t="s">
        <v>130</v>
      </c>
      <c r="AB85" s="24"/>
      <c r="AC85" s="23" t="str">
        <f aca="false">D85&amp;"#"&amp;E85</f>
        <v>구약#219</v>
      </c>
      <c r="AD85" s="23" t="n">
        <f aca="false">COUNTIFS($C$2:C85,C85,$D$2:D85,D85)</f>
        <v>37</v>
      </c>
    </row>
    <row r="86" customFormat="false" ht="26.85" hidden="false" customHeight="false" outlineLevel="0" collapsed="false">
      <c r="A86" s="21" t="n">
        <v>85</v>
      </c>
      <c r="B86" s="18" t="s">
        <v>873</v>
      </c>
      <c r="C86" s="20" t="n">
        <v>1</v>
      </c>
      <c r="D86" s="20" t="s">
        <v>116</v>
      </c>
      <c r="E86" s="20" t="n">
        <f aca="false">IF(C86=1,COUNTIFS($C$2:C86,1,$D$2:D86,D86),COUNTIFS($C$2:$C$799,1,$D$2:$D$799,D86)+COUNTIFS($C$2:C86,2,$D$2:D86,D86))</f>
        <v>48</v>
      </c>
      <c r="F86" s="20" t="str">
        <f aca="false">D86&amp;" #"&amp;TEXT(E86,"000")</f>
        <v>구약 #048</v>
      </c>
      <c r="G86" s="18" t="s">
        <v>818</v>
      </c>
      <c r="H86" s="18" t="s">
        <v>723</v>
      </c>
      <c r="I86" s="21" t="s">
        <v>819</v>
      </c>
      <c r="J86" s="22" t="s">
        <v>874</v>
      </c>
      <c r="K86" s="23" t="s">
        <v>121</v>
      </c>
      <c r="L86" s="24" t="s">
        <v>875</v>
      </c>
      <c r="M86" s="24" t="s">
        <v>876</v>
      </c>
      <c r="N86" s="23" t="s">
        <v>877</v>
      </c>
      <c r="O86" s="24" t="s">
        <v>878</v>
      </c>
      <c r="P86" s="24" t="s">
        <v>879</v>
      </c>
      <c r="Q86" s="24" t="s">
        <v>880</v>
      </c>
      <c r="R86" s="24"/>
      <c r="S86" s="28" t="s">
        <v>881</v>
      </c>
      <c r="T86" s="24" t="str">
        <f aca="false">"["&amp;안내!$C$5&amp;" "&amp;F86&amp;"] "&amp;L86&amp;" | "&amp;J86</f>
        <v>[1분 성경 구약 #048] 벽돌은 그대로, 짚은 없다 | 출 5:1-23</v>
      </c>
      <c r="U86" s="26" t="n">
        <f aca="false">IF(D86="구약",IF(C86=1,안내!$C$9,안내!$C$10)+AD86-1,IF(C86=1,안내!$C$9,안내!$C$10)+7*INT((AD86-1)/4)+CHOOSE(MOD(AD86-1,4)+1,0,2,4,5))</f>
        <v>46438</v>
      </c>
      <c r="V86" s="23" t="str">
        <f aca="false">CHOOSE(WEEKDAY(U86,2),"월","화","수","목","금","토","일")</f>
        <v>토</v>
      </c>
      <c r="W86" s="24" t="str">
        <f aca="false">IFERROR(IF(INDEX($C$2:$C$799,MATCH(D86&amp;"#"&amp;(E86+1),$AC$2:$AC$799,0))=C86,"다음 편: ","시즌1 완결 · 시즌2 첫 편: ")&amp;INDEX($L$2:$L$799,MATCH(D86&amp;"#"&amp;(E86+1),$AC$2:$AC$799,0)),"구약 트랙 완결")</f>
        <v>다음 편: 뱀을 삼킨 지팡이</v>
      </c>
      <c r="X86" s="23" t="s">
        <v>130</v>
      </c>
      <c r="Y86" s="23" t="s">
        <v>130</v>
      </c>
      <c r="Z86" s="23" t="s">
        <v>130</v>
      </c>
      <c r="AA86" s="23" t="s">
        <v>130</v>
      </c>
      <c r="AB86" s="24"/>
      <c r="AC86" s="23" t="str">
        <f aca="false">D86&amp;"#"&amp;E86</f>
        <v>구약#48</v>
      </c>
      <c r="AD86" s="23" t="n">
        <f aca="false">COUNTIFS($C$2:C86,C86,$D$2:D86,D86)</f>
        <v>48</v>
      </c>
    </row>
    <row r="87" customFormat="false" ht="26.85" hidden="false" customHeight="false" outlineLevel="0" collapsed="false">
      <c r="A87" s="21" t="n">
        <v>86</v>
      </c>
      <c r="B87" s="18" t="s">
        <v>882</v>
      </c>
      <c r="C87" s="23" t="n">
        <v>2</v>
      </c>
      <c r="D87" s="23" t="s">
        <v>116</v>
      </c>
      <c r="E87" s="23" t="n">
        <f aca="false">IF(C87=1,COUNTIFS($C$2:C87,1,$D$2:D87,D87),COUNTIFS($C$2:$C$799,1,$D$2:$D$799,D87)+COUNTIFS($C$2:C87,2,$D$2:D87,D87))</f>
        <v>220</v>
      </c>
      <c r="F87" s="23" t="str">
        <f aca="false">D87&amp;" #"&amp;TEXT(E87,"000")</f>
        <v>구약 #220</v>
      </c>
      <c r="G87" s="18" t="s">
        <v>818</v>
      </c>
      <c r="H87" s="18" t="s">
        <v>863</v>
      </c>
      <c r="I87" s="21" t="s">
        <v>819</v>
      </c>
      <c r="J87" s="22" t="s">
        <v>883</v>
      </c>
      <c r="K87" s="23" t="s">
        <v>121</v>
      </c>
      <c r="L87" s="24" t="s">
        <v>884</v>
      </c>
      <c r="M87" s="24" t="s">
        <v>885</v>
      </c>
      <c r="N87" s="23" t="s">
        <v>886</v>
      </c>
      <c r="O87" s="24" t="s">
        <v>887</v>
      </c>
      <c r="P87" s="24" t="s">
        <v>888</v>
      </c>
      <c r="Q87" s="24" t="s">
        <v>814</v>
      </c>
      <c r="R87" s="24"/>
      <c r="S87" s="24" t="s">
        <v>889</v>
      </c>
      <c r="T87" s="24" t="str">
        <f aca="false">"["&amp;안내!$C$5&amp;" "&amp;F87&amp;"] "&amp;L87&amp;" | "&amp;J87</f>
        <v>[1분 성경 구약 #220] 내가 여호와니라 | 출 6:1-30</v>
      </c>
      <c r="U87" s="26" t="n">
        <f aca="false">IF(D87="구약",IF(C87=1,안내!$C$9,안내!$C$10)+AD87-1,IF(C87=1,안내!$C$9,안내!$C$10)+7*INT((AD87-1)/4)+CHOOSE(MOD(AD87-1,4)+1,0,2,4,5))</f>
        <v>46617</v>
      </c>
      <c r="V87" s="23" t="str">
        <f aca="false">CHOOSE(WEEKDAY(U87,2),"월","화","수","목","금","토","일")</f>
        <v>수</v>
      </c>
      <c r="W87" s="24" t="str">
        <f aca="false">IFERROR(IF(INDEX($C$2:$C$799,MATCH(D87&amp;"#"&amp;(E87+1),$AC$2:$AC$799,0))=C87,"다음 편: ","시즌1 완결 · 시즌2 첫 편: ")&amp;INDEX($L$2:$L$799,MATCH(D87&amp;"#"&amp;(E87+1),$AC$2:$AC$799,0)),"구약 트랙 완결")</f>
        <v>다음 편: 이와 파리</v>
      </c>
      <c r="X87" s="23" t="s">
        <v>130</v>
      </c>
      <c r="Y87" s="23" t="s">
        <v>130</v>
      </c>
      <c r="Z87" s="23" t="s">
        <v>130</v>
      </c>
      <c r="AA87" s="23" t="s">
        <v>130</v>
      </c>
      <c r="AB87" s="24"/>
      <c r="AC87" s="23" t="str">
        <f aca="false">D87&amp;"#"&amp;E87</f>
        <v>구약#220</v>
      </c>
      <c r="AD87" s="23" t="n">
        <f aca="false">COUNTIFS($C$2:C87,C87,$D$2:D87,D87)</f>
        <v>38</v>
      </c>
    </row>
    <row r="88" customFormat="false" ht="26.85" hidden="false" customHeight="false" outlineLevel="0" collapsed="false">
      <c r="A88" s="21" t="n">
        <v>87</v>
      </c>
      <c r="B88" s="18" t="s">
        <v>890</v>
      </c>
      <c r="C88" s="20" t="n">
        <v>1</v>
      </c>
      <c r="D88" s="20" t="s">
        <v>116</v>
      </c>
      <c r="E88" s="20" t="n">
        <f aca="false">IF(C88=1,COUNTIFS($C$2:C88,1,$D$2:D88,D88),COUNTIFS($C$2:$C$799,1,$D$2:$D$799,D88)+COUNTIFS($C$2:C88,2,$D$2:D88,D88))</f>
        <v>49</v>
      </c>
      <c r="F88" s="20" t="str">
        <f aca="false">D88&amp;" #"&amp;TEXT(E88,"000")</f>
        <v>구약 #049</v>
      </c>
      <c r="G88" s="18" t="s">
        <v>891</v>
      </c>
      <c r="H88" s="18" t="s">
        <v>892</v>
      </c>
      <c r="I88" s="21" t="s">
        <v>819</v>
      </c>
      <c r="J88" s="22" t="s">
        <v>893</v>
      </c>
      <c r="K88" s="23" t="s">
        <v>121</v>
      </c>
      <c r="L88" s="24" t="s">
        <v>894</v>
      </c>
      <c r="M88" s="24" t="s">
        <v>895</v>
      </c>
      <c r="N88" s="23" t="s">
        <v>896</v>
      </c>
      <c r="O88" s="24" t="s">
        <v>897</v>
      </c>
      <c r="P88" s="24" t="s">
        <v>898</v>
      </c>
      <c r="Q88" s="24" t="s">
        <v>712</v>
      </c>
      <c r="R88" s="25" t="s">
        <v>899</v>
      </c>
      <c r="S88" s="28" t="s">
        <v>900</v>
      </c>
      <c r="T88" s="24" t="str">
        <f aca="false">"["&amp;안내!$C$5&amp;" "&amp;F88&amp;"] "&amp;L88&amp;" | "&amp;J88</f>
        <v>[1분 성경 구약 #049] 뱀을 삼킨 지팡이 | 출 7:1-13</v>
      </c>
      <c r="U88" s="26" t="n">
        <f aca="false">IF(D88="구약",IF(C88=1,안내!$C$9,안내!$C$10)+AD88-1,IF(C88=1,안내!$C$9,안내!$C$10)+7*INT((AD88-1)/4)+CHOOSE(MOD(AD88-1,4)+1,0,2,4,5))</f>
        <v>46439</v>
      </c>
      <c r="V88" s="23" t="str">
        <f aca="false">CHOOSE(WEEKDAY(U88,2),"월","화","수","목","금","토","일")</f>
        <v>일</v>
      </c>
      <c r="W88" s="24" t="str">
        <f aca="false">IFERROR(IF(INDEX($C$2:$C$799,MATCH(D88&amp;"#"&amp;(E88+1),$AC$2:$AC$799,0))=C88,"다음 편: ","시즌1 완결 · 시즌2 첫 편: ")&amp;INDEX($L$2:$L$799,MATCH(D88&amp;"#"&amp;(E88+1),$AC$2:$AC$799,0)),"구약 트랙 완결")</f>
        <v>다음 편: 피로 변한 나일강</v>
      </c>
      <c r="X88" s="23" t="s">
        <v>130</v>
      </c>
      <c r="Y88" s="23" t="s">
        <v>130</v>
      </c>
      <c r="Z88" s="23" t="s">
        <v>130</v>
      </c>
      <c r="AA88" s="23" t="s">
        <v>130</v>
      </c>
      <c r="AB88" s="24"/>
      <c r="AC88" s="23" t="str">
        <f aca="false">D88&amp;"#"&amp;E88</f>
        <v>구약#49</v>
      </c>
      <c r="AD88" s="23" t="n">
        <f aca="false">COUNTIFS($C$2:C88,C88,$D$2:D88,D88)</f>
        <v>49</v>
      </c>
    </row>
    <row r="89" customFormat="false" ht="25.35" hidden="false" customHeight="false" outlineLevel="0" collapsed="false">
      <c r="A89" s="21" t="n">
        <v>88</v>
      </c>
      <c r="B89" s="18" t="s">
        <v>901</v>
      </c>
      <c r="C89" s="20" t="n">
        <v>1</v>
      </c>
      <c r="D89" s="20" t="s">
        <v>116</v>
      </c>
      <c r="E89" s="20" t="n">
        <f aca="false">IF(C89=1,COUNTIFS($C$2:C89,1,$D$2:D89,D89),COUNTIFS($C$2:$C$799,1,$D$2:$D$799,D89)+COUNTIFS($C$2:C89,2,$D$2:D89,D89))</f>
        <v>50</v>
      </c>
      <c r="F89" s="20" t="str">
        <f aca="false">D89&amp;" #"&amp;TEXT(E89,"000")</f>
        <v>구약 #050</v>
      </c>
      <c r="G89" s="18" t="s">
        <v>891</v>
      </c>
      <c r="H89" s="18" t="s">
        <v>892</v>
      </c>
      <c r="I89" s="21" t="s">
        <v>819</v>
      </c>
      <c r="J89" s="22" t="s">
        <v>902</v>
      </c>
      <c r="K89" s="23" t="s">
        <v>121</v>
      </c>
      <c r="L89" s="24" t="s">
        <v>903</v>
      </c>
      <c r="M89" s="24" t="s">
        <v>904</v>
      </c>
      <c r="N89" s="23" t="s">
        <v>905</v>
      </c>
      <c r="O89" s="24" t="s">
        <v>906</v>
      </c>
      <c r="P89" s="24" t="s">
        <v>907</v>
      </c>
      <c r="Q89" s="24" t="s">
        <v>908</v>
      </c>
      <c r="R89" s="24"/>
      <c r="S89" s="24" t="s">
        <v>129</v>
      </c>
      <c r="T89" s="24" t="str">
        <f aca="false">"["&amp;안내!$C$5&amp;" "&amp;F89&amp;"] "&amp;L89&amp;" | "&amp;J89</f>
        <v>[1분 성경 구약 #050] 피로 변한 나일강 | 출 7:14-25</v>
      </c>
      <c r="U89" s="26" t="n">
        <f aca="false">IF(D89="구약",IF(C89=1,안내!$C$9,안내!$C$10)+AD89-1,IF(C89=1,안내!$C$9,안내!$C$10)+7*INT((AD89-1)/4)+CHOOSE(MOD(AD89-1,4)+1,0,2,4,5))</f>
        <v>46440</v>
      </c>
      <c r="V89" s="23" t="str">
        <f aca="false">CHOOSE(WEEKDAY(U89,2),"월","화","수","목","금","토","일")</f>
        <v>월</v>
      </c>
      <c r="W89" s="24" t="str">
        <f aca="false">IFERROR(IF(INDEX($C$2:$C$799,MATCH(D89&amp;"#"&amp;(E89+1),$AC$2:$AC$799,0))=C89,"다음 편: ","시즌1 완결 · 시즌2 첫 편: ")&amp;INDEX($L$2:$L$799,MATCH(D89&amp;"#"&amp;(E89+1),$AC$2:$AC$799,0)),"구약 트랙 완결")</f>
        <v>다음 편: 개구리 재앙</v>
      </c>
      <c r="X89" s="23" t="s">
        <v>130</v>
      </c>
      <c r="Y89" s="23" t="s">
        <v>130</v>
      </c>
      <c r="Z89" s="23" t="s">
        <v>130</v>
      </c>
      <c r="AA89" s="23" t="s">
        <v>130</v>
      </c>
      <c r="AB89" s="24"/>
      <c r="AC89" s="23" t="str">
        <f aca="false">D89&amp;"#"&amp;E89</f>
        <v>구약#50</v>
      </c>
      <c r="AD89" s="23" t="n">
        <f aca="false">COUNTIFS($C$2:C89,C89,$D$2:D89,D89)</f>
        <v>50</v>
      </c>
    </row>
    <row r="90" customFormat="false" ht="15" hidden="false" customHeight="false" outlineLevel="0" collapsed="false">
      <c r="A90" s="21" t="n">
        <v>89</v>
      </c>
      <c r="B90" s="18" t="s">
        <v>909</v>
      </c>
      <c r="C90" s="20" t="n">
        <v>1</v>
      </c>
      <c r="D90" s="20" t="s">
        <v>116</v>
      </c>
      <c r="E90" s="20" t="n">
        <f aca="false">IF(C90=1,COUNTIFS($C$2:C90,1,$D$2:D90,D90),COUNTIFS($C$2:$C$799,1,$D$2:$D$799,D90)+COUNTIFS($C$2:C90,2,$D$2:D90,D90))</f>
        <v>51</v>
      </c>
      <c r="F90" s="20" t="str">
        <f aca="false">D90&amp;" #"&amp;TEXT(E90,"000")</f>
        <v>구약 #051</v>
      </c>
      <c r="G90" s="18" t="s">
        <v>891</v>
      </c>
      <c r="H90" s="18" t="s">
        <v>892</v>
      </c>
      <c r="I90" s="21" t="s">
        <v>819</v>
      </c>
      <c r="J90" s="22" t="s">
        <v>910</v>
      </c>
      <c r="K90" s="23" t="s">
        <v>121</v>
      </c>
      <c r="L90" s="24" t="s">
        <v>911</v>
      </c>
      <c r="M90" s="24" t="s">
        <v>912</v>
      </c>
      <c r="N90" s="23" t="s">
        <v>913</v>
      </c>
      <c r="O90" s="24" t="s">
        <v>914</v>
      </c>
      <c r="P90" s="24" t="s">
        <v>915</v>
      </c>
      <c r="Q90" s="24" t="s">
        <v>916</v>
      </c>
      <c r="R90" s="24"/>
      <c r="S90" s="24" t="s">
        <v>129</v>
      </c>
      <c r="T90" s="24" t="str">
        <f aca="false">"["&amp;안내!$C$5&amp;" "&amp;F90&amp;"] "&amp;L90&amp;" | "&amp;J90</f>
        <v>[1분 성경 구약 #051] 개구리 재앙 | 출 8:1-15</v>
      </c>
      <c r="U90" s="26" t="n">
        <f aca="false">IF(D90="구약",IF(C90=1,안내!$C$9,안내!$C$10)+AD90-1,IF(C90=1,안내!$C$9,안내!$C$10)+7*INT((AD90-1)/4)+CHOOSE(MOD(AD90-1,4)+1,0,2,4,5))</f>
        <v>46441</v>
      </c>
      <c r="V90" s="23" t="str">
        <f aca="false">CHOOSE(WEEKDAY(U90,2),"월","화","수","목","금","토","일")</f>
        <v>화</v>
      </c>
      <c r="W90" s="24" t="str">
        <f aca="false">IFERROR(IF(INDEX($C$2:$C$799,MATCH(D90&amp;"#"&amp;(E90+1),$AC$2:$AC$799,0))=C90,"다음 편: ","시즌1 완결 · 시즌2 첫 편: ")&amp;INDEX($L$2:$L$799,MATCH(D90&amp;"#"&amp;(E90+1),$AC$2:$AC$799,0)),"구약 트랙 완결")</f>
        <v>다음 편: 문설주의 피</v>
      </c>
      <c r="X90" s="23" t="s">
        <v>130</v>
      </c>
      <c r="Y90" s="23" t="s">
        <v>130</v>
      </c>
      <c r="Z90" s="23" t="s">
        <v>130</v>
      </c>
      <c r="AA90" s="23" t="s">
        <v>130</v>
      </c>
      <c r="AB90" s="24"/>
      <c r="AC90" s="23" t="str">
        <f aca="false">D90&amp;"#"&amp;E90</f>
        <v>구약#51</v>
      </c>
      <c r="AD90" s="23" t="n">
        <f aca="false">COUNTIFS($C$2:C90,C90,$D$2:D90,D90)</f>
        <v>51</v>
      </c>
    </row>
    <row r="91" customFormat="false" ht="26.85" hidden="false" customHeight="false" outlineLevel="0" collapsed="false">
      <c r="A91" s="21" t="n">
        <v>90</v>
      </c>
      <c r="B91" s="18" t="s">
        <v>917</v>
      </c>
      <c r="C91" s="23" t="n">
        <v>2</v>
      </c>
      <c r="D91" s="23" t="s">
        <v>116</v>
      </c>
      <c r="E91" s="23" t="n">
        <f aca="false">IF(C91=1,COUNTIFS($C$2:C91,1,$D$2:D91,D91),COUNTIFS($C$2:$C$799,1,$D$2:$D$799,D91)+COUNTIFS($C$2:C91,2,$D$2:D91,D91))</f>
        <v>221</v>
      </c>
      <c r="F91" s="23" t="str">
        <f aca="false">D91&amp;" #"&amp;TEXT(E91,"000")</f>
        <v>구약 #221</v>
      </c>
      <c r="G91" s="18" t="s">
        <v>891</v>
      </c>
      <c r="H91" s="18" t="s">
        <v>863</v>
      </c>
      <c r="I91" s="21" t="s">
        <v>819</v>
      </c>
      <c r="J91" s="22" t="s">
        <v>918</v>
      </c>
      <c r="K91" s="23" t="s">
        <v>121</v>
      </c>
      <c r="L91" s="24" t="s">
        <v>919</v>
      </c>
      <c r="M91" s="24" t="s">
        <v>920</v>
      </c>
      <c r="N91" s="23" t="s">
        <v>921</v>
      </c>
      <c r="O91" s="24" t="s">
        <v>922</v>
      </c>
      <c r="P91" s="24" t="s">
        <v>923</v>
      </c>
      <c r="Q91" s="24" t="s">
        <v>924</v>
      </c>
      <c r="R91" s="24"/>
      <c r="S91" s="24" t="s">
        <v>925</v>
      </c>
      <c r="T91" s="24" t="str">
        <f aca="false">"["&amp;안내!$C$5&amp;" "&amp;F91&amp;"] "&amp;L91&amp;" | "&amp;J91</f>
        <v>[1분 성경 구약 #221] 이와 파리 | 출 8:16-32</v>
      </c>
      <c r="U91" s="26" t="n">
        <f aca="false">IF(D91="구약",IF(C91=1,안내!$C$9,안내!$C$10)+AD91-1,IF(C91=1,안내!$C$9,안내!$C$10)+7*INT((AD91-1)/4)+CHOOSE(MOD(AD91-1,4)+1,0,2,4,5))</f>
        <v>46618</v>
      </c>
      <c r="V91" s="23" t="str">
        <f aca="false">CHOOSE(WEEKDAY(U91,2),"월","화","수","목","금","토","일")</f>
        <v>목</v>
      </c>
      <c r="W91" s="24" t="str">
        <f aca="false">IFERROR(IF(INDEX($C$2:$C$799,MATCH(D91&amp;"#"&amp;(E91+1),$AC$2:$AC$799,0))=C91,"다음 편: ","시즌1 완결 · 시즌2 첫 편: ")&amp;INDEX($L$2:$L$799,MATCH(D91&amp;"#"&amp;(E91+1),$AC$2:$AC$799,0)),"구약 트랙 완결")</f>
        <v>다음 편: 가축 돌림병과 악성 종기</v>
      </c>
      <c r="X91" s="23" t="s">
        <v>130</v>
      </c>
      <c r="Y91" s="23" t="s">
        <v>130</v>
      </c>
      <c r="Z91" s="23" t="s">
        <v>130</v>
      </c>
      <c r="AA91" s="23" t="s">
        <v>130</v>
      </c>
      <c r="AB91" s="24"/>
      <c r="AC91" s="23" t="str">
        <f aca="false">D91&amp;"#"&amp;E91</f>
        <v>구약#221</v>
      </c>
      <c r="AD91" s="23" t="n">
        <f aca="false">COUNTIFS($C$2:C91,C91,$D$2:D91,D91)</f>
        <v>39</v>
      </c>
    </row>
    <row r="92" customFormat="false" ht="26.85" hidden="false" customHeight="false" outlineLevel="0" collapsed="false">
      <c r="A92" s="21" t="n">
        <v>91</v>
      </c>
      <c r="B92" s="18" t="s">
        <v>926</v>
      </c>
      <c r="C92" s="23" t="n">
        <v>2</v>
      </c>
      <c r="D92" s="23" t="s">
        <v>116</v>
      </c>
      <c r="E92" s="23" t="n">
        <f aca="false">IF(C92=1,COUNTIFS($C$2:C92,1,$D$2:D92,D92),COUNTIFS($C$2:$C$799,1,$D$2:$D$799,D92)+COUNTIFS($C$2:C92,2,$D$2:D92,D92))</f>
        <v>222</v>
      </c>
      <c r="F92" s="23" t="str">
        <f aca="false">D92&amp;" #"&amp;TEXT(E92,"000")</f>
        <v>구약 #222</v>
      </c>
      <c r="G92" s="18" t="s">
        <v>891</v>
      </c>
      <c r="H92" s="18" t="s">
        <v>863</v>
      </c>
      <c r="I92" s="21" t="s">
        <v>819</v>
      </c>
      <c r="J92" s="22" t="s">
        <v>927</v>
      </c>
      <c r="K92" s="23" t="s">
        <v>121</v>
      </c>
      <c r="L92" s="24" t="s">
        <v>928</v>
      </c>
      <c r="M92" s="24" t="s">
        <v>929</v>
      </c>
      <c r="N92" s="23" t="s">
        <v>930</v>
      </c>
      <c r="O92" s="24" t="s">
        <v>931</v>
      </c>
      <c r="P92" s="24" t="s">
        <v>907</v>
      </c>
      <c r="Q92" s="24" t="s">
        <v>932</v>
      </c>
      <c r="R92" s="24"/>
      <c r="S92" s="24" t="s">
        <v>925</v>
      </c>
      <c r="T92" s="24" t="str">
        <f aca="false">"["&amp;안내!$C$5&amp;" "&amp;F92&amp;"] "&amp;L92&amp;" | "&amp;J92</f>
        <v>[1분 성경 구약 #222] 가축 돌림병과 악성 종기 | 출 9:1-12</v>
      </c>
      <c r="U92" s="26" t="n">
        <f aca="false">IF(D92="구약",IF(C92=1,안내!$C$9,안내!$C$10)+AD92-1,IF(C92=1,안내!$C$9,안내!$C$10)+7*INT((AD92-1)/4)+CHOOSE(MOD(AD92-1,4)+1,0,2,4,5))</f>
        <v>46619</v>
      </c>
      <c r="V92" s="23" t="str">
        <f aca="false">CHOOSE(WEEKDAY(U92,2),"월","화","수","목","금","토","일")</f>
        <v>금</v>
      </c>
      <c r="W92" s="24" t="str">
        <f aca="false">IFERROR(IF(INDEX($C$2:$C$799,MATCH(D92&amp;"#"&amp;(E92+1),$AC$2:$AC$799,0))=C92,"다음 편: ","시즌1 완결 · 시즌2 첫 편: ")&amp;INDEX($L$2:$L$799,MATCH(D92&amp;"#"&amp;(E92+1),$AC$2:$AC$799,0)),"구약 트랙 완결")</f>
        <v>다음 편: 불덩이 섞인 우박</v>
      </c>
      <c r="X92" s="23" t="s">
        <v>130</v>
      </c>
      <c r="Y92" s="23" t="s">
        <v>130</v>
      </c>
      <c r="Z92" s="23" t="s">
        <v>130</v>
      </c>
      <c r="AA92" s="23" t="s">
        <v>130</v>
      </c>
      <c r="AB92" s="24"/>
      <c r="AC92" s="23" t="str">
        <f aca="false">D92&amp;"#"&amp;E92</f>
        <v>구약#222</v>
      </c>
      <c r="AD92" s="23" t="n">
        <f aca="false">COUNTIFS($C$2:C92,C92,$D$2:D92,D92)</f>
        <v>40</v>
      </c>
    </row>
    <row r="93" customFormat="false" ht="25.35" hidden="false" customHeight="false" outlineLevel="0" collapsed="false">
      <c r="A93" s="21" t="n">
        <v>92</v>
      </c>
      <c r="B93" s="18" t="s">
        <v>933</v>
      </c>
      <c r="C93" s="23" t="n">
        <v>2</v>
      </c>
      <c r="D93" s="23" t="s">
        <v>116</v>
      </c>
      <c r="E93" s="23" t="n">
        <f aca="false">IF(C93=1,COUNTIFS($C$2:C93,1,$D$2:D93,D93),COUNTIFS($C$2:$C$799,1,$D$2:$D$799,D93)+COUNTIFS($C$2:C93,2,$D$2:D93,D93))</f>
        <v>223</v>
      </c>
      <c r="F93" s="23" t="str">
        <f aca="false">D93&amp;" #"&amp;TEXT(E93,"000")</f>
        <v>구약 #223</v>
      </c>
      <c r="G93" s="18" t="s">
        <v>891</v>
      </c>
      <c r="H93" s="18" t="s">
        <v>863</v>
      </c>
      <c r="I93" s="21" t="s">
        <v>819</v>
      </c>
      <c r="J93" s="22" t="s">
        <v>934</v>
      </c>
      <c r="K93" s="23" t="s">
        <v>121</v>
      </c>
      <c r="L93" s="24" t="s">
        <v>935</v>
      </c>
      <c r="M93" s="24" t="s">
        <v>936</v>
      </c>
      <c r="N93" s="23" t="s">
        <v>937</v>
      </c>
      <c r="O93" s="24" t="s">
        <v>938</v>
      </c>
      <c r="P93" s="24" t="s">
        <v>915</v>
      </c>
      <c r="Q93" s="24" t="s">
        <v>939</v>
      </c>
      <c r="R93" s="24"/>
      <c r="S93" s="24" t="s">
        <v>925</v>
      </c>
      <c r="T93" s="24" t="str">
        <f aca="false">"["&amp;안내!$C$5&amp;" "&amp;F93&amp;"] "&amp;L93&amp;" | "&amp;J93</f>
        <v>[1분 성경 구약 #223] 불덩이 섞인 우박 | 출 9:13-35</v>
      </c>
      <c r="U93" s="26" t="n">
        <f aca="false">IF(D93="구약",IF(C93=1,안내!$C$9,안내!$C$10)+AD93-1,IF(C93=1,안내!$C$9,안내!$C$10)+7*INT((AD93-1)/4)+CHOOSE(MOD(AD93-1,4)+1,0,2,4,5))</f>
        <v>46620</v>
      </c>
      <c r="V93" s="23" t="str">
        <f aca="false">CHOOSE(WEEKDAY(U93,2),"월","화","수","목","금","토","일")</f>
        <v>토</v>
      </c>
      <c r="W93" s="24" t="str">
        <f aca="false">IFERROR(IF(INDEX($C$2:$C$799,MATCH(D93&amp;"#"&amp;(E93+1),$AC$2:$AC$799,0))=C93,"다음 편: ","시즌1 완결 · 시즌2 첫 편: ")&amp;INDEX($L$2:$L$799,MATCH(D93&amp;"#"&amp;(E93+1),$AC$2:$AC$799,0)),"구약 트랙 완결")</f>
        <v>다음 편: 메뚜기 떼</v>
      </c>
      <c r="X93" s="23" t="s">
        <v>130</v>
      </c>
      <c r="Y93" s="23" t="s">
        <v>130</v>
      </c>
      <c r="Z93" s="23" t="s">
        <v>130</v>
      </c>
      <c r="AA93" s="23" t="s">
        <v>130</v>
      </c>
      <c r="AB93" s="24"/>
      <c r="AC93" s="23" t="str">
        <f aca="false">D93&amp;"#"&amp;E93</f>
        <v>구약#223</v>
      </c>
      <c r="AD93" s="23" t="n">
        <f aca="false">COUNTIFS($C$2:C93,C93,$D$2:D93,D93)</f>
        <v>41</v>
      </c>
    </row>
    <row r="94" customFormat="false" ht="15" hidden="false" customHeight="false" outlineLevel="0" collapsed="false">
      <c r="A94" s="21" t="n">
        <v>93</v>
      </c>
      <c r="B94" s="18" t="s">
        <v>940</v>
      </c>
      <c r="C94" s="23" t="n">
        <v>2</v>
      </c>
      <c r="D94" s="23" t="s">
        <v>116</v>
      </c>
      <c r="E94" s="23" t="n">
        <f aca="false">IF(C94=1,COUNTIFS($C$2:C94,1,$D$2:D94,D94),COUNTIFS($C$2:$C$799,1,$D$2:$D$799,D94)+COUNTIFS($C$2:C94,2,$D$2:D94,D94))</f>
        <v>224</v>
      </c>
      <c r="F94" s="23" t="str">
        <f aca="false">D94&amp;" #"&amp;TEXT(E94,"000")</f>
        <v>구약 #224</v>
      </c>
      <c r="G94" s="18" t="s">
        <v>891</v>
      </c>
      <c r="H94" s="18" t="s">
        <v>863</v>
      </c>
      <c r="I94" s="21" t="s">
        <v>819</v>
      </c>
      <c r="J94" s="22" t="s">
        <v>941</v>
      </c>
      <c r="K94" s="23" t="s">
        <v>121</v>
      </c>
      <c r="L94" s="24" t="s">
        <v>942</v>
      </c>
      <c r="M94" s="24" t="s">
        <v>943</v>
      </c>
      <c r="N94" s="23" t="s">
        <v>944</v>
      </c>
      <c r="O94" s="24" t="s">
        <v>945</v>
      </c>
      <c r="P94" s="24" t="s">
        <v>946</v>
      </c>
      <c r="Q94" s="24" t="s">
        <v>947</v>
      </c>
      <c r="R94" s="24"/>
      <c r="S94" s="24" t="s">
        <v>925</v>
      </c>
      <c r="T94" s="24" t="str">
        <f aca="false">"["&amp;안내!$C$5&amp;" "&amp;F94&amp;"] "&amp;L94&amp;" | "&amp;J94</f>
        <v>[1분 성경 구약 #224] 메뚜기 떼 | 출 10:1-20</v>
      </c>
      <c r="U94" s="26" t="n">
        <f aca="false">IF(D94="구약",IF(C94=1,안내!$C$9,안내!$C$10)+AD94-1,IF(C94=1,안내!$C$9,안내!$C$10)+7*INT((AD94-1)/4)+CHOOSE(MOD(AD94-1,4)+1,0,2,4,5))</f>
        <v>46621</v>
      </c>
      <c r="V94" s="23" t="str">
        <f aca="false">CHOOSE(WEEKDAY(U94,2),"월","화","수","목","금","토","일")</f>
        <v>일</v>
      </c>
      <c r="W94" s="24" t="str">
        <f aca="false">IFERROR(IF(INDEX($C$2:$C$799,MATCH(D94&amp;"#"&amp;(E94+1),$AC$2:$AC$799,0))=C94,"다음 편: ","시즌1 완결 · 시즌2 첫 편: ")&amp;INDEX($L$2:$L$799,MATCH(D94&amp;"#"&amp;(E94+1),$AC$2:$AC$799,0)),"구약 트랙 완결")</f>
        <v>다음 편: 사흘간의 흑암</v>
      </c>
      <c r="X94" s="23" t="s">
        <v>130</v>
      </c>
      <c r="Y94" s="23" t="s">
        <v>130</v>
      </c>
      <c r="Z94" s="23" t="s">
        <v>130</v>
      </c>
      <c r="AA94" s="23" t="s">
        <v>130</v>
      </c>
      <c r="AB94" s="24"/>
      <c r="AC94" s="23" t="str">
        <f aca="false">D94&amp;"#"&amp;E94</f>
        <v>구약#224</v>
      </c>
      <c r="AD94" s="23" t="n">
        <f aca="false">COUNTIFS($C$2:C94,C94,$D$2:D94,D94)</f>
        <v>42</v>
      </c>
    </row>
    <row r="95" customFormat="false" ht="26.85" hidden="false" customHeight="false" outlineLevel="0" collapsed="false">
      <c r="A95" s="21" t="n">
        <v>94</v>
      </c>
      <c r="B95" s="18" t="s">
        <v>948</v>
      </c>
      <c r="C95" s="23" t="n">
        <v>2</v>
      </c>
      <c r="D95" s="23" t="s">
        <v>116</v>
      </c>
      <c r="E95" s="23" t="n">
        <f aca="false">IF(C95=1,COUNTIFS($C$2:C95,1,$D$2:D95,D95),COUNTIFS($C$2:$C$799,1,$D$2:$D$799,D95)+COUNTIFS($C$2:C95,2,$D$2:D95,D95))</f>
        <v>225</v>
      </c>
      <c r="F95" s="23" t="str">
        <f aca="false">D95&amp;" #"&amp;TEXT(E95,"000")</f>
        <v>구약 #225</v>
      </c>
      <c r="G95" s="18" t="s">
        <v>891</v>
      </c>
      <c r="H95" s="18" t="s">
        <v>863</v>
      </c>
      <c r="I95" s="21" t="s">
        <v>819</v>
      </c>
      <c r="J95" s="22" t="s">
        <v>949</v>
      </c>
      <c r="K95" s="23" t="s">
        <v>121</v>
      </c>
      <c r="L95" s="24" t="s">
        <v>950</v>
      </c>
      <c r="M95" s="24" t="s">
        <v>951</v>
      </c>
      <c r="N95" s="23" t="s">
        <v>952</v>
      </c>
      <c r="O95" s="24" t="s">
        <v>953</v>
      </c>
      <c r="P95" s="24" t="s">
        <v>915</v>
      </c>
      <c r="Q95" s="24" t="s">
        <v>954</v>
      </c>
      <c r="R95" s="24"/>
      <c r="S95" s="24" t="s">
        <v>925</v>
      </c>
      <c r="T95" s="24" t="str">
        <f aca="false">"["&amp;안내!$C$5&amp;" "&amp;F95&amp;"] "&amp;L95&amp;" | "&amp;J95</f>
        <v>[1분 성경 구약 #225] 사흘간의 흑암 | 출 10:21-29</v>
      </c>
      <c r="U95" s="26" t="n">
        <f aca="false">IF(D95="구약",IF(C95=1,안내!$C$9,안내!$C$10)+AD95-1,IF(C95=1,안내!$C$9,안내!$C$10)+7*INT((AD95-1)/4)+CHOOSE(MOD(AD95-1,4)+1,0,2,4,5))</f>
        <v>46622</v>
      </c>
      <c r="V95" s="23" t="str">
        <f aca="false">CHOOSE(WEEKDAY(U95,2),"월","화","수","목","금","토","일")</f>
        <v>월</v>
      </c>
      <c r="W95" s="24" t="str">
        <f aca="false">IFERROR(IF(INDEX($C$2:$C$799,MATCH(D95&amp;"#"&amp;(E95+1),$AC$2:$AC$799,0))=C95,"다음 편: ","시즌1 완결 · 시즌2 첫 편: ")&amp;INDEX($L$2:$L$799,MATCH(D95&amp;"#"&amp;(E95+1),$AC$2:$AC$799,0)),"구약 트랙 완결")</f>
        <v>다음 편: 구름 기둥과 불 기둥</v>
      </c>
      <c r="X95" s="23" t="s">
        <v>130</v>
      </c>
      <c r="Y95" s="23" t="s">
        <v>130</v>
      </c>
      <c r="Z95" s="23" t="s">
        <v>130</v>
      </c>
      <c r="AA95" s="23" t="s">
        <v>130</v>
      </c>
      <c r="AB95" s="24"/>
      <c r="AC95" s="23" t="str">
        <f aca="false">D95&amp;"#"&amp;E95</f>
        <v>구약#225</v>
      </c>
      <c r="AD95" s="23" t="n">
        <f aca="false">COUNTIFS($C$2:C95,C95,$D$2:D95,D95)</f>
        <v>43</v>
      </c>
    </row>
    <row r="96" customFormat="false" ht="52.2" hidden="false" customHeight="false" outlineLevel="0" collapsed="false">
      <c r="A96" s="21" t="n">
        <v>95</v>
      </c>
      <c r="B96" s="18" t="s">
        <v>955</v>
      </c>
      <c r="C96" s="20" t="n">
        <v>1</v>
      </c>
      <c r="D96" s="20" t="s">
        <v>116</v>
      </c>
      <c r="E96" s="20" t="n">
        <f aca="false">IF(C96=1,COUNTIFS($C$2:C96,1,$D$2:D96,D96),COUNTIFS($C$2:$C$799,1,$D$2:$D$799,D96)+COUNTIFS($C$2:C96,2,$D$2:D96,D96))</f>
        <v>52</v>
      </c>
      <c r="F96" s="20" t="str">
        <f aca="false">D96&amp;" #"&amp;TEXT(E96,"000")</f>
        <v>구약 #052</v>
      </c>
      <c r="G96" s="18" t="s">
        <v>891</v>
      </c>
      <c r="H96" s="18" t="s">
        <v>892</v>
      </c>
      <c r="I96" s="21" t="s">
        <v>819</v>
      </c>
      <c r="J96" s="22" t="s">
        <v>956</v>
      </c>
      <c r="K96" s="23" t="s">
        <v>121</v>
      </c>
      <c r="L96" s="24" t="s">
        <v>957</v>
      </c>
      <c r="M96" s="24" t="s">
        <v>958</v>
      </c>
      <c r="N96" s="23" t="s">
        <v>959</v>
      </c>
      <c r="O96" s="24" t="s">
        <v>960</v>
      </c>
      <c r="P96" s="24" t="s">
        <v>961</v>
      </c>
      <c r="Q96" s="24" t="s">
        <v>962</v>
      </c>
      <c r="R96" s="25" t="s">
        <v>963</v>
      </c>
      <c r="S96" s="28" t="s">
        <v>964</v>
      </c>
      <c r="T96" s="24" t="str">
        <f aca="false">"["&amp;안내!$C$5&amp;" "&amp;F96&amp;"] "&amp;L96&amp;" | "&amp;J96</f>
        <v>[1분 성경 구약 #052] 문설주의 피 | 출 11:1-12:28</v>
      </c>
      <c r="U96" s="26" t="n">
        <f aca="false">IF(D96="구약",IF(C96=1,안내!$C$9,안내!$C$10)+AD96-1,IF(C96=1,안내!$C$9,안내!$C$10)+7*INT((AD96-1)/4)+CHOOSE(MOD(AD96-1,4)+1,0,2,4,5))</f>
        <v>46442</v>
      </c>
      <c r="V96" s="23" t="str">
        <f aca="false">CHOOSE(WEEKDAY(U96,2),"월","화","수","목","금","토","일")</f>
        <v>수</v>
      </c>
      <c r="W96" s="24" t="str">
        <f aca="false">IFERROR(IF(INDEX($C$2:$C$799,MATCH(D96&amp;"#"&amp;(E96+1),$AC$2:$AC$799,0))=C96,"다음 편: ","시즌1 완결 · 시즌2 첫 편: ")&amp;INDEX($L$2:$L$799,MATCH(D96&amp;"#"&amp;(E96+1),$AC$2:$AC$799,0)),"구약 트랙 완결")</f>
        <v>다음 편: 430년 만의 해방</v>
      </c>
      <c r="X96" s="23" t="s">
        <v>130</v>
      </c>
      <c r="Y96" s="23" t="s">
        <v>130</v>
      </c>
      <c r="Z96" s="23" t="s">
        <v>130</v>
      </c>
      <c r="AA96" s="23" t="s">
        <v>130</v>
      </c>
      <c r="AB96" s="24"/>
      <c r="AC96" s="23" t="str">
        <f aca="false">D96&amp;"#"&amp;E96</f>
        <v>구약#52</v>
      </c>
      <c r="AD96" s="23" t="n">
        <f aca="false">COUNTIFS($C$2:C96,C96,$D$2:D96,D96)</f>
        <v>52</v>
      </c>
    </row>
    <row r="97" customFormat="false" ht="26.85" hidden="false" customHeight="false" outlineLevel="0" collapsed="false">
      <c r="A97" s="21" t="n">
        <v>96</v>
      </c>
      <c r="B97" s="18" t="s">
        <v>965</v>
      </c>
      <c r="C97" s="20" t="n">
        <v>1</v>
      </c>
      <c r="D97" s="20" t="s">
        <v>116</v>
      </c>
      <c r="E97" s="20" t="n">
        <f aca="false">IF(C97=1,COUNTIFS($C$2:C97,1,$D$2:D97,D97),COUNTIFS($C$2:$C$799,1,$D$2:$D$799,D97)+COUNTIFS($C$2:C97,2,$D$2:D97,D97))</f>
        <v>53</v>
      </c>
      <c r="F97" s="20" t="str">
        <f aca="false">D97&amp;" #"&amp;TEXT(E97,"000")</f>
        <v>구약 #053</v>
      </c>
      <c r="G97" s="18" t="s">
        <v>891</v>
      </c>
      <c r="H97" s="18" t="s">
        <v>892</v>
      </c>
      <c r="I97" s="21" t="s">
        <v>819</v>
      </c>
      <c r="J97" s="22" t="s">
        <v>966</v>
      </c>
      <c r="K97" s="23" t="s">
        <v>121</v>
      </c>
      <c r="L97" s="29" t="s">
        <v>967</v>
      </c>
      <c r="M97" s="24" t="s">
        <v>968</v>
      </c>
      <c r="N97" s="23" t="s">
        <v>969</v>
      </c>
      <c r="O97" s="24" t="s">
        <v>970</v>
      </c>
      <c r="P97" s="24" t="s">
        <v>971</v>
      </c>
      <c r="Q97" s="24" t="s">
        <v>972</v>
      </c>
      <c r="R97" s="25" t="s">
        <v>973</v>
      </c>
      <c r="S97" s="24" t="s">
        <v>129</v>
      </c>
      <c r="T97" s="24" t="str">
        <f aca="false">"["&amp;안내!$C$5&amp;" "&amp;F97&amp;"] "&amp;L97&amp;" | "&amp;J97</f>
        <v>[1분 성경 구약 #053] 430년 만의 해방 | 출 12:29-51</v>
      </c>
      <c r="U97" s="26" t="n">
        <f aca="false">IF(D97="구약",IF(C97=1,안내!$C$9,안내!$C$10)+AD97-1,IF(C97=1,안내!$C$9,안내!$C$10)+7*INT((AD97-1)/4)+CHOOSE(MOD(AD97-1,4)+1,0,2,4,5))</f>
        <v>46443</v>
      </c>
      <c r="V97" s="23" t="str">
        <f aca="false">CHOOSE(WEEKDAY(U97,2),"월","화","수","목","금","토","일")</f>
        <v>목</v>
      </c>
      <c r="W97" s="24" t="str">
        <f aca="false">IFERROR(IF(INDEX($C$2:$C$799,MATCH(D97&amp;"#"&amp;(E97+1),$AC$2:$AC$799,0))=C97,"다음 편: ","시즌1 완결 · 시즌2 첫 편: ")&amp;INDEX($L$2:$L$799,MATCH(D97&amp;"#"&amp;(E97+1),$AC$2:$AC$799,0)),"구약 트랙 완결")</f>
        <v>다음 편: 앞은 바다, 뒤는 군대</v>
      </c>
      <c r="X97" s="23" t="s">
        <v>130</v>
      </c>
      <c r="Y97" s="23" t="s">
        <v>130</v>
      </c>
      <c r="Z97" s="23" t="s">
        <v>130</v>
      </c>
      <c r="AA97" s="23" t="s">
        <v>130</v>
      </c>
      <c r="AB97" s="24"/>
      <c r="AC97" s="23" t="str">
        <f aca="false">D97&amp;"#"&amp;E97</f>
        <v>구약#53</v>
      </c>
      <c r="AD97" s="23" t="n">
        <f aca="false">COUNTIFS($C$2:C97,C97,$D$2:D97,D97)</f>
        <v>53</v>
      </c>
    </row>
    <row r="98" customFormat="false" ht="26.85" hidden="false" customHeight="false" outlineLevel="0" collapsed="false">
      <c r="A98" s="21" t="n">
        <v>97</v>
      </c>
      <c r="B98" s="18" t="s">
        <v>974</v>
      </c>
      <c r="C98" s="23" t="n">
        <v>2</v>
      </c>
      <c r="D98" s="23" t="s">
        <v>116</v>
      </c>
      <c r="E98" s="23" t="n">
        <f aca="false">IF(C98=1,COUNTIFS($C$2:C98,1,$D$2:D98,D98),COUNTIFS($C$2:$C$799,1,$D$2:$D$799,D98)+COUNTIFS($C$2:C98,2,$D$2:D98,D98))</f>
        <v>226</v>
      </c>
      <c r="F98" s="23" t="str">
        <f aca="false">D98&amp;" #"&amp;TEXT(E98,"000")</f>
        <v>구약 #226</v>
      </c>
      <c r="G98" s="18" t="s">
        <v>891</v>
      </c>
      <c r="H98" s="18" t="s">
        <v>863</v>
      </c>
      <c r="I98" s="21" t="s">
        <v>819</v>
      </c>
      <c r="J98" s="22" t="s">
        <v>975</v>
      </c>
      <c r="K98" s="23" t="s">
        <v>121</v>
      </c>
      <c r="L98" s="24" t="s">
        <v>976</v>
      </c>
      <c r="M98" s="24" t="s">
        <v>977</v>
      </c>
      <c r="N98" s="23" t="s">
        <v>978</v>
      </c>
      <c r="O98" s="24" t="s">
        <v>979</v>
      </c>
      <c r="P98" s="24" t="s">
        <v>980</v>
      </c>
      <c r="Q98" s="24" t="s">
        <v>981</v>
      </c>
      <c r="R98" s="25" t="s">
        <v>982</v>
      </c>
      <c r="S98" s="24" t="s">
        <v>983</v>
      </c>
      <c r="T98" s="24" t="str">
        <f aca="false">"["&amp;안내!$C$5&amp;" "&amp;F98&amp;"] "&amp;L98&amp;" | "&amp;J98</f>
        <v>[1분 성경 구약 #226] 구름 기둥과 불 기둥 | 출 13:1-22</v>
      </c>
      <c r="U98" s="26" t="n">
        <f aca="false">IF(D98="구약",IF(C98=1,안내!$C$9,안내!$C$10)+AD98-1,IF(C98=1,안내!$C$9,안내!$C$10)+7*INT((AD98-1)/4)+CHOOSE(MOD(AD98-1,4)+1,0,2,4,5))</f>
        <v>46623</v>
      </c>
      <c r="V98" s="23" t="str">
        <f aca="false">CHOOSE(WEEKDAY(U98,2),"월","화","수","목","금","토","일")</f>
        <v>화</v>
      </c>
      <c r="W98" s="24" t="str">
        <f aca="false">IFERROR(IF(INDEX($C$2:$C$799,MATCH(D98&amp;"#"&amp;(E98+1),$AC$2:$AC$799,0))=C98,"다음 편: ","시즌1 완결 · 시즌2 첫 편: ")&amp;INDEX($L$2:$L$799,MATCH(D98&amp;"#"&amp;(E98+1),$AC$2:$AC$799,0)),"구약 트랙 완결")</f>
        <v>다음 편: 쓴 물이 단물로</v>
      </c>
      <c r="X98" s="23" t="s">
        <v>130</v>
      </c>
      <c r="Y98" s="23" t="s">
        <v>130</v>
      </c>
      <c r="Z98" s="23" t="s">
        <v>130</v>
      </c>
      <c r="AA98" s="23" t="s">
        <v>130</v>
      </c>
      <c r="AB98" s="24"/>
      <c r="AC98" s="23" t="str">
        <f aca="false">D98&amp;"#"&amp;E98</f>
        <v>구약#226</v>
      </c>
      <c r="AD98" s="23" t="n">
        <f aca="false">COUNTIFS($C$2:C98,C98,$D$2:D98,D98)</f>
        <v>44</v>
      </c>
    </row>
    <row r="99" customFormat="false" ht="26.85" hidden="false" customHeight="false" outlineLevel="0" collapsed="false">
      <c r="A99" s="21" t="n">
        <v>98</v>
      </c>
      <c r="B99" s="18" t="s">
        <v>984</v>
      </c>
      <c r="C99" s="20" t="n">
        <v>1</v>
      </c>
      <c r="D99" s="20" t="s">
        <v>116</v>
      </c>
      <c r="E99" s="20" t="n">
        <f aca="false">IF(C99=1,COUNTIFS($C$2:C99,1,$D$2:D99,D99),COUNTIFS($C$2:$C$799,1,$D$2:$D$799,D99)+COUNTIFS($C$2:C99,2,$D$2:D99,D99))</f>
        <v>54</v>
      </c>
      <c r="F99" s="20" t="str">
        <f aca="false">D99&amp;" #"&amp;TEXT(E99,"000")</f>
        <v>구약 #054</v>
      </c>
      <c r="G99" s="18" t="s">
        <v>985</v>
      </c>
      <c r="H99" s="18" t="s">
        <v>892</v>
      </c>
      <c r="I99" s="21" t="s">
        <v>819</v>
      </c>
      <c r="J99" s="22" t="s">
        <v>986</v>
      </c>
      <c r="K99" s="23" t="s">
        <v>121</v>
      </c>
      <c r="L99" s="24" t="s">
        <v>987</v>
      </c>
      <c r="M99" s="24" t="s">
        <v>988</v>
      </c>
      <c r="N99" s="23" t="s">
        <v>989</v>
      </c>
      <c r="O99" s="24" t="s">
        <v>990</v>
      </c>
      <c r="P99" s="24" t="s">
        <v>991</v>
      </c>
      <c r="Q99" s="24" t="s">
        <v>992</v>
      </c>
      <c r="R99" s="24"/>
      <c r="S99" s="28" t="s">
        <v>993</v>
      </c>
      <c r="T99" s="24" t="str">
        <f aca="false">"["&amp;안내!$C$5&amp;" "&amp;F99&amp;"] "&amp;L99&amp;" | "&amp;J99</f>
        <v>[1분 성경 구약 #054] 앞은 바다, 뒤는 군대 | 출 14:1-14</v>
      </c>
      <c r="U99" s="26" t="n">
        <f aca="false">IF(D99="구약",IF(C99=1,안내!$C$9,안내!$C$10)+AD99-1,IF(C99=1,안내!$C$9,안내!$C$10)+7*INT((AD99-1)/4)+CHOOSE(MOD(AD99-1,4)+1,0,2,4,5))</f>
        <v>46444</v>
      </c>
      <c r="V99" s="23" t="str">
        <f aca="false">CHOOSE(WEEKDAY(U99,2),"월","화","수","목","금","토","일")</f>
        <v>금</v>
      </c>
      <c r="W99" s="24" t="str">
        <f aca="false">IFERROR(IF(INDEX($C$2:$C$799,MATCH(D99&amp;"#"&amp;(E99+1),$AC$2:$AC$799,0))=C99,"다음 편: ","시즌1 완결 · 시즌2 첫 편: ")&amp;INDEX($L$2:$L$799,MATCH(D99&amp;"#"&amp;(E99+1),$AC$2:$AC$799,0)),"구약 트랙 완결")</f>
        <v>다음 편: 바다가 갈라지다</v>
      </c>
      <c r="X99" s="23" t="s">
        <v>130</v>
      </c>
      <c r="Y99" s="23" t="s">
        <v>130</v>
      </c>
      <c r="Z99" s="23" t="s">
        <v>130</v>
      </c>
      <c r="AA99" s="23" t="s">
        <v>130</v>
      </c>
      <c r="AB99" s="24"/>
      <c r="AC99" s="23" t="str">
        <f aca="false">D99&amp;"#"&amp;E99</f>
        <v>구약#54</v>
      </c>
      <c r="AD99" s="23" t="n">
        <f aca="false">COUNTIFS($C$2:C99,C99,$D$2:D99,D99)</f>
        <v>54</v>
      </c>
    </row>
    <row r="100" customFormat="false" ht="26.85" hidden="false" customHeight="false" outlineLevel="0" collapsed="false">
      <c r="A100" s="21" t="n">
        <v>99</v>
      </c>
      <c r="B100" s="18" t="s">
        <v>994</v>
      </c>
      <c r="C100" s="20" t="n">
        <v>1</v>
      </c>
      <c r="D100" s="20" t="s">
        <v>116</v>
      </c>
      <c r="E100" s="20" t="n">
        <f aca="false">IF(C100=1,COUNTIFS($C$2:C100,1,$D$2:D100,D100),COUNTIFS($C$2:$C$799,1,$D$2:$D$799,D100)+COUNTIFS($C$2:C100,2,$D$2:D100,D100))</f>
        <v>55</v>
      </c>
      <c r="F100" s="20" t="str">
        <f aca="false">D100&amp;" #"&amp;TEXT(E100,"000")</f>
        <v>구약 #055</v>
      </c>
      <c r="G100" s="18" t="s">
        <v>985</v>
      </c>
      <c r="H100" s="18" t="s">
        <v>892</v>
      </c>
      <c r="I100" s="21" t="s">
        <v>819</v>
      </c>
      <c r="J100" s="22" t="s">
        <v>995</v>
      </c>
      <c r="K100" s="23" t="s">
        <v>121</v>
      </c>
      <c r="L100" s="24" t="s">
        <v>996</v>
      </c>
      <c r="M100" s="24" t="s">
        <v>997</v>
      </c>
      <c r="N100" s="23" t="s">
        <v>998</v>
      </c>
      <c r="O100" s="24" t="s">
        <v>999</v>
      </c>
      <c r="P100" s="24" t="s">
        <v>1000</v>
      </c>
      <c r="Q100" s="24" t="s">
        <v>1001</v>
      </c>
      <c r="R100" s="25" t="s">
        <v>1002</v>
      </c>
      <c r="S100" s="24" t="s">
        <v>129</v>
      </c>
      <c r="T100" s="24" t="str">
        <f aca="false">"["&amp;안내!$C$5&amp;" "&amp;F100&amp;"] "&amp;L100&amp;" | "&amp;J100</f>
        <v>[1분 성경 구약 #055] 바다가 갈라지다 | 출 14:15-31</v>
      </c>
      <c r="U100" s="26" t="n">
        <f aca="false">IF(D100="구약",IF(C100=1,안내!$C$9,안내!$C$10)+AD100-1,IF(C100=1,안내!$C$9,안내!$C$10)+7*INT((AD100-1)/4)+CHOOSE(MOD(AD100-1,4)+1,0,2,4,5))</f>
        <v>46445</v>
      </c>
      <c r="V100" s="23" t="str">
        <f aca="false">CHOOSE(WEEKDAY(U100,2),"월","화","수","목","금","토","일")</f>
        <v>토</v>
      </c>
      <c r="W100" s="24" t="str">
        <f aca="false">IFERROR(IF(INDEX($C$2:$C$799,MATCH(D100&amp;"#"&amp;(E100+1),$AC$2:$AC$799,0))=C100,"다음 편: ","시즌1 완결 · 시즌2 첫 편: ")&amp;INDEX($L$2:$L$799,MATCH(D100&amp;"#"&amp;(E100+1),$AC$2:$AC$799,0)),"구약 트랙 완결")</f>
        <v>다음 편: 구원의 노래</v>
      </c>
      <c r="X100" s="23" t="s">
        <v>130</v>
      </c>
      <c r="Y100" s="23" t="s">
        <v>130</v>
      </c>
      <c r="Z100" s="23" t="s">
        <v>130</v>
      </c>
      <c r="AA100" s="23" t="s">
        <v>130</v>
      </c>
      <c r="AB100" s="24"/>
      <c r="AC100" s="23" t="str">
        <f aca="false">D100&amp;"#"&amp;E100</f>
        <v>구약#55</v>
      </c>
      <c r="AD100" s="23" t="n">
        <f aca="false">COUNTIFS($C$2:C100,C100,$D$2:D100,D100)</f>
        <v>55</v>
      </c>
    </row>
    <row r="101" customFormat="false" ht="26.85" hidden="false" customHeight="false" outlineLevel="0" collapsed="false">
      <c r="A101" s="21" t="n">
        <v>100</v>
      </c>
      <c r="B101" s="18" t="s">
        <v>1003</v>
      </c>
      <c r="C101" s="20" t="n">
        <v>1</v>
      </c>
      <c r="D101" s="20" t="s">
        <v>116</v>
      </c>
      <c r="E101" s="20" t="n">
        <f aca="false">IF(C101=1,COUNTIFS($C$2:C101,1,$D$2:D101,D101),COUNTIFS($C$2:$C$799,1,$D$2:$D$799,D101)+COUNTIFS($C$2:C101,2,$D$2:D101,D101))</f>
        <v>56</v>
      </c>
      <c r="F101" s="20" t="str">
        <f aca="false">D101&amp;" #"&amp;TEXT(E101,"000")</f>
        <v>구약 #056</v>
      </c>
      <c r="G101" s="18" t="s">
        <v>985</v>
      </c>
      <c r="H101" s="18" t="s">
        <v>892</v>
      </c>
      <c r="I101" s="21" t="s">
        <v>819</v>
      </c>
      <c r="J101" s="22" t="s">
        <v>1004</v>
      </c>
      <c r="K101" s="23" t="s">
        <v>121</v>
      </c>
      <c r="L101" s="24" t="s">
        <v>1005</v>
      </c>
      <c r="M101" s="24" t="s">
        <v>1006</v>
      </c>
      <c r="N101" s="23" t="s">
        <v>1007</v>
      </c>
      <c r="O101" s="24" t="s">
        <v>1008</v>
      </c>
      <c r="P101" s="24" t="s">
        <v>1009</v>
      </c>
      <c r="Q101" s="24" t="s">
        <v>1010</v>
      </c>
      <c r="R101" s="24"/>
      <c r="S101" s="24" t="s">
        <v>129</v>
      </c>
      <c r="T101" s="24" t="str">
        <f aca="false">"["&amp;안내!$C$5&amp;" "&amp;F101&amp;"] "&amp;L101&amp;" | "&amp;J101</f>
        <v>[1분 성경 구약 #056] 구원의 노래 | 출 15:1-21</v>
      </c>
      <c r="U101" s="26" t="n">
        <f aca="false">IF(D101="구약",IF(C101=1,안내!$C$9,안내!$C$10)+AD101-1,IF(C101=1,안내!$C$9,안내!$C$10)+7*INT((AD101-1)/4)+CHOOSE(MOD(AD101-1,4)+1,0,2,4,5))</f>
        <v>46446</v>
      </c>
      <c r="V101" s="23" t="str">
        <f aca="false">CHOOSE(WEEKDAY(U101,2),"월","화","수","목","금","토","일")</f>
        <v>일</v>
      </c>
      <c r="W101" s="24" t="str">
        <f aca="false">IFERROR(IF(INDEX($C$2:$C$799,MATCH(D101&amp;"#"&amp;(E101+1),$AC$2:$AC$799,0))=C101,"다음 편: ","시즌1 완결 · 시즌2 첫 편: ")&amp;INDEX($L$2:$L$799,MATCH(D101&amp;"#"&amp;(E101+1),$AC$2:$AC$799,0)),"구약 트랙 완결")</f>
        <v>다음 편: 하늘에서 내린 빵</v>
      </c>
      <c r="X101" s="23" t="s">
        <v>130</v>
      </c>
      <c r="Y101" s="23" t="s">
        <v>130</v>
      </c>
      <c r="Z101" s="23" t="s">
        <v>130</v>
      </c>
      <c r="AA101" s="23" t="s">
        <v>130</v>
      </c>
      <c r="AB101" s="24"/>
      <c r="AC101" s="23" t="str">
        <f aca="false">D101&amp;"#"&amp;E101</f>
        <v>구약#56</v>
      </c>
      <c r="AD101" s="23" t="n">
        <f aca="false">COUNTIFS($C$2:C101,C101,$D$2:D101,D101)</f>
        <v>56</v>
      </c>
    </row>
    <row r="102" customFormat="false" ht="26.85" hidden="false" customHeight="false" outlineLevel="0" collapsed="false">
      <c r="A102" s="21" t="n">
        <v>101</v>
      </c>
      <c r="B102" s="18" t="s">
        <v>1011</v>
      </c>
      <c r="C102" s="23" t="n">
        <v>2</v>
      </c>
      <c r="D102" s="23" t="s">
        <v>116</v>
      </c>
      <c r="E102" s="23" t="n">
        <f aca="false">IF(C102=1,COUNTIFS($C$2:C102,1,$D$2:D102,D102),COUNTIFS($C$2:$C$799,1,$D$2:$D$799,D102)+COUNTIFS($C$2:C102,2,$D$2:D102,D102))</f>
        <v>227</v>
      </c>
      <c r="F102" s="23" t="str">
        <f aca="false">D102&amp;" #"&amp;TEXT(E102,"000")</f>
        <v>구약 #227</v>
      </c>
      <c r="G102" s="18" t="s">
        <v>985</v>
      </c>
      <c r="H102" s="18" t="s">
        <v>1012</v>
      </c>
      <c r="I102" s="21" t="s">
        <v>819</v>
      </c>
      <c r="J102" s="22" t="s">
        <v>1013</v>
      </c>
      <c r="K102" s="23" t="s">
        <v>121</v>
      </c>
      <c r="L102" s="24" t="s">
        <v>1014</v>
      </c>
      <c r="M102" s="24" t="s">
        <v>1015</v>
      </c>
      <c r="N102" s="23" t="s">
        <v>1016</v>
      </c>
      <c r="O102" s="24" t="s">
        <v>1017</v>
      </c>
      <c r="P102" s="24" t="s">
        <v>980</v>
      </c>
      <c r="Q102" s="24" t="s">
        <v>1018</v>
      </c>
      <c r="R102" s="24"/>
      <c r="S102" s="24" t="s">
        <v>1019</v>
      </c>
      <c r="T102" s="24" t="str">
        <f aca="false">"["&amp;안내!$C$5&amp;" "&amp;F102&amp;"] "&amp;L102&amp;" | "&amp;J102</f>
        <v>[1분 성경 구약 #227] 쓴 물이 단물로 | 출 15:22-27</v>
      </c>
      <c r="U102" s="26" t="n">
        <f aca="false">IF(D102="구약",IF(C102=1,안내!$C$9,안내!$C$10)+AD102-1,IF(C102=1,안내!$C$9,안내!$C$10)+7*INT((AD102-1)/4)+CHOOSE(MOD(AD102-1,4)+1,0,2,4,5))</f>
        <v>46624</v>
      </c>
      <c r="V102" s="23" t="str">
        <f aca="false">CHOOSE(WEEKDAY(U102,2),"월","화","수","목","금","토","일")</f>
        <v>수</v>
      </c>
      <c r="W102" s="24" t="str">
        <f aca="false">IFERROR(IF(INDEX($C$2:$C$799,MATCH(D102&amp;"#"&amp;(E102+1),$AC$2:$AC$799,0))=C102,"다음 편: ","시즌1 완결 · 시즌2 첫 편: ")&amp;INDEX($L$2:$L$799,MATCH(D102&amp;"#"&amp;(E102+1),$AC$2:$AC$799,0)),"구약 트랙 완결")</f>
        <v>다음 편: 혼자 다 하려다 지친 리더</v>
      </c>
      <c r="X102" s="23" t="s">
        <v>130</v>
      </c>
      <c r="Y102" s="23" t="s">
        <v>130</v>
      </c>
      <c r="Z102" s="23" t="s">
        <v>130</v>
      </c>
      <c r="AA102" s="23" t="s">
        <v>130</v>
      </c>
      <c r="AB102" s="24"/>
      <c r="AC102" s="23" t="str">
        <f aca="false">D102&amp;"#"&amp;E102</f>
        <v>구약#227</v>
      </c>
      <c r="AD102" s="23" t="n">
        <f aca="false">COUNTIFS($C$2:C102,C102,$D$2:D102,D102)</f>
        <v>45</v>
      </c>
    </row>
    <row r="103" customFormat="false" ht="26.85" hidden="false" customHeight="false" outlineLevel="0" collapsed="false">
      <c r="A103" s="21" t="n">
        <v>102</v>
      </c>
      <c r="B103" s="18" t="s">
        <v>1020</v>
      </c>
      <c r="C103" s="20" t="n">
        <v>1</v>
      </c>
      <c r="D103" s="20" t="s">
        <v>116</v>
      </c>
      <c r="E103" s="20" t="n">
        <f aca="false">IF(C103=1,COUNTIFS($C$2:C103,1,$D$2:D103,D103),COUNTIFS($C$2:$C$799,1,$D$2:$D$799,D103)+COUNTIFS($C$2:C103,2,$D$2:D103,D103))</f>
        <v>57</v>
      </c>
      <c r="F103" s="20" t="str">
        <f aca="false">D103&amp;" #"&amp;TEXT(E103,"000")</f>
        <v>구약 #057</v>
      </c>
      <c r="G103" s="18" t="s">
        <v>985</v>
      </c>
      <c r="H103" s="18" t="s">
        <v>892</v>
      </c>
      <c r="I103" s="21" t="s">
        <v>819</v>
      </c>
      <c r="J103" s="22" t="s">
        <v>1021</v>
      </c>
      <c r="K103" s="23" t="s">
        <v>121</v>
      </c>
      <c r="L103" s="24" t="s">
        <v>1022</v>
      </c>
      <c r="M103" s="24" t="s">
        <v>1023</v>
      </c>
      <c r="N103" s="23" t="s">
        <v>1024</v>
      </c>
      <c r="O103" s="24" t="s">
        <v>1025</v>
      </c>
      <c r="P103" s="24" t="s">
        <v>1026</v>
      </c>
      <c r="Q103" s="24" t="s">
        <v>1027</v>
      </c>
      <c r="R103" s="25" t="s">
        <v>1028</v>
      </c>
      <c r="S103" s="28" t="s">
        <v>1029</v>
      </c>
      <c r="T103" s="24" t="str">
        <f aca="false">"["&amp;안내!$C$5&amp;" "&amp;F103&amp;"] "&amp;L103&amp;" | "&amp;J103</f>
        <v>[1분 성경 구약 #057] 하늘에서 내린 빵 | 출 16:1-36</v>
      </c>
      <c r="U103" s="26" t="n">
        <f aca="false">IF(D103="구약",IF(C103=1,안내!$C$9,안내!$C$10)+AD103-1,IF(C103=1,안내!$C$9,안내!$C$10)+7*INT((AD103-1)/4)+CHOOSE(MOD(AD103-1,4)+1,0,2,4,5))</f>
        <v>46447</v>
      </c>
      <c r="V103" s="23" t="str">
        <f aca="false">CHOOSE(WEEKDAY(U103,2),"월","화","수","목","금","토","일")</f>
        <v>월</v>
      </c>
      <c r="W103" s="24" t="str">
        <f aca="false">IFERROR(IF(INDEX($C$2:$C$799,MATCH(D103&amp;"#"&amp;(E103+1),$AC$2:$AC$799,0))=C103,"다음 편: ","시즌1 완결 · 시즌2 첫 편: ")&amp;INDEX($L$2:$L$799,MATCH(D103&amp;"#"&amp;(E103+1),$AC$2:$AC$799,0)),"구약 트랙 완결")</f>
        <v>다음 편: 반석에서 물이</v>
      </c>
      <c r="X103" s="23" t="s">
        <v>130</v>
      </c>
      <c r="Y103" s="23" t="s">
        <v>130</v>
      </c>
      <c r="Z103" s="23" t="s">
        <v>130</v>
      </c>
      <c r="AA103" s="23" t="s">
        <v>130</v>
      </c>
      <c r="AB103" s="24"/>
      <c r="AC103" s="23" t="str">
        <f aca="false">D103&amp;"#"&amp;E103</f>
        <v>구약#57</v>
      </c>
      <c r="AD103" s="23" t="n">
        <f aca="false">COUNTIFS($C$2:C103,C103,$D$2:D103,D103)</f>
        <v>57</v>
      </c>
    </row>
    <row r="104" customFormat="false" ht="26.85" hidden="false" customHeight="false" outlineLevel="0" collapsed="false">
      <c r="A104" s="21" t="n">
        <v>103</v>
      </c>
      <c r="B104" s="18" t="s">
        <v>1030</v>
      </c>
      <c r="C104" s="20" t="n">
        <v>1</v>
      </c>
      <c r="D104" s="20" t="s">
        <v>116</v>
      </c>
      <c r="E104" s="20" t="n">
        <f aca="false">IF(C104=1,COUNTIFS($C$2:C104,1,$D$2:D104,D104),COUNTIFS($C$2:$C$799,1,$D$2:$D$799,D104)+COUNTIFS($C$2:C104,2,$D$2:D104,D104))</f>
        <v>58</v>
      </c>
      <c r="F104" s="20" t="str">
        <f aca="false">D104&amp;" #"&amp;TEXT(E104,"000")</f>
        <v>구약 #058</v>
      </c>
      <c r="G104" s="18" t="s">
        <v>985</v>
      </c>
      <c r="H104" s="18" t="s">
        <v>892</v>
      </c>
      <c r="I104" s="21" t="s">
        <v>819</v>
      </c>
      <c r="J104" s="22" t="s">
        <v>1031</v>
      </c>
      <c r="K104" s="23" t="s">
        <v>121</v>
      </c>
      <c r="L104" s="24" t="s">
        <v>1032</v>
      </c>
      <c r="M104" s="24" t="s">
        <v>1033</v>
      </c>
      <c r="N104" s="23" t="s">
        <v>1034</v>
      </c>
      <c r="O104" s="24" t="s">
        <v>1035</v>
      </c>
      <c r="P104" s="24" t="s">
        <v>1036</v>
      </c>
      <c r="Q104" s="24" t="s">
        <v>1037</v>
      </c>
      <c r="R104" s="25" t="s">
        <v>1038</v>
      </c>
      <c r="S104" s="24" t="s">
        <v>129</v>
      </c>
      <c r="T104" s="24" t="str">
        <f aca="false">"["&amp;안내!$C$5&amp;" "&amp;F104&amp;"] "&amp;L104&amp;" | "&amp;J104</f>
        <v>[1분 성경 구약 #058] 반석에서 물이 | 출 17:1-7</v>
      </c>
      <c r="U104" s="26" t="n">
        <f aca="false">IF(D104="구약",IF(C104=1,안내!$C$9,안내!$C$10)+AD104-1,IF(C104=1,안내!$C$9,안내!$C$10)+7*INT((AD104-1)/4)+CHOOSE(MOD(AD104-1,4)+1,0,2,4,5))</f>
        <v>46448</v>
      </c>
      <c r="V104" s="23" t="str">
        <f aca="false">CHOOSE(WEEKDAY(U104,2),"월","화","수","목","금","토","일")</f>
        <v>화</v>
      </c>
      <c r="W104" s="24" t="str">
        <f aca="false">IFERROR(IF(INDEX($C$2:$C$799,MATCH(D104&amp;"#"&amp;(E104+1),$AC$2:$AC$799,0))=C104,"다음 편: ","시즌1 완결 · 시즌2 첫 편: ")&amp;INDEX($L$2:$L$799,MATCH(D104&amp;"#"&amp;(E104+1),$AC$2:$AC$799,0)),"구약 트랙 완결")</f>
        <v>다음 편: 모세의 손</v>
      </c>
      <c r="X104" s="23" t="s">
        <v>130</v>
      </c>
      <c r="Y104" s="23" t="s">
        <v>130</v>
      </c>
      <c r="Z104" s="23" t="s">
        <v>130</v>
      </c>
      <c r="AA104" s="23" t="s">
        <v>130</v>
      </c>
      <c r="AB104" s="24"/>
      <c r="AC104" s="23" t="str">
        <f aca="false">D104&amp;"#"&amp;E104</f>
        <v>구약#58</v>
      </c>
      <c r="AD104" s="23" t="n">
        <f aca="false">COUNTIFS($C$2:C104,C104,$D$2:D104,D104)</f>
        <v>58</v>
      </c>
    </row>
    <row r="105" customFormat="false" ht="26.85" hidden="false" customHeight="false" outlineLevel="0" collapsed="false">
      <c r="A105" s="21" t="n">
        <v>104</v>
      </c>
      <c r="B105" s="18" t="s">
        <v>1039</v>
      </c>
      <c r="C105" s="20" t="n">
        <v>1</v>
      </c>
      <c r="D105" s="20" t="s">
        <v>116</v>
      </c>
      <c r="E105" s="20" t="n">
        <f aca="false">IF(C105=1,COUNTIFS($C$2:C105,1,$D$2:D105,D105),COUNTIFS($C$2:$C$799,1,$D$2:$D$799,D105)+COUNTIFS($C$2:C105,2,$D$2:D105,D105))</f>
        <v>59</v>
      </c>
      <c r="F105" s="20" t="str">
        <f aca="false">D105&amp;" #"&amp;TEXT(E105,"000")</f>
        <v>구약 #059</v>
      </c>
      <c r="G105" s="18" t="s">
        <v>985</v>
      </c>
      <c r="H105" s="18" t="s">
        <v>892</v>
      </c>
      <c r="I105" s="21" t="s">
        <v>819</v>
      </c>
      <c r="J105" s="22" t="s">
        <v>1040</v>
      </c>
      <c r="K105" s="23" t="s">
        <v>121</v>
      </c>
      <c r="L105" s="24" t="s">
        <v>1041</v>
      </c>
      <c r="M105" s="24" t="s">
        <v>1042</v>
      </c>
      <c r="N105" s="23" t="s">
        <v>1043</v>
      </c>
      <c r="O105" s="24" t="s">
        <v>1044</v>
      </c>
      <c r="P105" s="24" t="s">
        <v>1045</v>
      </c>
      <c r="Q105" s="24" t="s">
        <v>1046</v>
      </c>
      <c r="R105" s="25" t="s">
        <v>1047</v>
      </c>
      <c r="S105" s="24" t="s">
        <v>129</v>
      </c>
      <c r="T105" s="24" t="str">
        <f aca="false">"["&amp;안내!$C$5&amp;" "&amp;F105&amp;"] "&amp;L105&amp;" | "&amp;J105</f>
        <v>[1분 성경 구약 #059] 모세의 손 | 출 17:8-16</v>
      </c>
      <c r="U105" s="26" t="n">
        <f aca="false">IF(D105="구약",IF(C105=1,안내!$C$9,안내!$C$10)+AD105-1,IF(C105=1,안내!$C$9,안내!$C$10)+7*INT((AD105-1)/4)+CHOOSE(MOD(AD105-1,4)+1,0,2,4,5))</f>
        <v>46449</v>
      </c>
      <c r="V105" s="23" t="str">
        <f aca="false">CHOOSE(WEEKDAY(U105,2),"월","화","수","목","금","토","일")</f>
        <v>수</v>
      </c>
      <c r="W105" s="24" t="str">
        <f aca="false">IFERROR(IF(INDEX($C$2:$C$799,MATCH(D105&amp;"#"&amp;(E105+1),$AC$2:$AC$799,0))=C105,"다음 편: ","시즌1 완결 · 시즌2 첫 편: ")&amp;INDEX($L$2:$L$799,MATCH(D105&amp;"#"&amp;(E105+1),$AC$2:$AC$799,0)),"구약 트랙 완결")</f>
        <v>다음 편: 불타는 시내산</v>
      </c>
      <c r="X105" s="23" t="s">
        <v>130</v>
      </c>
      <c r="Y105" s="23" t="s">
        <v>130</v>
      </c>
      <c r="Z105" s="23" t="s">
        <v>130</v>
      </c>
      <c r="AA105" s="23" t="s">
        <v>130</v>
      </c>
      <c r="AB105" s="24"/>
      <c r="AC105" s="23" t="str">
        <f aca="false">D105&amp;"#"&amp;E105</f>
        <v>구약#59</v>
      </c>
      <c r="AD105" s="23" t="n">
        <f aca="false">COUNTIFS($C$2:C105,C105,$D$2:D105,D105)</f>
        <v>59</v>
      </c>
    </row>
    <row r="106" customFormat="false" ht="26.85" hidden="false" customHeight="false" outlineLevel="0" collapsed="false">
      <c r="A106" s="21" t="n">
        <v>105</v>
      </c>
      <c r="B106" s="18" t="s">
        <v>1048</v>
      </c>
      <c r="C106" s="23" t="n">
        <v>2</v>
      </c>
      <c r="D106" s="23" t="s">
        <v>116</v>
      </c>
      <c r="E106" s="23" t="n">
        <f aca="false">IF(C106=1,COUNTIFS($C$2:C106,1,$D$2:D106,D106),COUNTIFS($C$2:$C$799,1,$D$2:$D$799,D106)+COUNTIFS($C$2:C106,2,$D$2:D106,D106))</f>
        <v>228</v>
      </c>
      <c r="F106" s="23" t="str">
        <f aca="false">D106&amp;" #"&amp;TEXT(E106,"000")</f>
        <v>구약 #228</v>
      </c>
      <c r="G106" s="18" t="s">
        <v>985</v>
      </c>
      <c r="H106" s="18" t="s">
        <v>1012</v>
      </c>
      <c r="I106" s="21" t="s">
        <v>819</v>
      </c>
      <c r="J106" s="22" t="s">
        <v>1049</v>
      </c>
      <c r="K106" s="23" t="s">
        <v>121</v>
      </c>
      <c r="L106" s="24" t="s">
        <v>1050</v>
      </c>
      <c r="M106" s="24" t="s">
        <v>1051</v>
      </c>
      <c r="N106" s="23" t="s">
        <v>1052</v>
      </c>
      <c r="O106" s="24" t="s">
        <v>1053</v>
      </c>
      <c r="P106" s="24" t="s">
        <v>1054</v>
      </c>
      <c r="Q106" s="24" t="s">
        <v>1055</v>
      </c>
      <c r="R106" s="24"/>
      <c r="S106" s="24" t="s">
        <v>1056</v>
      </c>
      <c r="T106" s="24" t="str">
        <f aca="false">"["&amp;안내!$C$5&amp;" "&amp;F106&amp;"] "&amp;L106&amp;" | "&amp;J106</f>
        <v>[1분 성경 구약 #228] 혼자 다 하려다 지친 리더 | 출 18:1-27</v>
      </c>
      <c r="U106" s="26" t="n">
        <f aca="false">IF(D106="구약",IF(C106=1,안내!$C$9,안내!$C$10)+AD106-1,IF(C106=1,안내!$C$9,안내!$C$10)+7*INT((AD106-1)/4)+CHOOSE(MOD(AD106-1,4)+1,0,2,4,5))</f>
        <v>46625</v>
      </c>
      <c r="V106" s="23" t="str">
        <f aca="false">CHOOSE(WEEKDAY(U106,2),"월","화","수","목","금","토","일")</f>
        <v>목</v>
      </c>
      <c r="W106" s="24" t="str">
        <f aca="false">IFERROR(IF(INDEX($C$2:$C$799,MATCH(D106&amp;"#"&amp;(E106+1),$AC$2:$AC$799,0))=C106,"다음 편: ","시즌1 완결 · 시즌2 첫 편: ")&amp;INDEX($L$2:$L$799,MATCH(D106&amp;"#"&amp;(E106+1),$AC$2:$AC$799,0)),"구약 트랙 완결")</f>
        <v>다음 편: 약자를 지키는 법</v>
      </c>
      <c r="X106" s="23" t="s">
        <v>130</v>
      </c>
      <c r="Y106" s="23" t="s">
        <v>130</v>
      </c>
      <c r="Z106" s="23" t="s">
        <v>130</v>
      </c>
      <c r="AA106" s="23" t="s">
        <v>130</v>
      </c>
      <c r="AB106" s="24"/>
      <c r="AC106" s="23" t="str">
        <f aca="false">D106&amp;"#"&amp;E106</f>
        <v>구약#228</v>
      </c>
      <c r="AD106" s="23" t="n">
        <f aca="false">COUNTIFS($C$2:C106,C106,$D$2:D106,D106)</f>
        <v>46</v>
      </c>
    </row>
    <row r="107" customFormat="false" ht="26.85" hidden="false" customHeight="false" outlineLevel="0" collapsed="false">
      <c r="A107" s="21" t="n">
        <v>106</v>
      </c>
      <c r="B107" s="18" t="s">
        <v>1057</v>
      </c>
      <c r="C107" s="20" t="n">
        <v>1</v>
      </c>
      <c r="D107" s="20" t="s">
        <v>116</v>
      </c>
      <c r="E107" s="20" t="n">
        <f aca="false">IF(C107=1,COUNTIFS($C$2:C107,1,$D$2:D107,D107),COUNTIFS($C$2:$C$799,1,$D$2:$D$799,D107)+COUNTIFS($C$2:C107,2,$D$2:D107,D107))</f>
        <v>60</v>
      </c>
      <c r="F107" s="20" t="str">
        <f aca="false">D107&amp;" #"&amp;TEXT(E107,"000")</f>
        <v>구약 #060</v>
      </c>
      <c r="G107" s="18" t="s">
        <v>1058</v>
      </c>
      <c r="H107" s="18" t="s">
        <v>1059</v>
      </c>
      <c r="I107" s="21" t="s">
        <v>819</v>
      </c>
      <c r="J107" s="22" t="s">
        <v>1060</v>
      </c>
      <c r="K107" s="23" t="s">
        <v>121</v>
      </c>
      <c r="L107" s="24" t="s">
        <v>1061</v>
      </c>
      <c r="M107" s="24" t="s">
        <v>1062</v>
      </c>
      <c r="N107" s="23" t="s">
        <v>1063</v>
      </c>
      <c r="O107" s="24" t="s">
        <v>1064</v>
      </c>
      <c r="P107" s="24" t="s">
        <v>980</v>
      </c>
      <c r="Q107" s="24" t="s">
        <v>1065</v>
      </c>
      <c r="R107" s="25" t="s">
        <v>1066</v>
      </c>
      <c r="S107" s="28" t="s">
        <v>1067</v>
      </c>
      <c r="T107" s="24" t="str">
        <f aca="false">"["&amp;안내!$C$5&amp;" "&amp;F107&amp;"] "&amp;L107&amp;" | "&amp;J107</f>
        <v>[1분 성경 구약 #060] 불타는 시내산 | 출 19:1-25</v>
      </c>
      <c r="U107" s="26" t="n">
        <f aca="false">IF(D107="구약",IF(C107=1,안내!$C$9,안내!$C$10)+AD107-1,IF(C107=1,안내!$C$9,안내!$C$10)+7*INT((AD107-1)/4)+CHOOSE(MOD(AD107-1,4)+1,0,2,4,5))</f>
        <v>46450</v>
      </c>
      <c r="V107" s="23" t="str">
        <f aca="false">CHOOSE(WEEKDAY(U107,2),"월","화","수","목","금","토","일")</f>
        <v>목</v>
      </c>
      <c r="W107" s="24" t="str">
        <f aca="false">IFERROR(IF(INDEX($C$2:$C$799,MATCH(D107&amp;"#"&amp;(E107+1),$AC$2:$AC$799,0))=C107,"다음 편: ","시즌1 완결 · 시즌2 첫 편: ")&amp;INDEX($L$2:$L$799,MATCH(D107&amp;"#"&amp;(E107+1),$AC$2:$AC$799,0)),"구약 트랙 완결")</f>
        <v>다음 편: 십계명 ① 하나님 사랑</v>
      </c>
      <c r="X107" s="23" t="s">
        <v>130</v>
      </c>
      <c r="Y107" s="23" t="s">
        <v>130</v>
      </c>
      <c r="Z107" s="23" t="s">
        <v>130</v>
      </c>
      <c r="AA107" s="23" t="s">
        <v>130</v>
      </c>
      <c r="AB107" s="24"/>
      <c r="AC107" s="23" t="str">
        <f aca="false">D107&amp;"#"&amp;E107</f>
        <v>구약#60</v>
      </c>
      <c r="AD107" s="23" t="n">
        <f aca="false">COUNTIFS($C$2:C107,C107,$D$2:D107,D107)</f>
        <v>60</v>
      </c>
    </row>
    <row r="108" customFormat="false" ht="39.55" hidden="false" customHeight="false" outlineLevel="0" collapsed="false">
      <c r="A108" s="21" t="n">
        <v>107</v>
      </c>
      <c r="B108" s="18" t="s">
        <v>1068</v>
      </c>
      <c r="C108" s="20" t="n">
        <v>1</v>
      </c>
      <c r="D108" s="20" t="s">
        <v>116</v>
      </c>
      <c r="E108" s="20" t="n">
        <f aca="false">IF(C108=1,COUNTIFS($C$2:C108,1,$D$2:D108,D108),COUNTIFS($C$2:$C$799,1,$D$2:$D$799,D108)+COUNTIFS($C$2:C108,2,$D$2:D108,D108))</f>
        <v>61</v>
      </c>
      <c r="F108" s="20" t="str">
        <f aca="false">D108&amp;" #"&amp;TEXT(E108,"000")</f>
        <v>구약 #061</v>
      </c>
      <c r="G108" s="18" t="s">
        <v>1058</v>
      </c>
      <c r="H108" s="18" t="s">
        <v>1059</v>
      </c>
      <c r="I108" s="21" t="s">
        <v>819</v>
      </c>
      <c r="J108" s="22" t="s">
        <v>1069</v>
      </c>
      <c r="K108" s="23" t="s">
        <v>121</v>
      </c>
      <c r="L108" s="24" t="s">
        <v>1070</v>
      </c>
      <c r="M108" s="24" t="s">
        <v>1071</v>
      </c>
      <c r="N108" s="23" t="s">
        <v>1072</v>
      </c>
      <c r="O108" s="24" t="s">
        <v>1073</v>
      </c>
      <c r="P108" s="24" t="s">
        <v>888</v>
      </c>
      <c r="Q108" s="24" t="s">
        <v>1074</v>
      </c>
      <c r="R108" s="27" t="s">
        <v>1075</v>
      </c>
      <c r="S108" s="24" t="s">
        <v>129</v>
      </c>
      <c r="T108" s="24" t="str">
        <f aca="false">"["&amp;안내!$C$5&amp;" "&amp;F108&amp;"] "&amp;L108&amp;" | "&amp;J108</f>
        <v>[1분 성경 구약 #061] 십계명 ① 하나님 사랑 | 출 20:1-11</v>
      </c>
      <c r="U108" s="26" t="n">
        <f aca="false">IF(D108="구약",IF(C108=1,안내!$C$9,안내!$C$10)+AD108-1,IF(C108=1,안내!$C$9,안내!$C$10)+7*INT((AD108-1)/4)+CHOOSE(MOD(AD108-1,4)+1,0,2,4,5))</f>
        <v>46451</v>
      </c>
      <c r="V108" s="23" t="str">
        <f aca="false">CHOOSE(WEEKDAY(U108,2),"월","화","수","목","금","토","일")</f>
        <v>금</v>
      </c>
      <c r="W108" s="24" t="str">
        <f aca="false">IFERROR(IF(INDEX($C$2:$C$799,MATCH(D108&amp;"#"&amp;(E108+1),$AC$2:$AC$799,0))=C108,"다음 편: ","시즌1 완결 · 시즌2 첫 편: ")&amp;INDEX($L$2:$L$799,MATCH(D108&amp;"#"&amp;(E108+1),$AC$2:$AC$799,0)),"구약 트랙 완결")</f>
        <v>다음 편: 십계명 ② 이웃 사랑</v>
      </c>
      <c r="X108" s="23" t="s">
        <v>130</v>
      </c>
      <c r="Y108" s="23" t="s">
        <v>130</v>
      </c>
      <c r="Z108" s="23" t="s">
        <v>130</v>
      </c>
      <c r="AA108" s="23" t="s">
        <v>130</v>
      </c>
      <c r="AB108" s="24"/>
      <c r="AC108" s="23" t="str">
        <f aca="false">D108&amp;"#"&amp;E108</f>
        <v>구약#61</v>
      </c>
      <c r="AD108" s="23" t="n">
        <f aca="false">COUNTIFS($C$2:C108,C108,$D$2:D108,D108)</f>
        <v>61</v>
      </c>
    </row>
    <row r="109" customFormat="false" ht="26.85" hidden="false" customHeight="false" outlineLevel="0" collapsed="false">
      <c r="A109" s="21" t="n">
        <v>108</v>
      </c>
      <c r="B109" s="18" t="s">
        <v>1076</v>
      </c>
      <c r="C109" s="20" t="n">
        <v>1</v>
      </c>
      <c r="D109" s="20" t="s">
        <v>116</v>
      </c>
      <c r="E109" s="20" t="n">
        <f aca="false">IF(C109=1,COUNTIFS($C$2:C109,1,$D$2:D109,D109),COUNTIFS($C$2:$C$799,1,$D$2:$D$799,D109)+COUNTIFS($C$2:C109,2,$D$2:D109,D109))</f>
        <v>62</v>
      </c>
      <c r="F109" s="20" t="str">
        <f aca="false">D109&amp;" #"&amp;TEXT(E109,"000")</f>
        <v>구약 #062</v>
      </c>
      <c r="G109" s="18" t="s">
        <v>1058</v>
      </c>
      <c r="H109" s="18" t="s">
        <v>1059</v>
      </c>
      <c r="I109" s="21" t="s">
        <v>819</v>
      </c>
      <c r="J109" s="22" t="s">
        <v>1077</v>
      </c>
      <c r="K109" s="23" t="s">
        <v>121</v>
      </c>
      <c r="L109" s="24" t="s">
        <v>1078</v>
      </c>
      <c r="M109" s="24" t="s">
        <v>1079</v>
      </c>
      <c r="N109" s="23" t="s">
        <v>1080</v>
      </c>
      <c r="O109" s="24" t="s">
        <v>1081</v>
      </c>
      <c r="P109" s="24" t="s">
        <v>980</v>
      </c>
      <c r="Q109" s="24" t="s">
        <v>1082</v>
      </c>
      <c r="R109" s="24"/>
      <c r="S109" s="24" t="s">
        <v>129</v>
      </c>
      <c r="T109" s="24" t="str">
        <f aca="false">"["&amp;안내!$C$5&amp;" "&amp;F109&amp;"] "&amp;L109&amp;" | "&amp;J109</f>
        <v>[1분 성경 구약 #062] 십계명 ② 이웃 사랑 | 출 20:12-17</v>
      </c>
      <c r="U109" s="26" t="n">
        <f aca="false">IF(D109="구약",IF(C109=1,안내!$C$9,안내!$C$10)+AD109-1,IF(C109=1,안내!$C$9,안내!$C$10)+7*INT((AD109-1)/4)+CHOOSE(MOD(AD109-1,4)+1,0,2,4,5))</f>
        <v>46452</v>
      </c>
      <c r="V109" s="23" t="str">
        <f aca="false">CHOOSE(WEEKDAY(U109,2),"월","화","수","목","금","토","일")</f>
        <v>토</v>
      </c>
      <c r="W109" s="24" t="str">
        <f aca="false">IFERROR(IF(INDEX($C$2:$C$799,MATCH(D109&amp;"#"&amp;(E109+1),$AC$2:$AC$799,0))=C109,"다음 편: ","시즌1 완결 · 시즌2 첫 편: ")&amp;INDEX($L$2:$L$799,MATCH(D109&amp;"#"&amp;(E109+1),$AC$2:$AC$799,0)),"구약 트랙 완결")</f>
        <v>다음 편: 하나님이 함께 사시는 텐트</v>
      </c>
      <c r="X109" s="23" t="s">
        <v>130</v>
      </c>
      <c r="Y109" s="23" t="s">
        <v>130</v>
      </c>
      <c r="Z109" s="23" t="s">
        <v>130</v>
      </c>
      <c r="AA109" s="23" t="s">
        <v>130</v>
      </c>
      <c r="AB109" s="24"/>
      <c r="AC109" s="23" t="str">
        <f aca="false">D109&amp;"#"&amp;E109</f>
        <v>구약#62</v>
      </c>
      <c r="AD109" s="23" t="n">
        <f aca="false">COUNTIFS($C$2:C109,C109,$D$2:D109,D109)</f>
        <v>62</v>
      </c>
    </row>
    <row r="110" customFormat="false" ht="26.85" hidden="false" customHeight="false" outlineLevel="0" collapsed="false">
      <c r="A110" s="21" t="n">
        <v>109</v>
      </c>
      <c r="B110" s="18" t="s">
        <v>1083</v>
      </c>
      <c r="C110" s="23" t="n">
        <v>2</v>
      </c>
      <c r="D110" s="23" t="s">
        <v>116</v>
      </c>
      <c r="E110" s="23" t="n">
        <f aca="false">IF(C110=1,COUNTIFS($C$2:C110,1,$D$2:D110,D110),COUNTIFS($C$2:$C$799,1,$D$2:$D$799,D110)+COUNTIFS($C$2:C110,2,$D$2:D110,D110))</f>
        <v>229</v>
      </c>
      <c r="F110" s="23" t="str">
        <f aca="false">D110&amp;" #"&amp;TEXT(E110,"000")</f>
        <v>구약 #229</v>
      </c>
      <c r="G110" s="18" t="s">
        <v>1058</v>
      </c>
      <c r="H110" s="18" t="s">
        <v>1012</v>
      </c>
      <c r="I110" s="21" t="s">
        <v>819</v>
      </c>
      <c r="J110" s="22" t="s">
        <v>1084</v>
      </c>
      <c r="K110" s="23" t="s">
        <v>1085</v>
      </c>
      <c r="L110" s="24" t="s">
        <v>1086</v>
      </c>
      <c r="M110" s="29" t="s">
        <v>1087</v>
      </c>
      <c r="N110" s="23" t="s">
        <v>1088</v>
      </c>
      <c r="O110" s="24" t="s">
        <v>1089</v>
      </c>
      <c r="P110" s="24" t="s">
        <v>980</v>
      </c>
      <c r="Q110" s="24" t="s">
        <v>1090</v>
      </c>
      <c r="R110" s="24"/>
      <c r="S110" s="24" t="s">
        <v>1091</v>
      </c>
      <c r="T110" s="24" t="str">
        <f aca="false">"["&amp;안내!$C$5&amp;" "&amp;F110&amp;"] "&amp;L110&amp;" | "&amp;J110</f>
        <v>[1분 성경 구약 #229] 약자를 지키는 법 | 출 20:18-23:33</v>
      </c>
      <c r="U110" s="26" t="n">
        <f aca="false">IF(D110="구약",IF(C110=1,안내!$C$9,안내!$C$10)+AD110-1,IF(C110=1,안내!$C$9,안내!$C$10)+7*INT((AD110-1)/4)+CHOOSE(MOD(AD110-1,4)+1,0,2,4,5))</f>
        <v>46626</v>
      </c>
      <c r="V110" s="23" t="str">
        <f aca="false">CHOOSE(WEEKDAY(U110,2),"월","화","수","목","금","토","일")</f>
        <v>금</v>
      </c>
      <c r="W110" s="24" t="str">
        <f aca="false">IFERROR(IF(INDEX($C$2:$C$799,MATCH(D110&amp;"#"&amp;(E110+1),$AC$2:$AC$799,0))=C110,"다음 편: ","시즌1 완결 · 시즌2 첫 편: ")&amp;INDEX($L$2:$L$799,MATCH(D110&amp;"#"&amp;(E110+1),$AC$2:$AC$799,0)),"구약 트랙 완결")</f>
        <v>다음 편: 피로 맺은 약속</v>
      </c>
      <c r="X110" s="23" t="s">
        <v>130</v>
      </c>
      <c r="Y110" s="23" t="s">
        <v>130</v>
      </c>
      <c r="Z110" s="23" t="s">
        <v>130</v>
      </c>
      <c r="AA110" s="23" t="s">
        <v>130</v>
      </c>
      <c r="AB110" s="24"/>
      <c r="AC110" s="23" t="str">
        <f aca="false">D110&amp;"#"&amp;E110</f>
        <v>구약#229</v>
      </c>
      <c r="AD110" s="23" t="n">
        <f aca="false">COUNTIFS($C$2:C110,C110,$D$2:D110,D110)</f>
        <v>47</v>
      </c>
    </row>
    <row r="111" customFormat="false" ht="26.85" hidden="false" customHeight="false" outlineLevel="0" collapsed="false">
      <c r="A111" s="21" t="n">
        <v>110</v>
      </c>
      <c r="B111" s="18" t="s">
        <v>1092</v>
      </c>
      <c r="C111" s="23" t="n">
        <v>2</v>
      </c>
      <c r="D111" s="23" t="s">
        <v>116</v>
      </c>
      <c r="E111" s="23" t="n">
        <f aca="false">IF(C111=1,COUNTIFS($C$2:C111,1,$D$2:D111,D111),COUNTIFS($C$2:$C$799,1,$D$2:$D$799,D111)+COUNTIFS($C$2:C111,2,$D$2:D111,D111))</f>
        <v>230</v>
      </c>
      <c r="F111" s="23" t="str">
        <f aca="false">D111&amp;" #"&amp;TEXT(E111,"000")</f>
        <v>구약 #230</v>
      </c>
      <c r="G111" s="18" t="s">
        <v>1058</v>
      </c>
      <c r="H111" s="18" t="s">
        <v>1012</v>
      </c>
      <c r="I111" s="21" t="s">
        <v>819</v>
      </c>
      <c r="J111" s="22" t="s">
        <v>1093</v>
      </c>
      <c r="K111" s="23" t="s">
        <v>121</v>
      </c>
      <c r="L111" s="24" t="s">
        <v>1094</v>
      </c>
      <c r="M111" s="24" t="s">
        <v>1095</v>
      </c>
      <c r="N111" s="23" t="s">
        <v>1096</v>
      </c>
      <c r="O111" s="24" t="s">
        <v>1097</v>
      </c>
      <c r="P111" s="24" t="s">
        <v>1098</v>
      </c>
      <c r="Q111" s="24" t="s">
        <v>1099</v>
      </c>
      <c r="R111" s="25" t="s">
        <v>1100</v>
      </c>
      <c r="S111" s="24" t="s">
        <v>1091</v>
      </c>
      <c r="T111" s="24" t="str">
        <f aca="false">"["&amp;안내!$C$5&amp;" "&amp;F111&amp;"] "&amp;L111&amp;" | "&amp;J111</f>
        <v>[1분 성경 구약 #230] 피로 맺은 약속 | 출 24:1-18</v>
      </c>
      <c r="U111" s="26" t="n">
        <f aca="false">IF(D111="구약",IF(C111=1,안내!$C$9,안내!$C$10)+AD111-1,IF(C111=1,안내!$C$9,안내!$C$10)+7*INT((AD111-1)/4)+CHOOSE(MOD(AD111-1,4)+1,0,2,4,5))</f>
        <v>46627</v>
      </c>
      <c r="V111" s="23" t="str">
        <f aca="false">CHOOSE(WEEKDAY(U111,2),"월","화","수","목","금","토","일")</f>
        <v>토</v>
      </c>
      <c r="W111" s="24" t="str">
        <f aca="false">IFERROR(IF(INDEX($C$2:$C$799,MATCH(D111&amp;"#"&amp;(E111+1),$AC$2:$AC$799,0))=C111,"다음 편: ","시즌1 완결 · 시즌2 첫 편: ")&amp;INDEX($L$2:$L$799,MATCH(D111&amp;"#"&amp;(E111+1),$AC$2:$AC$799,0)),"구약 트랙 완결")</f>
        <v>다음 편: 대제사장의 옷</v>
      </c>
      <c r="X111" s="23" t="s">
        <v>130</v>
      </c>
      <c r="Y111" s="23" t="s">
        <v>130</v>
      </c>
      <c r="Z111" s="23" t="s">
        <v>130</v>
      </c>
      <c r="AA111" s="23" t="s">
        <v>130</v>
      </c>
      <c r="AB111" s="24"/>
      <c r="AC111" s="23" t="str">
        <f aca="false">D111&amp;"#"&amp;E111</f>
        <v>구약#230</v>
      </c>
      <c r="AD111" s="23" t="n">
        <f aca="false">COUNTIFS($C$2:C111,C111,$D$2:D111,D111)</f>
        <v>48</v>
      </c>
    </row>
    <row r="112" customFormat="false" ht="39.55" hidden="false" customHeight="false" outlineLevel="0" collapsed="false">
      <c r="A112" s="21" t="n">
        <v>111</v>
      </c>
      <c r="B112" s="18" t="s">
        <v>1101</v>
      </c>
      <c r="C112" s="20" t="n">
        <v>1</v>
      </c>
      <c r="D112" s="20" t="s">
        <v>116</v>
      </c>
      <c r="E112" s="20" t="n">
        <f aca="false">IF(C112=1,COUNTIFS($C$2:C112,1,$D$2:D112,D112),COUNTIFS($C$2:$C$799,1,$D$2:$D$799,D112)+COUNTIFS($C$2:C112,2,$D$2:D112,D112))</f>
        <v>63</v>
      </c>
      <c r="F112" s="20" t="str">
        <f aca="false">D112&amp;" #"&amp;TEXT(E112,"000")</f>
        <v>구약 #063</v>
      </c>
      <c r="G112" s="18" t="s">
        <v>1058</v>
      </c>
      <c r="H112" s="18" t="s">
        <v>1059</v>
      </c>
      <c r="I112" s="21" t="s">
        <v>819</v>
      </c>
      <c r="J112" s="22" t="s">
        <v>1102</v>
      </c>
      <c r="K112" s="23" t="s">
        <v>1085</v>
      </c>
      <c r="L112" s="24" t="s">
        <v>1103</v>
      </c>
      <c r="M112" s="24" t="s">
        <v>1104</v>
      </c>
      <c r="N112" s="23" t="s">
        <v>1105</v>
      </c>
      <c r="O112" s="24" t="s">
        <v>1106</v>
      </c>
      <c r="P112" s="24" t="s">
        <v>1107</v>
      </c>
      <c r="Q112" s="24" t="s">
        <v>1108</v>
      </c>
      <c r="R112" s="25" t="s">
        <v>1109</v>
      </c>
      <c r="S112" s="28" t="s">
        <v>1110</v>
      </c>
      <c r="T112" s="24" t="str">
        <f aca="false">"["&amp;안내!$C$5&amp;" "&amp;F112&amp;"] "&amp;L112&amp;" | "&amp;J112</f>
        <v>[1분 성경 구약 #063] 하나님이 함께 사시는 텐트 | 출 25:1-27:21</v>
      </c>
      <c r="U112" s="26" t="n">
        <f aca="false">IF(D112="구약",IF(C112=1,안내!$C$9,안내!$C$10)+AD112-1,IF(C112=1,안내!$C$9,안내!$C$10)+7*INT((AD112-1)/4)+CHOOSE(MOD(AD112-1,4)+1,0,2,4,5))</f>
        <v>46453</v>
      </c>
      <c r="V112" s="23" t="str">
        <f aca="false">CHOOSE(WEEKDAY(U112,2),"월","화","수","목","금","토","일")</f>
        <v>일</v>
      </c>
      <c r="W112" s="24" t="str">
        <f aca="false">IFERROR(IF(INDEX($C$2:$C$799,MATCH(D112&amp;"#"&amp;(E112+1),$AC$2:$AC$799,0))=C112,"다음 편: ","시즌1 완결 · 시즌2 첫 편: ")&amp;INDEX($L$2:$L$799,MATCH(D112&amp;"#"&amp;(E112+1),$AC$2:$AC$799,0)),"구약 트랙 완결")</f>
        <v>다음 편: 금송아지</v>
      </c>
      <c r="X112" s="23" t="s">
        <v>130</v>
      </c>
      <c r="Y112" s="23" t="s">
        <v>130</v>
      </c>
      <c r="Z112" s="23" t="s">
        <v>130</v>
      </c>
      <c r="AA112" s="23" t="s">
        <v>130</v>
      </c>
      <c r="AB112" s="24"/>
      <c r="AC112" s="23" t="str">
        <f aca="false">D112&amp;"#"&amp;E112</f>
        <v>구약#63</v>
      </c>
      <c r="AD112" s="23" t="n">
        <f aca="false">COUNTIFS($C$2:C112,C112,$D$2:D112,D112)</f>
        <v>63</v>
      </c>
    </row>
    <row r="113" customFormat="false" ht="26.85" hidden="false" customHeight="false" outlineLevel="0" collapsed="false">
      <c r="A113" s="21" t="n">
        <v>112</v>
      </c>
      <c r="B113" s="18" t="s">
        <v>1111</v>
      </c>
      <c r="C113" s="23" t="n">
        <v>2</v>
      </c>
      <c r="D113" s="23" t="s">
        <v>116</v>
      </c>
      <c r="E113" s="23" t="n">
        <f aca="false">IF(C113=1,COUNTIFS($C$2:C113,1,$D$2:D113,D113),COUNTIFS($C$2:$C$799,1,$D$2:$D$799,D113)+COUNTIFS($C$2:C113,2,$D$2:D113,D113))</f>
        <v>231</v>
      </c>
      <c r="F113" s="23" t="str">
        <f aca="false">D113&amp;" #"&amp;TEXT(E113,"000")</f>
        <v>구약 #231</v>
      </c>
      <c r="G113" s="18" t="s">
        <v>1058</v>
      </c>
      <c r="H113" s="18" t="s">
        <v>1012</v>
      </c>
      <c r="I113" s="21" t="s">
        <v>819</v>
      </c>
      <c r="J113" s="22" t="s">
        <v>1112</v>
      </c>
      <c r="K113" s="23" t="s">
        <v>1085</v>
      </c>
      <c r="L113" s="24" t="s">
        <v>1113</v>
      </c>
      <c r="M113" s="24" t="s">
        <v>1114</v>
      </c>
      <c r="N113" s="23" t="s">
        <v>1115</v>
      </c>
      <c r="O113" s="24" t="s">
        <v>1116</v>
      </c>
      <c r="P113" s="24" t="s">
        <v>1117</v>
      </c>
      <c r="Q113" s="24" t="s">
        <v>1118</v>
      </c>
      <c r="R113" s="25" t="s">
        <v>1119</v>
      </c>
      <c r="S113" s="24" t="s">
        <v>1120</v>
      </c>
      <c r="T113" s="24" t="str">
        <f aca="false">"["&amp;안내!$C$5&amp;" "&amp;F113&amp;"] "&amp;L113&amp;" | "&amp;J113</f>
        <v>[1분 성경 구약 #231] 대제사장의 옷 | 출 28:1-29:46</v>
      </c>
      <c r="U113" s="26" t="n">
        <f aca="false">IF(D113="구약",IF(C113=1,안내!$C$9,안내!$C$10)+AD113-1,IF(C113=1,안내!$C$9,안내!$C$10)+7*INT((AD113-1)/4)+CHOOSE(MOD(AD113-1,4)+1,0,2,4,5))</f>
        <v>46628</v>
      </c>
      <c r="V113" s="23" t="str">
        <f aca="false">CHOOSE(WEEKDAY(U113,2),"월","화","수","목","금","토","일")</f>
        <v>일</v>
      </c>
      <c r="W113" s="24" t="str">
        <f aca="false">IFERROR(IF(INDEX($C$2:$C$799,MATCH(D113&amp;"#"&amp;(E113+1),$AC$2:$AC$799,0))=C113,"다음 편: ","시즌1 완결 · 시즌2 첫 편: ")&amp;INDEX($L$2:$L$799,MATCH(D113&amp;"#"&amp;(E113+1),$AC$2:$AC$799,0)),"구약 트랙 완결")</f>
        <v>다음 편: 하나님이 부르신 기술자</v>
      </c>
      <c r="X113" s="23" t="s">
        <v>130</v>
      </c>
      <c r="Y113" s="23" t="s">
        <v>130</v>
      </c>
      <c r="Z113" s="23" t="s">
        <v>130</v>
      </c>
      <c r="AA113" s="23" t="s">
        <v>130</v>
      </c>
      <c r="AB113" s="24"/>
      <c r="AC113" s="23" t="str">
        <f aca="false">D113&amp;"#"&amp;E113</f>
        <v>구약#231</v>
      </c>
      <c r="AD113" s="23" t="n">
        <f aca="false">COUNTIFS($C$2:C113,C113,$D$2:D113,D113)</f>
        <v>49</v>
      </c>
    </row>
    <row r="114" customFormat="false" ht="26.85" hidden="false" customHeight="false" outlineLevel="0" collapsed="false">
      <c r="A114" s="21" t="n">
        <v>113</v>
      </c>
      <c r="B114" s="18" t="s">
        <v>1121</v>
      </c>
      <c r="C114" s="23" t="n">
        <v>2</v>
      </c>
      <c r="D114" s="23" t="s">
        <v>116</v>
      </c>
      <c r="E114" s="23" t="n">
        <f aca="false">IF(C114=1,COUNTIFS($C$2:C114,1,$D$2:D114,D114),COUNTIFS($C$2:$C$799,1,$D$2:$D$799,D114)+COUNTIFS($C$2:C114,2,$D$2:D114,D114))</f>
        <v>232</v>
      </c>
      <c r="F114" s="23" t="str">
        <f aca="false">D114&amp;" #"&amp;TEXT(E114,"000")</f>
        <v>구약 #232</v>
      </c>
      <c r="G114" s="18" t="s">
        <v>1058</v>
      </c>
      <c r="H114" s="18" t="s">
        <v>1012</v>
      </c>
      <c r="I114" s="21" t="s">
        <v>819</v>
      </c>
      <c r="J114" s="22" t="s">
        <v>1122</v>
      </c>
      <c r="K114" s="23" t="s">
        <v>1085</v>
      </c>
      <c r="L114" s="24" t="s">
        <v>1123</v>
      </c>
      <c r="M114" s="24" t="s">
        <v>1124</v>
      </c>
      <c r="N114" s="23" t="s">
        <v>1125</v>
      </c>
      <c r="O114" s="24" t="s">
        <v>1126</v>
      </c>
      <c r="P114" s="24" t="s">
        <v>1127</v>
      </c>
      <c r="Q114" s="24" t="s">
        <v>1128</v>
      </c>
      <c r="R114" s="25" t="s">
        <v>1129</v>
      </c>
      <c r="S114" s="24" t="s">
        <v>1120</v>
      </c>
      <c r="T114" s="24" t="str">
        <f aca="false">"["&amp;안내!$C$5&amp;" "&amp;F114&amp;"] "&amp;L114&amp;" | "&amp;J114</f>
        <v>[1분 성경 구약 #232] 하나님이 부르신 기술자 | 출 30:1-31:18</v>
      </c>
      <c r="U114" s="26" t="n">
        <f aca="false">IF(D114="구약",IF(C114=1,안내!$C$9,안내!$C$10)+AD114-1,IF(C114=1,안내!$C$9,안내!$C$10)+7*INT((AD114-1)/4)+CHOOSE(MOD(AD114-1,4)+1,0,2,4,5))</f>
        <v>46629</v>
      </c>
      <c r="V114" s="23" t="str">
        <f aca="false">CHOOSE(WEEKDAY(U114,2),"월","화","수","목","금","토","일")</f>
        <v>월</v>
      </c>
      <c r="W114" s="24" t="str">
        <f aca="false">IFERROR(IF(INDEX($C$2:$C$799,MATCH(D114&amp;"#"&amp;(E114+1),$AC$2:$AC$799,0))=C114,"다음 편: ","시즌1 완결 · 시즌2 첫 편: ")&amp;INDEX($L$2:$L$799,MATCH(D114&amp;"#"&amp;(E114+1),$AC$2:$AC$799,0)),"구약 트랙 완결")</f>
        <v>다음 편: 깨어진 돌판</v>
      </c>
      <c r="X114" s="23" t="s">
        <v>130</v>
      </c>
      <c r="Y114" s="23" t="s">
        <v>130</v>
      </c>
      <c r="Z114" s="23" t="s">
        <v>130</v>
      </c>
      <c r="AA114" s="23" t="s">
        <v>130</v>
      </c>
      <c r="AB114" s="24"/>
      <c r="AC114" s="23" t="str">
        <f aca="false">D114&amp;"#"&amp;E114</f>
        <v>구약#232</v>
      </c>
      <c r="AD114" s="23" t="n">
        <f aca="false">COUNTIFS($C$2:C114,C114,$D$2:D114,D114)</f>
        <v>50</v>
      </c>
    </row>
    <row r="115" customFormat="false" ht="39.55" hidden="false" customHeight="false" outlineLevel="0" collapsed="false">
      <c r="A115" s="21" t="n">
        <v>114</v>
      </c>
      <c r="B115" s="18" t="s">
        <v>1130</v>
      </c>
      <c r="C115" s="20" t="n">
        <v>1</v>
      </c>
      <c r="D115" s="20" t="s">
        <v>116</v>
      </c>
      <c r="E115" s="20" t="n">
        <f aca="false">IF(C115=1,COUNTIFS($C$2:C115,1,$D$2:D115,D115),COUNTIFS($C$2:$C$799,1,$D$2:$D$799,D115)+COUNTIFS($C$2:C115,2,$D$2:D115,D115))</f>
        <v>64</v>
      </c>
      <c r="F115" s="20" t="str">
        <f aca="false">D115&amp;" #"&amp;TEXT(E115,"000")</f>
        <v>구약 #064</v>
      </c>
      <c r="G115" s="18" t="s">
        <v>1131</v>
      </c>
      <c r="H115" s="18" t="s">
        <v>1059</v>
      </c>
      <c r="I115" s="21" t="s">
        <v>819</v>
      </c>
      <c r="J115" s="22" t="s">
        <v>1132</v>
      </c>
      <c r="K115" s="23" t="s">
        <v>121</v>
      </c>
      <c r="L115" s="24" t="s">
        <v>1133</v>
      </c>
      <c r="M115" s="29" t="s">
        <v>1134</v>
      </c>
      <c r="N115" s="23" t="s">
        <v>1135</v>
      </c>
      <c r="O115" s="24" t="s">
        <v>1136</v>
      </c>
      <c r="P115" s="24" t="s">
        <v>1137</v>
      </c>
      <c r="Q115" s="24" t="s">
        <v>1138</v>
      </c>
      <c r="R115" s="25" t="s">
        <v>1139</v>
      </c>
      <c r="S115" s="28" t="s">
        <v>1140</v>
      </c>
      <c r="T115" s="24" t="str">
        <f aca="false">"["&amp;안내!$C$5&amp;" "&amp;F115&amp;"] "&amp;L115&amp;" | "&amp;J115</f>
        <v>[1분 성경 구약 #064] 금송아지 | 출 32:1-14</v>
      </c>
      <c r="U115" s="26" t="n">
        <f aca="false">IF(D115="구약",IF(C115=1,안내!$C$9,안내!$C$10)+AD115-1,IF(C115=1,안내!$C$9,안내!$C$10)+7*INT((AD115-1)/4)+CHOOSE(MOD(AD115-1,4)+1,0,2,4,5))</f>
        <v>46454</v>
      </c>
      <c r="V115" s="23" t="str">
        <f aca="false">CHOOSE(WEEKDAY(U115,2),"월","화","수","목","금","토","일")</f>
        <v>월</v>
      </c>
      <c r="W115" s="24" t="str">
        <f aca="false">IFERROR(IF(INDEX($C$2:$C$799,MATCH(D115&amp;"#"&amp;(E115+1),$AC$2:$AC$799,0))=C115,"다음 편: ","시즌1 완결 · 시즌2 첫 편: ")&amp;INDEX($L$2:$L$799,MATCH(D115&amp;"#"&amp;(E115+1),$AC$2:$AC$799,0)),"구약 트랙 완결")</f>
        <v>다음 편: 영광이 성막에 가득하다</v>
      </c>
      <c r="X115" s="23" t="s">
        <v>130</v>
      </c>
      <c r="Y115" s="23" t="s">
        <v>130</v>
      </c>
      <c r="Z115" s="23" t="s">
        <v>130</v>
      </c>
      <c r="AA115" s="23" t="s">
        <v>130</v>
      </c>
      <c r="AB115" s="24"/>
      <c r="AC115" s="23" t="str">
        <f aca="false">D115&amp;"#"&amp;E115</f>
        <v>구약#64</v>
      </c>
      <c r="AD115" s="23" t="n">
        <f aca="false">COUNTIFS($C$2:C115,C115,$D$2:D115,D115)</f>
        <v>64</v>
      </c>
    </row>
    <row r="116" customFormat="false" ht="26.85" hidden="false" customHeight="false" outlineLevel="0" collapsed="false">
      <c r="A116" s="21" t="n">
        <v>115</v>
      </c>
      <c r="B116" s="18" t="s">
        <v>1141</v>
      </c>
      <c r="C116" s="23" t="n">
        <v>2</v>
      </c>
      <c r="D116" s="23" t="s">
        <v>116</v>
      </c>
      <c r="E116" s="23" t="n">
        <f aca="false">IF(C116=1,COUNTIFS($C$2:C116,1,$D$2:D116,D116),COUNTIFS($C$2:$C$799,1,$D$2:$D$799,D116)+COUNTIFS($C$2:C116,2,$D$2:D116,D116))</f>
        <v>233</v>
      </c>
      <c r="F116" s="23" t="str">
        <f aca="false">D116&amp;" #"&amp;TEXT(E116,"000")</f>
        <v>구약 #233</v>
      </c>
      <c r="G116" s="18" t="s">
        <v>1131</v>
      </c>
      <c r="H116" s="18" t="s">
        <v>1012</v>
      </c>
      <c r="I116" s="21" t="s">
        <v>819</v>
      </c>
      <c r="J116" s="22" t="s">
        <v>1142</v>
      </c>
      <c r="K116" s="23" t="s">
        <v>121</v>
      </c>
      <c r="L116" s="24" t="s">
        <v>1143</v>
      </c>
      <c r="M116" s="24" t="s">
        <v>1144</v>
      </c>
      <c r="N116" s="23" t="s">
        <v>1145</v>
      </c>
      <c r="O116" s="24" t="s">
        <v>1146</v>
      </c>
      <c r="P116" s="24" t="s">
        <v>1147</v>
      </c>
      <c r="Q116" s="24" t="s">
        <v>1148</v>
      </c>
      <c r="R116" s="25" t="s">
        <v>1149</v>
      </c>
      <c r="S116" s="24" t="s">
        <v>1150</v>
      </c>
      <c r="T116" s="24" t="str">
        <f aca="false">"["&amp;안내!$C$5&amp;" "&amp;F116&amp;"] "&amp;L116&amp;" | "&amp;J116</f>
        <v>[1분 성경 구약 #233] 깨어진 돌판 | 출 32:15-35</v>
      </c>
      <c r="U116" s="26" t="n">
        <f aca="false">IF(D116="구약",IF(C116=1,안내!$C$9,안내!$C$10)+AD116-1,IF(C116=1,안내!$C$9,안내!$C$10)+7*INT((AD116-1)/4)+CHOOSE(MOD(AD116-1,4)+1,0,2,4,5))</f>
        <v>46630</v>
      </c>
      <c r="V116" s="23" t="str">
        <f aca="false">CHOOSE(WEEKDAY(U116,2),"월","화","수","목","금","토","일")</f>
        <v>화</v>
      </c>
      <c r="W116" s="24" t="str">
        <f aca="false">IFERROR(IF(INDEX($C$2:$C$799,MATCH(D116&amp;"#"&amp;(E116+1),$AC$2:$AC$799,0))=C116,"다음 편: ","시즌1 완결 · 시즌2 첫 편: ")&amp;INDEX($L$2:$L$799,MATCH(D116&amp;"#"&amp;(E116+1),$AC$2:$AC$799,0)),"구약 트랙 완결")</f>
        <v>다음 편: 주의 영광을 보여 주소서</v>
      </c>
      <c r="X116" s="23" t="s">
        <v>130</v>
      </c>
      <c r="Y116" s="23" t="s">
        <v>130</v>
      </c>
      <c r="Z116" s="23" t="s">
        <v>130</v>
      </c>
      <c r="AA116" s="23" t="s">
        <v>130</v>
      </c>
      <c r="AB116" s="24"/>
      <c r="AC116" s="23" t="str">
        <f aca="false">D116&amp;"#"&amp;E116</f>
        <v>구약#233</v>
      </c>
      <c r="AD116" s="23" t="n">
        <f aca="false">COUNTIFS($C$2:C116,C116,$D$2:D116,D116)</f>
        <v>51</v>
      </c>
    </row>
    <row r="117" customFormat="false" ht="26.85" hidden="false" customHeight="false" outlineLevel="0" collapsed="false">
      <c r="A117" s="21" t="n">
        <v>116</v>
      </c>
      <c r="B117" s="18" t="s">
        <v>1151</v>
      </c>
      <c r="C117" s="23" t="n">
        <v>2</v>
      </c>
      <c r="D117" s="23" t="s">
        <v>116</v>
      </c>
      <c r="E117" s="23" t="n">
        <f aca="false">IF(C117=1,COUNTIFS($C$2:C117,1,$D$2:D117,D117),COUNTIFS($C$2:$C$799,1,$D$2:$D$799,D117)+COUNTIFS($C$2:C117,2,$D$2:D117,D117))</f>
        <v>234</v>
      </c>
      <c r="F117" s="23" t="str">
        <f aca="false">D117&amp;" #"&amp;TEXT(E117,"000")</f>
        <v>구약 #234</v>
      </c>
      <c r="G117" s="18" t="s">
        <v>1131</v>
      </c>
      <c r="H117" s="18" t="s">
        <v>1012</v>
      </c>
      <c r="I117" s="21" t="s">
        <v>819</v>
      </c>
      <c r="J117" s="22" t="s">
        <v>1152</v>
      </c>
      <c r="K117" s="23" t="s">
        <v>121</v>
      </c>
      <c r="L117" s="24" t="s">
        <v>1153</v>
      </c>
      <c r="M117" s="24" t="s">
        <v>1154</v>
      </c>
      <c r="N117" s="23" t="s">
        <v>1155</v>
      </c>
      <c r="O117" s="24" t="s">
        <v>1156</v>
      </c>
      <c r="P117" s="24" t="s">
        <v>1157</v>
      </c>
      <c r="Q117" s="24" t="s">
        <v>1158</v>
      </c>
      <c r="R117" s="25" t="s">
        <v>1159</v>
      </c>
      <c r="S117" s="24" t="s">
        <v>1150</v>
      </c>
      <c r="T117" s="24" t="str">
        <f aca="false">"["&amp;안내!$C$5&amp;" "&amp;F117&amp;"] "&amp;L117&amp;" | "&amp;J117</f>
        <v>[1분 성경 구약 #234] 주의 영광을 보여 주소서 | 출 33:1-23</v>
      </c>
      <c r="U117" s="26" t="n">
        <f aca="false">IF(D117="구약",IF(C117=1,안내!$C$9,안내!$C$10)+AD117-1,IF(C117=1,안내!$C$9,안내!$C$10)+7*INT((AD117-1)/4)+CHOOSE(MOD(AD117-1,4)+1,0,2,4,5))</f>
        <v>46631</v>
      </c>
      <c r="V117" s="23" t="str">
        <f aca="false">CHOOSE(WEEKDAY(U117,2),"월","화","수","목","금","토","일")</f>
        <v>수</v>
      </c>
      <c r="W117" s="24" t="str">
        <f aca="false">IFERROR(IF(INDEX($C$2:$C$799,MATCH(D117&amp;"#"&amp;(E117+1),$AC$2:$AC$799,0))=C117,"다음 편: ","시즌1 완결 · 시즌2 첫 편: ")&amp;INDEX($L$2:$L$799,MATCH(D117&amp;"#"&amp;(E117+1),$AC$2:$AC$799,0)),"구약 트랙 완결")</f>
        <v>다음 편: 빛나는 얼굴</v>
      </c>
      <c r="X117" s="23" t="s">
        <v>130</v>
      </c>
      <c r="Y117" s="23" t="s">
        <v>130</v>
      </c>
      <c r="Z117" s="23" t="s">
        <v>130</v>
      </c>
      <c r="AA117" s="23" t="s">
        <v>130</v>
      </c>
      <c r="AB117" s="24"/>
      <c r="AC117" s="23" t="str">
        <f aca="false">D117&amp;"#"&amp;E117</f>
        <v>구약#234</v>
      </c>
      <c r="AD117" s="23" t="n">
        <f aca="false">COUNTIFS($C$2:C117,C117,$D$2:D117,D117)</f>
        <v>52</v>
      </c>
    </row>
    <row r="118" customFormat="false" ht="26.85" hidden="false" customHeight="false" outlineLevel="0" collapsed="false">
      <c r="A118" s="21" t="n">
        <v>117</v>
      </c>
      <c r="B118" s="18" t="s">
        <v>1160</v>
      </c>
      <c r="C118" s="23" t="n">
        <v>2</v>
      </c>
      <c r="D118" s="23" t="s">
        <v>116</v>
      </c>
      <c r="E118" s="23" t="n">
        <f aca="false">IF(C118=1,COUNTIFS($C$2:C118,1,$D$2:D118,D118),COUNTIFS($C$2:$C$799,1,$D$2:$D$799,D118)+COUNTIFS($C$2:C118,2,$D$2:D118,D118))</f>
        <v>235</v>
      </c>
      <c r="F118" s="23" t="str">
        <f aca="false">D118&amp;" #"&amp;TEXT(E118,"000")</f>
        <v>구약 #235</v>
      </c>
      <c r="G118" s="18" t="s">
        <v>1131</v>
      </c>
      <c r="H118" s="18" t="s">
        <v>1012</v>
      </c>
      <c r="I118" s="21" t="s">
        <v>819</v>
      </c>
      <c r="J118" s="22" t="s">
        <v>1161</v>
      </c>
      <c r="K118" s="23" t="s">
        <v>121</v>
      </c>
      <c r="L118" s="24" t="s">
        <v>1162</v>
      </c>
      <c r="M118" s="24" t="s">
        <v>1163</v>
      </c>
      <c r="N118" s="23" t="s">
        <v>1164</v>
      </c>
      <c r="O118" s="24" t="s">
        <v>1165</v>
      </c>
      <c r="P118" s="24" t="s">
        <v>980</v>
      </c>
      <c r="Q118" s="24" t="s">
        <v>1166</v>
      </c>
      <c r="R118" s="24"/>
      <c r="S118" s="24" t="s">
        <v>1150</v>
      </c>
      <c r="T118" s="24" t="str">
        <f aca="false">"["&amp;안내!$C$5&amp;" "&amp;F118&amp;"] "&amp;L118&amp;" | "&amp;J118</f>
        <v>[1분 성경 구약 #235] 빛나는 얼굴 | 출 34:1-35</v>
      </c>
      <c r="U118" s="26" t="n">
        <f aca="false">IF(D118="구약",IF(C118=1,안내!$C$9,안내!$C$10)+AD118-1,IF(C118=1,안내!$C$9,안내!$C$10)+7*INT((AD118-1)/4)+CHOOSE(MOD(AD118-1,4)+1,0,2,4,5))</f>
        <v>46632</v>
      </c>
      <c r="V118" s="23" t="str">
        <f aca="false">CHOOSE(WEEKDAY(U118,2),"월","화","수","목","금","토","일")</f>
        <v>목</v>
      </c>
      <c r="W118" s="24" t="str">
        <f aca="false">IFERROR(IF(INDEX($C$2:$C$799,MATCH(D118&amp;"#"&amp;(E118+1),$AC$2:$AC$799,0))=C118,"다음 편: ","시즌1 완결 · 시즌2 첫 편: ")&amp;INDEX($L$2:$L$799,MATCH(D118&amp;"#"&amp;(E118+1),$AC$2:$AC$799,0)),"구약 트랙 완결")</f>
        <v>다음 편: 그만 가져오세요!</v>
      </c>
      <c r="X118" s="23" t="s">
        <v>130</v>
      </c>
      <c r="Y118" s="23" t="s">
        <v>130</v>
      </c>
      <c r="Z118" s="23" t="s">
        <v>130</v>
      </c>
      <c r="AA118" s="23" t="s">
        <v>130</v>
      </c>
      <c r="AB118" s="24"/>
      <c r="AC118" s="23" t="str">
        <f aca="false">D118&amp;"#"&amp;E118</f>
        <v>구약#235</v>
      </c>
      <c r="AD118" s="23" t="n">
        <f aca="false">COUNTIFS($C$2:C118,C118,$D$2:D118,D118)</f>
        <v>53</v>
      </c>
    </row>
    <row r="119" customFormat="false" ht="26.85" hidden="false" customHeight="false" outlineLevel="0" collapsed="false">
      <c r="A119" s="21" t="n">
        <v>118</v>
      </c>
      <c r="B119" s="18" t="s">
        <v>1167</v>
      </c>
      <c r="C119" s="23" t="n">
        <v>2</v>
      </c>
      <c r="D119" s="23" t="s">
        <v>116</v>
      </c>
      <c r="E119" s="23" t="n">
        <f aca="false">IF(C119=1,COUNTIFS($C$2:C119,1,$D$2:D119,D119),COUNTIFS($C$2:$C$799,1,$D$2:$D$799,D119)+COUNTIFS($C$2:C119,2,$D$2:D119,D119))</f>
        <v>236</v>
      </c>
      <c r="F119" s="23" t="str">
        <f aca="false">D119&amp;" #"&amp;TEXT(E119,"000")</f>
        <v>구약 #236</v>
      </c>
      <c r="G119" s="18" t="s">
        <v>1131</v>
      </c>
      <c r="H119" s="18" t="s">
        <v>1012</v>
      </c>
      <c r="I119" s="21" t="s">
        <v>819</v>
      </c>
      <c r="J119" s="22" t="s">
        <v>1168</v>
      </c>
      <c r="K119" s="23" t="s">
        <v>1085</v>
      </c>
      <c r="L119" s="24" t="s">
        <v>1169</v>
      </c>
      <c r="M119" s="24" t="s">
        <v>1170</v>
      </c>
      <c r="N119" s="23" t="s">
        <v>1171</v>
      </c>
      <c r="O119" s="24" t="s">
        <v>1172</v>
      </c>
      <c r="P119" s="24" t="s">
        <v>1173</v>
      </c>
      <c r="Q119" s="24" t="s">
        <v>1128</v>
      </c>
      <c r="R119" s="25" t="s">
        <v>1174</v>
      </c>
      <c r="S119" s="24" t="s">
        <v>1150</v>
      </c>
      <c r="T119" s="24" t="str">
        <f aca="false">"["&amp;안내!$C$5&amp;" "&amp;F119&amp;"] "&amp;L119&amp;" | "&amp;J119</f>
        <v>[1분 성경 구약 #236] 그만 가져오세요! | 출 35:1-36:7</v>
      </c>
      <c r="U119" s="26" t="n">
        <f aca="false">IF(D119="구약",IF(C119=1,안내!$C$9,안내!$C$10)+AD119-1,IF(C119=1,안내!$C$9,안내!$C$10)+7*INT((AD119-1)/4)+CHOOSE(MOD(AD119-1,4)+1,0,2,4,5))</f>
        <v>46633</v>
      </c>
      <c r="V119" s="23" t="str">
        <f aca="false">CHOOSE(WEEKDAY(U119,2),"월","화","수","목","금","토","일")</f>
        <v>금</v>
      </c>
      <c r="W119" s="24" t="str">
        <f aca="false">IFERROR(IF(INDEX($C$2:$C$799,MATCH(D119&amp;"#"&amp;(E119+1),$AC$2:$AC$799,0))=C119,"다음 편: ","시즌1 완결 · 시즌2 첫 편: ")&amp;INDEX($L$2:$L$799,MATCH(D119&amp;"#"&amp;(E119+1),$AC$2:$AC$799,0)),"구약 트랙 완결")</f>
        <v>다음 편: 성막을 만들다</v>
      </c>
      <c r="X119" s="23" t="s">
        <v>130</v>
      </c>
      <c r="Y119" s="23" t="s">
        <v>130</v>
      </c>
      <c r="Z119" s="23" t="s">
        <v>130</v>
      </c>
      <c r="AA119" s="23" t="s">
        <v>130</v>
      </c>
      <c r="AB119" s="24"/>
      <c r="AC119" s="23" t="str">
        <f aca="false">D119&amp;"#"&amp;E119</f>
        <v>구약#236</v>
      </c>
      <c r="AD119" s="23" t="n">
        <f aca="false">COUNTIFS($C$2:C119,C119,$D$2:D119,D119)</f>
        <v>54</v>
      </c>
    </row>
    <row r="120" customFormat="false" ht="26.85" hidden="false" customHeight="false" outlineLevel="0" collapsed="false">
      <c r="A120" s="21" t="n">
        <v>119</v>
      </c>
      <c r="B120" s="18" t="s">
        <v>1175</v>
      </c>
      <c r="C120" s="23" t="n">
        <v>2</v>
      </c>
      <c r="D120" s="23" t="s">
        <v>116</v>
      </c>
      <c r="E120" s="23" t="n">
        <f aca="false">IF(C120=1,COUNTIFS($C$2:C120,1,$D$2:D120,D120),COUNTIFS($C$2:$C$799,1,$D$2:$D$799,D120)+COUNTIFS($C$2:C120,2,$D$2:D120,D120))</f>
        <v>237</v>
      </c>
      <c r="F120" s="23" t="str">
        <f aca="false">D120&amp;" #"&amp;TEXT(E120,"000")</f>
        <v>구약 #237</v>
      </c>
      <c r="G120" s="18" t="s">
        <v>1131</v>
      </c>
      <c r="H120" s="18" t="s">
        <v>1012</v>
      </c>
      <c r="I120" s="21" t="s">
        <v>819</v>
      </c>
      <c r="J120" s="22" t="s">
        <v>1176</v>
      </c>
      <c r="K120" s="23" t="s">
        <v>1085</v>
      </c>
      <c r="L120" s="24" t="s">
        <v>1177</v>
      </c>
      <c r="M120" s="24" t="s">
        <v>1178</v>
      </c>
      <c r="N120" s="23" t="s">
        <v>1179</v>
      </c>
      <c r="O120" s="24" t="s">
        <v>1180</v>
      </c>
      <c r="P120" s="24" t="s">
        <v>1181</v>
      </c>
      <c r="Q120" s="24" t="s">
        <v>1182</v>
      </c>
      <c r="R120" s="24"/>
      <c r="S120" s="24" t="s">
        <v>1150</v>
      </c>
      <c r="T120" s="24" t="str">
        <f aca="false">"["&amp;안내!$C$5&amp;" "&amp;F120&amp;"] "&amp;L120&amp;" | "&amp;J120</f>
        <v>[1분 성경 구약 #237] 성막을 만들다 | 출 36:8-39:43</v>
      </c>
      <c r="U120" s="26" t="n">
        <f aca="false">IF(D120="구약",IF(C120=1,안내!$C$9,안내!$C$10)+AD120-1,IF(C120=1,안내!$C$9,안내!$C$10)+7*INT((AD120-1)/4)+CHOOSE(MOD(AD120-1,4)+1,0,2,4,5))</f>
        <v>46634</v>
      </c>
      <c r="V120" s="23" t="str">
        <f aca="false">CHOOSE(WEEKDAY(U120,2),"월","화","수","목","금","토","일")</f>
        <v>토</v>
      </c>
      <c r="W120" s="24" t="str">
        <f aca="false">IFERROR(IF(INDEX($C$2:$C$799,MATCH(D120&amp;"#"&amp;(E120+1),$AC$2:$AC$799,0))=C120,"다음 편: ","시즌1 완결 · 시즌2 첫 편: ")&amp;INDEX($L$2:$L$799,MATCH(D120&amp;"#"&amp;(E120+1),$AC$2:$AC$799,0)),"구약 트랙 완결")</f>
        <v>다음 편: 왜 동물을 바쳤을까?</v>
      </c>
      <c r="X120" s="23" t="s">
        <v>130</v>
      </c>
      <c r="Y120" s="23" t="s">
        <v>130</v>
      </c>
      <c r="Z120" s="23" t="s">
        <v>130</v>
      </c>
      <c r="AA120" s="23" t="s">
        <v>130</v>
      </c>
      <c r="AB120" s="24"/>
      <c r="AC120" s="23" t="str">
        <f aca="false">D120&amp;"#"&amp;E120</f>
        <v>구약#237</v>
      </c>
      <c r="AD120" s="23" t="n">
        <f aca="false">COUNTIFS($C$2:C120,C120,$D$2:D120,D120)</f>
        <v>55</v>
      </c>
    </row>
    <row r="121" customFormat="false" ht="52.2" hidden="false" customHeight="false" outlineLevel="0" collapsed="false">
      <c r="A121" s="21" t="n">
        <v>120</v>
      </c>
      <c r="B121" s="18" t="s">
        <v>1183</v>
      </c>
      <c r="C121" s="20" t="n">
        <v>1</v>
      </c>
      <c r="D121" s="20" t="s">
        <v>116</v>
      </c>
      <c r="E121" s="20" t="n">
        <f aca="false">IF(C121=1,COUNTIFS($C$2:C121,1,$D$2:D121,D121),COUNTIFS($C$2:$C$799,1,$D$2:$D$799,D121)+COUNTIFS($C$2:C121,2,$D$2:D121,D121))</f>
        <v>65</v>
      </c>
      <c r="F121" s="20" t="str">
        <f aca="false">D121&amp;" #"&amp;TEXT(E121,"000")</f>
        <v>구약 #065</v>
      </c>
      <c r="G121" s="18" t="s">
        <v>1131</v>
      </c>
      <c r="H121" s="18" t="s">
        <v>1059</v>
      </c>
      <c r="I121" s="21" t="s">
        <v>819</v>
      </c>
      <c r="J121" s="22" t="s">
        <v>1184</v>
      </c>
      <c r="K121" s="23" t="s">
        <v>121</v>
      </c>
      <c r="L121" s="24" t="s">
        <v>1185</v>
      </c>
      <c r="M121" s="24" t="s">
        <v>1186</v>
      </c>
      <c r="N121" s="23" t="s">
        <v>1187</v>
      </c>
      <c r="O121" s="24" t="s">
        <v>1188</v>
      </c>
      <c r="P121" s="24" t="s">
        <v>980</v>
      </c>
      <c r="Q121" s="24" t="s">
        <v>1189</v>
      </c>
      <c r="R121" s="24"/>
      <c r="S121" s="28" t="s">
        <v>1190</v>
      </c>
      <c r="T121" s="24" t="str">
        <f aca="false">"["&amp;안내!$C$5&amp;" "&amp;F121&amp;"] "&amp;L121&amp;" | "&amp;J121</f>
        <v>[1분 성경 구약 #065] 영광이 성막에 가득하다 | 출 40:1-38</v>
      </c>
      <c r="U121" s="26" t="n">
        <f aca="false">IF(D121="구약",IF(C121=1,안내!$C$9,안내!$C$10)+AD121-1,IF(C121=1,안내!$C$9,안내!$C$10)+7*INT((AD121-1)/4)+CHOOSE(MOD(AD121-1,4)+1,0,2,4,5))</f>
        <v>46455</v>
      </c>
      <c r="V121" s="23" t="str">
        <f aca="false">CHOOSE(WEEKDAY(U121,2),"월","화","수","목","금","토","일")</f>
        <v>화</v>
      </c>
      <c r="W121" s="24" t="str">
        <f aca="false">IFERROR(IF(INDEX($C$2:$C$799,MATCH(D121&amp;"#"&amp;(E121+1),$AC$2:$AC$799,0))=C121,"다음 편: ","시즌1 완결 · 시즌2 첫 편: ")&amp;INDEX($L$2:$L$799,MATCH(D121&amp;"#"&amp;(E121+1),$AC$2:$AC$799,0)),"구약 트랙 완결")</f>
        <v>다음 편: 1년에 단 하루</v>
      </c>
      <c r="X121" s="23" t="s">
        <v>130</v>
      </c>
      <c r="Y121" s="23" t="s">
        <v>130</v>
      </c>
      <c r="Z121" s="23" t="s">
        <v>130</v>
      </c>
      <c r="AA121" s="23" t="s">
        <v>130</v>
      </c>
      <c r="AB121" s="24"/>
      <c r="AC121" s="23" t="str">
        <f aca="false">D121&amp;"#"&amp;E121</f>
        <v>구약#65</v>
      </c>
      <c r="AD121" s="23" t="n">
        <f aca="false">COUNTIFS($C$2:C121,C121,$D$2:D121,D121)</f>
        <v>65</v>
      </c>
    </row>
    <row r="122" customFormat="false" ht="26.85" hidden="false" customHeight="false" outlineLevel="0" collapsed="false">
      <c r="A122" s="21" t="n">
        <v>121</v>
      </c>
      <c r="B122" s="18" t="s">
        <v>1191</v>
      </c>
      <c r="C122" s="23" t="n">
        <v>2</v>
      </c>
      <c r="D122" s="23" t="s">
        <v>116</v>
      </c>
      <c r="E122" s="23" t="n">
        <f aca="false">IF(C122=1,COUNTIFS($C$2:C122,1,$D$2:D122,D122),COUNTIFS($C$2:$C$799,1,$D$2:$D$799,D122)+COUNTIFS($C$2:C122,2,$D$2:D122,D122))</f>
        <v>238</v>
      </c>
      <c r="F122" s="23" t="str">
        <f aca="false">D122&amp;" #"&amp;TEXT(E122,"000")</f>
        <v>구약 #238</v>
      </c>
      <c r="G122" s="18" t="s">
        <v>1192</v>
      </c>
      <c r="H122" s="18" t="s">
        <v>1193</v>
      </c>
      <c r="I122" s="21" t="s">
        <v>1194</v>
      </c>
      <c r="J122" s="22" t="s">
        <v>1195</v>
      </c>
      <c r="K122" s="23" t="s">
        <v>1085</v>
      </c>
      <c r="L122" s="24" t="s">
        <v>1196</v>
      </c>
      <c r="M122" s="29" t="s">
        <v>1197</v>
      </c>
      <c r="N122" s="23" t="s">
        <v>1198</v>
      </c>
      <c r="O122" s="24" t="s">
        <v>1199</v>
      </c>
      <c r="P122" s="24" t="s">
        <v>1200</v>
      </c>
      <c r="Q122" s="24" t="s">
        <v>1201</v>
      </c>
      <c r="R122" s="25" t="s">
        <v>1202</v>
      </c>
      <c r="S122" s="24" t="s">
        <v>1203</v>
      </c>
      <c r="T122" s="24" t="str">
        <f aca="false">"["&amp;안내!$C$5&amp;" "&amp;F122&amp;"] "&amp;L122&amp;" | "&amp;J122</f>
        <v>[1분 성경 구약 #238] 왜 동물을 바쳤을까? | 레 1:1-3:17</v>
      </c>
      <c r="U122" s="26" t="n">
        <f aca="false">IF(D122="구약",IF(C122=1,안내!$C$9,안내!$C$10)+AD122-1,IF(C122=1,안내!$C$9,안내!$C$10)+7*INT((AD122-1)/4)+CHOOSE(MOD(AD122-1,4)+1,0,2,4,5))</f>
        <v>46635</v>
      </c>
      <c r="V122" s="23" t="str">
        <f aca="false">CHOOSE(WEEKDAY(U122,2),"월","화","수","목","금","토","일")</f>
        <v>일</v>
      </c>
      <c r="W122" s="24" t="str">
        <f aca="false">IFERROR(IF(INDEX($C$2:$C$799,MATCH(D122&amp;"#"&amp;(E122+1),$AC$2:$AC$799,0))=C122,"다음 편: ","시즌1 완결 · 시즌2 첫 편: ")&amp;INDEX($L$2:$L$799,MATCH(D122&amp;"#"&amp;(E122+1),$AC$2:$AC$799,0)),"구약 트랙 완결")</f>
        <v>다음 편: 모르고 지은 죄도 죄일까?</v>
      </c>
      <c r="X122" s="23" t="s">
        <v>130</v>
      </c>
      <c r="Y122" s="23" t="s">
        <v>130</v>
      </c>
      <c r="Z122" s="23" t="s">
        <v>130</v>
      </c>
      <c r="AA122" s="23" t="s">
        <v>130</v>
      </c>
      <c r="AB122" s="24"/>
      <c r="AC122" s="23" t="str">
        <f aca="false">D122&amp;"#"&amp;E122</f>
        <v>구약#238</v>
      </c>
      <c r="AD122" s="23" t="n">
        <f aca="false">COUNTIFS($C$2:C122,C122,$D$2:D122,D122)</f>
        <v>56</v>
      </c>
    </row>
    <row r="123" customFormat="false" ht="26.85" hidden="false" customHeight="false" outlineLevel="0" collapsed="false">
      <c r="A123" s="21" t="n">
        <v>122</v>
      </c>
      <c r="B123" s="18" t="s">
        <v>1204</v>
      </c>
      <c r="C123" s="23" t="n">
        <v>2</v>
      </c>
      <c r="D123" s="23" t="s">
        <v>116</v>
      </c>
      <c r="E123" s="23" t="n">
        <f aca="false">IF(C123=1,COUNTIFS($C$2:C123,1,$D$2:D123,D123),COUNTIFS($C$2:$C$799,1,$D$2:$D$799,D123)+COUNTIFS($C$2:C123,2,$D$2:D123,D123))</f>
        <v>239</v>
      </c>
      <c r="F123" s="23" t="str">
        <f aca="false">D123&amp;" #"&amp;TEXT(E123,"000")</f>
        <v>구약 #239</v>
      </c>
      <c r="G123" s="18" t="s">
        <v>1192</v>
      </c>
      <c r="H123" s="18" t="s">
        <v>1193</v>
      </c>
      <c r="I123" s="21" t="s">
        <v>1194</v>
      </c>
      <c r="J123" s="22" t="s">
        <v>1205</v>
      </c>
      <c r="K123" s="23" t="s">
        <v>1085</v>
      </c>
      <c r="L123" s="24" t="s">
        <v>1206</v>
      </c>
      <c r="M123" s="24" t="s">
        <v>1207</v>
      </c>
      <c r="N123" s="23" t="s">
        <v>1208</v>
      </c>
      <c r="O123" s="24" t="s">
        <v>1209</v>
      </c>
      <c r="P123" s="24" t="s">
        <v>1210</v>
      </c>
      <c r="Q123" s="24" t="s">
        <v>1211</v>
      </c>
      <c r="R123" s="24"/>
      <c r="S123" s="24" t="s">
        <v>1203</v>
      </c>
      <c r="T123" s="24" t="str">
        <f aca="false">"["&amp;안내!$C$5&amp;" "&amp;F123&amp;"] "&amp;L123&amp;" | "&amp;J123</f>
        <v>[1분 성경 구약 #239] 모르고 지은 죄도 죄일까? | 레 4:1-7:38</v>
      </c>
      <c r="U123" s="26" t="n">
        <f aca="false">IF(D123="구약",IF(C123=1,안내!$C$9,안내!$C$10)+AD123-1,IF(C123=1,안내!$C$9,안내!$C$10)+7*INT((AD123-1)/4)+CHOOSE(MOD(AD123-1,4)+1,0,2,4,5))</f>
        <v>46636</v>
      </c>
      <c r="V123" s="23" t="str">
        <f aca="false">CHOOSE(WEEKDAY(U123,2),"월","화","수","목","금","토","일")</f>
        <v>월</v>
      </c>
      <c r="W123" s="24" t="str">
        <f aca="false">IFERROR(IF(INDEX($C$2:$C$799,MATCH(D123&amp;"#"&amp;(E123+1),$AC$2:$AC$799,0))=C123,"다음 편: ","시즌1 완결 · 시즌2 첫 편: ")&amp;INDEX($L$2:$L$799,MATCH(D123&amp;"#"&amp;(E123+1),$AC$2:$AC$799,0)),"구약 트랙 완결")</f>
        <v>다음 편: 다른 불</v>
      </c>
      <c r="X123" s="23" t="s">
        <v>130</v>
      </c>
      <c r="Y123" s="23" t="s">
        <v>130</v>
      </c>
      <c r="Z123" s="23" t="s">
        <v>130</v>
      </c>
      <c r="AA123" s="23" t="s">
        <v>130</v>
      </c>
      <c r="AB123" s="24"/>
      <c r="AC123" s="23" t="str">
        <f aca="false">D123&amp;"#"&amp;E123</f>
        <v>구약#239</v>
      </c>
      <c r="AD123" s="23" t="n">
        <f aca="false">COUNTIFS($C$2:C123,C123,$D$2:D123,D123)</f>
        <v>57</v>
      </c>
    </row>
    <row r="124" customFormat="false" ht="26.85" hidden="false" customHeight="false" outlineLevel="0" collapsed="false">
      <c r="A124" s="21" t="n">
        <v>123</v>
      </c>
      <c r="B124" s="18" t="s">
        <v>1212</v>
      </c>
      <c r="C124" s="23" t="n">
        <v>2</v>
      </c>
      <c r="D124" s="23" t="s">
        <v>116</v>
      </c>
      <c r="E124" s="23" t="n">
        <f aca="false">IF(C124=1,COUNTIFS($C$2:C124,1,$D$2:D124,D124),COUNTIFS($C$2:$C$799,1,$D$2:$D$799,D124)+COUNTIFS($C$2:C124,2,$D$2:D124,D124))</f>
        <v>240</v>
      </c>
      <c r="F124" s="23" t="str">
        <f aca="false">D124&amp;" #"&amp;TEXT(E124,"000")</f>
        <v>구약 #240</v>
      </c>
      <c r="G124" s="18" t="s">
        <v>1192</v>
      </c>
      <c r="H124" s="18" t="s">
        <v>1193</v>
      </c>
      <c r="I124" s="21" t="s">
        <v>1194</v>
      </c>
      <c r="J124" s="22" t="s">
        <v>1213</v>
      </c>
      <c r="K124" s="23" t="s">
        <v>1085</v>
      </c>
      <c r="L124" s="24" t="s">
        <v>1214</v>
      </c>
      <c r="M124" s="24" t="s">
        <v>1215</v>
      </c>
      <c r="N124" s="23" t="s">
        <v>1216</v>
      </c>
      <c r="O124" s="24" t="s">
        <v>1217</v>
      </c>
      <c r="P124" s="24" t="s">
        <v>1218</v>
      </c>
      <c r="Q124" s="24" t="s">
        <v>1219</v>
      </c>
      <c r="R124" s="25" t="s">
        <v>1220</v>
      </c>
      <c r="S124" s="24" t="s">
        <v>1203</v>
      </c>
      <c r="T124" s="24" t="str">
        <f aca="false">"["&amp;안내!$C$5&amp;" "&amp;F124&amp;"] "&amp;L124&amp;" | "&amp;J124</f>
        <v>[1분 성경 구약 #240] 다른 불 | 레 8:1-10:7</v>
      </c>
      <c r="U124" s="26" t="n">
        <f aca="false">IF(D124="구약",IF(C124=1,안내!$C$9,안내!$C$10)+AD124-1,IF(C124=1,안내!$C$9,안내!$C$10)+7*INT((AD124-1)/4)+CHOOSE(MOD(AD124-1,4)+1,0,2,4,5))</f>
        <v>46637</v>
      </c>
      <c r="V124" s="23" t="str">
        <f aca="false">CHOOSE(WEEKDAY(U124,2),"월","화","수","목","금","토","일")</f>
        <v>화</v>
      </c>
      <c r="W124" s="24" t="str">
        <f aca="false">IFERROR(IF(INDEX($C$2:$C$799,MATCH(D124&amp;"#"&amp;(E124+1),$AC$2:$AC$799,0))=C124,"다음 편: ","시즌1 완결 · 시즌2 첫 편: ")&amp;INDEX($L$2:$L$799,MATCH(D124&amp;"#"&amp;(E124+1),$AC$2:$AC$799,0)),"구약 트랙 완결")</f>
        <v>다음 편: 먹어도 되는 것, 안 되는 것</v>
      </c>
      <c r="X124" s="23" t="s">
        <v>130</v>
      </c>
      <c r="Y124" s="23" t="s">
        <v>130</v>
      </c>
      <c r="Z124" s="23" t="s">
        <v>130</v>
      </c>
      <c r="AA124" s="23" t="s">
        <v>130</v>
      </c>
      <c r="AB124" s="24"/>
      <c r="AC124" s="23" t="str">
        <f aca="false">D124&amp;"#"&amp;E124</f>
        <v>구약#240</v>
      </c>
      <c r="AD124" s="23" t="n">
        <f aca="false">COUNTIFS($C$2:C124,C124,$D$2:D124,D124)</f>
        <v>58</v>
      </c>
    </row>
    <row r="125" customFormat="false" ht="26.85" hidden="false" customHeight="false" outlineLevel="0" collapsed="false">
      <c r="A125" s="21" t="n">
        <v>124</v>
      </c>
      <c r="B125" s="18" t="s">
        <v>1221</v>
      </c>
      <c r="C125" s="23" t="n">
        <v>2</v>
      </c>
      <c r="D125" s="23" t="s">
        <v>116</v>
      </c>
      <c r="E125" s="23" t="n">
        <f aca="false">IF(C125=1,COUNTIFS($C$2:C125,1,$D$2:D125,D125),COUNTIFS($C$2:$C$799,1,$D$2:$D$799,D125)+COUNTIFS($C$2:C125,2,$D$2:D125,D125))</f>
        <v>241</v>
      </c>
      <c r="F125" s="23" t="str">
        <f aca="false">D125&amp;" #"&amp;TEXT(E125,"000")</f>
        <v>구약 #241</v>
      </c>
      <c r="G125" s="18" t="s">
        <v>1192</v>
      </c>
      <c r="H125" s="18" t="s">
        <v>1193</v>
      </c>
      <c r="I125" s="21" t="s">
        <v>1194</v>
      </c>
      <c r="J125" s="22" t="s">
        <v>1222</v>
      </c>
      <c r="K125" s="23" t="s">
        <v>1085</v>
      </c>
      <c r="L125" s="24" t="s">
        <v>1223</v>
      </c>
      <c r="M125" s="24" t="s">
        <v>1224</v>
      </c>
      <c r="N125" s="23" t="s">
        <v>1225</v>
      </c>
      <c r="O125" s="24" t="s">
        <v>1226</v>
      </c>
      <c r="P125" s="24" t="s">
        <v>1210</v>
      </c>
      <c r="Q125" s="24" t="s">
        <v>1148</v>
      </c>
      <c r="R125" s="25" t="s">
        <v>1227</v>
      </c>
      <c r="S125" s="24" t="s">
        <v>1203</v>
      </c>
      <c r="T125" s="24" t="str">
        <f aca="false">"["&amp;안내!$C$5&amp;" "&amp;F125&amp;"] "&amp;L125&amp;" | "&amp;J125</f>
        <v>[1분 성경 구약 #241] 먹어도 되는 것, 안 되는 것 | 레 11:1-15:33</v>
      </c>
      <c r="U125" s="26" t="n">
        <f aca="false">IF(D125="구약",IF(C125=1,안내!$C$9,안내!$C$10)+AD125-1,IF(C125=1,안내!$C$9,안내!$C$10)+7*INT((AD125-1)/4)+CHOOSE(MOD(AD125-1,4)+1,0,2,4,5))</f>
        <v>46638</v>
      </c>
      <c r="V125" s="23" t="str">
        <f aca="false">CHOOSE(WEEKDAY(U125,2),"월","화","수","목","금","토","일")</f>
        <v>수</v>
      </c>
      <c r="W125" s="24" t="str">
        <f aca="false">IFERROR(IF(INDEX($C$2:$C$799,MATCH(D125&amp;"#"&amp;(E125+1),$AC$2:$AC$799,0))=C125,"다음 편: ","시즌1 완결 · 시즌2 첫 편: ")&amp;INDEX($L$2:$L$799,MATCH(D125&amp;"#"&amp;(E125+1),$AC$2:$AC$799,0)),"구약 트랙 완결")</f>
        <v>다음 편: 피는 생명이다</v>
      </c>
      <c r="X125" s="23" t="s">
        <v>130</v>
      </c>
      <c r="Y125" s="23" t="s">
        <v>130</v>
      </c>
      <c r="Z125" s="23" t="s">
        <v>130</v>
      </c>
      <c r="AA125" s="23" t="s">
        <v>130</v>
      </c>
      <c r="AB125" s="24"/>
      <c r="AC125" s="23" t="str">
        <f aca="false">D125&amp;"#"&amp;E125</f>
        <v>구약#241</v>
      </c>
      <c r="AD125" s="23" t="n">
        <f aca="false">COUNTIFS($C$2:C125,C125,$D$2:D125,D125)</f>
        <v>59</v>
      </c>
    </row>
    <row r="126" customFormat="false" ht="52.2" hidden="false" customHeight="false" outlineLevel="0" collapsed="false">
      <c r="A126" s="21" t="n">
        <v>125</v>
      </c>
      <c r="B126" s="18" t="s">
        <v>1228</v>
      </c>
      <c r="C126" s="20" t="n">
        <v>1</v>
      </c>
      <c r="D126" s="20" t="s">
        <v>116</v>
      </c>
      <c r="E126" s="20" t="n">
        <f aca="false">IF(C126=1,COUNTIFS($C$2:C126,1,$D$2:D126,D126),COUNTIFS($C$2:$C$799,1,$D$2:$D$799,D126)+COUNTIFS($C$2:C126,2,$D$2:D126,D126))</f>
        <v>66</v>
      </c>
      <c r="F126" s="20" t="str">
        <f aca="false">D126&amp;" #"&amp;TEXT(E126,"000")</f>
        <v>구약 #066</v>
      </c>
      <c r="G126" s="18" t="s">
        <v>1192</v>
      </c>
      <c r="H126" s="18" t="s">
        <v>1059</v>
      </c>
      <c r="I126" s="21" t="s">
        <v>1194</v>
      </c>
      <c r="J126" s="22" t="s">
        <v>1229</v>
      </c>
      <c r="K126" s="23" t="s">
        <v>1085</v>
      </c>
      <c r="L126" s="29" t="s">
        <v>1230</v>
      </c>
      <c r="M126" s="24" t="s">
        <v>1231</v>
      </c>
      <c r="N126" s="23" t="s">
        <v>1232</v>
      </c>
      <c r="O126" s="24" t="s">
        <v>1233</v>
      </c>
      <c r="P126" s="24" t="s">
        <v>1234</v>
      </c>
      <c r="Q126" s="24" t="s">
        <v>1235</v>
      </c>
      <c r="R126" s="25" t="s">
        <v>1236</v>
      </c>
      <c r="S126" s="28" t="s">
        <v>1237</v>
      </c>
      <c r="T126" s="24" t="str">
        <f aca="false">"["&amp;안내!$C$5&amp;" "&amp;F126&amp;"] "&amp;L126&amp;" | "&amp;J126</f>
        <v>[1분 성경 구약 #066] 1년에 단 하루 | 레 16:1-34</v>
      </c>
      <c r="U126" s="26" t="n">
        <f aca="false">IF(D126="구약",IF(C126=1,안내!$C$9,안내!$C$10)+AD126-1,IF(C126=1,안내!$C$9,안내!$C$10)+7*INT((AD126-1)/4)+CHOOSE(MOD(AD126-1,4)+1,0,2,4,5))</f>
        <v>46456</v>
      </c>
      <c r="V126" s="23" t="str">
        <f aca="false">CHOOSE(WEEKDAY(U126,2),"월","화","수","목","금","토","일")</f>
        <v>수</v>
      </c>
      <c r="W126" s="24" t="str">
        <f aca="false">IFERROR(IF(INDEX($C$2:$C$799,MATCH(D126&amp;"#"&amp;(E126+1),$AC$2:$AC$799,0))=C126,"다음 편: ","시즌1 완결 · 시즌2 첫 편: ")&amp;INDEX($L$2:$L$799,MATCH(D126&amp;"#"&amp;(E126+1),$AC$2:$AC$799,0)),"구약 트랙 완결")</f>
        <v>다음 편: 열두 정탐꾼</v>
      </c>
      <c r="X126" s="23" t="s">
        <v>130</v>
      </c>
      <c r="Y126" s="23" t="s">
        <v>130</v>
      </c>
      <c r="Z126" s="23" t="s">
        <v>130</v>
      </c>
      <c r="AA126" s="23" t="s">
        <v>130</v>
      </c>
      <c r="AB126" s="24"/>
      <c r="AC126" s="23" t="str">
        <f aca="false">D126&amp;"#"&amp;E126</f>
        <v>구약#66</v>
      </c>
      <c r="AD126" s="23" t="n">
        <f aca="false">COUNTIFS($C$2:C126,C126,$D$2:D126,D126)</f>
        <v>66</v>
      </c>
    </row>
    <row r="127" customFormat="false" ht="39.55" hidden="false" customHeight="false" outlineLevel="0" collapsed="false">
      <c r="A127" s="21" t="n">
        <v>126</v>
      </c>
      <c r="B127" s="18" t="s">
        <v>1238</v>
      </c>
      <c r="C127" s="23" t="n">
        <v>2</v>
      </c>
      <c r="D127" s="23" t="s">
        <v>116</v>
      </c>
      <c r="E127" s="23" t="n">
        <f aca="false">IF(C127=1,COUNTIFS($C$2:C127,1,$D$2:D127,D127),COUNTIFS($C$2:$C$799,1,$D$2:$D$799,D127)+COUNTIFS($C$2:C127,2,$D$2:D127,D127))</f>
        <v>242</v>
      </c>
      <c r="F127" s="23" t="str">
        <f aca="false">D127&amp;" #"&amp;TEXT(E127,"000")</f>
        <v>구약 #242</v>
      </c>
      <c r="G127" s="18" t="s">
        <v>1192</v>
      </c>
      <c r="H127" s="18" t="s">
        <v>1193</v>
      </c>
      <c r="I127" s="21" t="s">
        <v>1194</v>
      </c>
      <c r="J127" s="22" t="s">
        <v>1239</v>
      </c>
      <c r="K127" s="23" t="s">
        <v>1085</v>
      </c>
      <c r="L127" s="24" t="s">
        <v>1240</v>
      </c>
      <c r="M127" s="24" t="s">
        <v>1241</v>
      </c>
      <c r="N127" s="23" t="s">
        <v>1242</v>
      </c>
      <c r="O127" s="24" t="s">
        <v>1243</v>
      </c>
      <c r="P127" s="24" t="s">
        <v>980</v>
      </c>
      <c r="Q127" s="24" t="s">
        <v>1148</v>
      </c>
      <c r="R127" s="27" t="s">
        <v>1244</v>
      </c>
      <c r="S127" s="24" t="s">
        <v>1245</v>
      </c>
      <c r="T127" s="24" t="str">
        <f aca="false">"["&amp;안내!$C$5&amp;" "&amp;F127&amp;"] "&amp;L127&amp;" | "&amp;J127</f>
        <v>[1분 성경 구약 #242] 피는 생명이다 | 레 17:1-18:30</v>
      </c>
      <c r="U127" s="26" t="n">
        <f aca="false">IF(D127="구약",IF(C127=1,안내!$C$9,안내!$C$10)+AD127-1,IF(C127=1,안내!$C$9,안내!$C$10)+7*INT((AD127-1)/4)+CHOOSE(MOD(AD127-1,4)+1,0,2,4,5))</f>
        <v>46639</v>
      </c>
      <c r="V127" s="23" t="str">
        <f aca="false">CHOOSE(WEEKDAY(U127,2),"월","화","수","목","금","토","일")</f>
        <v>목</v>
      </c>
      <c r="W127" s="24" t="str">
        <f aca="false">IFERROR(IF(INDEX($C$2:$C$799,MATCH(D127&amp;"#"&amp;(E127+1),$AC$2:$AC$799,0))=C127,"다음 편: ","시즌1 완결 · 시즌2 첫 편: ")&amp;INDEX($L$2:$L$799,MATCH(D127&amp;"#"&amp;(E127+1),$AC$2:$AC$799,0)),"구약 트랙 완결")</f>
        <v>다음 편: 네 이웃을 네 몸과 같이</v>
      </c>
      <c r="X127" s="23" t="s">
        <v>130</v>
      </c>
      <c r="Y127" s="23" t="s">
        <v>130</v>
      </c>
      <c r="Z127" s="23" t="s">
        <v>130</v>
      </c>
      <c r="AA127" s="23" t="s">
        <v>130</v>
      </c>
      <c r="AB127" s="24"/>
      <c r="AC127" s="23" t="str">
        <f aca="false">D127&amp;"#"&amp;E127</f>
        <v>구약#242</v>
      </c>
      <c r="AD127" s="23" t="n">
        <f aca="false">COUNTIFS($C$2:C127,C127,$D$2:D127,D127)</f>
        <v>60</v>
      </c>
    </row>
    <row r="128" customFormat="false" ht="25.35" hidden="false" customHeight="false" outlineLevel="0" collapsed="false">
      <c r="A128" s="21" t="n">
        <v>127</v>
      </c>
      <c r="B128" s="18" t="s">
        <v>1246</v>
      </c>
      <c r="C128" s="23" t="n">
        <v>2</v>
      </c>
      <c r="D128" s="23" t="s">
        <v>116</v>
      </c>
      <c r="E128" s="23" t="n">
        <f aca="false">IF(C128=1,COUNTIFS($C$2:C128,1,$D$2:D128,D128),COUNTIFS($C$2:$C$799,1,$D$2:$D$799,D128)+COUNTIFS($C$2:C128,2,$D$2:D128,D128))</f>
        <v>243</v>
      </c>
      <c r="F128" s="23" t="str">
        <f aca="false">D128&amp;" #"&amp;TEXT(E128,"000")</f>
        <v>구약 #243</v>
      </c>
      <c r="G128" s="18" t="s">
        <v>1192</v>
      </c>
      <c r="H128" s="18" t="s">
        <v>1193</v>
      </c>
      <c r="I128" s="21" t="s">
        <v>1194</v>
      </c>
      <c r="J128" s="22" t="s">
        <v>1247</v>
      </c>
      <c r="K128" s="23" t="s">
        <v>1085</v>
      </c>
      <c r="L128" s="24" t="s">
        <v>1248</v>
      </c>
      <c r="M128" s="24" t="s">
        <v>1249</v>
      </c>
      <c r="N128" s="23" t="s">
        <v>1250</v>
      </c>
      <c r="O128" s="24" t="s">
        <v>1251</v>
      </c>
      <c r="P128" s="24" t="s">
        <v>980</v>
      </c>
      <c r="Q128" s="24" t="s">
        <v>1252</v>
      </c>
      <c r="R128" s="24"/>
      <c r="S128" s="24" t="s">
        <v>1245</v>
      </c>
      <c r="T128" s="24" t="str">
        <f aca="false">"["&amp;안내!$C$5&amp;" "&amp;F128&amp;"] "&amp;L128&amp;" | "&amp;J128</f>
        <v>[1분 성경 구약 #243] 네 이웃을 네 몸과 같이 | 레 19:1-37</v>
      </c>
      <c r="U128" s="26" t="n">
        <f aca="false">IF(D128="구약",IF(C128=1,안내!$C$9,안내!$C$10)+AD128-1,IF(C128=1,안내!$C$9,안내!$C$10)+7*INT((AD128-1)/4)+CHOOSE(MOD(AD128-1,4)+1,0,2,4,5))</f>
        <v>46640</v>
      </c>
      <c r="V128" s="23" t="str">
        <f aca="false">CHOOSE(WEEKDAY(U128,2),"월","화","수","목","금","토","일")</f>
        <v>금</v>
      </c>
      <c r="W128" s="24" t="str">
        <f aca="false">IFERROR(IF(INDEX($C$2:$C$799,MATCH(D128&amp;"#"&amp;(E128+1),$AC$2:$AC$799,0))=C128,"다음 편: ","시즌1 완결 · 시즌2 첫 편: ")&amp;INDEX($L$2:$L$799,MATCH(D128&amp;"#"&amp;(E128+1),$AC$2:$AC$799,0)),"구약 트랙 완결")</f>
        <v>다음 편: 구별된 백성</v>
      </c>
      <c r="X128" s="23" t="s">
        <v>130</v>
      </c>
      <c r="Y128" s="23" t="s">
        <v>130</v>
      </c>
      <c r="Z128" s="23" t="s">
        <v>130</v>
      </c>
      <c r="AA128" s="23" t="s">
        <v>130</v>
      </c>
      <c r="AB128" s="24"/>
      <c r="AC128" s="23" t="str">
        <f aca="false">D128&amp;"#"&amp;E128</f>
        <v>구약#243</v>
      </c>
      <c r="AD128" s="23" t="n">
        <f aca="false">COUNTIFS($C$2:C128,C128,$D$2:D128,D128)</f>
        <v>61</v>
      </c>
    </row>
    <row r="129" customFormat="false" ht="26.85" hidden="false" customHeight="false" outlineLevel="0" collapsed="false">
      <c r="A129" s="21" t="n">
        <v>128</v>
      </c>
      <c r="B129" s="18" t="s">
        <v>1253</v>
      </c>
      <c r="C129" s="23" t="n">
        <v>2</v>
      </c>
      <c r="D129" s="23" t="s">
        <v>116</v>
      </c>
      <c r="E129" s="23" t="n">
        <f aca="false">IF(C129=1,COUNTIFS($C$2:C129,1,$D$2:D129,D129),COUNTIFS($C$2:$C$799,1,$D$2:$D$799,D129)+COUNTIFS($C$2:C129,2,$D$2:D129,D129))</f>
        <v>244</v>
      </c>
      <c r="F129" s="23" t="str">
        <f aca="false">D129&amp;" #"&amp;TEXT(E129,"000")</f>
        <v>구약 #244</v>
      </c>
      <c r="G129" s="18" t="s">
        <v>1192</v>
      </c>
      <c r="H129" s="18" t="s">
        <v>1193</v>
      </c>
      <c r="I129" s="21" t="s">
        <v>1194</v>
      </c>
      <c r="J129" s="22" t="s">
        <v>1254</v>
      </c>
      <c r="K129" s="23" t="s">
        <v>1085</v>
      </c>
      <c r="L129" s="24" t="s">
        <v>1255</v>
      </c>
      <c r="M129" s="24" t="s">
        <v>1256</v>
      </c>
      <c r="N129" s="23" t="s">
        <v>1257</v>
      </c>
      <c r="O129" s="24" t="s">
        <v>1258</v>
      </c>
      <c r="P129" s="24" t="s">
        <v>1210</v>
      </c>
      <c r="Q129" s="24" t="s">
        <v>1259</v>
      </c>
      <c r="R129" s="25" t="s">
        <v>1260</v>
      </c>
      <c r="S129" s="24" t="s">
        <v>1245</v>
      </c>
      <c r="T129" s="24" t="str">
        <f aca="false">"["&amp;안내!$C$5&amp;" "&amp;F129&amp;"] "&amp;L129&amp;" | "&amp;J129</f>
        <v>[1분 성경 구약 #244] 구별된 백성 | 레 20:1-22:33</v>
      </c>
      <c r="U129" s="26" t="n">
        <f aca="false">IF(D129="구약",IF(C129=1,안내!$C$9,안내!$C$10)+AD129-1,IF(C129=1,안내!$C$9,안내!$C$10)+7*INT((AD129-1)/4)+CHOOSE(MOD(AD129-1,4)+1,0,2,4,5))</f>
        <v>46641</v>
      </c>
      <c r="V129" s="23" t="str">
        <f aca="false">CHOOSE(WEEKDAY(U129,2),"월","화","수","목","금","토","일")</f>
        <v>토</v>
      </c>
      <c r="W129" s="24" t="str">
        <f aca="false">IFERROR(IF(INDEX($C$2:$C$799,MATCH(D129&amp;"#"&amp;(E129+1),$AC$2:$AC$799,0))=C129,"다음 편: ","시즌1 완결 · 시즌2 첫 편: ")&amp;INDEX($L$2:$L$799,MATCH(D129&amp;"#"&amp;(E129+1),$AC$2:$AC$799,0)),"구약 트랙 완결")</f>
        <v>다음 편: 이스라엘의 일곱 절기</v>
      </c>
      <c r="X129" s="23" t="s">
        <v>130</v>
      </c>
      <c r="Y129" s="23" t="s">
        <v>130</v>
      </c>
      <c r="Z129" s="23" t="s">
        <v>130</v>
      </c>
      <c r="AA129" s="23" t="s">
        <v>130</v>
      </c>
      <c r="AB129" s="24"/>
      <c r="AC129" s="23" t="str">
        <f aca="false">D129&amp;"#"&amp;E129</f>
        <v>구약#244</v>
      </c>
      <c r="AD129" s="23" t="n">
        <f aca="false">COUNTIFS($C$2:C129,C129,$D$2:D129,D129)</f>
        <v>62</v>
      </c>
    </row>
    <row r="130" customFormat="false" ht="26.85" hidden="false" customHeight="false" outlineLevel="0" collapsed="false">
      <c r="A130" s="21" t="n">
        <v>129</v>
      </c>
      <c r="B130" s="18" t="s">
        <v>1261</v>
      </c>
      <c r="C130" s="23" t="n">
        <v>2</v>
      </c>
      <c r="D130" s="23" t="s">
        <v>116</v>
      </c>
      <c r="E130" s="23" t="n">
        <f aca="false">IF(C130=1,COUNTIFS($C$2:C130,1,$D$2:D130,D130),COUNTIFS($C$2:$C$799,1,$D$2:$D$799,D130)+COUNTIFS($C$2:C130,2,$D$2:D130,D130))</f>
        <v>245</v>
      </c>
      <c r="F130" s="23" t="str">
        <f aca="false">D130&amp;" #"&amp;TEXT(E130,"000")</f>
        <v>구약 #245</v>
      </c>
      <c r="G130" s="18" t="s">
        <v>1192</v>
      </c>
      <c r="H130" s="18" t="s">
        <v>1193</v>
      </c>
      <c r="I130" s="21" t="s">
        <v>1194</v>
      </c>
      <c r="J130" s="22" t="s">
        <v>1262</v>
      </c>
      <c r="K130" s="23" t="s">
        <v>1085</v>
      </c>
      <c r="L130" s="24" t="s">
        <v>1263</v>
      </c>
      <c r="M130" s="24" t="s">
        <v>1264</v>
      </c>
      <c r="N130" s="23" t="s">
        <v>1265</v>
      </c>
      <c r="O130" s="24" t="s">
        <v>1266</v>
      </c>
      <c r="P130" s="24" t="s">
        <v>1267</v>
      </c>
      <c r="Q130" s="24" t="s">
        <v>1268</v>
      </c>
      <c r="R130" s="25" t="s">
        <v>1269</v>
      </c>
      <c r="S130" s="24" t="s">
        <v>1245</v>
      </c>
      <c r="T130" s="24" t="str">
        <f aca="false">"["&amp;안내!$C$5&amp;" "&amp;F130&amp;"] "&amp;L130&amp;" | "&amp;J130</f>
        <v>[1분 성경 구약 #245] 이스라엘의 일곱 절기 | 레 23:1-44</v>
      </c>
      <c r="U130" s="26" t="n">
        <f aca="false">IF(D130="구약",IF(C130=1,안내!$C$9,안내!$C$10)+AD130-1,IF(C130=1,안내!$C$9,안내!$C$10)+7*INT((AD130-1)/4)+CHOOSE(MOD(AD130-1,4)+1,0,2,4,5))</f>
        <v>46642</v>
      </c>
      <c r="V130" s="23" t="str">
        <f aca="false">CHOOSE(WEEKDAY(U130,2),"월","화","수","목","금","토","일")</f>
        <v>일</v>
      </c>
      <c r="W130" s="24" t="str">
        <f aca="false">IFERROR(IF(INDEX($C$2:$C$799,MATCH(D130&amp;"#"&amp;(E130+1),$AC$2:$AC$799,0))=C130,"다음 편: ","시즌1 완결 · 시즌2 첫 편: ")&amp;INDEX($L$2:$L$799,MATCH(D130&amp;"#"&amp;(E130+1),$AC$2:$AC$799,0)),"구약 트랙 완결")</f>
        <v>다음 편: 등불과 진설병</v>
      </c>
      <c r="X130" s="23" t="s">
        <v>130</v>
      </c>
      <c r="Y130" s="23" t="s">
        <v>130</v>
      </c>
      <c r="Z130" s="23" t="s">
        <v>130</v>
      </c>
      <c r="AA130" s="23" t="s">
        <v>130</v>
      </c>
      <c r="AB130" s="24"/>
      <c r="AC130" s="23" t="str">
        <f aca="false">D130&amp;"#"&amp;E130</f>
        <v>구약#245</v>
      </c>
      <c r="AD130" s="23" t="n">
        <f aca="false">COUNTIFS($C$2:C130,C130,$D$2:D130,D130)</f>
        <v>63</v>
      </c>
    </row>
    <row r="131" customFormat="false" ht="26.85" hidden="false" customHeight="false" outlineLevel="0" collapsed="false">
      <c r="A131" s="21" t="n">
        <v>130</v>
      </c>
      <c r="B131" s="18" t="s">
        <v>1270</v>
      </c>
      <c r="C131" s="23" t="n">
        <v>2</v>
      </c>
      <c r="D131" s="23" t="s">
        <v>116</v>
      </c>
      <c r="E131" s="23" t="n">
        <f aca="false">IF(C131=1,COUNTIFS($C$2:C131,1,$D$2:D131,D131),COUNTIFS($C$2:$C$799,1,$D$2:$D$799,D131)+COUNTIFS($C$2:C131,2,$D$2:D131,D131))</f>
        <v>246</v>
      </c>
      <c r="F131" s="23" t="str">
        <f aca="false">D131&amp;" #"&amp;TEXT(E131,"000")</f>
        <v>구약 #246</v>
      </c>
      <c r="G131" s="18" t="s">
        <v>1192</v>
      </c>
      <c r="H131" s="18" t="s">
        <v>1193</v>
      </c>
      <c r="I131" s="21" t="s">
        <v>1194</v>
      </c>
      <c r="J131" s="22" t="s">
        <v>1271</v>
      </c>
      <c r="K131" s="23" t="s">
        <v>1085</v>
      </c>
      <c r="L131" s="24" t="s">
        <v>1272</v>
      </c>
      <c r="M131" s="24" t="s">
        <v>1273</v>
      </c>
      <c r="N131" s="23" t="s">
        <v>1274</v>
      </c>
      <c r="O131" s="24" t="s">
        <v>1275</v>
      </c>
      <c r="P131" s="24" t="s">
        <v>1210</v>
      </c>
      <c r="Q131" s="24" t="s">
        <v>1276</v>
      </c>
      <c r="R131" s="25" t="s">
        <v>704</v>
      </c>
      <c r="S131" s="24" t="s">
        <v>1245</v>
      </c>
      <c r="T131" s="24" t="str">
        <f aca="false">"["&amp;안내!$C$5&amp;" "&amp;F131&amp;"] "&amp;L131&amp;" | "&amp;J131</f>
        <v>[1분 성경 구약 #246] 등불과 진설병 | 레 24:1-23</v>
      </c>
      <c r="U131" s="26" t="n">
        <f aca="false">IF(D131="구약",IF(C131=1,안내!$C$9,안내!$C$10)+AD131-1,IF(C131=1,안내!$C$9,안내!$C$10)+7*INT((AD131-1)/4)+CHOOSE(MOD(AD131-1,4)+1,0,2,4,5))</f>
        <v>46643</v>
      </c>
      <c r="V131" s="23" t="str">
        <f aca="false">CHOOSE(WEEKDAY(U131,2),"월","화","수","목","금","토","일")</f>
        <v>월</v>
      </c>
      <c r="W131" s="24" t="str">
        <f aca="false">IFERROR(IF(INDEX($C$2:$C$799,MATCH(D131&amp;"#"&amp;(E131+1),$AC$2:$AC$799,0))=C131,"다음 편: ","시즌1 완결 · 시즌2 첫 편: ")&amp;INDEX($L$2:$L$799,MATCH(D131&amp;"#"&amp;(E131+1),$AC$2:$AC$799,0)),"구약 트랙 완결")</f>
        <v>다음 편: 50년마다 모든 것이 돌아간다</v>
      </c>
      <c r="X131" s="23" t="s">
        <v>130</v>
      </c>
      <c r="Y131" s="23" t="s">
        <v>130</v>
      </c>
      <c r="Z131" s="23" t="s">
        <v>130</v>
      </c>
      <c r="AA131" s="23" t="s">
        <v>130</v>
      </c>
      <c r="AB131" s="24"/>
      <c r="AC131" s="23" t="str">
        <f aca="false">D131&amp;"#"&amp;E131</f>
        <v>구약#246</v>
      </c>
      <c r="AD131" s="23" t="n">
        <f aca="false">COUNTIFS($C$2:C131,C131,$D$2:D131,D131)</f>
        <v>64</v>
      </c>
    </row>
    <row r="132" customFormat="false" ht="26.85" hidden="false" customHeight="false" outlineLevel="0" collapsed="false">
      <c r="A132" s="21" t="n">
        <v>131</v>
      </c>
      <c r="B132" s="18" t="s">
        <v>1277</v>
      </c>
      <c r="C132" s="23" t="n">
        <v>2</v>
      </c>
      <c r="D132" s="23" t="s">
        <v>116</v>
      </c>
      <c r="E132" s="23" t="n">
        <f aca="false">IF(C132=1,COUNTIFS($C$2:C132,1,$D$2:D132,D132),COUNTIFS($C$2:$C$799,1,$D$2:$D$799,D132)+COUNTIFS($C$2:C132,2,$D$2:D132,D132))</f>
        <v>247</v>
      </c>
      <c r="F132" s="23" t="str">
        <f aca="false">D132&amp;" #"&amp;TEXT(E132,"000")</f>
        <v>구약 #247</v>
      </c>
      <c r="G132" s="18" t="s">
        <v>1192</v>
      </c>
      <c r="H132" s="18" t="s">
        <v>1193</v>
      </c>
      <c r="I132" s="21" t="s">
        <v>1194</v>
      </c>
      <c r="J132" s="22" t="s">
        <v>1278</v>
      </c>
      <c r="K132" s="23" t="s">
        <v>1085</v>
      </c>
      <c r="L132" s="29" t="s">
        <v>1279</v>
      </c>
      <c r="M132" s="24" t="s">
        <v>1280</v>
      </c>
      <c r="N132" s="23" t="s">
        <v>1281</v>
      </c>
      <c r="O132" s="24" t="s">
        <v>1282</v>
      </c>
      <c r="P132" s="24" t="s">
        <v>1267</v>
      </c>
      <c r="Q132" s="24" t="s">
        <v>1283</v>
      </c>
      <c r="R132" s="25" t="s">
        <v>1284</v>
      </c>
      <c r="S132" s="24" t="s">
        <v>1245</v>
      </c>
      <c r="T132" s="24" t="str">
        <f aca="false">"["&amp;안내!$C$5&amp;" "&amp;F132&amp;"] "&amp;L132&amp;" | "&amp;J132</f>
        <v>[1분 성경 구약 #247] 50년마다 모든 것이 돌아간다 | 레 25:1-55</v>
      </c>
      <c r="U132" s="26" t="n">
        <f aca="false">IF(D132="구약",IF(C132=1,안내!$C$9,안내!$C$10)+AD132-1,IF(C132=1,안내!$C$9,안내!$C$10)+7*INT((AD132-1)/4)+CHOOSE(MOD(AD132-1,4)+1,0,2,4,5))</f>
        <v>46644</v>
      </c>
      <c r="V132" s="23" t="str">
        <f aca="false">CHOOSE(WEEKDAY(U132,2),"월","화","수","목","금","토","일")</f>
        <v>화</v>
      </c>
      <c r="W132" s="24" t="str">
        <f aca="false">IFERROR(IF(INDEX($C$2:$C$799,MATCH(D132&amp;"#"&amp;(E132+1),$AC$2:$AC$799,0))=C132,"다음 편: ","시즌1 완결 · 시즌2 첫 편: ")&amp;INDEX($L$2:$L$799,MATCH(D132&amp;"#"&amp;(E132+1),$AC$2:$AC$799,0)),"구약 트랙 완결")</f>
        <v>다음 편: 순종과 복</v>
      </c>
      <c r="X132" s="23" t="s">
        <v>130</v>
      </c>
      <c r="Y132" s="23" t="s">
        <v>130</v>
      </c>
      <c r="Z132" s="23" t="s">
        <v>130</v>
      </c>
      <c r="AA132" s="23" t="s">
        <v>130</v>
      </c>
      <c r="AB132" s="24"/>
      <c r="AC132" s="23" t="str">
        <f aca="false">D132&amp;"#"&amp;E132</f>
        <v>구약#247</v>
      </c>
      <c r="AD132" s="23" t="n">
        <f aca="false">COUNTIFS($C$2:C132,C132,$D$2:D132,D132)</f>
        <v>65</v>
      </c>
    </row>
    <row r="133" customFormat="false" ht="26.85" hidden="false" customHeight="false" outlineLevel="0" collapsed="false">
      <c r="A133" s="21" t="n">
        <v>132</v>
      </c>
      <c r="B133" s="18" t="s">
        <v>1285</v>
      </c>
      <c r="C133" s="23" t="n">
        <v>2</v>
      </c>
      <c r="D133" s="23" t="s">
        <v>116</v>
      </c>
      <c r="E133" s="23" t="n">
        <f aca="false">IF(C133=1,COUNTIFS($C$2:C133,1,$D$2:D133,D133),COUNTIFS($C$2:$C$799,1,$D$2:$D$799,D133)+COUNTIFS($C$2:C133,2,$D$2:D133,D133))</f>
        <v>248</v>
      </c>
      <c r="F133" s="23" t="str">
        <f aca="false">D133&amp;" #"&amp;TEXT(E133,"000")</f>
        <v>구약 #248</v>
      </c>
      <c r="G133" s="18" t="s">
        <v>1192</v>
      </c>
      <c r="H133" s="18" t="s">
        <v>1193</v>
      </c>
      <c r="I133" s="21" t="s">
        <v>1194</v>
      </c>
      <c r="J133" s="22" t="s">
        <v>1286</v>
      </c>
      <c r="K133" s="23" t="s">
        <v>1085</v>
      </c>
      <c r="L133" s="24" t="s">
        <v>1287</v>
      </c>
      <c r="M133" s="24" t="s">
        <v>1288</v>
      </c>
      <c r="N133" s="23" t="s">
        <v>1289</v>
      </c>
      <c r="O133" s="24" t="s">
        <v>1290</v>
      </c>
      <c r="P133" s="24" t="s">
        <v>980</v>
      </c>
      <c r="Q133" s="24" t="s">
        <v>1148</v>
      </c>
      <c r="R133" s="25" t="s">
        <v>1291</v>
      </c>
      <c r="S133" s="24" t="s">
        <v>1245</v>
      </c>
      <c r="T133" s="24" t="str">
        <f aca="false">"["&amp;안내!$C$5&amp;" "&amp;F133&amp;"] "&amp;L133&amp;" | "&amp;J133</f>
        <v>[1분 성경 구약 #248] 순종과 복 | 레 26:1-27:34</v>
      </c>
      <c r="U133" s="26" t="n">
        <f aca="false">IF(D133="구약",IF(C133=1,안내!$C$9,안내!$C$10)+AD133-1,IF(C133=1,안내!$C$9,안내!$C$10)+7*INT((AD133-1)/4)+CHOOSE(MOD(AD133-1,4)+1,0,2,4,5))</f>
        <v>46645</v>
      </c>
      <c r="V133" s="23" t="str">
        <f aca="false">CHOOSE(WEEKDAY(U133,2),"월","화","수","목","금","토","일")</f>
        <v>수</v>
      </c>
      <c r="W133" s="24" t="str">
        <f aca="false">IFERROR(IF(INDEX($C$2:$C$799,MATCH(D133&amp;"#"&amp;(E133+1),$AC$2:$AC$799,0))=C133,"다음 편: ","시즌1 완결 · 시즌2 첫 편: ")&amp;INDEX($L$2:$L$799,MATCH(D133&amp;"#"&amp;(E133+1),$AC$2:$AC$799,0)),"구약 트랙 완결")</f>
        <v>다음 편: 광야의 대형</v>
      </c>
      <c r="X133" s="23" t="s">
        <v>130</v>
      </c>
      <c r="Y133" s="23" t="s">
        <v>130</v>
      </c>
      <c r="Z133" s="23" t="s">
        <v>130</v>
      </c>
      <c r="AA133" s="23" t="s">
        <v>130</v>
      </c>
      <c r="AB133" s="24"/>
      <c r="AC133" s="23" t="str">
        <f aca="false">D133&amp;"#"&amp;E133</f>
        <v>구약#248</v>
      </c>
      <c r="AD133" s="23" t="n">
        <f aca="false">COUNTIFS($C$2:C133,C133,$D$2:D133,D133)</f>
        <v>66</v>
      </c>
    </row>
    <row r="134" customFormat="false" ht="26.85" hidden="false" customHeight="false" outlineLevel="0" collapsed="false">
      <c r="A134" s="21" t="n">
        <v>133</v>
      </c>
      <c r="B134" s="18" t="s">
        <v>1292</v>
      </c>
      <c r="C134" s="23" t="n">
        <v>2</v>
      </c>
      <c r="D134" s="23" t="s">
        <v>116</v>
      </c>
      <c r="E134" s="23" t="n">
        <f aca="false">IF(C134=1,COUNTIFS($C$2:C134,1,$D$2:D134,D134),COUNTIFS($C$2:$C$799,1,$D$2:$D$799,D134)+COUNTIFS($C$2:C134,2,$D$2:D134,D134))</f>
        <v>249</v>
      </c>
      <c r="F134" s="23" t="str">
        <f aca="false">D134&amp;" #"&amp;TEXT(E134,"000")</f>
        <v>구약 #249</v>
      </c>
      <c r="G134" s="18" t="s">
        <v>1293</v>
      </c>
      <c r="H134" s="18" t="s">
        <v>1294</v>
      </c>
      <c r="I134" s="21" t="s">
        <v>1295</v>
      </c>
      <c r="J134" s="22" t="s">
        <v>1296</v>
      </c>
      <c r="K134" s="23" t="s">
        <v>1085</v>
      </c>
      <c r="L134" s="24" t="s">
        <v>1297</v>
      </c>
      <c r="M134" s="29" t="s">
        <v>1298</v>
      </c>
      <c r="N134" s="23" t="s">
        <v>1299</v>
      </c>
      <c r="O134" s="24" t="s">
        <v>1300</v>
      </c>
      <c r="P134" s="24" t="s">
        <v>1301</v>
      </c>
      <c r="Q134" s="24" t="s">
        <v>1302</v>
      </c>
      <c r="R134" s="24"/>
      <c r="S134" s="24" t="s">
        <v>1245</v>
      </c>
      <c r="T134" s="24" t="str">
        <f aca="false">"["&amp;안내!$C$5&amp;" "&amp;F134&amp;"] "&amp;L134&amp;" | "&amp;J134</f>
        <v>[1분 성경 구약 #249] 광야의 대형 | 민 1:1-4:49</v>
      </c>
      <c r="U134" s="26" t="n">
        <f aca="false">IF(D134="구약",IF(C134=1,안내!$C$9,안내!$C$10)+AD134-1,IF(C134=1,안내!$C$9,안내!$C$10)+7*INT((AD134-1)/4)+CHOOSE(MOD(AD134-1,4)+1,0,2,4,5))</f>
        <v>46646</v>
      </c>
      <c r="V134" s="23" t="str">
        <f aca="false">CHOOSE(WEEKDAY(U134,2),"월","화","수","목","금","토","일")</f>
        <v>목</v>
      </c>
      <c r="W134" s="24" t="str">
        <f aca="false">IFERROR(IF(INDEX($C$2:$C$799,MATCH(D134&amp;"#"&amp;(E134+1),$AC$2:$AC$799,0))=C134,"다음 편: ","시즌1 완결 · 시즌2 첫 편: ")&amp;INDEX($L$2:$L$799,MATCH(D134&amp;"#"&amp;(E134+1),$AC$2:$AC$799,0)),"구약 트랙 완결")</f>
        <v>다음 편: 3천 년 된 축복기도</v>
      </c>
      <c r="X134" s="23" t="s">
        <v>130</v>
      </c>
      <c r="Y134" s="23" t="s">
        <v>130</v>
      </c>
      <c r="Z134" s="23" t="s">
        <v>130</v>
      </c>
      <c r="AA134" s="23" t="s">
        <v>130</v>
      </c>
      <c r="AB134" s="24"/>
      <c r="AC134" s="23" t="str">
        <f aca="false">D134&amp;"#"&amp;E134</f>
        <v>구약#249</v>
      </c>
      <c r="AD134" s="23" t="n">
        <f aca="false">COUNTIFS($C$2:C134,C134,$D$2:D134,D134)</f>
        <v>67</v>
      </c>
    </row>
    <row r="135" customFormat="false" ht="26.85" hidden="false" customHeight="false" outlineLevel="0" collapsed="false">
      <c r="A135" s="21" t="n">
        <v>134</v>
      </c>
      <c r="B135" s="18" t="s">
        <v>1303</v>
      </c>
      <c r="C135" s="23" t="n">
        <v>2</v>
      </c>
      <c r="D135" s="23" t="s">
        <v>116</v>
      </c>
      <c r="E135" s="23" t="n">
        <f aca="false">IF(C135=1,COUNTIFS($C$2:C135,1,$D$2:D135,D135),COUNTIFS($C$2:$C$799,1,$D$2:$D$799,D135)+COUNTIFS($C$2:C135,2,$D$2:D135,D135))</f>
        <v>250</v>
      </c>
      <c r="F135" s="23" t="str">
        <f aca="false">D135&amp;" #"&amp;TEXT(E135,"000")</f>
        <v>구약 #250</v>
      </c>
      <c r="G135" s="18" t="s">
        <v>1293</v>
      </c>
      <c r="H135" s="18" t="s">
        <v>1294</v>
      </c>
      <c r="I135" s="21" t="s">
        <v>1295</v>
      </c>
      <c r="J135" s="22" t="s">
        <v>1304</v>
      </c>
      <c r="K135" s="23" t="s">
        <v>1085</v>
      </c>
      <c r="L135" s="29" t="s">
        <v>1305</v>
      </c>
      <c r="M135" s="24" t="s">
        <v>1306</v>
      </c>
      <c r="N135" s="23" t="s">
        <v>1307</v>
      </c>
      <c r="O135" s="24" t="s">
        <v>1308</v>
      </c>
      <c r="P135" s="24" t="s">
        <v>1309</v>
      </c>
      <c r="Q135" s="24" t="s">
        <v>1310</v>
      </c>
      <c r="R135" s="24"/>
      <c r="S135" s="24" t="s">
        <v>1245</v>
      </c>
      <c r="T135" s="24" t="str">
        <f aca="false">"["&amp;안내!$C$5&amp;" "&amp;F135&amp;"] "&amp;L135&amp;" | "&amp;J135</f>
        <v>[1분 성경 구약 #250] 3천 년 된 축복기도 | 민 5:1-6:27</v>
      </c>
      <c r="U135" s="26" t="n">
        <f aca="false">IF(D135="구약",IF(C135=1,안내!$C$9,안내!$C$10)+AD135-1,IF(C135=1,안내!$C$9,안내!$C$10)+7*INT((AD135-1)/4)+CHOOSE(MOD(AD135-1,4)+1,0,2,4,5))</f>
        <v>46647</v>
      </c>
      <c r="V135" s="23" t="str">
        <f aca="false">CHOOSE(WEEKDAY(U135,2),"월","화","수","목","금","토","일")</f>
        <v>금</v>
      </c>
      <c r="W135" s="24" t="str">
        <f aca="false">IFERROR(IF(INDEX($C$2:$C$799,MATCH(D135&amp;"#"&amp;(E135+1),$AC$2:$AC$799,0))=C135,"다음 편: ","시즌1 완결 · 시즌2 첫 편: ")&amp;INDEX($L$2:$L$799,MATCH(D135&amp;"#"&amp;(E135+1),$AC$2:$AC$799,0)),"구약 트랙 완결")</f>
        <v>다음 편: 구름이 움직이면</v>
      </c>
      <c r="X135" s="23" t="s">
        <v>130</v>
      </c>
      <c r="Y135" s="23" t="s">
        <v>130</v>
      </c>
      <c r="Z135" s="23" t="s">
        <v>130</v>
      </c>
      <c r="AA135" s="23" t="s">
        <v>130</v>
      </c>
      <c r="AB135" s="24"/>
      <c r="AC135" s="23" t="str">
        <f aca="false">D135&amp;"#"&amp;E135</f>
        <v>구약#250</v>
      </c>
      <c r="AD135" s="23" t="n">
        <f aca="false">COUNTIFS($C$2:C135,C135,$D$2:D135,D135)</f>
        <v>68</v>
      </c>
    </row>
    <row r="136" customFormat="false" ht="25.35" hidden="false" customHeight="false" outlineLevel="0" collapsed="false">
      <c r="A136" s="21" t="n">
        <v>135</v>
      </c>
      <c r="B136" s="18" t="s">
        <v>1311</v>
      </c>
      <c r="C136" s="23" t="n">
        <v>2</v>
      </c>
      <c r="D136" s="23" t="s">
        <v>116</v>
      </c>
      <c r="E136" s="23" t="n">
        <f aca="false">IF(C136=1,COUNTIFS($C$2:C136,1,$D$2:D136,D136),COUNTIFS($C$2:$C$799,1,$D$2:$D$799,D136)+COUNTIFS($C$2:C136,2,$D$2:D136,D136))</f>
        <v>251</v>
      </c>
      <c r="F136" s="23" t="str">
        <f aca="false">D136&amp;" #"&amp;TEXT(E136,"000")</f>
        <v>구약 #251</v>
      </c>
      <c r="G136" s="18" t="s">
        <v>1293</v>
      </c>
      <c r="H136" s="18" t="s">
        <v>1294</v>
      </c>
      <c r="I136" s="21" t="s">
        <v>1295</v>
      </c>
      <c r="J136" s="22" t="s">
        <v>1312</v>
      </c>
      <c r="K136" s="23" t="s">
        <v>121</v>
      </c>
      <c r="L136" s="24" t="s">
        <v>1313</v>
      </c>
      <c r="M136" s="24" t="s">
        <v>1314</v>
      </c>
      <c r="N136" s="23" t="s">
        <v>1315</v>
      </c>
      <c r="O136" s="24" t="s">
        <v>1316</v>
      </c>
      <c r="P136" s="24" t="s">
        <v>980</v>
      </c>
      <c r="Q136" s="24" t="s">
        <v>1317</v>
      </c>
      <c r="R136" s="24"/>
      <c r="S136" s="24" t="s">
        <v>1245</v>
      </c>
      <c r="T136" s="24" t="str">
        <f aca="false">"["&amp;안내!$C$5&amp;" "&amp;F136&amp;"] "&amp;L136&amp;" | "&amp;J136</f>
        <v>[1분 성경 구약 #251] 구름이 움직이면 | 민 7:1-9:23</v>
      </c>
      <c r="U136" s="26" t="n">
        <f aca="false">IF(D136="구약",IF(C136=1,안내!$C$9,안내!$C$10)+AD136-1,IF(C136=1,안내!$C$9,안내!$C$10)+7*INT((AD136-1)/4)+CHOOSE(MOD(AD136-1,4)+1,0,2,4,5))</f>
        <v>46648</v>
      </c>
      <c r="V136" s="23" t="str">
        <f aca="false">CHOOSE(WEEKDAY(U136,2),"월","화","수","목","금","토","일")</f>
        <v>토</v>
      </c>
      <c r="W136" s="24" t="str">
        <f aca="false">IFERROR(IF(INDEX($C$2:$C$799,MATCH(D136&amp;"#"&amp;(E136+1),$AC$2:$AC$799,0))=C136,"다음 편: ","시즌1 완결 · 시즌2 첫 편: ")&amp;INDEX($L$2:$L$799,MATCH(D136&amp;"#"&amp;(E136+1),$AC$2:$AC$799,0)),"구약 트랙 완결")</f>
        <v>다음 편: 은 나팔과 출발</v>
      </c>
      <c r="X136" s="23" t="s">
        <v>130</v>
      </c>
      <c r="Y136" s="23" t="s">
        <v>130</v>
      </c>
      <c r="Z136" s="23" t="s">
        <v>130</v>
      </c>
      <c r="AA136" s="23" t="s">
        <v>130</v>
      </c>
      <c r="AB136" s="24"/>
      <c r="AC136" s="23" t="str">
        <f aca="false">D136&amp;"#"&amp;E136</f>
        <v>구약#251</v>
      </c>
      <c r="AD136" s="23" t="n">
        <f aca="false">COUNTIFS($C$2:C136,C136,$D$2:D136,D136)</f>
        <v>69</v>
      </c>
    </row>
    <row r="137" customFormat="false" ht="15" hidden="false" customHeight="false" outlineLevel="0" collapsed="false">
      <c r="A137" s="21" t="n">
        <v>136</v>
      </c>
      <c r="B137" s="18" t="s">
        <v>1318</v>
      </c>
      <c r="C137" s="23" t="n">
        <v>2</v>
      </c>
      <c r="D137" s="23" t="s">
        <v>116</v>
      </c>
      <c r="E137" s="23" t="n">
        <f aca="false">IF(C137=1,COUNTIFS($C$2:C137,1,$D$2:D137,D137),COUNTIFS($C$2:$C$799,1,$D$2:$D$799,D137)+COUNTIFS($C$2:C137,2,$D$2:D137,D137))</f>
        <v>252</v>
      </c>
      <c r="F137" s="23" t="str">
        <f aca="false">D137&amp;" #"&amp;TEXT(E137,"000")</f>
        <v>구약 #252</v>
      </c>
      <c r="G137" s="18" t="s">
        <v>1293</v>
      </c>
      <c r="H137" s="18" t="s">
        <v>1294</v>
      </c>
      <c r="I137" s="21" t="s">
        <v>1295</v>
      </c>
      <c r="J137" s="22" t="s">
        <v>1319</v>
      </c>
      <c r="K137" s="23" t="s">
        <v>121</v>
      </c>
      <c r="L137" s="24" t="s">
        <v>1320</v>
      </c>
      <c r="M137" s="24" t="s">
        <v>1321</v>
      </c>
      <c r="N137" s="23" t="s">
        <v>1322</v>
      </c>
      <c r="O137" s="24" t="s">
        <v>1323</v>
      </c>
      <c r="P137" s="24" t="s">
        <v>1324</v>
      </c>
      <c r="Q137" s="24" t="s">
        <v>1325</v>
      </c>
      <c r="R137" s="24"/>
      <c r="S137" s="24" t="s">
        <v>1245</v>
      </c>
      <c r="T137" s="24" t="str">
        <f aca="false">"["&amp;안내!$C$5&amp;" "&amp;F137&amp;"] "&amp;L137&amp;" | "&amp;J137</f>
        <v>[1분 성경 구약 #252] 은 나팔과 출발 | 민 10:1-36</v>
      </c>
      <c r="U137" s="26" t="n">
        <f aca="false">IF(D137="구약",IF(C137=1,안내!$C$9,안내!$C$10)+AD137-1,IF(C137=1,안내!$C$9,안내!$C$10)+7*INT((AD137-1)/4)+CHOOSE(MOD(AD137-1,4)+1,0,2,4,5))</f>
        <v>46649</v>
      </c>
      <c r="V137" s="23" t="str">
        <f aca="false">CHOOSE(WEEKDAY(U137,2),"월","화","수","목","금","토","일")</f>
        <v>일</v>
      </c>
      <c r="W137" s="24" t="str">
        <f aca="false">IFERROR(IF(INDEX($C$2:$C$799,MATCH(D137&amp;"#"&amp;(E137+1),$AC$2:$AC$799,0))=C137,"다음 편: ","시즌1 완결 · 시즌2 첫 편: ")&amp;INDEX($L$2:$L$799,MATCH(D137&amp;"#"&amp;(E137+1),$AC$2:$AC$799,0)),"구약 트랙 완결")</f>
        <v>다음 편: 만나가 지겹다</v>
      </c>
      <c r="X137" s="23" t="s">
        <v>130</v>
      </c>
      <c r="Y137" s="23" t="s">
        <v>130</v>
      </c>
      <c r="Z137" s="23" t="s">
        <v>130</v>
      </c>
      <c r="AA137" s="23" t="s">
        <v>130</v>
      </c>
      <c r="AB137" s="24"/>
      <c r="AC137" s="23" t="str">
        <f aca="false">D137&amp;"#"&amp;E137</f>
        <v>구약#252</v>
      </c>
      <c r="AD137" s="23" t="n">
        <f aca="false">COUNTIFS($C$2:C137,C137,$D$2:D137,D137)</f>
        <v>70</v>
      </c>
    </row>
    <row r="138" customFormat="false" ht="15" hidden="false" customHeight="false" outlineLevel="0" collapsed="false">
      <c r="A138" s="21" t="n">
        <v>137</v>
      </c>
      <c r="B138" s="18" t="s">
        <v>1326</v>
      </c>
      <c r="C138" s="23" t="n">
        <v>2</v>
      </c>
      <c r="D138" s="23" t="s">
        <v>116</v>
      </c>
      <c r="E138" s="23" t="n">
        <f aca="false">IF(C138=1,COUNTIFS($C$2:C138,1,$D$2:D138,D138),COUNTIFS($C$2:$C$799,1,$D$2:$D$799,D138)+COUNTIFS($C$2:C138,2,$D$2:D138,D138))</f>
        <v>253</v>
      </c>
      <c r="F138" s="23" t="str">
        <f aca="false">D138&amp;" #"&amp;TEXT(E138,"000")</f>
        <v>구약 #253</v>
      </c>
      <c r="G138" s="18" t="s">
        <v>1293</v>
      </c>
      <c r="H138" s="18" t="s">
        <v>1294</v>
      </c>
      <c r="I138" s="21" t="s">
        <v>1295</v>
      </c>
      <c r="J138" s="22" t="s">
        <v>1327</v>
      </c>
      <c r="K138" s="23" t="s">
        <v>121</v>
      </c>
      <c r="L138" s="24" t="s">
        <v>1328</v>
      </c>
      <c r="M138" s="24" t="s">
        <v>1329</v>
      </c>
      <c r="N138" s="23" t="s">
        <v>1330</v>
      </c>
      <c r="O138" s="24" t="s">
        <v>1331</v>
      </c>
      <c r="P138" s="24" t="s">
        <v>1332</v>
      </c>
      <c r="Q138" s="24" t="s">
        <v>1333</v>
      </c>
      <c r="R138" s="24"/>
      <c r="S138" s="24" t="s">
        <v>1245</v>
      </c>
      <c r="T138" s="24" t="str">
        <f aca="false">"["&amp;안내!$C$5&amp;" "&amp;F138&amp;"] "&amp;L138&amp;" | "&amp;J138</f>
        <v>[1분 성경 구약 #253] 만나가 지겹다 | 민 11:1-35</v>
      </c>
      <c r="U138" s="26" t="n">
        <f aca="false">IF(D138="구약",IF(C138=1,안내!$C$9,안내!$C$10)+AD138-1,IF(C138=1,안내!$C$9,안내!$C$10)+7*INT((AD138-1)/4)+CHOOSE(MOD(AD138-1,4)+1,0,2,4,5))</f>
        <v>46650</v>
      </c>
      <c r="V138" s="23" t="str">
        <f aca="false">CHOOSE(WEEKDAY(U138,2),"월","화","수","목","금","토","일")</f>
        <v>월</v>
      </c>
      <c r="W138" s="24" t="str">
        <f aca="false">IFERROR(IF(INDEX($C$2:$C$799,MATCH(D138&amp;"#"&amp;(E138+1),$AC$2:$AC$799,0))=C138,"다음 편: ","시즌1 완결 · 시즌2 첫 편: ")&amp;INDEX($L$2:$L$799,MATCH(D138&amp;"#"&amp;(E138+1),$AC$2:$AC$799,0)),"구약 트랙 완결")</f>
        <v>다음 편: 모세를 비방한 누나</v>
      </c>
      <c r="X138" s="23" t="s">
        <v>130</v>
      </c>
      <c r="Y138" s="23" t="s">
        <v>130</v>
      </c>
      <c r="Z138" s="23" t="s">
        <v>130</v>
      </c>
      <c r="AA138" s="23" t="s">
        <v>130</v>
      </c>
      <c r="AB138" s="24"/>
      <c r="AC138" s="23" t="str">
        <f aca="false">D138&amp;"#"&amp;E138</f>
        <v>구약#253</v>
      </c>
      <c r="AD138" s="23" t="n">
        <f aca="false">COUNTIFS($C$2:C138,C138,$D$2:D138,D138)</f>
        <v>71</v>
      </c>
    </row>
    <row r="139" customFormat="false" ht="26.85" hidden="false" customHeight="false" outlineLevel="0" collapsed="false">
      <c r="A139" s="21" t="n">
        <v>138</v>
      </c>
      <c r="B139" s="18" t="s">
        <v>1334</v>
      </c>
      <c r="C139" s="23" t="n">
        <v>2</v>
      </c>
      <c r="D139" s="23" t="s">
        <v>116</v>
      </c>
      <c r="E139" s="23" t="n">
        <f aca="false">IF(C139=1,COUNTIFS($C$2:C139,1,$D$2:D139,D139),COUNTIFS($C$2:$C$799,1,$D$2:$D$799,D139)+COUNTIFS($C$2:C139,2,$D$2:D139,D139))</f>
        <v>254</v>
      </c>
      <c r="F139" s="23" t="str">
        <f aca="false">D139&amp;" #"&amp;TEXT(E139,"000")</f>
        <v>구약 #254</v>
      </c>
      <c r="G139" s="18" t="s">
        <v>1293</v>
      </c>
      <c r="H139" s="18" t="s">
        <v>1294</v>
      </c>
      <c r="I139" s="21" t="s">
        <v>1295</v>
      </c>
      <c r="J139" s="22" t="s">
        <v>1335</v>
      </c>
      <c r="K139" s="23" t="s">
        <v>121</v>
      </c>
      <c r="L139" s="24" t="s">
        <v>1336</v>
      </c>
      <c r="M139" s="24" t="s">
        <v>1337</v>
      </c>
      <c r="N139" s="23" t="s">
        <v>1338</v>
      </c>
      <c r="O139" s="24" t="s">
        <v>1339</v>
      </c>
      <c r="P139" s="24" t="s">
        <v>1340</v>
      </c>
      <c r="Q139" s="24" t="s">
        <v>1341</v>
      </c>
      <c r="R139" s="25" t="s">
        <v>1342</v>
      </c>
      <c r="S139" s="24" t="s">
        <v>1245</v>
      </c>
      <c r="T139" s="24" t="str">
        <f aca="false">"["&amp;안내!$C$5&amp;" "&amp;F139&amp;"] "&amp;L139&amp;" | "&amp;J139</f>
        <v>[1분 성경 구약 #254] 모세를 비방한 누나 | 민 12:1-16</v>
      </c>
      <c r="U139" s="26" t="n">
        <f aca="false">IF(D139="구약",IF(C139=1,안내!$C$9,안내!$C$10)+AD139-1,IF(C139=1,안내!$C$9,안내!$C$10)+7*INT((AD139-1)/4)+CHOOSE(MOD(AD139-1,4)+1,0,2,4,5))</f>
        <v>46651</v>
      </c>
      <c r="V139" s="23" t="str">
        <f aca="false">CHOOSE(WEEKDAY(U139,2),"월","화","수","목","금","토","일")</f>
        <v>화</v>
      </c>
      <c r="W139" s="24" t="str">
        <f aca="false">IFERROR(IF(INDEX($C$2:$C$799,MATCH(D139&amp;"#"&amp;(E139+1),$AC$2:$AC$799,0))=C139,"다음 편: ","시즌1 완결 · 시즌2 첫 편: ")&amp;INDEX($L$2:$L$799,MATCH(D139&amp;"#"&amp;(E139+1),$AC$2:$AC$799,0)),"구약 트랙 완결")</f>
        <v>다음 편: 옷자락의 파란 끈</v>
      </c>
      <c r="X139" s="23" t="s">
        <v>130</v>
      </c>
      <c r="Y139" s="23" t="s">
        <v>130</v>
      </c>
      <c r="Z139" s="23" t="s">
        <v>130</v>
      </c>
      <c r="AA139" s="23" t="s">
        <v>130</v>
      </c>
      <c r="AB139" s="24"/>
      <c r="AC139" s="23" t="str">
        <f aca="false">D139&amp;"#"&amp;E139</f>
        <v>구약#254</v>
      </c>
      <c r="AD139" s="23" t="n">
        <f aca="false">COUNTIFS($C$2:C139,C139,$D$2:D139,D139)</f>
        <v>72</v>
      </c>
    </row>
    <row r="140" customFormat="false" ht="52.2" hidden="false" customHeight="false" outlineLevel="0" collapsed="false">
      <c r="A140" s="21" t="n">
        <v>139</v>
      </c>
      <c r="B140" s="18" t="s">
        <v>1343</v>
      </c>
      <c r="C140" s="20" t="n">
        <v>1</v>
      </c>
      <c r="D140" s="20" t="s">
        <v>116</v>
      </c>
      <c r="E140" s="20" t="n">
        <f aca="false">IF(C140=1,COUNTIFS($C$2:C140,1,$D$2:D140,D140),COUNTIFS($C$2:$C$799,1,$D$2:$D$799,D140)+COUNTIFS($C$2:C140,2,$D$2:D140,D140))</f>
        <v>67</v>
      </c>
      <c r="F140" s="20" t="str">
        <f aca="false">D140&amp;" #"&amp;TEXT(E140,"000")</f>
        <v>구약 #067</v>
      </c>
      <c r="G140" s="18" t="s">
        <v>1293</v>
      </c>
      <c r="H140" s="18" t="s">
        <v>1344</v>
      </c>
      <c r="I140" s="21" t="s">
        <v>1295</v>
      </c>
      <c r="J140" s="22" t="s">
        <v>1345</v>
      </c>
      <c r="K140" s="23" t="s">
        <v>121</v>
      </c>
      <c r="L140" s="24" t="s">
        <v>1346</v>
      </c>
      <c r="M140" s="24" t="s">
        <v>1347</v>
      </c>
      <c r="N140" s="23" t="s">
        <v>1348</v>
      </c>
      <c r="O140" s="24" t="s">
        <v>1349</v>
      </c>
      <c r="P140" s="24" t="s">
        <v>1350</v>
      </c>
      <c r="Q140" s="24" t="s">
        <v>1351</v>
      </c>
      <c r="R140" s="24"/>
      <c r="S140" s="28" t="s">
        <v>1352</v>
      </c>
      <c r="T140" s="24" t="str">
        <f aca="false">"["&amp;안내!$C$5&amp;" "&amp;F140&amp;"] "&amp;L140&amp;" | "&amp;J140</f>
        <v>[1분 성경 구약 #067] 열두 정탐꾼 | 민 13:1-33</v>
      </c>
      <c r="U140" s="26" t="n">
        <f aca="false">IF(D140="구약",IF(C140=1,안내!$C$9,안내!$C$10)+AD140-1,IF(C140=1,안내!$C$9,안내!$C$10)+7*INT((AD140-1)/4)+CHOOSE(MOD(AD140-1,4)+1,0,2,4,5))</f>
        <v>46457</v>
      </c>
      <c r="V140" s="23" t="str">
        <f aca="false">CHOOSE(WEEKDAY(U140,2),"월","화","수","목","금","토","일")</f>
        <v>목</v>
      </c>
      <c r="W140" s="24" t="str">
        <f aca="false">IFERROR(IF(INDEX($C$2:$C$799,MATCH(D140&amp;"#"&amp;(E140+1),$AC$2:$AC$799,0))=C140,"다음 편: ","시즌1 완결 · 시즌2 첫 편: ")&amp;INDEX($L$2:$L$799,MATCH(D140&amp;"#"&amp;(E140+1),$AC$2:$AC$799,0)),"구약 트랙 완결")</f>
        <v>다음 편: 40년의 광야</v>
      </c>
      <c r="X140" s="23" t="s">
        <v>130</v>
      </c>
      <c r="Y140" s="23" t="s">
        <v>130</v>
      </c>
      <c r="Z140" s="23" t="s">
        <v>130</v>
      </c>
      <c r="AA140" s="23" t="s">
        <v>130</v>
      </c>
      <c r="AB140" s="24"/>
      <c r="AC140" s="23" t="str">
        <f aca="false">D140&amp;"#"&amp;E140</f>
        <v>구약#67</v>
      </c>
      <c r="AD140" s="23" t="n">
        <f aca="false">COUNTIFS($C$2:C140,C140,$D$2:D140,D140)</f>
        <v>67</v>
      </c>
    </row>
    <row r="141" customFormat="false" ht="15" hidden="false" customHeight="false" outlineLevel="0" collapsed="false">
      <c r="A141" s="21" t="n">
        <v>140</v>
      </c>
      <c r="B141" s="18" t="s">
        <v>1353</v>
      </c>
      <c r="C141" s="20" t="n">
        <v>1</v>
      </c>
      <c r="D141" s="20" t="s">
        <v>116</v>
      </c>
      <c r="E141" s="20" t="n">
        <f aca="false">IF(C141=1,COUNTIFS($C$2:C141,1,$D$2:D141,D141),COUNTIFS($C$2:$C$799,1,$D$2:$D$799,D141)+COUNTIFS($C$2:C141,2,$D$2:D141,D141))</f>
        <v>68</v>
      </c>
      <c r="F141" s="20" t="str">
        <f aca="false">D141&amp;" #"&amp;TEXT(E141,"000")</f>
        <v>구약 #068</v>
      </c>
      <c r="G141" s="18" t="s">
        <v>1293</v>
      </c>
      <c r="H141" s="18" t="s">
        <v>1344</v>
      </c>
      <c r="I141" s="21" t="s">
        <v>1295</v>
      </c>
      <c r="J141" s="22" t="s">
        <v>1354</v>
      </c>
      <c r="K141" s="23" t="s">
        <v>121</v>
      </c>
      <c r="L141" s="29" t="s">
        <v>1355</v>
      </c>
      <c r="M141" s="24" t="s">
        <v>1356</v>
      </c>
      <c r="N141" s="23" t="s">
        <v>1357</v>
      </c>
      <c r="O141" s="24" t="s">
        <v>1358</v>
      </c>
      <c r="P141" s="24" t="s">
        <v>1359</v>
      </c>
      <c r="Q141" s="24" t="s">
        <v>1360</v>
      </c>
      <c r="R141" s="24"/>
      <c r="S141" s="24" t="s">
        <v>129</v>
      </c>
      <c r="T141" s="24" t="str">
        <f aca="false">"["&amp;안내!$C$5&amp;" "&amp;F141&amp;"] "&amp;L141&amp;" | "&amp;J141</f>
        <v>[1분 성경 구약 #068] 40년의 광야 | 민 14:1-45</v>
      </c>
      <c r="U141" s="26" t="n">
        <f aca="false">IF(D141="구약",IF(C141=1,안내!$C$9,안내!$C$10)+AD141-1,IF(C141=1,안내!$C$9,안내!$C$10)+7*INT((AD141-1)/4)+CHOOSE(MOD(AD141-1,4)+1,0,2,4,5))</f>
        <v>46458</v>
      </c>
      <c r="V141" s="23" t="str">
        <f aca="false">CHOOSE(WEEKDAY(U141,2),"월","화","수","목","금","토","일")</f>
        <v>금</v>
      </c>
      <c r="W141" s="24" t="str">
        <f aca="false">IFERROR(IF(INDEX($C$2:$C$799,MATCH(D141&amp;"#"&amp;(E141+1),$AC$2:$AC$799,0))=C141,"다음 편: ","시즌1 완결 · 시즌2 첫 편: ")&amp;INDEX($L$2:$L$799,MATCH(D141&amp;"#"&amp;(E141+1),$AC$2:$AC$799,0)),"구약 트랙 완결")</f>
        <v>다음 편: 놋뱀</v>
      </c>
      <c r="X141" s="23" t="s">
        <v>130</v>
      </c>
      <c r="Y141" s="23" t="s">
        <v>130</v>
      </c>
      <c r="Z141" s="23" t="s">
        <v>130</v>
      </c>
      <c r="AA141" s="23" t="s">
        <v>130</v>
      </c>
      <c r="AB141" s="24"/>
      <c r="AC141" s="23" t="str">
        <f aca="false">D141&amp;"#"&amp;E141</f>
        <v>구약#68</v>
      </c>
      <c r="AD141" s="23" t="n">
        <f aca="false">COUNTIFS($C$2:C141,C141,$D$2:D141,D141)</f>
        <v>68</v>
      </c>
    </row>
    <row r="142" customFormat="false" ht="25.35" hidden="false" customHeight="false" outlineLevel="0" collapsed="false">
      <c r="A142" s="21" t="n">
        <v>141</v>
      </c>
      <c r="B142" s="18" t="s">
        <v>1361</v>
      </c>
      <c r="C142" s="23" t="n">
        <v>2</v>
      </c>
      <c r="D142" s="23" t="s">
        <v>116</v>
      </c>
      <c r="E142" s="23" t="n">
        <f aca="false">IF(C142=1,COUNTIFS($C$2:C142,1,$D$2:D142,D142),COUNTIFS($C$2:$C$799,1,$D$2:$D$799,D142)+COUNTIFS($C$2:C142,2,$D$2:D142,D142))</f>
        <v>255</v>
      </c>
      <c r="F142" s="23" t="str">
        <f aca="false">D142&amp;" #"&amp;TEXT(E142,"000")</f>
        <v>구약 #255</v>
      </c>
      <c r="G142" s="18" t="s">
        <v>1362</v>
      </c>
      <c r="H142" s="18" t="s">
        <v>1294</v>
      </c>
      <c r="I142" s="21" t="s">
        <v>1295</v>
      </c>
      <c r="J142" s="22" t="s">
        <v>1363</v>
      </c>
      <c r="K142" s="23" t="s">
        <v>1085</v>
      </c>
      <c r="L142" s="24" t="s">
        <v>1364</v>
      </c>
      <c r="M142" s="24" t="s">
        <v>1365</v>
      </c>
      <c r="N142" s="23" t="s">
        <v>1366</v>
      </c>
      <c r="O142" s="24" t="s">
        <v>1367</v>
      </c>
      <c r="P142" s="24" t="s">
        <v>1267</v>
      </c>
      <c r="Q142" s="24" t="s">
        <v>1148</v>
      </c>
      <c r="R142" s="24"/>
      <c r="S142" s="24" t="s">
        <v>1368</v>
      </c>
      <c r="T142" s="24" t="str">
        <f aca="false">"["&amp;안내!$C$5&amp;" "&amp;F142&amp;"] "&amp;L142&amp;" | "&amp;J142</f>
        <v>[1분 성경 구약 #255] 옷자락의 파란 끈 | 민 15:1-41</v>
      </c>
      <c r="U142" s="26" t="n">
        <f aca="false">IF(D142="구약",IF(C142=1,안내!$C$9,안내!$C$10)+AD142-1,IF(C142=1,안내!$C$9,안내!$C$10)+7*INT((AD142-1)/4)+CHOOSE(MOD(AD142-1,4)+1,0,2,4,5))</f>
        <v>46652</v>
      </c>
      <c r="V142" s="23" t="str">
        <f aca="false">CHOOSE(WEEKDAY(U142,2),"월","화","수","목","금","토","일")</f>
        <v>수</v>
      </c>
      <c r="W142" s="24" t="str">
        <f aca="false">IFERROR(IF(INDEX($C$2:$C$799,MATCH(D142&amp;"#"&amp;(E142+1),$AC$2:$AC$799,0))=C142,"다음 편: ","시즌1 완결 · 시즌2 첫 편: ")&amp;INDEX($L$2:$L$799,MATCH(D142&amp;"#"&amp;(E142+1),$AC$2:$AC$799,0)),"구약 트랙 완결")</f>
        <v>다음 편: 고라의 반역</v>
      </c>
      <c r="X142" s="23" t="s">
        <v>130</v>
      </c>
      <c r="Y142" s="23" t="s">
        <v>130</v>
      </c>
      <c r="Z142" s="23" t="s">
        <v>130</v>
      </c>
      <c r="AA142" s="23" t="s">
        <v>130</v>
      </c>
      <c r="AB142" s="24"/>
      <c r="AC142" s="23" t="str">
        <f aca="false">D142&amp;"#"&amp;E142</f>
        <v>구약#255</v>
      </c>
      <c r="AD142" s="23" t="n">
        <f aca="false">COUNTIFS($C$2:C142,C142,$D$2:D142,D142)</f>
        <v>73</v>
      </c>
    </row>
    <row r="143" customFormat="false" ht="26.85" hidden="false" customHeight="false" outlineLevel="0" collapsed="false">
      <c r="A143" s="21" t="n">
        <v>142</v>
      </c>
      <c r="B143" s="18" t="s">
        <v>1369</v>
      </c>
      <c r="C143" s="23" t="n">
        <v>2</v>
      </c>
      <c r="D143" s="23" t="s">
        <v>116</v>
      </c>
      <c r="E143" s="23" t="n">
        <f aca="false">IF(C143=1,COUNTIFS($C$2:C143,1,$D$2:D143,D143),COUNTIFS($C$2:$C$799,1,$D$2:$D$799,D143)+COUNTIFS($C$2:C143,2,$D$2:D143,D143))</f>
        <v>256</v>
      </c>
      <c r="F143" s="23" t="str">
        <f aca="false">D143&amp;" #"&amp;TEXT(E143,"000")</f>
        <v>구약 #256</v>
      </c>
      <c r="G143" s="18" t="s">
        <v>1362</v>
      </c>
      <c r="H143" s="18" t="s">
        <v>1294</v>
      </c>
      <c r="I143" s="21" t="s">
        <v>1295</v>
      </c>
      <c r="J143" s="22" t="s">
        <v>1370</v>
      </c>
      <c r="K143" s="23" t="s">
        <v>121</v>
      </c>
      <c r="L143" s="24" t="s">
        <v>1371</v>
      </c>
      <c r="M143" s="24" t="s">
        <v>1372</v>
      </c>
      <c r="N143" s="23" t="s">
        <v>1373</v>
      </c>
      <c r="O143" s="24" t="s">
        <v>1374</v>
      </c>
      <c r="P143" s="24" t="s">
        <v>1375</v>
      </c>
      <c r="Q143" s="24" t="s">
        <v>1376</v>
      </c>
      <c r="R143" s="25" t="s">
        <v>1377</v>
      </c>
      <c r="S143" s="24" t="s">
        <v>1368</v>
      </c>
      <c r="T143" s="24" t="str">
        <f aca="false">"["&amp;안내!$C$5&amp;" "&amp;F143&amp;"] "&amp;L143&amp;" | "&amp;J143</f>
        <v>[1분 성경 구약 #256] 고라의 반역 | 민 16:1-50</v>
      </c>
      <c r="U143" s="26" t="n">
        <f aca="false">IF(D143="구약",IF(C143=1,안내!$C$9,안내!$C$10)+AD143-1,IF(C143=1,안내!$C$9,안내!$C$10)+7*INT((AD143-1)/4)+CHOOSE(MOD(AD143-1,4)+1,0,2,4,5))</f>
        <v>46653</v>
      </c>
      <c r="V143" s="23" t="str">
        <f aca="false">CHOOSE(WEEKDAY(U143,2),"월","화","수","목","금","토","일")</f>
        <v>목</v>
      </c>
      <c r="W143" s="24" t="str">
        <f aca="false">IFERROR(IF(INDEX($C$2:$C$799,MATCH(D143&amp;"#"&amp;(E143+1),$AC$2:$AC$799,0))=C143,"다음 편: ","시즌1 완결 · 시즌2 첫 편: ")&amp;INDEX($L$2:$L$799,MATCH(D143&amp;"#"&amp;(E143+1),$AC$2:$AC$799,0)),"구약 트랙 완결")</f>
        <v>다음 편: 싹 난 지팡이</v>
      </c>
      <c r="X143" s="23" t="s">
        <v>130</v>
      </c>
      <c r="Y143" s="23" t="s">
        <v>130</v>
      </c>
      <c r="Z143" s="23" t="s">
        <v>130</v>
      </c>
      <c r="AA143" s="23" t="s">
        <v>130</v>
      </c>
      <c r="AB143" s="24"/>
      <c r="AC143" s="23" t="str">
        <f aca="false">D143&amp;"#"&amp;E143</f>
        <v>구약#256</v>
      </c>
      <c r="AD143" s="23" t="n">
        <f aca="false">COUNTIFS($C$2:C143,C143,$D$2:D143,D143)</f>
        <v>74</v>
      </c>
    </row>
    <row r="144" customFormat="false" ht="26.85" hidden="false" customHeight="false" outlineLevel="0" collapsed="false">
      <c r="A144" s="21" t="n">
        <v>143</v>
      </c>
      <c r="B144" s="18" t="s">
        <v>1378</v>
      </c>
      <c r="C144" s="23" t="n">
        <v>2</v>
      </c>
      <c r="D144" s="23" t="s">
        <v>116</v>
      </c>
      <c r="E144" s="23" t="n">
        <f aca="false">IF(C144=1,COUNTIFS($C$2:C144,1,$D$2:D144,D144),COUNTIFS($C$2:$C$799,1,$D$2:$D$799,D144)+COUNTIFS($C$2:C144,2,$D$2:D144,D144))</f>
        <v>257</v>
      </c>
      <c r="F144" s="23" t="str">
        <f aca="false">D144&amp;" #"&amp;TEXT(E144,"000")</f>
        <v>구약 #257</v>
      </c>
      <c r="G144" s="18" t="s">
        <v>1362</v>
      </c>
      <c r="H144" s="18" t="s">
        <v>1294</v>
      </c>
      <c r="I144" s="21" t="s">
        <v>1295</v>
      </c>
      <c r="J144" s="22" t="s">
        <v>1379</v>
      </c>
      <c r="K144" s="23" t="s">
        <v>121</v>
      </c>
      <c r="L144" s="24" t="s">
        <v>1380</v>
      </c>
      <c r="M144" s="24" t="s">
        <v>1381</v>
      </c>
      <c r="N144" s="23" t="s">
        <v>1382</v>
      </c>
      <c r="O144" s="24" t="s">
        <v>1383</v>
      </c>
      <c r="P144" s="24" t="s">
        <v>1384</v>
      </c>
      <c r="Q144" s="24" t="s">
        <v>1385</v>
      </c>
      <c r="R144" s="24"/>
      <c r="S144" s="24" t="s">
        <v>1368</v>
      </c>
      <c r="T144" s="24" t="str">
        <f aca="false">"["&amp;안내!$C$5&amp;" "&amp;F144&amp;"] "&amp;L144&amp;" | "&amp;J144</f>
        <v>[1분 성경 구약 #257] 싹 난 지팡이 | 민 17:1-13</v>
      </c>
      <c r="U144" s="26" t="n">
        <f aca="false">IF(D144="구약",IF(C144=1,안내!$C$9,안내!$C$10)+AD144-1,IF(C144=1,안내!$C$9,안내!$C$10)+7*INT((AD144-1)/4)+CHOOSE(MOD(AD144-1,4)+1,0,2,4,5))</f>
        <v>46654</v>
      </c>
      <c r="V144" s="23" t="str">
        <f aca="false">CHOOSE(WEEKDAY(U144,2),"월","화","수","목","금","토","일")</f>
        <v>금</v>
      </c>
      <c r="W144" s="24" t="str">
        <f aca="false">IFERROR(IF(INDEX($C$2:$C$799,MATCH(D144&amp;"#"&amp;(E144+1),$AC$2:$AC$799,0))=C144,"다음 편: ","시즌1 완결 · 시즌2 첫 편: ")&amp;INDEX($L$2:$L$799,MATCH(D144&amp;"#"&amp;(E144+1),$AC$2:$AC$799,0)),"구약 트랙 완결")</f>
        <v>다음 편: 붉은 암송아지</v>
      </c>
      <c r="X144" s="23" t="s">
        <v>130</v>
      </c>
      <c r="Y144" s="23" t="s">
        <v>130</v>
      </c>
      <c r="Z144" s="23" t="s">
        <v>130</v>
      </c>
      <c r="AA144" s="23" t="s">
        <v>130</v>
      </c>
      <c r="AB144" s="24"/>
      <c r="AC144" s="23" t="str">
        <f aca="false">D144&amp;"#"&amp;E144</f>
        <v>구약#257</v>
      </c>
      <c r="AD144" s="23" t="n">
        <f aca="false">COUNTIFS($C$2:C144,C144,$D$2:D144,D144)</f>
        <v>75</v>
      </c>
    </row>
    <row r="145" customFormat="false" ht="26.85" hidden="false" customHeight="false" outlineLevel="0" collapsed="false">
      <c r="A145" s="21" t="n">
        <v>144</v>
      </c>
      <c r="B145" s="18" t="s">
        <v>1386</v>
      </c>
      <c r="C145" s="23" t="n">
        <v>2</v>
      </c>
      <c r="D145" s="23" t="s">
        <v>116</v>
      </c>
      <c r="E145" s="23" t="n">
        <f aca="false">IF(C145=1,COUNTIFS($C$2:C145,1,$D$2:D145,D145),COUNTIFS($C$2:$C$799,1,$D$2:$D$799,D145)+COUNTIFS($C$2:C145,2,$D$2:D145,D145))</f>
        <v>258</v>
      </c>
      <c r="F145" s="23" t="str">
        <f aca="false">D145&amp;" #"&amp;TEXT(E145,"000")</f>
        <v>구약 #258</v>
      </c>
      <c r="G145" s="18" t="s">
        <v>1362</v>
      </c>
      <c r="H145" s="18" t="s">
        <v>1387</v>
      </c>
      <c r="I145" s="21" t="s">
        <v>1295</v>
      </c>
      <c r="J145" s="22" t="s">
        <v>1388</v>
      </c>
      <c r="K145" s="23" t="s">
        <v>1085</v>
      </c>
      <c r="L145" s="24" t="s">
        <v>1389</v>
      </c>
      <c r="M145" s="24" t="s">
        <v>1390</v>
      </c>
      <c r="N145" s="23" t="s">
        <v>1391</v>
      </c>
      <c r="O145" s="24" t="s">
        <v>1392</v>
      </c>
      <c r="P145" s="24" t="s">
        <v>1117</v>
      </c>
      <c r="Q145" s="24" t="s">
        <v>1393</v>
      </c>
      <c r="R145" s="25" t="s">
        <v>1394</v>
      </c>
      <c r="S145" s="24" t="s">
        <v>1368</v>
      </c>
      <c r="T145" s="24" t="str">
        <f aca="false">"["&amp;안내!$C$5&amp;" "&amp;F145&amp;"] "&amp;L145&amp;" | "&amp;J145</f>
        <v>[1분 성경 구약 #258] 붉은 암송아지 | 민 18:1-19:22</v>
      </c>
      <c r="U145" s="26" t="n">
        <f aca="false">IF(D145="구약",IF(C145=1,안내!$C$9,안내!$C$10)+AD145-1,IF(C145=1,안내!$C$9,안내!$C$10)+7*INT((AD145-1)/4)+CHOOSE(MOD(AD145-1,4)+1,0,2,4,5))</f>
        <v>46655</v>
      </c>
      <c r="V145" s="23" t="str">
        <f aca="false">CHOOSE(WEEKDAY(U145,2),"월","화","수","목","금","토","일")</f>
        <v>토</v>
      </c>
      <c r="W145" s="24" t="str">
        <f aca="false">IFERROR(IF(INDEX($C$2:$C$799,MATCH(D145&amp;"#"&amp;(E145+1),$AC$2:$AC$799,0))=C145,"다음 편: ","시즌1 완결 · 시즌2 첫 편: ")&amp;INDEX($L$2:$L$799,MATCH(D145&amp;"#"&amp;(E145+1),$AC$2:$AC$799,0)),"구약 트랙 완결")</f>
        <v>다음 편: 한 번의 분노</v>
      </c>
      <c r="X145" s="23" t="s">
        <v>130</v>
      </c>
      <c r="Y145" s="23" t="s">
        <v>130</v>
      </c>
      <c r="Z145" s="23" t="s">
        <v>130</v>
      </c>
      <c r="AA145" s="23" t="s">
        <v>130</v>
      </c>
      <c r="AB145" s="24"/>
      <c r="AC145" s="23" t="str">
        <f aca="false">D145&amp;"#"&amp;E145</f>
        <v>구약#258</v>
      </c>
      <c r="AD145" s="23" t="n">
        <f aca="false">COUNTIFS($C$2:C145,C145,$D$2:D145,D145)</f>
        <v>76</v>
      </c>
    </row>
    <row r="146" customFormat="false" ht="15" hidden="false" customHeight="false" outlineLevel="0" collapsed="false">
      <c r="A146" s="21" t="n">
        <v>145</v>
      </c>
      <c r="B146" s="18" t="s">
        <v>1395</v>
      </c>
      <c r="C146" s="23" t="n">
        <v>2</v>
      </c>
      <c r="D146" s="23" t="s">
        <v>116</v>
      </c>
      <c r="E146" s="23" t="n">
        <f aca="false">IF(C146=1,COUNTIFS($C$2:C146,1,$D$2:D146,D146),COUNTIFS($C$2:$C$799,1,$D$2:$D$799,D146)+COUNTIFS($C$2:C146,2,$D$2:D146,D146))</f>
        <v>259</v>
      </c>
      <c r="F146" s="23" t="str">
        <f aca="false">D146&amp;" #"&amp;TEXT(E146,"000")</f>
        <v>구약 #259</v>
      </c>
      <c r="G146" s="18" t="s">
        <v>1362</v>
      </c>
      <c r="H146" s="18" t="s">
        <v>1387</v>
      </c>
      <c r="I146" s="21" t="s">
        <v>1295</v>
      </c>
      <c r="J146" s="22" t="s">
        <v>1396</v>
      </c>
      <c r="K146" s="23" t="s">
        <v>121</v>
      </c>
      <c r="L146" s="24" t="s">
        <v>1397</v>
      </c>
      <c r="M146" s="24" t="s">
        <v>1398</v>
      </c>
      <c r="N146" s="23" t="s">
        <v>1399</v>
      </c>
      <c r="O146" s="24" t="s">
        <v>1400</v>
      </c>
      <c r="P146" s="24" t="s">
        <v>1026</v>
      </c>
      <c r="Q146" s="24" t="s">
        <v>1401</v>
      </c>
      <c r="R146" s="24"/>
      <c r="S146" s="24" t="s">
        <v>1368</v>
      </c>
      <c r="T146" s="24" t="str">
        <f aca="false">"["&amp;안내!$C$5&amp;" "&amp;F146&amp;"] "&amp;L146&amp;" | "&amp;J146</f>
        <v>[1분 성경 구약 #259] 한 번의 분노 | 민 20:1-13</v>
      </c>
      <c r="U146" s="26" t="n">
        <f aca="false">IF(D146="구약",IF(C146=1,안내!$C$9,안내!$C$10)+AD146-1,IF(C146=1,안내!$C$9,안내!$C$10)+7*INT((AD146-1)/4)+CHOOSE(MOD(AD146-1,4)+1,0,2,4,5))</f>
        <v>46656</v>
      </c>
      <c r="V146" s="23" t="str">
        <f aca="false">CHOOSE(WEEKDAY(U146,2),"월","화","수","목","금","토","일")</f>
        <v>일</v>
      </c>
      <c r="W146" s="24" t="str">
        <f aca="false">IFERROR(IF(INDEX($C$2:$C$799,MATCH(D146&amp;"#"&amp;(E146+1),$AC$2:$AC$799,0))=C146,"다음 편: ","시즌1 완결 · 시즌2 첫 편: ")&amp;INDEX($L$2:$L$799,MATCH(D146&amp;"#"&amp;(E146+1),$AC$2:$AC$799,0)),"구약 트랙 완결")</f>
        <v>다음 편: 시혼과 옥을 이기다</v>
      </c>
      <c r="X146" s="23" t="s">
        <v>130</v>
      </c>
      <c r="Y146" s="23" t="s">
        <v>130</v>
      </c>
      <c r="Z146" s="23" t="s">
        <v>130</v>
      </c>
      <c r="AA146" s="23" t="s">
        <v>130</v>
      </c>
      <c r="AB146" s="24"/>
      <c r="AC146" s="23" t="str">
        <f aca="false">D146&amp;"#"&amp;E146</f>
        <v>구약#259</v>
      </c>
      <c r="AD146" s="23" t="n">
        <f aca="false">COUNTIFS($C$2:C146,C146,$D$2:D146,D146)</f>
        <v>77</v>
      </c>
    </row>
    <row r="147" customFormat="false" ht="39.55" hidden="false" customHeight="false" outlineLevel="0" collapsed="false">
      <c r="A147" s="21" t="n">
        <v>146</v>
      </c>
      <c r="B147" s="18" t="s">
        <v>1402</v>
      </c>
      <c r="C147" s="20" t="n">
        <v>1</v>
      </c>
      <c r="D147" s="20" t="s">
        <v>116</v>
      </c>
      <c r="E147" s="20" t="n">
        <f aca="false">IF(C147=1,COUNTIFS($C$2:C147,1,$D$2:D147,D147),COUNTIFS($C$2:$C$799,1,$D$2:$D$799,D147)+COUNTIFS($C$2:C147,2,$D$2:D147,D147))</f>
        <v>69</v>
      </c>
      <c r="F147" s="20" t="str">
        <f aca="false">D147&amp;" #"&amp;TEXT(E147,"000")</f>
        <v>구약 #069</v>
      </c>
      <c r="G147" s="18" t="s">
        <v>1362</v>
      </c>
      <c r="H147" s="18" t="s">
        <v>1344</v>
      </c>
      <c r="I147" s="21" t="s">
        <v>1295</v>
      </c>
      <c r="J147" s="22" t="s">
        <v>1403</v>
      </c>
      <c r="K147" s="23" t="s">
        <v>121</v>
      </c>
      <c r="L147" s="24" t="s">
        <v>1404</v>
      </c>
      <c r="M147" s="24" t="s">
        <v>1405</v>
      </c>
      <c r="N147" s="23" t="s">
        <v>1406</v>
      </c>
      <c r="O147" s="24" t="s">
        <v>1407</v>
      </c>
      <c r="P147" s="24" t="s">
        <v>1026</v>
      </c>
      <c r="Q147" s="24" t="s">
        <v>1408</v>
      </c>
      <c r="R147" s="25" t="s">
        <v>1409</v>
      </c>
      <c r="S147" s="28" t="s">
        <v>1410</v>
      </c>
      <c r="T147" s="24" t="str">
        <f aca="false">"["&amp;안내!$C$5&amp;" "&amp;F147&amp;"] "&amp;L147&amp;" | "&amp;J147</f>
        <v>[1분 성경 구약 #069] 놋뱀 | 민 20:14-21:9</v>
      </c>
      <c r="U147" s="26" t="n">
        <f aca="false">IF(D147="구약",IF(C147=1,안내!$C$9,안내!$C$10)+AD147-1,IF(C147=1,안내!$C$9,안내!$C$10)+7*INT((AD147-1)/4)+CHOOSE(MOD(AD147-1,4)+1,0,2,4,5))</f>
        <v>46459</v>
      </c>
      <c r="V147" s="23" t="str">
        <f aca="false">CHOOSE(WEEKDAY(U147,2),"월","화","수","목","금","토","일")</f>
        <v>토</v>
      </c>
      <c r="W147" s="24" t="str">
        <f aca="false">IFERROR(IF(INDEX($C$2:$C$799,MATCH(D147&amp;"#"&amp;(E147+1),$AC$2:$AC$799,0))=C147,"다음 편: ","시즌1 완결 · 시즌2 첫 편: ")&amp;INDEX($L$2:$L$799,MATCH(D147&amp;"#"&amp;(E147+1),$AC$2:$AC$799,0)),"구약 트랙 완결")</f>
        <v>다음 편: 말하는 나귀</v>
      </c>
      <c r="X147" s="23" t="s">
        <v>130</v>
      </c>
      <c r="Y147" s="23" t="s">
        <v>130</v>
      </c>
      <c r="Z147" s="23" t="s">
        <v>130</v>
      </c>
      <c r="AA147" s="23" t="s">
        <v>130</v>
      </c>
      <c r="AB147" s="24"/>
      <c r="AC147" s="23" t="str">
        <f aca="false">D147&amp;"#"&amp;E147</f>
        <v>구약#69</v>
      </c>
      <c r="AD147" s="23" t="n">
        <f aca="false">COUNTIFS($C$2:C147,C147,$D$2:D147,D147)</f>
        <v>69</v>
      </c>
    </row>
    <row r="148" customFormat="false" ht="26.85" hidden="false" customHeight="false" outlineLevel="0" collapsed="false">
      <c r="A148" s="21" t="n">
        <v>147</v>
      </c>
      <c r="B148" s="18" t="s">
        <v>1411</v>
      </c>
      <c r="C148" s="23" t="n">
        <v>2</v>
      </c>
      <c r="D148" s="23" t="s">
        <v>116</v>
      </c>
      <c r="E148" s="23" t="n">
        <f aca="false">IF(C148=1,COUNTIFS($C$2:C148,1,$D$2:D148,D148),COUNTIFS($C$2:$C$799,1,$D$2:$D$799,D148)+COUNTIFS($C$2:C148,2,$D$2:D148,D148))</f>
        <v>260</v>
      </c>
      <c r="F148" s="23" t="str">
        <f aca="false">D148&amp;" #"&amp;TEXT(E148,"000")</f>
        <v>구약 #260</v>
      </c>
      <c r="G148" s="18" t="s">
        <v>1362</v>
      </c>
      <c r="H148" s="18" t="s">
        <v>1387</v>
      </c>
      <c r="I148" s="21" t="s">
        <v>1295</v>
      </c>
      <c r="J148" s="22" t="s">
        <v>1412</v>
      </c>
      <c r="K148" s="23" t="s">
        <v>121</v>
      </c>
      <c r="L148" s="24" t="s">
        <v>1413</v>
      </c>
      <c r="M148" s="24" t="s">
        <v>1414</v>
      </c>
      <c r="N148" s="23" t="s">
        <v>1415</v>
      </c>
      <c r="O148" s="24" t="s">
        <v>1416</v>
      </c>
      <c r="P148" s="24" t="s">
        <v>1417</v>
      </c>
      <c r="Q148" s="24" t="s">
        <v>1418</v>
      </c>
      <c r="R148" s="25" t="s">
        <v>1419</v>
      </c>
      <c r="S148" s="24" t="s">
        <v>1420</v>
      </c>
      <c r="T148" s="24" t="str">
        <f aca="false">"["&amp;안내!$C$5&amp;" "&amp;F148&amp;"] "&amp;L148&amp;" | "&amp;J148</f>
        <v>[1분 성경 구약 #260] 시혼과 옥을 이기다 | 민 21:10-35</v>
      </c>
      <c r="U148" s="26" t="n">
        <f aca="false">IF(D148="구약",IF(C148=1,안내!$C$9,안내!$C$10)+AD148-1,IF(C148=1,안내!$C$9,안내!$C$10)+7*INT((AD148-1)/4)+CHOOSE(MOD(AD148-1,4)+1,0,2,4,5))</f>
        <v>46657</v>
      </c>
      <c r="V148" s="23" t="str">
        <f aca="false">CHOOSE(WEEKDAY(U148,2),"월","화","수","목","금","토","일")</f>
        <v>월</v>
      </c>
      <c r="W148" s="24" t="str">
        <f aca="false">IFERROR(IF(INDEX($C$2:$C$799,MATCH(D148&amp;"#"&amp;(E148+1),$AC$2:$AC$799,0))=C148,"다음 편: ","시즌1 완결 · 시즌2 첫 편: ")&amp;INDEX($L$2:$L$799,MATCH(D148&amp;"#"&amp;(E148+1),$AC$2:$AC$799,0)),"구약 트랙 완결")</f>
        <v>다음 편: 저주하러 왔다가 축복하다</v>
      </c>
      <c r="X148" s="23" t="s">
        <v>130</v>
      </c>
      <c r="Y148" s="23" t="s">
        <v>130</v>
      </c>
      <c r="Z148" s="23" t="s">
        <v>130</v>
      </c>
      <c r="AA148" s="23" t="s">
        <v>130</v>
      </c>
      <c r="AB148" s="24"/>
      <c r="AC148" s="23" t="str">
        <f aca="false">D148&amp;"#"&amp;E148</f>
        <v>구약#260</v>
      </c>
      <c r="AD148" s="23" t="n">
        <f aca="false">COUNTIFS($C$2:C148,C148,$D$2:D148,D148)</f>
        <v>78</v>
      </c>
    </row>
    <row r="149" customFormat="false" ht="26.85" hidden="false" customHeight="false" outlineLevel="0" collapsed="false">
      <c r="A149" s="21" t="n">
        <v>148</v>
      </c>
      <c r="B149" s="18" t="s">
        <v>1421</v>
      </c>
      <c r="C149" s="20" t="n">
        <v>1</v>
      </c>
      <c r="D149" s="20" t="s">
        <v>116</v>
      </c>
      <c r="E149" s="20" t="n">
        <f aca="false">IF(C149=1,COUNTIFS($C$2:C149,1,$D$2:D149,D149),COUNTIFS($C$2:$C$799,1,$D$2:$D$799,D149)+COUNTIFS($C$2:C149,2,$D$2:D149,D149))</f>
        <v>70</v>
      </c>
      <c r="F149" s="20" t="str">
        <f aca="false">D149&amp;" #"&amp;TEXT(E149,"000")</f>
        <v>구약 #070</v>
      </c>
      <c r="G149" s="18" t="s">
        <v>1362</v>
      </c>
      <c r="H149" s="18" t="s">
        <v>1344</v>
      </c>
      <c r="I149" s="21" t="s">
        <v>1295</v>
      </c>
      <c r="J149" s="22" t="s">
        <v>1422</v>
      </c>
      <c r="K149" s="23" t="s">
        <v>121</v>
      </c>
      <c r="L149" s="24" t="s">
        <v>1423</v>
      </c>
      <c r="M149" s="24" t="s">
        <v>1424</v>
      </c>
      <c r="N149" s="23" t="s">
        <v>1425</v>
      </c>
      <c r="O149" s="24" t="s">
        <v>1426</v>
      </c>
      <c r="P149" s="24" t="s">
        <v>1427</v>
      </c>
      <c r="Q149" s="24" t="s">
        <v>1428</v>
      </c>
      <c r="R149" s="25" t="s">
        <v>1429</v>
      </c>
      <c r="S149" s="28" t="s">
        <v>1430</v>
      </c>
      <c r="T149" s="24" t="str">
        <f aca="false">"["&amp;안내!$C$5&amp;" "&amp;F149&amp;"] "&amp;L149&amp;" | "&amp;J149</f>
        <v>[1분 성경 구약 #070] 말하는 나귀 | 민 22:1-41</v>
      </c>
      <c r="U149" s="26" t="n">
        <f aca="false">IF(D149="구약",IF(C149=1,안내!$C$9,안내!$C$10)+AD149-1,IF(C149=1,안내!$C$9,안내!$C$10)+7*INT((AD149-1)/4)+CHOOSE(MOD(AD149-1,4)+1,0,2,4,5))</f>
        <v>46460</v>
      </c>
      <c r="V149" s="23" t="str">
        <f aca="false">CHOOSE(WEEKDAY(U149,2),"월","화","수","목","금","토","일")</f>
        <v>일</v>
      </c>
      <c r="W149" s="24" t="str">
        <f aca="false">IFERROR(IF(INDEX($C$2:$C$799,MATCH(D149&amp;"#"&amp;(E149+1),$AC$2:$AC$799,0))=C149,"다음 편: ","시즌1 완결 · 시즌2 첫 편: ")&amp;INDEX($L$2:$L$799,MATCH(D149&amp;"#"&amp;(E149+1),$AC$2:$AC$799,0)),"구약 트랙 완결")</f>
        <v>다음 편: 들으라 이스라엘아</v>
      </c>
      <c r="X149" s="23" t="s">
        <v>130</v>
      </c>
      <c r="Y149" s="23" t="s">
        <v>130</v>
      </c>
      <c r="Z149" s="23" t="s">
        <v>130</v>
      </c>
      <c r="AA149" s="23" t="s">
        <v>130</v>
      </c>
      <c r="AB149" s="24"/>
      <c r="AC149" s="23" t="str">
        <f aca="false">D149&amp;"#"&amp;E149</f>
        <v>구약#70</v>
      </c>
      <c r="AD149" s="23" t="n">
        <f aca="false">COUNTIFS($C$2:C149,C149,$D$2:D149,D149)</f>
        <v>70</v>
      </c>
    </row>
    <row r="150" customFormat="false" ht="26.85" hidden="false" customHeight="false" outlineLevel="0" collapsed="false">
      <c r="A150" s="21" t="n">
        <v>149</v>
      </c>
      <c r="B150" s="18" t="s">
        <v>1431</v>
      </c>
      <c r="C150" s="23" t="n">
        <v>2</v>
      </c>
      <c r="D150" s="23" t="s">
        <v>116</v>
      </c>
      <c r="E150" s="23" t="n">
        <f aca="false">IF(C150=1,COUNTIFS($C$2:C150,1,$D$2:D150,D150),COUNTIFS($C$2:$C$799,1,$D$2:$D$799,D150)+COUNTIFS($C$2:C150,2,$D$2:D150,D150))</f>
        <v>261</v>
      </c>
      <c r="F150" s="23" t="str">
        <f aca="false">D150&amp;" #"&amp;TEXT(E150,"000")</f>
        <v>구약 #261</v>
      </c>
      <c r="G150" s="18" t="s">
        <v>1362</v>
      </c>
      <c r="H150" s="18" t="s">
        <v>1387</v>
      </c>
      <c r="I150" s="21" t="s">
        <v>1295</v>
      </c>
      <c r="J150" s="22" t="s">
        <v>1432</v>
      </c>
      <c r="K150" s="23" t="s">
        <v>121</v>
      </c>
      <c r="L150" s="24" t="s">
        <v>1433</v>
      </c>
      <c r="M150" s="24" t="s">
        <v>1434</v>
      </c>
      <c r="N150" s="23" t="s">
        <v>1435</v>
      </c>
      <c r="O150" s="24" t="s">
        <v>1436</v>
      </c>
      <c r="P150" s="24" t="s">
        <v>1437</v>
      </c>
      <c r="Q150" s="24" t="s">
        <v>1438</v>
      </c>
      <c r="R150" s="27" t="s">
        <v>1439</v>
      </c>
      <c r="S150" s="24" t="s">
        <v>1440</v>
      </c>
      <c r="T150" s="24" t="str">
        <f aca="false">"["&amp;안내!$C$5&amp;" "&amp;F150&amp;"] "&amp;L150&amp;" | "&amp;J150</f>
        <v>[1분 성경 구약 #261] 저주하러 왔다가 축복하다 | 민 23:1-24:25</v>
      </c>
      <c r="U150" s="26" t="n">
        <f aca="false">IF(D150="구약",IF(C150=1,안내!$C$9,안내!$C$10)+AD150-1,IF(C150=1,안내!$C$9,안내!$C$10)+7*INT((AD150-1)/4)+CHOOSE(MOD(AD150-1,4)+1,0,2,4,5))</f>
        <v>46658</v>
      </c>
      <c r="V150" s="23" t="str">
        <f aca="false">CHOOSE(WEEKDAY(U150,2),"월","화","수","목","금","토","일")</f>
        <v>화</v>
      </c>
      <c r="W150" s="24" t="str">
        <f aca="false">IFERROR(IF(INDEX($C$2:$C$799,MATCH(D150&amp;"#"&amp;(E150+1),$AC$2:$AC$799,0))=C150,"다음 편: ","시즌1 완결 · 시즌2 첫 편: ")&amp;INDEX($L$2:$L$799,MATCH(D150&amp;"#"&amp;(E150+1),$AC$2:$AC$799,0)),"구약 트랙 완결")</f>
        <v>다음 편: 바알브올</v>
      </c>
      <c r="X150" s="23" t="s">
        <v>130</v>
      </c>
      <c r="Y150" s="23" t="s">
        <v>130</v>
      </c>
      <c r="Z150" s="23" t="s">
        <v>130</v>
      </c>
      <c r="AA150" s="23" t="s">
        <v>130</v>
      </c>
      <c r="AB150" s="24"/>
      <c r="AC150" s="23" t="str">
        <f aca="false">D150&amp;"#"&amp;E150</f>
        <v>구약#261</v>
      </c>
      <c r="AD150" s="23" t="n">
        <f aca="false">COUNTIFS($C$2:C150,C150,$D$2:D150,D150)</f>
        <v>79</v>
      </c>
    </row>
    <row r="151" customFormat="false" ht="26.85" hidden="false" customHeight="false" outlineLevel="0" collapsed="false">
      <c r="A151" s="21" t="n">
        <v>150</v>
      </c>
      <c r="B151" s="18" t="s">
        <v>1441</v>
      </c>
      <c r="C151" s="23" t="n">
        <v>2</v>
      </c>
      <c r="D151" s="23" t="s">
        <v>116</v>
      </c>
      <c r="E151" s="23" t="n">
        <f aca="false">IF(C151=1,COUNTIFS($C$2:C151,1,$D$2:D151,D151),COUNTIFS($C$2:$C$799,1,$D$2:$D$799,D151)+COUNTIFS($C$2:C151,2,$D$2:D151,D151))</f>
        <v>262</v>
      </c>
      <c r="F151" s="23" t="str">
        <f aca="false">D151&amp;" #"&amp;TEXT(E151,"000")</f>
        <v>구약 #262</v>
      </c>
      <c r="G151" s="18" t="s">
        <v>1362</v>
      </c>
      <c r="H151" s="18" t="s">
        <v>1387</v>
      </c>
      <c r="I151" s="21" t="s">
        <v>1295</v>
      </c>
      <c r="J151" s="22" t="s">
        <v>1442</v>
      </c>
      <c r="K151" s="23" t="s">
        <v>121</v>
      </c>
      <c r="L151" s="24" t="s">
        <v>1443</v>
      </c>
      <c r="M151" s="24" t="s">
        <v>1444</v>
      </c>
      <c r="N151" s="23" t="s">
        <v>1445</v>
      </c>
      <c r="O151" s="24" t="s">
        <v>1446</v>
      </c>
      <c r="P151" s="24" t="s">
        <v>1447</v>
      </c>
      <c r="Q151" s="24" t="s">
        <v>1448</v>
      </c>
      <c r="R151" s="25" t="s">
        <v>1449</v>
      </c>
      <c r="S151" s="24" t="s">
        <v>1440</v>
      </c>
      <c r="T151" s="24" t="str">
        <f aca="false">"["&amp;안내!$C$5&amp;" "&amp;F151&amp;"] "&amp;L151&amp;" | "&amp;J151</f>
        <v>[1분 성경 구약 #262] 바알브올 | 민 25:1-18</v>
      </c>
      <c r="U151" s="26" t="n">
        <f aca="false">IF(D151="구약",IF(C151=1,안내!$C$9,안내!$C$10)+AD151-1,IF(C151=1,안내!$C$9,안내!$C$10)+7*INT((AD151-1)/4)+CHOOSE(MOD(AD151-1,4)+1,0,2,4,5))</f>
        <v>46659</v>
      </c>
      <c r="V151" s="23" t="str">
        <f aca="false">CHOOSE(WEEKDAY(U151,2),"월","화","수","목","금","토","일")</f>
        <v>수</v>
      </c>
      <c r="W151" s="24" t="str">
        <f aca="false">IFERROR(IF(INDEX($C$2:$C$799,MATCH(D151&amp;"#"&amp;(E151+1),$AC$2:$AC$799,0))=C151,"다음 편: ","시즌1 완결 · 시즌2 첫 편: ")&amp;INDEX($L$2:$L$799,MATCH(D151&amp;"#"&amp;(E151+1),$AC$2:$AC$799,0)),"구약 트랙 완결")</f>
        <v>다음 편: 새 세대와 새 지도자</v>
      </c>
      <c r="X151" s="23" t="s">
        <v>130</v>
      </c>
      <c r="Y151" s="23" t="s">
        <v>130</v>
      </c>
      <c r="Z151" s="23" t="s">
        <v>130</v>
      </c>
      <c r="AA151" s="23" t="s">
        <v>130</v>
      </c>
      <c r="AB151" s="24"/>
      <c r="AC151" s="23" t="str">
        <f aca="false">D151&amp;"#"&amp;E151</f>
        <v>구약#262</v>
      </c>
      <c r="AD151" s="23" t="n">
        <f aca="false">COUNTIFS($C$2:C151,C151,$D$2:D151,D151)</f>
        <v>80</v>
      </c>
    </row>
    <row r="152" customFormat="false" ht="26.85" hidden="false" customHeight="false" outlineLevel="0" collapsed="false">
      <c r="A152" s="21" t="n">
        <v>151</v>
      </c>
      <c r="B152" s="18" t="s">
        <v>1450</v>
      </c>
      <c r="C152" s="23" t="n">
        <v>2</v>
      </c>
      <c r="D152" s="23" t="s">
        <v>116</v>
      </c>
      <c r="E152" s="23" t="n">
        <f aca="false">IF(C152=1,COUNTIFS($C$2:C152,1,$D$2:D152,D152),COUNTIFS($C$2:$C$799,1,$D$2:$D$799,D152)+COUNTIFS($C$2:C152,2,$D$2:D152,D152))</f>
        <v>263</v>
      </c>
      <c r="F152" s="23" t="str">
        <f aca="false">D152&amp;" #"&amp;TEXT(E152,"000")</f>
        <v>구약 #263</v>
      </c>
      <c r="G152" s="18" t="s">
        <v>1362</v>
      </c>
      <c r="H152" s="18" t="s">
        <v>1387</v>
      </c>
      <c r="I152" s="21" t="s">
        <v>1295</v>
      </c>
      <c r="J152" s="22" t="s">
        <v>1451</v>
      </c>
      <c r="K152" s="23" t="s">
        <v>1085</v>
      </c>
      <c r="L152" s="24" t="s">
        <v>1452</v>
      </c>
      <c r="M152" s="24" t="s">
        <v>1453</v>
      </c>
      <c r="N152" s="23" t="s">
        <v>1454</v>
      </c>
      <c r="O152" s="24" t="s">
        <v>1455</v>
      </c>
      <c r="P152" s="24" t="s">
        <v>1456</v>
      </c>
      <c r="Q152" s="24" t="s">
        <v>1457</v>
      </c>
      <c r="R152" s="24"/>
      <c r="S152" s="24" t="s">
        <v>1440</v>
      </c>
      <c r="T152" s="24" t="str">
        <f aca="false">"["&amp;안내!$C$5&amp;" "&amp;F152&amp;"] "&amp;L152&amp;" | "&amp;J152</f>
        <v>[1분 성경 구약 #263] 새 세대와 새 지도자 | 민 26:1-27:23</v>
      </c>
      <c r="U152" s="26" t="n">
        <f aca="false">IF(D152="구약",IF(C152=1,안내!$C$9,안내!$C$10)+AD152-1,IF(C152=1,안내!$C$9,안내!$C$10)+7*INT((AD152-1)/4)+CHOOSE(MOD(AD152-1,4)+1,0,2,4,5))</f>
        <v>46660</v>
      </c>
      <c r="V152" s="23" t="str">
        <f aca="false">CHOOSE(WEEKDAY(U152,2),"월","화","수","목","금","토","일")</f>
        <v>목</v>
      </c>
      <c r="W152" s="24" t="str">
        <f aca="false">IFERROR(IF(INDEX($C$2:$C$799,MATCH(D152&amp;"#"&amp;(E152+1),$AC$2:$AC$799,0))=C152,"다음 편: ","시즌1 완결 · 시즌2 첫 편: ")&amp;INDEX($L$2:$L$799,MATCH(D152&amp;"#"&amp;(E152+1),$AC$2:$AC$799,0)),"구약 트랙 완결")</f>
        <v>다음 편: 날마다 드리는 예배</v>
      </c>
      <c r="X152" s="23" t="s">
        <v>130</v>
      </c>
      <c r="Y152" s="23" t="s">
        <v>130</v>
      </c>
      <c r="Z152" s="23" t="s">
        <v>130</v>
      </c>
      <c r="AA152" s="23" t="s">
        <v>130</v>
      </c>
      <c r="AB152" s="24"/>
      <c r="AC152" s="23" t="str">
        <f aca="false">D152&amp;"#"&amp;E152</f>
        <v>구약#263</v>
      </c>
      <c r="AD152" s="23" t="n">
        <f aca="false">COUNTIFS($C$2:C152,C152,$D$2:D152,D152)</f>
        <v>81</v>
      </c>
    </row>
    <row r="153" customFormat="false" ht="26.85" hidden="false" customHeight="false" outlineLevel="0" collapsed="false">
      <c r="A153" s="21" t="n">
        <v>152</v>
      </c>
      <c r="B153" s="18" t="s">
        <v>1458</v>
      </c>
      <c r="C153" s="23" t="n">
        <v>2</v>
      </c>
      <c r="D153" s="23" t="s">
        <v>116</v>
      </c>
      <c r="E153" s="23" t="n">
        <f aca="false">IF(C153=1,COUNTIFS($C$2:C153,1,$D$2:D153,D153),COUNTIFS($C$2:$C$799,1,$D$2:$D$799,D153)+COUNTIFS($C$2:C153,2,$D$2:D153,D153))</f>
        <v>264</v>
      </c>
      <c r="F153" s="23" t="str">
        <f aca="false">D153&amp;" #"&amp;TEXT(E153,"000")</f>
        <v>구약 #264</v>
      </c>
      <c r="G153" s="18" t="s">
        <v>1362</v>
      </c>
      <c r="H153" s="18" t="s">
        <v>1387</v>
      </c>
      <c r="I153" s="21" t="s">
        <v>1295</v>
      </c>
      <c r="J153" s="22" t="s">
        <v>1459</v>
      </c>
      <c r="K153" s="23" t="s">
        <v>1085</v>
      </c>
      <c r="L153" s="24" t="s">
        <v>1460</v>
      </c>
      <c r="M153" s="24" t="s">
        <v>1461</v>
      </c>
      <c r="N153" s="23" t="s">
        <v>1462</v>
      </c>
      <c r="O153" s="24" t="s">
        <v>1463</v>
      </c>
      <c r="P153" s="24" t="s">
        <v>1210</v>
      </c>
      <c r="Q153" s="24" t="s">
        <v>1259</v>
      </c>
      <c r="R153" s="24"/>
      <c r="S153" s="24" t="s">
        <v>1440</v>
      </c>
      <c r="T153" s="24" t="str">
        <f aca="false">"["&amp;안내!$C$5&amp;" "&amp;F153&amp;"] "&amp;L153&amp;" | "&amp;J153</f>
        <v>[1분 성경 구약 #264] 날마다 드리는 예배 | 민 28:1-30:16</v>
      </c>
      <c r="U153" s="26" t="n">
        <f aca="false">IF(D153="구약",IF(C153=1,안내!$C$9,안내!$C$10)+AD153-1,IF(C153=1,안내!$C$9,안내!$C$10)+7*INT((AD153-1)/4)+CHOOSE(MOD(AD153-1,4)+1,0,2,4,5))</f>
        <v>46661</v>
      </c>
      <c r="V153" s="23" t="str">
        <f aca="false">CHOOSE(WEEKDAY(U153,2),"월","화","수","목","금","토","일")</f>
        <v>금</v>
      </c>
      <c r="W153" s="24" t="str">
        <f aca="false">IFERROR(IF(INDEX($C$2:$C$799,MATCH(D153&amp;"#"&amp;(E153+1),$AC$2:$AC$799,0))=C153,"다음 편: ","시즌1 완결 · 시즌2 첫 편: ")&amp;INDEX($L$2:$L$799,MATCH(D153&amp;"#"&amp;(E153+1),$AC$2:$AC$799,0)),"구약 트랙 완결")</f>
        <v>다음 편: 요단 동편의 두 지파 반</v>
      </c>
      <c r="X153" s="23" t="s">
        <v>130</v>
      </c>
      <c r="Y153" s="23" t="s">
        <v>130</v>
      </c>
      <c r="Z153" s="23" t="s">
        <v>130</v>
      </c>
      <c r="AA153" s="23" t="s">
        <v>130</v>
      </c>
      <c r="AB153" s="24"/>
      <c r="AC153" s="23" t="str">
        <f aca="false">D153&amp;"#"&amp;E153</f>
        <v>구약#264</v>
      </c>
      <c r="AD153" s="23" t="n">
        <f aca="false">COUNTIFS($C$2:C153,C153,$D$2:D153,D153)</f>
        <v>82</v>
      </c>
    </row>
    <row r="154" customFormat="false" ht="26.85" hidden="false" customHeight="false" outlineLevel="0" collapsed="false">
      <c r="A154" s="21" t="n">
        <v>153</v>
      </c>
      <c r="B154" s="18" t="s">
        <v>1464</v>
      </c>
      <c r="C154" s="23" t="n">
        <v>2</v>
      </c>
      <c r="D154" s="23" t="s">
        <v>116</v>
      </c>
      <c r="E154" s="23" t="n">
        <f aca="false">IF(C154=1,COUNTIFS($C$2:C154,1,$D$2:D154,D154),COUNTIFS($C$2:$C$799,1,$D$2:$D$799,D154)+COUNTIFS($C$2:C154,2,$D$2:D154,D154))</f>
        <v>265</v>
      </c>
      <c r="F154" s="23" t="str">
        <f aca="false">D154&amp;" #"&amp;TEXT(E154,"000")</f>
        <v>구약 #265</v>
      </c>
      <c r="G154" s="18" t="s">
        <v>1362</v>
      </c>
      <c r="H154" s="18" t="s">
        <v>1387</v>
      </c>
      <c r="I154" s="21" t="s">
        <v>1295</v>
      </c>
      <c r="J154" s="22" t="s">
        <v>1465</v>
      </c>
      <c r="K154" s="23" t="s">
        <v>121</v>
      </c>
      <c r="L154" s="24" t="s">
        <v>1466</v>
      </c>
      <c r="M154" s="24" t="s">
        <v>1467</v>
      </c>
      <c r="N154" s="23" t="s">
        <v>1468</v>
      </c>
      <c r="O154" s="24" t="s">
        <v>1469</v>
      </c>
      <c r="P154" s="24" t="s">
        <v>1470</v>
      </c>
      <c r="Q154" s="24" t="s">
        <v>1471</v>
      </c>
      <c r="R154" s="27" t="s">
        <v>1472</v>
      </c>
      <c r="S154" s="24" t="s">
        <v>1440</v>
      </c>
      <c r="T154" s="24" t="str">
        <f aca="false">"["&amp;안내!$C$5&amp;" "&amp;F154&amp;"] "&amp;L154&amp;" | "&amp;J154</f>
        <v>[1분 성경 구약 #265] 요단 동편의 두 지파 반 | 민 31:1-32:42</v>
      </c>
      <c r="U154" s="26" t="n">
        <f aca="false">IF(D154="구약",IF(C154=1,안내!$C$9,안내!$C$10)+AD154-1,IF(C154=1,안내!$C$9,안내!$C$10)+7*INT((AD154-1)/4)+CHOOSE(MOD(AD154-1,4)+1,0,2,4,5))</f>
        <v>46662</v>
      </c>
      <c r="V154" s="23" t="str">
        <f aca="false">CHOOSE(WEEKDAY(U154,2),"월","화","수","목","금","토","일")</f>
        <v>토</v>
      </c>
      <c r="W154" s="24" t="str">
        <f aca="false">IFERROR(IF(INDEX($C$2:$C$799,MATCH(D154&amp;"#"&amp;(E154+1),$AC$2:$AC$799,0))=C154,"다음 편: ","시즌1 완결 · 시즌2 첫 편: ")&amp;INDEX($L$2:$L$799,MATCH(D154&amp;"#"&amp;(E154+1),$AC$2:$AC$799,0)),"구약 트랙 완결")</f>
        <v>다음 편: 도피성</v>
      </c>
      <c r="X154" s="23" t="s">
        <v>130</v>
      </c>
      <c r="Y154" s="23" t="s">
        <v>130</v>
      </c>
      <c r="Z154" s="23" t="s">
        <v>130</v>
      </c>
      <c r="AA154" s="23" t="s">
        <v>130</v>
      </c>
      <c r="AB154" s="24"/>
      <c r="AC154" s="23" t="str">
        <f aca="false">D154&amp;"#"&amp;E154</f>
        <v>구약#265</v>
      </c>
      <c r="AD154" s="23" t="n">
        <f aca="false">COUNTIFS($C$2:C154,C154,$D$2:D154,D154)</f>
        <v>83</v>
      </c>
    </row>
    <row r="155" customFormat="false" ht="26.85" hidden="false" customHeight="false" outlineLevel="0" collapsed="false">
      <c r="A155" s="21" t="n">
        <v>154</v>
      </c>
      <c r="B155" s="18" t="s">
        <v>1473</v>
      </c>
      <c r="C155" s="23" t="n">
        <v>2</v>
      </c>
      <c r="D155" s="23" t="s">
        <v>116</v>
      </c>
      <c r="E155" s="23" t="n">
        <f aca="false">IF(C155=1,COUNTIFS($C$2:C155,1,$D$2:D155,D155),COUNTIFS($C$2:$C$799,1,$D$2:$D$799,D155)+COUNTIFS($C$2:C155,2,$D$2:D155,D155))</f>
        <v>266</v>
      </c>
      <c r="F155" s="23" t="str">
        <f aca="false">D155&amp;" #"&amp;TEXT(E155,"000")</f>
        <v>구약 #266</v>
      </c>
      <c r="G155" s="18" t="s">
        <v>1362</v>
      </c>
      <c r="H155" s="18" t="s">
        <v>1387</v>
      </c>
      <c r="I155" s="21" t="s">
        <v>1295</v>
      </c>
      <c r="J155" s="22" t="s">
        <v>1474</v>
      </c>
      <c r="K155" s="23" t="s">
        <v>1085</v>
      </c>
      <c r="L155" s="24" t="s">
        <v>1475</v>
      </c>
      <c r="M155" s="24" t="s">
        <v>1476</v>
      </c>
      <c r="N155" s="23" t="s">
        <v>1477</v>
      </c>
      <c r="O155" s="24" t="s">
        <v>1478</v>
      </c>
      <c r="P155" s="24" t="s">
        <v>980</v>
      </c>
      <c r="Q155" s="24" t="s">
        <v>1479</v>
      </c>
      <c r="R155" s="25" t="s">
        <v>1480</v>
      </c>
      <c r="S155" s="24" t="s">
        <v>1440</v>
      </c>
      <c r="T155" s="24" t="str">
        <f aca="false">"["&amp;안내!$C$5&amp;" "&amp;F155&amp;"] "&amp;L155&amp;" | "&amp;J155</f>
        <v>[1분 성경 구약 #266] 도피성 | 민 33:1-36:13</v>
      </c>
      <c r="U155" s="26" t="n">
        <f aca="false">IF(D155="구약",IF(C155=1,안내!$C$9,안내!$C$10)+AD155-1,IF(C155=1,안내!$C$9,안내!$C$10)+7*INT((AD155-1)/4)+CHOOSE(MOD(AD155-1,4)+1,0,2,4,5))</f>
        <v>46663</v>
      </c>
      <c r="V155" s="23" t="str">
        <f aca="false">CHOOSE(WEEKDAY(U155,2),"월","화","수","목","금","토","일")</f>
        <v>일</v>
      </c>
      <c r="W155" s="24" t="str">
        <f aca="false">IFERROR(IF(INDEX($C$2:$C$799,MATCH(D155&amp;"#"&amp;(E155+1),$AC$2:$AC$799,0))=C155,"다음 편: ","시즌1 완결 · 시즌2 첫 편: ")&amp;INDEX($L$2:$L$799,MATCH(D155&amp;"#"&amp;(E155+1),$AC$2:$AC$799,0)),"구약 트랙 완결")</f>
        <v>다음 편: 아버지가 아들을 안듯</v>
      </c>
      <c r="X155" s="23" t="s">
        <v>130</v>
      </c>
      <c r="Y155" s="23" t="s">
        <v>130</v>
      </c>
      <c r="Z155" s="23" t="s">
        <v>130</v>
      </c>
      <c r="AA155" s="23" t="s">
        <v>130</v>
      </c>
      <c r="AB155" s="24"/>
      <c r="AC155" s="23" t="str">
        <f aca="false">D155&amp;"#"&amp;E155</f>
        <v>구약#266</v>
      </c>
      <c r="AD155" s="23" t="n">
        <f aca="false">COUNTIFS($C$2:C155,C155,$D$2:D155,D155)</f>
        <v>84</v>
      </c>
    </row>
    <row r="156" customFormat="false" ht="26.85" hidden="false" customHeight="false" outlineLevel="0" collapsed="false">
      <c r="A156" s="21" t="n">
        <v>155</v>
      </c>
      <c r="B156" s="18" t="s">
        <v>1481</v>
      </c>
      <c r="C156" s="23" t="n">
        <v>2</v>
      </c>
      <c r="D156" s="23" t="s">
        <v>116</v>
      </c>
      <c r="E156" s="23" t="n">
        <f aca="false">IF(C156=1,COUNTIFS($C$2:C156,1,$D$2:D156,D156),COUNTIFS($C$2:$C$799,1,$D$2:$D$799,D156)+COUNTIFS($C$2:C156,2,$D$2:D156,D156))</f>
        <v>267</v>
      </c>
      <c r="F156" s="23" t="str">
        <f aca="false">D156&amp;" #"&amp;TEXT(E156,"000")</f>
        <v>구약 #267</v>
      </c>
      <c r="G156" s="18" t="s">
        <v>1482</v>
      </c>
      <c r="H156" s="18" t="s">
        <v>1483</v>
      </c>
      <c r="I156" s="21" t="s">
        <v>1484</v>
      </c>
      <c r="J156" s="22" t="s">
        <v>1485</v>
      </c>
      <c r="K156" s="23" t="s">
        <v>1085</v>
      </c>
      <c r="L156" s="24" t="s">
        <v>1486</v>
      </c>
      <c r="M156" s="24" t="s">
        <v>1487</v>
      </c>
      <c r="N156" s="23" t="s">
        <v>1488</v>
      </c>
      <c r="O156" s="24" t="s">
        <v>1489</v>
      </c>
      <c r="P156" s="24" t="s">
        <v>980</v>
      </c>
      <c r="Q156" s="24" t="s">
        <v>1457</v>
      </c>
      <c r="R156" s="24"/>
      <c r="S156" s="24" t="s">
        <v>1440</v>
      </c>
      <c r="T156" s="24" t="str">
        <f aca="false">"["&amp;안내!$C$5&amp;" "&amp;F156&amp;"] "&amp;L156&amp;" | "&amp;J156</f>
        <v>[1분 성경 구약 #267] 아버지가 아들을 안듯 | 신 1:1-3:29</v>
      </c>
      <c r="U156" s="26" t="n">
        <f aca="false">IF(D156="구약",IF(C156=1,안내!$C$9,안내!$C$10)+AD156-1,IF(C156=1,안내!$C$9,안내!$C$10)+7*INT((AD156-1)/4)+CHOOSE(MOD(AD156-1,4)+1,0,2,4,5))</f>
        <v>46664</v>
      </c>
      <c r="V156" s="23" t="str">
        <f aca="false">CHOOSE(WEEKDAY(U156,2),"월","화","수","목","금","토","일")</f>
        <v>월</v>
      </c>
      <c r="W156" s="24" t="str">
        <f aca="false">IFERROR(IF(INDEX($C$2:$C$799,MATCH(D156&amp;"#"&amp;(E156+1),$AC$2:$AC$799,0))=C156,"다음 편: ","시즌1 완결 · 시즌2 첫 편: ")&amp;INDEX($L$2:$L$799,MATCH(D156&amp;"#"&amp;(E156+1),$AC$2:$AC$799,0)),"구약 트랙 완결")</f>
        <v>다음 편: 여호와 외에 다른 신은 없다</v>
      </c>
      <c r="X156" s="23" t="s">
        <v>130</v>
      </c>
      <c r="Y156" s="23" t="s">
        <v>130</v>
      </c>
      <c r="Z156" s="23" t="s">
        <v>130</v>
      </c>
      <c r="AA156" s="23" t="s">
        <v>130</v>
      </c>
      <c r="AB156" s="24"/>
      <c r="AC156" s="23" t="str">
        <f aca="false">D156&amp;"#"&amp;E156</f>
        <v>구약#267</v>
      </c>
      <c r="AD156" s="23" t="n">
        <f aca="false">COUNTIFS($C$2:C156,C156,$D$2:D156,D156)</f>
        <v>85</v>
      </c>
    </row>
    <row r="157" customFormat="false" ht="26.85" hidden="false" customHeight="false" outlineLevel="0" collapsed="false">
      <c r="A157" s="21" t="n">
        <v>156</v>
      </c>
      <c r="B157" s="18" t="s">
        <v>1490</v>
      </c>
      <c r="C157" s="23" t="n">
        <v>2</v>
      </c>
      <c r="D157" s="23" t="s">
        <v>116</v>
      </c>
      <c r="E157" s="23" t="n">
        <f aca="false">IF(C157=1,COUNTIFS($C$2:C157,1,$D$2:D157,D157),COUNTIFS($C$2:$C$799,1,$D$2:$D$799,D157)+COUNTIFS($C$2:C157,2,$D$2:D157,D157))</f>
        <v>268</v>
      </c>
      <c r="F157" s="23" t="str">
        <f aca="false">D157&amp;" #"&amp;TEXT(E157,"000")</f>
        <v>구약 #268</v>
      </c>
      <c r="G157" s="18" t="s">
        <v>1482</v>
      </c>
      <c r="H157" s="18" t="s">
        <v>1483</v>
      </c>
      <c r="I157" s="21" t="s">
        <v>1484</v>
      </c>
      <c r="J157" s="22" t="s">
        <v>1491</v>
      </c>
      <c r="K157" s="23" t="s">
        <v>1085</v>
      </c>
      <c r="L157" s="24" t="s">
        <v>1492</v>
      </c>
      <c r="M157" s="24" t="s">
        <v>1493</v>
      </c>
      <c r="N157" s="23" t="s">
        <v>1494</v>
      </c>
      <c r="O157" s="24" t="s">
        <v>1495</v>
      </c>
      <c r="P157" s="24" t="s">
        <v>980</v>
      </c>
      <c r="Q157" s="24" t="s">
        <v>1457</v>
      </c>
      <c r="R157" s="25" t="s">
        <v>1496</v>
      </c>
      <c r="S157" s="24" t="s">
        <v>1440</v>
      </c>
      <c r="T157" s="24" t="str">
        <f aca="false">"["&amp;안내!$C$5&amp;" "&amp;F157&amp;"] "&amp;L157&amp;" | "&amp;J157</f>
        <v>[1분 성경 구약 #268] 여호와 외에 다른 신은 없다 | 신 4:1-49</v>
      </c>
      <c r="U157" s="26" t="n">
        <f aca="false">IF(D157="구약",IF(C157=1,안내!$C$9,안내!$C$10)+AD157-1,IF(C157=1,안내!$C$9,안내!$C$10)+7*INT((AD157-1)/4)+CHOOSE(MOD(AD157-1,4)+1,0,2,4,5))</f>
        <v>46665</v>
      </c>
      <c r="V157" s="23" t="str">
        <f aca="false">CHOOSE(WEEKDAY(U157,2),"월","화","수","목","금","토","일")</f>
        <v>화</v>
      </c>
      <c r="W157" s="24" t="str">
        <f aca="false">IFERROR(IF(INDEX($C$2:$C$799,MATCH(D157&amp;"#"&amp;(E157+1),$AC$2:$AC$799,0))=C157,"다음 편: ","시즌1 완결 · 시즌2 첫 편: ")&amp;INDEX($L$2:$L$799,MATCH(D157&amp;"#"&amp;(E157+1),$AC$2:$AC$799,0)),"구약 트랙 완결")</f>
        <v>다음 편: 다시 들려준 십계명</v>
      </c>
      <c r="X157" s="23" t="s">
        <v>130</v>
      </c>
      <c r="Y157" s="23" t="s">
        <v>130</v>
      </c>
      <c r="Z157" s="23" t="s">
        <v>130</v>
      </c>
      <c r="AA157" s="23" t="s">
        <v>130</v>
      </c>
      <c r="AB157" s="24"/>
      <c r="AC157" s="23" t="str">
        <f aca="false">D157&amp;"#"&amp;E157</f>
        <v>구약#268</v>
      </c>
      <c r="AD157" s="23" t="n">
        <f aca="false">COUNTIFS($C$2:C157,C157,$D$2:D157,D157)</f>
        <v>86</v>
      </c>
    </row>
    <row r="158" customFormat="false" ht="26.85" hidden="false" customHeight="false" outlineLevel="0" collapsed="false">
      <c r="A158" s="21" t="n">
        <v>157</v>
      </c>
      <c r="B158" s="18" t="s">
        <v>1497</v>
      </c>
      <c r="C158" s="23" t="n">
        <v>2</v>
      </c>
      <c r="D158" s="23" t="s">
        <v>116</v>
      </c>
      <c r="E158" s="23" t="n">
        <f aca="false">IF(C158=1,COUNTIFS($C$2:C158,1,$D$2:D158,D158),COUNTIFS($C$2:$C$799,1,$D$2:$D$799,D158)+COUNTIFS($C$2:C158,2,$D$2:D158,D158))</f>
        <v>269</v>
      </c>
      <c r="F158" s="23" t="str">
        <f aca="false">D158&amp;" #"&amp;TEXT(E158,"000")</f>
        <v>구약 #269</v>
      </c>
      <c r="G158" s="18" t="s">
        <v>1482</v>
      </c>
      <c r="H158" s="18" t="s">
        <v>1483</v>
      </c>
      <c r="I158" s="21" t="s">
        <v>1484</v>
      </c>
      <c r="J158" s="22" t="s">
        <v>1498</v>
      </c>
      <c r="K158" s="23" t="s">
        <v>1085</v>
      </c>
      <c r="L158" s="24" t="s">
        <v>1499</v>
      </c>
      <c r="M158" s="29" t="s">
        <v>1500</v>
      </c>
      <c r="N158" s="23" t="s">
        <v>1501</v>
      </c>
      <c r="O158" s="24" t="s">
        <v>1502</v>
      </c>
      <c r="P158" s="24" t="s">
        <v>1503</v>
      </c>
      <c r="Q158" s="24" t="s">
        <v>1457</v>
      </c>
      <c r="R158" s="24"/>
      <c r="S158" s="24" t="s">
        <v>1440</v>
      </c>
      <c r="T158" s="24" t="str">
        <f aca="false">"["&amp;안내!$C$5&amp;" "&amp;F158&amp;"] "&amp;L158&amp;" | "&amp;J158</f>
        <v>[1분 성경 구약 #269] 다시 들려준 십계명 | 신 5:1-33</v>
      </c>
      <c r="U158" s="26" t="n">
        <f aca="false">IF(D158="구약",IF(C158=1,안내!$C$9,안내!$C$10)+AD158-1,IF(C158=1,안내!$C$9,안내!$C$10)+7*INT((AD158-1)/4)+CHOOSE(MOD(AD158-1,4)+1,0,2,4,5))</f>
        <v>46666</v>
      </c>
      <c r="V158" s="23" t="str">
        <f aca="false">CHOOSE(WEEKDAY(U158,2),"월","화","수","목","금","토","일")</f>
        <v>수</v>
      </c>
      <c r="W158" s="24" t="str">
        <f aca="false">IFERROR(IF(INDEX($C$2:$C$799,MATCH(D158&amp;"#"&amp;(E158+1),$AC$2:$AC$799,0))=C158,"다음 편: ","시즌1 완결 · 시즌2 첫 편: ")&amp;INDEX($L$2:$L$799,MATCH(D158&amp;"#"&amp;(E158+1),$AC$2:$AC$799,0)),"구약 트랙 완결")</f>
        <v>다음 편: 왜 우리를 택하셨을까?</v>
      </c>
      <c r="X158" s="23" t="s">
        <v>130</v>
      </c>
      <c r="Y158" s="23" t="s">
        <v>130</v>
      </c>
      <c r="Z158" s="23" t="s">
        <v>130</v>
      </c>
      <c r="AA158" s="23" t="s">
        <v>130</v>
      </c>
      <c r="AB158" s="24"/>
      <c r="AC158" s="23" t="str">
        <f aca="false">D158&amp;"#"&amp;E158</f>
        <v>구약#269</v>
      </c>
      <c r="AD158" s="23" t="n">
        <f aca="false">COUNTIFS($C$2:C158,C158,$D$2:D158,D158)</f>
        <v>87</v>
      </c>
    </row>
    <row r="159" customFormat="false" ht="52.2" hidden="false" customHeight="false" outlineLevel="0" collapsed="false">
      <c r="A159" s="21" t="n">
        <v>158</v>
      </c>
      <c r="B159" s="18" t="s">
        <v>1504</v>
      </c>
      <c r="C159" s="20" t="n">
        <v>1</v>
      </c>
      <c r="D159" s="20" t="s">
        <v>116</v>
      </c>
      <c r="E159" s="20" t="n">
        <f aca="false">IF(C159=1,COUNTIFS($C$2:C159,1,$D$2:D159,D159),COUNTIFS($C$2:$C$799,1,$D$2:$D$799,D159)+COUNTIFS($C$2:C159,2,$D$2:D159,D159))</f>
        <v>71</v>
      </c>
      <c r="F159" s="20" t="str">
        <f aca="false">D159&amp;" #"&amp;TEXT(E159,"000")</f>
        <v>구약 #071</v>
      </c>
      <c r="G159" s="18" t="s">
        <v>1482</v>
      </c>
      <c r="H159" s="18" t="s">
        <v>1344</v>
      </c>
      <c r="I159" s="21" t="s">
        <v>1484</v>
      </c>
      <c r="J159" s="22" t="s">
        <v>1505</v>
      </c>
      <c r="K159" s="23" t="s">
        <v>1085</v>
      </c>
      <c r="L159" s="24" t="s">
        <v>1506</v>
      </c>
      <c r="M159" s="24" t="s">
        <v>1507</v>
      </c>
      <c r="N159" s="23" t="s">
        <v>1508</v>
      </c>
      <c r="O159" s="24" t="s">
        <v>1509</v>
      </c>
      <c r="P159" s="24" t="s">
        <v>1510</v>
      </c>
      <c r="Q159" s="24" t="s">
        <v>1511</v>
      </c>
      <c r="R159" s="25" t="s">
        <v>1512</v>
      </c>
      <c r="S159" s="28" t="s">
        <v>1513</v>
      </c>
      <c r="T159" s="24" t="str">
        <f aca="false">"["&amp;안내!$C$5&amp;" "&amp;F159&amp;"] "&amp;L159&amp;" | "&amp;J159</f>
        <v>[1분 성경 구약 #071] 들으라 이스라엘아 | 신 6:1-25</v>
      </c>
      <c r="U159" s="26" t="n">
        <f aca="false">IF(D159="구약",IF(C159=1,안내!$C$9,안내!$C$10)+AD159-1,IF(C159=1,안내!$C$9,안내!$C$10)+7*INT((AD159-1)/4)+CHOOSE(MOD(AD159-1,4)+1,0,2,4,5))</f>
        <v>46461</v>
      </c>
      <c r="V159" s="23" t="str">
        <f aca="false">CHOOSE(WEEKDAY(U159,2),"월","화","수","목","금","토","일")</f>
        <v>월</v>
      </c>
      <c r="W159" s="24" t="str">
        <f aca="false">IFERROR(IF(INDEX($C$2:$C$799,MATCH(D159&amp;"#"&amp;(E159+1),$AC$2:$AC$799,0))=C159,"다음 편: ","시즌1 완결 · 시즌2 첫 편: ")&amp;INDEX($L$2:$L$799,MATCH(D159&amp;"#"&amp;(E159+1),$AC$2:$AC$799,0)),"구약 트랙 완결")</f>
        <v>다음 편: 느보산에서 본 약속의 땅</v>
      </c>
      <c r="X159" s="23" t="s">
        <v>130</v>
      </c>
      <c r="Y159" s="23" t="s">
        <v>130</v>
      </c>
      <c r="Z159" s="23" t="s">
        <v>130</v>
      </c>
      <c r="AA159" s="23" t="s">
        <v>130</v>
      </c>
      <c r="AB159" s="24"/>
      <c r="AC159" s="23" t="str">
        <f aca="false">D159&amp;"#"&amp;E159</f>
        <v>구약#71</v>
      </c>
      <c r="AD159" s="23" t="n">
        <f aca="false">COUNTIFS($C$2:C159,C159,$D$2:D159,D159)</f>
        <v>71</v>
      </c>
    </row>
    <row r="160" customFormat="false" ht="26.85" hidden="false" customHeight="false" outlineLevel="0" collapsed="false">
      <c r="A160" s="21" t="n">
        <v>159</v>
      </c>
      <c r="B160" s="18" t="s">
        <v>1514</v>
      </c>
      <c r="C160" s="23" t="n">
        <v>2</v>
      </c>
      <c r="D160" s="23" t="s">
        <v>116</v>
      </c>
      <c r="E160" s="23" t="n">
        <f aca="false">IF(C160=1,COUNTIFS($C$2:C160,1,$D$2:D160,D160),COUNTIFS($C$2:$C$799,1,$D$2:$D$799,D160)+COUNTIFS($C$2:C160,2,$D$2:D160,D160))</f>
        <v>270</v>
      </c>
      <c r="F160" s="23" t="str">
        <f aca="false">D160&amp;" #"&amp;TEXT(E160,"000")</f>
        <v>구약 #270</v>
      </c>
      <c r="G160" s="18" t="s">
        <v>1482</v>
      </c>
      <c r="H160" s="18" t="s">
        <v>1483</v>
      </c>
      <c r="I160" s="21" t="s">
        <v>1484</v>
      </c>
      <c r="J160" s="22" t="s">
        <v>1515</v>
      </c>
      <c r="K160" s="23" t="s">
        <v>1085</v>
      </c>
      <c r="L160" s="24" t="s">
        <v>1516</v>
      </c>
      <c r="M160" s="24" t="s">
        <v>1517</v>
      </c>
      <c r="N160" s="23" t="s">
        <v>1518</v>
      </c>
      <c r="O160" s="24" t="s">
        <v>1519</v>
      </c>
      <c r="P160" s="24" t="s">
        <v>980</v>
      </c>
      <c r="Q160" s="24" t="s">
        <v>1457</v>
      </c>
      <c r="R160" s="25" t="s">
        <v>1520</v>
      </c>
      <c r="S160" s="24" t="s">
        <v>1521</v>
      </c>
      <c r="T160" s="24" t="str">
        <f aca="false">"["&amp;안내!$C$5&amp;" "&amp;F160&amp;"] "&amp;L160&amp;" | "&amp;J160</f>
        <v>[1분 성경 구약 #270] 왜 우리를 택하셨을까? | 신 7:1-26</v>
      </c>
      <c r="U160" s="26" t="n">
        <f aca="false">IF(D160="구약",IF(C160=1,안내!$C$9,안내!$C$10)+AD160-1,IF(C160=1,안내!$C$9,안내!$C$10)+7*INT((AD160-1)/4)+CHOOSE(MOD(AD160-1,4)+1,0,2,4,5))</f>
        <v>46667</v>
      </c>
      <c r="V160" s="23" t="str">
        <f aca="false">CHOOSE(WEEKDAY(U160,2),"월","화","수","목","금","토","일")</f>
        <v>목</v>
      </c>
      <c r="W160" s="24" t="str">
        <f aca="false">IFERROR(IF(INDEX($C$2:$C$799,MATCH(D160&amp;"#"&amp;(E160+1),$AC$2:$AC$799,0))=C160,"다음 편: ","시즌1 완결 · 시즌2 첫 편: ")&amp;INDEX($L$2:$L$799,MATCH(D160&amp;"#"&amp;(E160+1),$AC$2:$AC$799,0)),"구약 트랙 완결")</f>
        <v>다음 편: 떡으로만 살지 않는다</v>
      </c>
      <c r="X160" s="23" t="s">
        <v>130</v>
      </c>
      <c r="Y160" s="23" t="s">
        <v>130</v>
      </c>
      <c r="Z160" s="23" t="s">
        <v>130</v>
      </c>
      <c r="AA160" s="23" t="s">
        <v>130</v>
      </c>
      <c r="AB160" s="24"/>
      <c r="AC160" s="23" t="str">
        <f aca="false">D160&amp;"#"&amp;E160</f>
        <v>구약#270</v>
      </c>
      <c r="AD160" s="23" t="n">
        <f aca="false">COUNTIFS($C$2:C160,C160,$D$2:D160,D160)</f>
        <v>88</v>
      </c>
    </row>
    <row r="161" customFormat="false" ht="26.85" hidden="false" customHeight="false" outlineLevel="0" collapsed="false">
      <c r="A161" s="21" t="n">
        <v>160</v>
      </c>
      <c r="B161" s="18" t="s">
        <v>1522</v>
      </c>
      <c r="C161" s="23" t="n">
        <v>2</v>
      </c>
      <c r="D161" s="23" t="s">
        <v>116</v>
      </c>
      <c r="E161" s="23" t="n">
        <f aca="false">IF(C161=1,COUNTIFS($C$2:C161,1,$D$2:D161,D161),COUNTIFS($C$2:$C$799,1,$D$2:$D$799,D161)+COUNTIFS($C$2:C161,2,$D$2:D161,D161))</f>
        <v>271</v>
      </c>
      <c r="F161" s="23" t="str">
        <f aca="false">D161&amp;" #"&amp;TEXT(E161,"000")</f>
        <v>구약 #271</v>
      </c>
      <c r="G161" s="18" t="s">
        <v>1482</v>
      </c>
      <c r="H161" s="18" t="s">
        <v>1483</v>
      </c>
      <c r="I161" s="21" t="s">
        <v>1484</v>
      </c>
      <c r="J161" s="22" t="s">
        <v>1523</v>
      </c>
      <c r="K161" s="23" t="s">
        <v>1085</v>
      </c>
      <c r="L161" s="24" t="s">
        <v>1524</v>
      </c>
      <c r="M161" s="24" t="s">
        <v>1525</v>
      </c>
      <c r="N161" s="23" t="s">
        <v>1526</v>
      </c>
      <c r="O161" s="24" t="s">
        <v>1527</v>
      </c>
      <c r="P161" s="24" t="s">
        <v>980</v>
      </c>
      <c r="Q161" s="24" t="s">
        <v>1528</v>
      </c>
      <c r="R161" s="25" t="s">
        <v>1529</v>
      </c>
      <c r="S161" s="24" t="s">
        <v>1521</v>
      </c>
      <c r="T161" s="24" t="str">
        <f aca="false">"["&amp;안내!$C$5&amp;" "&amp;F161&amp;"] "&amp;L161&amp;" | "&amp;J161</f>
        <v>[1분 성경 구약 #271] 떡으로만 살지 않는다 | 신 8:1-20</v>
      </c>
      <c r="U161" s="26" t="n">
        <f aca="false">IF(D161="구약",IF(C161=1,안내!$C$9,안내!$C$10)+AD161-1,IF(C161=1,안내!$C$9,안내!$C$10)+7*INT((AD161-1)/4)+CHOOSE(MOD(AD161-1,4)+1,0,2,4,5))</f>
        <v>46668</v>
      </c>
      <c r="V161" s="23" t="str">
        <f aca="false">CHOOSE(WEEKDAY(U161,2),"월","화","수","목","금","토","일")</f>
        <v>금</v>
      </c>
      <c r="W161" s="24" t="str">
        <f aca="false">IFERROR(IF(INDEX($C$2:$C$799,MATCH(D161&amp;"#"&amp;(E161+1),$AC$2:$AC$799,0))=C161,"다음 편: ","시즌1 완결 · 시즌2 첫 편: ")&amp;INDEX($L$2:$L$799,MATCH(D161&amp;"#"&amp;(E161+1),$AC$2:$AC$799,0)),"구약 트랙 완결")</f>
        <v>다음 편: 너희가 의로워서가 아니다</v>
      </c>
      <c r="X161" s="23" t="s">
        <v>130</v>
      </c>
      <c r="Y161" s="23" t="s">
        <v>130</v>
      </c>
      <c r="Z161" s="23" t="s">
        <v>130</v>
      </c>
      <c r="AA161" s="23" t="s">
        <v>130</v>
      </c>
      <c r="AB161" s="24"/>
      <c r="AC161" s="23" t="str">
        <f aca="false">D161&amp;"#"&amp;E161</f>
        <v>구약#271</v>
      </c>
      <c r="AD161" s="23" t="n">
        <f aca="false">COUNTIFS($C$2:C161,C161,$D$2:D161,D161)</f>
        <v>89</v>
      </c>
    </row>
    <row r="162" customFormat="false" ht="26.85" hidden="false" customHeight="false" outlineLevel="0" collapsed="false">
      <c r="A162" s="21" t="n">
        <v>161</v>
      </c>
      <c r="B162" s="18" t="s">
        <v>1530</v>
      </c>
      <c r="C162" s="23" t="n">
        <v>2</v>
      </c>
      <c r="D162" s="23" t="s">
        <v>116</v>
      </c>
      <c r="E162" s="23" t="n">
        <f aca="false">IF(C162=1,COUNTIFS($C$2:C162,1,$D$2:D162,D162),COUNTIFS($C$2:$C$799,1,$D$2:$D$799,D162)+COUNTIFS($C$2:C162,2,$D$2:D162,D162))</f>
        <v>272</v>
      </c>
      <c r="F162" s="23" t="str">
        <f aca="false">D162&amp;" #"&amp;TEXT(E162,"000")</f>
        <v>구약 #272</v>
      </c>
      <c r="G162" s="18" t="s">
        <v>1482</v>
      </c>
      <c r="H162" s="18" t="s">
        <v>1483</v>
      </c>
      <c r="I162" s="21" t="s">
        <v>1484</v>
      </c>
      <c r="J162" s="22" t="s">
        <v>1531</v>
      </c>
      <c r="K162" s="23" t="s">
        <v>1085</v>
      </c>
      <c r="L162" s="24" t="s">
        <v>1532</v>
      </c>
      <c r="M162" s="24" t="s">
        <v>1533</v>
      </c>
      <c r="N162" s="23" t="s">
        <v>1534</v>
      </c>
      <c r="O162" s="24" t="s">
        <v>1535</v>
      </c>
      <c r="P162" s="24" t="s">
        <v>980</v>
      </c>
      <c r="Q162" s="24" t="s">
        <v>1457</v>
      </c>
      <c r="R162" s="25" t="s">
        <v>1536</v>
      </c>
      <c r="S162" s="24" t="s">
        <v>1521</v>
      </c>
      <c r="T162" s="24" t="str">
        <f aca="false">"["&amp;안내!$C$5&amp;" "&amp;F162&amp;"] "&amp;L162&amp;" | "&amp;J162</f>
        <v>[1분 성경 구약 #272] 너희가 의로워서가 아니다 | 신 9:1-11:32</v>
      </c>
      <c r="U162" s="26" t="n">
        <f aca="false">IF(D162="구약",IF(C162=1,안내!$C$9,안내!$C$10)+AD162-1,IF(C162=1,안내!$C$9,안내!$C$10)+7*INT((AD162-1)/4)+CHOOSE(MOD(AD162-1,4)+1,0,2,4,5))</f>
        <v>46669</v>
      </c>
      <c r="V162" s="23" t="str">
        <f aca="false">CHOOSE(WEEKDAY(U162,2),"월","화","수","목","금","토","일")</f>
        <v>토</v>
      </c>
      <c r="W162" s="24" t="str">
        <f aca="false">IFERROR(IF(INDEX($C$2:$C$799,MATCH(D162&amp;"#"&amp;(E162+1),$AC$2:$AC$799,0))=C162,"다음 편: ","시즌1 완결 · 시즌2 첫 편: ")&amp;INDEX($L$2:$L$799,MATCH(D162&amp;"#"&amp;(E162+1),$AC$2:$AC$799,0)),"구약 트랙 완결")</f>
        <v>다음 편: 하나님이 택하신 곳에서</v>
      </c>
      <c r="X162" s="23" t="s">
        <v>130</v>
      </c>
      <c r="Y162" s="23" t="s">
        <v>130</v>
      </c>
      <c r="Z162" s="23" t="s">
        <v>130</v>
      </c>
      <c r="AA162" s="23" t="s">
        <v>130</v>
      </c>
      <c r="AB162" s="24"/>
      <c r="AC162" s="23" t="str">
        <f aca="false">D162&amp;"#"&amp;E162</f>
        <v>구약#272</v>
      </c>
      <c r="AD162" s="23" t="n">
        <f aca="false">COUNTIFS($C$2:C162,C162,$D$2:D162,D162)</f>
        <v>90</v>
      </c>
    </row>
    <row r="163" customFormat="false" ht="26.85" hidden="false" customHeight="false" outlineLevel="0" collapsed="false">
      <c r="A163" s="21" t="n">
        <v>162</v>
      </c>
      <c r="B163" s="18" t="s">
        <v>1537</v>
      </c>
      <c r="C163" s="23" t="n">
        <v>2</v>
      </c>
      <c r="D163" s="23" t="s">
        <v>116</v>
      </c>
      <c r="E163" s="23" t="n">
        <f aca="false">IF(C163=1,COUNTIFS($C$2:C163,1,$D$2:D163,D163),COUNTIFS($C$2:$C$799,1,$D$2:$D$799,D163)+COUNTIFS($C$2:C163,2,$D$2:D163,D163))</f>
        <v>273</v>
      </c>
      <c r="F163" s="23" t="str">
        <f aca="false">D163&amp;" #"&amp;TEXT(E163,"000")</f>
        <v>구약 #273</v>
      </c>
      <c r="G163" s="18" t="s">
        <v>1482</v>
      </c>
      <c r="H163" s="18" t="s">
        <v>1483</v>
      </c>
      <c r="I163" s="21" t="s">
        <v>1484</v>
      </c>
      <c r="J163" s="22" t="s">
        <v>1538</v>
      </c>
      <c r="K163" s="23" t="s">
        <v>1085</v>
      </c>
      <c r="L163" s="24" t="s">
        <v>1539</v>
      </c>
      <c r="M163" s="24" t="s">
        <v>1540</v>
      </c>
      <c r="N163" s="23" t="s">
        <v>1541</v>
      </c>
      <c r="O163" s="24" t="s">
        <v>1542</v>
      </c>
      <c r="P163" s="24" t="s">
        <v>980</v>
      </c>
      <c r="Q163" s="24" t="s">
        <v>1543</v>
      </c>
      <c r="R163" s="24"/>
      <c r="S163" s="24" t="s">
        <v>1521</v>
      </c>
      <c r="T163" s="24" t="str">
        <f aca="false">"["&amp;안내!$C$5&amp;" "&amp;F163&amp;"] "&amp;L163&amp;" | "&amp;J163</f>
        <v>[1분 성경 구약 #273] 하나님이 택하신 곳에서 | 신 12:1-16:17</v>
      </c>
      <c r="U163" s="26" t="n">
        <f aca="false">IF(D163="구약",IF(C163=1,안내!$C$9,안내!$C$10)+AD163-1,IF(C163=1,안내!$C$9,안내!$C$10)+7*INT((AD163-1)/4)+CHOOSE(MOD(AD163-1,4)+1,0,2,4,5))</f>
        <v>46670</v>
      </c>
      <c r="V163" s="23" t="str">
        <f aca="false">CHOOSE(WEEKDAY(U163,2),"월","화","수","목","금","토","일")</f>
        <v>일</v>
      </c>
      <c r="W163" s="24" t="str">
        <f aca="false">IFERROR(IF(INDEX($C$2:$C$799,MATCH(D163&amp;"#"&amp;(E163+1),$AC$2:$AC$799,0))=C163,"다음 편: ","시즌1 완결 · 시즌2 첫 편: ")&amp;INDEX($L$2:$L$799,MATCH(D163&amp;"#"&amp;(E163+1),$AC$2:$AC$799,0)),"구약 트랙 완결")</f>
        <v>다음 편: 나 같은 선지자</v>
      </c>
      <c r="X163" s="23" t="s">
        <v>130</v>
      </c>
      <c r="Y163" s="23" t="s">
        <v>130</v>
      </c>
      <c r="Z163" s="23" t="s">
        <v>130</v>
      </c>
      <c r="AA163" s="23" t="s">
        <v>130</v>
      </c>
      <c r="AB163" s="24"/>
      <c r="AC163" s="23" t="str">
        <f aca="false">D163&amp;"#"&amp;E163</f>
        <v>구약#273</v>
      </c>
      <c r="AD163" s="23" t="n">
        <f aca="false">COUNTIFS($C$2:C163,C163,$D$2:D163,D163)</f>
        <v>91</v>
      </c>
    </row>
    <row r="164" customFormat="false" ht="26.85" hidden="false" customHeight="false" outlineLevel="0" collapsed="false">
      <c r="A164" s="21" t="n">
        <v>163</v>
      </c>
      <c r="B164" s="18" t="s">
        <v>1544</v>
      </c>
      <c r="C164" s="23" t="n">
        <v>2</v>
      </c>
      <c r="D164" s="23" t="s">
        <v>116</v>
      </c>
      <c r="E164" s="23" t="n">
        <f aca="false">IF(C164=1,COUNTIFS($C$2:C164,1,$D$2:D164,D164),COUNTIFS($C$2:$C$799,1,$D$2:$D$799,D164)+COUNTIFS($C$2:C164,2,$D$2:D164,D164))</f>
        <v>274</v>
      </c>
      <c r="F164" s="23" t="str">
        <f aca="false">D164&amp;" #"&amp;TEXT(E164,"000")</f>
        <v>구약 #274</v>
      </c>
      <c r="G164" s="18" t="s">
        <v>1482</v>
      </c>
      <c r="H164" s="18" t="s">
        <v>1483</v>
      </c>
      <c r="I164" s="21" t="s">
        <v>1484</v>
      </c>
      <c r="J164" s="22" t="s">
        <v>1545</v>
      </c>
      <c r="K164" s="23" t="s">
        <v>1085</v>
      </c>
      <c r="L164" s="24" t="s">
        <v>1546</v>
      </c>
      <c r="M164" s="24" t="s">
        <v>1547</v>
      </c>
      <c r="N164" s="23" t="s">
        <v>1548</v>
      </c>
      <c r="O164" s="24" t="s">
        <v>1549</v>
      </c>
      <c r="P164" s="24" t="s">
        <v>980</v>
      </c>
      <c r="Q164" s="24" t="s">
        <v>1457</v>
      </c>
      <c r="R164" s="25" t="s">
        <v>1550</v>
      </c>
      <c r="S164" s="24" t="s">
        <v>1521</v>
      </c>
      <c r="T164" s="24" t="str">
        <f aca="false">"["&amp;안내!$C$5&amp;" "&amp;F164&amp;"] "&amp;L164&amp;" | "&amp;J164</f>
        <v>[1분 성경 구약 #274] 나 같은 선지자 | 신 16:18-20:20</v>
      </c>
      <c r="U164" s="26" t="n">
        <f aca="false">IF(D164="구약",IF(C164=1,안내!$C$9,안내!$C$10)+AD164-1,IF(C164=1,안내!$C$9,안내!$C$10)+7*INT((AD164-1)/4)+CHOOSE(MOD(AD164-1,4)+1,0,2,4,5))</f>
        <v>46671</v>
      </c>
      <c r="V164" s="23" t="str">
        <f aca="false">CHOOSE(WEEKDAY(U164,2),"월","화","수","목","금","토","일")</f>
        <v>월</v>
      </c>
      <c r="W164" s="24" t="str">
        <f aca="false">IFERROR(IF(INDEX($C$2:$C$799,MATCH(D164&amp;"#"&amp;(E164+1),$AC$2:$AC$799,0))=C164,"다음 편: ","시즌1 완결 · 시즌2 첫 편: ")&amp;INDEX($L$2:$L$799,MATCH(D164&amp;"#"&amp;(E164+1),$AC$2:$AC$799,0)),"구약 트랙 완결")</f>
        <v>다음 편: 이삭을 남겨 두라</v>
      </c>
      <c r="X164" s="23" t="s">
        <v>130</v>
      </c>
      <c r="Y164" s="23" t="s">
        <v>130</v>
      </c>
      <c r="Z164" s="23" t="s">
        <v>130</v>
      </c>
      <c r="AA164" s="23" t="s">
        <v>130</v>
      </c>
      <c r="AB164" s="24"/>
      <c r="AC164" s="23" t="str">
        <f aca="false">D164&amp;"#"&amp;E164</f>
        <v>구약#274</v>
      </c>
      <c r="AD164" s="23" t="n">
        <f aca="false">COUNTIFS($C$2:C164,C164,$D$2:D164,D164)</f>
        <v>92</v>
      </c>
    </row>
    <row r="165" customFormat="false" ht="26.85" hidden="false" customHeight="false" outlineLevel="0" collapsed="false">
      <c r="A165" s="21" t="n">
        <v>164</v>
      </c>
      <c r="B165" s="18" t="s">
        <v>1551</v>
      </c>
      <c r="C165" s="23" t="n">
        <v>2</v>
      </c>
      <c r="D165" s="23" t="s">
        <v>116</v>
      </c>
      <c r="E165" s="23" t="n">
        <f aca="false">IF(C165=1,COUNTIFS($C$2:C165,1,$D$2:D165,D165),COUNTIFS($C$2:$C$799,1,$D$2:$D$799,D165)+COUNTIFS($C$2:C165,2,$D$2:D165,D165))</f>
        <v>275</v>
      </c>
      <c r="F165" s="23" t="str">
        <f aca="false">D165&amp;" #"&amp;TEXT(E165,"000")</f>
        <v>구약 #275</v>
      </c>
      <c r="G165" s="18" t="s">
        <v>1482</v>
      </c>
      <c r="H165" s="18" t="s">
        <v>1483</v>
      </c>
      <c r="I165" s="21" t="s">
        <v>1484</v>
      </c>
      <c r="J165" s="22" t="s">
        <v>1552</v>
      </c>
      <c r="K165" s="23" t="s">
        <v>1085</v>
      </c>
      <c r="L165" s="24" t="s">
        <v>1553</v>
      </c>
      <c r="M165" s="24" t="s">
        <v>1554</v>
      </c>
      <c r="N165" s="23" t="s">
        <v>1555</v>
      </c>
      <c r="O165" s="24" t="s">
        <v>1556</v>
      </c>
      <c r="P165" s="24" t="s">
        <v>980</v>
      </c>
      <c r="Q165" s="24" t="s">
        <v>1557</v>
      </c>
      <c r="R165" s="24"/>
      <c r="S165" s="24" t="s">
        <v>1521</v>
      </c>
      <c r="T165" s="24" t="str">
        <f aca="false">"["&amp;안내!$C$5&amp;" "&amp;F165&amp;"] "&amp;L165&amp;" | "&amp;J165</f>
        <v>[1분 성경 구약 #275] 이삭을 남겨 두라 | 신 21:1-26:19</v>
      </c>
      <c r="U165" s="26" t="n">
        <f aca="false">IF(D165="구약",IF(C165=1,안내!$C$9,안내!$C$10)+AD165-1,IF(C165=1,안내!$C$9,안내!$C$10)+7*INT((AD165-1)/4)+CHOOSE(MOD(AD165-1,4)+1,0,2,4,5))</f>
        <v>46672</v>
      </c>
      <c r="V165" s="23" t="str">
        <f aca="false">CHOOSE(WEEKDAY(U165,2),"월","화","수","목","금","토","일")</f>
        <v>화</v>
      </c>
      <c r="W165" s="24" t="str">
        <f aca="false">IFERROR(IF(INDEX($C$2:$C$799,MATCH(D165&amp;"#"&amp;(E165+1),$AC$2:$AC$799,0))=C165,"다음 편: ","시즌1 완결 · 시즌2 첫 편: ")&amp;INDEX($L$2:$L$799,MATCH(D165&amp;"#"&amp;(E165+1),$AC$2:$AC$799,0)),"구약 트랙 완결")</f>
        <v>다음 편: 축복과 저주</v>
      </c>
      <c r="X165" s="23" t="s">
        <v>130</v>
      </c>
      <c r="Y165" s="23" t="s">
        <v>130</v>
      </c>
      <c r="Z165" s="23" t="s">
        <v>130</v>
      </c>
      <c r="AA165" s="23" t="s">
        <v>130</v>
      </c>
      <c r="AB165" s="24"/>
      <c r="AC165" s="23" t="str">
        <f aca="false">D165&amp;"#"&amp;E165</f>
        <v>구약#275</v>
      </c>
      <c r="AD165" s="23" t="n">
        <f aca="false">COUNTIFS($C$2:C165,C165,$D$2:D165,D165)</f>
        <v>93</v>
      </c>
    </row>
    <row r="166" customFormat="false" ht="15" hidden="false" customHeight="false" outlineLevel="0" collapsed="false">
      <c r="A166" s="21" t="n">
        <v>165</v>
      </c>
      <c r="B166" s="18" t="s">
        <v>1558</v>
      </c>
      <c r="C166" s="23" t="n">
        <v>2</v>
      </c>
      <c r="D166" s="23" t="s">
        <v>116</v>
      </c>
      <c r="E166" s="23" t="n">
        <f aca="false">IF(C166=1,COUNTIFS($C$2:C166,1,$D$2:D166,D166),COUNTIFS($C$2:$C$799,1,$D$2:$D$799,D166)+COUNTIFS($C$2:C166,2,$D$2:D166,D166))</f>
        <v>276</v>
      </c>
      <c r="F166" s="23" t="str">
        <f aca="false">D166&amp;" #"&amp;TEXT(E166,"000")</f>
        <v>구약 #276</v>
      </c>
      <c r="G166" s="18" t="s">
        <v>1482</v>
      </c>
      <c r="H166" s="18" t="s">
        <v>1483</v>
      </c>
      <c r="I166" s="21" t="s">
        <v>1484</v>
      </c>
      <c r="J166" s="22" t="s">
        <v>1559</v>
      </c>
      <c r="K166" s="23" t="s">
        <v>1085</v>
      </c>
      <c r="L166" s="24" t="s">
        <v>1560</v>
      </c>
      <c r="M166" s="24" t="s">
        <v>1561</v>
      </c>
      <c r="N166" s="23" t="s">
        <v>1562</v>
      </c>
      <c r="O166" s="24" t="s">
        <v>1563</v>
      </c>
      <c r="P166" s="24" t="s">
        <v>980</v>
      </c>
      <c r="Q166" s="24" t="s">
        <v>1564</v>
      </c>
      <c r="R166" s="25" t="s">
        <v>1291</v>
      </c>
      <c r="S166" s="24" t="s">
        <v>1521</v>
      </c>
      <c r="T166" s="24" t="str">
        <f aca="false">"["&amp;안내!$C$5&amp;" "&amp;F166&amp;"] "&amp;L166&amp;" | "&amp;J166</f>
        <v>[1분 성경 구약 #276] 축복과 저주 | 신 27:1-28:68</v>
      </c>
      <c r="U166" s="26" t="n">
        <f aca="false">IF(D166="구약",IF(C166=1,안내!$C$9,안내!$C$10)+AD166-1,IF(C166=1,안내!$C$9,안내!$C$10)+7*INT((AD166-1)/4)+CHOOSE(MOD(AD166-1,4)+1,0,2,4,5))</f>
        <v>46673</v>
      </c>
      <c r="V166" s="23" t="str">
        <f aca="false">CHOOSE(WEEKDAY(U166,2),"월","화","수","목","금","토","일")</f>
        <v>수</v>
      </c>
      <c r="W166" s="24" t="str">
        <f aca="false">IFERROR(IF(INDEX($C$2:$C$799,MATCH(D166&amp;"#"&amp;(E166+1),$AC$2:$AC$799,0))=C166,"다음 편: ","시즌1 완결 · 시즌2 첫 편: ")&amp;INDEX($L$2:$L$799,MATCH(D166&amp;"#"&amp;(E166+1),$AC$2:$AC$799,0)),"구약 트랙 완결")</f>
        <v>다음 편: 생명을 택하라</v>
      </c>
      <c r="X166" s="23" t="s">
        <v>130</v>
      </c>
      <c r="Y166" s="23" t="s">
        <v>130</v>
      </c>
      <c r="Z166" s="23" t="s">
        <v>130</v>
      </c>
      <c r="AA166" s="23" t="s">
        <v>130</v>
      </c>
      <c r="AB166" s="24"/>
      <c r="AC166" s="23" t="str">
        <f aca="false">D166&amp;"#"&amp;E166</f>
        <v>구약#276</v>
      </c>
      <c r="AD166" s="23" t="n">
        <f aca="false">COUNTIFS($C$2:C166,C166,$D$2:D166,D166)</f>
        <v>94</v>
      </c>
    </row>
    <row r="167" customFormat="false" ht="26.85" hidden="false" customHeight="false" outlineLevel="0" collapsed="false">
      <c r="A167" s="21" t="n">
        <v>166</v>
      </c>
      <c r="B167" s="18" t="s">
        <v>1565</v>
      </c>
      <c r="C167" s="23" t="n">
        <v>2</v>
      </c>
      <c r="D167" s="23" t="s">
        <v>116</v>
      </c>
      <c r="E167" s="23" t="n">
        <f aca="false">IF(C167=1,COUNTIFS($C$2:C167,1,$D$2:D167,D167),COUNTIFS($C$2:$C$799,1,$D$2:$D$799,D167)+COUNTIFS($C$2:C167,2,$D$2:D167,D167))</f>
        <v>277</v>
      </c>
      <c r="F167" s="23" t="str">
        <f aca="false">D167&amp;" #"&amp;TEXT(E167,"000")</f>
        <v>구약 #277</v>
      </c>
      <c r="G167" s="18" t="s">
        <v>1482</v>
      </c>
      <c r="H167" s="18" t="s">
        <v>1483</v>
      </c>
      <c r="I167" s="21" t="s">
        <v>1484</v>
      </c>
      <c r="J167" s="22" t="s">
        <v>1566</v>
      </c>
      <c r="K167" s="23" t="s">
        <v>1085</v>
      </c>
      <c r="L167" s="24" t="s">
        <v>1567</v>
      </c>
      <c r="M167" s="24" t="s">
        <v>1568</v>
      </c>
      <c r="N167" s="23" t="s">
        <v>1569</v>
      </c>
      <c r="O167" s="24" t="s">
        <v>1570</v>
      </c>
      <c r="P167" s="24" t="s">
        <v>980</v>
      </c>
      <c r="Q167" s="24" t="s">
        <v>1457</v>
      </c>
      <c r="R167" s="27" t="s">
        <v>1571</v>
      </c>
      <c r="S167" s="24" t="s">
        <v>1521</v>
      </c>
      <c r="T167" s="24" t="str">
        <f aca="false">"["&amp;안내!$C$5&amp;" "&amp;F167&amp;"] "&amp;L167&amp;" | "&amp;J167</f>
        <v>[1분 성경 구약 #277] 생명을 택하라 | 신 29:1-30:20</v>
      </c>
      <c r="U167" s="26" t="n">
        <f aca="false">IF(D167="구약",IF(C167=1,안내!$C$9,안내!$C$10)+AD167-1,IF(C167=1,안내!$C$9,안내!$C$10)+7*INT((AD167-1)/4)+CHOOSE(MOD(AD167-1,4)+1,0,2,4,5))</f>
        <v>46674</v>
      </c>
      <c r="V167" s="23" t="str">
        <f aca="false">CHOOSE(WEEKDAY(U167,2),"월","화","수","목","금","토","일")</f>
        <v>목</v>
      </c>
      <c r="W167" s="24" t="str">
        <f aca="false">IFERROR(IF(INDEX($C$2:$C$799,MATCH(D167&amp;"#"&amp;(E167+1),$AC$2:$AC$799,0))=C167,"다음 편: ","시즌1 완결 · 시즌2 첫 편: ")&amp;INDEX($L$2:$L$799,MATCH(D167&amp;"#"&amp;(E167+1),$AC$2:$AC$799,0)),"구약 트랙 완결")</f>
        <v>다음 편: 강하고 담대하라</v>
      </c>
      <c r="X167" s="23" t="s">
        <v>130</v>
      </c>
      <c r="Y167" s="23" t="s">
        <v>130</v>
      </c>
      <c r="Z167" s="23" t="s">
        <v>130</v>
      </c>
      <c r="AA167" s="23" t="s">
        <v>130</v>
      </c>
      <c r="AB167" s="24"/>
      <c r="AC167" s="23" t="str">
        <f aca="false">D167&amp;"#"&amp;E167</f>
        <v>구약#277</v>
      </c>
      <c r="AD167" s="23" t="n">
        <f aca="false">COUNTIFS($C$2:C167,C167,$D$2:D167,D167)</f>
        <v>95</v>
      </c>
    </row>
    <row r="168" customFormat="false" ht="25.35" hidden="false" customHeight="false" outlineLevel="0" collapsed="false">
      <c r="A168" s="21" t="n">
        <v>167</v>
      </c>
      <c r="B168" s="18" t="s">
        <v>1572</v>
      </c>
      <c r="C168" s="23" t="n">
        <v>2</v>
      </c>
      <c r="D168" s="23" t="s">
        <v>116</v>
      </c>
      <c r="E168" s="23" t="n">
        <f aca="false">IF(C168=1,COUNTIFS($C$2:C168,1,$D$2:D168,D168),COUNTIFS($C$2:$C$799,1,$D$2:$D$799,D168)+COUNTIFS($C$2:C168,2,$D$2:D168,D168))</f>
        <v>278</v>
      </c>
      <c r="F168" s="23" t="str">
        <f aca="false">D168&amp;" #"&amp;TEXT(E168,"000")</f>
        <v>구약 #278</v>
      </c>
      <c r="G168" s="18" t="s">
        <v>1482</v>
      </c>
      <c r="H168" s="18" t="s">
        <v>1483</v>
      </c>
      <c r="I168" s="21" t="s">
        <v>1484</v>
      </c>
      <c r="J168" s="22" t="s">
        <v>1573</v>
      </c>
      <c r="K168" s="23" t="s">
        <v>1085</v>
      </c>
      <c r="L168" s="24" t="s">
        <v>1574</v>
      </c>
      <c r="M168" s="29" t="s">
        <v>1575</v>
      </c>
      <c r="N168" s="23" t="s">
        <v>1576</v>
      </c>
      <c r="O168" s="24" t="s">
        <v>1577</v>
      </c>
      <c r="P168" s="24" t="s">
        <v>1578</v>
      </c>
      <c r="Q168" s="24" t="s">
        <v>1579</v>
      </c>
      <c r="R168" s="24"/>
      <c r="S168" s="24" t="s">
        <v>1521</v>
      </c>
      <c r="T168" s="24" t="str">
        <f aca="false">"["&amp;안내!$C$5&amp;" "&amp;F168&amp;"] "&amp;L168&amp;" | "&amp;J168</f>
        <v>[1분 성경 구약 #278] 강하고 담대하라 | 신 31:1-32:52</v>
      </c>
      <c r="U168" s="26" t="n">
        <f aca="false">IF(D168="구약",IF(C168=1,안내!$C$9,안내!$C$10)+AD168-1,IF(C168=1,안내!$C$9,안내!$C$10)+7*INT((AD168-1)/4)+CHOOSE(MOD(AD168-1,4)+1,0,2,4,5))</f>
        <v>46675</v>
      </c>
      <c r="V168" s="23" t="str">
        <f aca="false">CHOOSE(WEEKDAY(U168,2),"월","화","수","목","금","토","일")</f>
        <v>금</v>
      </c>
      <c r="W168" s="24" t="str">
        <f aca="false">IFERROR(IF(INDEX($C$2:$C$799,MATCH(D168&amp;"#"&amp;(E168+1),$AC$2:$AC$799,0))=C168,"다음 편: ","시즌1 완결 · 시즌2 첫 편: ")&amp;INDEX($L$2:$L$799,MATCH(D168&amp;"#"&amp;(E168+1),$AC$2:$AC$799,0)),"구약 트랙 완결")</f>
        <v>다음 편: 여호와의 군대 대장</v>
      </c>
      <c r="X168" s="23" t="s">
        <v>130</v>
      </c>
      <c r="Y168" s="23" t="s">
        <v>130</v>
      </c>
      <c r="Z168" s="23" t="s">
        <v>130</v>
      </c>
      <c r="AA168" s="23" t="s">
        <v>130</v>
      </c>
      <c r="AB168" s="24"/>
      <c r="AC168" s="23" t="str">
        <f aca="false">D168&amp;"#"&amp;E168</f>
        <v>구약#278</v>
      </c>
      <c r="AD168" s="23" t="n">
        <f aca="false">COUNTIFS($C$2:C168,C168,$D$2:D168,D168)</f>
        <v>96</v>
      </c>
    </row>
    <row r="169" customFormat="false" ht="52.2" hidden="false" customHeight="false" outlineLevel="0" collapsed="false">
      <c r="A169" s="21" t="n">
        <v>168</v>
      </c>
      <c r="B169" s="18" t="s">
        <v>1580</v>
      </c>
      <c r="C169" s="20" t="n">
        <v>1</v>
      </c>
      <c r="D169" s="20" t="s">
        <v>116</v>
      </c>
      <c r="E169" s="20" t="n">
        <f aca="false">IF(C169=1,COUNTIFS($C$2:C169,1,$D$2:D169,D169),COUNTIFS($C$2:$C$799,1,$D$2:$D$799,D169)+COUNTIFS($C$2:C169,2,$D$2:D169,D169))</f>
        <v>72</v>
      </c>
      <c r="F169" s="20" t="str">
        <f aca="false">D169&amp;" #"&amp;TEXT(E169,"000")</f>
        <v>구약 #072</v>
      </c>
      <c r="G169" s="18" t="s">
        <v>1482</v>
      </c>
      <c r="H169" s="18" t="s">
        <v>1344</v>
      </c>
      <c r="I169" s="21" t="s">
        <v>1484</v>
      </c>
      <c r="J169" s="22" t="s">
        <v>1581</v>
      </c>
      <c r="K169" s="23" t="s">
        <v>1085</v>
      </c>
      <c r="L169" s="24" t="s">
        <v>1582</v>
      </c>
      <c r="M169" s="24" t="s">
        <v>1583</v>
      </c>
      <c r="N169" s="23" t="s">
        <v>1584</v>
      </c>
      <c r="O169" s="24" t="s">
        <v>1585</v>
      </c>
      <c r="P169" s="24" t="s">
        <v>1107</v>
      </c>
      <c r="Q169" s="24" t="s">
        <v>1586</v>
      </c>
      <c r="R169" s="25" t="s">
        <v>1587</v>
      </c>
      <c r="S169" s="28" t="s">
        <v>1588</v>
      </c>
      <c r="T169" s="24" t="str">
        <f aca="false">"["&amp;안내!$C$5&amp;" "&amp;F169&amp;"] "&amp;L169&amp;" | "&amp;J169</f>
        <v>[1분 성경 구약 #072] 느보산에서 본 약속의 땅 | 신 33:1-34:12</v>
      </c>
      <c r="U169" s="26" t="n">
        <f aca="false">IF(D169="구약",IF(C169=1,안내!$C$9,안내!$C$10)+AD169-1,IF(C169=1,안내!$C$9,안내!$C$10)+7*INT((AD169-1)/4)+CHOOSE(MOD(AD169-1,4)+1,0,2,4,5))</f>
        <v>46462</v>
      </c>
      <c r="V169" s="23" t="str">
        <f aca="false">CHOOSE(WEEKDAY(U169,2),"월","화","수","목","금","토","일")</f>
        <v>화</v>
      </c>
      <c r="W169" s="24" t="str">
        <f aca="false">IFERROR(IF(INDEX($C$2:$C$799,MATCH(D169&amp;"#"&amp;(E169+1),$AC$2:$AC$799,0))=C169,"다음 편: ","시즌1 완결 · 시즌2 첫 편: ")&amp;INDEX($L$2:$L$799,MATCH(D169&amp;"#"&amp;(E169+1),$AC$2:$AC$799,0)),"구약 트랙 완결")</f>
        <v>다음 편: 강하고 담대하라</v>
      </c>
      <c r="X169" s="23" t="s">
        <v>130</v>
      </c>
      <c r="Y169" s="23" t="s">
        <v>130</v>
      </c>
      <c r="Z169" s="23" t="s">
        <v>130</v>
      </c>
      <c r="AA169" s="23" t="s">
        <v>130</v>
      </c>
      <c r="AB169" s="24"/>
      <c r="AC169" s="23" t="str">
        <f aca="false">D169&amp;"#"&amp;E169</f>
        <v>구약#72</v>
      </c>
      <c r="AD169" s="23" t="n">
        <f aca="false">COUNTIFS($C$2:C169,C169,$D$2:D169,D169)</f>
        <v>72</v>
      </c>
    </row>
    <row r="170" customFormat="false" ht="15" hidden="false" customHeight="false" outlineLevel="0" collapsed="false">
      <c r="A170" s="21" t="n">
        <v>169</v>
      </c>
      <c r="B170" s="18" t="s">
        <v>1589</v>
      </c>
      <c r="C170" s="20" t="n">
        <v>1</v>
      </c>
      <c r="D170" s="20" t="s">
        <v>116</v>
      </c>
      <c r="E170" s="20" t="n">
        <f aca="false">IF(C170=1,COUNTIFS($C$2:C170,1,$D$2:D170,D170),COUNTIFS($C$2:$C$799,1,$D$2:$D$799,D170)+COUNTIFS($C$2:C170,2,$D$2:D170,D170))</f>
        <v>73</v>
      </c>
      <c r="F170" s="20" t="str">
        <f aca="false">D170&amp;" #"&amp;TEXT(E170,"000")</f>
        <v>구약 #073</v>
      </c>
      <c r="G170" s="18" t="s">
        <v>1590</v>
      </c>
      <c r="H170" s="18" t="s">
        <v>1344</v>
      </c>
      <c r="I170" s="21" t="s">
        <v>1591</v>
      </c>
      <c r="J170" s="22" t="s">
        <v>1592</v>
      </c>
      <c r="K170" s="23" t="s">
        <v>121</v>
      </c>
      <c r="L170" s="24" t="s">
        <v>1574</v>
      </c>
      <c r="M170" s="24" t="s">
        <v>1593</v>
      </c>
      <c r="N170" s="23" t="s">
        <v>1594</v>
      </c>
      <c r="O170" s="24" t="s">
        <v>1595</v>
      </c>
      <c r="P170" s="24" t="s">
        <v>1596</v>
      </c>
      <c r="Q170" s="24" t="s">
        <v>1597</v>
      </c>
      <c r="R170" s="24"/>
      <c r="S170" s="24" t="s">
        <v>129</v>
      </c>
      <c r="T170" s="24" t="str">
        <f aca="false">"["&amp;안내!$C$5&amp;" "&amp;F170&amp;"] "&amp;L170&amp;" | "&amp;J170</f>
        <v>[1분 성경 구약 #073] 강하고 담대하라 | 수 1:1-18</v>
      </c>
      <c r="U170" s="26" t="n">
        <f aca="false">IF(D170="구약",IF(C170=1,안내!$C$9,안내!$C$10)+AD170-1,IF(C170=1,안내!$C$9,안내!$C$10)+7*INT((AD170-1)/4)+CHOOSE(MOD(AD170-1,4)+1,0,2,4,5))</f>
        <v>46463</v>
      </c>
      <c r="V170" s="23" t="str">
        <f aca="false">CHOOSE(WEEKDAY(U170,2),"월","화","수","목","금","토","일")</f>
        <v>수</v>
      </c>
      <c r="W170" s="24" t="str">
        <f aca="false">IFERROR(IF(INDEX($C$2:$C$799,MATCH(D170&amp;"#"&amp;(E170+1),$AC$2:$AC$799,0))=C170,"다음 편: ","시즌1 완결 · 시즌2 첫 편: ")&amp;INDEX($L$2:$L$799,MATCH(D170&amp;"#"&amp;(E170+1),$AC$2:$AC$799,0)),"구약 트랙 완결")</f>
        <v>다음 편: 붉은 줄</v>
      </c>
      <c r="X170" s="23" t="s">
        <v>130</v>
      </c>
      <c r="Y170" s="23" t="s">
        <v>130</v>
      </c>
      <c r="Z170" s="23" t="s">
        <v>130</v>
      </c>
      <c r="AA170" s="23" t="s">
        <v>130</v>
      </c>
      <c r="AB170" s="24"/>
      <c r="AC170" s="23" t="str">
        <f aca="false">D170&amp;"#"&amp;E170</f>
        <v>구약#73</v>
      </c>
      <c r="AD170" s="23" t="n">
        <f aca="false">COUNTIFS($C$2:C170,C170,$D$2:D170,D170)</f>
        <v>73</v>
      </c>
    </row>
    <row r="171" customFormat="false" ht="26.85" hidden="false" customHeight="false" outlineLevel="0" collapsed="false">
      <c r="A171" s="21" t="n">
        <v>170</v>
      </c>
      <c r="B171" s="18" t="s">
        <v>1598</v>
      </c>
      <c r="C171" s="20" t="n">
        <v>1</v>
      </c>
      <c r="D171" s="20" t="s">
        <v>116</v>
      </c>
      <c r="E171" s="20" t="n">
        <f aca="false">IF(C171=1,COUNTIFS($C$2:C171,1,$D$2:D171,D171),COUNTIFS($C$2:$C$799,1,$D$2:$D$799,D171)+COUNTIFS($C$2:C171,2,$D$2:D171,D171))</f>
        <v>74</v>
      </c>
      <c r="F171" s="20" t="str">
        <f aca="false">D171&amp;" #"&amp;TEXT(E171,"000")</f>
        <v>구약 #074</v>
      </c>
      <c r="G171" s="18" t="s">
        <v>1590</v>
      </c>
      <c r="H171" s="18" t="s">
        <v>1344</v>
      </c>
      <c r="I171" s="21" t="s">
        <v>1591</v>
      </c>
      <c r="J171" s="22" t="s">
        <v>1599</v>
      </c>
      <c r="K171" s="23" t="s">
        <v>121</v>
      </c>
      <c r="L171" s="24" t="s">
        <v>1600</v>
      </c>
      <c r="M171" s="24" t="s">
        <v>1601</v>
      </c>
      <c r="N171" s="23" t="s">
        <v>1602</v>
      </c>
      <c r="O171" s="24" t="s">
        <v>1603</v>
      </c>
      <c r="P171" s="24" t="s">
        <v>1604</v>
      </c>
      <c r="Q171" s="24" t="s">
        <v>1605</v>
      </c>
      <c r="R171" s="25" t="s">
        <v>1606</v>
      </c>
      <c r="S171" s="24" t="s">
        <v>129</v>
      </c>
      <c r="T171" s="24" t="str">
        <f aca="false">"["&amp;안내!$C$5&amp;" "&amp;F171&amp;"] "&amp;L171&amp;" | "&amp;J171</f>
        <v>[1분 성경 구약 #074] 붉은 줄 | 수 2:1-24</v>
      </c>
      <c r="U171" s="26" t="n">
        <f aca="false">IF(D171="구약",IF(C171=1,안내!$C$9,안내!$C$10)+AD171-1,IF(C171=1,안내!$C$9,안내!$C$10)+7*INT((AD171-1)/4)+CHOOSE(MOD(AD171-1,4)+1,0,2,4,5))</f>
        <v>46464</v>
      </c>
      <c r="V171" s="23" t="str">
        <f aca="false">CHOOSE(WEEKDAY(U171,2),"월","화","수","목","금","토","일")</f>
        <v>목</v>
      </c>
      <c r="W171" s="24" t="str">
        <f aca="false">IFERROR(IF(INDEX($C$2:$C$799,MATCH(D171&amp;"#"&amp;(E171+1),$AC$2:$AC$799,0))=C171,"다음 편: ","시즌1 완결 · 시즌2 첫 편: ")&amp;INDEX($L$2:$L$799,MATCH(D171&amp;"#"&amp;(E171+1),$AC$2:$AC$799,0)),"구약 트랙 완결")</f>
        <v>다음 편: 멈춰 선 요단강</v>
      </c>
      <c r="X171" s="23" t="s">
        <v>130</v>
      </c>
      <c r="Y171" s="23" t="s">
        <v>130</v>
      </c>
      <c r="Z171" s="23" t="s">
        <v>130</v>
      </c>
      <c r="AA171" s="23" t="s">
        <v>130</v>
      </c>
      <c r="AB171" s="24"/>
      <c r="AC171" s="23" t="str">
        <f aca="false">D171&amp;"#"&amp;E171</f>
        <v>구약#74</v>
      </c>
      <c r="AD171" s="23" t="n">
        <f aca="false">COUNTIFS($C$2:C171,C171,$D$2:D171,D171)</f>
        <v>74</v>
      </c>
    </row>
    <row r="172" customFormat="false" ht="26.85" hidden="false" customHeight="false" outlineLevel="0" collapsed="false">
      <c r="A172" s="21" t="n">
        <v>171</v>
      </c>
      <c r="B172" s="18" t="s">
        <v>1607</v>
      </c>
      <c r="C172" s="20" t="n">
        <v>1</v>
      </c>
      <c r="D172" s="20" t="s">
        <v>116</v>
      </c>
      <c r="E172" s="20" t="n">
        <f aca="false">IF(C172=1,COUNTIFS($C$2:C172,1,$D$2:D172,D172),COUNTIFS($C$2:$C$799,1,$D$2:$D$799,D172)+COUNTIFS($C$2:C172,2,$D$2:D172,D172))</f>
        <v>75</v>
      </c>
      <c r="F172" s="20" t="str">
        <f aca="false">D172&amp;" #"&amp;TEXT(E172,"000")</f>
        <v>구약 #075</v>
      </c>
      <c r="G172" s="18" t="s">
        <v>1590</v>
      </c>
      <c r="H172" s="18" t="s">
        <v>1344</v>
      </c>
      <c r="I172" s="21" t="s">
        <v>1591</v>
      </c>
      <c r="J172" s="22" t="s">
        <v>1608</v>
      </c>
      <c r="K172" s="23" t="s">
        <v>121</v>
      </c>
      <c r="L172" s="24" t="s">
        <v>1609</v>
      </c>
      <c r="M172" s="24" t="s">
        <v>1610</v>
      </c>
      <c r="N172" s="23" t="s">
        <v>1611</v>
      </c>
      <c r="O172" s="24" t="s">
        <v>1612</v>
      </c>
      <c r="P172" s="24" t="s">
        <v>1613</v>
      </c>
      <c r="Q172" s="24" t="s">
        <v>1614</v>
      </c>
      <c r="R172" s="24"/>
      <c r="S172" s="24" t="s">
        <v>129</v>
      </c>
      <c r="T172" s="24" t="str">
        <f aca="false">"["&amp;안내!$C$5&amp;" "&amp;F172&amp;"] "&amp;L172&amp;" | "&amp;J172</f>
        <v>[1분 성경 구약 #075] 멈춰 선 요단강 | 수 3:1-4:24</v>
      </c>
      <c r="U172" s="26" t="n">
        <f aca="false">IF(D172="구약",IF(C172=1,안내!$C$9,안내!$C$10)+AD172-1,IF(C172=1,안내!$C$9,안내!$C$10)+7*INT((AD172-1)/4)+CHOOSE(MOD(AD172-1,4)+1,0,2,4,5))</f>
        <v>46465</v>
      </c>
      <c r="V172" s="23" t="str">
        <f aca="false">CHOOSE(WEEKDAY(U172,2),"월","화","수","목","금","토","일")</f>
        <v>금</v>
      </c>
      <c r="W172" s="24" t="str">
        <f aca="false">IFERROR(IF(INDEX($C$2:$C$799,MATCH(D172&amp;"#"&amp;(E172+1),$AC$2:$AC$799,0))=C172,"다음 편: ","시즌1 완결 · 시즌2 첫 편: ")&amp;INDEX($L$2:$L$799,MATCH(D172&amp;"#"&amp;(E172+1),$AC$2:$AC$799,0)),"구약 트랙 완결")</f>
        <v>다음 편: 무너진 여리고 성</v>
      </c>
      <c r="X172" s="23" t="s">
        <v>130</v>
      </c>
      <c r="Y172" s="23" t="s">
        <v>130</v>
      </c>
      <c r="Z172" s="23" t="s">
        <v>130</v>
      </c>
      <c r="AA172" s="23" t="s">
        <v>130</v>
      </c>
      <c r="AB172" s="24"/>
      <c r="AC172" s="23" t="str">
        <f aca="false">D172&amp;"#"&amp;E172</f>
        <v>구약#75</v>
      </c>
      <c r="AD172" s="23" t="n">
        <f aca="false">COUNTIFS($C$2:C172,C172,$D$2:D172,D172)</f>
        <v>75</v>
      </c>
    </row>
    <row r="173" customFormat="false" ht="26.85" hidden="false" customHeight="false" outlineLevel="0" collapsed="false">
      <c r="A173" s="21" t="n">
        <v>172</v>
      </c>
      <c r="B173" s="18" t="s">
        <v>1615</v>
      </c>
      <c r="C173" s="23" t="n">
        <v>2</v>
      </c>
      <c r="D173" s="23" t="s">
        <v>116</v>
      </c>
      <c r="E173" s="23" t="n">
        <f aca="false">IF(C173=1,COUNTIFS($C$2:C173,1,$D$2:D173,D173),COUNTIFS($C$2:$C$799,1,$D$2:$D$799,D173)+COUNTIFS($C$2:C173,2,$D$2:D173,D173))</f>
        <v>279</v>
      </c>
      <c r="F173" s="23" t="str">
        <f aca="false">D173&amp;" #"&amp;TEXT(E173,"000")</f>
        <v>구약 #279</v>
      </c>
      <c r="G173" s="18" t="s">
        <v>1590</v>
      </c>
      <c r="H173" s="18" t="s">
        <v>1616</v>
      </c>
      <c r="I173" s="21" t="s">
        <v>1591</v>
      </c>
      <c r="J173" s="22" t="s">
        <v>1617</v>
      </c>
      <c r="K173" s="23" t="s">
        <v>121</v>
      </c>
      <c r="L173" s="24" t="s">
        <v>1618</v>
      </c>
      <c r="M173" s="24" t="s">
        <v>1619</v>
      </c>
      <c r="N173" s="23" t="s">
        <v>1620</v>
      </c>
      <c r="O173" s="24" t="s">
        <v>1621</v>
      </c>
      <c r="P173" s="24" t="s">
        <v>1622</v>
      </c>
      <c r="Q173" s="24" t="s">
        <v>1623</v>
      </c>
      <c r="R173" s="25" t="s">
        <v>1624</v>
      </c>
      <c r="S173" s="24" t="s">
        <v>1625</v>
      </c>
      <c r="T173" s="24" t="str">
        <f aca="false">"["&amp;안내!$C$5&amp;" "&amp;F173&amp;"] "&amp;L173&amp;" | "&amp;J173</f>
        <v>[1분 성경 구약 #279] 여호와의 군대 대장 | 수 5:1-15</v>
      </c>
      <c r="U173" s="26" t="n">
        <f aca="false">IF(D173="구약",IF(C173=1,안내!$C$9,안내!$C$10)+AD173-1,IF(C173=1,안내!$C$9,안내!$C$10)+7*INT((AD173-1)/4)+CHOOSE(MOD(AD173-1,4)+1,0,2,4,5))</f>
        <v>46676</v>
      </c>
      <c r="V173" s="23" t="str">
        <f aca="false">CHOOSE(WEEKDAY(U173,2),"월","화","수","목","금","토","일")</f>
        <v>토</v>
      </c>
      <c r="W173" s="24" t="str">
        <f aca="false">IFERROR(IF(INDEX($C$2:$C$799,MATCH(D173&amp;"#"&amp;(E173+1),$AC$2:$AC$799,0))=C173,"다음 편: ","시즌1 완결 · 시즌2 첫 편: ")&amp;INDEX($L$2:$L$799,MATCH(D173&amp;"#"&amp;(E173+1),$AC$2:$AC$799,0)),"구약 트랙 완결")</f>
        <v>다음 편: 다시 일어서다</v>
      </c>
      <c r="X173" s="23" t="s">
        <v>130</v>
      </c>
      <c r="Y173" s="23" t="s">
        <v>130</v>
      </c>
      <c r="Z173" s="23" t="s">
        <v>130</v>
      </c>
      <c r="AA173" s="23" t="s">
        <v>130</v>
      </c>
      <c r="AB173" s="24"/>
      <c r="AC173" s="23" t="str">
        <f aca="false">D173&amp;"#"&amp;E173</f>
        <v>구약#279</v>
      </c>
      <c r="AD173" s="23" t="n">
        <f aca="false">COUNTIFS($C$2:C173,C173,$D$2:D173,D173)</f>
        <v>97</v>
      </c>
    </row>
    <row r="174" customFormat="false" ht="26.85" hidden="false" customHeight="false" outlineLevel="0" collapsed="false">
      <c r="A174" s="21" t="n">
        <v>173</v>
      </c>
      <c r="B174" s="18" t="s">
        <v>1626</v>
      </c>
      <c r="C174" s="20" t="n">
        <v>1</v>
      </c>
      <c r="D174" s="20" t="s">
        <v>116</v>
      </c>
      <c r="E174" s="20" t="n">
        <f aca="false">IF(C174=1,COUNTIFS($C$2:C174,1,$D$2:D174,D174),COUNTIFS($C$2:$C$799,1,$D$2:$D$799,D174)+COUNTIFS($C$2:C174,2,$D$2:D174,D174))</f>
        <v>76</v>
      </c>
      <c r="F174" s="20" t="str">
        <f aca="false">D174&amp;" #"&amp;TEXT(E174,"000")</f>
        <v>구약 #076</v>
      </c>
      <c r="G174" s="18" t="s">
        <v>1590</v>
      </c>
      <c r="H174" s="18" t="s">
        <v>1344</v>
      </c>
      <c r="I174" s="21" t="s">
        <v>1591</v>
      </c>
      <c r="J174" s="22" t="s">
        <v>1627</v>
      </c>
      <c r="K174" s="23" t="s">
        <v>121</v>
      </c>
      <c r="L174" s="24" t="s">
        <v>1628</v>
      </c>
      <c r="M174" s="29" t="s">
        <v>1629</v>
      </c>
      <c r="N174" s="23" t="s">
        <v>1630</v>
      </c>
      <c r="O174" s="24" t="s">
        <v>1631</v>
      </c>
      <c r="P174" s="24" t="s">
        <v>1632</v>
      </c>
      <c r="Q174" s="24" t="s">
        <v>1633</v>
      </c>
      <c r="R174" s="25" t="s">
        <v>1634</v>
      </c>
      <c r="S174" s="28" t="s">
        <v>1635</v>
      </c>
      <c r="T174" s="24" t="str">
        <f aca="false">"["&amp;안내!$C$5&amp;" "&amp;F174&amp;"] "&amp;L174&amp;" | "&amp;J174</f>
        <v>[1분 성경 구약 #076] 무너진 여리고 성 | 수 6:1-27</v>
      </c>
      <c r="U174" s="26" t="n">
        <f aca="false">IF(D174="구약",IF(C174=1,안내!$C$9,안내!$C$10)+AD174-1,IF(C174=1,안내!$C$9,안내!$C$10)+7*INT((AD174-1)/4)+CHOOSE(MOD(AD174-1,4)+1,0,2,4,5))</f>
        <v>46466</v>
      </c>
      <c r="V174" s="23" t="str">
        <f aca="false">CHOOSE(WEEKDAY(U174,2),"월","화","수","목","금","토","일")</f>
        <v>토</v>
      </c>
      <c r="W174" s="24" t="str">
        <f aca="false">IFERROR(IF(INDEX($C$2:$C$799,MATCH(D174&amp;"#"&amp;(E174+1),$AC$2:$AC$799,0))=C174,"다음 편: ","시즌1 완결 · 시즌2 첫 편: ")&amp;INDEX($L$2:$L$799,MATCH(D174&amp;"#"&amp;(E174+1),$AC$2:$AC$799,0)),"구약 트랙 완결")</f>
        <v>다음 편: 숨겨 둔 외투 한 벌</v>
      </c>
      <c r="X174" s="23" t="s">
        <v>130</v>
      </c>
      <c r="Y174" s="23" t="s">
        <v>130</v>
      </c>
      <c r="Z174" s="23" t="s">
        <v>130</v>
      </c>
      <c r="AA174" s="23" t="s">
        <v>130</v>
      </c>
      <c r="AB174" s="24"/>
      <c r="AC174" s="23" t="str">
        <f aca="false">D174&amp;"#"&amp;E174</f>
        <v>구약#76</v>
      </c>
      <c r="AD174" s="23" t="n">
        <f aca="false">COUNTIFS($C$2:C174,C174,$D$2:D174,D174)</f>
        <v>76</v>
      </c>
    </row>
    <row r="175" customFormat="false" ht="25.35" hidden="false" customHeight="false" outlineLevel="0" collapsed="false">
      <c r="A175" s="21" t="n">
        <v>174</v>
      </c>
      <c r="B175" s="18" t="s">
        <v>1636</v>
      </c>
      <c r="C175" s="20" t="n">
        <v>1</v>
      </c>
      <c r="D175" s="20" t="s">
        <v>116</v>
      </c>
      <c r="E175" s="20" t="n">
        <f aca="false">IF(C175=1,COUNTIFS($C$2:C175,1,$D$2:D175,D175),COUNTIFS($C$2:$C$799,1,$D$2:$D$799,D175)+COUNTIFS($C$2:C175,2,$D$2:D175,D175))</f>
        <v>77</v>
      </c>
      <c r="F175" s="20" t="str">
        <f aca="false">D175&amp;" #"&amp;TEXT(E175,"000")</f>
        <v>구약 #077</v>
      </c>
      <c r="G175" s="18" t="s">
        <v>1590</v>
      </c>
      <c r="H175" s="18" t="s">
        <v>1344</v>
      </c>
      <c r="I175" s="21" t="s">
        <v>1591</v>
      </c>
      <c r="J175" s="22" t="s">
        <v>1637</v>
      </c>
      <c r="K175" s="23" t="s">
        <v>121</v>
      </c>
      <c r="L175" s="24" t="s">
        <v>1638</v>
      </c>
      <c r="M175" s="24" t="s">
        <v>1639</v>
      </c>
      <c r="N175" s="23" t="s">
        <v>1640</v>
      </c>
      <c r="O175" s="24" t="s">
        <v>1641</v>
      </c>
      <c r="P175" s="24" t="s">
        <v>1642</v>
      </c>
      <c r="Q175" s="24" t="s">
        <v>1643</v>
      </c>
      <c r="R175" s="25" t="s">
        <v>704</v>
      </c>
      <c r="S175" s="24" t="s">
        <v>129</v>
      </c>
      <c r="T175" s="24" t="str">
        <f aca="false">"["&amp;안내!$C$5&amp;" "&amp;F175&amp;"] "&amp;L175&amp;" | "&amp;J175</f>
        <v>[1분 성경 구약 #077] 숨겨 둔 외투 한 벌 | 수 7:1-26</v>
      </c>
      <c r="U175" s="26" t="n">
        <f aca="false">IF(D175="구약",IF(C175=1,안내!$C$9,안내!$C$10)+AD175-1,IF(C175=1,안내!$C$9,안내!$C$10)+7*INT((AD175-1)/4)+CHOOSE(MOD(AD175-1,4)+1,0,2,4,5))</f>
        <v>46467</v>
      </c>
      <c r="V175" s="23" t="str">
        <f aca="false">CHOOSE(WEEKDAY(U175,2),"월","화","수","목","금","토","일")</f>
        <v>일</v>
      </c>
      <c r="W175" s="24" t="str">
        <f aca="false">IFERROR(IF(INDEX($C$2:$C$799,MATCH(D175&amp;"#"&amp;(E175+1),$AC$2:$AC$799,0))=C175,"다음 편: ","시즌1 완결 · 시즌2 첫 편: ")&amp;INDEX($L$2:$L$799,MATCH(D175&amp;"#"&amp;(E175+1),$AC$2:$AC$799,0)),"구약 트랙 완결")</f>
        <v>다음 편: 태양아 멈추라</v>
      </c>
      <c r="X175" s="23" t="s">
        <v>130</v>
      </c>
      <c r="Y175" s="23" t="s">
        <v>130</v>
      </c>
      <c r="Z175" s="23" t="s">
        <v>130</v>
      </c>
      <c r="AA175" s="23" t="s">
        <v>130</v>
      </c>
      <c r="AB175" s="24"/>
      <c r="AC175" s="23" t="str">
        <f aca="false">D175&amp;"#"&amp;E175</f>
        <v>구약#77</v>
      </c>
      <c r="AD175" s="23" t="n">
        <f aca="false">COUNTIFS($C$2:C175,C175,$D$2:D175,D175)</f>
        <v>77</v>
      </c>
    </row>
    <row r="176" customFormat="false" ht="26.85" hidden="false" customHeight="false" outlineLevel="0" collapsed="false">
      <c r="A176" s="21" t="n">
        <v>175</v>
      </c>
      <c r="B176" s="18" t="s">
        <v>1644</v>
      </c>
      <c r="C176" s="23" t="n">
        <v>2</v>
      </c>
      <c r="D176" s="23" t="s">
        <v>116</v>
      </c>
      <c r="E176" s="23" t="n">
        <f aca="false">IF(C176=1,COUNTIFS($C$2:C176,1,$D$2:D176,D176),COUNTIFS($C$2:$C$799,1,$D$2:$D$799,D176)+COUNTIFS($C$2:C176,2,$D$2:D176,D176))</f>
        <v>280</v>
      </c>
      <c r="F176" s="23" t="str">
        <f aca="false">D176&amp;" #"&amp;TEXT(E176,"000")</f>
        <v>구약 #280</v>
      </c>
      <c r="G176" s="18" t="s">
        <v>1590</v>
      </c>
      <c r="H176" s="18" t="s">
        <v>1616</v>
      </c>
      <c r="I176" s="21" t="s">
        <v>1591</v>
      </c>
      <c r="J176" s="22" t="s">
        <v>1645</v>
      </c>
      <c r="K176" s="23" t="s">
        <v>121</v>
      </c>
      <c r="L176" s="24" t="s">
        <v>1646</v>
      </c>
      <c r="M176" s="24" t="s">
        <v>1647</v>
      </c>
      <c r="N176" s="23" t="s">
        <v>1648</v>
      </c>
      <c r="O176" s="24" t="s">
        <v>1649</v>
      </c>
      <c r="P176" s="24" t="s">
        <v>1650</v>
      </c>
      <c r="Q176" s="24" t="s">
        <v>1651</v>
      </c>
      <c r="R176" s="24"/>
      <c r="S176" s="24" t="s">
        <v>1652</v>
      </c>
      <c r="T176" s="24" t="str">
        <f aca="false">"["&amp;안내!$C$5&amp;" "&amp;F176&amp;"] "&amp;L176&amp;" | "&amp;J176</f>
        <v>[1분 성경 구약 #280] 다시 일어서다 | 수 8:1-35</v>
      </c>
      <c r="U176" s="26" t="n">
        <f aca="false">IF(D176="구약",IF(C176=1,안내!$C$9,안내!$C$10)+AD176-1,IF(C176=1,안내!$C$9,안내!$C$10)+7*INT((AD176-1)/4)+CHOOSE(MOD(AD176-1,4)+1,0,2,4,5))</f>
        <v>46677</v>
      </c>
      <c r="V176" s="23" t="str">
        <f aca="false">CHOOSE(WEEKDAY(U176,2),"월","화","수","목","금","토","일")</f>
        <v>일</v>
      </c>
      <c r="W176" s="24" t="str">
        <f aca="false">IFERROR(IF(INDEX($C$2:$C$799,MATCH(D176&amp;"#"&amp;(E176+1),$AC$2:$AC$799,0))=C176,"다음 편: ","시즌1 완결 · 시즌2 첫 편: ")&amp;INDEX($L$2:$L$799,MATCH(D176&amp;"#"&amp;(E176+1),$AC$2:$AC$799,0)),"구약 트랙 완결")</f>
        <v>다음 편: 기브온의 속임수</v>
      </c>
      <c r="X176" s="23" t="s">
        <v>130</v>
      </c>
      <c r="Y176" s="23" t="s">
        <v>130</v>
      </c>
      <c r="Z176" s="23" t="s">
        <v>130</v>
      </c>
      <c r="AA176" s="23" t="s">
        <v>130</v>
      </c>
      <c r="AB176" s="24"/>
      <c r="AC176" s="23" t="str">
        <f aca="false">D176&amp;"#"&amp;E176</f>
        <v>구약#280</v>
      </c>
      <c r="AD176" s="23" t="n">
        <f aca="false">COUNTIFS($C$2:C176,C176,$D$2:D176,D176)</f>
        <v>98</v>
      </c>
    </row>
    <row r="177" customFormat="false" ht="15" hidden="false" customHeight="false" outlineLevel="0" collapsed="false">
      <c r="A177" s="21" t="n">
        <v>176</v>
      </c>
      <c r="B177" s="18" t="s">
        <v>1653</v>
      </c>
      <c r="C177" s="23" t="n">
        <v>2</v>
      </c>
      <c r="D177" s="23" t="s">
        <v>116</v>
      </c>
      <c r="E177" s="23" t="n">
        <f aca="false">IF(C177=1,COUNTIFS($C$2:C177,1,$D$2:D177,D177),COUNTIFS($C$2:$C$799,1,$D$2:$D$799,D177)+COUNTIFS($C$2:C177,2,$D$2:D177,D177))</f>
        <v>281</v>
      </c>
      <c r="F177" s="23" t="str">
        <f aca="false">D177&amp;" #"&amp;TEXT(E177,"000")</f>
        <v>구약 #281</v>
      </c>
      <c r="G177" s="18" t="s">
        <v>1654</v>
      </c>
      <c r="H177" s="18" t="s">
        <v>1616</v>
      </c>
      <c r="I177" s="21" t="s">
        <v>1591</v>
      </c>
      <c r="J177" s="22" t="s">
        <v>1655</v>
      </c>
      <c r="K177" s="23" t="s">
        <v>121</v>
      </c>
      <c r="L177" s="24" t="s">
        <v>1656</v>
      </c>
      <c r="M177" s="24" t="s">
        <v>1657</v>
      </c>
      <c r="N177" s="23" t="s">
        <v>1658</v>
      </c>
      <c r="O177" s="24" t="s">
        <v>1659</v>
      </c>
      <c r="P177" s="24" t="s">
        <v>1660</v>
      </c>
      <c r="Q177" s="24" t="s">
        <v>1661</v>
      </c>
      <c r="R177" s="24"/>
      <c r="S177" s="24" t="s">
        <v>1652</v>
      </c>
      <c r="T177" s="24" t="str">
        <f aca="false">"["&amp;안내!$C$5&amp;" "&amp;F177&amp;"] "&amp;L177&amp;" | "&amp;J177</f>
        <v>[1분 성경 구약 #281] 기브온의 속임수 | 수 9:1-27</v>
      </c>
      <c r="U177" s="26" t="n">
        <f aca="false">IF(D177="구약",IF(C177=1,안내!$C$9,안내!$C$10)+AD177-1,IF(C177=1,안내!$C$9,안내!$C$10)+7*INT((AD177-1)/4)+CHOOSE(MOD(AD177-1,4)+1,0,2,4,5))</f>
        <v>46678</v>
      </c>
      <c r="V177" s="23" t="str">
        <f aca="false">CHOOSE(WEEKDAY(U177,2),"월","화","수","목","금","토","일")</f>
        <v>월</v>
      </c>
      <c r="W177" s="24" t="str">
        <f aca="false">IFERROR(IF(INDEX($C$2:$C$799,MATCH(D177&amp;"#"&amp;(E177+1),$AC$2:$AC$799,0))=C177,"다음 편: ","시즌1 완결 · 시즌2 첫 편: ")&amp;INDEX($L$2:$L$799,MATCH(D177&amp;"#"&amp;(E177+1),$AC$2:$AC$799,0)),"구약 트랙 완결")</f>
        <v>다음 편: 가나안 정복 전쟁</v>
      </c>
      <c r="X177" s="23" t="s">
        <v>130</v>
      </c>
      <c r="Y177" s="23" t="s">
        <v>130</v>
      </c>
      <c r="Z177" s="23" t="s">
        <v>130</v>
      </c>
      <c r="AA177" s="23" t="s">
        <v>130</v>
      </c>
      <c r="AB177" s="24"/>
      <c r="AC177" s="23" t="str">
        <f aca="false">D177&amp;"#"&amp;E177</f>
        <v>구약#281</v>
      </c>
      <c r="AD177" s="23" t="n">
        <f aca="false">COUNTIFS($C$2:C177,C177,$D$2:D177,D177)</f>
        <v>99</v>
      </c>
    </row>
    <row r="178" customFormat="false" ht="39.55" hidden="false" customHeight="false" outlineLevel="0" collapsed="false">
      <c r="A178" s="21" t="n">
        <v>177</v>
      </c>
      <c r="B178" s="18" t="s">
        <v>1662</v>
      </c>
      <c r="C178" s="20" t="n">
        <v>1</v>
      </c>
      <c r="D178" s="20" t="s">
        <v>116</v>
      </c>
      <c r="E178" s="20" t="n">
        <f aca="false">IF(C178=1,COUNTIFS($C$2:C178,1,$D$2:D178,D178),COUNTIFS($C$2:$C$799,1,$D$2:$D$799,D178)+COUNTIFS($C$2:C178,2,$D$2:D178,D178))</f>
        <v>78</v>
      </c>
      <c r="F178" s="20" t="str">
        <f aca="false">D178&amp;" #"&amp;TEXT(E178,"000")</f>
        <v>구약 #078</v>
      </c>
      <c r="G178" s="18" t="s">
        <v>1654</v>
      </c>
      <c r="H178" s="18" t="s">
        <v>1663</v>
      </c>
      <c r="I178" s="21" t="s">
        <v>1591</v>
      </c>
      <c r="J178" s="22" t="s">
        <v>1664</v>
      </c>
      <c r="K178" s="23" t="s">
        <v>121</v>
      </c>
      <c r="L178" s="24" t="s">
        <v>1665</v>
      </c>
      <c r="M178" s="24" t="s">
        <v>1666</v>
      </c>
      <c r="N178" s="23" t="s">
        <v>1667</v>
      </c>
      <c r="O178" s="24" t="s">
        <v>1668</v>
      </c>
      <c r="P178" s="24" t="s">
        <v>1669</v>
      </c>
      <c r="Q178" s="24" t="s">
        <v>1670</v>
      </c>
      <c r="R178" s="24"/>
      <c r="S178" s="28" t="s">
        <v>1671</v>
      </c>
      <c r="T178" s="24" t="str">
        <f aca="false">"["&amp;안내!$C$5&amp;" "&amp;F178&amp;"] "&amp;L178&amp;" | "&amp;J178</f>
        <v>[1분 성경 구약 #078] 태양아 멈추라 | 수 10:1-15</v>
      </c>
      <c r="U178" s="26" t="n">
        <f aca="false">IF(D178="구약",IF(C178=1,안내!$C$9,안내!$C$10)+AD178-1,IF(C178=1,안내!$C$9,안내!$C$10)+7*INT((AD178-1)/4)+CHOOSE(MOD(AD178-1,4)+1,0,2,4,5))</f>
        <v>46468</v>
      </c>
      <c r="V178" s="23" t="str">
        <f aca="false">CHOOSE(WEEKDAY(U178,2),"월","화","수","목","금","토","일")</f>
        <v>월</v>
      </c>
      <c r="W178" s="24" t="str">
        <f aca="false">IFERROR(IF(INDEX($C$2:$C$799,MATCH(D178&amp;"#"&amp;(E178+1),$AC$2:$AC$799,0))=C178,"다음 편: ","시즌1 완결 · 시즌2 첫 편: ")&amp;INDEX($L$2:$L$799,MATCH(D178&amp;"#"&amp;(E178+1),$AC$2:$AC$799,0)),"구약 트랙 완결")</f>
        <v>다음 편: 나와 내 집은</v>
      </c>
      <c r="X178" s="23" t="s">
        <v>130</v>
      </c>
      <c r="Y178" s="23" t="s">
        <v>130</v>
      </c>
      <c r="Z178" s="23" t="s">
        <v>130</v>
      </c>
      <c r="AA178" s="23" t="s">
        <v>130</v>
      </c>
      <c r="AB178" s="24"/>
      <c r="AC178" s="23" t="str">
        <f aca="false">D178&amp;"#"&amp;E178</f>
        <v>구약#78</v>
      </c>
      <c r="AD178" s="23" t="n">
        <f aca="false">COUNTIFS($C$2:C178,C178,$D$2:D178,D178)</f>
        <v>78</v>
      </c>
    </row>
    <row r="179" customFormat="false" ht="26.85" hidden="false" customHeight="false" outlineLevel="0" collapsed="false">
      <c r="A179" s="21" t="n">
        <v>178</v>
      </c>
      <c r="B179" s="18" t="s">
        <v>1672</v>
      </c>
      <c r="C179" s="23" t="n">
        <v>2</v>
      </c>
      <c r="D179" s="23" t="s">
        <v>116</v>
      </c>
      <c r="E179" s="23" t="n">
        <f aca="false">IF(C179=1,COUNTIFS($C$2:C179,1,$D$2:D179,D179),COUNTIFS($C$2:$C$799,1,$D$2:$D$799,D179)+COUNTIFS($C$2:C179,2,$D$2:D179,D179))</f>
        <v>282</v>
      </c>
      <c r="F179" s="23" t="str">
        <f aca="false">D179&amp;" #"&amp;TEXT(E179,"000")</f>
        <v>구약 #282</v>
      </c>
      <c r="G179" s="18" t="s">
        <v>1654</v>
      </c>
      <c r="H179" s="18" t="s">
        <v>1616</v>
      </c>
      <c r="I179" s="21" t="s">
        <v>1591</v>
      </c>
      <c r="J179" s="22" t="s">
        <v>1673</v>
      </c>
      <c r="K179" s="23" t="s">
        <v>1085</v>
      </c>
      <c r="L179" s="24" t="s">
        <v>1674</v>
      </c>
      <c r="M179" s="29" t="s">
        <v>1675</v>
      </c>
      <c r="N179" s="23" t="s">
        <v>1676</v>
      </c>
      <c r="O179" s="24" t="s">
        <v>1677</v>
      </c>
      <c r="P179" s="24" t="s">
        <v>1678</v>
      </c>
      <c r="Q179" s="24" t="s">
        <v>1679</v>
      </c>
      <c r="R179" s="25" t="s">
        <v>1680</v>
      </c>
      <c r="S179" s="24" t="s">
        <v>1681</v>
      </c>
      <c r="T179" s="24" t="str">
        <f aca="false">"["&amp;안내!$C$5&amp;" "&amp;F179&amp;"] "&amp;L179&amp;" | "&amp;J179</f>
        <v>[1분 성경 구약 #282] 가나안 정복 전쟁 | 수 10:16-12:24</v>
      </c>
      <c r="U179" s="26" t="n">
        <f aca="false">IF(D179="구약",IF(C179=1,안내!$C$9,안내!$C$10)+AD179-1,IF(C179=1,안내!$C$9,안내!$C$10)+7*INT((AD179-1)/4)+CHOOSE(MOD(AD179-1,4)+1,0,2,4,5))</f>
        <v>46679</v>
      </c>
      <c r="V179" s="23" t="str">
        <f aca="false">CHOOSE(WEEKDAY(U179,2),"월","화","수","목","금","토","일")</f>
        <v>화</v>
      </c>
      <c r="W179" s="24" t="str">
        <f aca="false">IFERROR(IF(INDEX($C$2:$C$799,MATCH(D179&amp;"#"&amp;(E179+1),$AC$2:$AC$799,0))=C179,"다음 편: ","시즌1 완결 · 시즌2 첫 편: ")&amp;INDEX($L$2:$L$799,MATCH(D179&amp;"#"&amp;(E179+1),$AC$2:$AC$799,0)),"구약 트랙 완결")</f>
        <v>다음 편: 땅을 나누다</v>
      </c>
      <c r="X179" s="23" t="s">
        <v>130</v>
      </c>
      <c r="Y179" s="23" t="s">
        <v>130</v>
      </c>
      <c r="Z179" s="23" t="s">
        <v>130</v>
      </c>
      <c r="AA179" s="23" t="s">
        <v>130</v>
      </c>
      <c r="AB179" s="24"/>
      <c r="AC179" s="23" t="str">
        <f aca="false">D179&amp;"#"&amp;E179</f>
        <v>구약#282</v>
      </c>
      <c r="AD179" s="23" t="n">
        <f aca="false">COUNTIFS($C$2:C179,C179,$D$2:D179,D179)</f>
        <v>100</v>
      </c>
    </row>
    <row r="180" customFormat="false" ht="15" hidden="false" customHeight="false" outlineLevel="0" collapsed="false">
      <c r="A180" s="21" t="n">
        <v>179</v>
      </c>
      <c r="B180" s="18" t="s">
        <v>1682</v>
      </c>
      <c r="C180" s="23" t="n">
        <v>2</v>
      </c>
      <c r="D180" s="23" t="s">
        <v>116</v>
      </c>
      <c r="E180" s="23" t="n">
        <f aca="false">IF(C180=1,COUNTIFS($C$2:C180,1,$D$2:D180,D180),COUNTIFS($C$2:$C$799,1,$D$2:$D$799,D180)+COUNTIFS($C$2:C180,2,$D$2:D180,D180))</f>
        <v>283</v>
      </c>
      <c r="F180" s="23" t="str">
        <f aca="false">D180&amp;" #"&amp;TEXT(E180,"000")</f>
        <v>구약 #283</v>
      </c>
      <c r="G180" s="18" t="s">
        <v>1654</v>
      </c>
      <c r="H180" s="18" t="s">
        <v>1616</v>
      </c>
      <c r="I180" s="21" t="s">
        <v>1591</v>
      </c>
      <c r="J180" s="22" t="s">
        <v>1683</v>
      </c>
      <c r="K180" s="23" t="s">
        <v>1085</v>
      </c>
      <c r="L180" s="24" t="s">
        <v>1684</v>
      </c>
      <c r="M180" s="24" t="s">
        <v>1685</v>
      </c>
      <c r="N180" s="23" t="s">
        <v>1686</v>
      </c>
      <c r="O180" s="24" t="s">
        <v>1687</v>
      </c>
      <c r="P180" s="24" t="s">
        <v>1688</v>
      </c>
      <c r="Q180" s="24" t="s">
        <v>1689</v>
      </c>
      <c r="R180" s="24"/>
      <c r="S180" s="24" t="s">
        <v>1681</v>
      </c>
      <c r="T180" s="24" t="str">
        <f aca="false">"["&amp;안내!$C$5&amp;" "&amp;F180&amp;"] "&amp;L180&amp;" | "&amp;J180</f>
        <v>[1분 성경 구약 #283] 땅을 나누다 | 수 13:1-14:5</v>
      </c>
      <c r="U180" s="26" t="n">
        <f aca="false">IF(D180="구약",IF(C180=1,안내!$C$9,안내!$C$10)+AD180-1,IF(C180=1,안내!$C$9,안내!$C$10)+7*INT((AD180-1)/4)+CHOOSE(MOD(AD180-1,4)+1,0,2,4,5))</f>
        <v>46680</v>
      </c>
      <c r="V180" s="23" t="str">
        <f aca="false">CHOOSE(WEEKDAY(U180,2),"월","화","수","목","금","토","일")</f>
        <v>수</v>
      </c>
      <c r="W180" s="24" t="str">
        <f aca="false">IFERROR(IF(INDEX($C$2:$C$799,MATCH(D180&amp;"#"&amp;(E180+1),$AC$2:$AC$799,0))=C180,"다음 편: ","시즌1 완결 · 시즌2 첫 편: ")&amp;INDEX($L$2:$L$799,MATCH(D180&amp;"#"&amp;(E180+1),$AC$2:$AC$799,0)),"구약 트랙 완결")</f>
        <v>다음 편: 85세 갈렙</v>
      </c>
      <c r="X180" s="23" t="s">
        <v>130</v>
      </c>
      <c r="Y180" s="23" t="s">
        <v>130</v>
      </c>
      <c r="Z180" s="23" t="s">
        <v>130</v>
      </c>
      <c r="AA180" s="23" t="s">
        <v>130</v>
      </c>
      <c r="AB180" s="24"/>
      <c r="AC180" s="23" t="str">
        <f aca="false">D180&amp;"#"&amp;E180</f>
        <v>구약#283</v>
      </c>
      <c r="AD180" s="23" t="n">
        <f aca="false">COUNTIFS($C$2:C180,C180,$D$2:D180,D180)</f>
        <v>101</v>
      </c>
    </row>
    <row r="181" customFormat="false" ht="15" hidden="false" customHeight="false" outlineLevel="0" collapsed="false">
      <c r="A181" s="21" t="n">
        <v>180</v>
      </c>
      <c r="B181" s="18" t="s">
        <v>1690</v>
      </c>
      <c r="C181" s="23" t="n">
        <v>2</v>
      </c>
      <c r="D181" s="23" t="s">
        <v>116</v>
      </c>
      <c r="E181" s="23" t="n">
        <f aca="false">IF(C181=1,COUNTIFS($C$2:C181,1,$D$2:D181,D181),COUNTIFS($C$2:$C$799,1,$D$2:$D$799,D181)+COUNTIFS($C$2:C181,2,$D$2:D181,D181))</f>
        <v>284</v>
      </c>
      <c r="F181" s="23" t="str">
        <f aca="false">D181&amp;" #"&amp;TEXT(E181,"000")</f>
        <v>구약 #284</v>
      </c>
      <c r="G181" s="18" t="s">
        <v>1654</v>
      </c>
      <c r="H181" s="18" t="s">
        <v>1616</v>
      </c>
      <c r="I181" s="21" t="s">
        <v>1591</v>
      </c>
      <c r="J181" s="22" t="s">
        <v>1691</v>
      </c>
      <c r="K181" s="23" t="s">
        <v>121</v>
      </c>
      <c r="L181" s="29" t="s">
        <v>1692</v>
      </c>
      <c r="M181" s="24" t="s">
        <v>1693</v>
      </c>
      <c r="N181" s="23" t="s">
        <v>1694</v>
      </c>
      <c r="O181" s="24" t="s">
        <v>1695</v>
      </c>
      <c r="P181" s="24" t="s">
        <v>1696</v>
      </c>
      <c r="Q181" s="24" t="s">
        <v>1697</v>
      </c>
      <c r="R181" s="24"/>
      <c r="S181" s="24" t="s">
        <v>1681</v>
      </c>
      <c r="T181" s="24" t="str">
        <f aca="false">"["&amp;안내!$C$5&amp;" "&amp;F181&amp;"] "&amp;L181&amp;" | "&amp;J181</f>
        <v>[1분 성경 구약 #284] 85세 갈렙 | 수 14:6-15</v>
      </c>
      <c r="U181" s="26" t="n">
        <f aca="false">IF(D181="구약",IF(C181=1,안내!$C$9,안내!$C$10)+AD181-1,IF(C181=1,안내!$C$9,안내!$C$10)+7*INT((AD181-1)/4)+CHOOSE(MOD(AD181-1,4)+1,0,2,4,5))</f>
        <v>46681</v>
      </c>
      <c r="V181" s="23" t="str">
        <f aca="false">CHOOSE(WEEKDAY(U181,2),"월","화","수","목","금","토","일")</f>
        <v>목</v>
      </c>
      <c r="W181" s="24" t="str">
        <f aca="false">IFERROR(IF(INDEX($C$2:$C$799,MATCH(D181&amp;"#"&amp;(E181+1),$AC$2:$AC$799,0))=C181,"다음 편: ","시즌1 완결 · 시즌2 첫 편: ")&amp;INDEX($L$2:$L$799,MATCH(D181&amp;"#"&amp;(E181+1),$AC$2:$AC$799,0)),"구약 트랙 완결")</f>
        <v>다음 편: 열두 지파의 기업</v>
      </c>
      <c r="X181" s="23" t="s">
        <v>130</v>
      </c>
      <c r="Y181" s="23" t="s">
        <v>130</v>
      </c>
      <c r="Z181" s="23" t="s">
        <v>130</v>
      </c>
      <c r="AA181" s="23" t="s">
        <v>130</v>
      </c>
      <c r="AB181" s="24"/>
      <c r="AC181" s="23" t="str">
        <f aca="false">D181&amp;"#"&amp;E181</f>
        <v>구약#284</v>
      </c>
      <c r="AD181" s="23" t="n">
        <f aca="false">COUNTIFS($C$2:C181,C181,$D$2:D181,D181)</f>
        <v>102</v>
      </c>
    </row>
    <row r="182" customFormat="false" ht="25.35" hidden="false" customHeight="false" outlineLevel="0" collapsed="false">
      <c r="A182" s="21" t="n">
        <v>181</v>
      </c>
      <c r="B182" s="18" t="s">
        <v>1698</v>
      </c>
      <c r="C182" s="23" t="n">
        <v>2</v>
      </c>
      <c r="D182" s="23" t="s">
        <v>116</v>
      </c>
      <c r="E182" s="23" t="n">
        <f aca="false">IF(C182=1,COUNTIFS($C$2:C182,1,$D$2:D182,D182),COUNTIFS($C$2:$C$799,1,$D$2:$D$799,D182)+COUNTIFS($C$2:C182,2,$D$2:D182,D182))</f>
        <v>285</v>
      </c>
      <c r="F182" s="23" t="str">
        <f aca="false">D182&amp;" #"&amp;TEXT(E182,"000")</f>
        <v>구약 #285</v>
      </c>
      <c r="G182" s="18" t="s">
        <v>1654</v>
      </c>
      <c r="H182" s="18" t="s">
        <v>1616</v>
      </c>
      <c r="I182" s="21" t="s">
        <v>1591</v>
      </c>
      <c r="J182" s="22" t="s">
        <v>1699</v>
      </c>
      <c r="K182" s="23" t="s">
        <v>1085</v>
      </c>
      <c r="L182" s="24" t="s">
        <v>1700</v>
      </c>
      <c r="M182" s="24" t="s">
        <v>1701</v>
      </c>
      <c r="N182" s="23" t="s">
        <v>1702</v>
      </c>
      <c r="O182" s="24" t="s">
        <v>1703</v>
      </c>
      <c r="P182" s="24" t="s">
        <v>1704</v>
      </c>
      <c r="Q182" s="24" t="s">
        <v>1705</v>
      </c>
      <c r="R182" s="24"/>
      <c r="S182" s="24" t="s">
        <v>1681</v>
      </c>
      <c r="T182" s="24" t="str">
        <f aca="false">"["&amp;안내!$C$5&amp;" "&amp;F182&amp;"] "&amp;L182&amp;" | "&amp;J182</f>
        <v>[1분 성경 구약 #285] 열두 지파의 기업 | 수 15:1-19:51</v>
      </c>
      <c r="U182" s="26" t="n">
        <f aca="false">IF(D182="구약",IF(C182=1,안내!$C$9,안내!$C$10)+AD182-1,IF(C182=1,안내!$C$9,안내!$C$10)+7*INT((AD182-1)/4)+CHOOSE(MOD(AD182-1,4)+1,0,2,4,5))</f>
        <v>46682</v>
      </c>
      <c r="V182" s="23" t="str">
        <f aca="false">CHOOSE(WEEKDAY(U182,2),"월","화","수","목","금","토","일")</f>
        <v>금</v>
      </c>
      <c r="W182" s="24" t="str">
        <f aca="false">IFERROR(IF(INDEX($C$2:$C$799,MATCH(D182&amp;"#"&amp;(E182+1),$AC$2:$AC$799,0))=C182,"다음 편: ","시즌1 완결 · 시즌2 첫 편: ")&amp;INDEX($L$2:$L$799,MATCH(D182&amp;"#"&amp;(E182+1),$AC$2:$AC$799,0)),"구약 트랙 완결")</f>
        <v>다음 편: 하나도 남김없이</v>
      </c>
      <c r="X182" s="23" t="s">
        <v>130</v>
      </c>
      <c r="Y182" s="23" t="s">
        <v>130</v>
      </c>
      <c r="Z182" s="23" t="s">
        <v>130</v>
      </c>
      <c r="AA182" s="23" t="s">
        <v>130</v>
      </c>
      <c r="AB182" s="24"/>
      <c r="AC182" s="23" t="str">
        <f aca="false">D182&amp;"#"&amp;E182</f>
        <v>구약#285</v>
      </c>
      <c r="AD182" s="23" t="n">
        <f aca="false">COUNTIFS($C$2:C182,C182,$D$2:D182,D182)</f>
        <v>103</v>
      </c>
    </row>
    <row r="183" customFormat="false" ht="26.85" hidden="false" customHeight="false" outlineLevel="0" collapsed="false">
      <c r="A183" s="21" t="n">
        <v>182</v>
      </c>
      <c r="B183" s="18" t="s">
        <v>1706</v>
      </c>
      <c r="C183" s="23" t="n">
        <v>2</v>
      </c>
      <c r="D183" s="23" t="s">
        <v>116</v>
      </c>
      <c r="E183" s="23" t="n">
        <f aca="false">IF(C183=1,COUNTIFS($C$2:C183,1,$D$2:D183,D183),COUNTIFS($C$2:$C$799,1,$D$2:$D$799,D183)+COUNTIFS($C$2:C183,2,$D$2:D183,D183))</f>
        <v>286</v>
      </c>
      <c r="F183" s="23" t="str">
        <f aca="false">D183&amp;" #"&amp;TEXT(E183,"000")</f>
        <v>구약 #286</v>
      </c>
      <c r="G183" s="18" t="s">
        <v>1654</v>
      </c>
      <c r="H183" s="18" t="s">
        <v>1616</v>
      </c>
      <c r="I183" s="21" t="s">
        <v>1591</v>
      </c>
      <c r="J183" s="22" t="s">
        <v>1707</v>
      </c>
      <c r="K183" s="23" t="s">
        <v>121</v>
      </c>
      <c r="L183" s="24" t="s">
        <v>1708</v>
      </c>
      <c r="M183" s="24" t="s">
        <v>1709</v>
      </c>
      <c r="N183" s="23" t="s">
        <v>1710</v>
      </c>
      <c r="O183" s="24" t="s">
        <v>1711</v>
      </c>
      <c r="P183" s="24" t="s">
        <v>1712</v>
      </c>
      <c r="Q183" s="24" t="s">
        <v>1713</v>
      </c>
      <c r="R183" s="24"/>
      <c r="S183" s="24" t="s">
        <v>1681</v>
      </c>
      <c r="T183" s="24" t="str">
        <f aca="false">"["&amp;안내!$C$5&amp;" "&amp;F183&amp;"] "&amp;L183&amp;" | "&amp;J183</f>
        <v>[1분 성경 구약 #286] 하나도 남김없이 | 수 20:1-21:45</v>
      </c>
      <c r="U183" s="26" t="n">
        <f aca="false">IF(D183="구약",IF(C183=1,안내!$C$9,안내!$C$10)+AD183-1,IF(C183=1,안내!$C$9,안내!$C$10)+7*INT((AD183-1)/4)+CHOOSE(MOD(AD183-1,4)+1,0,2,4,5))</f>
        <v>46683</v>
      </c>
      <c r="V183" s="23" t="str">
        <f aca="false">CHOOSE(WEEKDAY(U183,2),"월","화","수","목","금","토","일")</f>
        <v>토</v>
      </c>
      <c r="W183" s="24" t="str">
        <f aca="false">IFERROR(IF(INDEX($C$2:$C$799,MATCH(D183&amp;"#"&amp;(E183+1),$AC$2:$AC$799,0))=C183,"다음 편: ","시즌1 완결 · 시즌2 첫 편: ")&amp;INDEX($L$2:$L$799,MATCH(D183&amp;"#"&amp;(E183+1),$AC$2:$AC$799,0)),"구약 트랙 완결")</f>
        <v>다음 편: 요단 강가의 큰 제단</v>
      </c>
      <c r="X183" s="23" t="s">
        <v>130</v>
      </c>
      <c r="Y183" s="23" t="s">
        <v>130</v>
      </c>
      <c r="Z183" s="23" t="s">
        <v>130</v>
      </c>
      <c r="AA183" s="23" t="s">
        <v>130</v>
      </c>
      <c r="AB183" s="24"/>
      <c r="AC183" s="23" t="str">
        <f aca="false">D183&amp;"#"&amp;E183</f>
        <v>구약#286</v>
      </c>
      <c r="AD183" s="23" t="n">
        <f aca="false">COUNTIFS($C$2:C183,C183,$D$2:D183,D183)</f>
        <v>104</v>
      </c>
    </row>
    <row r="184" customFormat="false" ht="25.35" hidden="false" customHeight="false" outlineLevel="0" collapsed="false">
      <c r="A184" s="21" t="n">
        <v>183</v>
      </c>
      <c r="B184" s="18" t="s">
        <v>1714</v>
      </c>
      <c r="C184" s="23" t="n">
        <v>2</v>
      </c>
      <c r="D184" s="23" t="s">
        <v>116</v>
      </c>
      <c r="E184" s="23" t="n">
        <f aca="false">IF(C184=1,COUNTIFS($C$2:C184,1,$D$2:D184,D184),COUNTIFS($C$2:$C$799,1,$D$2:$D$799,D184)+COUNTIFS($C$2:C184,2,$D$2:D184,D184))</f>
        <v>287</v>
      </c>
      <c r="F184" s="23" t="str">
        <f aca="false">D184&amp;" #"&amp;TEXT(E184,"000")</f>
        <v>구약 #287</v>
      </c>
      <c r="G184" s="18" t="s">
        <v>1654</v>
      </c>
      <c r="H184" s="18" t="s">
        <v>1616</v>
      </c>
      <c r="I184" s="21" t="s">
        <v>1591</v>
      </c>
      <c r="J184" s="22" t="s">
        <v>1715</v>
      </c>
      <c r="K184" s="23" t="s">
        <v>121</v>
      </c>
      <c r="L184" s="24" t="s">
        <v>1716</v>
      </c>
      <c r="M184" s="24" t="s">
        <v>1717</v>
      </c>
      <c r="N184" s="23" t="s">
        <v>1718</v>
      </c>
      <c r="O184" s="24" t="s">
        <v>1719</v>
      </c>
      <c r="P184" s="24" t="s">
        <v>1720</v>
      </c>
      <c r="Q184" s="24" t="s">
        <v>1721</v>
      </c>
      <c r="R184" s="24"/>
      <c r="S184" s="24" t="s">
        <v>1681</v>
      </c>
      <c r="T184" s="24" t="str">
        <f aca="false">"["&amp;안내!$C$5&amp;" "&amp;F184&amp;"] "&amp;L184&amp;" | "&amp;J184</f>
        <v>[1분 성경 구약 #287] 요단 강가의 큰 제단 | 수 22:1-34</v>
      </c>
      <c r="U184" s="26" t="n">
        <f aca="false">IF(D184="구약",IF(C184=1,안내!$C$9,안내!$C$10)+AD184-1,IF(C184=1,안내!$C$9,안내!$C$10)+7*INT((AD184-1)/4)+CHOOSE(MOD(AD184-1,4)+1,0,2,4,5))</f>
        <v>46684</v>
      </c>
      <c r="V184" s="23" t="str">
        <f aca="false">CHOOSE(WEEKDAY(U184,2),"월","화","수","목","금","토","일")</f>
        <v>일</v>
      </c>
      <c r="W184" s="24" t="str">
        <f aca="false">IFERROR(IF(INDEX($C$2:$C$799,MATCH(D184&amp;"#"&amp;(E184+1),$AC$2:$AC$799,0))=C184,"다음 편: ","시즌1 완결 · 시즌2 첫 편: ")&amp;INDEX($L$2:$L$799,MATCH(D184&amp;"#"&amp;(E184+1),$AC$2:$AC$799,0)),"구약 트랙 완결")</f>
        <v>다음 편: 끝내지 못한 정복</v>
      </c>
      <c r="X184" s="23" t="s">
        <v>130</v>
      </c>
      <c r="Y184" s="23" t="s">
        <v>130</v>
      </c>
      <c r="Z184" s="23" t="s">
        <v>130</v>
      </c>
      <c r="AA184" s="23" t="s">
        <v>130</v>
      </c>
      <c r="AB184" s="24"/>
      <c r="AC184" s="23" t="str">
        <f aca="false">D184&amp;"#"&amp;E184</f>
        <v>구약#287</v>
      </c>
      <c r="AD184" s="23" t="n">
        <f aca="false">COUNTIFS($C$2:C184,C184,$D$2:D184,D184)</f>
        <v>105</v>
      </c>
    </row>
    <row r="185" customFormat="false" ht="39.55" hidden="false" customHeight="false" outlineLevel="0" collapsed="false">
      <c r="A185" s="21" t="n">
        <v>184</v>
      </c>
      <c r="B185" s="18" t="s">
        <v>1722</v>
      </c>
      <c r="C185" s="20" t="n">
        <v>1</v>
      </c>
      <c r="D185" s="20" t="s">
        <v>116</v>
      </c>
      <c r="E185" s="20" t="n">
        <f aca="false">IF(C185=1,COUNTIFS($C$2:C185,1,$D$2:D185,D185),COUNTIFS($C$2:$C$799,1,$D$2:$D$799,D185)+COUNTIFS($C$2:C185,2,$D$2:D185,D185))</f>
        <v>79</v>
      </c>
      <c r="F185" s="20" t="str">
        <f aca="false">D185&amp;" #"&amp;TEXT(E185,"000")</f>
        <v>구약 #079</v>
      </c>
      <c r="G185" s="18" t="s">
        <v>1654</v>
      </c>
      <c r="H185" s="18" t="s">
        <v>1663</v>
      </c>
      <c r="I185" s="21" t="s">
        <v>1591</v>
      </c>
      <c r="J185" s="22" t="s">
        <v>1723</v>
      </c>
      <c r="K185" s="23" t="s">
        <v>121</v>
      </c>
      <c r="L185" s="24" t="s">
        <v>1724</v>
      </c>
      <c r="M185" s="24" t="s">
        <v>1725</v>
      </c>
      <c r="N185" s="23" t="s">
        <v>1726</v>
      </c>
      <c r="O185" s="24" t="s">
        <v>1727</v>
      </c>
      <c r="P185" s="24" t="s">
        <v>1650</v>
      </c>
      <c r="Q185" s="24" t="s">
        <v>630</v>
      </c>
      <c r="R185" s="24"/>
      <c r="S185" s="28" t="s">
        <v>1728</v>
      </c>
      <c r="T185" s="24" t="str">
        <f aca="false">"["&amp;안내!$C$5&amp;" "&amp;F185&amp;"] "&amp;L185&amp;" | "&amp;J185</f>
        <v>[1분 성경 구약 #079] 나와 내 집은 | 수 23:1-24:33</v>
      </c>
      <c r="U185" s="26" t="n">
        <f aca="false">IF(D185="구약",IF(C185=1,안내!$C$9,안내!$C$10)+AD185-1,IF(C185=1,안내!$C$9,안내!$C$10)+7*INT((AD185-1)/4)+CHOOSE(MOD(AD185-1,4)+1,0,2,4,5))</f>
        <v>46469</v>
      </c>
      <c r="V185" s="23" t="str">
        <f aca="false">CHOOSE(WEEKDAY(U185,2),"월","화","수","목","금","토","일")</f>
        <v>화</v>
      </c>
      <c r="W185" s="24" t="str">
        <f aca="false">IFERROR(IF(INDEX($C$2:$C$799,MATCH(D185&amp;"#"&amp;(E185+1),$AC$2:$AC$799,0))=C185,"다음 편: ","시즌1 완결 · 시즌2 첫 편: ")&amp;INDEX($L$2:$L$799,MATCH(D185&amp;"#"&amp;(E185+1),$AC$2:$AC$799,0)),"구약 트랙 완결")</f>
        <v>다음 편: 드보라와 바락</v>
      </c>
      <c r="X185" s="23" t="s">
        <v>130</v>
      </c>
      <c r="Y185" s="23" t="s">
        <v>130</v>
      </c>
      <c r="Z185" s="23" t="s">
        <v>130</v>
      </c>
      <c r="AA185" s="23" t="s">
        <v>130</v>
      </c>
      <c r="AB185" s="24"/>
      <c r="AC185" s="23" t="str">
        <f aca="false">D185&amp;"#"&amp;E185</f>
        <v>구약#79</v>
      </c>
      <c r="AD185" s="23" t="n">
        <f aca="false">COUNTIFS($C$2:C185,C185,$D$2:D185,D185)</f>
        <v>79</v>
      </c>
    </row>
    <row r="186" customFormat="false" ht="26.85" hidden="false" customHeight="false" outlineLevel="0" collapsed="false">
      <c r="A186" s="21" t="n">
        <v>185</v>
      </c>
      <c r="B186" s="18" t="s">
        <v>1729</v>
      </c>
      <c r="C186" s="23" t="n">
        <v>2</v>
      </c>
      <c r="D186" s="23" t="s">
        <v>116</v>
      </c>
      <c r="E186" s="23" t="n">
        <f aca="false">IF(C186=1,COUNTIFS($C$2:C186,1,$D$2:D186,D186),COUNTIFS($C$2:$C$799,1,$D$2:$D$799,D186)+COUNTIFS($C$2:C186,2,$D$2:D186,D186))</f>
        <v>288</v>
      </c>
      <c r="F186" s="23" t="str">
        <f aca="false">D186&amp;" #"&amp;TEXT(E186,"000")</f>
        <v>구약 #288</v>
      </c>
      <c r="G186" s="18" t="s">
        <v>1730</v>
      </c>
      <c r="H186" s="18" t="s">
        <v>1731</v>
      </c>
      <c r="I186" s="21" t="s">
        <v>1732</v>
      </c>
      <c r="J186" s="22" t="s">
        <v>1733</v>
      </c>
      <c r="K186" s="23" t="s">
        <v>121</v>
      </c>
      <c r="L186" s="24" t="s">
        <v>1734</v>
      </c>
      <c r="M186" s="24" t="s">
        <v>1735</v>
      </c>
      <c r="N186" s="23" t="s">
        <v>1736</v>
      </c>
      <c r="O186" s="24" t="s">
        <v>1737</v>
      </c>
      <c r="P186" s="24" t="s">
        <v>1738</v>
      </c>
      <c r="Q186" s="24" t="s">
        <v>1739</v>
      </c>
      <c r="R186" s="24"/>
      <c r="S186" s="24" t="s">
        <v>1740</v>
      </c>
      <c r="T186" s="24" t="str">
        <f aca="false">"["&amp;안내!$C$5&amp;" "&amp;F186&amp;"] "&amp;L186&amp;" | "&amp;J186</f>
        <v>[1분 성경 구약 #288] 끝내지 못한 정복 | 삿 1:1-2:5</v>
      </c>
      <c r="U186" s="26" t="n">
        <f aca="false">IF(D186="구약",IF(C186=1,안내!$C$9,안내!$C$10)+AD186-1,IF(C186=1,안내!$C$9,안내!$C$10)+7*INT((AD186-1)/4)+CHOOSE(MOD(AD186-1,4)+1,0,2,4,5))</f>
        <v>46685</v>
      </c>
      <c r="V186" s="23" t="str">
        <f aca="false">CHOOSE(WEEKDAY(U186,2),"월","화","수","목","금","토","일")</f>
        <v>월</v>
      </c>
      <c r="W186" s="24" t="str">
        <f aca="false">IFERROR(IF(INDEX($C$2:$C$799,MATCH(D186&amp;"#"&amp;(E186+1),$AC$2:$AC$799,0))=C186,"다음 편: ","시즌1 완결 · 시즌2 첫 편: ")&amp;INDEX($L$2:$L$799,MATCH(D186&amp;"#"&amp;(E186+1),$AC$2:$AC$799,0)),"구약 트랙 완결")</f>
        <v>다음 편: 여호와를 알지 못하는 세대</v>
      </c>
      <c r="X186" s="23" t="s">
        <v>130</v>
      </c>
      <c r="Y186" s="23" t="s">
        <v>130</v>
      </c>
      <c r="Z186" s="23" t="s">
        <v>130</v>
      </c>
      <c r="AA186" s="23" t="s">
        <v>130</v>
      </c>
      <c r="AB186" s="24"/>
      <c r="AC186" s="23" t="str">
        <f aca="false">D186&amp;"#"&amp;E186</f>
        <v>구약#288</v>
      </c>
      <c r="AD186" s="23" t="n">
        <f aca="false">COUNTIFS($C$2:C186,C186,$D$2:D186,D186)</f>
        <v>106</v>
      </c>
    </row>
    <row r="187" customFormat="false" ht="26.85" hidden="false" customHeight="false" outlineLevel="0" collapsed="false">
      <c r="A187" s="21" t="n">
        <v>186</v>
      </c>
      <c r="B187" s="18" t="s">
        <v>1741</v>
      </c>
      <c r="C187" s="23" t="n">
        <v>2</v>
      </c>
      <c r="D187" s="23" t="s">
        <v>116</v>
      </c>
      <c r="E187" s="23" t="n">
        <f aca="false">IF(C187=1,COUNTIFS($C$2:C187,1,$D$2:D187,D187),COUNTIFS($C$2:$C$799,1,$D$2:$D$799,D187)+COUNTIFS($C$2:C187,2,$D$2:D187,D187))</f>
        <v>289</v>
      </c>
      <c r="F187" s="23" t="str">
        <f aca="false">D187&amp;" #"&amp;TEXT(E187,"000")</f>
        <v>구약 #289</v>
      </c>
      <c r="G187" s="18" t="s">
        <v>1730</v>
      </c>
      <c r="H187" s="18" t="s">
        <v>1731</v>
      </c>
      <c r="I187" s="21" t="s">
        <v>1732</v>
      </c>
      <c r="J187" s="22" t="s">
        <v>1742</v>
      </c>
      <c r="K187" s="23" t="s">
        <v>121</v>
      </c>
      <c r="L187" s="24" t="s">
        <v>1743</v>
      </c>
      <c r="M187" s="24" t="s">
        <v>1744</v>
      </c>
      <c r="N187" s="23" t="s">
        <v>1745</v>
      </c>
      <c r="O187" s="24" t="s">
        <v>1746</v>
      </c>
      <c r="P187" s="24" t="s">
        <v>1267</v>
      </c>
      <c r="Q187" s="24" t="s">
        <v>1747</v>
      </c>
      <c r="R187" s="24"/>
      <c r="S187" s="24" t="s">
        <v>1740</v>
      </c>
      <c r="T187" s="24" t="str">
        <f aca="false">"["&amp;안내!$C$5&amp;" "&amp;F187&amp;"] "&amp;L187&amp;" | "&amp;J187</f>
        <v>[1분 성경 구약 #289] 여호와를 알지 못하는 세대 | 삿 2:6-3:6</v>
      </c>
      <c r="U187" s="26" t="n">
        <f aca="false">IF(D187="구약",IF(C187=1,안내!$C$9,안내!$C$10)+AD187-1,IF(C187=1,안내!$C$9,안내!$C$10)+7*INT((AD187-1)/4)+CHOOSE(MOD(AD187-1,4)+1,0,2,4,5))</f>
        <v>46686</v>
      </c>
      <c r="V187" s="23" t="str">
        <f aca="false">CHOOSE(WEEKDAY(U187,2),"월","화","수","목","금","토","일")</f>
        <v>화</v>
      </c>
      <c r="W187" s="24" t="str">
        <f aca="false">IFERROR(IF(INDEX($C$2:$C$799,MATCH(D187&amp;"#"&amp;(E187+1),$AC$2:$AC$799,0))=C187,"다음 편: ","시즌1 완결 · 시즌2 첫 편: ")&amp;INDEX($L$2:$L$799,MATCH(D187&amp;"#"&amp;(E187+1),$AC$2:$AC$799,0)),"구약 트랙 완결")</f>
        <v>다음 편: 왼손잡이 구원자</v>
      </c>
      <c r="X187" s="23" t="s">
        <v>130</v>
      </c>
      <c r="Y187" s="23" t="s">
        <v>130</v>
      </c>
      <c r="Z187" s="23" t="s">
        <v>130</v>
      </c>
      <c r="AA187" s="23" t="s">
        <v>130</v>
      </c>
      <c r="AB187" s="24"/>
      <c r="AC187" s="23" t="str">
        <f aca="false">D187&amp;"#"&amp;E187</f>
        <v>구약#289</v>
      </c>
      <c r="AD187" s="23" t="n">
        <f aca="false">COUNTIFS($C$2:C187,C187,$D$2:D187,D187)</f>
        <v>107</v>
      </c>
    </row>
    <row r="188" customFormat="false" ht="26.85" hidden="false" customHeight="false" outlineLevel="0" collapsed="false">
      <c r="A188" s="21" t="n">
        <v>187</v>
      </c>
      <c r="B188" s="18" t="s">
        <v>1748</v>
      </c>
      <c r="C188" s="23" t="n">
        <v>2</v>
      </c>
      <c r="D188" s="23" t="s">
        <v>116</v>
      </c>
      <c r="E188" s="23" t="n">
        <f aca="false">IF(C188=1,COUNTIFS($C$2:C188,1,$D$2:D188,D188),COUNTIFS($C$2:$C$799,1,$D$2:$D$799,D188)+COUNTIFS($C$2:C188,2,$D$2:D188,D188))</f>
        <v>290</v>
      </c>
      <c r="F188" s="23" t="str">
        <f aca="false">D188&amp;" #"&amp;TEXT(E188,"000")</f>
        <v>구약 #290</v>
      </c>
      <c r="G188" s="18" t="s">
        <v>1730</v>
      </c>
      <c r="H188" s="18" t="s">
        <v>1731</v>
      </c>
      <c r="I188" s="21" t="s">
        <v>1732</v>
      </c>
      <c r="J188" s="22" t="s">
        <v>1749</v>
      </c>
      <c r="K188" s="23" t="s">
        <v>121</v>
      </c>
      <c r="L188" s="24" t="s">
        <v>1750</v>
      </c>
      <c r="M188" s="24" t="s">
        <v>1751</v>
      </c>
      <c r="N188" s="23" t="s">
        <v>1752</v>
      </c>
      <c r="O188" s="24" t="s">
        <v>1753</v>
      </c>
      <c r="P188" s="24" t="s">
        <v>1754</v>
      </c>
      <c r="Q188" s="24" t="s">
        <v>1755</v>
      </c>
      <c r="R188" s="25" t="s">
        <v>1756</v>
      </c>
      <c r="S188" s="24" t="s">
        <v>1740</v>
      </c>
      <c r="T188" s="24" t="str">
        <f aca="false">"["&amp;안내!$C$5&amp;" "&amp;F188&amp;"] "&amp;L188&amp;" | "&amp;J188</f>
        <v>[1분 성경 구약 #290] 왼손잡이 구원자 | 삿 3:7-31</v>
      </c>
      <c r="U188" s="26" t="n">
        <f aca="false">IF(D188="구약",IF(C188=1,안내!$C$9,안내!$C$10)+AD188-1,IF(C188=1,안내!$C$9,안내!$C$10)+7*INT((AD188-1)/4)+CHOOSE(MOD(AD188-1,4)+1,0,2,4,5))</f>
        <v>46687</v>
      </c>
      <c r="V188" s="23" t="str">
        <f aca="false">CHOOSE(WEEKDAY(U188,2),"월","화","수","목","금","토","일")</f>
        <v>수</v>
      </c>
      <c r="W188" s="24" t="str">
        <f aca="false">IFERROR(IF(INDEX($C$2:$C$799,MATCH(D188&amp;"#"&amp;(E188+1),$AC$2:$AC$799,0))=C188,"다음 편: ","시즌1 완결 · 시즌2 첫 편: ")&amp;INDEX($L$2:$L$799,MATCH(D188&amp;"#"&amp;(E188+1),$AC$2:$AC$799,0)),"구약 트랙 완결")</f>
        <v>다음 편: 드보라의 노래</v>
      </c>
      <c r="X188" s="23" t="s">
        <v>130</v>
      </c>
      <c r="Y188" s="23" t="s">
        <v>130</v>
      </c>
      <c r="Z188" s="23" t="s">
        <v>130</v>
      </c>
      <c r="AA188" s="23" t="s">
        <v>130</v>
      </c>
      <c r="AB188" s="24"/>
      <c r="AC188" s="23" t="str">
        <f aca="false">D188&amp;"#"&amp;E188</f>
        <v>구약#290</v>
      </c>
      <c r="AD188" s="23" t="n">
        <f aca="false">COUNTIFS($C$2:C188,C188,$D$2:D188,D188)</f>
        <v>108</v>
      </c>
    </row>
    <row r="189" customFormat="false" ht="52.2" hidden="false" customHeight="false" outlineLevel="0" collapsed="false">
      <c r="A189" s="21" t="n">
        <v>188</v>
      </c>
      <c r="B189" s="18" t="s">
        <v>1757</v>
      </c>
      <c r="C189" s="20" t="n">
        <v>1</v>
      </c>
      <c r="D189" s="20" t="s">
        <v>116</v>
      </c>
      <c r="E189" s="20" t="n">
        <f aca="false">IF(C189=1,COUNTIFS($C$2:C189,1,$D$2:D189,D189),COUNTIFS($C$2:$C$799,1,$D$2:$D$799,D189)+COUNTIFS($C$2:C189,2,$D$2:D189,D189))</f>
        <v>80</v>
      </c>
      <c r="F189" s="20" t="str">
        <f aca="false">D189&amp;" #"&amp;TEXT(E189,"000")</f>
        <v>구약 #080</v>
      </c>
      <c r="G189" s="18" t="s">
        <v>1730</v>
      </c>
      <c r="H189" s="18" t="s">
        <v>1663</v>
      </c>
      <c r="I189" s="21" t="s">
        <v>1732</v>
      </c>
      <c r="J189" s="22" t="s">
        <v>1758</v>
      </c>
      <c r="K189" s="23" t="s">
        <v>121</v>
      </c>
      <c r="L189" s="24" t="s">
        <v>1759</v>
      </c>
      <c r="M189" s="24" t="s">
        <v>1760</v>
      </c>
      <c r="N189" s="23" t="s">
        <v>1761</v>
      </c>
      <c r="O189" s="24" t="s">
        <v>1762</v>
      </c>
      <c r="P189" s="24" t="s">
        <v>1763</v>
      </c>
      <c r="Q189" s="24" t="s">
        <v>1764</v>
      </c>
      <c r="R189" s="25" t="s">
        <v>1765</v>
      </c>
      <c r="S189" s="28" t="s">
        <v>1766</v>
      </c>
      <c r="T189" s="24" t="str">
        <f aca="false">"["&amp;안내!$C$5&amp;" "&amp;F189&amp;"] "&amp;L189&amp;" | "&amp;J189</f>
        <v>[1분 성경 구약 #080] 드보라와 바락 | 삿 4:1-24</v>
      </c>
      <c r="U189" s="26" t="n">
        <f aca="false">IF(D189="구약",IF(C189=1,안내!$C$9,안내!$C$10)+AD189-1,IF(C189=1,안내!$C$9,안내!$C$10)+7*INT((AD189-1)/4)+CHOOSE(MOD(AD189-1,4)+1,0,2,4,5))</f>
        <v>46470</v>
      </c>
      <c r="V189" s="23" t="str">
        <f aca="false">CHOOSE(WEEKDAY(U189,2),"월","화","수","목","금","토","일")</f>
        <v>수</v>
      </c>
      <c r="W189" s="24" t="str">
        <f aca="false">IFERROR(IF(INDEX($C$2:$C$799,MATCH(D189&amp;"#"&amp;(E189+1),$AC$2:$AC$799,0))=C189,"다음 편: ","시즌1 완결 · 시즌2 첫 편: ")&amp;INDEX($L$2:$L$799,MATCH(D189&amp;"#"&amp;(E189+1),$AC$2:$AC$799,0)),"구약 트랙 완결")</f>
        <v>다음 편: 큰 용사여</v>
      </c>
      <c r="X189" s="23" t="s">
        <v>130</v>
      </c>
      <c r="Y189" s="23" t="s">
        <v>130</v>
      </c>
      <c r="Z189" s="23" t="s">
        <v>130</v>
      </c>
      <c r="AA189" s="23" t="s">
        <v>130</v>
      </c>
      <c r="AB189" s="24"/>
      <c r="AC189" s="23" t="str">
        <f aca="false">D189&amp;"#"&amp;E189</f>
        <v>구약#80</v>
      </c>
      <c r="AD189" s="23" t="n">
        <f aca="false">COUNTIFS($C$2:C189,C189,$D$2:D189,D189)</f>
        <v>80</v>
      </c>
    </row>
    <row r="190" customFormat="false" ht="26.85" hidden="false" customHeight="false" outlineLevel="0" collapsed="false">
      <c r="A190" s="21" t="n">
        <v>189</v>
      </c>
      <c r="B190" s="18" t="s">
        <v>1767</v>
      </c>
      <c r="C190" s="23" t="n">
        <v>2</v>
      </c>
      <c r="D190" s="23" t="s">
        <v>116</v>
      </c>
      <c r="E190" s="23" t="n">
        <f aca="false">IF(C190=1,COUNTIFS($C$2:C190,1,$D$2:D190,D190),COUNTIFS($C$2:$C$799,1,$D$2:$D$799,D190)+COUNTIFS($C$2:C190,2,$D$2:D190,D190))</f>
        <v>291</v>
      </c>
      <c r="F190" s="23" t="str">
        <f aca="false">D190&amp;" #"&amp;TEXT(E190,"000")</f>
        <v>구약 #291</v>
      </c>
      <c r="G190" s="18" t="s">
        <v>1730</v>
      </c>
      <c r="H190" s="18" t="s">
        <v>1731</v>
      </c>
      <c r="I190" s="21" t="s">
        <v>1732</v>
      </c>
      <c r="J190" s="22" t="s">
        <v>1768</v>
      </c>
      <c r="K190" s="23" t="s">
        <v>121</v>
      </c>
      <c r="L190" s="24" t="s">
        <v>1769</v>
      </c>
      <c r="M190" s="24" t="s">
        <v>1770</v>
      </c>
      <c r="N190" s="23" t="s">
        <v>1771</v>
      </c>
      <c r="O190" s="24" t="s">
        <v>1772</v>
      </c>
      <c r="P190" s="24" t="s">
        <v>1773</v>
      </c>
      <c r="Q190" s="24" t="s">
        <v>1774</v>
      </c>
      <c r="R190" s="24"/>
      <c r="S190" s="24" t="s">
        <v>1775</v>
      </c>
      <c r="T190" s="24" t="str">
        <f aca="false">"["&amp;안내!$C$5&amp;" "&amp;F190&amp;"] "&amp;L190&amp;" | "&amp;J190</f>
        <v>[1분 성경 구약 #291] 드보라의 노래 | 삿 5:1-31</v>
      </c>
      <c r="U190" s="26" t="n">
        <f aca="false">IF(D190="구약",IF(C190=1,안내!$C$9,안내!$C$10)+AD190-1,IF(C190=1,안내!$C$9,안내!$C$10)+7*INT((AD190-1)/4)+CHOOSE(MOD(AD190-1,4)+1,0,2,4,5))</f>
        <v>46688</v>
      </c>
      <c r="V190" s="23" t="str">
        <f aca="false">CHOOSE(WEEKDAY(U190,2),"월","화","수","목","금","토","일")</f>
        <v>목</v>
      </c>
      <c r="W190" s="24" t="str">
        <f aca="false">IFERROR(IF(INDEX($C$2:$C$799,MATCH(D190&amp;"#"&amp;(E190+1),$AC$2:$AC$799,0))=C190,"다음 편: ","시즌1 완결 · 시즌2 첫 편: ")&amp;INDEX($L$2:$L$799,MATCH(D190&amp;"#"&amp;(E190+1),$AC$2:$AC$799,0)),"구약 트랙 완결")</f>
        <v>다음 편: 양털 시험</v>
      </c>
      <c r="X190" s="23" t="s">
        <v>130</v>
      </c>
      <c r="Y190" s="23" t="s">
        <v>130</v>
      </c>
      <c r="Z190" s="23" t="s">
        <v>130</v>
      </c>
      <c r="AA190" s="23" t="s">
        <v>130</v>
      </c>
      <c r="AB190" s="24"/>
      <c r="AC190" s="23" t="str">
        <f aca="false">D190&amp;"#"&amp;E190</f>
        <v>구약#291</v>
      </c>
      <c r="AD190" s="23" t="n">
        <f aca="false">COUNTIFS($C$2:C190,C190,$D$2:D190,D190)</f>
        <v>109</v>
      </c>
    </row>
    <row r="191" customFormat="false" ht="26.85" hidden="false" customHeight="false" outlineLevel="0" collapsed="false">
      <c r="A191" s="21" t="n">
        <v>190</v>
      </c>
      <c r="B191" s="18" t="s">
        <v>1776</v>
      </c>
      <c r="C191" s="20" t="n">
        <v>1</v>
      </c>
      <c r="D191" s="20" t="s">
        <v>116</v>
      </c>
      <c r="E191" s="20" t="n">
        <f aca="false">IF(C191=1,COUNTIFS($C$2:C191,1,$D$2:D191,D191),COUNTIFS($C$2:$C$799,1,$D$2:$D$799,D191)+COUNTIFS($C$2:C191,2,$D$2:D191,D191))</f>
        <v>81</v>
      </c>
      <c r="F191" s="20" t="str">
        <f aca="false">D191&amp;" #"&amp;TEXT(E191,"000")</f>
        <v>구약 #081</v>
      </c>
      <c r="G191" s="18" t="s">
        <v>1730</v>
      </c>
      <c r="H191" s="18" t="s">
        <v>1663</v>
      </c>
      <c r="I191" s="21" t="s">
        <v>1732</v>
      </c>
      <c r="J191" s="22" t="s">
        <v>1777</v>
      </c>
      <c r="K191" s="23" t="s">
        <v>121</v>
      </c>
      <c r="L191" s="24" t="s">
        <v>1778</v>
      </c>
      <c r="M191" s="24" t="s">
        <v>1779</v>
      </c>
      <c r="N191" s="23" t="s">
        <v>1780</v>
      </c>
      <c r="O191" s="24" t="s">
        <v>1781</v>
      </c>
      <c r="P191" s="24" t="s">
        <v>1782</v>
      </c>
      <c r="Q191" s="24" t="s">
        <v>1783</v>
      </c>
      <c r="R191" s="25" t="s">
        <v>1784</v>
      </c>
      <c r="S191" s="28" t="s">
        <v>1785</v>
      </c>
      <c r="T191" s="24" t="str">
        <f aca="false">"["&amp;안내!$C$5&amp;" "&amp;F191&amp;"] "&amp;L191&amp;" | "&amp;J191</f>
        <v>[1분 성경 구약 #081] 큰 용사여 | 삿 6:1-24</v>
      </c>
      <c r="U191" s="26" t="n">
        <f aca="false">IF(D191="구약",IF(C191=1,안내!$C$9,안내!$C$10)+AD191-1,IF(C191=1,안내!$C$9,안내!$C$10)+7*INT((AD191-1)/4)+CHOOSE(MOD(AD191-1,4)+1,0,2,4,5))</f>
        <v>46471</v>
      </c>
      <c r="V191" s="23" t="str">
        <f aca="false">CHOOSE(WEEKDAY(U191,2),"월","화","수","목","금","토","일")</f>
        <v>목</v>
      </c>
      <c r="W191" s="24" t="str">
        <f aca="false">IFERROR(IF(INDEX($C$2:$C$799,MATCH(D191&amp;"#"&amp;(E191+1),$AC$2:$AC$799,0))=C191,"다음 편: ","시즌1 완결 · 시즌2 첫 편: ")&amp;INDEX($L$2:$L$799,MATCH(D191&amp;"#"&amp;(E191+1),$AC$2:$AC$799,0)),"구약 트랙 완결")</f>
        <v>다음 편: 300명의 용사</v>
      </c>
      <c r="X191" s="23" t="s">
        <v>130</v>
      </c>
      <c r="Y191" s="23" t="s">
        <v>130</v>
      </c>
      <c r="Z191" s="23" t="s">
        <v>130</v>
      </c>
      <c r="AA191" s="23" t="s">
        <v>130</v>
      </c>
      <c r="AB191" s="24"/>
      <c r="AC191" s="23" t="str">
        <f aca="false">D191&amp;"#"&amp;E191</f>
        <v>구약#81</v>
      </c>
      <c r="AD191" s="23" t="n">
        <f aca="false">COUNTIFS($C$2:C191,C191,$D$2:D191,D191)</f>
        <v>81</v>
      </c>
    </row>
    <row r="192" customFormat="false" ht="26.85" hidden="false" customHeight="false" outlineLevel="0" collapsed="false">
      <c r="A192" s="21" t="n">
        <v>191</v>
      </c>
      <c r="B192" s="18" t="s">
        <v>1786</v>
      </c>
      <c r="C192" s="23" t="n">
        <v>2</v>
      </c>
      <c r="D192" s="23" t="s">
        <v>116</v>
      </c>
      <c r="E192" s="23" t="n">
        <f aca="false">IF(C192=1,COUNTIFS($C$2:C192,1,$D$2:D192,D192),COUNTIFS($C$2:$C$799,1,$D$2:$D$799,D192)+COUNTIFS($C$2:C192,2,$D$2:D192,D192))</f>
        <v>292</v>
      </c>
      <c r="F192" s="23" t="str">
        <f aca="false">D192&amp;" #"&amp;TEXT(E192,"000")</f>
        <v>구약 #292</v>
      </c>
      <c r="G192" s="18" t="s">
        <v>1730</v>
      </c>
      <c r="H192" s="18" t="s">
        <v>1731</v>
      </c>
      <c r="I192" s="21" t="s">
        <v>1732</v>
      </c>
      <c r="J192" s="22" t="s">
        <v>1787</v>
      </c>
      <c r="K192" s="23" t="s">
        <v>121</v>
      </c>
      <c r="L192" s="24" t="s">
        <v>1788</v>
      </c>
      <c r="M192" s="24" t="s">
        <v>1789</v>
      </c>
      <c r="N192" s="23" t="s">
        <v>1790</v>
      </c>
      <c r="O192" s="24" t="s">
        <v>1791</v>
      </c>
      <c r="P192" s="24" t="s">
        <v>1792</v>
      </c>
      <c r="Q192" s="24" t="s">
        <v>1793</v>
      </c>
      <c r="R192" s="24"/>
      <c r="S192" s="24" t="s">
        <v>1794</v>
      </c>
      <c r="T192" s="24" t="str">
        <f aca="false">"["&amp;안내!$C$5&amp;" "&amp;F192&amp;"] "&amp;L192&amp;" | "&amp;J192</f>
        <v>[1분 성경 구약 #292] 양털 시험 | 삿 6:25-40</v>
      </c>
      <c r="U192" s="26" t="n">
        <f aca="false">IF(D192="구약",IF(C192=1,안내!$C$9,안내!$C$10)+AD192-1,IF(C192=1,안내!$C$9,안내!$C$10)+7*INT((AD192-1)/4)+CHOOSE(MOD(AD192-1,4)+1,0,2,4,5))</f>
        <v>46689</v>
      </c>
      <c r="V192" s="23" t="str">
        <f aca="false">CHOOSE(WEEKDAY(U192,2),"월","화","수","목","금","토","일")</f>
        <v>금</v>
      </c>
      <c r="W192" s="24" t="str">
        <f aca="false">IFERROR(IF(INDEX($C$2:$C$799,MATCH(D192&amp;"#"&amp;(E192+1),$AC$2:$AC$799,0))=C192,"다음 편: ","시즌1 완결 · 시즌2 첫 편: ")&amp;INDEX($L$2:$L$799,MATCH(D192&amp;"#"&amp;(E192+1),$AC$2:$AC$799,0)),"구약 트랙 완결")</f>
        <v>다음 편: 승리 후의 실수</v>
      </c>
      <c r="X192" s="23" t="s">
        <v>130</v>
      </c>
      <c r="Y192" s="23" t="s">
        <v>130</v>
      </c>
      <c r="Z192" s="23" t="s">
        <v>130</v>
      </c>
      <c r="AA192" s="23" t="s">
        <v>130</v>
      </c>
      <c r="AB192" s="24"/>
      <c r="AC192" s="23" t="str">
        <f aca="false">D192&amp;"#"&amp;E192</f>
        <v>구약#292</v>
      </c>
      <c r="AD192" s="23" t="n">
        <f aca="false">COUNTIFS($C$2:C192,C192,$D$2:D192,D192)</f>
        <v>110</v>
      </c>
    </row>
    <row r="193" customFormat="false" ht="26.85" hidden="false" customHeight="false" outlineLevel="0" collapsed="false">
      <c r="A193" s="21" t="n">
        <v>192</v>
      </c>
      <c r="B193" s="18" t="s">
        <v>1795</v>
      </c>
      <c r="C193" s="20" t="n">
        <v>1</v>
      </c>
      <c r="D193" s="20" t="s">
        <v>116</v>
      </c>
      <c r="E193" s="20" t="n">
        <f aca="false">IF(C193=1,COUNTIFS($C$2:C193,1,$D$2:D193,D193),COUNTIFS($C$2:$C$799,1,$D$2:$D$799,D193)+COUNTIFS($C$2:C193,2,$D$2:D193,D193))</f>
        <v>82</v>
      </c>
      <c r="F193" s="20" t="str">
        <f aca="false">D193&amp;" #"&amp;TEXT(E193,"000")</f>
        <v>구약 #082</v>
      </c>
      <c r="G193" s="18" t="s">
        <v>1730</v>
      </c>
      <c r="H193" s="18" t="s">
        <v>1663</v>
      </c>
      <c r="I193" s="21" t="s">
        <v>1732</v>
      </c>
      <c r="J193" s="22" t="s">
        <v>1796</v>
      </c>
      <c r="K193" s="23" t="s">
        <v>121</v>
      </c>
      <c r="L193" s="29" t="s">
        <v>1797</v>
      </c>
      <c r="M193" s="29" t="s">
        <v>1798</v>
      </c>
      <c r="N193" s="23" t="s">
        <v>1799</v>
      </c>
      <c r="O193" s="24" t="s">
        <v>1800</v>
      </c>
      <c r="P193" s="24" t="s">
        <v>1801</v>
      </c>
      <c r="Q193" s="24" t="s">
        <v>1802</v>
      </c>
      <c r="R193" s="24"/>
      <c r="S193" s="28" t="s">
        <v>1803</v>
      </c>
      <c r="T193" s="24" t="str">
        <f aca="false">"["&amp;안내!$C$5&amp;" "&amp;F193&amp;"] "&amp;L193&amp;" | "&amp;J193</f>
        <v>[1분 성경 구약 #082] 300명의 용사 | 삿 7:1-25</v>
      </c>
      <c r="U193" s="26" t="n">
        <f aca="false">IF(D193="구약",IF(C193=1,안내!$C$9,안내!$C$10)+AD193-1,IF(C193=1,안내!$C$9,안내!$C$10)+7*INT((AD193-1)/4)+CHOOSE(MOD(AD193-1,4)+1,0,2,4,5))</f>
        <v>46472</v>
      </c>
      <c r="V193" s="23" t="str">
        <f aca="false">CHOOSE(WEEKDAY(U193,2),"월","화","수","목","금","토","일")</f>
        <v>금</v>
      </c>
      <c r="W193" s="24" t="str">
        <f aca="false">IFERROR(IF(INDEX($C$2:$C$799,MATCH(D193&amp;"#"&amp;(E193+1),$AC$2:$AC$799,0))=C193,"다음 편: ","시즌1 완결 · 시즌2 첫 편: ")&amp;INDEX($L$2:$L$799,MATCH(D193&amp;"#"&amp;(E193+1),$AC$2:$AC$799,0)),"구약 트랙 완결")</f>
        <v>다음 편: 삼손의 탄생</v>
      </c>
      <c r="X193" s="23" t="s">
        <v>130</v>
      </c>
      <c r="Y193" s="23" t="s">
        <v>130</v>
      </c>
      <c r="Z193" s="23" t="s">
        <v>130</v>
      </c>
      <c r="AA193" s="23" t="s">
        <v>130</v>
      </c>
      <c r="AB193" s="24"/>
      <c r="AC193" s="23" t="str">
        <f aca="false">D193&amp;"#"&amp;E193</f>
        <v>구약#82</v>
      </c>
      <c r="AD193" s="23" t="n">
        <f aca="false">COUNTIFS($C$2:C193,C193,$D$2:D193,D193)</f>
        <v>82</v>
      </c>
    </row>
    <row r="194" customFormat="false" ht="15" hidden="false" customHeight="false" outlineLevel="0" collapsed="false">
      <c r="A194" s="21" t="n">
        <v>193</v>
      </c>
      <c r="B194" s="18" t="s">
        <v>1804</v>
      </c>
      <c r="C194" s="23" t="n">
        <v>2</v>
      </c>
      <c r="D194" s="23" t="s">
        <v>116</v>
      </c>
      <c r="E194" s="23" t="n">
        <f aca="false">IF(C194=1,COUNTIFS($C$2:C194,1,$D$2:D194,D194),COUNTIFS($C$2:$C$799,1,$D$2:$D$799,D194)+COUNTIFS($C$2:C194,2,$D$2:D194,D194))</f>
        <v>293</v>
      </c>
      <c r="F194" s="23" t="str">
        <f aca="false">D194&amp;" #"&amp;TEXT(E194,"000")</f>
        <v>구약 #293</v>
      </c>
      <c r="G194" s="18" t="s">
        <v>1730</v>
      </c>
      <c r="H194" s="18" t="s">
        <v>1731</v>
      </c>
      <c r="I194" s="21" t="s">
        <v>1732</v>
      </c>
      <c r="J194" s="22" t="s">
        <v>1805</v>
      </c>
      <c r="K194" s="23" t="s">
        <v>121</v>
      </c>
      <c r="L194" s="24" t="s">
        <v>1806</v>
      </c>
      <c r="M194" s="24" t="s">
        <v>1807</v>
      </c>
      <c r="N194" s="23" t="s">
        <v>1808</v>
      </c>
      <c r="O194" s="24" t="s">
        <v>1809</v>
      </c>
      <c r="P194" s="24" t="s">
        <v>1810</v>
      </c>
      <c r="Q194" s="24" t="s">
        <v>1811</v>
      </c>
      <c r="R194" s="24"/>
      <c r="S194" s="24" t="s">
        <v>1812</v>
      </c>
      <c r="T194" s="24" t="str">
        <f aca="false">"["&amp;안내!$C$5&amp;" "&amp;F194&amp;"] "&amp;L194&amp;" | "&amp;J194</f>
        <v>[1분 성경 구약 #293] 승리 후의 실수 | 삿 8:1-35</v>
      </c>
      <c r="U194" s="26" t="n">
        <f aca="false">IF(D194="구약",IF(C194=1,안내!$C$9,안내!$C$10)+AD194-1,IF(C194=1,안내!$C$9,안내!$C$10)+7*INT((AD194-1)/4)+CHOOSE(MOD(AD194-1,4)+1,0,2,4,5))</f>
        <v>46690</v>
      </c>
      <c r="V194" s="23" t="str">
        <f aca="false">CHOOSE(WEEKDAY(U194,2),"월","화","수","목","금","토","일")</f>
        <v>토</v>
      </c>
      <c r="W194" s="24" t="str">
        <f aca="false">IFERROR(IF(INDEX($C$2:$C$799,MATCH(D194&amp;"#"&amp;(E194+1),$AC$2:$AC$799,0))=C194,"다음 편: ","시즌1 완결 · 시즌2 첫 편: ")&amp;INDEX($L$2:$L$799,MATCH(D194&amp;"#"&amp;(E194+1),$AC$2:$AC$799,0)),"구약 트랙 완결")</f>
        <v>다음 편: 가시나무 왕</v>
      </c>
      <c r="X194" s="23" t="s">
        <v>130</v>
      </c>
      <c r="Y194" s="23" t="s">
        <v>130</v>
      </c>
      <c r="Z194" s="23" t="s">
        <v>130</v>
      </c>
      <c r="AA194" s="23" t="s">
        <v>130</v>
      </c>
      <c r="AB194" s="24"/>
      <c r="AC194" s="23" t="str">
        <f aca="false">D194&amp;"#"&amp;E194</f>
        <v>구약#293</v>
      </c>
      <c r="AD194" s="23" t="n">
        <f aca="false">COUNTIFS($C$2:C194,C194,$D$2:D194,D194)</f>
        <v>111</v>
      </c>
    </row>
    <row r="195" customFormat="false" ht="15" hidden="false" customHeight="false" outlineLevel="0" collapsed="false">
      <c r="A195" s="21" t="n">
        <v>194</v>
      </c>
      <c r="B195" s="18" t="s">
        <v>1813</v>
      </c>
      <c r="C195" s="23" t="n">
        <v>2</v>
      </c>
      <c r="D195" s="23" t="s">
        <v>116</v>
      </c>
      <c r="E195" s="23" t="n">
        <f aca="false">IF(C195=1,COUNTIFS($C$2:C195,1,$D$2:D195,D195),COUNTIFS($C$2:$C$799,1,$D$2:$D$799,D195)+COUNTIFS($C$2:C195,2,$D$2:D195,D195))</f>
        <v>294</v>
      </c>
      <c r="F195" s="23" t="str">
        <f aca="false">D195&amp;" #"&amp;TEXT(E195,"000")</f>
        <v>구약 #294</v>
      </c>
      <c r="G195" s="18" t="s">
        <v>1814</v>
      </c>
      <c r="H195" s="18" t="s">
        <v>1731</v>
      </c>
      <c r="I195" s="21" t="s">
        <v>1732</v>
      </c>
      <c r="J195" s="22" t="s">
        <v>1815</v>
      </c>
      <c r="K195" s="23" t="s">
        <v>121</v>
      </c>
      <c r="L195" s="24" t="s">
        <v>1816</v>
      </c>
      <c r="M195" s="24" t="s">
        <v>1817</v>
      </c>
      <c r="N195" s="23" t="s">
        <v>1818</v>
      </c>
      <c r="O195" s="24" t="s">
        <v>1819</v>
      </c>
      <c r="P195" s="24" t="s">
        <v>1820</v>
      </c>
      <c r="Q195" s="24" t="s">
        <v>1821</v>
      </c>
      <c r="R195" s="25" t="s">
        <v>1822</v>
      </c>
      <c r="S195" s="24" t="s">
        <v>1812</v>
      </c>
      <c r="T195" s="24" t="str">
        <f aca="false">"["&amp;안내!$C$5&amp;" "&amp;F195&amp;"] "&amp;L195&amp;" | "&amp;J195</f>
        <v>[1분 성경 구약 #294] 가시나무 왕 | 삿 9:1-57</v>
      </c>
      <c r="U195" s="26" t="n">
        <f aca="false">IF(D195="구약",IF(C195=1,안내!$C$9,안내!$C$10)+AD195-1,IF(C195=1,안내!$C$9,안내!$C$10)+7*INT((AD195-1)/4)+CHOOSE(MOD(AD195-1,4)+1,0,2,4,5))</f>
        <v>46691</v>
      </c>
      <c r="V195" s="23" t="str">
        <f aca="false">CHOOSE(WEEKDAY(U195,2),"월","화","수","목","금","토","일")</f>
        <v>일</v>
      </c>
      <c r="W195" s="24" t="str">
        <f aca="false">IFERROR(IF(INDEX($C$2:$C$799,MATCH(D195&amp;"#"&amp;(E195+1),$AC$2:$AC$799,0))=C195,"다음 편: ","시즌1 완결 · 시즌2 첫 편: ")&amp;INDEX($L$2:$L$799,MATCH(D195&amp;"#"&amp;(E195+1),$AC$2:$AC$799,0)),"구약 트랙 완결")</f>
        <v>다음 편: 쫓겨난 아들 입다</v>
      </c>
      <c r="X195" s="23" t="s">
        <v>130</v>
      </c>
      <c r="Y195" s="23" t="s">
        <v>130</v>
      </c>
      <c r="Z195" s="23" t="s">
        <v>130</v>
      </c>
      <c r="AA195" s="23" t="s">
        <v>130</v>
      </c>
      <c r="AB195" s="24"/>
      <c r="AC195" s="23" t="str">
        <f aca="false">D195&amp;"#"&amp;E195</f>
        <v>구약#294</v>
      </c>
      <c r="AD195" s="23" t="n">
        <f aca="false">COUNTIFS($C$2:C195,C195,$D$2:D195,D195)</f>
        <v>112</v>
      </c>
    </row>
    <row r="196" customFormat="false" ht="26.85" hidden="false" customHeight="false" outlineLevel="0" collapsed="false">
      <c r="A196" s="21" t="n">
        <v>195</v>
      </c>
      <c r="B196" s="18" t="s">
        <v>1823</v>
      </c>
      <c r="C196" s="23" t="n">
        <v>2</v>
      </c>
      <c r="D196" s="23" t="s">
        <v>116</v>
      </c>
      <c r="E196" s="23" t="n">
        <f aca="false">IF(C196=1,COUNTIFS($C$2:C196,1,$D$2:D196,D196),COUNTIFS($C$2:$C$799,1,$D$2:$D$799,D196)+COUNTIFS($C$2:C196,2,$D$2:D196,D196))</f>
        <v>295</v>
      </c>
      <c r="F196" s="23" t="str">
        <f aca="false">D196&amp;" #"&amp;TEXT(E196,"000")</f>
        <v>구약 #295</v>
      </c>
      <c r="G196" s="18" t="s">
        <v>1814</v>
      </c>
      <c r="H196" s="18" t="s">
        <v>1731</v>
      </c>
      <c r="I196" s="21" t="s">
        <v>1732</v>
      </c>
      <c r="J196" s="22" t="s">
        <v>1824</v>
      </c>
      <c r="K196" s="23" t="s">
        <v>121</v>
      </c>
      <c r="L196" s="24" t="s">
        <v>1825</v>
      </c>
      <c r="M196" s="24" t="s">
        <v>1826</v>
      </c>
      <c r="N196" s="23" t="s">
        <v>1827</v>
      </c>
      <c r="O196" s="24" t="s">
        <v>1828</v>
      </c>
      <c r="P196" s="24" t="s">
        <v>1829</v>
      </c>
      <c r="Q196" s="24" t="s">
        <v>1830</v>
      </c>
      <c r="R196" s="24"/>
      <c r="S196" s="24" t="s">
        <v>1812</v>
      </c>
      <c r="T196" s="24" t="str">
        <f aca="false">"["&amp;안내!$C$5&amp;" "&amp;F196&amp;"] "&amp;L196&amp;" | "&amp;J196</f>
        <v>[1분 성경 구약 #295] 쫓겨난 아들 입다 | 삿 10:1-11:28</v>
      </c>
      <c r="U196" s="26" t="n">
        <f aca="false">IF(D196="구약",IF(C196=1,안내!$C$9,안내!$C$10)+AD196-1,IF(C196=1,안내!$C$9,안내!$C$10)+7*INT((AD196-1)/4)+CHOOSE(MOD(AD196-1,4)+1,0,2,4,5))</f>
        <v>46692</v>
      </c>
      <c r="V196" s="23" t="str">
        <f aca="false">CHOOSE(WEEKDAY(U196,2),"월","화","수","목","금","토","일")</f>
        <v>월</v>
      </c>
      <c r="W196" s="24" t="str">
        <f aca="false">IFERROR(IF(INDEX($C$2:$C$799,MATCH(D196&amp;"#"&amp;(E196+1),$AC$2:$AC$799,0))=C196,"다음 편: ","시즌1 완결 · 시즌2 첫 편: ")&amp;INDEX($L$2:$L$799,MATCH(D196&amp;"#"&amp;(E196+1),$AC$2:$AC$799,0)),"구약 트랙 완결")</f>
        <v>다음 편: 입다의 서원</v>
      </c>
      <c r="X196" s="23" t="s">
        <v>130</v>
      </c>
      <c r="Y196" s="23" t="s">
        <v>130</v>
      </c>
      <c r="Z196" s="23" t="s">
        <v>130</v>
      </c>
      <c r="AA196" s="23" t="s">
        <v>130</v>
      </c>
      <c r="AB196" s="24"/>
      <c r="AC196" s="23" t="str">
        <f aca="false">D196&amp;"#"&amp;E196</f>
        <v>구약#295</v>
      </c>
      <c r="AD196" s="23" t="n">
        <f aca="false">COUNTIFS($C$2:C196,C196,$D$2:D196,D196)</f>
        <v>113</v>
      </c>
    </row>
    <row r="197" customFormat="false" ht="26.85" hidden="false" customHeight="false" outlineLevel="0" collapsed="false">
      <c r="A197" s="21" t="n">
        <v>196</v>
      </c>
      <c r="B197" s="18" t="s">
        <v>1831</v>
      </c>
      <c r="C197" s="23" t="n">
        <v>2</v>
      </c>
      <c r="D197" s="23" t="s">
        <v>116</v>
      </c>
      <c r="E197" s="23" t="n">
        <f aca="false">IF(C197=1,COUNTIFS($C$2:C197,1,$D$2:D197,D197),COUNTIFS($C$2:$C$799,1,$D$2:$D$799,D197)+COUNTIFS($C$2:C197,2,$D$2:D197,D197))</f>
        <v>296</v>
      </c>
      <c r="F197" s="23" t="str">
        <f aca="false">D197&amp;" #"&amp;TEXT(E197,"000")</f>
        <v>구약 #296</v>
      </c>
      <c r="G197" s="18" t="s">
        <v>1814</v>
      </c>
      <c r="H197" s="18" t="s">
        <v>1731</v>
      </c>
      <c r="I197" s="21" t="s">
        <v>1732</v>
      </c>
      <c r="J197" s="22" t="s">
        <v>1832</v>
      </c>
      <c r="K197" s="23" t="s">
        <v>121</v>
      </c>
      <c r="L197" s="24" t="s">
        <v>1833</v>
      </c>
      <c r="M197" s="24" t="s">
        <v>1834</v>
      </c>
      <c r="N197" s="23" t="s">
        <v>1835</v>
      </c>
      <c r="O197" s="24" t="s">
        <v>1836</v>
      </c>
      <c r="P197" s="24" t="s">
        <v>1837</v>
      </c>
      <c r="Q197" s="24" t="s">
        <v>1838</v>
      </c>
      <c r="R197" s="25" t="s">
        <v>1839</v>
      </c>
      <c r="S197" s="24" t="s">
        <v>1812</v>
      </c>
      <c r="T197" s="24" t="str">
        <f aca="false">"["&amp;안내!$C$5&amp;" "&amp;F197&amp;"] "&amp;L197&amp;" | "&amp;J197</f>
        <v>[1분 성경 구약 #296] 입다의 서원 | 삿 11:29-40</v>
      </c>
      <c r="U197" s="26" t="n">
        <f aca="false">IF(D197="구약",IF(C197=1,안내!$C$9,안내!$C$10)+AD197-1,IF(C197=1,안내!$C$9,안내!$C$10)+7*INT((AD197-1)/4)+CHOOSE(MOD(AD197-1,4)+1,0,2,4,5))</f>
        <v>46693</v>
      </c>
      <c r="V197" s="23" t="str">
        <f aca="false">CHOOSE(WEEKDAY(U197,2),"월","화","수","목","금","토","일")</f>
        <v>화</v>
      </c>
      <c r="W197" s="24" t="str">
        <f aca="false">IFERROR(IF(INDEX($C$2:$C$799,MATCH(D197&amp;"#"&amp;(E197+1),$AC$2:$AC$799,0))=C197,"다음 편: ","시즌1 완결 · 시즌2 첫 편: ")&amp;INDEX($L$2:$L$799,MATCH(D197&amp;"#"&amp;(E197+1),$AC$2:$AC$799,0)),"구약 트랙 완결")</f>
        <v>다음 편: 쉽볼렛</v>
      </c>
      <c r="X197" s="23" t="s">
        <v>130</v>
      </c>
      <c r="Y197" s="23" t="s">
        <v>130</v>
      </c>
      <c r="Z197" s="23" t="s">
        <v>130</v>
      </c>
      <c r="AA197" s="23" t="s">
        <v>130</v>
      </c>
      <c r="AB197" s="24"/>
      <c r="AC197" s="23" t="str">
        <f aca="false">D197&amp;"#"&amp;E197</f>
        <v>구약#296</v>
      </c>
      <c r="AD197" s="23" t="n">
        <f aca="false">COUNTIFS($C$2:C197,C197,$D$2:D197,D197)</f>
        <v>114</v>
      </c>
    </row>
    <row r="198" customFormat="false" ht="15" hidden="false" customHeight="false" outlineLevel="0" collapsed="false">
      <c r="A198" s="21" t="n">
        <v>197</v>
      </c>
      <c r="B198" s="18" t="s">
        <v>1840</v>
      </c>
      <c r="C198" s="23" t="n">
        <v>2</v>
      </c>
      <c r="D198" s="23" t="s">
        <v>116</v>
      </c>
      <c r="E198" s="23" t="n">
        <f aca="false">IF(C198=1,COUNTIFS($C$2:C198,1,$D$2:D198,D198),COUNTIFS($C$2:$C$799,1,$D$2:$D$799,D198)+COUNTIFS($C$2:C198,2,$D$2:D198,D198))</f>
        <v>297</v>
      </c>
      <c r="F198" s="23" t="str">
        <f aca="false">D198&amp;" #"&amp;TEXT(E198,"000")</f>
        <v>구약 #297</v>
      </c>
      <c r="G198" s="18" t="s">
        <v>1814</v>
      </c>
      <c r="H198" s="18" t="s">
        <v>1731</v>
      </c>
      <c r="I198" s="21" t="s">
        <v>1732</v>
      </c>
      <c r="J198" s="22" t="s">
        <v>1841</v>
      </c>
      <c r="K198" s="23" t="s">
        <v>121</v>
      </c>
      <c r="L198" s="24" t="s">
        <v>1842</v>
      </c>
      <c r="M198" s="24" t="s">
        <v>1843</v>
      </c>
      <c r="N198" s="23" t="s">
        <v>1844</v>
      </c>
      <c r="O198" s="24" t="s">
        <v>1845</v>
      </c>
      <c r="P198" s="24" t="s">
        <v>1846</v>
      </c>
      <c r="Q198" s="24" t="s">
        <v>1847</v>
      </c>
      <c r="R198" s="25" t="s">
        <v>1848</v>
      </c>
      <c r="S198" s="24" t="s">
        <v>1812</v>
      </c>
      <c r="T198" s="24" t="str">
        <f aca="false">"["&amp;안내!$C$5&amp;" "&amp;F198&amp;"] "&amp;L198&amp;" | "&amp;J198</f>
        <v>[1분 성경 구약 #297] 쉽볼렛 | 삿 12:1-15</v>
      </c>
      <c r="U198" s="26" t="n">
        <f aca="false">IF(D198="구약",IF(C198=1,안내!$C$9,안내!$C$10)+AD198-1,IF(C198=1,안내!$C$9,안내!$C$10)+7*INT((AD198-1)/4)+CHOOSE(MOD(AD198-1,4)+1,0,2,4,5))</f>
        <v>46694</v>
      </c>
      <c r="V198" s="23" t="str">
        <f aca="false">CHOOSE(WEEKDAY(U198,2),"월","화","수","목","금","토","일")</f>
        <v>수</v>
      </c>
      <c r="W198" s="24" t="str">
        <f aca="false">IFERROR(IF(INDEX($C$2:$C$799,MATCH(D198&amp;"#"&amp;(E198+1),$AC$2:$AC$799,0))=C198,"다음 편: ","시즌1 완결 · 시즌2 첫 편: ")&amp;INDEX($L$2:$L$799,MATCH(D198&amp;"#"&amp;(E198+1),$AC$2:$AC$799,0)),"구약 트랙 완결")</f>
        <v>다음 편: 사자와 수수께끼</v>
      </c>
      <c r="X198" s="23" t="s">
        <v>130</v>
      </c>
      <c r="Y198" s="23" t="s">
        <v>130</v>
      </c>
      <c r="Z198" s="23" t="s">
        <v>130</v>
      </c>
      <c r="AA198" s="23" t="s">
        <v>130</v>
      </c>
      <c r="AB198" s="24"/>
      <c r="AC198" s="23" t="str">
        <f aca="false">D198&amp;"#"&amp;E198</f>
        <v>구약#297</v>
      </c>
      <c r="AD198" s="23" t="n">
        <f aca="false">COUNTIFS($C$2:C198,C198,$D$2:D198,D198)</f>
        <v>115</v>
      </c>
    </row>
    <row r="199" customFormat="false" ht="39.55" hidden="false" customHeight="false" outlineLevel="0" collapsed="false">
      <c r="A199" s="21" t="n">
        <v>198</v>
      </c>
      <c r="B199" s="18" t="s">
        <v>1849</v>
      </c>
      <c r="C199" s="20" t="n">
        <v>1</v>
      </c>
      <c r="D199" s="20" t="s">
        <v>116</v>
      </c>
      <c r="E199" s="20" t="n">
        <f aca="false">IF(C199=1,COUNTIFS($C$2:C199,1,$D$2:D199,D199),COUNTIFS($C$2:$C$799,1,$D$2:$D$799,D199)+COUNTIFS($C$2:C199,2,$D$2:D199,D199))</f>
        <v>83</v>
      </c>
      <c r="F199" s="20" t="str">
        <f aca="false">D199&amp;" #"&amp;TEXT(E199,"000")</f>
        <v>구약 #083</v>
      </c>
      <c r="G199" s="18" t="s">
        <v>1814</v>
      </c>
      <c r="H199" s="18" t="s">
        <v>1663</v>
      </c>
      <c r="I199" s="21" t="s">
        <v>1732</v>
      </c>
      <c r="J199" s="22" t="s">
        <v>1850</v>
      </c>
      <c r="K199" s="23" t="s">
        <v>121</v>
      </c>
      <c r="L199" s="24" t="s">
        <v>1851</v>
      </c>
      <c r="M199" s="24" t="s">
        <v>1852</v>
      </c>
      <c r="N199" s="23" t="s">
        <v>1853</v>
      </c>
      <c r="O199" s="24" t="s">
        <v>1854</v>
      </c>
      <c r="P199" s="24" t="s">
        <v>1855</v>
      </c>
      <c r="Q199" s="24" t="s">
        <v>1856</v>
      </c>
      <c r="R199" s="24"/>
      <c r="S199" s="28" t="s">
        <v>1857</v>
      </c>
      <c r="T199" s="24" t="str">
        <f aca="false">"["&amp;안내!$C$5&amp;" "&amp;F199&amp;"] "&amp;L199&amp;" | "&amp;J199</f>
        <v>[1분 성경 구약 #083] 삼손의 탄생 | 삿 13:1-25</v>
      </c>
      <c r="U199" s="26" t="n">
        <f aca="false">IF(D199="구약",IF(C199=1,안내!$C$9,안내!$C$10)+AD199-1,IF(C199=1,안내!$C$9,안내!$C$10)+7*INT((AD199-1)/4)+CHOOSE(MOD(AD199-1,4)+1,0,2,4,5))</f>
        <v>46473</v>
      </c>
      <c r="V199" s="23" t="str">
        <f aca="false">CHOOSE(WEEKDAY(U199,2),"월","화","수","목","금","토","일")</f>
        <v>토</v>
      </c>
      <c r="W199" s="24" t="str">
        <f aca="false">IFERROR(IF(INDEX($C$2:$C$799,MATCH(D199&amp;"#"&amp;(E199+1),$AC$2:$AC$799,0))=C199,"다음 편: ","시즌1 완결 · 시즌2 첫 편: ")&amp;INDEX($L$2:$L$799,MATCH(D199&amp;"#"&amp;(E199+1),$AC$2:$AC$799,0)),"구약 트랙 완결")</f>
        <v>다음 편: 머리카락의 비밀</v>
      </c>
      <c r="X199" s="23" t="s">
        <v>130</v>
      </c>
      <c r="Y199" s="23" t="s">
        <v>130</v>
      </c>
      <c r="Z199" s="23" t="s">
        <v>130</v>
      </c>
      <c r="AA199" s="23" t="s">
        <v>130</v>
      </c>
      <c r="AB199" s="24"/>
      <c r="AC199" s="23" t="str">
        <f aca="false">D199&amp;"#"&amp;E199</f>
        <v>구약#83</v>
      </c>
      <c r="AD199" s="23" t="n">
        <f aca="false">COUNTIFS($C$2:C199,C199,$D$2:D199,D199)</f>
        <v>83</v>
      </c>
    </row>
    <row r="200" customFormat="false" ht="25.35" hidden="false" customHeight="false" outlineLevel="0" collapsed="false">
      <c r="A200" s="21" t="n">
        <v>199</v>
      </c>
      <c r="B200" s="18" t="s">
        <v>1858</v>
      </c>
      <c r="C200" s="23" t="n">
        <v>2</v>
      </c>
      <c r="D200" s="23" t="s">
        <v>116</v>
      </c>
      <c r="E200" s="23" t="n">
        <f aca="false">IF(C200=1,COUNTIFS($C$2:C200,1,$D$2:D200,D200),COUNTIFS($C$2:$C$799,1,$D$2:$D$799,D200)+COUNTIFS($C$2:C200,2,$D$2:D200,D200))</f>
        <v>298</v>
      </c>
      <c r="F200" s="23" t="str">
        <f aca="false">D200&amp;" #"&amp;TEXT(E200,"000")</f>
        <v>구약 #298</v>
      </c>
      <c r="G200" s="18" t="s">
        <v>1814</v>
      </c>
      <c r="H200" s="18" t="s">
        <v>1731</v>
      </c>
      <c r="I200" s="21" t="s">
        <v>1732</v>
      </c>
      <c r="J200" s="22" t="s">
        <v>1859</v>
      </c>
      <c r="K200" s="23" t="s">
        <v>121</v>
      </c>
      <c r="L200" s="24" t="s">
        <v>1860</v>
      </c>
      <c r="M200" s="24" t="s">
        <v>1861</v>
      </c>
      <c r="N200" s="23" t="s">
        <v>1862</v>
      </c>
      <c r="O200" s="24" t="s">
        <v>1863</v>
      </c>
      <c r="P200" s="24" t="s">
        <v>1864</v>
      </c>
      <c r="Q200" s="24" t="s">
        <v>1865</v>
      </c>
      <c r="R200" s="24"/>
      <c r="S200" s="24" t="s">
        <v>1866</v>
      </c>
      <c r="T200" s="24" t="str">
        <f aca="false">"["&amp;안내!$C$5&amp;" "&amp;F200&amp;"] "&amp;L200&amp;" | "&amp;J200</f>
        <v>[1분 성경 구약 #298] 사자와 수수께끼 | 삿 14:1-20</v>
      </c>
      <c r="U200" s="26" t="n">
        <f aca="false">IF(D200="구약",IF(C200=1,안내!$C$9,안내!$C$10)+AD200-1,IF(C200=1,안내!$C$9,안내!$C$10)+7*INT((AD200-1)/4)+CHOOSE(MOD(AD200-1,4)+1,0,2,4,5))</f>
        <v>46695</v>
      </c>
      <c r="V200" s="23" t="str">
        <f aca="false">CHOOSE(WEEKDAY(U200,2),"월","화","수","목","금","토","일")</f>
        <v>목</v>
      </c>
      <c r="W200" s="24" t="str">
        <f aca="false">IFERROR(IF(INDEX($C$2:$C$799,MATCH(D200&amp;"#"&amp;(E200+1),$AC$2:$AC$799,0))=C200,"다음 편: ","시즌1 완결 · 시즌2 첫 편: ")&amp;INDEX($L$2:$L$799,MATCH(D200&amp;"#"&amp;(E200+1),$AC$2:$AC$799,0)),"구약 트랙 완결")</f>
        <v>다음 편: 나귀 턱뼈</v>
      </c>
      <c r="X200" s="23" t="s">
        <v>130</v>
      </c>
      <c r="Y200" s="23" t="s">
        <v>130</v>
      </c>
      <c r="Z200" s="23" t="s">
        <v>130</v>
      </c>
      <c r="AA200" s="23" t="s">
        <v>130</v>
      </c>
      <c r="AB200" s="24"/>
      <c r="AC200" s="23" t="str">
        <f aca="false">D200&amp;"#"&amp;E200</f>
        <v>구약#298</v>
      </c>
      <c r="AD200" s="23" t="n">
        <f aca="false">COUNTIFS($C$2:C200,C200,$D$2:D200,D200)</f>
        <v>116</v>
      </c>
    </row>
    <row r="201" customFormat="false" ht="15" hidden="false" customHeight="false" outlineLevel="0" collapsed="false">
      <c r="A201" s="21" t="n">
        <v>200</v>
      </c>
      <c r="B201" s="18" t="s">
        <v>1867</v>
      </c>
      <c r="C201" s="23" t="n">
        <v>2</v>
      </c>
      <c r="D201" s="23" t="s">
        <v>116</v>
      </c>
      <c r="E201" s="23" t="n">
        <f aca="false">IF(C201=1,COUNTIFS($C$2:C201,1,$D$2:D201,D201),COUNTIFS($C$2:$C$799,1,$D$2:$D$799,D201)+COUNTIFS($C$2:C201,2,$D$2:D201,D201))</f>
        <v>299</v>
      </c>
      <c r="F201" s="23" t="str">
        <f aca="false">D201&amp;" #"&amp;TEXT(E201,"000")</f>
        <v>구약 #299</v>
      </c>
      <c r="G201" s="18" t="s">
        <v>1814</v>
      </c>
      <c r="H201" s="18" t="s">
        <v>1731</v>
      </c>
      <c r="I201" s="21" t="s">
        <v>1732</v>
      </c>
      <c r="J201" s="22" t="s">
        <v>1868</v>
      </c>
      <c r="K201" s="23" t="s">
        <v>121</v>
      </c>
      <c r="L201" s="24" t="s">
        <v>1869</v>
      </c>
      <c r="M201" s="24" t="s">
        <v>1870</v>
      </c>
      <c r="N201" s="23" t="s">
        <v>1871</v>
      </c>
      <c r="O201" s="24" t="s">
        <v>1872</v>
      </c>
      <c r="P201" s="24" t="s">
        <v>1873</v>
      </c>
      <c r="Q201" s="24" t="s">
        <v>1874</v>
      </c>
      <c r="R201" s="25" t="s">
        <v>1875</v>
      </c>
      <c r="S201" s="24" t="s">
        <v>1866</v>
      </c>
      <c r="T201" s="24" t="str">
        <f aca="false">"["&amp;안내!$C$5&amp;" "&amp;F201&amp;"] "&amp;L201&amp;" | "&amp;J201</f>
        <v>[1분 성경 구약 #299] 나귀 턱뼈 | 삿 15:1-20</v>
      </c>
      <c r="U201" s="26" t="n">
        <f aca="false">IF(D201="구약",IF(C201=1,안내!$C$9,안내!$C$10)+AD201-1,IF(C201=1,안내!$C$9,안내!$C$10)+7*INT((AD201-1)/4)+CHOOSE(MOD(AD201-1,4)+1,0,2,4,5))</f>
        <v>46696</v>
      </c>
      <c r="V201" s="23" t="str">
        <f aca="false">CHOOSE(WEEKDAY(U201,2),"월","화","수","목","금","토","일")</f>
        <v>금</v>
      </c>
      <c r="W201" s="24" t="str">
        <f aca="false">IFERROR(IF(INDEX($C$2:$C$799,MATCH(D201&amp;"#"&amp;(E201+1),$AC$2:$AC$799,0))=C201,"다음 편: ","시즌1 완결 · 시즌2 첫 편: ")&amp;INDEX($L$2:$L$799,MATCH(D201&amp;"#"&amp;(E201+1),$AC$2:$AC$799,0)),"구약 트랙 완결")</f>
        <v>다음 편: 내 소견에 옳은 대로</v>
      </c>
      <c r="X201" s="23" t="s">
        <v>130</v>
      </c>
      <c r="Y201" s="23" t="s">
        <v>130</v>
      </c>
      <c r="Z201" s="23" t="s">
        <v>130</v>
      </c>
      <c r="AA201" s="23" t="s">
        <v>130</v>
      </c>
      <c r="AB201" s="24"/>
      <c r="AC201" s="23" t="str">
        <f aca="false">D201&amp;"#"&amp;E201</f>
        <v>구약#299</v>
      </c>
      <c r="AD201" s="23" t="n">
        <f aca="false">COUNTIFS($C$2:C201,C201,$D$2:D201,D201)</f>
        <v>117</v>
      </c>
    </row>
    <row r="202" customFormat="false" ht="39.55" hidden="false" customHeight="false" outlineLevel="0" collapsed="false">
      <c r="A202" s="21" t="n">
        <v>201</v>
      </c>
      <c r="B202" s="18" t="s">
        <v>1876</v>
      </c>
      <c r="C202" s="20" t="n">
        <v>1</v>
      </c>
      <c r="D202" s="20" t="s">
        <v>116</v>
      </c>
      <c r="E202" s="20" t="n">
        <f aca="false">IF(C202=1,COUNTIFS($C$2:C202,1,$D$2:D202,D202),COUNTIFS($C$2:$C$799,1,$D$2:$D$799,D202)+COUNTIFS($C$2:C202,2,$D$2:D202,D202))</f>
        <v>84</v>
      </c>
      <c r="F202" s="20" t="str">
        <f aca="false">D202&amp;" #"&amp;TEXT(E202,"000")</f>
        <v>구약 #084</v>
      </c>
      <c r="G202" s="18" t="s">
        <v>1814</v>
      </c>
      <c r="H202" s="18" t="s">
        <v>1663</v>
      </c>
      <c r="I202" s="21" t="s">
        <v>1732</v>
      </c>
      <c r="J202" s="22" t="s">
        <v>1877</v>
      </c>
      <c r="K202" s="23" t="s">
        <v>121</v>
      </c>
      <c r="L202" s="24" t="s">
        <v>1878</v>
      </c>
      <c r="M202" s="24" t="s">
        <v>1879</v>
      </c>
      <c r="N202" s="23" t="s">
        <v>1880</v>
      </c>
      <c r="O202" s="24" t="s">
        <v>1881</v>
      </c>
      <c r="P202" s="24" t="s">
        <v>1882</v>
      </c>
      <c r="Q202" s="24" t="s">
        <v>1883</v>
      </c>
      <c r="R202" s="25" t="s">
        <v>1884</v>
      </c>
      <c r="S202" s="28" t="s">
        <v>1885</v>
      </c>
      <c r="T202" s="24" t="str">
        <f aca="false">"["&amp;안내!$C$5&amp;" "&amp;F202&amp;"] "&amp;L202&amp;" | "&amp;J202</f>
        <v>[1분 성경 구약 #084] 머리카락의 비밀 | 삿 16:1-22</v>
      </c>
      <c r="U202" s="26" t="n">
        <f aca="false">IF(D202="구약",IF(C202=1,안내!$C$9,안내!$C$10)+AD202-1,IF(C202=1,안내!$C$9,안내!$C$10)+7*INT((AD202-1)/4)+CHOOSE(MOD(AD202-1,4)+1,0,2,4,5))</f>
        <v>46474</v>
      </c>
      <c r="V202" s="23" t="str">
        <f aca="false">CHOOSE(WEEKDAY(U202,2),"월","화","수","목","금","토","일")</f>
        <v>일</v>
      </c>
      <c r="W202" s="24" t="str">
        <f aca="false">IFERROR(IF(INDEX($C$2:$C$799,MATCH(D202&amp;"#"&amp;(E202+1),$AC$2:$AC$799,0))=C202,"다음 편: ","시즌1 완결 · 시즌2 첫 편: ")&amp;INDEX($L$2:$L$799,MATCH(D202&amp;"#"&amp;(E202+1),$AC$2:$AC$799,0)),"구약 트랙 완결")</f>
        <v>다음 편: 삼손의 마지막 기도</v>
      </c>
      <c r="X202" s="23" t="s">
        <v>130</v>
      </c>
      <c r="Y202" s="23" t="s">
        <v>130</v>
      </c>
      <c r="Z202" s="23" t="s">
        <v>130</v>
      </c>
      <c r="AA202" s="23" t="s">
        <v>130</v>
      </c>
      <c r="AB202" s="24"/>
      <c r="AC202" s="23" t="str">
        <f aca="false">D202&amp;"#"&amp;E202</f>
        <v>구약#84</v>
      </c>
      <c r="AD202" s="23" t="n">
        <f aca="false">COUNTIFS($C$2:C202,C202,$D$2:D202,D202)</f>
        <v>84</v>
      </c>
    </row>
    <row r="203" customFormat="false" ht="26.85" hidden="false" customHeight="false" outlineLevel="0" collapsed="false">
      <c r="A203" s="21" t="n">
        <v>202</v>
      </c>
      <c r="B203" s="18" t="s">
        <v>1886</v>
      </c>
      <c r="C203" s="20" t="n">
        <v>1</v>
      </c>
      <c r="D203" s="20" t="s">
        <v>116</v>
      </c>
      <c r="E203" s="20" t="n">
        <f aca="false">IF(C203=1,COUNTIFS($C$2:C203,1,$D$2:D203,D203),COUNTIFS($C$2:$C$799,1,$D$2:$D$799,D203)+COUNTIFS($C$2:C203,2,$D$2:D203,D203))</f>
        <v>85</v>
      </c>
      <c r="F203" s="20" t="str">
        <f aca="false">D203&amp;" #"&amp;TEXT(E203,"000")</f>
        <v>구약 #085</v>
      </c>
      <c r="G203" s="18" t="s">
        <v>1814</v>
      </c>
      <c r="H203" s="18" t="s">
        <v>1663</v>
      </c>
      <c r="I203" s="21" t="s">
        <v>1732</v>
      </c>
      <c r="J203" s="22" t="s">
        <v>1887</v>
      </c>
      <c r="K203" s="23" t="s">
        <v>121</v>
      </c>
      <c r="L203" s="24" t="s">
        <v>1888</v>
      </c>
      <c r="M203" s="24" t="s">
        <v>1889</v>
      </c>
      <c r="N203" s="23" t="s">
        <v>1890</v>
      </c>
      <c r="O203" s="24" t="s">
        <v>1891</v>
      </c>
      <c r="P203" s="24" t="s">
        <v>1892</v>
      </c>
      <c r="Q203" s="24" t="s">
        <v>1893</v>
      </c>
      <c r="R203" s="24"/>
      <c r="S203" s="24" t="s">
        <v>129</v>
      </c>
      <c r="T203" s="24" t="str">
        <f aca="false">"["&amp;안내!$C$5&amp;" "&amp;F203&amp;"] "&amp;L203&amp;" | "&amp;J203</f>
        <v>[1분 성경 구약 #085] 삼손의 마지막 기도 | 삿 16:23-31</v>
      </c>
      <c r="U203" s="26" t="n">
        <f aca="false">IF(D203="구약",IF(C203=1,안내!$C$9,안내!$C$10)+AD203-1,IF(C203=1,안내!$C$9,안내!$C$10)+7*INT((AD203-1)/4)+CHOOSE(MOD(AD203-1,4)+1,0,2,4,5))</f>
        <v>46475</v>
      </c>
      <c r="V203" s="23" t="str">
        <f aca="false">CHOOSE(WEEKDAY(U203,2),"월","화","수","목","금","토","일")</f>
        <v>월</v>
      </c>
      <c r="W203" s="24" t="str">
        <f aca="false">IFERROR(IF(INDEX($C$2:$C$799,MATCH(D203&amp;"#"&amp;(E203+1),$AC$2:$AC$799,0))=C203,"다음 편: ","시즌1 완결 · 시즌2 첫 편: ")&amp;INDEX($L$2:$L$799,MATCH(D203&amp;"#"&amp;(E203+1),$AC$2:$AC$799,0)),"구약 트랙 완결")</f>
        <v>다음 편: 어머니가 가시는 곳에 나도</v>
      </c>
      <c r="X203" s="23" t="s">
        <v>130</v>
      </c>
      <c r="Y203" s="23" t="s">
        <v>130</v>
      </c>
      <c r="Z203" s="23" t="s">
        <v>130</v>
      </c>
      <c r="AA203" s="23" t="s">
        <v>130</v>
      </c>
      <c r="AB203" s="24"/>
      <c r="AC203" s="23" t="str">
        <f aca="false">D203&amp;"#"&amp;E203</f>
        <v>구약#85</v>
      </c>
      <c r="AD203" s="23" t="n">
        <f aca="false">COUNTIFS($C$2:C203,C203,$D$2:D203,D203)</f>
        <v>85</v>
      </c>
    </row>
    <row r="204" customFormat="false" ht="26.85" hidden="false" customHeight="false" outlineLevel="0" collapsed="false">
      <c r="A204" s="21" t="n">
        <v>203</v>
      </c>
      <c r="B204" s="18" t="s">
        <v>1894</v>
      </c>
      <c r="C204" s="23" t="n">
        <v>2</v>
      </c>
      <c r="D204" s="23" t="s">
        <v>116</v>
      </c>
      <c r="E204" s="23" t="n">
        <f aca="false">IF(C204=1,COUNTIFS($C$2:C204,1,$D$2:D204,D204),COUNTIFS($C$2:$C$799,1,$D$2:$D$799,D204)+COUNTIFS($C$2:C204,2,$D$2:D204,D204))</f>
        <v>300</v>
      </c>
      <c r="F204" s="23" t="str">
        <f aca="false">D204&amp;" #"&amp;TEXT(E204,"000")</f>
        <v>구약 #300</v>
      </c>
      <c r="G204" s="18" t="s">
        <v>1814</v>
      </c>
      <c r="H204" s="18" t="s">
        <v>1731</v>
      </c>
      <c r="I204" s="21" t="s">
        <v>1732</v>
      </c>
      <c r="J204" s="22" t="s">
        <v>1895</v>
      </c>
      <c r="K204" s="23" t="s">
        <v>121</v>
      </c>
      <c r="L204" s="24" t="s">
        <v>1896</v>
      </c>
      <c r="M204" s="24" t="s">
        <v>1897</v>
      </c>
      <c r="N204" s="23" t="s">
        <v>1898</v>
      </c>
      <c r="O204" s="24" t="s">
        <v>1899</v>
      </c>
      <c r="P204" s="24" t="s">
        <v>1900</v>
      </c>
      <c r="Q204" s="24" t="s">
        <v>1901</v>
      </c>
      <c r="R204" s="24"/>
      <c r="S204" s="24" t="s">
        <v>1902</v>
      </c>
      <c r="T204" s="24" t="str">
        <f aca="false">"["&amp;안내!$C$5&amp;" "&amp;F204&amp;"] "&amp;L204&amp;" | "&amp;J204</f>
        <v>[1분 성경 구약 #300] 내 소견에 옳은 대로 | 삿 17:1-18:31</v>
      </c>
      <c r="U204" s="26" t="n">
        <f aca="false">IF(D204="구약",IF(C204=1,안내!$C$9,안내!$C$10)+AD204-1,IF(C204=1,안내!$C$9,안내!$C$10)+7*INT((AD204-1)/4)+CHOOSE(MOD(AD204-1,4)+1,0,2,4,5))</f>
        <v>46697</v>
      </c>
      <c r="V204" s="23" t="str">
        <f aca="false">CHOOSE(WEEKDAY(U204,2),"월","화","수","목","금","토","일")</f>
        <v>토</v>
      </c>
      <c r="W204" s="24" t="str">
        <f aca="false">IFERROR(IF(INDEX($C$2:$C$799,MATCH(D204&amp;"#"&amp;(E204+1),$AC$2:$AC$799,0))=C204,"다음 편: ","시즌1 완결 · 시즌2 첫 편: ")&amp;INDEX($L$2:$L$799,MATCH(D204&amp;"#"&amp;(E204+1),$AC$2:$AC$799,0)),"구약 트랙 완결")</f>
        <v>다음 편: 왕이 없던 시대의 비극</v>
      </c>
      <c r="X204" s="23" t="s">
        <v>130</v>
      </c>
      <c r="Y204" s="23" t="s">
        <v>130</v>
      </c>
      <c r="Z204" s="23" t="s">
        <v>130</v>
      </c>
      <c r="AA204" s="23" t="s">
        <v>130</v>
      </c>
      <c r="AB204" s="24"/>
      <c r="AC204" s="23" t="str">
        <f aca="false">D204&amp;"#"&amp;E204</f>
        <v>구약#300</v>
      </c>
      <c r="AD204" s="23" t="n">
        <f aca="false">COUNTIFS($C$2:C204,C204,$D$2:D204,D204)</f>
        <v>118</v>
      </c>
    </row>
    <row r="205" customFormat="false" ht="26.85" hidden="false" customHeight="false" outlineLevel="0" collapsed="false">
      <c r="A205" s="21" t="n">
        <v>204</v>
      </c>
      <c r="B205" s="18" t="s">
        <v>1903</v>
      </c>
      <c r="C205" s="23" t="n">
        <v>2</v>
      </c>
      <c r="D205" s="23" t="s">
        <v>116</v>
      </c>
      <c r="E205" s="23" t="n">
        <f aca="false">IF(C205=1,COUNTIFS($C$2:C205,1,$D$2:D205,D205),COUNTIFS($C$2:$C$799,1,$D$2:$D$799,D205)+COUNTIFS($C$2:C205,2,$D$2:D205,D205))</f>
        <v>301</v>
      </c>
      <c r="F205" s="23" t="str">
        <f aca="false">D205&amp;" #"&amp;TEXT(E205,"000")</f>
        <v>구약 #301</v>
      </c>
      <c r="G205" s="18" t="s">
        <v>1814</v>
      </c>
      <c r="H205" s="18" t="s">
        <v>1731</v>
      </c>
      <c r="I205" s="21" t="s">
        <v>1732</v>
      </c>
      <c r="J205" s="22" t="s">
        <v>1904</v>
      </c>
      <c r="K205" s="23" t="s">
        <v>121</v>
      </c>
      <c r="L205" s="24" t="s">
        <v>1905</v>
      </c>
      <c r="M205" s="24" t="s">
        <v>1906</v>
      </c>
      <c r="N205" s="23" t="s">
        <v>1907</v>
      </c>
      <c r="O205" s="24" t="s">
        <v>1908</v>
      </c>
      <c r="P205" s="24" t="s">
        <v>1909</v>
      </c>
      <c r="Q205" s="24" t="s">
        <v>1910</v>
      </c>
      <c r="R205" s="27" t="s">
        <v>1911</v>
      </c>
      <c r="S205" s="24" t="s">
        <v>1902</v>
      </c>
      <c r="T205" s="24" t="str">
        <f aca="false">"["&amp;안내!$C$5&amp;" "&amp;F205&amp;"] "&amp;L205&amp;" | "&amp;J205</f>
        <v>[1분 성경 구약 #301] 왕이 없던 시대의 비극 | 삿 19:1-21:25</v>
      </c>
      <c r="U205" s="26" t="n">
        <f aca="false">IF(D205="구약",IF(C205=1,안내!$C$9,안내!$C$10)+AD205-1,IF(C205=1,안내!$C$9,안내!$C$10)+7*INT((AD205-1)/4)+CHOOSE(MOD(AD205-1,4)+1,0,2,4,5))</f>
        <v>46698</v>
      </c>
      <c r="V205" s="23" t="str">
        <f aca="false">CHOOSE(WEEKDAY(U205,2),"월","화","수","목","금","토","일")</f>
        <v>일</v>
      </c>
      <c r="W205" s="24" t="str">
        <f aca="false">IFERROR(IF(INDEX($C$2:$C$799,MATCH(D205&amp;"#"&amp;(E205+1),$AC$2:$AC$799,0))=C205,"다음 편: ","시즌1 완결 · 시즌2 첫 편: ")&amp;INDEX($L$2:$L$799,MATCH(D205&amp;"#"&amp;(E205+1),$AC$2:$AC$799,0)),"구약 트랙 완결")</f>
        <v>다음 편: 기업 무를 자</v>
      </c>
      <c r="X205" s="23" t="s">
        <v>130</v>
      </c>
      <c r="Y205" s="23" t="s">
        <v>130</v>
      </c>
      <c r="Z205" s="23" t="s">
        <v>130</v>
      </c>
      <c r="AA205" s="23" t="s">
        <v>130</v>
      </c>
      <c r="AB205" s="24"/>
      <c r="AC205" s="23" t="str">
        <f aca="false">D205&amp;"#"&amp;E205</f>
        <v>구약#301</v>
      </c>
      <c r="AD205" s="23" t="n">
        <f aca="false">COUNTIFS($C$2:C205,C205,$D$2:D205,D205)</f>
        <v>119</v>
      </c>
    </row>
    <row r="206" customFormat="false" ht="39.55" hidden="false" customHeight="false" outlineLevel="0" collapsed="false">
      <c r="A206" s="21" t="n">
        <v>205</v>
      </c>
      <c r="B206" s="18" t="s">
        <v>1912</v>
      </c>
      <c r="C206" s="20" t="n">
        <v>1</v>
      </c>
      <c r="D206" s="20" t="s">
        <v>116</v>
      </c>
      <c r="E206" s="20" t="n">
        <f aca="false">IF(C206=1,COUNTIFS($C$2:C206,1,$D$2:D206,D206),COUNTIFS($C$2:$C$799,1,$D$2:$D$799,D206)+COUNTIFS($C$2:C206,2,$D$2:D206,D206))</f>
        <v>86</v>
      </c>
      <c r="F206" s="20" t="str">
        <f aca="false">D206&amp;" #"&amp;TEXT(E206,"000")</f>
        <v>구약 #086</v>
      </c>
      <c r="G206" s="18" t="s">
        <v>1913</v>
      </c>
      <c r="H206" s="18" t="s">
        <v>1914</v>
      </c>
      <c r="I206" s="21" t="s">
        <v>1915</v>
      </c>
      <c r="J206" s="22" t="s">
        <v>1916</v>
      </c>
      <c r="K206" s="23" t="s">
        <v>121</v>
      </c>
      <c r="L206" s="24" t="s">
        <v>1917</v>
      </c>
      <c r="M206" s="24" t="s">
        <v>1918</v>
      </c>
      <c r="N206" s="23" t="s">
        <v>1919</v>
      </c>
      <c r="O206" s="24" t="s">
        <v>1920</v>
      </c>
      <c r="P206" s="24" t="s">
        <v>1921</v>
      </c>
      <c r="Q206" s="24" t="s">
        <v>1922</v>
      </c>
      <c r="R206" s="24"/>
      <c r="S206" s="28" t="s">
        <v>1923</v>
      </c>
      <c r="T206" s="24" t="str">
        <f aca="false">"["&amp;안내!$C$5&amp;" "&amp;F206&amp;"] "&amp;L206&amp;" | "&amp;J206</f>
        <v>[1분 성경 구약 #086] 어머니가 가시는 곳에 나도 | 룻 1:1-22</v>
      </c>
      <c r="U206" s="26" t="n">
        <f aca="false">IF(D206="구약",IF(C206=1,안내!$C$9,안내!$C$10)+AD206-1,IF(C206=1,안내!$C$9,안내!$C$10)+7*INT((AD206-1)/4)+CHOOSE(MOD(AD206-1,4)+1,0,2,4,5))</f>
        <v>46476</v>
      </c>
      <c r="V206" s="23" t="str">
        <f aca="false">CHOOSE(WEEKDAY(U206,2),"월","화","수","목","금","토","일")</f>
        <v>화</v>
      </c>
      <c r="W206" s="24" t="str">
        <f aca="false">IFERROR(IF(INDEX($C$2:$C$799,MATCH(D206&amp;"#"&amp;(E206+1),$AC$2:$AC$799,0))=C206,"다음 편: ","시즌1 완결 · 시즌2 첫 편: ")&amp;INDEX($L$2:$L$799,MATCH(D206&amp;"#"&amp;(E206+1),$AC$2:$AC$799,0)),"구약 트랙 완결")</f>
        <v>다음 편: 우연히 들어간 밭</v>
      </c>
      <c r="X206" s="23" t="s">
        <v>130</v>
      </c>
      <c r="Y206" s="23" t="s">
        <v>130</v>
      </c>
      <c r="Z206" s="23" t="s">
        <v>130</v>
      </c>
      <c r="AA206" s="23" t="s">
        <v>130</v>
      </c>
      <c r="AB206" s="24"/>
      <c r="AC206" s="23" t="str">
        <f aca="false">D206&amp;"#"&amp;E206</f>
        <v>구약#86</v>
      </c>
      <c r="AD206" s="23" t="n">
        <f aca="false">COUNTIFS($C$2:C206,C206,$D$2:D206,D206)</f>
        <v>86</v>
      </c>
    </row>
    <row r="207" customFormat="false" ht="26.85" hidden="false" customHeight="false" outlineLevel="0" collapsed="false">
      <c r="A207" s="21" t="n">
        <v>206</v>
      </c>
      <c r="B207" s="18" t="s">
        <v>1924</v>
      </c>
      <c r="C207" s="20" t="n">
        <v>1</v>
      </c>
      <c r="D207" s="20" t="s">
        <v>116</v>
      </c>
      <c r="E207" s="20" t="n">
        <f aca="false">IF(C207=1,COUNTIFS($C$2:C207,1,$D$2:D207,D207),COUNTIFS($C$2:$C$799,1,$D$2:$D$799,D207)+COUNTIFS($C$2:C207,2,$D$2:D207,D207))</f>
        <v>87</v>
      </c>
      <c r="F207" s="20" t="str">
        <f aca="false">D207&amp;" #"&amp;TEXT(E207,"000")</f>
        <v>구약 #087</v>
      </c>
      <c r="G207" s="18" t="s">
        <v>1913</v>
      </c>
      <c r="H207" s="18" t="s">
        <v>1914</v>
      </c>
      <c r="I207" s="21" t="s">
        <v>1915</v>
      </c>
      <c r="J207" s="22" t="s">
        <v>1925</v>
      </c>
      <c r="K207" s="23" t="s">
        <v>121</v>
      </c>
      <c r="L207" s="24" t="s">
        <v>1926</v>
      </c>
      <c r="M207" s="24" t="s">
        <v>1927</v>
      </c>
      <c r="N207" s="23" t="s">
        <v>1928</v>
      </c>
      <c r="O207" s="24" t="s">
        <v>1929</v>
      </c>
      <c r="P207" s="24" t="s">
        <v>1930</v>
      </c>
      <c r="Q207" s="24" t="s">
        <v>1931</v>
      </c>
      <c r="R207" s="24"/>
      <c r="S207" s="24" t="s">
        <v>129</v>
      </c>
      <c r="T207" s="24" t="str">
        <f aca="false">"["&amp;안내!$C$5&amp;" "&amp;F207&amp;"] "&amp;L207&amp;" | "&amp;J207</f>
        <v>[1분 성경 구약 #087] 우연히 들어간 밭 | 룻 2:1-23</v>
      </c>
      <c r="U207" s="26" t="n">
        <f aca="false">IF(D207="구약",IF(C207=1,안내!$C$9,안내!$C$10)+AD207-1,IF(C207=1,안내!$C$9,안내!$C$10)+7*INT((AD207-1)/4)+CHOOSE(MOD(AD207-1,4)+1,0,2,4,5))</f>
        <v>46477</v>
      </c>
      <c r="V207" s="23" t="str">
        <f aca="false">CHOOSE(WEEKDAY(U207,2),"월","화","수","목","금","토","일")</f>
        <v>수</v>
      </c>
      <c r="W207" s="24" t="str">
        <f aca="false">IFERROR(IF(INDEX($C$2:$C$799,MATCH(D207&amp;"#"&amp;(E207+1),$AC$2:$AC$799,0))=C207,"다음 편: ","시즌1 완결 · 시즌2 첫 편: ")&amp;INDEX($L$2:$L$799,MATCH(D207&amp;"#"&amp;(E207+1),$AC$2:$AC$799,0)),"구약 트랙 완결")</f>
        <v>다음 편: 성문에서의 결정</v>
      </c>
      <c r="X207" s="23" t="s">
        <v>130</v>
      </c>
      <c r="Y207" s="23" t="s">
        <v>130</v>
      </c>
      <c r="Z207" s="23" t="s">
        <v>130</v>
      </c>
      <c r="AA207" s="23" t="s">
        <v>130</v>
      </c>
      <c r="AB207" s="24"/>
      <c r="AC207" s="23" t="str">
        <f aca="false">D207&amp;"#"&amp;E207</f>
        <v>구약#87</v>
      </c>
      <c r="AD207" s="23" t="n">
        <f aca="false">COUNTIFS($C$2:C207,C207,$D$2:D207,D207)</f>
        <v>87</v>
      </c>
    </row>
    <row r="208" customFormat="false" ht="26.85" hidden="false" customHeight="false" outlineLevel="0" collapsed="false">
      <c r="A208" s="21" t="n">
        <v>207</v>
      </c>
      <c r="B208" s="18" t="s">
        <v>1932</v>
      </c>
      <c r="C208" s="23" t="n">
        <v>2</v>
      </c>
      <c r="D208" s="23" t="s">
        <v>116</v>
      </c>
      <c r="E208" s="23" t="n">
        <f aca="false">IF(C208=1,COUNTIFS($C$2:C208,1,$D$2:D208,D208),COUNTIFS($C$2:$C$799,1,$D$2:$D$799,D208)+COUNTIFS($C$2:C208,2,$D$2:D208,D208))</f>
        <v>302</v>
      </c>
      <c r="F208" s="23" t="str">
        <f aca="false">D208&amp;" #"&amp;TEXT(E208,"000")</f>
        <v>구약 #302</v>
      </c>
      <c r="G208" s="18" t="s">
        <v>1913</v>
      </c>
      <c r="H208" s="18" t="s">
        <v>1933</v>
      </c>
      <c r="I208" s="21" t="s">
        <v>1915</v>
      </c>
      <c r="J208" s="22" t="s">
        <v>1934</v>
      </c>
      <c r="K208" s="23" t="s">
        <v>121</v>
      </c>
      <c r="L208" s="24" t="s">
        <v>1935</v>
      </c>
      <c r="M208" s="24" t="s">
        <v>1936</v>
      </c>
      <c r="N208" s="23" t="s">
        <v>1937</v>
      </c>
      <c r="O208" s="24" t="s">
        <v>1938</v>
      </c>
      <c r="P208" s="24" t="s">
        <v>1930</v>
      </c>
      <c r="Q208" s="24" t="s">
        <v>1939</v>
      </c>
      <c r="R208" s="25" t="s">
        <v>1940</v>
      </c>
      <c r="S208" s="24" t="s">
        <v>1941</v>
      </c>
      <c r="T208" s="24" t="str">
        <f aca="false">"["&amp;안내!$C$5&amp;" "&amp;F208&amp;"] "&amp;L208&amp;" | "&amp;J208</f>
        <v>[1분 성경 구약 #302] 기업 무를 자 | 룻 3:1-18</v>
      </c>
      <c r="U208" s="26" t="n">
        <f aca="false">IF(D208="구약",IF(C208=1,안내!$C$9,안내!$C$10)+AD208-1,IF(C208=1,안내!$C$9,안내!$C$10)+7*INT((AD208-1)/4)+CHOOSE(MOD(AD208-1,4)+1,0,2,4,5))</f>
        <v>46699</v>
      </c>
      <c r="V208" s="23" t="str">
        <f aca="false">CHOOSE(WEEKDAY(U208,2),"월","화","수","목","금","토","일")</f>
        <v>월</v>
      </c>
      <c r="W208" s="24" t="str">
        <f aca="false">IFERROR(IF(INDEX($C$2:$C$799,MATCH(D208&amp;"#"&amp;(E208+1),$AC$2:$AC$799,0))=C208,"다음 편: ","시즌1 완결 · 시즌2 첫 편: ")&amp;INDEX($L$2:$L$799,MATCH(D208&amp;"#"&amp;(E208+1),$AC$2:$AC$799,0)),"구약 트랙 완결")</f>
        <v>다음 편: 한나의 노래와 엘리의 아들들</v>
      </c>
      <c r="X208" s="23" t="s">
        <v>130</v>
      </c>
      <c r="Y208" s="23" t="s">
        <v>130</v>
      </c>
      <c r="Z208" s="23" t="s">
        <v>130</v>
      </c>
      <c r="AA208" s="23" t="s">
        <v>130</v>
      </c>
      <c r="AB208" s="24"/>
      <c r="AC208" s="23" t="str">
        <f aca="false">D208&amp;"#"&amp;E208</f>
        <v>구약#302</v>
      </c>
      <c r="AD208" s="23" t="n">
        <f aca="false">COUNTIFS($C$2:C208,C208,$D$2:D208,D208)</f>
        <v>120</v>
      </c>
    </row>
    <row r="209" customFormat="false" ht="26.85" hidden="false" customHeight="false" outlineLevel="0" collapsed="false">
      <c r="A209" s="21" t="n">
        <v>208</v>
      </c>
      <c r="B209" s="18" t="s">
        <v>1942</v>
      </c>
      <c r="C209" s="20" t="n">
        <v>1</v>
      </c>
      <c r="D209" s="20" t="s">
        <v>116</v>
      </c>
      <c r="E209" s="20" t="n">
        <f aca="false">IF(C209=1,COUNTIFS($C$2:C209,1,$D$2:D209,D209),COUNTIFS($C$2:$C$799,1,$D$2:$D$799,D209)+COUNTIFS($C$2:C209,2,$D$2:D209,D209))</f>
        <v>88</v>
      </c>
      <c r="F209" s="20" t="str">
        <f aca="false">D209&amp;" #"&amp;TEXT(E209,"000")</f>
        <v>구약 #088</v>
      </c>
      <c r="G209" s="18" t="s">
        <v>1913</v>
      </c>
      <c r="H209" s="18" t="s">
        <v>1914</v>
      </c>
      <c r="I209" s="21" t="s">
        <v>1915</v>
      </c>
      <c r="J209" s="22" t="s">
        <v>1943</v>
      </c>
      <c r="K209" s="23" t="s">
        <v>121</v>
      </c>
      <c r="L209" s="24" t="s">
        <v>1944</v>
      </c>
      <c r="M209" s="24" t="s">
        <v>1945</v>
      </c>
      <c r="N209" s="23" t="s">
        <v>1946</v>
      </c>
      <c r="O209" s="24" t="s">
        <v>1947</v>
      </c>
      <c r="P209" s="24" t="s">
        <v>1948</v>
      </c>
      <c r="Q209" s="24" t="s">
        <v>1949</v>
      </c>
      <c r="R209" s="25" t="s">
        <v>1950</v>
      </c>
      <c r="S209" s="28" t="s">
        <v>1951</v>
      </c>
      <c r="T209" s="24" t="str">
        <f aca="false">"["&amp;안내!$C$5&amp;" "&amp;F209&amp;"] "&amp;L209&amp;" | "&amp;J209</f>
        <v>[1분 성경 구약 #088] 성문에서의 결정 | 룻 4:1-12</v>
      </c>
      <c r="U209" s="26" t="n">
        <f aca="false">IF(D209="구약",IF(C209=1,안내!$C$9,안내!$C$10)+AD209-1,IF(C209=1,안내!$C$9,안내!$C$10)+7*INT((AD209-1)/4)+CHOOSE(MOD(AD209-1,4)+1,0,2,4,5))</f>
        <v>46478</v>
      </c>
      <c r="V209" s="23" t="str">
        <f aca="false">CHOOSE(WEEKDAY(U209,2),"월","화","수","목","금","토","일")</f>
        <v>목</v>
      </c>
      <c r="W209" s="24" t="str">
        <f aca="false">IFERROR(IF(INDEX($C$2:$C$799,MATCH(D209&amp;"#"&amp;(E209+1),$AC$2:$AC$799,0))=C209,"다음 편: ","시즌1 완결 · 시즌2 첫 편: ")&amp;INDEX($L$2:$L$799,MATCH(D209&amp;"#"&amp;(E209+1),$AC$2:$AC$799,0)),"구약 트랙 완결")</f>
        <v>다음 편: 다윗의 증조할머니</v>
      </c>
      <c r="X209" s="23" t="s">
        <v>130</v>
      </c>
      <c r="Y209" s="23" t="s">
        <v>130</v>
      </c>
      <c r="Z209" s="23" t="s">
        <v>130</v>
      </c>
      <c r="AA209" s="23" t="s">
        <v>130</v>
      </c>
      <c r="AB209" s="24"/>
      <c r="AC209" s="23" t="str">
        <f aca="false">D209&amp;"#"&amp;E209</f>
        <v>구약#88</v>
      </c>
      <c r="AD209" s="23" t="n">
        <f aca="false">COUNTIFS($C$2:C209,C209,$D$2:D209,D209)</f>
        <v>88</v>
      </c>
    </row>
    <row r="210" customFormat="false" ht="26.85" hidden="false" customHeight="false" outlineLevel="0" collapsed="false">
      <c r="A210" s="21" t="n">
        <v>209</v>
      </c>
      <c r="B210" s="18" t="s">
        <v>1952</v>
      </c>
      <c r="C210" s="20" t="n">
        <v>1</v>
      </c>
      <c r="D210" s="20" t="s">
        <v>116</v>
      </c>
      <c r="E210" s="20" t="n">
        <f aca="false">IF(C210=1,COUNTIFS($C$2:C210,1,$D$2:D210,D210),COUNTIFS($C$2:$C$799,1,$D$2:$D$799,D210)+COUNTIFS($C$2:C210,2,$D$2:D210,D210))</f>
        <v>89</v>
      </c>
      <c r="F210" s="20" t="str">
        <f aca="false">D210&amp;" #"&amp;TEXT(E210,"000")</f>
        <v>구약 #089</v>
      </c>
      <c r="G210" s="18" t="s">
        <v>1913</v>
      </c>
      <c r="H210" s="18" t="s">
        <v>1914</v>
      </c>
      <c r="I210" s="21" t="s">
        <v>1915</v>
      </c>
      <c r="J210" s="22" t="s">
        <v>1953</v>
      </c>
      <c r="K210" s="23" t="s">
        <v>121</v>
      </c>
      <c r="L210" s="24" t="s">
        <v>1954</v>
      </c>
      <c r="M210" s="24" t="s">
        <v>1955</v>
      </c>
      <c r="N210" s="23" t="s">
        <v>1956</v>
      </c>
      <c r="O210" s="24" t="s">
        <v>1957</v>
      </c>
      <c r="P210" s="24" t="s">
        <v>1958</v>
      </c>
      <c r="Q210" s="24" t="s">
        <v>1959</v>
      </c>
      <c r="R210" s="25" t="s">
        <v>1960</v>
      </c>
      <c r="S210" s="24" t="s">
        <v>129</v>
      </c>
      <c r="T210" s="24" t="str">
        <f aca="false">"["&amp;안내!$C$5&amp;" "&amp;F210&amp;"] "&amp;L210&amp;" | "&amp;J210</f>
        <v>[1분 성경 구약 #089] 다윗의 증조할머니 | 룻 4:13-22</v>
      </c>
      <c r="U210" s="26" t="n">
        <f aca="false">IF(D210="구약",IF(C210=1,안내!$C$9,안내!$C$10)+AD210-1,IF(C210=1,안내!$C$9,안내!$C$10)+7*INT((AD210-1)/4)+CHOOSE(MOD(AD210-1,4)+1,0,2,4,5))</f>
        <v>46479</v>
      </c>
      <c r="V210" s="23" t="str">
        <f aca="false">CHOOSE(WEEKDAY(U210,2),"월","화","수","목","금","토","일")</f>
        <v>금</v>
      </c>
      <c r="W210" s="24" t="str">
        <f aca="false">IFERROR(IF(INDEX($C$2:$C$799,MATCH(D210&amp;"#"&amp;(E210+1),$AC$2:$AC$799,0))=C210,"다음 편: ","시즌1 완결 · 시즌2 첫 편: ")&amp;INDEX($L$2:$L$799,MATCH(D210&amp;"#"&amp;(E210+1),$AC$2:$AC$799,0)),"구약 트랙 완결")</f>
        <v>다음 편: 한나의 기도</v>
      </c>
      <c r="X210" s="23" t="s">
        <v>130</v>
      </c>
      <c r="Y210" s="23" t="s">
        <v>130</v>
      </c>
      <c r="Z210" s="23" t="s">
        <v>130</v>
      </c>
      <c r="AA210" s="23" t="s">
        <v>130</v>
      </c>
      <c r="AB210" s="24"/>
      <c r="AC210" s="23" t="str">
        <f aca="false">D210&amp;"#"&amp;E210</f>
        <v>구약#89</v>
      </c>
      <c r="AD210" s="23" t="n">
        <f aca="false">COUNTIFS($C$2:C210,C210,$D$2:D210,D210)</f>
        <v>89</v>
      </c>
    </row>
    <row r="211" customFormat="false" ht="15" hidden="false" customHeight="false" outlineLevel="0" collapsed="false">
      <c r="A211" s="21" t="n">
        <v>210</v>
      </c>
      <c r="B211" s="18" t="s">
        <v>1961</v>
      </c>
      <c r="C211" s="20" t="n">
        <v>1</v>
      </c>
      <c r="D211" s="20" t="s">
        <v>116</v>
      </c>
      <c r="E211" s="20" t="n">
        <f aca="false">IF(C211=1,COUNTIFS($C$2:C211,1,$D$2:D211,D211),COUNTIFS($C$2:$C$799,1,$D$2:$D$799,D211)+COUNTIFS($C$2:C211,2,$D$2:D211,D211))</f>
        <v>90</v>
      </c>
      <c r="F211" s="20" t="str">
        <f aca="false">D211&amp;" #"&amp;TEXT(E211,"000")</f>
        <v>구약 #090</v>
      </c>
      <c r="G211" s="18" t="s">
        <v>1913</v>
      </c>
      <c r="H211" s="18" t="s">
        <v>1914</v>
      </c>
      <c r="I211" s="21" t="s">
        <v>1962</v>
      </c>
      <c r="J211" s="22" t="s">
        <v>1963</v>
      </c>
      <c r="K211" s="23" t="s">
        <v>121</v>
      </c>
      <c r="L211" s="24" t="s">
        <v>1964</v>
      </c>
      <c r="M211" s="24" t="s">
        <v>1965</v>
      </c>
      <c r="N211" s="23" t="s">
        <v>1966</v>
      </c>
      <c r="O211" s="24" t="s">
        <v>1967</v>
      </c>
      <c r="P211" s="24" t="s">
        <v>1968</v>
      </c>
      <c r="Q211" s="24" t="s">
        <v>1969</v>
      </c>
      <c r="R211" s="24"/>
      <c r="S211" s="24" t="s">
        <v>129</v>
      </c>
      <c r="T211" s="24" t="str">
        <f aca="false">"["&amp;안내!$C$5&amp;" "&amp;F211&amp;"] "&amp;L211&amp;" | "&amp;J211</f>
        <v>[1분 성경 구약 #090] 한나의 기도 | 삼상 1:1-28</v>
      </c>
      <c r="U211" s="26" t="n">
        <f aca="false">IF(D211="구약",IF(C211=1,안내!$C$9,안내!$C$10)+AD211-1,IF(C211=1,안내!$C$9,안내!$C$10)+7*INT((AD211-1)/4)+CHOOSE(MOD(AD211-1,4)+1,0,2,4,5))</f>
        <v>46480</v>
      </c>
      <c r="V211" s="23" t="str">
        <f aca="false">CHOOSE(WEEKDAY(U211,2),"월","화","수","목","금","토","일")</f>
        <v>토</v>
      </c>
      <c r="W211" s="24" t="str">
        <f aca="false">IFERROR(IF(INDEX($C$2:$C$799,MATCH(D211&amp;"#"&amp;(E211+1),$AC$2:$AC$799,0))=C211,"다음 편: ","시즌1 완결 · 시즌2 첫 편: ")&amp;INDEX($L$2:$L$799,MATCH(D211&amp;"#"&amp;(E211+1),$AC$2:$AC$799,0)),"구약 트랙 완결")</f>
        <v>다음 편: 말씀하옵소서</v>
      </c>
      <c r="X211" s="23" t="s">
        <v>130</v>
      </c>
      <c r="Y211" s="23" t="s">
        <v>130</v>
      </c>
      <c r="Z211" s="23" t="s">
        <v>130</v>
      </c>
      <c r="AA211" s="23" t="s">
        <v>130</v>
      </c>
      <c r="AB211" s="24"/>
      <c r="AC211" s="23" t="str">
        <f aca="false">D211&amp;"#"&amp;E211</f>
        <v>구약#90</v>
      </c>
      <c r="AD211" s="23" t="n">
        <f aca="false">COUNTIFS($C$2:C211,C211,$D$2:D211,D211)</f>
        <v>90</v>
      </c>
    </row>
    <row r="212" customFormat="false" ht="26.85" hidden="false" customHeight="false" outlineLevel="0" collapsed="false">
      <c r="A212" s="21" t="n">
        <v>211</v>
      </c>
      <c r="B212" s="18" t="s">
        <v>1970</v>
      </c>
      <c r="C212" s="23" t="n">
        <v>2</v>
      </c>
      <c r="D212" s="23" t="s">
        <v>116</v>
      </c>
      <c r="E212" s="23" t="n">
        <f aca="false">IF(C212=1,COUNTIFS($C$2:C212,1,$D$2:D212,D212),COUNTIFS($C$2:$C$799,1,$D$2:$D$799,D212)+COUNTIFS($C$2:C212,2,$D$2:D212,D212))</f>
        <v>303</v>
      </c>
      <c r="F212" s="23" t="str">
        <f aca="false">D212&amp;" #"&amp;TEXT(E212,"000")</f>
        <v>구약 #303</v>
      </c>
      <c r="G212" s="18" t="s">
        <v>1913</v>
      </c>
      <c r="H212" s="18" t="s">
        <v>1933</v>
      </c>
      <c r="I212" s="21" t="s">
        <v>1962</v>
      </c>
      <c r="J212" s="22" t="s">
        <v>1971</v>
      </c>
      <c r="K212" s="23" t="s">
        <v>121</v>
      </c>
      <c r="L212" s="24" t="s">
        <v>1972</v>
      </c>
      <c r="M212" s="24" t="s">
        <v>1973</v>
      </c>
      <c r="N212" s="23" t="s">
        <v>1974</v>
      </c>
      <c r="O212" s="24" t="s">
        <v>1975</v>
      </c>
      <c r="P212" s="24" t="s">
        <v>1976</v>
      </c>
      <c r="Q212" s="24" t="s">
        <v>1969</v>
      </c>
      <c r="R212" s="24"/>
      <c r="S212" s="24" t="s">
        <v>1977</v>
      </c>
      <c r="T212" s="24" t="str">
        <f aca="false">"["&amp;안내!$C$5&amp;" "&amp;F212&amp;"] "&amp;L212&amp;" | "&amp;J212</f>
        <v>[1분 성경 구약 #303] 한나의 노래와 엘리의 아들들 | 삼상 2:1-36</v>
      </c>
      <c r="U212" s="26" t="n">
        <f aca="false">IF(D212="구약",IF(C212=1,안내!$C$9,안내!$C$10)+AD212-1,IF(C212=1,안내!$C$9,안내!$C$10)+7*INT((AD212-1)/4)+CHOOSE(MOD(AD212-1,4)+1,0,2,4,5))</f>
        <v>46700</v>
      </c>
      <c r="V212" s="23" t="str">
        <f aca="false">CHOOSE(WEEKDAY(U212,2),"월","화","수","목","금","토","일")</f>
        <v>화</v>
      </c>
      <c r="W212" s="24" t="str">
        <f aca="false">IFERROR(IF(INDEX($C$2:$C$799,MATCH(D212&amp;"#"&amp;(E212+1),$AC$2:$AC$799,0))=C212,"다음 편: ","시즌1 완결 · 시즌2 첫 편: ")&amp;INDEX($L$2:$L$799,MATCH(D212&amp;"#"&amp;(E212+1),$AC$2:$AC$799,0)),"구약 트랙 완결")</f>
        <v>다음 편: 쓰러진 다곤</v>
      </c>
      <c r="X212" s="23" t="s">
        <v>130</v>
      </c>
      <c r="Y212" s="23" t="s">
        <v>130</v>
      </c>
      <c r="Z212" s="23" t="s">
        <v>130</v>
      </c>
      <c r="AA212" s="23" t="s">
        <v>130</v>
      </c>
      <c r="AB212" s="24"/>
      <c r="AC212" s="23" t="str">
        <f aca="false">D212&amp;"#"&amp;E212</f>
        <v>구약#303</v>
      </c>
      <c r="AD212" s="23" t="n">
        <f aca="false">COUNTIFS($C$2:C212,C212,$D$2:D212,D212)</f>
        <v>121</v>
      </c>
    </row>
    <row r="213" customFormat="false" ht="39.55" hidden="false" customHeight="false" outlineLevel="0" collapsed="false">
      <c r="A213" s="21" t="n">
        <v>212</v>
      </c>
      <c r="B213" s="18" t="s">
        <v>1978</v>
      </c>
      <c r="C213" s="20" t="n">
        <v>1</v>
      </c>
      <c r="D213" s="20" t="s">
        <v>116</v>
      </c>
      <c r="E213" s="20" t="n">
        <f aca="false">IF(C213=1,COUNTIFS($C$2:C213,1,$D$2:D213,D213),COUNTIFS($C$2:$C$799,1,$D$2:$D$799,D213)+COUNTIFS($C$2:C213,2,$D$2:D213,D213))</f>
        <v>91</v>
      </c>
      <c r="F213" s="20" t="str">
        <f aca="false">D213&amp;" #"&amp;TEXT(E213,"000")</f>
        <v>구약 #091</v>
      </c>
      <c r="G213" s="18" t="s">
        <v>1913</v>
      </c>
      <c r="H213" s="18" t="s">
        <v>1914</v>
      </c>
      <c r="I213" s="21" t="s">
        <v>1962</v>
      </c>
      <c r="J213" s="22" t="s">
        <v>1979</v>
      </c>
      <c r="K213" s="23" t="s">
        <v>121</v>
      </c>
      <c r="L213" s="24" t="s">
        <v>1980</v>
      </c>
      <c r="M213" s="24" t="s">
        <v>1981</v>
      </c>
      <c r="N213" s="23" t="s">
        <v>1982</v>
      </c>
      <c r="O213" s="24" t="s">
        <v>1983</v>
      </c>
      <c r="P213" s="24" t="s">
        <v>1984</v>
      </c>
      <c r="Q213" s="24" t="s">
        <v>1985</v>
      </c>
      <c r="R213" s="24"/>
      <c r="S213" s="28" t="s">
        <v>1986</v>
      </c>
      <c r="T213" s="24" t="str">
        <f aca="false">"["&amp;안내!$C$5&amp;" "&amp;F213&amp;"] "&amp;L213&amp;" | "&amp;J213</f>
        <v>[1분 성경 구약 #091] 말씀하옵소서 | 삼상 3:1-21</v>
      </c>
      <c r="U213" s="26" t="n">
        <f aca="false">IF(D213="구약",IF(C213=1,안내!$C$9,안내!$C$10)+AD213-1,IF(C213=1,안내!$C$9,안내!$C$10)+7*INT((AD213-1)/4)+CHOOSE(MOD(AD213-1,4)+1,0,2,4,5))</f>
        <v>46481</v>
      </c>
      <c r="V213" s="23" t="str">
        <f aca="false">CHOOSE(WEEKDAY(U213,2),"월","화","수","목","금","토","일")</f>
        <v>일</v>
      </c>
      <c r="W213" s="24" t="str">
        <f aca="false">IFERROR(IF(INDEX($C$2:$C$799,MATCH(D213&amp;"#"&amp;(E213+1),$AC$2:$AC$799,0))=C213,"다음 편: ","시즌1 완결 · 시즌2 첫 편: ")&amp;INDEX($L$2:$L$799,MATCH(D213&amp;"#"&amp;(E213+1),$AC$2:$AC$799,0)),"구약 트랙 완결")</f>
        <v>다음 편: 빼앗긴 언약궤</v>
      </c>
      <c r="X213" s="23" t="s">
        <v>130</v>
      </c>
      <c r="Y213" s="23" t="s">
        <v>130</v>
      </c>
      <c r="Z213" s="23" t="s">
        <v>130</v>
      </c>
      <c r="AA213" s="23" t="s">
        <v>130</v>
      </c>
      <c r="AB213" s="24"/>
      <c r="AC213" s="23" t="str">
        <f aca="false">D213&amp;"#"&amp;E213</f>
        <v>구약#91</v>
      </c>
      <c r="AD213" s="23" t="n">
        <f aca="false">COUNTIFS($C$2:C213,C213,$D$2:D213,D213)</f>
        <v>91</v>
      </c>
    </row>
    <row r="214" customFormat="false" ht="26.85" hidden="false" customHeight="false" outlineLevel="0" collapsed="false">
      <c r="A214" s="21" t="n">
        <v>213</v>
      </c>
      <c r="B214" s="18" t="s">
        <v>1987</v>
      </c>
      <c r="C214" s="20" t="n">
        <v>1</v>
      </c>
      <c r="D214" s="20" t="s">
        <v>116</v>
      </c>
      <c r="E214" s="20" t="n">
        <f aca="false">IF(C214=1,COUNTIFS($C$2:C214,1,$D$2:D214,D214),COUNTIFS($C$2:$C$799,1,$D$2:$D$799,D214)+COUNTIFS($C$2:C214,2,$D$2:D214,D214))</f>
        <v>92</v>
      </c>
      <c r="F214" s="20" t="str">
        <f aca="false">D214&amp;" #"&amp;TEXT(E214,"000")</f>
        <v>구약 #092</v>
      </c>
      <c r="G214" s="18" t="s">
        <v>1988</v>
      </c>
      <c r="H214" s="18" t="s">
        <v>1914</v>
      </c>
      <c r="I214" s="21" t="s">
        <v>1962</v>
      </c>
      <c r="J214" s="22" t="s">
        <v>1989</v>
      </c>
      <c r="K214" s="23" t="s">
        <v>121</v>
      </c>
      <c r="L214" s="24" t="s">
        <v>1990</v>
      </c>
      <c r="M214" s="24" t="s">
        <v>1991</v>
      </c>
      <c r="N214" s="23" t="s">
        <v>1992</v>
      </c>
      <c r="O214" s="24" t="s">
        <v>1993</v>
      </c>
      <c r="P214" s="24" t="s">
        <v>1994</v>
      </c>
      <c r="Q214" s="24" t="s">
        <v>1995</v>
      </c>
      <c r="R214" s="25" t="s">
        <v>1996</v>
      </c>
      <c r="S214" s="24" t="s">
        <v>129</v>
      </c>
      <c r="T214" s="24" t="str">
        <f aca="false">"["&amp;안내!$C$5&amp;" "&amp;F214&amp;"] "&amp;L214&amp;" | "&amp;J214</f>
        <v>[1분 성경 구약 #092] 빼앗긴 언약궤 | 삼상 4:1-22</v>
      </c>
      <c r="U214" s="26" t="n">
        <f aca="false">IF(D214="구약",IF(C214=1,안내!$C$9,안내!$C$10)+AD214-1,IF(C214=1,안내!$C$9,안내!$C$10)+7*INT((AD214-1)/4)+CHOOSE(MOD(AD214-1,4)+1,0,2,4,5))</f>
        <v>46482</v>
      </c>
      <c r="V214" s="23" t="str">
        <f aca="false">CHOOSE(WEEKDAY(U214,2),"월","화","수","목","금","토","일")</f>
        <v>월</v>
      </c>
      <c r="W214" s="24" t="str">
        <f aca="false">IFERROR(IF(INDEX($C$2:$C$799,MATCH(D214&amp;"#"&amp;(E214+1),$AC$2:$AC$799,0))=C214,"다음 편: ","시즌1 완결 · 시즌2 첫 편: ")&amp;INDEX($L$2:$L$799,MATCH(D214&amp;"#"&amp;(E214+1),$AC$2:$AC$799,0)),"구약 트랙 완결")</f>
        <v>다음 편: 우리에게도 왕을</v>
      </c>
      <c r="X214" s="23" t="s">
        <v>130</v>
      </c>
      <c r="Y214" s="23" t="s">
        <v>130</v>
      </c>
      <c r="Z214" s="23" t="s">
        <v>130</v>
      </c>
      <c r="AA214" s="23" t="s">
        <v>130</v>
      </c>
      <c r="AB214" s="24"/>
      <c r="AC214" s="23" t="str">
        <f aca="false">D214&amp;"#"&amp;E214</f>
        <v>구약#92</v>
      </c>
      <c r="AD214" s="23" t="n">
        <f aca="false">COUNTIFS($C$2:C214,C214,$D$2:D214,D214)</f>
        <v>92</v>
      </c>
    </row>
    <row r="215" customFormat="false" ht="26.85" hidden="false" customHeight="false" outlineLevel="0" collapsed="false">
      <c r="A215" s="21" t="n">
        <v>214</v>
      </c>
      <c r="B215" s="18" t="s">
        <v>1997</v>
      </c>
      <c r="C215" s="23" t="n">
        <v>2</v>
      </c>
      <c r="D215" s="23" t="s">
        <v>116</v>
      </c>
      <c r="E215" s="23" t="n">
        <f aca="false">IF(C215=1,COUNTIFS($C$2:C215,1,$D$2:D215,D215),COUNTIFS($C$2:$C$799,1,$D$2:$D$799,D215)+COUNTIFS($C$2:C215,2,$D$2:D215,D215))</f>
        <v>304</v>
      </c>
      <c r="F215" s="23" t="str">
        <f aca="false">D215&amp;" #"&amp;TEXT(E215,"000")</f>
        <v>구약 #304</v>
      </c>
      <c r="G215" s="18" t="s">
        <v>1988</v>
      </c>
      <c r="H215" s="18" t="s">
        <v>1933</v>
      </c>
      <c r="I215" s="21" t="s">
        <v>1962</v>
      </c>
      <c r="J215" s="22" t="s">
        <v>1998</v>
      </c>
      <c r="K215" s="23" t="s">
        <v>121</v>
      </c>
      <c r="L215" s="24" t="s">
        <v>1999</v>
      </c>
      <c r="M215" s="24" t="s">
        <v>2000</v>
      </c>
      <c r="N215" s="23" t="s">
        <v>2001</v>
      </c>
      <c r="O215" s="24" t="s">
        <v>2002</v>
      </c>
      <c r="P215" s="24" t="s">
        <v>2003</v>
      </c>
      <c r="Q215" s="24" t="s">
        <v>2004</v>
      </c>
      <c r="R215" s="24"/>
      <c r="S215" s="24" t="s">
        <v>2005</v>
      </c>
      <c r="T215" s="24" t="str">
        <f aca="false">"["&amp;안내!$C$5&amp;" "&amp;F215&amp;"] "&amp;L215&amp;" | "&amp;J215</f>
        <v>[1분 성경 구약 #304] 쓰러진 다곤 | 삼상 5:1-6:21</v>
      </c>
      <c r="U215" s="26" t="n">
        <f aca="false">IF(D215="구약",IF(C215=1,안내!$C$9,안내!$C$10)+AD215-1,IF(C215=1,안내!$C$9,안내!$C$10)+7*INT((AD215-1)/4)+CHOOSE(MOD(AD215-1,4)+1,0,2,4,5))</f>
        <v>46701</v>
      </c>
      <c r="V215" s="23" t="str">
        <f aca="false">CHOOSE(WEEKDAY(U215,2),"월","화","수","목","금","토","일")</f>
        <v>수</v>
      </c>
      <c r="W215" s="24" t="str">
        <f aca="false">IFERROR(IF(INDEX($C$2:$C$799,MATCH(D215&amp;"#"&amp;(E215+1),$AC$2:$AC$799,0))=C215,"다음 편: ","시즌1 완결 · 시즌2 첫 편: ")&amp;INDEX($L$2:$L$799,MATCH(D215&amp;"#"&amp;(E215+1),$AC$2:$AC$799,0)),"구약 트랙 완결")</f>
        <v>다음 편: 에벤에셀</v>
      </c>
      <c r="X215" s="23" t="s">
        <v>130</v>
      </c>
      <c r="Y215" s="23" t="s">
        <v>130</v>
      </c>
      <c r="Z215" s="23" t="s">
        <v>130</v>
      </c>
      <c r="AA215" s="23" t="s">
        <v>130</v>
      </c>
      <c r="AB215" s="24"/>
      <c r="AC215" s="23" t="str">
        <f aca="false">D215&amp;"#"&amp;E215</f>
        <v>구약#304</v>
      </c>
      <c r="AD215" s="23" t="n">
        <f aca="false">COUNTIFS($C$2:C215,C215,$D$2:D215,D215)</f>
        <v>122</v>
      </c>
    </row>
    <row r="216" customFormat="false" ht="26.85" hidden="false" customHeight="false" outlineLevel="0" collapsed="false">
      <c r="A216" s="21" t="n">
        <v>215</v>
      </c>
      <c r="B216" s="18" t="s">
        <v>2006</v>
      </c>
      <c r="C216" s="23" t="n">
        <v>2</v>
      </c>
      <c r="D216" s="23" t="s">
        <v>116</v>
      </c>
      <c r="E216" s="23" t="n">
        <f aca="false">IF(C216=1,COUNTIFS($C$2:C216,1,$D$2:D216,D216),COUNTIFS($C$2:$C$799,1,$D$2:$D$799,D216)+COUNTIFS($C$2:C216,2,$D$2:D216,D216))</f>
        <v>305</v>
      </c>
      <c r="F216" s="23" t="str">
        <f aca="false">D216&amp;" #"&amp;TEXT(E216,"000")</f>
        <v>구약 #305</v>
      </c>
      <c r="G216" s="18" t="s">
        <v>1988</v>
      </c>
      <c r="H216" s="18" t="s">
        <v>1933</v>
      </c>
      <c r="I216" s="21" t="s">
        <v>1962</v>
      </c>
      <c r="J216" s="22" t="s">
        <v>2007</v>
      </c>
      <c r="K216" s="23" t="s">
        <v>121</v>
      </c>
      <c r="L216" s="24" t="s">
        <v>2008</v>
      </c>
      <c r="M216" s="24" t="s">
        <v>2009</v>
      </c>
      <c r="N216" s="23" t="s">
        <v>2010</v>
      </c>
      <c r="O216" s="24" t="s">
        <v>2011</v>
      </c>
      <c r="P216" s="24" t="s">
        <v>2012</v>
      </c>
      <c r="Q216" s="24" t="s">
        <v>2013</v>
      </c>
      <c r="R216" s="24"/>
      <c r="S216" s="24" t="s">
        <v>2005</v>
      </c>
      <c r="T216" s="24" t="str">
        <f aca="false">"["&amp;안내!$C$5&amp;" "&amp;F216&amp;"] "&amp;L216&amp;" | "&amp;J216</f>
        <v>[1분 성경 구약 #305] 에벤에셀 | 삼상 7:1-17</v>
      </c>
      <c r="U216" s="26" t="n">
        <f aca="false">IF(D216="구약",IF(C216=1,안내!$C$9,안내!$C$10)+AD216-1,IF(C216=1,안내!$C$9,안내!$C$10)+7*INT((AD216-1)/4)+CHOOSE(MOD(AD216-1,4)+1,0,2,4,5))</f>
        <v>46702</v>
      </c>
      <c r="V216" s="23" t="str">
        <f aca="false">CHOOSE(WEEKDAY(U216,2),"월","화","수","목","금","토","일")</f>
        <v>목</v>
      </c>
      <c r="W216" s="24" t="str">
        <f aca="false">IFERROR(IF(INDEX($C$2:$C$799,MATCH(D216&amp;"#"&amp;(E216+1),$AC$2:$AC$799,0))=C216,"다음 편: ","시즌1 완결 · 시즌2 첫 편: ")&amp;INDEX($L$2:$L$799,MATCH(D216&amp;"#"&amp;(E216+1),$AC$2:$AC$799,0)),"구약 트랙 완결")</f>
        <v>다음 편: 사울의 첫 승리와 사무엘의 고별</v>
      </c>
      <c r="X216" s="23" t="s">
        <v>130</v>
      </c>
      <c r="Y216" s="23" t="s">
        <v>130</v>
      </c>
      <c r="Z216" s="23" t="s">
        <v>130</v>
      </c>
      <c r="AA216" s="23" t="s">
        <v>130</v>
      </c>
      <c r="AB216" s="24"/>
      <c r="AC216" s="23" t="str">
        <f aca="false">D216&amp;"#"&amp;E216</f>
        <v>구약#305</v>
      </c>
      <c r="AD216" s="23" t="n">
        <f aca="false">COUNTIFS($C$2:C216,C216,$D$2:D216,D216)</f>
        <v>123</v>
      </c>
    </row>
    <row r="217" customFormat="false" ht="39.55" hidden="false" customHeight="false" outlineLevel="0" collapsed="false">
      <c r="A217" s="21" t="n">
        <v>216</v>
      </c>
      <c r="B217" s="18" t="s">
        <v>2014</v>
      </c>
      <c r="C217" s="20" t="n">
        <v>1</v>
      </c>
      <c r="D217" s="20" t="s">
        <v>116</v>
      </c>
      <c r="E217" s="20" t="n">
        <f aca="false">IF(C217=1,COUNTIFS($C$2:C217,1,$D$2:D217,D217),COUNTIFS($C$2:$C$799,1,$D$2:$D$799,D217)+COUNTIFS($C$2:C217,2,$D$2:D217,D217))</f>
        <v>93</v>
      </c>
      <c r="F217" s="20" t="str">
        <f aca="false">D217&amp;" #"&amp;TEXT(E217,"000")</f>
        <v>구약 #093</v>
      </c>
      <c r="G217" s="18" t="s">
        <v>1988</v>
      </c>
      <c r="H217" s="18" t="s">
        <v>1914</v>
      </c>
      <c r="I217" s="21" t="s">
        <v>1962</v>
      </c>
      <c r="J217" s="22" t="s">
        <v>2015</v>
      </c>
      <c r="K217" s="23" t="s">
        <v>121</v>
      </c>
      <c r="L217" s="24" t="s">
        <v>2016</v>
      </c>
      <c r="M217" s="24" t="s">
        <v>2017</v>
      </c>
      <c r="N217" s="23" t="s">
        <v>2018</v>
      </c>
      <c r="O217" s="24" t="s">
        <v>2019</v>
      </c>
      <c r="P217" s="24" t="s">
        <v>2020</v>
      </c>
      <c r="Q217" s="24" t="s">
        <v>2021</v>
      </c>
      <c r="R217" s="24"/>
      <c r="S217" s="28" t="s">
        <v>2022</v>
      </c>
      <c r="T217" s="24" t="str">
        <f aca="false">"["&amp;안내!$C$5&amp;" "&amp;F217&amp;"] "&amp;L217&amp;" | "&amp;J217</f>
        <v>[1분 성경 구약 #093] 우리에게도 왕을 | 삼상 8:1-22</v>
      </c>
      <c r="U217" s="26" t="n">
        <f aca="false">IF(D217="구약",IF(C217=1,안내!$C$9,안내!$C$10)+AD217-1,IF(C217=1,안내!$C$9,안내!$C$10)+7*INT((AD217-1)/4)+CHOOSE(MOD(AD217-1,4)+1,0,2,4,5))</f>
        <v>46483</v>
      </c>
      <c r="V217" s="23" t="str">
        <f aca="false">CHOOSE(WEEKDAY(U217,2),"월","화","수","목","금","토","일")</f>
        <v>화</v>
      </c>
      <c r="W217" s="24" t="str">
        <f aca="false">IFERROR(IF(INDEX($C$2:$C$799,MATCH(D217&amp;"#"&amp;(E217+1),$AC$2:$AC$799,0))=C217,"다음 편: ","시즌1 완결 · 시즌2 첫 편: ")&amp;INDEX($L$2:$L$799,MATCH(D217&amp;"#"&amp;(E217+1),$AC$2:$AC$799,0)),"구약 트랙 완결")</f>
        <v>다음 편: 나귀 찾다가 왕이 되다</v>
      </c>
      <c r="X217" s="23" t="s">
        <v>130</v>
      </c>
      <c r="Y217" s="23" t="s">
        <v>130</v>
      </c>
      <c r="Z217" s="23" t="s">
        <v>130</v>
      </c>
      <c r="AA217" s="23" t="s">
        <v>130</v>
      </c>
      <c r="AB217" s="24"/>
      <c r="AC217" s="23" t="str">
        <f aca="false">D217&amp;"#"&amp;E217</f>
        <v>구약#93</v>
      </c>
      <c r="AD217" s="23" t="n">
        <f aca="false">COUNTIFS($C$2:C217,C217,$D$2:D217,D217)</f>
        <v>93</v>
      </c>
    </row>
    <row r="218" customFormat="false" ht="26.85" hidden="false" customHeight="false" outlineLevel="0" collapsed="false">
      <c r="A218" s="21" t="n">
        <v>217</v>
      </c>
      <c r="B218" s="18" t="s">
        <v>2023</v>
      </c>
      <c r="C218" s="20" t="n">
        <v>1</v>
      </c>
      <c r="D218" s="20" t="s">
        <v>116</v>
      </c>
      <c r="E218" s="20" t="n">
        <f aca="false">IF(C218=1,COUNTIFS($C$2:C218,1,$D$2:D218,D218),COUNTIFS($C$2:$C$799,1,$D$2:$D$799,D218)+COUNTIFS($C$2:C218,2,$D$2:D218,D218))</f>
        <v>94</v>
      </c>
      <c r="F218" s="20" t="str">
        <f aca="false">D218&amp;" #"&amp;TEXT(E218,"000")</f>
        <v>구약 #094</v>
      </c>
      <c r="G218" s="18" t="s">
        <v>1988</v>
      </c>
      <c r="H218" s="18" t="s">
        <v>1914</v>
      </c>
      <c r="I218" s="21" t="s">
        <v>1962</v>
      </c>
      <c r="J218" s="22" t="s">
        <v>2024</v>
      </c>
      <c r="K218" s="23" t="s">
        <v>121</v>
      </c>
      <c r="L218" s="24" t="s">
        <v>2025</v>
      </c>
      <c r="M218" s="24" t="s">
        <v>2026</v>
      </c>
      <c r="N218" s="23" t="s">
        <v>2027</v>
      </c>
      <c r="O218" s="24" t="s">
        <v>2028</v>
      </c>
      <c r="P218" s="24" t="s">
        <v>2029</v>
      </c>
      <c r="Q218" s="24" t="s">
        <v>2030</v>
      </c>
      <c r="R218" s="24"/>
      <c r="S218" s="24" t="s">
        <v>129</v>
      </c>
      <c r="T218" s="24" t="str">
        <f aca="false">"["&amp;안내!$C$5&amp;" "&amp;F218&amp;"] "&amp;L218&amp;" | "&amp;J218</f>
        <v>[1분 성경 구약 #094] 나귀 찾다가 왕이 되다 | 삼상 9:1-10:27</v>
      </c>
      <c r="U218" s="26" t="n">
        <f aca="false">IF(D218="구약",IF(C218=1,안내!$C$9,안내!$C$10)+AD218-1,IF(C218=1,안내!$C$9,안내!$C$10)+7*INT((AD218-1)/4)+CHOOSE(MOD(AD218-1,4)+1,0,2,4,5))</f>
        <v>46484</v>
      </c>
      <c r="V218" s="23" t="str">
        <f aca="false">CHOOSE(WEEKDAY(U218,2),"월","화","수","목","금","토","일")</f>
        <v>수</v>
      </c>
      <c r="W218" s="24" t="str">
        <f aca="false">IFERROR(IF(INDEX($C$2:$C$799,MATCH(D218&amp;"#"&amp;(E218+1),$AC$2:$AC$799,0))=C218,"다음 편: ","시즌1 완결 · 시즌2 첫 편: ")&amp;INDEX($L$2:$L$799,MATCH(D218&amp;"#"&amp;(E218+1),$AC$2:$AC$799,0)),"구약 트랙 완결")</f>
        <v>다음 편: 순종이 제사보다 낫다</v>
      </c>
      <c r="X218" s="23" t="s">
        <v>130</v>
      </c>
      <c r="Y218" s="23" t="s">
        <v>130</v>
      </c>
      <c r="Z218" s="23" t="s">
        <v>130</v>
      </c>
      <c r="AA218" s="23" t="s">
        <v>130</v>
      </c>
      <c r="AB218" s="24"/>
      <c r="AC218" s="23" t="str">
        <f aca="false">D218&amp;"#"&amp;E218</f>
        <v>구약#94</v>
      </c>
      <c r="AD218" s="23" t="n">
        <f aca="false">COUNTIFS($C$2:C218,C218,$D$2:D218,D218)</f>
        <v>94</v>
      </c>
    </row>
    <row r="219" customFormat="false" ht="26.85" hidden="false" customHeight="false" outlineLevel="0" collapsed="false">
      <c r="A219" s="21" t="n">
        <v>218</v>
      </c>
      <c r="B219" s="18" t="s">
        <v>2031</v>
      </c>
      <c r="C219" s="23" t="n">
        <v>2</v>
      </c>
      <c r="D219" s="23" t="s">
        <v>116</v>
      </c>
      <c r="E219" s="23" t="n">
        <f aca="false">IF(C219=1,COUNTIFS($C$2:C219,1,$D$2:D219,D219),COUNTIFS($C$2:$C$799,1,$D$2:$D$799,D219)+COUNTIFS($C$2:C219,2,$D$2:D219,D219))</f>
        <v>306</v>
      </c>
      <c r="F219" s="23" t="str">
        <f aca="false">D219&amp;" #"&amp;TEXT(E219,"000")</f>
        <v>구약 #306</v>
      </c>
      <c r="G219" s="18" t="s">
        <v>1988</v>
      </c>
      <c r="H219" s="18" t="s">
        <v>1933</v>
      </c>
      <c r="I219" s="21" t="s">
        <v>1962</v>
      </c>
      <c r="J219" s="22" t="s">
        <v>2032</v>
      </c>
      <c r="K219" s="23" t="s">
        <v>121</v>
      </c>
      <c r="L219" s="24" t="s">
        <v>2033</v>
      </c>
      <c r="M219" s="24" t="s">
        <v>2034</v>
      </c>
      <c r="N219" s="23" t="s">
        <v>2035</v>
      </c>
      <c r="O219" s="24" t="s">
        <v>2036</v>
      </c>
      <c r="P219" s="24" t="s">
        <v>2037</v>
      </c>
      <c r="Q219" s="24" t="s">
        <v>2038</v>
      </c>
      <c r="R219" s="24"/>
      <c r="S219" s="24" t="s">
        <v>2039</v>
      </c>
      <c r="T219" s="24" t="str">
        <f aca="false">"["&amp;안내!$C$5&amp;" "&amp;F219&amp;"] "&amp;L219&amp;" | "&amp;J219</f>
        <v>[1분 성경 구약 #306] 사울의 첫 승리와 사무엘의 고별 | 삼상 11:1-12:25</v>
      </c>
      <c r="U219" s="26" t="n">
        <f aca="false">IF(D219="구약",IF(C219=1,안내!$C$9,안내!$C$10)+AD219-1,IF(C219=1,안내!$C$9,안내!$C$10)+7*INT((AD219-1)/4)+CHOOSE(MOD(AD219-1,4)+1,0,2,4,5))</f>
        <v>46703</v>
      </c>
      <c r="V219" s="23" t="str">
        <f aca="false">CHOOSE(WEEKDAY(U219,2),"월","화","수","목","금","토","일")</f>
        <v>금</v>
      </c>
      <c r="W219" s="24" t="str">
        <f aca="false">IFERROR(IF(INDEX($C$2:$C$799,MATCH(D219&amp;"#"&amp;(E219+1),$AC$2:$AC$799,0))=C219,"다음 편: ","시즌1 완결 · 시즌2 첫 편: ")&amp;INDEX($L$2:$L$799,MATCH(D219&amp;"#"&amp;(E219+1),$AC$2:$AC$799,0)),"구약 트랙 완결")</f>
        <v>다음 편: 기다리지 못한 왕</v>
      </c>
      <c r="X219" s="23" t="s">
        <v>130</v>
      </c>
      <c r="Y219" s="23" t="s">
        <v>130</v>
      </c>
      <c r="Z219" s="23" t="s">
        <v>130</v>
      </c>
      <c r="AA219" s="23" t="s">
        <v>130</v>
      </c>
      <c r="AB219" s="24"/>
      <c r="AC219" s="23" t="str">
        <f aca="false">D219&amp;"#"&amp;E219</f>
        <v>구약#306</v>
      </c>
      <c r="AD219" s="23" t="n">
        <f aca="false">COUNTIFS($C$2:C219,C219,$D$2:D219,D219)</f>
        <v>124</v>
      </c>
    </row>
    <row r="220" customFormat="false" ht="26.85" hidden="false" customHeight="false" outlineLevel="0" collapsed="false">
      <c r="A220" s="21" t="n">
        <v>219</v>
      </c>
      <c r="B220" s="18" t="s">
        <v>2040</v>
      </c>
      <c r="C220" s="23" t="n">
        <v>2</v>
      </c>
      <c r="D220" s="23" t="s">
        <v>116</v>
      </c>
      <c r="E220" s="23" t="n">
        <f aca="false">IF(C220=1,COUNTIFS($C$2:C220,1,$D$2:D220,D220),COUNTIFS($C$2:$C$799,1,$D$2:$D$799,D220)+COUNTIFS($C$2:C220,2,$D$2:D220,D220))</f>
        <v>307</v>
      </c>
      <c r="F220" s="23" t="str">
        <f aca="false">D220&amp;" #"&amp;TEXT(E220,"000")</f>
        <v>구약 #307</v>
      </c>
      <c r="G220" s="18" t="s">
        <v>1988</v>
      </c>
      <c r="H220" s="18" t="s">
        <v>1933</v>
      </c>
      <c r="I220" s="21" t="s">
        <v>1962</v>
      </c>
      <c r="J220" s="22" t="s">
        <v>2041</v>
      </c>
      <c r="K220" s="23" t="s">
        <v>121</v>
      </c>
      <c r="L220" s="24" t="s">
        <v>2042</v>
      </c>
      <c r="M220" s="29" t="s">
        <v>2043</v>
      </c>
      <c r="N220" s="23" t="s">
        <v>2044</v>
      </c>
      <c r="O220" s="24" t="s">
        <v>2045</v>
      </c>
      <c r="P220" s="24" t="s">
        <v>2029</v>
      </c>
      <c r="Q220" s="24" t="s">
        <v>2046</v>
      </c>
      <c r="R220" s="24"/>
      <c r="S220" s="24" t="s">
        <v>2039</v>
      </c>
      <c r="T220" s="24" t="str">
        <f aca="false">"["&amp;안내!$C$5&amp;" "&amp;F220&amp;"] "&amp;L220&amp;" | "&amp;J220</f>
        <v>[1분 성경 구약 #307] 기다리지 못한 왕 | 삼상 13:1-23</v>
      </c>
      <c r="U220" s="26" t="n">
        <f aca="false">IF(D220="구약",IF(C220=1,안내!$C$9,안내!$C$10)+AD220-1,IF(C220=1,안내!$C$9,안내!$C$10)+7*INT((AD220-1)/4)+CHOOSE(MOD(AD220-1,4)+1,0,2,4,5))</f>
        <v>46704</v>
      </c>
      <c r="V220" s="23" t="str">
        <f aca="false">CHOOSE(WEEKDAY(U220,2),"월","화","수","목","금","토","일")</f>
        <v>토</v>
      </c>
      <c r="W220" s="24" t="str">
        <f aca="false">IFERROR(IF(INDEX($C$2:$C$799,MATCH(D220&amp;"#"&amp;(E220+1),$AC$2:$AC$799,0))=C220,"다음 편: ","시즌1 완결 · 시즌2 첫 편: ")&amp;INDEX($L$2:$L$799,MATCH(D220&amp;"#"&amp;(E220+1),$AC$2:$AC$799,0)),"구약 트랙 완결")</f>
        <v>다음 편: 요나단과 무기 든 소년</v>
      </c>
      <c r="X220" s="23" t="s">
        <v>130</v>
      </c>
      <c r="Y220" s="23" t="s">
        <v>130</v>
      </c>
      <c r="Z220" s="23" t="s">
        <v>130</v>
      </c>
      <c r="AA220" s="23" t="s">
        <v>130</v>
      </c>
      <c r="AB220" s="24"/>
      <c r="AC220" s="23" t="str">
        <f aca="false">D220&amp;"#"&amp;E220</f>
        <v>구약#307</v>
      </c>
      <c r="AD220" s="23" t="n">
        <f aca="false">COUNTIFS($C$2:C220,C220,$D$2:D220,D220)</f>
        <v>125</v>
      </c>
    </row>
    <row r="221" customFormat="false" ht="26.85" hidden="false" customHeight="false" outlineLevel="0" collapsed="false">
      <c r="A221" s="21" t="n">
        <v>220</v>
      </c>
      <c r="B221" s="18" t="s">
        <v>2047</v>
      </c>
      <c r="C221" s="23" t="n">
        <v>2</v>
      </c>
      <c r="D221" s="23" t="s">
        <v>116</v>
      </c>
      <c r="E221" s="23" t="n">
        <f aca="false">IF(C221=1,COUNTIFS($C$2:C221,1,$D$2:D221,D221),COUNTIFS($C$2:$C$799,1,$D$2:$D$799,D221)+COUNTIFS($C$2:C221,2,$D$2:D221,D221))</f>
        <v>308</v>
      </c>
      <c r="F221" s="23" t="str">
        <f aca="false">D221&amp;" #"&amp;TEXT(E221,"000")</f>
        <v>구약 #308</v>
      </c>
      <c r="G221" s="18" t="s">
        <v>1988</v>
      </c>
      <c r="H221" s="18" t="s">
        <v>1933</v>
      </c>
      <c r="I221" s="21" t="s">
        <v>1962</v>
      </c>
      <c r="J221" s="22" t="s">
        <v>2048</v>
      </c>
      <c r="K221" s="23" t="s">
        <v>121</v>
      </c>
      <c r="L221" s="24" t="s">
        <v>2049</v>
      </c>
      <c r="M221" s="24" t="s">
        <v>2050</v>
      </c>
      <c r="N221" s="23" t="s">
        <v>2051</v>
      </c>
      <c r="O221" s="24" t="s">
        <v>2052</v>
      </c>
      <c r="P221" s="24" t="s">
        <v>2053</v>
      </c>
      <c r="Q221" s="24" t="s">
        <v>2054</v>
      </c>
      <c r="R221" s="24"/>
      <c r="S221" s="24" t="s">
        <v>2039</v>
      </c>
      <c r="T221" s="24" t="str">
        <f aca="false">"["&amp;안내!$C$5&amp;" "&amp;F221&amp;"] "&amp;L221&amp;" | "&amp;J221</f>
        <v>[1분 성경 구약 #308] 요나단과 무기 든 소년 | 삼상 14:1-52</v>
      </c>
      <c r="U221" s="26" t="n">
        <f aca="false">IF(D221="구약",IF(C221=1,안내!$C$9,안내!$C$10)+AD221-1,IF(C221=1,안내!$C$9,안내!$C$10)+7*INT((AD221-1)/4)+CHOOSE(MOD(AD221-1,4)+1,0,2,4,5))</f>
        <v>46705</v>
      </c>
      <c r="V221" s="23" t="str">
        <f aca="false">CHOOSE(WEEKDAY(U221,2),"월","화","수","목","금","토","일")</f>
        <v>일</v>
      </c>
      <c r="W221" s="24" t="str">
        <f aca="false">IFERROR(IF(INDEX($C$2:$C$799,MATCH(D221&amp;"#"&amp;(E221+1),$AC$2:$AC$799,0))=C221,"다음 편: ","시즌1 완결 · 시즌2 첫 편: ")&amp;INDEX($L$2:$L$799,MATCH(D221&amp;"#"&amp;(E221+1),$AC$2:$AC$799,0)),"구약 트랙 완결")</f>
        <v>다음 편: 수금 타는 소년</v>
      </c>
      <c r="X221" s="23" t="s">
        <v>130</v>
      </c>
      <c r="Y221" s="23" t="s">
        <v>130</v>
      </c>
      <c r="Z221" s="23" t="s">
        <v>130</v>
      </c>
      <c r="AA221" s="23" t="s">
        <v>130</v>
      </c>
      <c r="AB221" s="24"/>
      <c r="AC221" s="23" t="str">
        <f aca="false">D221&amp;"#"&amp;E221</f>
        <v>구약#308</v>
      </c>
      <c r="AD221" s="23" t="n">
        <f aca="false">COUNTIFS($C$2:C221,C221,$D$2:D221,D221)</f>
        <v>126</v>
      </c>
    </row>
    <row r="222" customFormat="false" ht="52.2" hidden="false" customHeight="false" outlineLevel="0" collapsed="false">
      <c r="A222" s="21" t="n">
        <v>221</v>
      </c>
      <c r="B222" s="18" t="s">
        <v>2055</v>
      </c>
      <c r="C222" s="20" t="n">
        <v>1</v>
      </c>
      <c r="D222" s="20" t="s">
        <v>116</v>
      </c>
      <c r="E222" s="20" t="n">
        <f aca="false">IF(C222=1,COUNTIFS($C$2:C222,1,$D$2:D222,D222),COUNTIFS($C$2:$C$799,1,$D$2:$D$799,D222)+COUNTIFS($C$2:C222,2,$D$2:D222,D222))</f>
        <v>95</v>
      </c>
      <c r="F222" s="20" t="str">
        <f aca="false">D222&amp;" #"&amp;TEXT(E222,"000")</f>
        <v>구약 #095</v>
      </c>
      <c r="G222" s="18" t="s">
        <v>1988</v>
      </c>
      <c r="H222" s="18" t="s">
        <v>1914</v>
      </c>
      <c r="I222" s="21" t="s">
        <v>1962</v>
      </c>
      <c r="J222" s="22" t="s">
        <v>2056</v>
      </c>
      <c r="K222" s="23" t="s">
        <v>121</v>
      </c>
      <c r="L222" s="24" t="s">
        <v>2057</v>
      </c>
      <c r="M222" s="24" t="s">
        <v>2058</v>
      </c>
      <c r="N222" s="23" t="s">
        <v>2059</v>
      </c>
      <c r="O222" s="24" t="s">
        <v>2060</v>
      </c>
      <c r="P222" s="24" t="s">
        <v>2061</v>
      </c>
      <c r="Q222" s="24" t="s">
        <v>2046</v>
      </c>
      <c r="R222" s="25" t="s">
        <v>704</v>
      </c>
      <c r="S222" s="28" t="s">
        <v>2062</v>
      </c>
      <c r="T222" s="24" t="str">
        <f aca="false">"["&amp;안내!$C$5&amp;" "&amp;F222&amp;"] "&amp;L222&amp;" | "&amp;J222</f>
        <v>[1분 성경 구약 #095] 순종이 제사보다 낫다 | 삼상 15:1-35</v>
      </c>
      <c r="U222" s="26" t="n">
        <f aca="false">IF(D222="구약",IF(C222=1,안내!$C$9,안내!$C$10)+AD222-1,IF(C222=1,안내!$C$9,안내!$C$10)+7*INT((AD222-1)/4)+CHOOSE(MOD(AD222-1,4)+1,0,2,4,5))</f>
        <v>46485</v>
      </c>
      <c r="V222" s="23" t="str">
        <f aca="false">CHOOSE(WEEKDAY(U222,2),"월","화","수","목","금","토","일")</f>
        <v>목</v>
      </c>
      <c r="W222" s="24" t="str">
        <f aca="false">IFERROR(IF(INDEX($C$2:$C$799,MATCH(D222&amp;"#"&amp;(E222+1),$AC$2:$AC$799,0))=C222,"다음 편: ","시즌1 완결 · 시즌2 첫 편: ")&amp;INDEX($L$2:$L$799,MATCH(D222&amp;"#"&amp;(E222+1),$AC$2:$AC$799,0)),"구약 트랙 완결")</f>
        <v>다음 편: 중심을 보시는 하나님</v>
      </c>
      <c r="X222" s="23" t="s">
        <v>130</v>
      </c>
      <c r="Y222" s="23" t="s">
        <v>130</v>
      </c>
      <c r="Z222" s="23" t="s">
        <v>130</v>
      </c>
      <c r="AA222" s="23" t="s">
        <v>130</v>
      </c>
      <c r="AB222" s="24"/>
      <c r="AC222" s="23" t="str">
        <f aca="false">D222&amp;"#"&amp;E222</f>
        <v>구약#95</v>
      </c>
      <c r="AD222" s="23" t="n">
        <f aca="false">COUNTIFS($C$2:C222,C222,$D$2:D222,D222)</f>
        <v>95</v>
      </c>
    </row>
    <row r="223" customFormat="false" ht="26.85" hidden="false" customHeight="false" outlineLevel="0" collapsed="false">
      <c r="A223" s="21" t="n">
        <v>222</v>
      </c>
      <c r="B223" s="18" t="s">
        <v>2063</v>
      </c>
      <c r="C223" s="20" t="n">
        <v>1</v>
      </c>
      <c r="D223" s="20" t="s">
        <v>116</v>
      </c>
      <c r="E223" s="20" t="n">
        <f aca="false">IF(C223=1,COUNTIFS($C$2:C223,1,$D$2:D223,D223),COUNTIFS($C$2:$C$799,1,$D$2:$D$799,D223)+COUNTIFS($C$2:C223,2,$D$2:D223,D223))</f>
        <v>96</v>
      </c>
      <c r="F223" s="20" t="str">
        <f aca="false">D223&amp;" #"&amp;TEXT(E223,"000")</f>
        <v>구약 #096</v>
      </c>
      <c r="G223" s="18" t="s">
        <v>2064</v>
      </c>
      <c r="H223" s="18" t="s">
        <v>2065</v>
      </c>
      <c r="I223" s="21" t="s">
        <v>1962</v>
      </c>
      <c r="J223" s="22" t="s">
        <v>2066</v>
      </c>
      <c r="K223" s="23" t="s">
        <v>121</v>
      </c>
      <c r="L223" s="24" t="s">
        <v>2067</v>
      </c>
      <c r="M223" s="24" t="s">
        <v>2068</v>
      </c>
      <c r="N223" s="23" t="s">
        <v>2069</v>
      </c>
      <c r="O223" s="24" t="s">
        <v>2070</v>
      </c>
      <c r="P223" s="24" t="s">
        <v>2071</v>
      </c>
      <c r="Q223" s="24" t="s">
        <v>1959</v>
      </c>
      <c r="R223" s="24"/>
      <c r="S223" s="24" t="s">
        <v>129</v>
      </c>
      <c r="T223" s="24" t="str">
        <f aca="false">"["&amp;안내!$C$5&amp;" "&amp;F223&amp;"] "&amp;L223&amp;" | "&amp;J223</f>
        <v>[1분 성경 구약 #096] 중심을 보시는 하나님 | 삼상 16:1-13</v>
      </c>
      <c r="U223" s="26" t="n">
        <f aca="false">IF(D223="구약",IF(C223=1,안내!$C$9,안내!$C$10)+AD223-1,IF(C223=1,안내!$C$9,안내!$C$10)+7*INT((AD223-1)/4)+CHOOSE(MOD(AD223-1,4)+1,0,2,4,5))</f>
        <v>46486</v>
      </c>
      <c r="V223" s="23" t="str">
        <f aca="false">CHOOSE(WEEKDAY(U223,2),"월","화","수","목","금","토","일")</f>
        <v>금</v>
      </c>
      <c r="W223" s="24" t="str">
        <f aca="false">IFERROR(IF(INDEX($C$2:$C$799,MATCH(D223&amp;"#"&amp;(E223+1),$AC$2:$AC$799,0))=C223,"다음 편: ","시즌1 완결 · 시즌2 첫 편: ")&amp;INDEX($L$2:$L$799,MATCH(D223&amp;"#"&amp;(E223+1),$AC$2:$AC$799,0)),"구약 트랙 완결")</f>
        <v>다음 편: 거인 골리앗</v>
      </c>
      <c r="X223" s="23" t="s">
        <v>130</v>
      </c>
      <c r="Y223" s="23" t="s">
        <v>130</v>
      </c>
      <c r="Z223" s="23" t="s">
        <v>130</v>
      </c>
      <c r="AA223" s="23" t="s">
        <v>130</v>
      </c>
      <c r="AB223" s="24"/>
      <c r="AC223" s="23" t="str">
        <f aca="false">D223&amp;"#"&amp;E223</f>
        <v>구약#96</v>
      </c>
      <c r="AD223" s="23" t="n">
        <f aca="false">COUNTIFS($C$2:C223,C223,$D$2:D223,D223)</f>
        <v>96</v>
      </c>
    </row>
    <row r="224" customFormat="false" ht="26.85" hidden="false" customHeight="false" outlineLevel="0" collapsed="false">
      <c r="A224" s="21" t="n">
        <v>223</v>
      </c>
      <c r="B224" s="18" t="s">
        <v>2072</v>
      </c>
      <c r="C224" s="23" t="n">
        <v>2</v>
      </c>
      <c r="D224" s="23" t="s">
        <v>116</v>
      </c>
      <c r="E224" s="23" t="n">
        <f aca="false">IF(C224=1,COUNTIFS($C$2:C224,1,$D$2:D224,D224),COUNTIFS($C$2:$C$799,1,$D$2:$D$799,D224)+COUNTIFS($C$2:C224,2,$D$2:D224,D224))</f>
        <v>309</v>
      </c>
      <c r="F224" s="23" t="str">
        <f aca="false">D224&amp;" #"&amp;TEXT(E224,"000")</f>
        <v>구약 #309</v>
      </c>
      <c r="G224" s="18" t="s">
        <v>2064</v>
      </c>
      <c r="H224" s="18" t="s">
        <v>2073</v>
      </c>
      <c r="I224" s="21" t="s">
        <v>1962</v>
      </c>
      <c r="J224" s="22" t="s">
        <v>2074</v>
      </c>
      <c r="K224" s="23" t="s">
        <v>121</v>
      </c>
      <c r="L224" s="24" t="s">
        <v>2075</v>
      </c>
      <c r="M224" s="24" t="s">
        <v>2076</v>
      </c>
      <c r="N224" s="23" t="s">
        <v>2077</v>
      </c>
      <c r="O224" s="24" t="s">
        <v>2078</v>
      </c>
      <c r="P224" s="24" t="s">
        <v>2079</v>
      </c>
      <c r="Q224" s="24" t="s">
        <v>2080</v>
      </c>
      <c r="R224" s="27" t="s">
        <v>2081</v>
      </c>
      <c r="S224" s="24" t="s">
        <v>2082</v>
      </c>
      <c r="T224" s="24" t="str">
        <f aca="false">"["&amp;안내!$C$5&amp;" "&amp;F224&amp;"] "&amp;L224&amp;" | "&amp;J224</f>
        <v>[1분 성경 구약 #309] 수금 타는 소년 | 삼상 16:14-23</v>
      </c>
      <c r="U224" s="26" t="n">
        <f aca="false">IF(D224="구약",IF(C224=1,안내!$C$9,안내!$C$10)+AD224-1,IF(C224=1,안내!$C$9,안내!$C$10)+7*INT((AD224-1)/4)+CHOOSE(MOD(AD224-1,4)+1,0,2,4,5))</f>
        <v>46706</v>
      </c>
      <c r="V224" s="23" t="str">
        <f aca="false">CHOOSE(WEEKDAY(U224,2),"월","화","수","목","금","토","일")</f>
        <v>월</v>
      </c>
      <c r="W224" s="24" t="str">
        <f aca="false">IFERROR(IF(INDEX($C$2:$C$799,MATCH(D224&amp;"#"&amp;(E224+1),$AC$2:$AC$799,0))=C224,"다음 편: ","시즌1 완결 · 시즌2 첫 편: ")&amp;INDEX($L$2:$L$799,MATCH(D224&amp;"#"&amp;(E224+1),$AC$2:$AC$799,0)),"구약 트랙 완결")</f>
        <v>다음 편: 창으로 도망치다</v>
      </c>
      <c r="X224" s="23" t="s">
        <v>130</v>
      </c>
      <c r="Y224" s="23" t="s">
        <v>130</v>
      </c>
      <c r="Z224" s="23" t="s">
        <v>130</v>
      </c>
      <c r="AA224" s="23" t="s">
        <v>130</v>
      </c>
      <c r="AB224" s="24"/>
      <c r="AC224" s="23" t="str">
        <f aca="false">D224&amp;"#"&amp;E224</f>
        <v>구약#309</v>
      </c>
      <c r="AD224" s="23" t="n">
        <f aca="false">COUNTIFS($C$2:C224,C224,$D$2:D224,D224)</f>
        <v>127</v>
      </c>
    </row>
    <row r="225" customFormat="false" ht="26.85" hidden="false" customHeight="false" outlineLevel="0" collapsed="false">
      <c r="A225" s="21" t="n">
        <v>224</v>
      </c>
      <c r="B225" s="18" t="s">
        <v>2083</v>
      </c>
      <c r="C225" s="20" t="n">
        <v>1</v>
      </c>
      <c r="D225" s="20" t="s">
        <v>116</v>
      </c>
      <c r="E225" s="20" t="n">
        <f aca="false">IF(C225=1,COUNTIFS($C$2:C225,1,$D$2:D225,D225),COUNTIFS($C$2:$C$799,1,$D$2:$D$799,D225)+COUNTIFS($C$2:C225,2,$D$2:D225,D225))</f>
        <v>97</v>
      </c>
      <c r="F225" s="20" t="str">
        <f aca="false">D225&amp;" #"&amp;TEXT(E225,"000")</f>
        <v>구약 #097</v>
      </c>
      <c r="G225" s="18" t="s">
        <v>2064</v>
      </c>
      <c r="H225" s="18" t="s">
        <v>2065</v>
      </c>
      <c r="I225" s="21" t="s">
        <v>1962</v>
      </c>
      <c r="J225" s="22" t="s">
        <v>2084</v>
      </c>
      <c r="K225" s="23" t="s">
        <v>121</v>
      </c>
      <c r="L225" s="24" t="s">
        <v>2085</v>
      </c>
      <c r="M225" s="29" t="s">
        <v>2086</v>
      </c>
      <c r="N225" s="23" t="s">
        <v>2087</v>
      </c>
      <c r="O225" s="24" t="s">
        <v>2088</v>
      </c>
      <c r="P225" s="24" t="s">
        <v>2089</v>
      </c>
      <c r="Q225" s="24" t="s">
        <v>2090</v>
      </c>
      <c r="R225" s="24"/>
      <c r="S225" s="28" t="s">
        <v>2091</v>
      </c>
      <c r="T225" s="24" t="str">
        <f aca="false">"["&amp;안내!$C$5&amp;" "&amp;F225&amp;"] "&amp;L225&amp;" | "&amp;J225</f>
        <v>[1분 성경 구약 #097] 거인 골리앗 | 삼상 17:1-30</v>
      </c>
      <c r="U225" s="26" t="n">
        <f aca="false">IF(D225="구약",IF(C225=1,안내!$C$9,안내!$C$10)+AD225-1,IF(C225=1,안내!$C$9,안내!$C$10)+7*INT((AD225-1)/4)+CHOOSE(MOD(AD225-1,4)+1,0,2,4,5))</f>
        <v>46487</v>
      </c>
      <c r="V225" s="23" t="str">
        <f aca="false">CHOOSE(WEEKDAY(U225,2),"월","화","수","목","금","토","일")</f>
        <v>토</v>
      </c>
      <c r="W225" s="24" t="str">
        <f aca="false">IFERROR(IF(INDEX($C$2:$C$799,MATCH(D225&amp;"#"&amp;(E225+1),$AC$2:$AC$799,0))=C225,"다음 편: ","시즌1 완결 · 시즌2 첫 편: ")&amp;INDEX($L$2:$L$799,MATCH(D225&amp;"#"&amp;(E225+1),$AC$2:$AC$799,0)),"구약 트랙 완결")</f>
        <v>다음 편: 물맷돌 다섯 개</v>
      </c>
      <c r="X225" s="23" t="s">
        <v>130</v>
      </c>
      <c r="Y225" s="23" t="s">
        <v>130</v>
      </c>
      <c r="Z225" s="23" t="s">
        <v>130</v>
      </c>
      <c r="AA225" s="23" t="s">
        <v>130</v>
      </c>
      <c r="AB225" s="24"/>
      <c r="AC225" s="23" t="str">
        <f aca="false">D225&amp;"#"&amp;E225</f>
        <v>구약#97</v>
      </c>
      <c r="AD225" s="23" t="n">
        <f aca="false">COUNTIFS($C$2:C225,C225,$D$2:D225,D225)</f>
        <v>97</v>
      </c>
    </row>
    <row r="226" customFormat="false" ht="26.85" hidden="false" customHeight="false" outlineLevel="0" collapsed="false">
      <c r="A226" s="21" t="n">
        <v>225</v>
      </c>
      <c r="B226" s="18" t="s">
        <v>2092</v>
      </c>
      <c r="C226" s="20" t="n">
        <v>1</v>
      </c>
      <c r="D226" s="20" t="s">
        <v>116</v>
      </c>
      <c r="E226" s="20" t="n">
        <f aca="false">IF(C226=1,COUNTIFS($C$2:C226,1,$D$2:D226,D226),COUNTIFS($C$2:$C$799,1,$D$2:$D$799,D226)+COUNTIFS($C$2:C226,2,$D$2:D226,D226))</f>
        <v>98</v>
      </c>
      <c r="F226" s="20" t="str">
        <f aca="false">D226&amp;" #"&amp;TEXT(E226,"000")</f>
        <v>구약 #098</v>
      </c>
      <c r="G226" s="18" t="s">
        <v>2064</v>
      </c>
      <c r="H226" s="18" t="s">
        <v>2065</v>
      </c>
      <c r="I226" s="21" t="s">
        <v>1962</v>
      </c>
      <c r="J226" s="22" t="s">
        <v>2093</v>
      </c>
      <c r="K226" s="23" t="s">
        <v>121</v>
      </c>
      <c r="L226" s="24" t="s">
        <v>2094</v>
      </c>
      <c r="M226" s="24" t="s">
        <v>2095</v>
      </c>
      <c r="N226" s="23" t="s">
        <v>2096</v>
      </c>
      <c r="O226" s="24" t="s">
        <v>2097</v>
      </c>
      <c r="P226" s="24" t="s">
        <v>2098</v>
      </c>
      <c r="Q226" s="24" t="s">
        <v>2090</v>
      </c>
      <c r="R226" s="25" t="s">
        <v>2099</v>
      </c>
      <c r="S226" s="24" t="s">
        <v>129</v>
      </c>
      <c r="T226" s="24" t="str">
        <f aca="false">"["&amp;안내!$C$5&amp;" "&amp;F226&amp;"] "&amp;L226&amp;" | "&amp;J226</f>
        <v>[1분 성경 구약 #098] 물맷돌 다섯 개 | 삼상 17:31-58</v>
      </c>
      <c r="U226" s="26" t="n">
        <f aca="false">IF(D226="구약",IF(C226=1,안내!$C$9,안내!$C$10)+AD226-1,IF(C226=1,안내!$C$9,안내!$C$10)+7*INT((AD226-1)/4)+CHOOSE(MOD(AD226-1,4)+1,0,2,4,5))</f>
        <v>46488</v>
      </c>
      <c r="V226" s="23" t="str">
        <f aca="false">CHOOSE(WEEKDAY(U226,2),"월","화","수","목","금","토","일")</f>
        <v>일</v>
      </c>
      <c r="W226" s="24" t="str">
        <f aca="false">IFERROR(IF(INDEX($C$2:$C$799,MATCH(D226&amp;"#"&amp;(E226+1),$AC$2:$AC$799,0))=C226,"다음 편: ","시즌1 완결 · 시즌2 첫 편: ")&amp;INDEX($L$2:$L$799,MATCH(D226&amp;"#"&amp;(E226+1),$AC$2:$AC$799,0)),"구약 트랙 완결")</f>
        <v>다음 편: 요나단의 우정과 사울의 질투</v>
      </c>
      <c r="X226" s="23" t="s">
        <v>130</v>
      </c>
      <c r="Y226" s="23" t="s">
        <v>130</v>
      </c>
      <c r="Z226" s="23" t="s">
        <v>130</v>
      </c>
      <c r="AA226" s="23" t="s">
        <v>130</v>
      </c>
      <c r="AB226" s="24"/>
      <c r="AC226" s="23" t="str">
        <f aca="false">D226&amp;"#"&amp;E226</f>
        <v>구약#98</v>
      </c>
      <c r="AD226" s="23" t="n">
        <f aca="false">COUNTIFS($C$2:C226,C226,$D$2:D226,D226)</f>
        <v>98</v>
      </c>
    </row>
    <row r="227" customFormat="false" ht="26.85" hidden="false" customHeight="false" outlineLevel="0" collapsed="false">
      <c r="A227" s="21" t="n">
        <v>226</v>
      </c>
      <c r="B227" s="18" t="s">
        <v>2100</v>
      </c>
      <c r="C227" s="20" t="n">
        <v>1</v>
      </c>
      <c r="D227" s="20" t="s">
        <v>116</v>
      </c>
      <c r="E227" s="20" t="n">
        <f aca="false">IF(C227=1,COUNTIFS($C$2:C227,1,$D$2:D227,D227),COUNTIFS($C$2:$C$799,1,$D$2:$D$799,D227)+COUNTIFS($C$2:C227,2,$D$2:D227,D227))</f>
        <v>99</v>
      </c>
      <c r="F227" s="20" t="str">
        <f aca="false">D227&amp;" #"&amp;TEXT(E227,"000")</f>
        <v>구약 #099</v>
      </c>
      <c r="G227" s="18" t="s">
        <v>2064</v>
      </c>
      <c r="H227" s="18" t="s">
        <v>2065</v>
      </c>
      <c r="I227" s="21" t="s">
        <v>1962</v>
      </c>
      <c r="J227" s="22" t="s">
        <v>2101</v>
      </c>
      <c r="K227" s="23" t="s">
        <v>121</v>
      </c>
      <c r="L227" s="24" t="s">
        <v>2102</v>
      </c>
      <c r="M227" s="24" t="s">
        <v>2103</v>
      </c>
      <c r="N227" s="23" t="s">
        <v>2104</v>
      </c>
      <c r="O227" s="24" t="s">
        <v>2105</v>
      </c>
      <c r="P227" s="24" t="s">
        <v>2106</v>
      </c>
      <c r="Q227" s="24" t="s">
        <v>2080</v>
      </c>
      <c r="R227" s="24"/>
      <c r="S227" s="24" t="s">
        <v>129</v>
      </c>
      <c r="T227" s="24" t="str">
        <f aca="false">"["&amp;안내!$C$5&amp;" "&amp;F227&amp;"] "&amp;L227&amp;" | "&amp;J227</f>
        <v>[1분 성경 구약 #099] 요나단의 우정과 사울의 질투 | 삼상 18:1-30</v>
      </c>
      <c r="U227" s="26" t="n">
        <f aca="false">IF(D227="구약",IF(C227=1,안내!$C$9,안내!$C$10)+AD227-1,IF(C227=1,안내!$C$9,안내!$C$10)+7*INT((AD227-1)/4)+CHOOSE(MOD(AD227-1,4)+1,0,2,4,5))</f>
        <v>46489</v>
      </c>
      <c r="V227" s="23" t="str">
        <f aca="false">CHOOSE(WEEKDAY(U227,2),"월","화","수","목","금","토","일")</f>
        <v>월</v>
      </c>
      <c r="W227" s="24" t="str">
        <f aca="false">IFERROR(IF(INDEX($C$2:$C$799,MATCH(D227&amp;"#"&amp;(E227+1),$AC$2:$AC$799,0))=C227,"다음 편: ","시즌1 완결 · 시즌2 첫 편: ")&amp;INDEX($L$2:$L$799,MATCH(D227&amp;"#"&amp;(E227+1),$AC$2:$AC$799,0)),"구약 트랙 완결")</f>
        <v>다음 편: 요나단의 화살</v>
      </c>
      <c r="X227" s="23" t="s">
        <v>130</v>
      </c>
      <c r="Y227" s="23" t="s">
        <v>130</v>
      </c>
      <c r="Z227" s="23" t="s">
        <v>130</v>
      </c>
      <c r="AA227" s="23" t="s">
        <v>130</v>
      </c>
      <c r="AB227" s="24"/>
      <c r="AC227" s="23" t="str">
        <f aca="false">D227&amp;"#"&amp;E227</f>
        <v>구약#99</v>
      </c>
      <c r="AD227" s="23" t="n">
        <f aca="false">COUNTIFS($C$2:C227,C227,$D$2:D227,D227)</f>
        <v>99</v>
      </c>
    </row>
    <row r="228" customFormat="false" ht="26.85" hidden="false" customHeight="false" outlineLevel="0" collapsed="false">
      <c r="A228" s="21" t="n">
        <v>227</v>
      </c>
      <c r="B228" s="18" t="s">
        <v>2107</v>
      </c>
      <c r="C228" s="23" t="n">
        <v>2</v>
      </c>
      <c r="D228" s="23" t="s">
        <v>116</v>
      </c>
      <c r="E228" s="23" t="n">
        <f aca="false">IF(C228=1,COUNTIFS($C$2:C228,1,$D$2:D228,D228),COUNTIFS($C$2:$C$799,1,$D$2:$D$799,D228)+COUNTIFS($C$2:C228,2,$D$2:D228,D228))</f>
        <v>310</v>
      </c>
      <c r="F228" s="23" t="str">
        <f aca="false">D228&amp;" #"&amp;TEXT(E228,"000")</f>
        <v>구약 #310</v>
      </c>
      <c r="G228" s="18" t="s">
        <v>2064</v>
      </c>
      <c r="H228" s="18" t="s">
        <v>2073</v>
      </c>
      <c r="I228" s="21" t="s">
        <v>1962</v>
      </c>
      <c r="J228" s="22" t="s">
        <v>2108</v>
      </c>
      <c r="K228" s="23" t="s">
        <v>121</v>
      </c>
      <c r="L228" s="24" t="s">
        <v>2109</v>
      </c>
      <c r="M228" s="24" t="s">
        <v>2110</v>
      </c>
      <c r="N228" s="23" t="s">
        <v>2111</v>
      </c>
      <c r="O228" s="24" t="s">
        <v>2112</v>
      </c>
      <c r="P228" s="24" t="s">
        <v>2113</v>
      </c>
      <c r="Q228" s="24" t="s">
        <v>2114</v>
      </c>
      <c r="R228" s="24"/>
      <c r="S228" s="24" t="s">
        <v>2115</v>
      </c>
      <c r="T228" s="24" t="str">
        <f aca="false">"["&amp;안내!$C$5&amp;" "&amp;F228&amp;"] "&amp;L228&amp;" | "&amp;J228</f>
        <v>[1분 성경 구약 #310] 창으로 도망치다 | 삼상 19:1-24</v>
      </c>
      <c r="U228" s="26" t="n">
        <f aca="false">IF(D228="구약",IF(C228=1,안내!$C$9,안내!$C$10)+AD228-1,IF(C228=1,안내!$C$9,안내!$C$10)+7*INT((AD228-1)/4)+CHOOSE(MOD(AD228-1,4)+1,0,2,4,5))</f>
        <v>46707</v>
      </c>
      <c r="V228" s="23" t="str">
        <f aca="false">CHOOSE(WEEKDAY(U228,2),"월","화","수","목","금","토","일")</f>
        <v>화</v>
      </c>
      <c r="W228" s="24" t="str">
        <f aca="false">IFERROR(IF(INDEX($C$2:$C$799,MATCH(D228&amp;"#"&amp;(E228+1),$AC$2:$AC$799,0))=C228,"다음 편: ","시즌1 완결 · 시즌2 첫 편: ")&amp;INDEX($L$2:$L$799,MATCH(D228&amp;"#"&amp;(E228+1),$AC$2:$AC$799,0)),"구약 트랙 완결")</f>
        <v>다음 편: 놉과 아둘람 굴</v>
      </c>
      <c r="X228" s="23" t="s">
        <v>130</v>
      </c>
      <c r="Y228" s="23" t="s">
        <v>130</v>
      </c>
      <c r="Z228" s="23" t="s">
        <v>130</v>
      </c>
      <c r="AA228" s="23" t="s">
        <v>130</v>
      </c>
      <c r="AB228" s="24"/>
      <c r="AC228" s="23" t="str">
        <f aca="false">D228&amp;"#"&amp;E228</f>
        <v>구약#310</v>
      </c>
      <c r="AD228" s="23" t="n">
        <f aca="false">COUNTIFS($C$2:C228,C228,$D$2:D228,D228)</f>
        <v>128</v>
      </c>
    </row>
    <row r="229" customFormat="false" ht="26.85" hidden="false" customHeight="false" outlineLevel="0" collapsed="false">
      <c r="A229" s="21" t="n">
        <v>228</v>
      </c>
      <c r="B229" s="18" t="s">
        <v>2116</v>
      </c>
      <c r="C229" s="20" t="n">
        <v>1</v>
      </c>
      <c r="D229" s="20" t="s">
        <v>116</v>
      </c>
      <c r="E229" s="20" t="n">
        <f aca="false">IF(C229=1,COUNTIFS($C$2:C229,1,$D$2:D229,D229),COUNTIFS($C$2:$C$799,1,$D$2:$D$799,D229)+COUNTIFS($C$2:C229,2,$D$2:D229,D229))</f>
        <v>100</v>
      </c>
      <c r="F229" s="20" t="str">
        <f aca="false">D229&amp;" #"&amp;TEXT(E229,"000")</f>
        <v>구약 #100</v>
      </c>
      <c r="G229" s="18" t="s">
        <v>2064</v>
      </c>
      <c r="H229" s="18" t="s">
        <v>2065</v>
      </c>
      <c r="I229" s="21" t="s">
        <v>1962</v>
      </c>
      <c r="J229" s="22" t="s">
        <v>2117</v>
      </c>
      <c r="K229" s="23" t="s">
        <v>121</v>
      </c>
      <c r="L229" s="24" t="s">
        <v>2118</v>
      </c>
      <c r="M229" s="24" t="s">
        <v>2119</v>
      </c>
      <c r="N229" s="23" t="s">
        <v>2120</v>
      </c>
      <c r="O229" s="24" t="s">
        <v>2121</v>
      </c>
      <c r="P229" s="24" t="s">
        <v>2122</v>
      </c>
      <c r="Q229" s="24" t="s">
        <v>2123</v>
      </c>
      <c r="R229" s="24"/>
      <c r="S229" s="28" t="s">
        <v>2124</v>
      </c>
      <c r="T229" s="24" t="str">
        <f aca="false">"["&amp;안내!$C$5&amp;" "&amp;F229&amp;"] "&amp;L229&amp;" | "&amp;J229</f>
        <v>[1분 성경 구약 #100] 요나단의 화살 | 삼상 20:1-42</v>
      </c>
      <c r="U229" s="26" t="n">
        <f aca="false">IF(D229="구약",IF(C229=1,안내!$C$9,안내!$C$10)+AD229-1,IF(C229=1,안내!$C$9,안내!$C$10)+7*INT((AD229-1)/4)+CHOOSE(MOD(AD229-1,4)+1,0,2,4,5))</f>
        <v>46490</v>
      </c>
      <c r="V229" s="23" t="str">
        <f aca="false">CHOOSE(WEEKDAY(U229,2),"월","화","수","목","금","토","일")</f>
        <v>화</v>
      </c>
      <c r="W229" s="24" t="str">
        <f aca="false">IFERROR(IF(INDEX($C$2:$C$799,MATCH(D229&amp;"#"&amp;(E229+1),$AC$2:$AC$799,0))=C229,"다음 편: ","시즌1 완결 · 시즌2 첫 편: ")&amp;INDEX($L$2:$L$799,MATCH(D229&amp;"#"&amp;(E229+1),$AC$2:$AC$799,0)),"구약 트랙 완결")</f>
        <v>다음 편: 동굴 속의 기회</v>
      </c>
      <c r="X229" s="23" t="s">
        <v>130</v>
      </c>
      <c r="Y229" s="23" t="s">
        <v>130</v>
      </c>
      <c r="Z229" s="23" t="s">
        <v>130</v>
      </c>
      <c r="AA229" s="23" t="s">
        <v>130</v>
      </c>
      <c r="AB229" s="24"/>
      <c r="AC229" s="23" t="str">
        <f aca="false">D229&amp;"#"&amp;E229</f>
        <v>구약#100</v>
      </c>
      <c r="AD229" s="23" t="n">
        <f aca="false">COUNTIFS($C$2:C229,C229,$D$2:D229,D229)</f>
        <v>100</v>
      </c>
    </row>
    <row r="230" customFormat="false" ht="26.85" hidden="false" customHeight="false" outlineLevel="0" collapsed="false">
      <c r="A230" s="21" t="n">
        <v>229</v>
      </c>
      <c r="B230" s="18" t="s">
        <v>2125</v>
      </c>
      <c r="C230" s="23" t="n">
        <v>2</v>
      </c>
      <c r="D230" s="23" t="s">
        <v>116</v>
      </c>
      <c r="E230" s="23" t="n">
        <f aca="false">IF(C230=1,COUNTIFS($C$2:C230,1,$D$2:D230,D230),COUNTIFS($C$2:$C$799,1,$D$2:$D$799,D230)+COUNTIFS($C$2:C230,2,$D$2:D230,D230))</f>
        <v>311</v>
      </c>
      <c r="F230" s="23" t="str">
        <f aca="false">D230&amp;" #"&amp;TEXT(E230,"000")</f>
        <v>구약 #311</v>
      </c>
      <c r="G230" s="18" t="s">
        <v>2064</v>
      </c>
      <c r="H230" s="18" t="s">
        <v>2073</v>
      </c>
      <c r="I230" s="21" t="s">
        <v>1962</v>
      </c>
      <c r="J230" s="22" t="s">
        <v>2126</v>
      </c>
      <c r="K230" s="23" t="s">
        <v>121</v>
      </c>
      <c r="L230" s="24" t="s">
        <v>2127</v>
      </c>
      <c r="M230" s="24" t="s">
        <v>2128</v>
      </c>
      <c r="N230" s="23" t="s">
        <v>2129</v>
      </c>
      <c r="O230" s="24" t="s">
        <v>2130</v>
      </c>
      <c r="P230" s="24" t="s">
        <v>2131</v>
      </c>
      <c r="Q230" s="24" t="s">
        <v>2132</v>
      </c>
      <c r="R230" s="25" t="s">
        <v>2133</v>
      </c>
      <c r="S230" s="24" t="s">
        <v>2134</v>
      </c>
      <c r="T230" s="24" t="str">
        <f aca="false">"["&amp;안내!$C$5&amp;" "&amp;F230&amp;"] "&amp;L230&amp;" | "&amp;J230</f>
        <v>[1분 성경 구약 #311] 놉과 아둘람 굴 | 삼상 21:1-22:23</v>
      </c>
      <c r="U230" s="26" t="n">
        <f aca="false">IF(D230="구약",IF(C230=1,안내!$C$9,안내!$C$10)+AD230-1,IF(C230=1,안내!$C$9,안내!$C$10)+7*INT((AD230-1)/4)+CHOOSE(MOD(AD230-1,4)+1,0,2,4,5))</f>
        <v>46708</v>
      </c>
      <c r="V230" s="23" t="str">
        <f aca="false">CHOOSE(WEEKDAY(U230,2),"월","화","수","목","금","토","일")</f>
        <v>수</v>
      </c>
      <c r="W230" s="24" t="str">
        <f aca="false">IFERROR(IF(INDEX($C$2:$C$799,MATCH(D230&amp;"#"&amp;(E230+1),$AC$2:$AC$799,0))=C230,"다음 편: ","시즌1 완결 · 시즌2 첫 편: ")&amp;INDEX($L$2:$L$799,MATCH(D230&amp;"#"&amp;(E230+1),$AC$2:$AC$799,0)),"구약 트랙 완결")</f>
        <v>다음 편: 광야의 다윗</v>
      </c>
      <c r="X230" s="23" t="s">
        <v>130</v>
      </c>
      <c r="Y230" s="23" t="s">
        <v>130</v>
      </c>
      <c r="Z230" s="23" t="s">
        <v>130</v>
      </c>
      <c r="AA230" s="23" t="s">
        <v>130</v>
      </c>
      <c r="AB230" s="24"/>
      <c r="AC230" s="23" t="str">
        <f aca="false">D230&amp;"#"&amp;E230</f>
        <v>구약#311</v>
      </c>
      <c r="AD230" s="23" t="n">
        <f aca="false">COUNTIFS($C$2:C230,C230,$D$2:D230,D230)</f>
        <v>129</v>
      </c>
    </row>
    <row r="231" customFormat="false" ht="15" hidden="false" customHeight="false" outlineLevel="0" collapsed="false">
      <c r="A231" s="21" t="n">
        <v>230</v>
      </c>
      <c r="B231" s="18" t="s">
        <v>2135</v>
      </c>
      <c r="C231" s="23" t="n">
        <v>2</v>
      </c>
      <c r="D231" s="23" t="s">
        <v>116</v>
      </c>
      <c r="E231" s="23" t="n">
        <f aca="false">IF(C231=1,COUNTIFS($C$2:C231,1,$D$2:D231,D231),COUNTIFS($C$2:$C$799,1,$D$2:$D$799,D231)+COUNTIFS($C$2:C231,2,$D$2:D231,D231))</f>
        <v>312</v>
      </c>
      <c r="F231" s="23" t="str">
        <f aca="false">D231&amp;" #"&amp;TEXT(E231,"000")</f>
        <v>구약 #312</v>
      </c>
      <c r="G231" s="18" t="s">
        <v>2064</v>
      </c>
      <c r="H231" s="18" t="s">
        <v>2073</v>
      </c>
      <c r="I231" s="21" t="s">
        <v>1962</v>
      </c>
      <c r="J231" s="22" t="s">
        <v>2136</v>
      </c>
      <c r="K231" s="23" t="s">
        <v>121</v>
      </c>
      <c r="L231" s="24" t="s">
        <v>2137</v>
      </c>
      <c r="M231" s="24" t="s">
        <v>2138</v>
      </c>
      <c r="N231" s="23" t="s">
        <v>2139</v>
      </c>
      <c r="O231" s="24" t="s">
        <v>2140</v>
      </c>
      <c r="P231" s="24" t="s">
        <v>2141</v>
      </c>
      <c r="Q231" s="24" t="s">
        <v>2142</v>
      </c>
      <c r="R231" s="24"/>
      <c r="S231" s="24" t="s">
        <v>2134</v>
      </c>
      <c r="T231" s="24" t="str">
        <f aca="false">"["&amp;안내!$C$5&amp;" "&amp;F231&amp;"] "&amp;L231&amp;" | "&amp;J231</f>
        <v>[1분 성경 구약 #312] 광야의 다윗 | 삼상 23:1-29</v>
      </c>
      <c r="U231" s="26" t="n">
        <f aca="false">IF(D231="구약",IF(C231=1,안내!$C$9,안내!$C$10)+AD231-1,IF(C231=1,안내!$C$9,안내!$C$10)+7*INT((AD231-1)/4)+CHOOSE(MOD(AD231-1,4)+1,0,2,4,5))</f>
        <v>46709</v>
      </c>
      <c r="V231" s="23" t="str">
        <f aca="false">CHOOSE(WEEKDAY(U231,2),"월","화","수","목","금","토","일")</f>
        <v>목</v>
      </c>
      <c r="W231" s="24" t="str">
        <f aca="false">IFERROR(IF(INDEX($C$2:$C$799,MATCH(D231&amp;"#"&amp;(E231+1),$AC$2:$AC$799,0))=C231,"다음 편: ","시즌1 완결 · 시즌2 첫 편: ")&amp;INDEX($L$2:$L$799,MATCH(D231&amp;"#"&amp;(E231+1),$AC$2:$AC$799,0)),"구약 트랙 완결")</f>
        <v>다음 편: 지혜로운 아비가일</v>
      </c>
      <c r="X231" s="23" t="s">
        <v>130</v>
      </c>
      <c r="Y231" s="23" t="s">
        <v>130</v>
      </c>
      <c r="Z231" s="23" t="s">
        <v>130</v>
      </c>
      <c r="AA231" s="23" t="s">
        <v>130</v>
      </c>
      <c r="AB231" s="24"/>
      <c r="AC231" s="23" t="str">
        <f aca="false">D231&amp;"#"&amp;E231</f>
        <v>구약#312</v>
      </c>
      <c r="AD231" s="23" t="n">
        <f aca="false">COUNTIFS($C$2:C231,C231,$D$2:D231,D231)</f>
        <v>130</v>
      </c>
    </row>
    <row r="232" customFormat="false" ht="39.55" hidden="false" customHeight="false" outlineLevel="0" collapsed="false">
      <c r="A232" s="21" t="n">
        <v>231</v>
      </c>
      <c r="B232" s="18" t="s">
        <v>2143</v>
      </c>
      <c r="C232" s="20" t="n">
        <v>1</v>
      </c>
      <c r="D232" s="20" t="s">
        <v>116</v>
      </c>
      <c r="E232" s="20" t="n">
        <f aca="false">IF(C232=1,COUNTIFS($C$2:C232,1,$D$2:D232,D232),COUNTIFS($C$2:$C$799,1,$D$2:$D$799,D232)+COUNTIFS($C$2:C232,2,$D$2:D232,D232))</f>
        <v>101</v>
      </c>
      <c r="F232" s="20" t="str">
        <f aca="false">D232&amp;" #"&amp;TEXT(E232,"000")</f>
        <v>구약 #101</v>
      </c>
      <c r="G232" s="18" t="s">
        <v>2064</v>
      </c>
      <c r="H232" s="18" t="s">
        <v>2065</v>
      </c>
      <c r="I232" s="21" t="s">
        <v>1962</v>
      </c>
      <c r="J232" s="22" t="s">
        <v>2144</v>
      </c>
      <c r="K232" s="23" t="s">
        <v>121</v>
      </c>
      <c r="L232" s="24" t="s">
        <v>2145</v>
      </c>
      <c r="M232" s="24" t="s">
        <v>2146</v>
      </c>
      <c r="N232" s="23" t="s">
        <v>2147</v>
      </c>
      <c r="O232" s="24" t="s">
        <v>2148</v>
      </c>
      <c r="P232" s="24" t="s">
        <v>2149</v>
      </c>
      <c r="Q232" s="24" t="s">
        <v>2150</v>
      </c>
      <c r="R232" s="24"/>
      <c r="S232" s="28" t="s">
        <v>2151</v>
      </c>
      <c r="T232" s="24" t="str">
        <f aca="false">"["&amp;안내!$C$5&amp;" "&amp;F232&amp;"] "&amp;L232&amp;" | "&amp;J232</f>
        <v>[1분 성경 구약 #101] 동굴 속의 기회 | 삼상 24:1-22</v>
      </c>
      <c r="U232" s="26" t="n">
        <f aca="false">IF(D232="구약",IF(C232=1,안내!$C$9,안내!$C$10)+AD232-1,IF(C232=1,안내!$C$9,안내!$C$10)+7*INT((AD232-1)/4)+CHOOSE(MOD(AD232-1,4)+1,0,2,4,5))</f>
        <v>46491</v>
      </c>
      <c r="V232" s="23" t="str">
        <f aca="false">CHOOSE(WEEKDAY(U232,2),"월","화","수","목","금","토","일")</f>
        <v>수</v>
      </c>
      <c r="W232" s="24" t="str">
        <f aca="false">IFERROR(IF(INDEX($C$2:$C$799,MATCH(D232&amp;"#"&amp;(E232+1),$AC$2:$AC$799,0))=C232,"다음 편: ","시즌1 완결 · 시즌2 첫 편: ")&amp;INDEX($L$2:$L$799,MATCH(D232&amp;"#"&amp;(E232+1),$AC$2:$AC$799,0)),"구약 트랙 완결")</f>
        <v>다음 편: 언약궤 앞에서 춤추다</v>
      </c>
      <c r="X232" s="23" t="s">
        <v>130</v>
      </c>
      <c r="Y232" s="23" t="s">
        <v>130</v>
      </c>
      <c r="Z232" s="23" t="s">
        <v>130</v>
      </c>
      <c r="AA232" s="23" t="s">
        <v>130</v>
      </c>
      <c r="AB232" s="24"/>
      <c r="AC232" s="23" t="str">
        <f aca="false">D232&amp;"#"&amp;E232</f>
        <v>구약#101</v>
      </c>
      <c r="AD232" s="23" t="n">
        <f aca="false">COUNTIFS($C$2:C232,C232,$D$2:D232,D232)</f>
        <v>101</v>
      </c>
    </row>
    <row r="233" customFormat="false" ht="26.85" hidden="false" customHeight="false" outlineLevel="0" collapsed="false">
      <c r="A233" s="21" t="n">
        <v>232</v>
      </c>
      <c r="B233" s="18" t="s">
        <v>2152</v>
      </c>
      <c r="C233" s="23" t="n">
        <v>2</v>
      </c>
      <c r="D233" s="23" t="s">
        <v>116</v>
      </c>
      <c r="E233" s="23" t="n">
        <f aca="false">IF(C233=1,COUNTIFS($C$2:C233,1,$D$2:D233,D233),COUNTIFS($C$2:$C$799,1,$D$2:$D$799,D233)+COUNTIFS($C$2:C233,2,$D$2:D233,D233))</f>
        <v>313</v>
      </c>
      <c r="F233" s="23" t="str">
        <f aca="false">D233&amp;" #"&amp;TEXT(E233,"000")</f>
        <v>구약 #313</v>
      </c>
      <c r="G233" s="18" t="s">
        <v>2153</v>
      </c>
      <c r="H233" s="18" t="s">
        <v>2073</v>
      </c>
      <c r="I233" s="21" t="s">
        <v>1962</v>
      </c>
      <c r="J233" s="22" t="s">
        <v>2154</v>
      </c>
      <c r="K233" s="23" t="s">
        <v>121</v>
      </c>
      <c r="L233" s="24" t="s">
        <v>2155</v>
      </c>
      <c r="M233" s="24" t="s">
        <v>2156</v>
      </c>
      <c r="N233" s="23" t="s">
        <v>2157</v>
      </c>
      <c r="O233" s="24" t="s">
        <v>2158</v>
      </c>
      <c r="P233" s="24" t="s">
        <v>2159</v>
      </c>
      <c r="Q233" s="24" t="s">
        <v>2160</v>
      </c>
      <c r="R233" s="24"/>
      <c r="S233" s="24" t="s">
        <v>2161</v>
      </c>
      <c r="T233" s="24" t="str">
        <f aca="false">"["&amp;안내!$C$5&amp;" "&amp;F233&amp;"] "&amp;L233&amp;" | "&amp;J233</f>
        <v>[1분 성경 구약 #313] 지혜로운 아비가일 | 삼상 25:1-44</v>
      </c>
      <c r="U233" s="26" t="n">
        <f aca="false">IF(D233="구약",IF(C233=1,안내!$C$9,안내!$C$10)+AD233-1,IF(C233=1,안내!$C$9,안내!$C$10)+7*INT((AD233-1)/4)+CHOOSE(MOD(AD233-1,4)+1,0,2,4,5))</f>
        <v>46710</v>
      </c>
      <c r="V233" s="23" t="str">
        <f aca="false">CHOOSE(WEEKDAY(U233,2),"월","화","수","목","금","토","일")</f>
        <v>금</v>
      </c>
      <c r="W233" s="24" t="str">
        <f aca="false">IFERROR(IF(INDEX($C$2:$C$799,MATCH(D233&amp;"#"&amp;(E233+1),$AC$2:$AC$799,0))=C233,"다음 편: ","시즌1 완결 · 시즌2 첫 편: ")&amp;INDEX($L$2:$L$799,MATCH(D233&amp;"#"&amp;(E233+1),$AC$2:$AC$799,0)),"구약 트랙 완결")</f>
        <v>다음 편: 다시 살려 준 사울</v>
      </c>
      <c r="X233" s="23" t="s">
        <v>130</v>
      </c>
      <c r="Y233" s="23" t="s">
        <v>130</v>
      </c>
      <c r="Z233" s="23" t="s">
        <v>130</v>
      </c>
      <c r="AA233" s="23" t="s">
        <v>130</v>
      </c>
      <c r="AB233" s="24"/>
      <c r="AC233" s="23" t="str">
        <f aca="false">D233&amp;"#"&amp;E233</f>
        <v>구약#313</v>
      </c>
      <c r="AD233" s="23" t="n">
        <f aca="false">COUNTIFS($C$2:C233,C233,$D$2:D233,D233)</f>
        <v>131</v>
      </c>
    </row>
    <row r="234" customFormat="false" ht="26.85" hidden="false" customHeight="false" outlineLevel="0" collapsed="false">
      <c r="A234" s="21" t="n">
        <v>233</v>
      </c>
      <c r="B234" s="18" t="s">
        <v>2162</v>
      </c>
      <c r="C234" s="23" t="n">
        <v>2</v>
      </c>
      <c r="D234" s="23" t="s">
        <v>116</v>
      </c>
      <c r="E234" s="23" t="n">
        <f aca="false">IF(C234=1,COUNTIFS($C$2:C234,1,$D$2:D234,D234),COUNTIFS($C$2:$C$799,1,$D$2:$D$799,D234)+COUNTIFS($C$2:C234,2,$D$2:D234,D234))</f>
        <v>314</v>
      </c>
      <c r="F234" s="23" t="str">
        <f aca="false">D234&amp;" #"&amp;TEXT(E234,"000")</f>
        <v>구약 #314</v>
      </c>
      <c r="G234" s="18" t="s">
        <v>2153</v>
      </c>
      <c r="H234" s="18" t="s">
        <v>2073</v>
      </c>
      <c r="I234" s="21" t="s">
        <v>1962</v>
      </c>
      <c r="J234" s="22" t="s">
        <v>2163</v>
      </c>
      <c r="K234" s="23" t="s">
        <v>121</v>
      </c>
      <c r="L234" s="24" t="s">
        <v>2164</v>
      </c>
      <c r="M234" s="24" t="s">
        <v>2165</v>
      </c>
      <c r="N234" s="23" t="s">
        <v>2166</v>
      </c>
      <c r="O234" s="24" t="s">
        <v>2167</v>
      </c>
      <c r="P234" s="24" t="s">
        <v>2168</v>
      </c>
      <c r="Q234" s="24" t="s">
        <v>2169</v>
      </c>
      <c r="R234" s="24"/>
      <c r="S234" s="24" t="s">
        <v>2161</v>
      </c>
      <c r="T234" s="24" t="str">
        <f aca="false">"["&amp;안내!$C$5&amp;" "&amp;F234&amp;"] "&amp;L234&amp;" | "&amp;J234</f>
        <v>[1분 성경 구약 #314] 다시 살려 준 사울 | 삼상 26:1-25</v>
      </c>
      <c r="U234" s="26" t="n">
        <f aca="false">IF(D234="구약",IF(C234=1,안내!$C$9,안내!$C$10)+AD234-1,IF(C234=1,안내!$C$9,안내!$C$10)+7*INT((AD234-1)/4)+CHOOSE(MOD(AD234-1,4)+1,0,2,4,5))</f>
        <v>46711</v>
      </c>
      <c r="V234" s="23" t="str">
        <f aca="false">CHOOSE(WEEKDAY(U234,2),"월","화","수","목","금","토","일")</f>
        <v>토</v>
      </c>
      <c r="W234" s="24" t="str">
        <f aca="false">IFERROR(IF(INDEX($C$2:$C$799,MATCH(D234&amp;"#"&amp;(E234+1),$AC$2:$AC$799,0))=C234,"다음 편: ","시즌1 완결 · 시즌2 첫 편: ")&amp;INDEX($L$2:$L$799,MATCH(D234&amp;"#"&amp;(E234+1),$AC$2:$AC$799,0)),"구약 트랙 완결")</f>
        <v>다음 편: 적국으로 피한 다윗</v>
      </c>
      <c r="X234" s="23" t="s">
        <v>130</v>
      </c>
      <c r="Y234" s="23" t="s">
        <v>130</v>
      </c>
      <c r="Z234" s="23" t="s">
        <v>130</v>
      </c>
      <c r="AA234" s="23" t="s">
        <v>130</v>
      </c>
      <c r="AB234" s="24"/>
      <c r="AC234" s="23" t="str">
        <f aca="false">D234&amp;"#"&amp;E234</f>
        <v>구약#314</v>
      </c>
      <c r="AD234" s="23" t="n">
        <f aca="false">COUNTIFS($C$2:C234,C234,$D$2:D234,D234)</f>
        <v>132</v>
      </c>
    </row>
    <row r="235" customFormat="false" ht="26.85" hidden="false" customHeight="false" outlineLevel="0" collapsed="false">
      <c r="A235" s="21" t="n">
        <v>234</v>
      </c>
      <c r="B235" s="18" t="s">
        <v>2170</v>
      </c>
      <c r="C235" s="23" t="n">
        <v>2</v>
      </c>
      <c r="D235" s="23" t="s">
        <v>116</v>
      </c>
      <c r="E235" s="23" t="n">
        <f aca="false">IF(C235=1,COUNTIFS($C$2:C235,1,$D$2:D235,D235),COUNTIFS($C$2:$C$799,1,$D$2:$D$799,D235)+COUNTIFS($C$2:C235,2,$D$2:D235,D235))</f>
        <v>315</v>
      </c>
      <c r="F235" s="23" t="str">
        <f aca="false">D235&amp;" #"&amp;TEXT(E235,"000")</f>
        <v>구약 #315</v>
      </c>
      <c r="G235" s="18" t="s">
        <v>2153</v>
      </c>
      <c r="H235" s="18" t="s">
        <v>2073</v>
      </c>
      <c r="I235" s="21" t="s">
        <v>1962</v>
      </c>
      <c r="J235" s="22" t="s">
        <v>2171</v>
      </c>
      <c r="K235" s="23" t="s">
        <v>121</v>
      </c>
      <c r="L235" s="24" t="s">
        <v>2172</v>
      </c>
      <c r="M235" s="24" t="s">
        <v>2173</v>
      </c>
      <c r="N235" s="23" t="s">
        <v>2174</v>
      </c>
      <c r="O235" s="24" t="s">
        <v>2175</v>
      </c>
      <c r="P235" s="24" t="s">
        <v>2176</v>
      </c>
      <c r="Q235" s="24" t="s">
        <v>2177</v>
      </c>
      <c r="R235" s="24"/>
      <c r="S235" s="24" t="s">
        <v>2161</v>
      </c>
      <c r="T235" s="24" t="str">
        <f aca="false">"["&amp;안내!$C$5&amp;" "&amp;F235&amp;"] "&amp;L235&amp;" | "&amp;J235</f>
        <v>[1분 성경 구약 #315] 적국으로 피한 다윗 | 삼상 27:1-28:2</v>
      </c>
      <c r="U235" s="26" t="n">
        <f aca="false">IF(D235="구약",IF(C235=1,안내!$C$9,안내!$C$10)+AD235-1,IF(C235=1,안내!$C$9,안내!$C$10)+7*INT((AD235-1)/4)+CHOOSE(MOD(AD235-1,4)+1,0,2,4,5))</f>
        <v>46712</v>
      </c>
      <c r="V235" s="23" t="str">
        <f aca="false">CHOOSE(WEEKDAY(U235,2),"월","화","수","목","금","토","일")</f>
        <v>일</v>
      </c>
      <c r="W235" s="24" t="str">
        <f aca="false">IFERROR(IF(INDEX($C$2:$C$799,MATCH(D235&amp;"#"&amp;(E235+1),$AC$2:$AC$799,0))=C235,"다음 편: ","시즌1 완결 · 시즌2 첫 편: ")&amp;INDEX($L$2:$L$799,MATCH(D235&amp;"#"&amp;(E235+1),$AC$2:$AC$799,0)),"구약 트랙 완결")</f>
        <v>다음 편: 엔돌의 신접한 여인</v>
      </c>
      <c r="X235" s="23" t="s">
        <v>130</v>
      </c>
      <c r="Y235" s="23" t="s">
        <v>130</v>
      </c>
      <c r="Z235" s="23" t="s">
        <v>130</v>
      </c>
      <c r="AA235" s="23" t="s">
        <v>130</v>
      </c>
      <c r="AB235" s="24"/>
      <c r="AC235" s="23" t="str">
        <f aca="false">D235&amp;"#"&amp;E235</f>
        <v>구약#315</v>
      </c>
      <c r="AD235" s="23" t="n">
        <f aca="false">COUNTIFS($C$2:C235,C235,$D$2:D235,D235)</f>
        <v>133</v>
      </c>
    </row>
    <row r="236" customFormat="false" ht="26.85" hidden="false" customHeight="false" outlineLevel="0" collapsed="false">
      <c r="A236" s="21" t="n">
        <v>235</v>
      </c>
      <c r="B236" s="18" t="s">
        <v>2178</v>
      </c>
      <c r="C236" s="23" t="n">
        <v>2</v>
      </c>
      <c r="D236" s="23" t="s">
        <v>116</v>
      </c>
      <c r="E236" s="23" t="n">
        <f aca="false">IF(C236=1,COUNTIFS($C$2:C236,1,$D$2:D236,D236),COUNTIFS($C$2:$C$799,1,$D$2:$D$799,D236)+COUNTIFS($C$2:C236,2,$D$2:D236,D236))</f>
        <v>316</v>
      </c>
      <c r="F236" s="23" t="str">
        <f aca="false">D236&amp;" #"&amp;TEXT(E236,"000")</f>
        <v>구약 #316</v>
      </c>
      <c r="G236" s="18" t="s">
        <v>2153</v>
      </c>
      <c r="H236" s="18" t="s">
        <v>2073</v>
      </c>
      <c r="I236" s="21" t="s">
        <v>1962</v>
      </c>
      <c r="J236" s="22" t="s">
        <v>2179</v>
      </c>
      <c r="K236" s="23" t="s">
        <v>121</v>
      </c>
      <c r="L236" s="24" t="s">
        <v>2180</v>
      </c>
      <c r="M236" s="24" t="s">
        <v>2181</v>
      </c>
      <c r="N236" s="23" t="s">
        <v>2182</v>
      </c>
      <c r="O236" s="24" t="s">
        <v>2183</v>
      </c>
      <c r="P236" s="24" t="s">
        <v>2184</v>
      </c>
      <c r="Q236" s="24" t="s">
        <v>2185</v>
      </c>
      <c r="R236" s="25" t="s">
        <v>2186</v>
      </c>
      <c r="S236" s="24" t="s">
        <v>2161</v>
      </c>
      <c r="T236" s="24" t="str">
        <f aca="false">"["&amp;안내!$C$5&amp;" "&amp;F236&amp;"] "&amp;L236&amp;" | "&amp;J236</f>
        <v>[1분 성경 구약 #316] 엔돌의 신접한 여인 | 삼상 28:3-25</v>
      </c>
      <c r="U236" s="26" t="n">
        <f aca="false">IF(D236="구약",IF(C236=1,안내!$C$9,안내!$C$10)+AD236-1,IF(C236=1,안내!$C$9,안내!$C$10)+7*INT((AD236-1)/4)+CHOOSE(MOD(AD236-1,4)+1,0,2,4,5))</f>
        <v>46713</v>
      </c>
      <c r="V236" s="23" t="str">
        <f aca="false">CHOOSE(WEEKDAY(U236,2),"월","화","수","목","금","토","일")</f>
        <v>월</v>
      </c>
      <c r="W236" s="24" t="str">
        <f aca="false">IFERROR(IF(INDEX($C$2:$C$799,MATCH(D236&amp;"#"&amp;(E236+1),$AC$2:$AC$799,0))=C236,"다음 편: ","시즌1 완결 · 시즌2 첫 편: ")&amp;INDEX($L$2:$L$799,MATCH(D236&amp;"#"&amp;(E236+1),$AC$2:$AC$799,0)),"구약 트랙 완결")</f>
        <v>다음 편: 불타 버린 시글락</v>
      </c>
      <c r="X236" s="23" t="s">
        <v>130</v>
      </c>
      <c r="Y236" s="23" t="s">
        <v>130</v>
      </c>
      <c r="Z236" s="23" t="s">
        <v>130</v>
      </c>
      <c r="AA236" s="23" t="s">
        <v>130</v>
      </c>
      <c r="AB236" s="24"/>
      <c r="AC236" s="23" t="str">
        <f aca="false">D236&amp;"#"&amp;E236</f>
        <v>구약#316</v>
      </c>
      <c r="AD236" s="23" t="n">
        <f aca="false">COUNTIFS($C$2:C236,C236,$D$2:D236,D236)</f>
        <v>134</v>
      </c>
    </row>
    <row r="237" customFormat="false" ht="26.85" hidden="false" customHeight="false" outlineLevel="0" collapsed="false">
      <c r="A237" s="21" t="n">
        <v>236</v>
      </c>
      <c r="B237" s="18" t="s">
        <v>2187</v>
      </c>
      <c r="C237" s="23" t="n">
        <v>2</v>
      </c>
      <c r="D237" s="23" t="s">
        <v>116</v>
      </c>
      <c r="E237" s="23" t="n">
        <f aca="false">IF(C237=1,COUNTIFS($C$2:C237,1,$D$2:D237,D237),COUNTIFS($C$2:$C$799,1,$D$2:$D$799,D237)+COUNTIFS($C$2:C237,2,$D$2:D237,D237))</f>
        <v>317</v>
      </c>
      <c r="F237" s="23" t="str">
        <f aca="false">D237&amp;" #"&amp;TEXT(E237,"000")</f>
        <v>구약 #317</v>
      </c>
      <c r="G237" s="18" t="s">
        <v>2153</v>
      </c>
      <c r="H237" s="18" t="s">
        <v>2073</v>
      </c>
      <c r="I237" s="21" t="s">
        <v>1962</v>
      </c>
      <c r="J237" s="22" t="s">
        <v>2188</v>
      </c>
      <c r="K237" s="23" t="s">
        <v>121</v>
      </c>
      <c r="L237" s="24" t="s">
        <v>2189</v>
      </c>
      <c r="M237" s="24" t="s">
        <v>2190</v>
      </c>
      <c r="N237" s="23" t="s">
        <v>2191</v>
      </c>
      <c r="O237" s="24" t="s">
        <v>2192</v>
      </c>
      <c r="P237" s="24" t="s">
        <v>2193</v>
      </c>
      <c r="Q237" s="24" t="s">
        <v>2194</v>
      </c>
      <c r="R237" s="24"/>
      <c r="S237" s="24" t="s">
        <v>2161</v>
      </c>
      <c r="T237" s="24" t="str">
        <f aca="false">"["&amp;안내!$C$5&amp;" "&amp;F237&amp;"] "&amp;L237&amp;" | "&amp;J237</f>
        <v>[1분 성경 구약 #317] 불타 버린 시글락 | 삼상 29:1-30:31</v>
      </c>
      <c r="U237" s="26" t="n">
        <f aca="false">IF(D237="구약",IF(C237=1,안내!$C$9,안내!$C$10)+AD237-1,IF(C237=1,안내!$C$9,안내!$C$10)+7*INT((AD237-1)/4)+CHOOSE(MOD(AD237-1,4)+1,0,2,4,5))</f>
        <v>46714</v>
      </c>
      <c r="V237" s="23" t="str">
        <f aca="false">CHOOSE(WEEKDAY(U237,2),"월","화","수","목","금","토","일")</f>
        <v>화</v>
      </c>
      <c r="W237" s="24" t="str">
        <f aca="false">IFERROR(IF(INDEX($C$2:$C$799,MATCH(D237&amp;"#"&amp;(E237+1),$AC$2:$AC$799,0))=C237,"다음 편: ","시즌1 완결 · 시즌2 첫 편: ")&amp;INDEX($L$2:$L$799,MATCH(D237&amp;"#"&amp;(E237+1),$AC$2:$AC$799,0)),"구약 트랙 완결")</f>
        <v>다음 편: 사울의 마지막</v>
      </c>
      <c r="X237" s="23" t="s">
        <v>130</v>
      </c>
      <c r="Y237" s="23" t="s">
        <v>130</v>
      </c>
      <c r="Z237" s="23" t="s">
        <v>130</v>
      </c>
      <c r="AA237" s="23" t="s">
        <v>130</v>
      </c>
      <c r="AB237" s="24"/>
      <c r="AC237" s="23" t="str">
        <f aca="false">D237&amp;"#"&amp;E237</f>
        <v>구약#317</v>
      </c>
      <c r="AD237" s="23" t="n">
        <f aca="false">COUNTIFS($C$2:C237,C237,$D$2:D237,D237)</f>
        <v>135</v>
      </c>
    </row>
    <row r="238" customFormat="false" ht="25.35" hidden="false" customHeight="false" outlineLevel="0" collapsed="false">
      <c r="A238" s="21" t="n">
        <v>237</v>
      </c>
      <c r="B238" s="18" t="s">
        <v>2195</v>
      </c>
      <c r="C238" s="23" t="n">
        <v>2</v>
      </c>
      <c r="D238" s="23" t="s">
        <v>116</v>
      </c>
      <c r="E238" s="23" t="n">
        <f aca="false">IF(C238=1,COUNTIFS($C$2:C238,1,$D$2:D238,D238),COUNTIFS($C$2:$C$799,1,$D$2:$D$799,D238)+COUNTIFS($C$2:C238,2,$D$2:D238,D238))</f>
        <v>318</v>
      </c>
      <c r="F238" s="23" t="str">
        <f aca="false">D238&amp;" #"&amp;TEXT(E238,"000")</f>
        <v>구약 #318</v>
      </c>
      <c r="G238" s="18" t="s">
        <v>2153</v>
      </c>
      <c r="H238" s="18" t="s">
        <v>2073</v>
      </c>
      <c r="I238" s="21" t="s">
        <v>1962</v>
      </c>
      <c r="J238" s="22" t="s">
        <v>2196</v>
      </c>
      <c r="K238" s="23" t="s">
        <v>121</v>
      </c>
      <c r="L238" s="24" t="s">
        <v>2197</v>
      </c>
      <c r="M238" s="24" t="s">
        <v>2198</v>
      </c>
      <c r="N238" s="23" t="s">
        <v>2199</v>
      </c>
      <c r="O238" s="24" t="s">
        <v>2200</v>
      </c>
      <c r="P238" s="24" t="s">
        <v>2201</v>
      </c>
      <c r="Q238" s="24" t="s">
        <v>2202</v>
      </c>
      <c r="R238" s="25" t="s">
        <v>2203</v>
      </c>
      <c r="S238" s="24" t="s">
        <v>2161</v>
      </c>
      <c r="T238" s="24" t="str">
        <f aca="false">"["&amp;안내!$C$5&amp;" "&amp;F238&amp;"] "&amp;L238&amp;" | "&amp;J238</f>
        <v>[1분 성경 구약 #318] 사울의 마지막 | 삼상 31:1-13</v>
      </c>
      <c r="U238" s="26" t="n">
        <f aca="false">IF(D238="구약",IF(C238=1,안내!$C$9,안내!$C$10)+AD238-1,IF(C238=1,안내!$C$9,안내!$C$10)+7*INT((AD238-1)/4)+CHOOSE(MOD(AD238-1,4)+1,0,2,4,5))</f>
        <v>46715</v>
      </c>
      <c r="V238" s="23" t="str">
        <f aca="false">CHOOSE(WEEKDAY(U238,2),"월","화","수","목","금","토","일")</f>
        <v>수</v>
      </c>
      <c r="W238" s="24" t="str">
        <f aca="false">IFERROR(IF(INDEX($C$2:$C$799,MATCH(D238&amp;"#"&amp;(E238+1),$AC$2:$AC$799,0))=C238,"다음 편: ","시즌1 완결 · 시즌2 첫 편: ")&amp;INDEX($L$2:$L$799,MATCH(D238&amp;"#"&amp;(E238+1),$AC$2:$AC$799,0)),"구약 트랙 완결")</f>
        <v>다음 편: 활의 노래</v>
      </c>
      <c r="X238" s="23" t="s">
        <v>130</v>
      </c>
      <c r="Y238" s="23" t="s">
        <v>130</v>
      </c>
      <c r="Z238" s="23" t="s">
        <v>130</v>
      </c>
      <c r="AA238" s="23" t="s">
        <v>130</v>
      </c>
      <c r="AB238" s="24"/>
      <c r="AC238" s="23" t="str">
        <f aca="false">D238&amp;"#"&amp;E238</f>
        <v>구약#318</v>
      </c>
      <c r="AD238" s="23" t="n">
        <f aca="false">COUNTIFS($C$2:C238,C238,$D$2:D238,D238)</f>
        <v>136</v>
      </c>
    </row>
    <row r="239" customFormat="false" ht="15" hidden="false" customHeight="false" outlineLevel="0" collapsed="false">
      <c r="A239" s="21" t="n">
        <v>238</v>
      </c>
      <c r="B239" s="18" t="s">
        <v>2204</v>
      </c>
      <c r="C239" s="23" t="n">
        <v>2</v>
      </c>
      <c r="D239" s="23" t="s">
        <v>116</v>
      </c>
      <c r="E239" s="23" t="n">
        <f aca="false">IF(C239=1,COUNTIFS($C$2:C239,1,$D$2:D239,D239),COUNTIFS($C$2:$C$799,1,$D$2:$D$799,D239)+COUNTIFS($C$2:C239,2,$D$2:D239,D239))</f>
        <v>319</v>
      </c>
      <c r="F239" s="23" t="str">
        <f aca="false">D239&amp;" #"&amp;TEXT(E239,"000")</f>
        <v>구약 #319</v>
      </c>
      <c r="G239" s="18" t="s">
        <v>2153</v>
      </c>
      <c r="H239" s="18" t="s">
        <v>2073</v>
      </c>
      <c r="I239" s="21" t="s">
        <v>2205</v>
      </c>
      <c r="J239" s="22" t="s">
        <v>2206</v>
      </c>
      <c r="K239" s="23" t="s">
        <v>121</v>
      </c>
      <c r="L239" s="24" t="s">
        <v>2207</v>
      </c>
      <c r="M239" s="24" t="s">
        <v>2208</v>
      </c>
      <c r="N239" s="23" t="s">
        <v>2209</v>
      </c>
      <c r="O239" s="24" t="s">
        <v>2210</v>
      </c>
      <c r="P239" s="24" t="s">
        <v>2211</v>
      </c>
      <c r="Q239" s="24" t="s">
        <v>2212</v>
      </c>
      <c r="R239" s="24"/>
      <c r="S239" s="24" t="s">
        <v>2161</v>
      </c>
      <c r="T239" s="24" t="str">
        <f aca="false">"["&amp;안내!$C$5&amp;" "&amp;F239&amp;"] "&amp;L239&amp;" | "&amp;J239</f>
        <v>[1분 성경 구약 #319] 활의 노래 | 삼하 1:1-27</v>
      </c>
      <c r="U239" s="26" t="n">
        <f aca="false">IF(D239="구약",IF(C239=1,안내!$C$9,안내!$C$10)+AD239-1,IF(C239=1,안내!$C$9,안내!$C$10)+7*INT((AD239-1)/4)+CHOOSE(MOD(AD239-1,4)+1,0,2,4,5))</f>
        <v>46716</v>
      </c>
      <c r="V239" s="23" t="str">
        <f aca="false">CHOOSE(WEEKDAY(U239,2),"월","화","수","목","금","토","일")</f>
        <v>목</v>
      </c>
      <c r="W239" s="24" t="str">
        <f aca="false">IFERROR(IF(INDEX($C$2:$C$799,MATCH(D239&amp;"#"&amp;(E239+1),$AC$2:$AC$799,0))=C239,"다음 편: ","시즌1 완결 · 시즌2 첫 편: ")&amp;INDEX($L$2:$L$799,MATCH(D239&amp;"#"&amp;(E239+1),$AC$2:$AC$799,0)),"구약 트랙 완결")</f>
        <v>다음 편: 올라가리이까</v>
      </c>
      <c r="X239" s="23" t="s">
        <v>130</v>
      </c>
      <c r="Y239" s="23" t="s">
        <v>130</v>
      </c>
      <c r="Z239" s="23" t="s">
        <v>130</v>
      </c>
      <c r="AA239" s="23" t="s">
        <v>130</v>
      </c>
      <c r="AB239" s="24"/>
      <c r="AC239" s="23" t="str">
        <f aca="false">D239&amp;"#"&amp;E239</f>
        <v>구약#319</v>
      </c>
      <c r="AD239" s="23" t="n">
        <f aca="false">COUNTIFS($C$2:C239,C239,$D$2:D239,D239)</f>
        <v>137</v>
      </c>
    </row>
    <row r="240" customFormat="false" ht="15" hidden="false" customHeight="false" outlineLevel="0" collapsed="false">
      <c r="A240" s="21" t="n">
        <v>239</v>
      </c>
      <c r="B240" s="18" t="s">
        <v>2213</v>
      </c>
      <c r="C240" s="23" t="n">
        <v>2</v>
      </c>
      <c r="D240" s="23" t="s">
        <v>116</v>
      </c>
      <c r="E240" s="23" t="n">
        <f aca="false">IF(C240=1,COUNTIFS($C$2:C240,1,$D$2:D240,D240),COUNTIFS($C$2:$C$799,1,$D$2:$D$799,D240)+COUNTIFS($C$2:C240,2,$D$2:D240,D240))</f>
        <v>320</v>
      </c>
      <c r="F240" s="23" t="str">
        <f aca="false">D240&amp;" #"&amp;TEXT(E240,"000")</f>
        <v>구약 #320</v>
      </c>
      <c r="G240" s="18" t="s">
        <v>2153</v>
      </c>
      <c r="H240" s="18" t="s">
        <v>2073</v>
      </c>
      <c r="I240" s="21" t="s">
        <v>2205</v>
      </c>
      <c r="J240" s="22" t="s">
        <v>2214</v>
      </c>
      <c r="K240" s="23" t="s">
        <v>121</v>
      </c>
      <c r="L240" s="24" t="s">
        <v>2215</v>
      </c>
      <c r="M240" s="24" t="s">
        <v>2216</v>
      </c>
      <c r="N240" s="23" t="s">
        <v>2217</v>
      </c>
      <c r="O240" s="24" t="s">
        <v>2218</v>
      </c>
      <c r="P240" s="24" t="s">
        <v>2219</v>
      </c>
      <c r="Q240" s="24" t="s">
        <v>2220</v>
      </c>
      <c r="R240" s="24"/>
      <c r="S240" s="24" t="s">
        <v>2161</v>
      </c>
      <c r="T240" s="24" t="str">
        <f aca="false">"["&amp;안내!$C$5&amp;" "&amp;F240&amp;"] "&amp;L240&amp;" | "&amp;J240</f>
        <v>[1분 성경 구약 #320] 올라가리이까 | 삼하 2:1-11</v>
      </c>
      <c r="U240" s="26" t="n">
        <f aca="false">IF(D240="구약",IF(C240=1,안내!$C$9,안내!$C$10)+AD240-1,IF(C240=1,안내!$C$9,안내!$C$10)+7*INT((AD240-1)/4)+CHOOSE(MOD(AD240-1,4)+1,0,2,4,5))</f>
        <v>46717</v>
      </c>
      <c r="V240" s="23" t="str">
        <f aca="false">CHOOSE(WEEKDAY(U240,2),"월","화","수","목","금","토","일")</f>
        <v>금</v>
      </c>
      <c r="W240" s="24" t="str">
        <f aca="false">IFERROR(IF(INDEX($C$2:$C$799,MATCH(D240&amp;"#"&amp;(E240+1),$AC$2:$AC$799,0))=C240,"다음 편: ","시즌1 완결 · 시즌2 첫 편: ")&amp;INDEX($L$2:$L$799,MATCH(D240&amp;"#"&amp;(E240+1),$AC$2:$AC$799,0)),"구약 트랙 완결")</f>
        <v>다음 편: 내전과 아브넬</v>
      </c>
      <c r="X240" s="23" t="s">
        <v>130</v>
      </c>
      <c r="Y240" s="23" t="s">
        <v>130</v>
      </c>
      <c r="Z240" s="23" t="s">
        <v>130</v>
      </c>
      <c r="AA240" s="23" t="s">
        <v>130</v>
      </c>
      <c r="AB240" s="24"/>
      <c r="AC240" s="23" t="str">
        <f aca="false">D240&amp;"#"&amp;E240</f>
        <v>구약#320</v>
      </c>
      <c r="AD240" s="23" t="n">
        <f aca="false">COUNTIFS($C$2:C240,C240,$D$2:D240,D240)</f>
        <v>138</v>
      </c>
    </row>
    <row r="241" customFormat="false" ht="26.85" hidden="false" customHeight="false" outlineLevel="0" collapsed="false">
      <c r="A241" s="21" t="n">
        <v>240</v>
      </c>
      <c r="B241" s="18" t="s">
        <v>2221</v>
      </c>
      <c r="C241" s="23" t="n">
        <v>2</v>
      </c>
      <c r="D241" s="23" t="s">
        <v>116</v>
      </c>
      <c r="E241" s="23" t="n">
        <f aca="false">IF(C241=1,COUNTIFS($C$2:C241,1,$D$2:D241,D241),COUNTIFS($C$2:$C$799,1,$D$2:$D$799,D241)+COUNTIFS($C$2:C241,2,$D$2:D241,D241))</f>
        <v>321</v>
      </c>
      <c r="F241" s="23" t="str">
        <f aca="false">D241&amp;" #"&amp;TEXT(E241,"000")</f>
        <v>구약 #321</v>
      </c>
      <c r="G241" s="18" t="s">
        <v>2222</v>
      </c>
      <c r="H241" s="18" t="s">
        <v>2223</v>
      </c>
      <c r="I241" s="21" t="s">
        <v>2205</v>
      </c>
      <c r="J241" s="22" t="s">
        <v>2224</v>
      </c>
      <c r="K241" s="23" t="s">
        <v>121</v>
      </c>
      <c r="L241" s="24" t="s">
        <v>2225</v>
      </c>
      <c r="M241" s="24" t="s">
        <v>2226</v>
      </c>
      <c r="N241" s="23" t="s">
        <v>2227</v>
      </c>
      <c r="O241" s="24" t="s">
        <v>2228</v>
      </c>
      <c r="P241" s="24" t="s">
        <v>2229</v>
      </c>
      <c r="Q241" s="24" t="s">
        <v>2230</v>
      </c>
      <c r="R241" s="25" t="s">
        <v>1848</v>
      </c>
      <c r="S241" s="24" t="s">
        <v>2161</v>
      </c>
      <c r="T241" s="24" t="str">
        <f aca="false">"["&amp;안내!$C$5&amp;" "&amp;F241&amp;"] "&amp;L241&amp;" | "&amp;J241</f>
        <v>[1분 성경 구약 #321] 내전과 아브넬 | 삼하 2:12-3:39</v>
      </c>
      <c r="U241" s="26" t="n">
        <f aca="false">IF(D241="구약",IF(C241=1,안내!$C$9,안내!$C$10)+AD241-1,IF(C241=1,안내!$C$9,안내!$C$10)+7*INT((AD241-1)/4)+CHOOSE(MOD(AD241-1,4)+1,0,2,4,5))</f>
        <v>46718</v>
      </c>
      <c r="V241" s="23" t="str">
        <f aca="false">CHOOSE(WEEKDAY(U241,2),"월","화","수","목","금","토","일")</f>
        <v>토</v>
      </c>
      <c r="W241" s="24" t="str">
        <f aca="false">IFERROR(IF(INDEX($C$2:$C$799,MATCH(D241&amp;"#"&amp;(E241+1),$AC$2:$AC$799,0))=C241,"다음 편: ","시즌1 완결 · 시즌2 첫 편: ")&amp;INDEX($L$2:$L$799,MATCH(D241&amp;"#"&amp;(E241+1),$AC$2:$AC$799,0)),"구약 트랙 완결")</f>
        <v>다음 편: 이스보셋의 죽음</v>
      </c>
      <c r="X241" s="23" t="s">
        <v>130</v>
      </c>
      <c r="Y241" s="23" t="s">
        <v>130</v>
      </c>
      <c r="Z241" s="23" t="s">
        <v>130</v>
      </c>
      <c r="AA241" s="23" t="s">
        <v>130</v>
      </c>
      <c r="AB241" s="24"/>
      <c r="AC241" s="23" t="str">
        <f aca="false">D241&amp;"#"&amp;E241</f>
        <v>구약#321</v>
      </c>
      <c r="AD241" s="23" t="n">
        <f aca="false">COUNTIFS($C$2:C241,C241,$D$2:D241,D241)</f>
        <v>139</v>
      </c>
    </row>
    <row r="242" customFormat="false" ht="26.85" hidden="false" customHeight="false" outlineLevel="0" collapsed="false">
      <c r="A242" s="21" t="n">
        <v>241</v>
      </c>
      <c r="B242" s="18" t="s">
        <v>2231</v>
      </c>
      <c r="C242" s="23" t="n">
        <v>2</v>
      </c>
      <c r="D242" s="23" t="s">
        <v>116</v>
      </c>
      <c r="E242" s="23" t="n">
        <f aca="false">IF(C242=1,COUNTIFS($C$2:C242,1,$D$2:D242,D242),COUNTIFS($C$2:$C$799,1,$D$2:$D$799,D242)+COUNTIFS($C$2:C242,2,$D$2:D242,D242))</f>
        <v>322</v>
      </c>
      <c r="F242" s="23" t="str">
        <f aca="false">D242&amp;" #"&amp;TEXT(E242,"000")</f>
        <v>구약 #322</v>
      </c>
      <c r="G242" s="18" t="s">
        <v>2222</v>
      </c>
      <c r="H242" s="18" t="s">
        <v>2223</v>
      </c>
      <c r="I242" s="21" t="s">
        <v>2205</v>
      </c>
      <c r="J242" s="22" t="s">
        <v>2232</v>
      </c>
      <c r="K242" s="23" t="s">
        <v>121</v>
      </c>
      <c r="L242" s="24" t="s">
        <v>2233</v>
      </c>
      <c r="M242" s="24" t="s">
        <v>2234</v>
      </c>
      <c r="N242" s="23" t="s">
        <v>2235</v>
      </c>
      <c r="O242" s="24" t="s">
        <v>2236</v>
      </c>
      <c r="P242" s="24" t="s">
        <v>2237</v>
      </c>
      <c r="Q242" s="24" t="s">
        <v>2220</v>
      </c>
      <c r="R242" s="25" t="s">
        <v>2238</v>
      </c>
      <c r="S242" s="24" t="s">
        <v>2161</v>
      </c>
      <c r="T242" s="24" t="str">
        <f aca="false">"["&amp;안내!$C$5&amp;" "&amp;F242&amp;"] "&amp;L242&amp;" | "&amp;J242</f>
        <v>[1분 성경 구약 #322] 이스보셋의 죽음 | 삼하 4:1-12</v>
      </c>
      <c r="U242" s="26" t="n">
        <f aca="false">IF(D242="구약",IF(C242=1,안내!$C$9,안내!$C$10)+AD242-1,IF(C242=1,안내!$C$9,안내!$C$10)+7*INT((AD242-1)/4)+CHOOSE(MOD(AD242-1,4)+1,0,2,4,5))</f>
        <v>46719</v>
      </c>
      <c r="V242" s="23" t="str">
        <f aca="false">CHOOSE(WEEKDAY(U242,2),"월","화","수","목","금","토","일")</f>
        <v>일</v>
      </c>
      <c r="W242" s="24" t="str">
        <f aca="false">IFERROR(IF(INDEX($C$2:$C$799,MATCH(D242&amp;"#"&amp;(E242+1),$AC$2:$AC$799,0))=C242,"다음 편: ","시즌1 완결 · 시즌2 첫 편: ")&amp;INDEX($L$2:$L$799,MATCH(D242&amp;"#"&amp;(E242+1),$AC$2:$AC$799,0)),"구약 트랙 완결")</f>
        <v>다음 편: 예루살렘 정복</v>
      </c>
      <c r="X242" s="23" t="s">
        <v>130</v>
      </c>
      <c r="Y242" s="23" t="s">
        <v>130</v>
      </c>
      <c r="Z242" s="23" t="s">
        <v>130</v>
      </c>
      <c r="AA242" s="23" t="s">
        <v>130</v>
      </c>
      <c r="AB242" s="24"/>
      <c r="AC242" s="23" t="str">
        <f aca="false">D242&amp;"#"&amp;E242</f>
        <v>구약#322</v>
      </c>
      <c r="AD242" s="23" t="n">
        <f aca="false">COUNTIFS($C$2:C242,C242,$D$2:D242,D242)</f>
        <v>140</v>
      </c>
    </row>
    <row r="243" customFormat="false" ht="26.85" hidden="false" customHeight="false" outlineLevel="0" collapsed="false">
      <c r="A243" s="21" t="n">
        <v>242</v>
      </c>
      <c r="B243" s="18" t="s">
        <v>2239</v>
      </c>
      <c r="C243" s="23" t="n">
        <v>2</v>
      </c>
      <c r="D243" s="23" t="s">
        <v>116</v>
      </c>
      <c r="E243" s="23" t="n">
        <f aca="false">IF(C243=1,COUNTIFS($C$2:C243,1,$D$2:D243,D243),COUNTIFS($C$2:$C$799,1,$D$2:$D$799,D243)+COUNTIFS($C$2:C243,2,$D$2:D243,D243))</f>
        <v>323</v>
      </c>
      <c r="F243" s="23" t="str">
        <f aca="false">D243&amp;" #"&amp;TEXT(E243,"000")</f>
        <v>구약 #323</v>
      </c>
      <c r="G243" s="18" t="s">
        <v>2222</v>
      </c>
      <c r="H243" s="18" t="s">
        <v>2223</v>
      </c>
      <c r="I243" s="21" t="s">
        <v>2205</v>
      </c>
      <c r="J243" s="22" t="s">
        <v>2240</v>
      </c>
      <c r="K243" s="23" t="s">
        <v>121</v>
      </c>
      <c r="L243" s="24" t="s">
        <v>2241</v>
      </c>
      <c r="M243" s="24" t="s">
        <v>2242</v>
      </c>
      <c r="N243" s="23" t="s">
        <v>2243</v>
      </c>
      <c r="O243" s="24" t="s">
        <v>2244</v>
      </c>
      <c r="P243" s="24" t="s">
        <v>2245</v>
      </c>
      <c r="Q243" s="24" t="s">
        <v>2246</v>
      </c>
      <c r="R243" s="24"/>
      <c r="S243" s="24" t="s">
        <v>2161</v>
      </c>
      <c r="T243" s="24" t="str">
        <f aca="false">"["&amp;안내!$C$5&amp;" "&amp;F243&amp;"] "&amp;L243&amp;" | "&amp;J243</f>
        <v>[1분 성경 구약 #323] 예루살렘 정복 | 삼하 5:1-25</v>
      </c>
      <c r="U243" s="26" t="n">
        <f aca="false">IF(D243="구약",IF(C243=1,안내!$C$9,안내!$C$10)+AD243-1,IF(C243=1,안내!$C$9,안내!$C$10)+7*INT((AD243-1)/4)+CHOOSE(MOD(AD243-1,4)+1,0,2,4,5))</f>
        <v>46720</v>
      </c>
      <c r="V243" s="23" t="str">
        <f aca="false">CHOOSE(WEEKDAY(U243,2),"월","화","수","목","금","토","일")</f>
        <v>월</v>
      </c>
      <c r="W243" s="24" t="str">
        <f aca="false">IFERROR(IF(INDEX($C$2:$C$799,MATCH(D243&amp;"#"&amp;(E243+1),$AC$2:$AC$799,0))=C243,"다음 편: ","시즌1 완결 · 시즌2 첫 편: ")&amp;INDEX($L$2:$L$799,MATCH(D243&amp;"#"&amp;(E243+1),$AC$2:$AC$799,0)),"구약 트랙 완결")</f>
        <v>다음 편: 다윗의 승리</v>
      </c>
      <c r="X243" s="23" t="s">
        <v>130</v>
      </c>
      <c r="Y243" s="23" t="s">
        <v>130</v>
      </c>
      <c r="Z243" s="23" t="s">
        <v>130</v>
      </c>
      <c r="AA243" s="23" t="s">
        <v>130</v>
      </c>
      <c r="AB243" s="24"/>
      <c r="AC243" s="23" t="str">
        <f aca="false">D243&amp;"#"&amp;E243</f>
        <v>구약#323</v>
      </c>
      <c r="AD243" s="23" t="n">
        <f aca="false">COUNTIFS($C$2:C243,C243,$D$2:D243,D243)</f>
        <v>141</v>
      </c>
    </row>
    <row r="244" customFormat="false" ht="52.2" hidden="false" customHeight="false" outlineLevel="0" collapsed="false">
      <c r="A244" s="21" t="n">
        <v>243</v>
      </c>
      <c r="B244" s="18" t="s">
        <v>2247</v>
      </c>
      <c r="C244" s="20" t="n">
        <v>1</v>
      </c>
      <c r="D244" s="20" t="s">
        <v>116</v>
      </c>
      <c r="E244" s="20" t="n">
        <f aca="false">IF(C244=1,COUNTIFS($C$2:C244,1,$D$2:D244,D244),COUNTIFS($C$2:$C$799,1,$D$2:$D$799,D244)+COUNTIFS($C$2:C244,2,$D$2:D244,D244))</f>
        <v>102</v>
      </c>
      <c r="F244" s="20" t="str">
        <f aca="false">D244&amp;" #"&amp;TEXT(E244,"000")</f>
        <v>구약 #102</v>
      </c>
      <c r="G244" s="18" t="s">
        <v>2222</v>
      </c>
      <c r="H244" s="18" t="s">
        <v>2065</v>
      </c>
      <c r="I244" s="21" t="s">
        <v>2205</v>
      </c>
      <c r="J244" s="22" t="s">
        <v>2248</v>
      </c>
      <c r="K244" s="23" t="s">
        <v>121</v>
      </c>
      <c r="L244" s="24" t="s">
        <v>2249</v>
      </c>
      <c r="M244" s="24" t="s">
        <v>2250</v>
      </c>
      <c r="N244" s="23" t="s">
        <v>2251</v>
      </c>
      <c r="O244" s="24" t="s">
        <v>2252</v>
      </c>
      <c r="P244" s="24" t="s">
        <v>2253</v>
      </c>
      <c r="Q244" s="24" t="s">
        <v>2254</v>
      </c>
      <c r="R244" s="25" t="s">
        <v>2255</v>
      </c>
      <c r="S244" s="28" t="s">
        <v>2256</v>
      </c>
      <c r="T244" s="24" t="str">
        <f aca="false">"["&amp;안내!$C$5&amp;" "&amp;F244&amp;"] "&amp;L244&amp;" | "&amp;J244</f>
        <v>[1분 성경 구약 #102] 언약궤 앞에서 춤추다 | 삼하 6:1-23</v>
      </c>
      <c r="U244" s="26" t="n">
        <f aca="false">IF(D244="구약",IF(C244=1,안내!$C$9,안내!$C$10)+AD244-1,IF(C244=1,안내!$C$9,안내!$C$10)+7*INT((AD244-1)/4)+CHOOSE(MOD(AD244-1,4)+1,0,2,4,5))</f>
        <v>46492</v>
      </c>
      <c r="V244" s="23" t="str">
        <f aca="false">CHOOSE(WEEKDAY(U244,2),"월","화","수","목","금","토","일")</f>
        <v>목</v>
      </c>
      <c r="W244" s="24" t="str">
        <f aca="false">IFERROR(IF(INDEX($C$2:$C$799,MATCH(D244&amp;"#"&amp;(E244+1),$AC$2:$AC$799,0))=C244,"다음 편: ","시즌1 완결 · 시즌2 첫 편: ")&amp;INDEX($L$2:$L$799,MATCH(D244&amp;"#"&amp;(E244+1),$AC$2:$AC$799,0)),"구약 트랙 완결")</f>
        <v>다음 편: 영원한 왕국의 약속</v>
      </c>
      <c r="X244" s="23" t="s">
        <v>130</v>
      </c>
      <c r="Y244" s="23" t="s">
        <v>130</v>
      </c>
      <c r="Z244" s="23" t="s">
        <v>130</v>
      </c>
      <c r="AA244" s="23" t="s">
        <v>130</v>
      </c>
      <c r="AB244" s="24"/>
      <c r="AC244" s="23" t="str">
        <f aca="false">D244&amp;"#"&amp;E244</f>
        <v>구약#102</v>
      </c>
      <c r="AD244" s="23" t="n">
        <f aca="false">COUNTIFS($C$2:C244,C244,$D$2:D244,D244)</f>
        <v>102</v>
      </c>
    </row>
    <row r="245" customFormat="false" ht="26.85" hidden="false" customHeight="false" outlineLevel="0" collapsed="false">
      <c r="A245" s="21" t="n">
        <v>244</v>
      </c>
      <c r="B245" s="18" t="s">
        <v>2257</v>
      </c>
      <c r="C245" s="20" t="n">
        <v>1</v>
      </c>
      <c r="D245" s="20" t="s">
        <v>116</v>
      </c>
      <c r="E245" s="20" t="n">
        <f aca="false">IF(C245=1,COUNTIFS($C$2:C245,1,$D$2:D245,D245),COUNTIFS($C$2:$C$799,1,$D$2:$D$799,D245)+COUNTIFS($C$2:C245,2,$D$2:D245,D245))</f>
        <v>103</v>
      </c>
      <c r="F245" s="20" t="str">
        <f aca="false">D245&amp;" #"&amp;TEXT(E245,"000")</f>
        <v>구약 #103</v>
      </c>
      <c r="G245" s="18" t="s">
        <v>2222</v>
      </c>
      <c r="H245" s="18" t="s">
        <v>2065</v>
      </c>
      <c r="I245" s="21" t="s">
        <v>2205</v>
      </c>
      <c r="J245" s="22" t="s">
        <v>2258</v>
      </c>
      <c r="K245" s="23" t="s">
        <v>121</v>
      </c>
      <c r="L245" s="24" t="s">
        <v>2259</v>
      </c>
      <c r="M245" s="24" t="s">
        <v>2260</v>
      </c>
      <c r="N245" s="23" t="s">
        <v>2261</v>
      </c>
      <c r="O245" s="24" t="s">
        <v>2262</v>
      </c>
      <c r="P245" s="24" t="s">
        <v>2263</v>
      </c>
      <c r="Q245" s="24" t="s">
        <v>2264</v>
      </c>
      <c r="R245" s="25" t="s">
        <v>2265</v>
      </c>
      <c r="S245" s="24" t="s">
        <v>129</v>
      </c>
      <c r="T245" s="24" t="str">
        <f aca="false">"["&amp;안내!$C$5&amp;" "&amp;F245&amp;"] "&amp;L245&amp;" | "&amp;J245</f>
        <v>[1분 성경 구약 #103] 영원한 왕국의 약속 | 삼하 7:1-29</v>
      </c>
      <c r="U245" s="26" t="n">
        <f aca="false">IF(D245="구약",IF(C245=1,안내!$C$9,안내!$C$10)+AD245-1,IF(C245=1,안내!$C$9,안내!$C$10)+7*INT((AD245-1)/4)+CHOOSE(MOD(AD245-1,4)+1,0,2,4,5))</f>
        <v>46493</v>
      </c>
      <c r="V245" s="23" t="str">
        <f aca="false">CHOOSE(WEEKDAY(U245,2),"월","화","수","목","금","토","일")</f>
        <v>금</v>
      </c>
      <c r="W245" s="24" t="str">
        <f aca="false">IFERROR(IF(INDEX($C$2:$C$799,MATCH(D245&amp;"#"&amp;(E245+1),$AC$2:$AC$799,0))=C245,"다음 편: ","시즌1 완결 · 시즌2 첫 편: ")&amp;INDEX($L$2:$L$799,MATCH(D245&amp;"#"&amp;(E245+1),$AC$2:$AC$799,0)),"구약 트랙 완결")</f>
        <v>다음 편: 왕의 식탁</v>
      </c>
      <c r="X245" s="23" t="s">
        <v>130</v>
      </c>
      <c r="Y245" s="23" t="s">
        <v>130</v>
      </c>
      <c r="Z245" s="23" t="s">
        <v>130</v>
      </c>
      <c r="AA245" s="23" t="s">
        <v>130</v>
      </c>
      <c r="AB245" s="24"/>
      <c r="AC245" s="23" t="str">
        <f aca="false">D245&amp;"#"&amp;E245</f>
        <v>구약#103</v>
      </c>
      <c r="AD245" s="23" t="n">
        <f aca="false">COUNTIFS($C$2:C245,C245,$D$2:D245,D245)</f>
        <v>103</v>
      </c>
    </row>
    <row r="246" customFormat="false" ht="26.85" hidden="false" customHeight="false" outlineLevel="0" collapsed="false">
      <c r="A246" s="21" t="n">
        <v>245</v>
      </c>
      <c r="B246" s="18" t="s">
        <v>2266</v>
      </c>
      <c r="C246" s="23" t="n">
        <v>2</v>
      </c>
      <c r="D246" s="23" t="s">
        <v>116</v>
      </c>
      <c r="E246" s="23" t="n">
        <f aca="false">IF(C246=1,COUNTIFS($C$2:C246,1,$D$2:D246,D246),COUNTIFS($C$2:$C$799,1,$D$2:$D$799,D246)+COUNTIFS($C$2:C246,2,$D$2:D246,D246))</f>
        <v>324</v>
      </c>
      <c r="F246" s="23" t="str">
        <f aca="false">D246&amp;" #"&amp;TEXT(E246,"000")</f>
        <v>구약 #324</v>
      </c>
      <c r="G246" s="18" t="s">
        <v>2222</v>
      </c>
      <c r="H246" s="18" t="s">
        <v>2223</v>
      </c>
      <c r="I246" s="21" t="s">
        <v>2205</v>
      </c>
      <c r="J246" s="22" t="s">
        <v>2267</v>
      </c>
      <c r="K246" s="23" t="s">
        <v>121</v>
      </c>
      <c r="L246" s="24" t="s">
        <v>2268</v>
      </c>
      <c r="M246" s="24" t="s">
        <v>2269</v>
      </c>
      <c r="N246" s="23" t="s">
        <v>2270</v>
      </c>
      <c r="O246" s="24" t="s">
        <v>2271</v>
      </c>
      <c r="P246" s="24" t="s">
        <v>2272</v>
      </c>
      <c r="Q246" s="24" t="s">
        <v>2273</v>
      </c>
      <c r="R246" s="24"/>
      <c r="S246" s="24" t="s">
        <v>2274</v>
      </c>
      <c r="T246" s="24" t="str">
        <f aca="false">"["&amp;안내!$C$5&amp;" "&amp;F246&amp;"] "&amp;L246&amp;" | "&amp;J246</f>
        <v>[1분 성경 구약 #324] 다윗의 승리 | 삼하 8:1-18</v>
      </c>
      <c r="U246" s="26" t="n">
        <f aca="false">IF(D246="구약",IF(C246=1,안내!$C$9,안내!$C$10)+AD246-1,IF(C246=1,안내!$C$9,안내!$C$10)+7*INT((AD246-1)/4)+CHOOSE(MOD(AD246-1,4)+1,0,2,4,5))</f>
        <v>46721</v>
      </c>
      <c r="V246" s="23" t="str">
        <f aca="false">CHOOSE(WEEKDAY(U246,2),"월","화","수","목","금","토","일")</f>
        <v>화</v>
      </c>
      <c r="W246" s="24" t="str">
        <f aca="false">IFERROR(IF(INDEX($C$2:$C$799,MATCH(D246&amp;"#"&amp;(E246+1),$AC$2:$AC$799,0))=C246,"다음 편: ","시즌1 완결 · 시즌2 첫 편: ")&amp;INDEX($L$2:$L$799,MATCH(D246&amp;"#"&amp;(E246+1),$AC$2:$AC$799,0)),"구약 트랙 완결")</f>
        <v>다음 편: 암몬과의 전쟁</v>
      </c>
      <c r="X246" s="23" t="s">
        <v>130</v>
      </c>
      <c r="Y246" s="23" t="s">
        <v>130</v>
      </c>
      <c r="Z246" s="23" t="s">
        <v>130</v>
      </c>
      <c r="AA246" s="23" t="s">
        <v>130</v>
      </c>
      <c r="AB246" s="24"/>
      <c r="AC246" s="23" t="str">
        <f aca="false">D246&amp;"#"&amp;E246</f>
        <v>구약#324</v>
      </c>
      <c r="AD246" s="23" t="n">
        <f aca="false">COUNTIFS($C$2:C246,C246,$D$2:D246,D246)</f>
        <v>142</v>
      </c>
    </row>
    <row r="247" customFormat="false" ht="26.85" hidden="false" customHeight="false" outlineLevel="0" collapsed="false">
      <c r="A247" s="21" t="n">
        <v>246</v>
      </c>
      <c r="B247" s="18" t="s">
        <v>2275</v>
      </c>
      <c r="C247" s="20" t="n">
        <v>1</v>
      </c>
      <c r="D247" s="20" t="s">
        <v>116</v>
      </c>
      <c r="E247" s="20" t="n">
        <f aca="false">IF(C247=1,COUNTIFS($C$2:C247,1,$D$2:D247,D247),COUNTIFS($C$2:$C$799,1,$D$2:$D$799,D247)+COUNTIFS($C$2:C247,2,$D$2:D247,D247))</f>
        <v>104</v>
      </c>
      <c r="F247" s="20" t="str">
        <f aca="false">D247&amp;" #"&amp;TEXT(E247,"000")</f>
        <v>구약 #104</v>
      </c>
      <c r="G247" s="18" t="s">
        <v>2222</v>
      </c>
      <c r="H247" s="18" t="s">
        <v>2065</v>
      </c>
      <c r="I247" s="21" t="s">
        <v>2205</v>
      </c>
      <c r="J247" s="22" t="s">
        <v>2276</v>
      </c>
      <c r="K247" s="23" t="s">
        <v>121</v>
      </c>
      <c r="L247" s="24" t="s">
        <v>2277</v>
      </c>
      <c r="M247" s="24" t="s">
        <v>2278</v>
      </c>
      <c r="N247" s="23" t="s">
        <v>2279</v>
      </c>
      <c r="O247" s="24" t="s">
        <v>2280</v>
      </c>
      <c r="P247" s="24" t="s">
        <v>2281</v>
      </c>
      <c r="Q247" s="24" t="s">
        <v>2282</v>
      </c>
      <c r="R247" s="25" t="s">
        <v>2283</v>
      </c>
      <c r="S247" s="28" t="s">
        <v>2284</v>
      </c>
      <c r="T247" s="24" t="str">
        <f aca="false">"["&amp;안내!$C$5&amp;" "&amp;F247&amp;"] "&amp;L247&amp;" | "&amp;J247</f>
        <v>[1분 성경 구약 #104] 왕의 식탁 | 삼하 9:1-13</v>
      </c>
      <c r="U247" s="26" t="n">
        <f aca="false">IF(D247="구약",IF(C247=1,안내!$C$9,안내!$C$10)+AD247-1,IF(C247=1,안내!$C$9,안내!$C$10)+7*INT((AD247-1)/4)+CHOOSE(MOD(AD247-1,4)+1,0,2,4,5))</f>
        <v>46494</v>
      </c>
      <c r="V247" s="23" t="str">
        <f aca="false">CHOOSE(WEEKDAY(U247,2),"월","화","수","목","금","토","일")</f>
        <v>토</v>
      </c>
      <c r="W247" s="24" t="str">
        <f aca="false">IFERROR(IF(INDEX($C$2:$C$799,MATCH(D247&amp;"#"&amp;(E247+1),$AC$2:$AC$799,0))=C247,"다음 편: ","시즌1 완결 · 시즌2 첫 편: ")&amp;INDEX($L$2:$L$799,MATCH(D247&amp;"#"&amp;(E247+1),$AC$2:$AC$799,0)),"구약 트랙 완결")</f>
        <v>다음 편: 왕궁 옥상에서</v>
      </c>
      <c r="X247" s="23" t="s">
        <v>130</v>
      </c>
      <c r="Y247" s="23" t="s">
        <v>130</v>
      </c>
      <c r="Z247" s="23" t="s">
        <v>130</v>
      </c>
      <c r="AA247" s="23" t="s">
        <v>130</v>
      </c>
      <c r="AB247" s="24"/>
      <c r="AC247" s="23" t="str">
        <f aca="false">D247&amp;"#"&amp;E247</f>
        <v>구약#104</v>
      </c>
      <c r="AD247" s="23" t="n">
        <f aca="false">COUNTIFS($C$2:C247,C247,$D$2:D247,D247)</f>
        <v>104</v>
      </c>
    </row>
    <row r="248" customFormat="false" ht="26.85" hidden="false" customHeight="false" outlineLevel="0" collapsed="false">
      <c r="A248" s="21" t="n">
        <v>247</v>
      </c>
      <c r="B248" s="18" t="s">
        <v>2285</v>
      </c>
      <c r="C248" s="23" t="n">
        <v>2</v>
      </c>
      <c r="D248" s="23" t="s">
        <v>116</v>
      </c>
      <c r="E248" s="23" t="n">
        <f aca="false">IF(C248=1,COUNTIFS($C$2:C248,1,$D$2:D248,D248),COUNTIFS($C$2:$C$799,1,$D$2:$D$799,D248)+COUNTIFS($C$2:C248,2,$D$2:D248,D248))</f>
        <v>325</v>
      </c>
      <c r="F248" s="23" t="str">
        <f aca="false">D248&amp;" #"&amp;TEXT(E248,"000")</f>
        <v>구약 #325</v>
      </c>
      <c r="G248" s="18" t="s">
        <v>2222</v>
      </c>
      <c r="H248" s="18" t="s">
        <v>2223</v>
      </c>
      <c r="I248" s="21" t="s">
        <v>2205</v>
      </c>
      <c r="J248" s="22" t="s">
        <v>2286</v>
      </c>
      <c r="K248" s="23" t="s">
        <v>121</v>
      </c>
      <c r="L248" s="24" t="s">
        <v>2287</v>
      </c>
      <c r="M248" s="24" t="s">
        <v>2288</v>
      </c>
      <c r="N248" s="23" t="s">
        <v>2289</v>
      </c>
      <c r="O248" s="24" t="s">
        <v>2290</v>
      </c>
      <c r="P248" s="24" t="s">
        <v>2291</v>
      </c>
      <c r="Q248" s="24" t="s">
        <v>2292</v>
      </c>
      <c r="R248" s="24"/>
      <c r="S248" s="24" t="s">
        <v>2293</v>
      </c>
      <c r="T248" s="24" t="str">
        <f aca="false">"["&amp;안내!$C$5&amp;" "&amp;F248&amp;"] "&amp;L248&amp;" | "&amp;J248</f>
        <v>[1분 성경 구약 #325] 암몬과의 전쟁 | 삼하 10:1-19</v>
      </c>
      <c r="U248" s="26" t="n">
        <f aca="false">IF(D248="구약",IF(C248=1,안내!$C$9,안내!$C$10)+AD248-1,IF(C248=1,안내!$C$9,안내!$C$10)+7*INT((AD248-1)/4)+CHOOSE(MOD(AD248-1,4)+1,0,2,4,5))</f>
        <v>46722</v>
      </c>
      <c r="V248" s="23" t="str">
        <f aca="false">CHOOSE(WEEKDAY(U248,2),"월","화","수","목","금","토","일")</f>
        <v>수</v>
      </c>
      <c r="W248" s="24" t="str">
        <f aca="false">IFERROR(IF(INDEX($C$2:$C$799,MATCH(D248&amp;"#"&amp;(E248+1),$AC$2:$AC$799,0))=C248,"다음 편: ","시즌1 완결 · 시즌2 첫 편: ")&amp;INDEX($L$2:$L$799,MATCH(D248&amp;"#"&amp;(E248+1),$AC$2:$AC$799,0)),"구약 트랙 완결")</f>
        <v>다음 편: 무너진 가정</v>
      </c>
      <c r="X248" s="23" t="s">
        <v>130</v>
      </c>
      <c r="Y248" s="23" t="s">
        <v>130</v>
      </c>
      <c r="Z248" s="23" t="s">
        <v>130</v>
      </c>
      <c r="AA248" s="23" t="s">
        <v>130</v>
      </c>
      <c r="AB248" s="24"/>
      <c r="AC248" s="23" t="str">
        <f aca="false">D248&amp;"#"&amp;E248</f>
        <v>구약#325</v>
      </c>
      <c r="AD248" s="23" t="n">
        <f aca="false">COUNTIFS($C$2:C248,C248,$D$2:D248,D248)</f>
        <v>143</v>
      </c>
    </row>
    <row r="249" customFormat="false" ht="26.85" hidden="false" customHeight="false" outlineLevel="0" collapsed="false">
      <c r="A249" s="21" t="n">
        <v>248</v>
      </c>
      <c r="B249" s="18" t="s">
        <v>2294</v>
      </c>
      <c r="C249" s="20" t="n">
        <v>1</v>
      </c>
      <c r="D249" s="20" t="s">
        <v>116</v>
      </c>
      <c r="E249" s="20" t="n">
        <f aca="false">IF(C249=1,COUNTIFS($C$2:C249,1,$D$2:D249,D249),COUNTIFS($C$2:$C$799,1,$D$2:$D$799,D249)+COUNTIFS($C$2:C249,2,$D$2:D249,D249))</f>
        <v>105</v>
      </c>
      <c r="F249" s="20" t="str">
        <f aca="false">D249&amp;" #"&amp;TEXT(E249,"000")</f>
        <v>구약 #105</v>
      </c>
      <c r="G249" s="18" t="s">
        <v>2295</v>
      </c>
      <c r="H249" s="18" t="s">
        <v>2296</v>
      </c>
      <c r="I249" s="21" t="s">
        <v>2205</v>
      </c>
      <c r="J249" s="22" t="s">
        <v>2297</v>
      </c>
      <c r="K249" s="23" t="s">
        <v>121</v>
      </c>
      <c r="L249" s="24" t="s">
        <v>2298</v>
      </c>
      <c r="M249" s="24" t="s">
        <v>2299</v>
      </c>
      <c r="N249" s="23" t="s">
        <v>2300</v>
      </c>
      <c r="O249" s="24" t="s">
        <v>2301</v>
      </c>
      <c r="P249" s="24" t="s">
        <v>2302</v>
      </c>
      <c r="Q249" s="24" t="s">
        <v>2303</v>
      </c>
      <c r="R249" s="25" t="s">
        <v>2304</v>
      </c>
      <c r="S249" s="28" t="s">
        <v>2305</v>
      </c>
      <c r="T249" s="24" t="str">
        <f aca="false">"["&amp;안내!$C$5&amp;" "&amp;F249&amp;"] "&amp;L249&amp;" | "&amp;J249</f>
        <v>[1분 성경 구약 #105] 왕궁 옥상에서 | 삼하 11:1-27</v>
      </c>
      <c r="U249" s="26" t="n">
        <f aca="false">IF(D249="구약",IF(C249=1,안내!$C$9,안내!$C$10)+AD249-1,IF(C249=1,안내!$C$9,안내!$C$10)+7*INT((AD249-1)/4)+CHOOSE(MOD(AD249-1,4)+1,0,2,4,5))</f>
        <v>46495</v>
      </c>
      <c r="V249" s="23" t="str">
        <f aca="false">CHOOSE(WEEKDAY(U249,2),"월","화","수","목","금","토","일")</f>
        <v>일</v>
      </c>
      <c r="W249" s="24" t="str">
        <f aca="false">IFERROR(IF(INDEX($C$2:$C$799,MATCH(D249&amp;"#"&amp;(E249+1),$AC$2:$AC$799,0))=C249,"다음 편: ","시즌1 완결 · 시즌2 첫 편: ")&amp;INDEX($L$2:$L$799,MATCH(D249&amp;"#"&amp;(E249+1),$AC$2:$AC$799,0)),"구약 트랙 완결")</f>
        <v>다음 편: 당신이 그 사람이라</v>
      </c>
      <c r="X249" s="23" t="s">
        <v>130</v>
      </c>
      <c r="Y249" s="23" t="s">
        <v>130</v>
      </c>
      <c r="Z249" s="23" t="s">
        <v>130</v>
      </c>
      <c r="AA249" s="23" t="s">
        <v>130</v>
      </c>
      <c r="AB249" s="24"/>
      <c r="AC249" s="23" t="str">
        <f aca="false">D249&amp;"#"&amp;E249</f>
        <v>구약#105</v>
      </c>
      <c r="AD249" s="23" t="n">
        <f aca="false">COUNTIFS($C$2:C249,C249,$D$2:D249,D249)</f>
        <v>105</v>
      </c>
    </row>
    <row r="250" customFormat="false" ht="26.85" hidden="false" customHeight="false" outlineLevel="0" collapsed="false">
      <c r="A250" s="21" t="n">
        <v>249</v>
      </c>
      <c r="B250" s="18" t="s">
        <v>2306</v>
      </c>
      <c r="C250" s="20" t="n">
        <v>1</v>
      </c>
      <c r="D250" s="20" t="s">
        <v>116</v>
      </c>
      <c r="E250" s="20" t="n">
        <f aca="false">IF(C250=1,COUNTIFS($C$2:C250,1,$D$2:D250,D250),COUNTIFS($C$2:$C$799,1,$D$2:$D$799,D250)+COUNTIFS($C$2:C250,2,$D$2:D250,D250))</f>
        <v>106</v>
      </c>
      <c r="F250" s="20" t="str">
        <f aca="false">D250&amp;" #"&amp;TEXT(E250,"000")</f>
        <v>구약 #106</v>
      </c>
      <c r="G250" s="18" t="s">
        <v>2295</v>
      </c>
      <c r="H250" s="18" t="s">
        <v>2296</v>
      </c>
      <c r="I250" s="21" t="s">
        <v>2205</v>
      </c>
      <c r="J250" s="22" t="s">
        <v>2307</v>
      </c>
      <c r="K250" s="23" t="s">
        <v>121</v>
      </c>
      <c r="L250" s="24" t="s">
        <v>2308</v>
      </c>
      <c r="M250" s="24" t="s">
        <v>2309</v>
      </c>
      <c r="N250" s="23" t="s">
        <v>2310</v>
      </c>
      <c r="O250" s="24" t="s">
        <v>2311</v>
      </c>
      <c r="P250" s="24" t="s">
        <v>2312</v>
      </c>
      <c r="Q250" s="24" t="s">
        <v>2264</v>
      </c>
      <c r="R250" s="25" t="s">
        <v>2313</v>
      </c>
      <c r="S250" s="24" t="s">
        <v>129</v>
      </c>
      <c r="T250" s="24" t="str">
        <f aca="false">"["&amp;안내!$C$5&amp;" "&amp;F250&amp;"] "&amp;L250&amp;" | "&amp;J250</f>
        <v>[1분 성경 구약 #106] 당신이 그 사람이라 | 삼하 12:1-25</v>
      </c>
      <c r="U250" s="26" t="n">
        <f aca="false">IF(D250="구약",IF(C250=1,안내!$C$9,안내!$C$10)+AD250-1,IF(C250=1,안내!$C$9,안내!$C$10)+7*INT((AD250-1)/4)+CHOOSE(MOD(AD250-1,4)+1,0,2,4,5))</f>
        <v>46496</v>
      </c>
      <c r="V250" s="23" t="str">
        <f aca="false">CHOOSE(WEEKDAY(U250,2),"월","화","수","목","금","토","일")</f>
        <v>월</v>
      </c>
      <c r="W250" s="24" t="str">
        <f aca="false">IFERROR(IF(INDEX($C$2:$C$799,MATCH(D250&amp;"#"&amp;(E250+1),$AC$2:$AC$799,0))=C250,"다음 편: ","시즌1 완결 · 시즌2 첫 편: ")&amp;INDEX($L$2:$L$799,MATCH(D250&amp;"#"&amp;(E250+1),$AC$2:$AC$799,0)),"구약 트랙 완결")</f>
        <v>다음 편: 맨발로 울며 떠난 왕</v>
      </c>
      <c r="X250" s="23" t="s">
        <v>130</v>
      </c>
      <c r="Y250" s="23" t="s">
        <v>130</v>
      </c>
      <c r="Z250" s="23" t="s">
        <v>130</v>
      </c>
      <c r="AA250" s="23" t="s">
        <v>130</v>
      </c>
      <c r="AB250" s="24"/>
      <c r="AC250" s="23" t="str">
        <f aca="false">D250&amp;"#"&amp;E250</f>
        <v>구약#106</v>
      </c>
      <c r="AD250" s="23" t="n">
        <f aca="false">COUNTIFS($C$2:C250,C250,$D$2:D250,D250)</f>
        <v>106</v>
      </c>
    </row>
    <row r="251" customFormat="false" ht="26.85" hidden="false" customHeight="false" outlineLevel="0" collapsed="false">
      <c r="A251" s="21" t="n">
        <v>250</v>
      </c>
      <c r="B251" s="18" t="s">
        <v>2314</v>
      </c>
      <c r="C251" s="23" t="n">
        <v>2</v>
      </c>
      <c r="D251" s="23" t="s">
        <v>116</v>
      </c>
      <c r="E251" s="23" t="n">
        <f aca="false">IF(C251=1,COUNTIFS($C$2:C251,1,$D$2:D251,D251),COUNTIFS($C$2:$C$799,1,$D$2:$D$799,D251)+COUNTIFS($C$2:C251,2,$D$2:D251,D251))</f>
        <v>326</v>
      </c>
      <c r="F251" s="23" t="str">
        <f aca="false">D251&amp;" #"&amp;TEXT(E251,"000")</f>
        <v>구약 #326</v>
      </c>
      <c r="G251" s="18" t="s">
        <v>2295</v>
      </c>
      <c r="H251" s="18" t="s">
        <v>2223</v>
      </c>
      <c r="I251" s="21" t="s">
        <v>2205</v>
      </c>
      <c r="J251" s="22" t="s">
        <v>2315</v>
      </c>
      <c r="K251" s="23" t="s">
        <v>121</v>
      </c>
      <c r="L251" s="24" t="s">
        <v>2316</v>
      </c>
      <c r="M251" s="24" t="s">
        <v>2317</v>
      </c>
      <c r="N251" s="23" t="s">
        <v>2318</v>
      </c>
      <c r="O251" s="24" t="s">
        <v>2319</v>
      </c>
      <c r="P251" s="24" t="s">
        <v>2320</v>
      </c>
      <c r="Q251" s="24" t="s">
        <v>2264</v>
      </c>
      <c r="R251" s="25" t="s">
        <v>2321</v>
      </c>
      <c r="S251" s="24" t="s">
        <v>2322</v>
      </c>
      <c r="T251" s="24" t="str">
        <f aca="false">"["&amp;안내!$C$5&amp;" "&amp;F251&amp;"] "&amp;L251&amp;" | "&amp;J251</f>
        <v>[1분 성경 구약 #326] 무너진 가정 | 삼하 13:1-39</v>
      </c>
      <c r="U251" s="26" t="n">
        <f aca="false">IF(D251="구약",IF(C251=1,안내!$C$9,안내!$C$10)+AD251-1,IF(C251=1,안내!$C$9,안내!$C$10)+7*INT((AD251-1)/4)+CHOOSE(MOD(AD251-1,4)+1,0,2,4,5))</f>
        <v>46723</v>
      </c>
      <c r="V251" s="23" t="str">
        <f aca="false">CHOOSE(WEEKDAY(U251,2),"월","화","수","목","금","토","일")</f>
        <v>목</v>
      </c>
      <c r="W251" s="24" t="str">
        <f aca="false">IFERROR(IF(INDEX($C$2:$C$799,MATCH(D251&amp;"#"&amp;(E251+1),$AC$2:$AC$799,0))=C251,"다음 편: ","시즌1 완결 · 시즌2 첫 편: ")&amp;INDEX($L$2:$L$799,MATCH(D251&amp;"#"&amp;(E251+1),$AC$2:$AC$799,0)),"구약 트랙 완결")</f>
        <v>다음 편: 돌아온 압살롬</v>
      </c>
      <c r="X251" s="23" t="s">
        <v>130</v>
      </c>
      <c r="Y251" s="23" t="s">
        <v>130</v>
      </c>
      <c r="Z251" s="23" t="s">
        <v>130</v>
      </c>
      <c r="AA251" s="23" t="s">
        <v>130</v>
      </c>
      <c r="AB251" s="24"/>
      <c r="AC251" s="23" t="str">
        <f aca="false">D251&amp;"#"&amp;E251</f>
        <v>구약#326</v>
      </c>
      <c r="AD251" s="23" t="n">
        <f aca="false">COUNTIFS($C$2:C251,C251,$D$2:D251,D251)</f>
        <v>144</v>
      </c>
    </row>
    <row r="252" customFormat="false" ht="26.85" hidden="false" customHeight="false" outlineLevel="0" collapsed="false">
      <c r="A252" s="21" t="n">
        <v>251</v>
      </c>
      <c r="B252" s="18" t="s">
        <v>2323</v>
      </c>
      <c r="C252" s="23" t="n">
        <v>2</v>
      </c>
      <c r="D252" s="23" t="s">
        <v>116</v>
      </c>
      <c r="E252" s="23" t="n">
        <f aca="false">IF(C252=1,COUNTIFS($C$2:C252,1,$D$2:D252,D252),COUNTIFS($C$2:$C$799,1,$D$2:$D$799,D252)+COUNTIFS($C$2:C252,2,$D$2:D252,D252))</f>
        <v>327</v>
      </c>
      <c r="F252" s="23" t="str">
        <f aca="false">D252&amp;" #"&amp;TEXT(E252,"000")</f>
        <v>구약 #327</v>
      </c>
      <c r="G252" s="18" t="s">
        <v>2295</v>
      </c>
      <c r="H252" s="18" t="s">
        <v>2223</v>
      </c>
      <c r="I252" s="21" t="s">
        <v>2205</v>
      </c>
      <c r="J252" s="22" t="s">
        <v>2324</v>
      </c>
      <c r="K252" s="23" t="s">
        <v>121</v>
      </c>
      <c r="L252" s="24" t="s">
        <v>2325</v>
      </c>
      <c r="M252" s="24" t="s">
        <v>2326</v>
      </c>
      <c r="N252" s="23" t="s">
        <v>2327</v>
      </c>
      <c r="O252" s="24" t="s">
        <v>2328</v>
      </c>
      <c r="P252" s="24" t="s">
        <v>2329</v>
      </c>
      <c r="Q252" s="24" t="s">
        <v>2330</v>
      </c>
      <c r="R252" s="24"/>
      <c r="S252" s="24" t="s">
        <v>2322</v>
      </c>
      <c r="T252" s="24" t="str">
        <f aca="false">"["&amp;안내!$C$5&amp;" "&amp;F252&amp;"] "&amp;L252&amp;" | "&amp;J252</f>
        <v>[1분 성경 구약 #327] 돌아온 압살롬 | 삼하 14:1-33</v>
      </c>
      <c r="U252" s="26" t="n">
        <f aca="false">IF(D252="구약",IF(C252=1,안내!$C$9,안내!$C$10)+AD252-1,IF(C252=1,안내!$C$9,안내!$C$10)+7*INT((AD252-1)/4)+CHOOSE(MOD(AD252-1,4)+1,0,2,4,5))</f>
        <v>46724</v>
      </c>
      <c r="V252" s="23" t="str">
        <f aca="false">CHOOSE(WEEKDAY(U252,2),"월","화","수","목","금","토","일")</f>
        <v>금</v>
      </c>
      <c r="W252" s="24" t="str">
        <f aca="false">IFERROR(IF(INDEX($C$2:$C$799,MATCH(D252&amp;"#"&amp;(E252+1),$AC$2:$AC$799,0))=C252,"다음 편: ","시즌1 완결 · 시즌2 첫 편: ")&amp;INDEX($L$2:$L$799,MATCH(D252&amp;"#"&amp;(E252+1),$AC$2:$AC$799,0)),"구약 트랙 완결")</f>
        <v>다음 편: 저주를 참은 왕</v>
      </c>
      <c r="X252" s="23" t="s">
        <v>130</v>
      </c>
      <c r="Y252" s="23" t="s">
        <v>130</v>
      </c>
      <c r="Z252" s="23" t="s">
        <v>130</v>
      </c>
      <c r="AA252" s="23" t="s">
        <v>130</v>
      </c>
      <c r="AB252" s="24"/>
      <c r="AC252" s="23" t="str">
        <f aca="false">D252&amp;"#"&amp;E252</f>
        <v>구약#327</v>
      </c>
      <c r="AD252" s="23" t="n">
        <f aca="false">COUNTIFS($C$2:C252,C252,$D$2:D252,D252)</f>
        <v>145</v>
      </c>
    </row>
    <row r="253" customFormat="false" ht="39.55" hidden="false" customHeight="false" outlineLevel="0" collapsed="false">
      <c r="A253" s="21" t="n">
        <v>252</v>
      </c>
      <c r="B253" s="18" t="s">
        <v>2331</v>
      </c>
      <c r="C253" s="20" t="n">
        <v>1</v>
      </c>
      <c r="D253" s="20" t="s">
        <v>116</v>
      </c>
      <c r="E253" s="20" t="n">
        <f aca="false">IF(C253=1,COUNTIFS($C$2:C253,1,$D$2:D253,D253),COUNTIFS($C$2:$C$799,1,$D$2:$D$799,D253)+COUNTIFS($C$2:C253,2,$D$2:D253,D253))</f>
        <v>107</v>
      </c>
      <c r="F253" s="20" t="str">
        <f aca="false">D253&amp;" #"&amp;TEXT(E253,"000")</f>
        <v>구약 #107</v>
      </c>
      <c r="G253" s="18" t="s">
        <v>2295</v>
      </c>
      <c r="H253" s="18" t="s">
        <v>2296</v>
      </c>
      <c r="I253" s="21" t="s">
        <v>2205</v>
      </c>
      <c r="J253" s="22" t="s">
        <v>2332</v>
      </c>
      <c r="K253" s="23" t="s">
        <v>121</v>
      </c>
      <c r="L253" s="24" t="s">
        <v>2333</v>
      </c>
      <c r="M253" s="24" t="s">
        <v>2334</v>
      </c>
      <c r="N253" s="23" t="s">
        <v>2335</v>
      </c>
      <c r="O253" s="24" t="s">
        <v>2336</v>
      </c>
      <c r="P253" s="24" t="s">
        <v>2337</v>
      </c>
      <c r="Q253" s="24" t="s">
        <v>2338</v>
      </c>
      <c r="R253" s="24"/>
      <c r="S253" s="28" t="s">
        <v>2339</v>
      </c>
      <c r="T253" s="24" t="str">
        <f aca="false">"["&amp;안내!$C$5&amp;" "&amp;F253&amp;"] "&amp;L253&amp;" | "&amp;J253</f>
        <v>[1분 성경 구약 #107] 맨발로 울며 떠난 왕 | 삼하 15:1-37</v>
      </c>
      <c r="U253" s="26" t="n">
        <f aca="false">IF(D253="구약",IF(C253=1,안내!$C$9,안내!$C$10)+AD253-1,IF(C253=1,안내!$C$9,안내!$C$10)+7*INT((AD253-1)/4)+CHOOSE(MOD(AD253-1,4)+1,0,2,4,5))</f>
        <v>46497</v>
      </c>
      <c r="V253" s="23" t="str">
        <f aca="false">CHOOSE(WEEKDAY(U253,2),"월","화","수","목","금","토","일")</f>
        <v>화</v>
      </c>
      <c r="W253" s="24" t="str">
        <f aca="false">IFERROR(IF(INDEX($C$2:$C$799,MATCH(D253&amp;"#"&amp;(E253+1),$AC$2:$AC$799,0))=C253,"다음 편: ","시즌1 완결 · 시즌2 첫 편: ")&amp;INDEX($L$2:$L$799,MATCH(D253&amp;"#"&amp;(E253+1),$AC$2:$AC$799,0)),"구약 트랙 완결")</f>
        <v>다음 편: 내 아들 압살롬아</v>
      </c>
      <c r="X253" s="23" t="s">
        <v>130</v>
      </c>
      <c r="Y253" s="23" t="s">
        <v>130</v>
      </c>
      <c r="Z253" s="23" t="s">
        <v>130</v>
      </c>
      <c r="AA253" s="23" t="s">
        <v>130</v>
      </c>
      <c r="AB253" s="24"/>
      <c r="AC253" s="23" t="str">
        <f aca="false">D253&amp;"#"&amp;E253</f>
        <v>구약#107</v>
      </c>
      <c r="AD253" s="23" t="n">
        <f aca="false">COUNTIFS($C$2:C253,C253,$D$2:D253,D253)</f>
        <v>107</v>
      </c>
    </row>
    <row r="254" customFormat="false" ht="26.85" hidden="false" customHeight="false" outlineLevel="0" collapsed="false">
      <c r="A254" s="21" t="n">
        <v>253</v>
      </c>
      <c r="B254" s="18" t="s">
        <v>2340</v>
      </c>
      <c r="C254" s="23" t="n">
        <v>2</v>
      </c>
      <c r="D254" s="23" t="s">
        <v>116</v>
      </c>
      <c r="E254" s="23" t="n">
        <f aca="false">IF(C254=1,COUNTIFS($C$2:C254,1,$D$2:D254,D254),COUNTIFS($C$2:$C$799,1,$D$2:$D$799,D254)+COUNTIFS($C$2:C254,2,$D$2:D254,D254))</f>
        <v>328</v>
      </c>
      <c r="F254" s="23" t="str">
        <f aca="false">D254&amp;" #"&amp;TEXT(E254,"000")</f>
        <v>구약 #328</v>
      </c>
      <c r="G254" s="18" t="s">
        <v>2295</v>
      </c>
      <c r="H254" s="18" t="s">
        <v>2223</v>
      </c>
      <c r="I254" s="21" t="s">
        <v>2205</v>
      </c>
      <c r="J254" s="22" t="s">
        <v>2341</v>
      </c>
      <c r="K254" s="23" t="s">
        <v>121</v>
      </c>
      <c r="L254" s="24" t="s">
        <v>2342</v>
      </c>
      <c r="M254" s="24" t="s">
        <v>2343</v>
      </c>
      <c r="N254" s="23" t="s">
        <v>2344</v>
      </c>
      <c r="O254" s="24" t="s">
        <v>2345</v>
      </c>
      <c r="P254" s="24" t="s">
        <v>2346</v>
      </c>
      <c r="Q254" s="24" t="s">
        <v>2347</v>
      </c>
      <c r="R254" s="24"/>
      <c r="S254" s="24" t="s">
        <v>2348</v>
      </c>
      <c r="T254" s="24" t="str">
        <f aca="false">"["&amp;안내!$C$5&amp;" "&amp;F254&amp;"] "&amp;L254&amp;" | "&amp;J254</f>
        <v>[1분 성경 구약 #328] 저주를 참은 왕 | 삼하 16:1-23</v>
      </c>
      <c r="U254" s="26" t="n">
        <f aca="false">IF(D254="구약",IF(C254=1,안내!$C$9,안내!$C$10)+AD254-1,IF(C254=1,안내!$C$9,안내!$C$10)+7*INT((AD254-1)/4)+CHOOSE(MOD(AD254-1,4)+1,0,2,4,5))</f>
        <v>46725</v>
      </c>
      <c r="V254" s="23" t="str">
        <f aca="false">CHOOSE(WEEKDAY(U254,2),"월","화","수","목","금","토","일")</f>
        <v>토</v>
      </c>
      <c r="W254" s="24" t="str">
        <f aca="false">IFERROR(IF(INDEX($C$2:$C$799,MATCH(D254&amp;"#"&amp;(E254+1),$AC$2:$AC$799,0))=C254,"다음 편: ","시즌1 완결 · 시즌2 첫 편: ")&amp;INDEX($L$2:$L$799,MATCH(D254&amp;"#"&amp;(E254+1),$AC$2:$AC$799,0)),"구약 트랙 완결")</f>
        <v>다음 편: 무너진 계략</v>
      </c>
      <c r="X254" s="23" t="s">
        <v>130</v>
      </c>
      <c r="Y254" s="23" t="s">
        <v>130</v>
      </c>
      <c r="Z254" s="23" t="s">
        <v>130</v>
      </c>
      <c r="AA254" s="23" t="s">
        <v>130</v>
      </c>
      <c r="AB254" s="24"/>
      <c r="AC254" s="23" t="str">
        <f aca="false">D254&amp;"#"&amp;E254</f>
        <v>구약#328</v>
      </c>
      <c r="AD254" s="23" t="n">
        <f aca="false">COUNTIFS($C$2:C254,C254,$D$2:D254,D254)</f>
        <v>146</v>
      </c>
    </row>
    <row r="255" customFormat="false" ht="26.85" hidden="false" customHeight="false" outlineLevel="0" collapsed="false">
      <c r="A255" s="21" t="n">
        <v>254</v>
      </c>
      <c r="B255" s="18" t="s">
        <v>2349</v>
      </c>
      <c r="C255" s="23" t="n">
        <v>2</v>
      </c>
      <c r="D255" s="23" t="s">
        <v>116</v>
      </c>
      <c r="E255" s="23" t="n">
        <f aca="false">IF(C255=1,COUNTIFS($C$2:C255,1,$D$2:D255,D255),COUNTIFS($C$2:$C$799,1,$D$2:$D$799,D255)+COUNTIFS($C$2:C255,2,$D$2:D255,D255))</f>
        <v>329</v>
      </c>
      <c r="F255" s="23" t="str">
        <f aca="false">D255&amp;" #"&amp;TEXT(E255,"000")</f>
        <v>구약 #329</v>
      </c>
      <c r="G255" s="18" t="s">
        <v>2295</v>
      </c>
      <c r="H255" s="18" t="s">
        <v>2223</v>
      </c>
      <c r="I255" s="21" t="s">
        <v>2205</v>
      </c>
      <c r="J255" s="22" t="s">
        <v>2350</v>
      </c>
      <c r="K255" s="23" t="s">
        <v>121</v>
      </c>
      <c r="L255" s="24" t="s">
        <v>2351</v>
      </c>
      <c r="M255" s="24" t="s">
        <v>2352</v>
      </c>
      <c r="N255" s="23" t="s">
        <v>2353</v>
      </c>
      <c r="O255" s="24" t="s">
        <v>2354</v>
      </c>
      <c r="P255" s="24" t="s">
        <v>2355</v>
      </c>
      <c r="Q255" s="24" t="s">
        <v>2356</v>
      </c>
      <c r="R255" s="25" t="s">
        <v>2357</v>
      </c>
      <c r="S255" s="24" t="s">
        <v>2348</v>
      </c>
      <c r="T255" s="24" t="str">
        <f aca="false">"["&amp;안내!$C$5&amp;" "&amp;F255&amp;"] "&amp;L255&amp;" | "&amp;J255</f>
        <v>[1분 성경 구약 #329] 무너진 계략 | 삼하 17:1-29</v>
      </c>
      <c r="U255" s="26" t="n">
        <f aca="false">IF(D255="구약",IF(C255=1,안내!$C$9,안내!$C$10)+AD255-1,IF(C255=1,안내!$C$9,안내!$C$10)+7*INT((AD255-1)/4)+CHOOSE(MOD(AD255-1,4)+1,0,2,4,5))</f>
        <v>46726</v>
      </c>
      <c r="V255" s="23" t="str">
        <f aca="false">CHOOSE(WEEKDAY(U255,2),"월","화","수","목","금","토","일")</f>
        <v>일</v>
      </c>
      <c r="W255" s="24" t="str">
        <f aca="false">IFERROR(IF(INDEX($C$2:$C$799,MATCH(D255&amp;"#"&amp;(E255+1),$AC$2:$AC$799,0))=C255,"다음 편: ","시즌1 완결 · 시즌2 첫 편: ")&amp;INDEX($L$2:$L$799,MATCH(D255&amp;"#"&amp;(E255+1),$AC$2:$AC$799,0)),"구약 트랙 완결")</f>
        <v>다음 편: 돌아온 왕, 흔들리는 나라</v>
      </c>
      <c r="X255" s="23" t="s">
        <v>130</v>
      </c>
      <c r="Y255" s="23" t="s">
        <v>130</v>
      </c>
      <c r="Z255" s="23" t="s">
        <v>130</v>
      </c>
      <c r="AA255" s="23" t="s">
        <v>130</v>
      </c>
      <c r="AB255" s="24"/>
      <c r="AC255" s="23" t="str">
        <f aca="false">D255&amp;"#"&amp;E255</f>
        <v>구약#329</v>
      </c>
      <c r="AD255" s="23" t="n">
        <f aca="false">COUNTIFS($C$2:C255,C255,$D$2:D255,D255)</f>
        <v>147</v>
      </c>
    </row>
    <row r="256" customFormat="false" ht="39.55" hidden="false" customHeight="false" outlineLevel="0" collapsed="false">
      <c r="A256" s="21" t="n">
        <v>255</v>
      </c>
      <c r="B256" s="18" t="s">
        <v>2358</v>
      </c>
      <c r="C256" s="20" t="n">
        <v>1</v>
      </c>
      <c r="D256" s="20" t="s">
        <v>116</v>
      </c>
      <c r="E256" s="20" t="n">
        <f aca="false">IF(C256=1,COUNTIFS($C$2:C256,1,$D$2:D256,D256),COUNTIFS($C$2:$C$799,1,$D$2:$D$799,D256)+COUNTIFS($C$2:C256,2,$D$2:D256,D256))</f>
        <v>108</v>
      </c>
      <c r="F256" s="20" t="str">
        <f aca="false">D256&amp;" #"&amp;TEXT(E256,"000")</f>
        <v>구약 #108</v>
      </c>
      <c r="G256" s="18" t="s">
        <v>2295</v>
      </c>
      <c r="H256" s="18" t="s">
        <v>2296</v>
      </c>
      <c r="I256" s="21" t="s">
        <v>2205</v>
      </c>
      <c r="J256" s="22" t="s">
        <v>2359</v>
      </c>
      <c r="K256" s="23" t="s">
        <v>121</v>
      </c>
      <c r="L256" s="24" t="s">
        <v>2360</v>
      </c>
      <c r="M256" s="24" t="s">
        <v>2361</v>
      </c>
      <c r="N256" s="23" t="s">
        <v>2362</v>
      </c>
      <c r="O256" s="24" t="s">
        <v>2363</v>
      </c>
      <c r="P256" s="24" t="s">
        <v>2364</v>
      </c>
      <c r="Q256" s="24" t="s">
        <v>2365</v>
      </c>
      <c r="R256" s="25" t="s">
        <v>2366</v>
      </c>
      <c r="S256" s="28" t="s">
        <v>2367</v>
      </c>
      <c r="T256" s="24" t="str">
        <f aca="false">"["&amp;안내!$C$5&amp;" "&amp;F256&amp;"] "&amp;L256&amp;" | "&amp;J256</f>
        <v>[1분 성경 구약 #108] 내 아들 압살롬아 | 삼하 18:1-33</v>
      </c>
      <c r="U256" s="26" t="n">
        <f aca="false">IF(D256="구약",IF(C256=1,안내!$C$9,안내!$C$10)+AD256-1,IF(C256=1,안내!$C$9,안내!$C$10)+7*INT((AD256-1)/4)+CHOOSE(MOD(AD256-1,4)+1,0,2,4,5))</f>
        <v>46498</v>
      </c>
      <c r="V256" s="23" t="str">
        <f aca="false">CHOOSE(WEEKDAY(U256,2),"월","화","수","목","금","토","일")</f>
        <v>수</v>
      </c>
      <c r="W256" s="24" t="str">
        <f aca="false">IFERROR(IF(INDEX($C$2:$C$799,MATCH(D256&amp;"#"&amp;(E256+1),$AC$2:$AC$799,0))=C256,"다음 편: ","시즌1 완결 · 시즌2 첫 편: ")&amp;INDEX($L$2:$L$799,MATCH(D256&amp;"#"&amp;(E256+1),$AC$2:$AC$799,0)),"구약 트랙 완결")</f>
        <v>다음 편: 무엇을 줄까 너는 구하라</v>
      </c>
      <c r="X256" s="23" t="s">
        <v>130</v>
      </c>
      <c r="Y256" s="23" t="s">
        <v>130</v>
      </c>
      <c r="Z256" s="23" t="s">
        <v>130</v>
      </c>
      <c r="AA256" s="23" t="s">
        <v>130</v>
      </c>
      <c r="AB256" s="24"/>
      <c r="AC256" s="23" t="str">
        <f aca="false">D256&amp;"#"&amp;E256</f>
        <v>구약#108</v>
      </c>
      <c r="AD256" s="23" t="n">
        <f aca="false">COUNTIFS($C$2:C256,C256,$D$2:D256,D256)</f>
        <v>108</v>
      </c>
    </row>
    <row r="257" customFormat="false" ht="26.85" hidden="false" customHeight="false" outlineLevel="0" collapsed="false">
      <c r="A257" s="21" t="n">
        <v>256</v>
      </c>
      <c r="B257" s="18" t="s">
        <v>2368</v>
      </c>
      <c r="C257" s="23" t="n">
        <v>2</v>
      </c>
      <c r="D257" s="23" t="s">
        <v>116</v>
      </c>
      <c r="E257" s="23" t="n">
        <f aca="false">IF(C257=1,COUNTIFS($C$2:C257,1,$D$2:D257,D257),COUNTIFS($C$2:$C$799,1,$D$2:$D$799,D257)+COUNTIFS($C$2:C257,2,$D$2:D257,D257))</f>
        <v>330</v>
      </c>
      <c r="F257" s="23" t="str">
        <f aca="false">D257&amp;" #"&amp;TEXT(E257,"000")</f>
        <v>구약 #330</v>
      </c>
      <c r="G257" s="18" t="s">
        <v>2295</v>
      </c>
      <c r="H257" s="18" t="s">
        <v>2223</v>
      </c>
      <c r="I257" s="21" t="s">
        <v>2205</v>
      </c>
      <c r="J257" s="22" t="s">
        <v>2369</v>
      </c>
      <c r="K257" s="23" t="s">
        <v>121</v>
      </c>
      <c r="L257" s="24" t="s">
        <v>2370</v>
      </c>
      <c r="M257" s="24" t="s">
        <v>2371</v>
      </c>
      <c r="N257" s="23" t="s">
        <v>2372</v>
      </c>
      <c r="O257" s="24" t="s">
        <v>2373</v>
      </c>
      <c r="P257" s="24" t="s">
        <v>2374</v>
      </c>
      <c r="Q257" s="24" t="s">
        <v>2375</v>
      </c>
      <c r="R257" s="24"/>
      <c r="S257" s="24" t="s">
        <v>2376</v>
      </c>
      <c r="T257" s="24" t="str">
        <f aca="false">"["&amp;안내!$C$5&amp;" "&amp;F257&amp;"] "&amp;L257&amp;" | "&amp;J257</f>
        <v>[1분 성경 구약 #330] 돌아온 왕, 흔들리는 나라 | 삼하 19:1-20:26</v>
      </c>
      <c r="U257" s="26" t="n">
        <f aca="false">IF(D257="구약",IF(C257=1,안내!$C$9,안내!$C$10)+AD257-1,IF(C257=1,안내!$C$9,안내!$C$10)+7*INT((AD257-1)/4)+CHOOSE(MOD(AD257-1,4)+1,0,2,4,5))</f>
        <v>46727</v>
      </c>
      <c r="V257" s="23" t="str">
        <f aca="false">CHOOSE(WEEKDAY(U257,2),"월","화","수","목","금","토","일")</f>
        <v>월</v>
      </c>
      <c r="W257" s="24" t="str">
        <f aca="false">IFERROR(IF(INDEX($C$2:$C$799,MATCH(D257&amp;"#"&amp;(E257+1),$AC$2:$AC$799,0))=C257,"다음 편: ","시즌1 완결 · 시즌2 첫 편: ")&amp;INDEX($L$2:$L$799,MATCH(D257&amp;"#"&amp;(E257+1),$AC$2:$AC$799,0)),"구약 트랙 완결")</f>
        <v>다음 편: 다윗의 감사 노래</v>
      </c>
      <c r="X257" s="23" t="s">
        <v>130</v>
      </c>
      <c r="Y257" s="23" t="s">
        <v>130</v>
      </c>
      <c r="Z257" s="23" t="s">
        <v>130</v>
      </c>
      <c r="AA257" s="23" t="s">
        <v>130</v>
      </c>
      <c r="AB257" s="24"/>
      <c r="AC257" s="23" t="str">
        <f aca="false">D257&amp;"#"&amp;E257</f>
        <v>구약#330</v>
      </c>
      <c r="AD257" s="23" t="n">
        <f aca="false">COUNTIFS($C$2:C257,C257,$D$2:D257,D257)</f>
        <v>148</v>
      </c>
    </row>
    <row r="258" customFormat="false" ht="26.85" hidden="false" customHeight="false" outlineLevel="0" collapsed="false">
      <c r="A258" s="21" t="n">
        <v>257</v>
      </c>
      <c r="B258" s="18" t="s">
        <v>2377</v>
      </c>
      <c r="C258" s="23" t="n">
        <v>2</v>
      </c>
      <c r="D258" s="23" t="s">
        <v>116</v>
      </c>
      <c r="E258" s="23" t="n">
        <f aca="false">IF(C258=1,COUNTIFS($C$2:C258,1,$D$2:D258,D258),COUNTIFS($C$2:$C$799,1,$D$2:$D$799,D258)+COUNTIFS($C$2:C258,2,$D$2:D258,D258))</f>
        <v>331</v>
      </c>
      <c r="F258" s="23" t="str">
        <f aca="false">D258&amp;" #"&amp;TEXT(E258,"000")</f>
        <v>구약 #331</v>
      </c>
      <c r="G258" s="18" t="s">
        <v>2295</v>
      </c>
      <c r="H258" s="18" t="s">
        <v>2223</v>
      </c>
      <c r="I258" s="21" t="s">
        <v>2205</v>
      </c>
      <c r="J258" s="22" t="s">
        <v>2378</v>
      </c>
      <c r="K258" s="23" t="s">
        <v>121</v>
      </c>
      <c r="L258" s="24" t="s">
        <v>2379</v>
      </c>
      <c r="M258" s="24" t="s">
        <v>2380</v>
      </c>
      <c r="N258" s="23" t="s">
        <v>2381</v>
      </c>
      <c r="O258" s="24" t="s">
        <v>2382</v>
      </c>
      <c r="P258" s="24" t="s">
        <v>2383</v>
      </c>
      <c r="Q258" s="24" t="s">
        <v>2330</v>
      </c>
      <c r="R258" s="27" t="s">
        <v>2384</v>
      </c>
      <c r="S258" s="24" t="s">
        <v>2376</v>
      </c>
      <c r="T258" s="24" t="str">
        <f aca="false">"["&amp;안내!$C$5&amp;" "&amp;F258&amp;"] "&amp;L258&amp;" | "&amp;J258</f>
        <v>[1분 성경 구약 #331] 다윗의 감사 노래 | 삼하 21:1-22:51</v>
      </c>
      <c r="U258" s="26" t="n">
        <f aca="false">IF(D258="구약",IF(C258=1,안내!$C$9,안내!$C$10)+AD258-1,IF(C258=1,안내!$C$9,안내!$C$10)+7*INT((AD258-1)/4)+CHOOSE(MOD(AD258-1,4)+1,0,2,4,5))</f>
        <v>46728</v>
      </c>
      <c r="V258" s="23" t="str">
        <f aca="false">CHOOSE(WEEKDAY(U258,2),"월","화","수","목","금","토","일")</f>
        <v>화</v>
      </c>
      <c r="W258" s="24" t="str">
        <f aca="false">IFERROR(IF(INDEX($C$2:$C$799,MATCH(D258&amp;"#"&amp;(E258+1),$AC$2:$AC$799,0))=C258,"다음 편: ","시즌1 완결 · 시즌2 첫 편: ")&amp;INDEX($L$2:$L$799,MATCH(D258&amp;"#"&amp;(E258+1),$AC$2:$AC$799,0)),"구약 트랙 완결")</f>
        <v>다음 편: 값없이 드리지 않겠다</v>
      </c>
      <c r="X258" s="23" t="s">
        <v>130</v>
      </c>
      <c r="Y258" s="23" t="s">
        <v>130</v>
      </c>
      <c r="Z258" s="23" t="s">
        <v>130</v>
      </c>
      <c r="AA258" s="23" t="s">
        <v>130</v>
      </c>
      <c r="AB258" s="24"/>
      <c r="AC258" s="23" t="str">
        <f aca="false">D258&amp;"#"&amp;E258</f>
        <v>구약#331</v>
      </c>
      <c r="AD258" s="23" t="n">
        <f aca="false">COUNTIFS($C$2:C258,C258,$D$2:D258,D258)</f>
        <v>149</v>
      </c>
    </row>
    <row r="259" customFormat="false" ht="26.85" hidden="false" customHeight="false" outlineLevel="0" collapsed="false">
      <c r="A259" s="21" t="n">
        <v>258</v>
      </c>
      <c r="B259" s="18" t="s">
        <v>2385</v>
      </c>
      <c r="C259" s="23" t="n">
        <v>2</v>
      </c>
      <c r="D259" s="23" t="s">
        <v>116</v>
      </c>
      <c r="E259" s="23" t="n">
        <f aca="false">IF(C259=1,COUNTIFS($C$2:C259,1,$D$2:D259,D259),COUNTIFS($C$2:$C$799,1,$D$2:$D$799,D259)+COUNTIFS($C$2:C259,2,$D$2:D259,D259))</f>
        <v>332</v>
      </c>
      <c r="F259" s="23" t="str">
        <f aca="false">D259&amp;" #"&amp;TEXT(E259,"000")</f>
        <v>구약 #332</v>
      </c>
      <c r="G259" s="18" t="s">
        <v>2295</v>
      </c>
      <c r="H259" s="18" t="s">
        <v>2223</v>
      </c>
      <c r="I259" s="21" t="s">
        <v>2205</v>
      </c>
      <c r="J259" s="22" t="s">
        <v>2386</v>
      </c>
      <c r="K259" s="23" t="s">
        <v>121</v>
      </c>
      <c r="L259" s="24" t="s">
        <v>2387</v>
      </c>
      <c r="M259" s="24" t="s">
        <v>2388</v>
      </c>
      <c r="N259" s="23" t="s">
        <v>2389</v>
      </c>
      <c r="O259" s="24" t="s">
        <v>2390</v>
      </c>
      <c r="P259" s="24" t="s">
        <v>2391</v>
      </c>
      <c r="Q259" s="24" t="s">
        <v>2392</v>
      </c>
      <c r="R259" s="25" t="s">
        <v>2393</v>
      </c>
      <c r="S259" s="24" t="s">
        <v>2376</v>
      </c>
      <c r="T259" s="24" t="str">
        <f aca="false">"["&amp;안내!$C$5&amp;" "&amp;F259&amp;"] "&amp;L259&amp;" | "&amp;J259</f>
        <v>[1분 성경 구약 #332] 값없이 드리지 않겠다 | 삼하 23:1-24:25</v>
      </c>
      <c r="U259" s="26" t="n">
        <f aca="false">IF(D259="구약",IF(C259=1,안내!$C$9,안내!$C$10)+AD259-1,IF(C259=1,안내!$C$9,안내!$C$10)+7*INT((AD259-1)/4)+CHOOSE(MOD(AD259-1,4)+1,0,2,4,5))</f>
        <v>46729</v>
      </c>
      <c r="V259" s="23" t="str">
        <f aca="false">CHOOSE(WEEKDAY(U259,2),"월","화","수","목","금","토","일")</f>
        <v>수</v>
      </c>
      <c r="W259" s="24" t="str">
        <f aca="false">IFERROR(IF(INDEX($C$2:$C$799,MATCH(D259&amp;"#"&amp;(E259+1),$AC$2:$AC$799,0))=C259,"다음 편: ","시즌1 완결 · 시즌2 첫 편: ")&amp;INDEX($L$2:$L$799,MATCH(D259&amp;"#"&amp;(E259+1),$AC$2:$AC$799,0)),"구약 트랙 완결")</f>
        <v>다음 편: 누가 왕이 될까?</v>
      </c>
      <c r="X259" s="23" t="s">
        <v>130</v>
      </c>
      <c r="Y259" s="23" t="s">
        <v>130</v>
      </c>
      <c r="Z259" s="23" t="s">
        <v>130</v>
      </c>
      <c r="AA259" s="23" t="s">
        <v>130</v>
      </c>
      <c r="AB259" s="24"/>
      <c r="AC259" s="23" t="str">
        <f aca="false">D259&amp;"#"&amp;E259</f>
        <v>구약#332</v>
      </c>
      <c r="AD259" s="23" t="n">
        <f aca="false">COUNTIFS($C$2:C259,C259,$D$2:D259,D259)</f>
        <v>150</v>
      </c>
    </row>
    <row r="260" customFormat="false" ht="26.85" hidden="false" customHeight="false" outlineLevel="0" collapsed="false">
      <c r="A260" s="21" t="n">
        <v>259</v>
      </c>
      <c r="B260" s="18" t="s">
        <v>2394</v>
      </c>
      <c r="C260" s="23" t="n">
        <v>2</v>
      </c>
      <c r="D260" s="23" t="s">
        <v>116</v>
      </c>
      <c r="E260" s="23" t="n">
        <f aca="false">IF(C260=1,COUNTIFS($C$2:C260,1,$D$2:D260,D260),COUNTIFS($C$2:$C$799,1,$D$2:$D$799,D260)+COUNTIFS($C$2:C260,2,$D$2:D260,D260))</f>
        <v>333</v>
      </c>
      <c r="F260" s="23" t="str">
        <f aca="false">D260&amp;" #"&amp;TEXT(E260,"000")</f>
        <v>구약 #333</v>
      </c>
      <c r="G260" s="18" t="s">
        <v>2395</v>
      </c>
      <c r="H260" s="18" t="s">
        <v>2396</v>
      </c>
      <c r="I260" s="21" t="s">
        <v>2397</v>
      </c>
      <c r="J260" s="22" t="s">
        <v>2398</v>
      </c>
      <c r="K260" s="23" t="s">
        <v>121</v>
      </c>
      <c r="L260" s="24" t="s">
        <v>2399</v>
      </c>
      <c r="M260" s="24" t="s">
        <v>2400</v>
      </c>
      <c r="N260" s="23" t="s">
        <v>2401</v>
      </c>
      <c r="O260" s="24" t="s">
        <v>2402</v>
      </c>
      <c r="P260" s="24" t="s">
        <v>2403</v>
      </c>
      <c r="Q260" s="24" t="s">
        <v>2404</v>
      </c>
      <c r="R260" s="24"/>
      <c r="S260" s="24" t="s">
        <v>2376</v>
      </c>
      <c r="T260" s="24" t="str">
        <f aca="false">"["&amp;안내!$C$5&amp;" "&amp;F260&amp;"] "&amp;L260&amp;" | "&amp;J260</f>
        <v>[1분 성경 구약 #333] 누가 왕이 될까? | 왕상 1:1-53</v>
      </c>
      <c r="U260" s="26" t="n">
        <f aca="false">IF(D260="구약",IF(C260=1,안내!$C$9,안내!$C$10)+AD260-1,IF(C260=1,안내!$C$9,안내!$C$10)+7*INT((AD260-1)/4)+CHOOSE(MOD(AD260-1,4)+1,0,2,4,5))</f>
        <v>46730</v>
      </c>
      <c r="V260" s="23" t="str">
        <f aca="false">CHOOSE(WEEKDAY(U260,2),"월","화","수","목","금","토","일")</f>
        <v>목</v>
      </c>
      <c r="W260" s="24" t="str">
        <f aca="false">IFERROR(IF(INDEX($C$2:$C$799,MATCH(D260&amp;"#"&amp;(E260+1),$AC$2:$AC$799,0))=C260,"다음 편: ","시즌1 완결 · 시즌2 첫 편: ")&amp;INDEX($L$2:$L$799,MATCH(D260&amp;"#"&amp;(E260+1),$AC$2:$AC$799,0)),"구약 트랙 완결")</f>
        <v>다음 편: 다윗의 유언</v>
      </c>
      <c r="X260" s="23" t="s">
        <v>130</v>
      </c>
      <c r="Y260" s="23" t="s">
        <v>130</v>
      </c>
      <c r="Z260" s="23" t="s">
        <v>130</v>
      </c>
      <c r="AA260" s="23" t="s">
        <v>130</v>
      </c>
      <c r="AB260" s="24"/>
      <c r="AC260" s="23" t="str">
        <f aca="false">D260&amp;"#"&amp;E260</f>
        <v>구약#333</v>
      </c>
      <c r="AD260" s="23" t="n">
        <f aca="false">COUNTIFS($C$2:C260,C260,$D$2:D260,D260)</f>
        <v>151</v>
      </c>
    </row>
    <row r="261" customFormat="false" ht="26.85" hidden="false" customHeight="false" outlineLevel="0" collapsed="false">
      <c r="A261" s="21" t="n">
        <v>260</v>
      </c>
      <c r="B261" s="18" t="s">
        <v>2405</v>
      </c>
      <c r="C261" s="23" t="n">
        <v>2</v>
      </c>
      <c r="D261" s="23" t="s">
        <v>116</v>
      </c>
      <c r="E261" s="23" t="n">
        <f aca="false">IF(C261=1,COUNTIFS($C$2:C261,1,$D$2:D261,D261),COUNTIFS($C$2:$C$799,1,$D$2:$D$799,D261)+COUNTIFS($C$2:C261,2,$D$2:D261,D261))</f>
        <v>334</v>
      </c>
      <c r="F261" s="23" t="str">
        <f aca="false">D261&amp;" #"&amp;TEXT(E261,"000")</f>
        <v>구약 #334</v>
      </c>
      <c r="G261" s="18" t="s">
        <v>2395</v>
      </c>
      <c r="H261" s="18" t="s">
        <v>2396</v>
      </c>
      <c r="I261" s="21" t="s">
        <v>2397</v>
      </c>
      <c r="J261" s="22" t="s">
        <v>2406</v>
      </c>
      <c r="K261" s="23" t="s">
        <v>121</v>
      </c>
      <c r="L261" s="24" t="s">
        <v>2407</v>
      </c>
      <c r="M261" s="24" t="s">
        <v>2408</v>
      </c>
      <c r="N261" s="23" t="s">
        <v>2409</v>
      </c>
      <c r="O261" s="24" t="s">
        <v>2410</v>
      </c>
      <c r="P261" s="24" t="s">
        <v>2411</v>
      </c>
      <c r="Q261" s="24" t="s">
        <v>2412</v>
      </c>
      <c r="R261" s="25" t="s">
        <v>704</v>
      </c>
      <c r="S261" s="24" t="s">
        <v>2376</v>
      </c>
      <c r="T261" s="24" t="str">
        <f aca="false">"["&amp;안내!$C$5&amp;" "&amp;F261&amp;"] "&amp;L261&amp;" | "&amp;J261</f>
        <v>[1분 성경 구약 #334] 다윗의 유언 | 왕상 2:1-46</v>
      </c>
      <c r="U261" s="26" t="n">
        <f aca="false">IF(D261="구약",IF(C261=1,안내!$C$9,안내!$C$10)+AD261-1,IF(C261=1,안내!$C$9,안내!$C$10)+7*INT((AD261-1)/4)+CHOOSE(MOD(AD261-1,4)+1,0,2,4,5))</f>
        <v>46731</v>
      </c>
      <c r="V261" s="23" t="str">
        <f aca="false">CHOOSE(WEEKDAY(U261,2),"월","화","수","목","금","토","일")</f>
        <v>금</v>
      </c>
      <c r="W261" s="24" t="str">
        <f aca="false">IFERROR(IF(INDEX($C$2:$C$799,MATCH(D261&amp;"#"&amp;(E261+1),$AC$2:$AC$799,0))=C261,"다음 편: ","시즌1 완결 · 시즌2 첫 편: ")&amp;INDEX($L$2:$L$799,MATCH(D261&amp;"#"&amp;(E261+1),$AC$2:$AC$799,0)),"구약 트랙 완결")</f>
        <v>다음 편: 세상에서 가장 지혜로운 왕</v>
      </c>
      <c r="X261" s="23" t="s">
        <v>130</v>
      </c>
      <c r="Y261" s="23" t="s">
        <v>130</v>
      </c>
      <c r="Z261" s="23" t="s">
        <v>130</v>
      </c>
      <c r="AA261" s="23" t="s">
        <v>130</v>
      </c>
      <c r="AB261" s="24"/>
      <c r="AC261" s="23" t="str">
        <f aca="false">D261&amp;"#"&amp;E261</f>
        <v>구약#334</v>
      </c>
      <c r="AD261" s="23" t="n">
        <f aca="false">COUNTIFS($C$2:C261,C261,$D$2:D261,D261)</f>
        <v>152</v>
      </c>
    </row>
    <row r="262" customFormat="false" ht="52.2" hidden="false" customHeight="false" outlineLevel="0" collapsed="false">
      <c r="A262" s="21" t="n">
        <v>261</v>
      </c>
      <c r="B262" s="18" t="s">
        <v>2413</v>
      </c>
      <c r="C262" s="20" t="n">
        <v>1</v>
      </c>
      <c r="D262" s="20" t="s">
        <v>116</v>
      </c>
      <c r="E262" s="20" t="n">
        <f aca="false">IF(C262=1,COUNTIFS($C$2:C262,1,$D$2:D262,D262),COUNTIFS($C$2:$C$799,1,$D$2:$D$799,D262)+COUNTIFS($C$2:C262,2,$D$2:D262,D262))</f>
        <v>109</v>
      </c>
      <c r="F262" s="20" t="str">
        <f aca="false">D262&amp;" #"&amp;TEXT(E262,"000")</f>
        <v>구약 #109</v>
      </c>
      <c r="G262" s="18" t="s">
        <v>2395</v>
      </c>
      <c r="H262" s="18" t="s">
        <v>2296</v>
      </c>
      <c r="I262" s="21" t="s">
        <v>2397</v>
      </c>
      <c r="J262" s="22" t="s">
        <v>2414</v>
      </c>
      <c r="K262" s="23" t="s">
        <v>121</v>
      </c>
      <c r="L262" s="24" t="s">
        <v>2415</v>
      </c>
      <c r="M262" s="24" t="s">
        <v>2416</v>
      </c>
      <c r="N262" s="23" t="s">
        <v>2417</v>
      </c>
      <c r="O262" s="24" t="s">
        <v>2418</v>
      </c>
      <c r="P262" s="24" t="s">
        <v>2419</v>
      </c>
      <c r="Q262" s="24" t="s">
        <v>2420</v>
      </c>
      <c r="R262" s="24"/>
      <c r="S262" s="28" t="s">
        <v>2421</v>
      </c>
      <c r="T262" s="24" t="str">
        <f aca="false">"["&amp;안내!$C$5&amp;" "&amp;F262&amp;"] "&amp;L262&amp;" | "&amp;J262</f>
        <v>[1분 성경 구약 #109] 무엇을 줄까 너는 구하라 | 왕상 3:1-15</v>
      </c>
      <c r="U262" s="26" t="n">
        <f aca="false">IF(D262="구약",IF(C262=1,안내!$C$9,안내!$C$10)+AD262-1,IF(C262=1,안내!$C$9,안내!$C$10)+7*INT((AD262-1)/4)+CHOOSE(MOD(AD262-1,4)+1,0,2,4,5))</f>
        <v>46499</v>
      </c>
      <c r="V262" s="23" t="str">
        <f aca="false">CHOOSE(WEEKDAY(U262,2),"월","화","수","목","금","토","일")</f>
        <v>목</v>
      </c>
      <c r="W262" s="24" t="str">
        <f aca="false">IFERROR(IF(INDEX($C$2:$C$799,MATCH(D262&amp;"#"&amp;(E262+1),$AC$2:$AC$799,0))=C262,"다음 편: ","시즌1 완결 · 시즌2 첫 편: ")&amp;INDEX($L$2:$L$799,MATCH(D262&amp;"#"&amp;(E262+1),$AC$2:$AC$799,0)),"구약 트랙 완결")</f>
        <v>다음 편: 두 엄마와 한 아기</v>
      </c>
      <c r="X262" s="23" t="s">
        <v>130</v>
      </c>
      <c r="Y262" s="23" t="s">
        <v>130</v>
      </c>
      <c r="Z262" s="23" t="s">
        <v>130</v>
      </c>
      <c r="AA262" s="23" t="s">
        <v>130</v>
      </c>
      <c r="AB262" s="24"/>
      <c r="AC262" s="23" t="str">
        <f aca="false">D262&amp;"#"&amp;E262</f>
        <v>구약#109</v>
      </c>
      <c r="AD262" s="23" t="n">
        <f aca="false">COUNTIFS($C$2:C262,C262,$D$2:D262,D262)</f>
        <v>109</v>
      </c>
    </row>
    <row r="263" customFormat="false" ht="26.85" hidden="false" customHeight="false" outlineLevel="0" collapsed="false">
      <c r="A263" s="21" t="n">
        <v>262</v>
      </c>
      <c r="B263" s="18" t="s">
        <v>2422</v>
      </c>
      <c r="C263" s="20" t="n">
        <v>1</v>
      </c>
      <c r="D263" s="20" t="s">
        <v>116</v>
      </c>
      <c r="E263" s="20" t="n">
        <f aca="false">IF(C263=1,COUNTIFS($C$2:C263,1,$D$2:D263,D263),COUNTIFS($C$2:$C$799,1,$D$2:$D$799,D263)+COUNTIFS($C$2:C263,2,$D$2:D263,D263))</f>
        <v>110</v>
      </c>
      <c r="F263" s="20" t="str">
        <f aca="false">D263&amp;" #"&amp;TEXT(E263,"000")</f>
        <v>구약 #110</v>
      </c>
      <c r="G263" s="18" t="s">
        <v>2395</v>
      </c>
      <c r="H263" s="18" t="s">
        <v>2296</v>
      </c>
      <c r="I263" s="21" t="s">
        <v>2397</v>
      </c>
      <c r="J263" s="22" t="s">
        <v>2423</v>
      </c>
      <c r="K263" s="23" t="s">
        <v>121</v>
      </c>
      <c r="L263" s="24" t="s">
        <v>2424</v>
      </c>
      <c r="M263" s="24" t="s">
        <v>2425</v>
      </c>
      <c r="N263" s="23" t="s">
        <v>2426</v>
      </c>
      <c r="O263" s="24" t="s">
        <v>2427</v>
      </c>
      <c r="P263" s="24" t="s">
        <v>2428</v>
      </c>
      <c r="Q263" s="24" t="s">
        <v>2429</v>
      </c>
      <c r="R263" s="25" t="s">
        <v>2430</v>
      </c>
      <c r="S263" s="24" t="s">
        <v>129</v>
      </c>
      <c r="T263" s="24" t="str">
        <f aca="false">"["&amp;안내!$C$5&amp;" "&amp;F263&amp;"] "&amp;L263&amp;" | "&amp;J263</f>
        <v>[1분 성경 구약 #110] 두 엄마와 한 아기 | 왕상 3:16-28</v>
      </c>
      <c r="U263" s="26" t="n">
        <f aca="false">IF(D263="구약",IF(C263=1,안내!$C$9,안내!$C$10)+AD263-1,IF(C263=1,안내!$C$9,안내!$C$10)+7*INT((AD263-1)/4)+CHOOSE(MOD(AD263-1,4)+1,0,2,4,5))</f>
        <v>46500</v>
      </c>
      <c r="V263" s="23" t="str">
        <f aca="false">CHOOSE(WEEKDAY(U263,2),"월","화","수","목","금","토","일")</f>
        <v>금</v>
      </c>
      <c r="W263" s="24" t="str">
        <f aca="false">IFERROR(IF(INDEX($C$2:$C$799,MATCH(D263&amp;"#"&amp;(E263+1),$AC$2:$AC$799,0))=C263,"다음 편: ","시즌1 완결 · 시즌2 첫 편: ")&amp;INDEX($L$2:$L$799,MATCH(D263&amp;"#"&amp;(E263+1),$AC$2:$AC$799,0)),"구약 트랙 완결")</f>
        <v>다음 편: 성전 봉헌 기도</v>
      </c>
      <c r="X263" s="23" t="s">
        <v>130</v>
      </c>
      <c r="Y263" s="23" t="s">
        <v>130</v>
      </c>
      <c r="Z263" s="23" t="s">
        <v>130</v>
      </c>
      <c r="AA263" s="23" t="s">
        <v>130</v>
      </c>
      <c r="AB263" s="24"/>
      <c r="AC263" s="23" t="str">
        <f aca="false">D263&amp;"#"&amp;E263</f>
        <v>구약#110</v>
      </c>
      <c r="AD263" s="23" t="n">
        <f aca="false">COUNTIFS($C$2:C263,C263,$D$2:D263,D263)</f>
        <v>110</v>
      </c>
    </row>
    <row r="264" customFormat="false" ht="26.85" hidden="false" customHeight="false" outlineLevel="0" collapsed="false">
      <c r="A264" s="21" t="n">
        <v>263</v>
      </c>
      <c r="B264" s="18" t="s">
        <v>2431</v>
      </c>
      <c r="C264" s="23" t="n">
        <v>2</v>
      </c>
      <c r="D264" s="23" t="s">
        <v>116</v>
      </c>
      <c r="E264" s="23" t="n">
        <f aca="false">IF(C264=1,COUNTIFS($C$2:C264,1,$D$2:D264,D264),COUNTIFS($C$2:$C$799,1,$D$2:$D$799,D264)+COUNTIFS($C$2:C264,2,$D$2:D264,D264))</f>
        <v>335</v>
      </c>
      <c r="F264" s="23" t="str">
        <f aca="false">D264&amp;" #"&amp;TEXT(E264,"000")</f>
        <v>구약 #335</v>
      </c>
      <c r="G264" s="18" t="s">
        <v>2395</v>
      </c>
      <c r="H264" s="18" t="s">
        <v>2396</v>
      </c>
      <c r="I264" s="21" t="s">
        <v>2397</v>
      </c>
      <c r="J264" s="22" t="s">
        <v>2432</v>
      </c>
      <c r="K264" s="23" t="s">
        <v>1085</v>
      </c>
      <c r="L264" s="24" t="s">
        <v>2433</v>
      </c>
      <c r="M264" s="24" t="s">
        <v>2434</v>
      </c>
      <c r="N264" s="23" t="s">
        <v>2435</v>
      </c>
      <c r="O264" s="24" t="s">
        <v>2436</v>
      </c>
      <c r="P264" s="24" t="s">
        <v>2437</v>
      </c>
      <c r="Q264" s="24" t="s">
        <v>2438</v>
      </c>
      <c r="R264" s="24"/>
      <c r="S264" s="24" t="s">
        <v>2439</v>
      </c>
      <c r="T264" s="24" t="str">
        <f aca="false">"["&amp;안내!$C$5&amp;" "&amp;F264&amp;"] "&amp;L264&amp;" | "&amp;J264</f>
        <v>[1분 성경 구약 #335] 세상에서 가장 지혜로운 왕 | 왕상 4:1-34</v>
      </c>
      <c r="U264" s="26" t="n">
        <f aca="false">IF(D264="구약",IF(C264=1,안내!$C$9,안내!$C$10)+AD264-1,IF(C264=1,안내!$C$9,안내!$C$10)+7*INT((AD264-1)/4)+CHOOSE(MOD(AD264-1,4)+1,0,2,4,5))</f>
        <v>46732</v>
      </c>
      <c r="V264" s="23" t="str">
        <f aca="false">CHOOSE(WEEKDAY(U264,2),"월","화","수","목","금","토","일")</f>
        <v>토</v>
      </c>
      <c r="W264" s="24" t="str">
        <f aca="false">IFERROR(IF(INDEX($C$2:$C$799,MATCH(D264&amp;"#"&amp;(E264+1),$AC$2:$AC$799,0))=C264,"다음 편: ","시즌1 완결 · 시즌2 첫 편: ")&amp;INDEX($L$2:$L$799,MATCH(D264&amp;"#"&amp;(E264+1),$AC$2:$AC$799,0)),"구약 트랙 완결")</f>
        <v>다음 편: 성전을 짓다</v>
      </c>
      <c r="X264" s="23" t="s">
        <v>130</v>
      </c>
      <c r="Y264" s="23" t="s">
        <v>130</v>
      </c>
      <c r="Z264" s="23" t="s">
        <v>130</v>
      </c>
      <c r="AA264" s="23" t="s">
        <v>130</v>
      </c>
      <c r="AB264" s="24"/>
      <c r="AC264" s="23" t="str">
        <f aca="false">D264&amp;"#"&amp;E264</f>
        <v>구약#335</v>
      </c>
      <c r="AD264" s="23" t="n">
        <f aca="false">COUNTIFS($C$2:C264,C264,$D$2:D264,D264)</f>
        <v>153</v>
      </c>
    </row>
    <row r="265" customFormat="false" ht="26.85" hidden="false" customHeight="false" outlineLevel="0" collapsed="false">
      <c r="A265" s="21" t="n">
        <v>264</v>
      </c>
      <c r="B265" s="18" t="s">
        <v>2440</v>
      </c>
      <c r="C265" s="23" t="n">
        <v>2</v>
      </c>
      <c r="D265" s="23" t="s">
        <v>116</v>
      </c>
      <c r="E265" s="23" t="n">
        <f aca="false">IF(C265=1,COUNTIFS($C$2:C265,1,$D$2:D265,D265),COUNTIFS($C$2:$C$799,1,$D$2:$D$799,D265)+COUNTIFS($C$2:C265,2,$D$2:D265,D265))</f>
        <v>336</v>
      </c>
      <c r="F265" s="23" t="str">
        <f aca="false">D265&amp;" #"&amp;TEXT(E265,"000")</f>
        <v>구약 #336</v>
      </c>
      <c r="G265" s="18" t="s">
        <v>2395</v>
      </c>
      <c r="H265" s="18" t="s">
        <v>2396</v>
      </c>
      <c r="I265" s="21" t="s">
        <v>2397</v>
      </c>
      <c r="J265" s="22" t="s">
        <v>2441</v>
      </c>
      <c r="K265" s="23" t="s">
        <v>121</v>
      </c>
      <c r="L265" s="24" t="s">
        <v>2442</v>
      </c>
      <c r="M265" s="24" t="s">
        <v>2443</v>
      </c>
      <c r="N265" s="23" t="s">
        <v>2444</v>
      </c>
      <c r="O265" s="24" t="s">
        <v>2445</v>
      </c>
      <c r="P265" s="24" t="s">
        <v>2446</v>
      </c>
      <c r="Q265" s="24" t="s">
        <v>2447</v>
      </c>
      <c r="R265" s="24"/>
      <c r="S265" s="24" t="s">
        <v>2439</v>
      </c>
      <c r="T265" s="24" t="str">
        <f aca="false">"["&amp;안내!$C$5&amp;" "&amp;F265&amp;"] "&amp;L265&amp;" | "&amp;J265</f>
        <v>[1분 성경 구약 #336] 성전을 짓다 | 왕상 5:1-6:38</v>
      </c>
      <c r="U265" s="26" t="n">
        <f aca="false">IF(D265="구약",IF(C265=1,안내!$C$9,안내!$C$10)+AD265-1,IF(C265=1,안내!$C$9,안내!$C$10)+7*INT((AD265-1)/4)+CHOOSE(MOD(AD265-1,4)+1,0,2,4,5))</f>
        <v>46733</v>
      </c>
      <c r="V265" s="23" t="str">
        <f aca="false">CHOOSE(WEEKDAY(U265,2),"월","화","수","목","금","토","일")</f>
        <v>일</v>
      </c>
      <c r="W265" s="24" t="str">
        <f aca="false">IFERROR(IF(INDEX($C$2:$C$799,MATCH(D265&amp;"#"&amp;(E265+1),$AC$2:$AC$799,0))=C265,"다음 편: ","시즌1 완결 · 시즌2 첫 편: ")&amp;INDEX($L$2:$L$799,MATCH(D265&amp;"#"&amp;(E265+1),$AC$2:$AC$799,0)),"구약 트랙 완결")</f>
        <v>다음 편: 성전의 기구들</v>
      </c>
      <c r="X265" s="23" t="s">
        <v>130</v>
      </c>
      <c r="Y265" s="23" t="s">
        <v>130</v>
      </c>
      <c r="Z265" s="23" t="s">
        <v>130</v>
      </c>
      <c r="AA265" s="23" t="s">
        <v>130</v>
      </c>
      <c r="AB265" s="24"/>
      <c r="AC265" s="23" t="str">
        <f aca="false">D265&amp;"#"&amp;E265</f>
        <v>구약#336</v>
      </c>
      <c r="AD265" s="23" t="n">
        <f aca="false">COUNTIFS($C$2:C265,C265,$D$2:D265,D265)</f>
        <v>154</v>
      </c>
    </row>
    <row r="266" customFormat="false" ht="26.85" hidden="false" customHeight="false" outlineLevel="0" collapsed="false">
      <c r="A266" s="21" t="n">
        <v>265</v>
      </c>
      <c r="B266" s="18" t="s">
        <v>2448</v>
      </c>
      <c r="C266" s="23" t="n">
        <v>2</v>
      </c>
      <c r="D266" s="23" t="s">
        <v>116</v>
      </c>
      <c r="E266" s="23" t="n">
        <f aca="false">IF(C266=1,COUNTIFS($C$2:C266,1,$D$2:D266,D266),COUNTIFS($C$2:$C$799,1,$D$2:$D$799,D266)+COUNTIFS($C$2:C266,2,$D$2:D266,D266))</f>
        <v>337</v>
      </c>
      <c r="F266" s="23" t="str">
        <f aca="false">D266&amp;" #"&amp;TEXT(E266,"000")</f>
        <v>구약 #337</v>
      </c>
      <c r="G266" s="18" t="s">
        <v>2395</v>
      </c>
      <c r="H266" s="18" t="s">
        <v>2396</v>
      </c>
      <c r="I266" s="21" t="s">
        <v>2397</v>
      </c>
      <c r="J266" s="22" t="s">
        <v>2449</v>
      </c>
      <c r="K266" s="23" t="s">
        <v>1085</v>
      </c>
      <c r="L266" s="24" t="s">
        <v>2450</v>
      </c>
      <c r="M266" s="24" t="s">
        <v>2451</v>
      </c>
      <c r="N266" s="23" t="s">
        <v>2452</v>
      </c>
      <c r="O266" s="24" t="s">
        <v>2453</v>
      </c>
      <c r="P266" s="24" t="s">
        <v>2454</v>
      </c>
      <c r="Q266" s="24" t="s">
        <v>2455</v>
      </c>
      <c r="R266" s="24"/>
      <c r="S266" s="24" t="s">
        <v>2439</v>
      </c>
      <c r="T266" s="24" t="str">
        <f aca="false">"["&amp;안내!$C$5&amp;" "&amp;F266&amp;"] "&amp;L266&amp;" | "&amp;J266</f>
        <v>[1분 성경 구약 #337] 성전의 기구들 | 왕상 7:1-51</v>
      </c>
      <c r="U266" s="26" t="n">
        <f aca="false">IF(D266="구약",IF(C266=1,안내!$C$9,안내!$C$10)+AD266-1,IF(C266=1,안내!$C$9,안내!$C$10)+7*INT((AD266-1)/4)+CHOOSE(MOD(AD266-1,4)+1,0,2,4,5))</f>
        <v>46734</v>
      </c>
      <c r="V266" s="23" t="str">
        <f aca="false">CHOOSE(WEEKDAY(U266,2),"월","화","수","목","금","토","일")</f>
        <v>월</v>
      </c>
      <c r="W266" s="24" t="str">
        <f aca="false">IFERROR(IF(INDEX($C$2:$C$799,MATCH(D266&amp;"#"&amp;(E266+1),$AC$2:$AC$799,0))=C266,"다음 편: ","시즌1 완결 · 시즌2 첫 편: ")&amp;INDEX($L$2:$L$799,MATCH(D266&amp;"#"&amp;(E266+1),$AC$2:$AC$799,0)),"구약 트랙 완결")</f>
        <v>다음 편: 금송아지와 하나님의 사람</v>
      </c>
      <c r="X266" s="23" t="s">
        <v>130</v>
      </c>
      <c r="Y266" s="23" t="s">
        <v>130</v>
      </c>
      <c r="Z266" s="23" t="s">
        <v>130</v>
      </c>
      <c r="AA266" s="23" t="s">
        <v>130</v>
      </c>
      <c r="AB266" s="24"/>
      <c r="AC266" s="23" t="str">
        <f aca="false">D266&amp;"#"&amp;E266</f>
        <v>구약#337</v>
      </c>
      <c r="AD266" s="23" t="n">
        <f aca="false">COUNTIFS($C$2:C266,C266,$D$2:D266,D266)</f>
        <v>155</v>
      </c>
    </row>
    <row r="267" customFormat="false" ht="52.2" hidden="false" customHeight="false" outlineLevel="0" collapsed="false">
      <c r="A267" s="21" t="n">
        <v>266</v>
      </c>
      <c r="B267" s="18" t="s">
        <v>2456</v>
      </c>
      <c r="C267" s="20" t="n">
        <v>1</v>
      </c>
      <c r="D267" s="20" t="s">
        <v>116</v>
      </c>
      <c r="E267" s="20" t="n">
        <f aca="false">IF(C267=1,COUNTIFS($C$2:C267,1,$D$2:D267,D267),COUNTIFS($C$2:$C$799,1,$D$2:$D$799,D267)+COUNTIFS($C$2:C267,2,$D$2:D267,D267))</f>
        <v>111</v>
      </c>
      <c r="F267" s="20" t="str">
        <f aca="false">D267&amp;" #"&amp;TEXT(E267,"000")</f>
        <v>구약 #111</v>
      </c>
      <c r="G267" s="18" t="s">
        <v>2395</v>
      </c>
      <c r="H267" s="18" t="s">
        <v>2296</v>
      </c>
      <c r="I267" s="21" t="s">
        <v>2397</v>
      </c>
      <c r="J267" s="22" t="s">
        <v>2457</v>
      </c>
      <c r="K267" s="23" t="s">
        <v>121</v>
      </c>
      <c r="L267" s="24" t="s">
        <v>2458</v>
      </c>
      <c r="M267" s="24" t="s">
        <v>2459</v>
      </c>
      <c r="N267" s="23" t="s">
        <v>2460</v>
      </c>
      <c r="O267" s="24" t="s">
        <v>2461</v>
      </c>
      <c r="P267" s="24" t="s">
        <v>2462</v>
      </c>
      <c r="Q267" s="24" t="s">
        <v>2463</v>
      </c>
      <c r="R267" s="24"/>
      <c r="S267" s="28" t="s">
        <v>2464</v>
      </c>
      <c r="T267" s="24" t="str">
        <f aca="false">"["&amp;안내!$C$5&amp;" "&amp;F267&amp;"] "&amp;L267&amp;" | "&amp;J267</f>
        <v>[1분 성경 구약 #111] 성전 봉헌 기도 | 왕상 8:1-66</v>
      </c>
      <c r="U267" s="26" t="n">
        <f aca="false">IF(D267="구약",IF(C267=1,안내!$C$9,안내!$C$10)+AD267-1,IF(C267=1,안내!$C$9,안내!$C$10)+7*INT((AD267-1)/4)+CHOOSE(MOD(AD267-1,4)+1,0,2,4,5))</f>
        <v>46501</v>
      </c>
      <c r="V267" s="23" t="str">
        <f aca="false">CHOOSE(WEEKDAY(U267,2),"월","화","수","목","금","토","일")</f>
        <v>토</v>
      </c>
      <c r="W267" s="24" t="str">
        <f aca="false">IFERROR(IF(INDEX($C$2:$C$799,MATCH(D267&amp;"#"&amp;(E267+1),$AC$2:$AC$799,0))=C267,"다음 편: ","시즌1 완결 · 시즌2 첫 편: ")&amp;INDEX($L$2:$L$799,MATCH(D267&amp;"#"&amp;(E267+1),$AC$2:$AC$799,0)),"구약 트랙 완결")</f>
        <v>다음 편: 스바 여왕의 방문</v>
      </c>
      <c r="X267" s="23" t="s">
        <v>130</v>
      </c>
      <c r="Y267" s="23" t="s">
        <v>130</v>
      </c>
      <c r="Z267" s="23" t="s">
        <v>130</v>
      </c>
      <c r="AA267" s="23" t="s">
        <v>130</v>
      </c>
      <c r="AB267" s="24"/>
      <c r="AC267" s="23" t="str">
        <f aca="false">D267&amp;"#"&amp;E267</f>
        <v>구약#111</v>
      </c>
      <c r="AD267" s="23" t="n">
        <f aca="false">COUNTIFS($C$2:C267,C267,$D$2:D267,D267)</f>
        <v>111</v>
      </c>
    </row>
    <row r="268" customFormat="false" ht="26.85" hidden="false" customHeight="false" outlineLevel="0" collapsed="false">
      <c r="A268" s="21" t="n">
        <v>267</v>
      </c>
      <c r="B268" s="18" t="s">
        <v>2465</v>
      </c>
      <c r="C268" s="20" t="n">
        <v>1</v>
      </c>
      <c r="D268" s="20" t="s">
        <v>116</v>
      </c>
      <c r="E268" s="20" t="n">
        <f aca="false">IF(C268=1,COUNTIFS($C$2:C268,1,$D$2:D268,D268),COUNTIFS($C$2:$C$799,1,$D$2:$D$799,D268)+COUNTIFS($C$2:C268,2,$D$2:D268,D268))</f>
        <v>112</v>
      </c>
      <c r="F268" s="20" t="str">
        <f aca="false">D268&amp;" #"&amp;TEXT(E268,"000")</f>
        <v>구약 #112</v>
      </c>
      <c r="G268" s="18" t="s">
        <v>2395</v>
      </c>
      <c r="H268" s="18" t="s">
        <v>2296</v>
      </c>
      <c r="I268" s="21" t="s">
        <v>2397</v>
      </c>
      <c r="J268" s="22" t="s">
        <v>2466</v>
      </c>
      <c r="K268" s="23" t="s">
        <v>121</v>
      </c>
      <c r="L268" s="24" t="s">
        <v>2467</v>
      </c>
      <c r="M268" s="24" t="s">
        <v>2468</v>
      </c>
      <c r="N268" s="23" t="s">
        <v>2469</v>
      </c>
      <c r="O268" s="24" t="s">
        <v>2470</v>
      </c>
      <c r="P268" s="24" t="s">
        <v>2471</v>
      </c>
      <c r="Q268" s="24" t="s">
        <v>2472</v>
      </c>
      <c r="R268" s="24"/>
      <c r="S268" s="24" t="s">
        <v>129</v>
      </c>
      <c r="T268" s="24" t="str">
        <f aca="false">"["&amp;안내!$C$5&amp;" "&amp;F268&amp;"] "&amp;L268&amp;" | "&amp;J268</f>
        <v>[1분 성경 구약 #112] 스바 여왕의 방문 | 왕상 9:1-10:29</v>
      </c>
      <c r="U268" s="26" t="n">
        <f aca="false">IF(D268="구약",IF(C268=1,안내!$C$9,안내!$C$10)+AD268-1,IF(C268=1,안내!$C$9,안내!$C$10)+7*INT((AD268-1)/4)+CHOOSE(MOD(AD268-1,4)+1,0,2,4,5))</f>
        <v>46502</v>
      </c>
      <c r="V268" s="23" t="str">
        <f aca="false">CHOOSE(WEEKDAY(U268,2),"월","화","수","목","금","토","일")</f>
        <v>일</v>
      </c>
      <c r="W268" s="24" t="str">
        <f aca="false">IFERROR(IF(INDEX($C$2:$C$799,MATCH(D268&amp;"#"&amp;(E268+1),$AC$2:$AC$799,0))=C268,"다음 편: ","시즌1 완결 · 시즌2 첫 편: ")&amp;INDEX($L$2:$L$799,MATCH(D268&amp;"#"&amp;(E268+1),$AC$2:$AC$799,0)),"구약 트랙 완결")</f>
        <v>다음 편: 마음이 돌아서다</v>
      </c>
      <c r="X268" s="23" t="s">
        <v>130</v>
      </c>
      <c r="Y268" s="23" t="s">
        <v>130</v>
      </c>
      <c r="Z268" s="23" t="s">
        <v>130</v>
      </c>
      <c r="AA268" s="23" t="s">
        <v>130</v>
      </c>
      <c r="AB268" s="24"/>
      <c r="AC268" s="23" t="str">
        <f aca="false">D268&amp;"#"&amp;E268</f>
        <v>구약#112</v>
      </c>
      <c r="AD268" s="23" t="n">
        <f aca="false">COUNTIFS($C$2:C268,C268,$D$2:D268,D268)</f>
        <v>112</v>
      </c>
    </row>
    <row r="269" customFormat="false" ht="26.85" hidden="false" customHeight="false" outlineLevel="0" collapsed="false">
      <c r="A269" s="21" t="n">
        <v>268</v>
      </c>
      <c r="B269" s="18" t="s">
        <v>2473</v>
      </c>
      <c r="C269" s="20" t="n">
        <v>1</v>
      </c>
      <c r="D269" s="20" t="s">
        <v>116</v>
      </c>
      <c r="E269" s="20" t="n">
        <f aca="false">IF(C269=1,COUNTIFS($C$2:C269,1,$D$2:D269,D269),COUNTIFS($C$2:$C$799,1,$D$2:$D$799,D269)+COUNTIFS($C$2:C269,2,$D$2:D269,D269))</f>
        <v>113</v>
      </c>
      <c r="F269" s="20" t="str">
        <f aca="false">D269&amp;" #"&amp;TEXT(E269,"000")</f>
        <v>구약 #113</v>
      </c>
      <c r="G269" s="18" t="s">
        <v>2395</v>
      </c>
      <c r="H269" s="18" t="s">
        <v>2296</v>
      </c>
      <c r="I269" s="21" t="s">
        <v>2397</v>
      </c>
      <c r="J269" s="22" t="s">
        <v>2474</v>
      </c>
      <c r="K269" s="23" t="s">
        <v>121</v>
      </c>
      <c r="L269" s="24" t="s">
        <v>2475</v>
      </c>
      <c r="M269" s="24" t="s">
        <v>2476</v>
      </c>
      <c r="N269" s="23" t="s">
        <v>2477</v>
      </c>
      <c r="O269" s="24" t="s">
        <v>2478</v>
      </c>
      <c r="P269" s="24" t="s">
        <v>2479</v>
      </c>
      <c r="Q269" s="24" t="s">
        <v>2480</v>
      </c>
      <c r="R269" s="25" t="s">
        <v>2481</v>
      </c>
      <c r="S269" s="24" t="s">
        <v>129</v>
      </c>
      <c r="T269" s="24" t="str">
        <f aca="false">"["&amp;안내!$C$5&amp;" "&amp;F269&amp;"] "&amp;L269&amp;" | "&amp;J269</f>
        <v>[1분 성경 구약 #113] 마음이 돌아서다 | 왕상 11:1-43</v>
      </c>
      <c r="U269" s="26" t="n">
        <f aca="false">IF(D269="구약",IF(C269=1,안내!$C$9,안내!$C$10)+AD269-1,IF(C269=1,안내!$C$9,안내!$C$10)+7*INT((AD269-1)/4)+CHOOSE(MOD(AD269-1,4)+1,0,2,4,5))</f>
        <v>46503</v>
      </c>
      <c r="V269" s="23" t="str">
        <f aca="false">CHOOSE(WEEKDAY(U269,2),"월","화","수","목","금","토","일")</f>
        <v>월</v>
      </c>
      <c r="W269" s="24" t="str">
        <f aca="false">IFERROR(IF(INDEX($C$2:$C$799,MATCH(D269&amp;"#"&amp;(E269+1),$AC$2:$AC$799,0))=C269,"다음 편: ","시즌1 완결 · 시즌2 첫 편: ")&amp;INDEX($L$2:$L$799,MATCH(D269&amp;"#"&amp;(E269+1),$AC$2:$AC$799,0)),"구약 트랙 완결")</f>
        <v>다음 편: 나라가 둘로 나뉘다</v>
      </c>
      <c r="X269" s="23" t="s">
        <v>130</v>
      </c>
      <c r="Y269" s="23" t="s">
        <v>130</v>
      </c>
      <c r="Z269" s="23" t="s">
        <v>130</v>
      </c>
      <c r="AA269" s="23" t="s">
        <v>130</v>
      </c>
      <c r="AB269" s="24"/>
      <c r="AC269" s="23" t="str">
        <f aca="false">D269&amp;"#"&amp;E269</f>
        <v>구약#113</v>
      </c>
      <c r="AD269" s="23" t="n">
        <f aca="false">COUNTIFS($C$2:C269,C269,$D$2:D269,D269)</f>
        <v>113</v>
      </c>
    </row>
    <row r="270" customFormat="false" ht="26.85" hidden="false" customHeight="false" outlineLevel="0" collapsed="false">
      <c r="A270" s="21" t="n">
        <v>269</v>
      </c>
      <c r="B270" s="18" t="s">
        <v>2482</v>
      </c>
      <c r="C270" s="20" t="n">
        <v>1</v>
      </c>
      <c r="D270" s="20" t="s">
        <v>116</v>
      </c>
      <c r="E270" s="20" t="n">
        <f aca="false">IF(C270=1,COUNTIFS($C$2:C270,1,$D$2:D270,D270),COUNTIFS($C$2:$C$799,1,$D$2:$D$799,D270)+COUNTIFS($C$2:C270,2,$D$2:D270,D270))</f>
        <v>114</v>
      </c>
      <c r="F270" s="20" t="str">
        <f aca="false">D270&amp;" #"&amp;TEXT(E270,"000")</f>
        <v>구약 #114</v>
      </c>
      <c r="G270" s="18" t="s">
        <v>2483</v>
      </c>
      <c r="H270" s="18" t="s">
        <v>2484</v>
      </c>
      <c r="I270" s="21" t="s">
        <v>2397</v>
      </c>
      <c r="J270" s="22" t="s">
        <v>2485</v>
      </c>
      <c r="K270" s="23" t="s">
        <v>121</v>
      </c>
      <c r="L270" s="24" t="s">
        <v>2486</v>
      </c>
      <c r="M270" s="24" t="s">
        <v>2487</v>
      </c>
      <c r="N270" s="23" t="s">
        <v>2488</v>
      </c>
      <c r="O270" s="24" t="s">
        <v>2489</v>
      </c>
      <c r="P270" s="24" t="s">
        <v>2490</v>
      </c>
      <c r="Q270" s="24" t="s">
        <v>630</v>
      </c>
      <c r="R270" s="24"/>
      <c r="S270" s="24" t="s">
        <v>129</v>
      </c>
      <c r="T270" s="24" t="str">
        <f aca="false">"["&amp;안내!$C$5&amp;" "&amp;F270&amp;"] "&amp;L270&amp;" | "&amp;J270</f>
        <v>[1분 성경 구약 #114] 나라가 둘로 나뉘다 | 왕상 12:1-24</v>
      </c>
      <c r="U270" s="26" t="n">
        <f aca="false">IF(D270="구약",IF(C270=1,안내!$C$9,안내!$C$10)+AD270-1,IF(C270=1,안내!$C$9,안내!$C$10)+7*INT((AD270-1)/4)+CHOOSE(MOD(AD270-1,4)+1,0,2,4,5))</f>
        <v>46504</v>
      </c>
      <c r="V270" s="23" t="str">
        <f aca="false">CHOOSE(WEEKDAY(U270,2),"월","화","수","목","금","토","일")</f>
        <v>화</v>
      </c>
      <c r="W270" s="24" t="str">
        <f aca="false">IFERROR(IF(INDEX($C$2:$C$799,MATCH(D270&amp;"#"&amp;(E270+1),$AC$2:$AC$799,0))=C270,"다음 편: ","시즌1 완결 · 시즌2 첫 편: ")&amp;INDEX($L$2:$L$799,MATCH(D270&amp;"#"&amp;(E270+1),$AC$2:$AC$799,0)),"구약 트랙 완결")</f>
        <v>다음 편: 까마귀가 날라 준 음식</v>
      </c>
      <c r="X270" s="23" t="s">
        <v>130</v>
      </c>
      <c r="Y270" s="23" t="s">
        <v>130</v>
      </c>
      <c r="Z270" s="23" t="s">
        <v>130</v>
      </c>
      <c r="AA270" s="23" t="s">
        <v>130</v>
      </c>
      <c r="AB270" s="24"/>
      <c r="AC270" s="23" t="str">
        <f aca="false">D270&amp;"#"&amp;E270</f>
        <v>구약#114</v>
      </c>
      <c r="AD270" s="23" t="n">
        <f aca="false">COUNTIFS($C$2:C270,C270,$D$2:D270,D270)</f>
        <v>114</v>
      </c>
    </row>
    <row r="271" customFormat="false" ht="26.85" hidden="false" customHeight="false" outlineLevel="0" collapsed="false">
      <c r="A271" s="21" t="n">
        <v>270</v>
      </c>
      <c r="B271" s="18" t="s">
        <v>2491</v>
      </c>
      <c r="C271" s="23" t="n">
        <v>2</v>
      </c>
      <c r="D271" s="23" t="s">
        <v>116</v>
      </c>
      <c r="E271" s="23" t="n">
        <f aca="false">IF(C271=1,COUNTIFS($C$2:C271,1,$D$2:D271,D271),COUNTIFS($C$2:$C$799,1,$D$2:$D$799,D271)+COUNTIFS($C$2:C271,2,$D$2:D271,D271))</f>
        <v>338</v>
      </c>
      <c r="F271" s="23" t="str">
        <f aca="false">D271&amp;" #"&amp;TEXT(E271,"000")</f>
        <v>구약 #338</v>
      </c>
      <c r="G271" s="18" t="s">
        <v>2483</v>
      </c>
      <c r="H271" s="18" t="s">
        <v>2396</v>
      </c>
      <c r="I271" s="21" t="s">
        <v>2397</v>
      </c>
      <c r="J271" s="22" t="s">
        <v>2492</v>
      </c>
      <c r="K271" s="23" t="s">
        <v>121</v>
      </c>
      <c r="L271" s="24" t="s">
        <v>2493</v>
      </c>
      <c r="M271" s="24" t="s">
        <v>2494</v>
      </c>
      <c r="N271" s="23" t="s">
        <v>2495</v>
      </c>
      <c r="O271" s="24" t="s">
        <v>2496</v>
      </c>
      <c r="P271" s="24" t="s">
        <v>2497</v>
      </c>
      <c r="Q271" s="24" t="s">
        <v>640</v>
      </c>
      <c r="R271" s="25" t="s">
        <v>2498</v>
      </c>
      <c r="S271" s="24" t="s">
        <v>2499</v>
      </c>
      <c r="T271" s="24" t="str">
        <f aca="false">"["&amp;안내!$C$5&amp;" "&amp;F271&amp;"] "&amp;L271&amp;" | "&amp;J271</f>
        <v>[1분 성경 구약 #338] 금송아지와 하나님의 사람 | 왕상 12:25-13:34</v>
      </c>
      <c r="U271" s="26" t="n">
        <f aca="false">IF(D271="구약",IF(C271=1,안내!$C$9,안내!$C$10)+AD271-1,IF(C271=1,안내!$C$9,안내!$C$10)+7*INT((AD271-1)/4)+CHOOSE(MOD(AD271-1,4)+1,0,2,4,5))</f>
        <v>46735</v>
      </c>
      <c r="V271" s="23" t="str">
        <f aca="false">CHOOSE(WEEKDAY(U271,2),"월","화","수","목","금","토","일")</f>
        <v>화</v>
      </c>
      <c r="W271" s="24" t="str">
        <f aca="false">IFERROR(IF(INDEX($C$2:$C$799,MATCH(D271&amp;"#"&amp;(E271+1),$AC$2:$AC$799,0))=C271,"다음 편: ","시즌1 완결 · 시즌2 첫 편: ")&amp;INDEX($L$2:$L$799,MATCH(D271&amp;"#"&amp;(E271+1),$AC$2:$AC$799,0)),"구약 트랙 완결")</f>
        <v>다음 편: 변장한 왕비</v>
      </c>
      <c r="X271" s="23" t="s">
        <v>130</v>
      </c>
      <c r="Y271" s="23" t="s">
        <v>130</v>
      </c>
      <c r="Z271" s="23" t="s">
        <v>130</v>
      </c>
      <c r="AA271" s="23" t="s">
        <v>130</v>
      </c>
      <c r="AB271" s="24"/>
      <c r="AC271" s="23" t="str">
        <f aca="false">D271&amp;"#"&amp;E271</f>
        <v>구약#338</v>
      </c>
      <c r="AD271" s="23" t="n">
        <f aca="false">COUNTIFS($C$2:C271,C271,$D$2:D271,D271)</f>
        <v>156</v>
      </c>
    </row>
    <row r="272" customFormat="false" ht="26.85" hidden="false" customHeight="false" outlineLevel="0" collapsed="false">
      <c r="A272" s="21" t="n">
        <v>271</v>
      </c>
      <c r="B272" s="18" t="s">
        <v>2500</v>
      </c>
      <c r="C272" s="23" t="n">
        <v>2</v>
      </c>
      <c r="D272" s="23" t="s">
        <v>116</v>
      </c>
      <c r="E272" s="23" t="n">
        <f aca="false">IF(C272=1,COUNTIFS($C$2:C272,1,$D$2:D272,D272),COUNTIFS($C$2:$C$799,1,$D$2:$D$799,D272)+COUNTIFS($C$2:C272,2,$D$2:D272,D272))</f>
        <v>339</v>
      </c>
      <c r="F272" s="23" t="str">
        <f aca="false">D272&amp;" #"&amp;TEXT(E272,"000")</f>
        <v>구약 #339</v>
      </c>
      <c r="G272" s="18" t="s">
        <v>2483</v>
      </c>
      <c r="H272" s="18" t="s">
        <v>2396</v>
      </c>
      <c r="I272" s="21" t="s">
        <v>2397</v>
      </c>
      <c r="J272" s="22" t="s">
        <v>2501</v>
      </c>
      <c r="K272" s="23" t="s">
        <v>121</v>
      </c>
      <c r="L272" s="24" t="s">
        <v>2502</v>
      </c>
      <c r="M272" s="24" t="s">
        <v>2503</v>
      </c>
      <c r="N272" s="23" t="s">
        <v>2504</v>
      </c>
      <c r="O272" s="24" t="s">
        <v>2505</v>
      </c>
      <c r="P272" s="24" t="s">
        <v>2506</v>
      </c>
      <c r="Q272" s="24" t="s">
        <v>2507</v>
      </c>
      <c r="R272" s="24"/>
      <c r="S272" s="24" t="s">
        <v>2499</v>
      </c>
      <c r="T272" s="24" t="str">
        <f aca="false">"["&amp;안내!$C$5&amp;" "&amp;F272&amp;"] "&amp;L272&amp;" | "&amp;J272</f>
        <v>[1분 성경 구약 #339] 변장한 왕비 | 왕상 14:1-31</v>
      </c>
      <c r="U272" s="26" t="n">
        <f aca="false">IF(D272="구약",IF(C272=1,안내!$C$9,안내!$C$10)+AD272-1,IF(C272=1,안내!$C$9,안내!$C$10)+7*INT((AD272-1)/4)+CHOOSE(MOD(AD272-1,4)+1,0,2,4,5))</f>
        <v>46736</v>
      </c>
      <c r="V272" s="23" t="str">
        <f aca="false">CHOOSE(WEEKDAY(U272,2),"월","화","수","목","금","토","일")</f>
        <v>수</v>
      </c>
      <c r="W272" s="24" t="str">
        <f aca="false">IFERROR(IF(INDEX($C$2:$C$799,MATCH(D272&amp;"#"&amp;(E272+1),$AC$2:$AC$799,0))=C272,"다음 편: ","시즌1 완결 · 시즌2 첫 편: ")&amp;INDEX($L$2:$L$799,MATCH(D272&amp;"#"&amp;(E272+1),$AC$2:$AC$799,0)),"구약 트랙 완결")</f>
        <v>다음 편: 남과 북의 왕들</v>
      </c>
      <c r="X272" s="23" t="s">
        <v>130</v>
      </c>
      <c r="Y272" s="23" t="s">
        <v>130</v>
      </c>
      <c r="Z272" s="23" t="s">
        <v>130</v>
      </c>
      <c r="AA272" s="23" t="s">
        <v>130</v>
      </c>
      <c r="AB272" s="24"/>
      <c r="AC272" s="23" t="str">
        <f aca="false">D272&amp;"#"&amp;E272</f>
        <v>구약#339</v>
      </c>
      <c r="AD272" s="23" t="n">
        <f aca="false">COUNTIFS($C$2:C272,C272,$D$2:D272,D272)</f>
        <v>157</v>
      </c>
    </row>
    <row r="273" customFormat="false" ht="26.85" hidden="false" customHeight="false" outlineLevel="0" collapsed="false">
      <c r="A273" s="21" t="n">
        <v>272</v>
      </c>
      <c r="B273" s="18" t="s">
        <v>2508</v>
      </c>
      <c r="C273" s="23" t="n">
        <v>2</v>
      </c>
      <c r="D273" s="23" t="s">
        <v>116</v>
      </c>
      <c r="E273" s="23" t="n">
        <f aca="false">IF(C273=1,COUNTIFS($C$2:C273,1,$D$2:D273,D273),COUNTIFS($C$2:$C$799,1,$D$2:$D$799,D273)+COUNTIFS($C$2:C273,2,$D$2:D273,D273))</f>
        <v>340</v>
      </c>
      <c r="F273" s="23" t="str">
        <f aca="false">D273&amp;" #"&amp;TEXT(E273,"000")</f>
        <v>구약 #340</v>
      </c>
      <c r="G273" s="18" t="s">
        <v>2483</v>
      </c>
      <c r="H273" s="18" t="s">
        <v>2396</v>
      </c>
      <c r="I273" s="21" t="s">
        <v>2397</v>
      </c>
      <c r="J273" s="22" t="s">
        <v>2509</v>
      </c>
      <c r="K273" s="23" t="s">
        <v>1085</v>
      </c>
      <c r="L273" s="24" t="s">
        <v>2510</v>
      </c>
      <c r="M273" s="24" t="s">
        <v>2511</v>
      </c>
      <c r="N273" s="23" t="s">
        <v>2512</v>
      </c>
      <c r="O273" s="24" t="s">
        <v>2513</v>
      </c>
      <c r="P273" s="24" t="s">
        <v>2514</v>
      </c>
      <c r="Q273" s="24" t="s">
        <v>2515</v>
      </c>
      <c r="R273" s="24"/>
      <c r="S273" s="24" t="s">
        <v>2499</v>
      </c>
      <c r="T273" s="24" t="str">
        <f aca="false">"["&amp;안내!$C$5&amp;" "&amp;F273&amp;"] "&amp;L273&amp;" | "&amp;J273</f>
        <v>[1분 성경 구약 #340] 남과 북의 왕들 | 왕상 15:1-16:34</v>
      </c>
      <c r="U273" s="26" t="n">
        <f aca="false">IF(D273="구약",IF(C273=1,안내!$C$9,안내!$C$10)+AD273-1,IF(C273=1,안내!$C$9,안내!$C$10)+7*INT((AD273-1)/4)+CHOOSE(MOD(AD273-1,4)+1,0,2,4,5))</f>
        <v>46737</v>
      </c>
      <c r="V273" s="23" t="str">
        <f aca="false">CHOOSE(WEEKDAY(U273,2),"월","화","수","목","금","토","일")</f>
        <v>목</v>
      </c>
      <c r="W273" s="24" t="str">
        <f aca="false">IFERROR(IF(INDEX($C$2:$C$799,MATCH(D273&amp;"#"&amp;(E273+1),$AC$2:$AC$799,0))=C273,"다음 편: ","시즌1 완결 · 시즌2 첫 편: ")&amp;INDEX($L$2:$L$799,MATCH(D273&amp;"#"&amp;(E273+1),$AC$2:$AC$799,0)),"구약 트랙 완결")</f>
        <v>다음 편: 산의 신이냐 골짜기의 신이냐</v>
      </c>
      <c r="X273" s="23" t="s">
        <v>130</v>
      </c>
      <c r="Y273" s="23" t="s">
        <v>130</v>
      </c>
      <c r="Z273" s="23" t="s">
        <v>130</v>
      </c>
      <c r="AA273" s="23" t="s">
        <v>130</v>
      </c>
      <c r="AB273" s="24"/>
      <c r="AC273" s="23" t="str">
        <f aca="false">D273&amp;"#"&amp;E273</f>
        <v>구약#340</v>
      </c>
      <c r="AD273" s="23" t="n">
        <f aca="false">COUNTIFS($C$2:C273,C273,$D$2:D273,D273)</f>
        <v>158</v>
      </c>
    </row>
    <row r="274" customFormat="false" ht="52.2" hidden="false" customHeight="false" outlineLevel="0" collapsed="false">
      <c r="A274" s="21" t="n">
        <v>273</v>
      </c>
      <c r="B274" s="18" t="s">
        <v>2516</v>
      </c>
      <c r="C274" s="20" t="n">
        <v>1</v>
      </c>
      <c r="D274" s="20" t="s">
        <v>116</v>
      </c>
      <c r="E274" s="20" t="n">
        <f aca="false">IF(C274=1,COUNTIFS($C$2:C274,1,$D$2:D274,D274),COUNTIFS($C$2:$C$799,1,$D$2:$D$799,D274)+COUNTIFS($C$2:C274,2,$D$2:D274,D274))</f>
        <v>115</v>
      </c>
      <c r="F274" s="20" t="str">
        <f aca="false">D274&amp;" #"&amp;TEXT(E274,"000")</f>
        <v>구약 #115</v>
      </c>
      <c r="G274" s="18" t="s">
        <v>2483</v>
      </c>
      <c r="H274" s="18" t="s">
        <v>2484</v>
      </c>
      <c r="I274" s="21" t="s">
        <v>2397</v>
      </c>
      <c r="J274" s="22" t="s">
        <v>2517</v>
      </c>
      <c r="K274" s="23" t="s">
        <v>121</v>
      </c>
      <c r="L274" s="24" t="s">
        <v>2518</v>
      </c>
      <c r="M274" s="24" t="s">
        <v>2519</v>
      </c>
      <c r="N274" s="23" t="s">
        <v>2520</v>
      </c>
      <c r="O274" s="24" t="s">
        <v>2521</v>
      </c>
      <c r="P274" s="24" t="s">
        <v>2522</v>
      </c>
      <c r="Q274" s="24" t="s">
        <v>2523</v>
      </c>
      <c r="R274" s="24"/>
      <c r="S274" s="28" t="s">
        <v>2524</v>
      </c>
      <c r="T274" s="24" t="str">
        <f aca="false">"["&amp;안내!$C$5&amp;" "&amp;F274&amp;"] "&amp;L274&amp;" | "&amp;J274</f>
        <v>[1분 성경 구약 #115] 까마귀가 날라 준 음식 | 왕상 17:1-7</v>
      </c>
      <c r="U274" s="26" t="n">
        <f aca="false">IF(D274="구약",IF(C274=1,안내!$C$9,안내!$C$10)+AD274-1,IF(C274=1,안내!$C$9,안내!$C$10)+7*INT((AD274-1)/4)+CHOOSE(MOD(AD274-1,4)+1,0,2,4,5))</f>
        <v>46505</v>
      </c>
      <c r="V274" s="23" t="str">
        <f aca="false">CHOOSE(WEEKDAY(U274,2),"월","화","수","목","금","토","일")</f>
        <v>수</v>
      </c>
      <c r="W274" s="24" t="str">
        <f aca="false">IFERROR(IF(INDEX($C$2:$C$799,MATCH(D274&amp;"#"&amp;(E274+1),$AC$2:$AC$799,0))=C274,"다음 편: ","시즌1 완결 · 시즌2 첫 편: ")&amp;INDEX($L$2:$L$799,MATCH(D274&amp;"#"&amp;(E274+1),$AC$2:$AC$799,0)),"구약 트랙 완결")</f>
        <v>다음 편: 과부의 마지막 밀가루</v>
      </c>
      <c r="X274" s="23" t="s">
        <v>130</v>
      </c>
      <c r="Y274" s="23" t="s">
        <v>130</v>
      </c>
      <c r="Z274" s="23" t="s">
        <v>130</v>
      </c>
      <c r="AA274" s="23" t="s">
        <v>130</v>
      </c>
      <c r="AB274" s="24"/>
      <c r="AC274" s="23" t="str">
        <f aca="false">D274&amp;"#"&amp;E274</f>
        <v>구약#115</v>
      </c>
      <c r="AD274" s="23" t="n">
        <f aca="false">COUNTIFS($C$2:C274,C274,$D$2:D274,D274)</f>
        <v>115</v>
      </c>
    </row>
    <row r="275" customFormat="false" ht="26.85" hidden="false" customHeight="false" outlineLevel="0" collapsed="false">
      <c r="A275" s="21" t="n">
        <v>274</v>
      </c>
      <c r="B275" s="18" t="s">
        <v>2525</v>
      </c>
      <c r="C275" s="20" t="n">
        <v>1</v>
      </c>
      <c r="D275" s="20" t="s">
        <v>116</v>
      </c>
      <c r="E275" s="20" t="n">
        <f aca="false">IF(C275=1,COUNTIFS($C$2:C275,1,$D$2:D275,D275),COUNTIFS($C$2:$C$799,1,$D$2:$D$799,D275)+COUNTIFS($C$2:C275,2,$D$2:D275,D275))</f>
        <v>116</v>
      </c>
      <c r="F275" s="20" t="str">
        <f aca="false">D275&amp;" #"&amp;TEXT(E275,"000")</f>
        <v>구약 #116</v>
      </c>
      <c r="G275" s="18" t="s">
        <v>2483</v>
      </c>
      <c r="H275" s="18" t="s">
        <v>2484</v>
      </c>
      <c r="I275" s="21" t="s">
        <v>2397</v>
      </c>
      <c r="J275" s="22" t="s">
        <v>2526</v>
      </c>
      <c r="K275" s="23" t="s">
        <v>121</v>
      </c>
      <c r="L275" s="24" t="s">
        <v>2527</v>
      </c>
      <c r="M275" s="24" t="s">
        <v>2528</v>
      </c>
      <c r="N275" s="23" t="s">
        <v>2529</v>
      </c>
      <c r="O275" s="24" t="s">
        <v>2530</v>
      </c>
      <c r="P275" s="24" t="s">
        <v>2531</v>
      </c>
      <c r="Q275" s="24" t="s">
        <v>2532</v>
      </c>
      <c r="R275" s="24"/>
      <c r="S275" s="24" t="s">
        <v>129</v>
      </c>
      <c r="T275" s="24" t="str">
        <f aca="false">"["&amp;안내!$C$5&amp;" "&amp;F275&amp;"] "&amp;L275&amp;" | "&amp;J275</f>
        <v>[1분 성경 구약 #116] 과부의 마지막 밀가루 | 왕상 17:8-24</v>
      </c>
      <c r="U275" s="26" t="n">
        <f aca="false">IF(D275="구약",IF(C275=1,안내!$C$9,안내!$C$10)+AD275-1,IF(C275=1,안내!$C$9,안내!$C$10)+7*INT((AD275-1)/4)+CHOOSE(MOD(AD275-1,4)+1,0,2,4,5))</f>
        <v>46506</v>
      </c>
      <c r="V275" s="23" t="str">
        <f aca="false">CHOOSE(WEEKDAY(U275,2),"월","화","수","목","금","토","일")</f>
        <v>목</v>
      </c>
      <c r="W275" s="24" t="str">
        <f aca="false">IFERROR(IF(INDEX($C$2:$C$799,MATCH(D275&amp;"#"&amp;(E275+1),$AC$2:$AC$799,0))=C275,"다음 편: ","시즌1 완결 · 시즌2 첫 편: ")&amp;INDEX($L$2:$L$799,MATCH(D275&amp;"#"&amp;(E275+1),$AC$2:$AC$799,0)),"구약 트랙 완결")</f>
        <v>다음 편: 누가 참 하나님인가</v>
      </c>
      <c r="X275" s="23" t="s">
        <v>130</v>
      </c>
      <c r="Y275" s="23" t="s">
        <v>130</v>
      </c>
      <c r="Z275" s="23" t="s">
        <v>130</v>
      </c>
      <c r="AA275" s="23" t="s">
        <v>130</v>
      </c>
      <c r="AB275" s="24"/>
      <c r="AC275" s="23" t="str">
        <f aca="false">D275&amp;"#"&amp;E275</f>
        <v>구약#116</v>
      </c>
      <c r="AD275" s="23" t="n">
        <f aca="false">COUNTIFS($C$2:C275,C275,$D$2:D275,D275)</f>
        <v>116</v>
      </c>
    </row>
    <row r="276" customFormat="false" ht="26.85" hidden="false" customHeight="false" outlineLevel="0" collapsed="false">
      <c r="A276" s="21" t="n">
        <v>275</v>
      </c>
      <c r="B276" s="18" t="s">
        <v>2533</v>
      </c>
      <c r="C276" s="20" t="n">
        <v>1</v>
      </c>
      <c r="D276" s="20" t="s">
        <v>116</v>
      </c>
      <c r="E276" s="20" t="n">
        <f aca="false">IF(C276=1,COUNTIFS($C$2:C276,1,$D$2:D276,D276),COUNTIFS($C$2:$C$799,1,$D$2:$D$799,D276)+COUNTIFS($C$2:C276,2,$D$2:D276,D276))</f>
        <v>117</v>
      </c>
      <c r="F276" s="20" t="str">
        <f aca="false">D276&amp;" #"&amp;TEXT(E276,"000")</f>
        <v>구약 #117</v>
      </c>
      <c r="G276" s="18" t="s">
        <v>2483</v>
      </c>
      <c r="H276" s="18" t="s">
        <v>2484</v>
      </c>
      <c r="I276" s="21" t="s">
        <v>2397</v>
      </c>
      <c r="J276" s="22" t="s">
        <v>2534</v>
      </c>
      <c r="K276" s="23" t="s">
        <v>121</v>
      </c>
      <c r="L276" s="24" t="s">
        <v>2535</v>
      </c>
      <c r="M276" s="29" t="s">
        <v>2536</v>
      </c>
      <c r="N276" s="23" t="s">
        <v>2537</v>
      </c>
      <c r="O276" s="24" t="s">
        <v>2538</v>
      </c>
      <c r="P276" s="24" t="s">
        <v>2539</v>
      </c>
      <c r="Q276" s="24" t="s">
        <v>2540</v>
      </c>
      <c r="R276" s="24"/>
      <c r="S276" s="24" t="s">
        <v>129</v>
      </c>
      <c r="T276" s="24" t="str">
        <f aca="false">"["&amp;안내!$C$5&amp;" "&amp;F276&amp;"] "&amp;L276&amp;" | "&amp;J276</f>
        <v>[1분 성경 구약 #117] 누가 참 하나님인가 | 왕상 18:1-24</v>
      </c>
      <c r="U276" s="26" t="n">
        <f aca="false">IF(D276="구약",IF(C276=1,안내!$C$9,안내!$C$10)+AD276-1,IF(C276=1,안내!$C$9,안내!$C$10)+7*INT((AD276-1)/4)+CHOOSE(MOD(AD276-1,4)+1,0,2,4,5))</f>
        <v>46507</v>
      </c>
      <c r="V276" s="23" t="str">
        <f aca="false">CHOOSE(WEEKDAY(U276,2),"월","화","수","목","금","토","일")</f>
        <v>금</v>
      </c>
      <c r="W276" s="24" t="str">
        <f aca="false">IFERROR(IF(INDEX($C$2:$C$799,MATCH(D276&amp;"#"&amp;(E276+1),$AC$2:$AC$799,0))=C276,"다음 편: ","시즌1 완결 · 시즌2 첫 편: ")&amp;INDEX($L$2:$L$799,MATCH(D276&amp;"#"&amp;(E276+1),$AC$2:$AC$799,0)),"구약 트랙 완결")</f>
        <v>다음 편: 하늘에서 내린 불</v>
      </c>
      <c r="X276" s="23" t="s">
        <v>130</v>
      </c>
      <c r="Y276" s="23" t="s">
        <v>130</v>
      </c>
      <c r="Z276" s="23" t="s">
        <v>130</v>
      </c>
      <c r="AA276" s="23" t="s">
        <v>130</v>
      </c>
      <c r="AB276" s="24"/>
      <c r="AC276" s="23" t="str">
        <f aca="false">D276&amp;"#"&amp;E276</f>
        <v>구약#117</v>
      </c>
      <c r="AD276" s="23" t="n">
        <f aca="false">COUNTIFS($C$2:C276,C276,$D$2:D276,D276)</f>
        <v>117</v>
      </c>
    </row>
    <row r="277" customFormat="false" ht="26.85" hidden="false" customHeight="false" outlineLevel="0" collapsed="false">
      <c r="A277" s="21" t="n">
        <v>276</v>
      </c>
      <c r="B277" s="18" t="s">
        <v>2541</v>
      </c>
      <c r="C277" s="20" t="n">
        <v>1</v>
      </c>
      <c r="D277" s="20" t="s">
        <v>116</v>
      </c>
      <c r="E277" s="20" t="n">
        <f aca="false">IF(C277=1,COUNTIFS($C$2:C277,1,$D$2:D277,D277),COUNTIFS($C$2:$C$799,1,$D$2:$D$799,D277)+COUNTIFS($C$2:C277,2,$D$2:D277,D277))</f>
        <v>118</v>
      </c>
      <c r="F277" s="20" t="str">
        <f aca="false">D277&amp;" #"&amp;TEXT(E277,"000")</f>
        <v>구약 #118</v>
      </c>
      <c r="G277" s="18" t="s">
        <v>2483</v>
      </c>
      <c r="H277" s="18" t="s">
        <v>2484</v>
      </c>
      <c r="I277" s="21" t="s">
        <v>2397</v>
      </c>
      <c r="J277" s="22" t="s">
        <v>2542</v>
      </c>
      <c r="K277" s="23" t="s">
        <v>121</v>
      </c>
      <c r="L277" s="24" t="s">
        <v>2543</v>
      </c>
      <c r="M277" s="24" t="s">
        <v>2544</v>
      </c>
      <c r="N277" s="23" t="s">
        <v>2545</v>
      </c>
      <c r="O277" s="24" t="s">
        <v>2546</v>
      </c>
      <c r="P277" s="24" t="s">
        <v>2547</v>
      </c>
      <c r="Q277" s="24" t="s">
        <v>2548</v>
      </c>
      <c r="R277" s="25" t="s">
        <v>2549</v>
      </c>
      <c r="S277" s="24" t="s">
        <v>129</v>
      </c>
      <c r="T277" s="24" t="str">
        <f aca="false">"["&amp;안내!$C$5&amp;" "&amp;F277&amp;"] "&amp;L277&amp;" | "&amp;J277</f>
        <v>[1분 성경 구약 #118] 하늘에서 내린 불 | 왕상 18:25-40</v>
      </c>
      <c r="U277" s="26" t="n">
        <f aca="false">IF(D277="구약",IF(C277=1,안내!$C$9,안내!$C$10)+AD277-1,IF(C277=1,안내!$C$9,안내!$C$10)+7*INT((AD277-1)/4)+CHOOSE(MOD(AD277-1,4)+1,0,2,4,5))</f>
        <v>46508</v>
      </c>
      <c r="V277" s="23" t="str">
        <f aca="false">CHOOSE(WEEKDAY(U277,2),"월","화","수","목","금","토","일")</f>
        <v>토</v>
      </c>
      <c r="W277" s="24" t="str">
        <f aca="false">IFERROR(IF(INDEX($C$2:$C$799,MATCH(D277&amp;"#"&amp;(E277+1),$AC$2:$AC$799,0))=C277,"다음 편: ","시즌1 완결 · 시즌2 첫 편: ")&amp;INDEX($L$2:$L$799,MATCH(D277&amp;"#"&amp;(E277+1),$AC$2:$AC$799,0)),"구약 트랙 완결")</f>
        <v>다음 편: 로뎀나무 아래</v>
      </c>
      <c r="X277" s="23" t="s">
        <v>130</v>
      </c>
      <c r="Y277" s="23" t="s">
        <v>130</v>
      </c>
      <c r="Z277" s="23" t="s">
        <v>130</v>
      </c>
      <c r="AA277" s="23" t="s">
        <v>130</v>
      </c>
      <c r="AB277" s="24"/>
      <c r="AC277" s="23" t="str">
        <f aca="false">D277&amp;"#"&amp;E277</f>
        <v>구약#118</v>
      </c>
      <c r="AD277" s="23" t="n">
        <f aca="false">COUNTIFS($C$2:C277,C277,$D$2:D277,D277)</f>
        <v>118</v>
      </c>
    </row>
    <row r="278" customFormat="false" ht="26.85" hidden="false" customHeight="false" outlineLevel="0" collapsed="false">
      <c r="A278" s="21" t="n">
        <v>277</v>
      </c>
      <c r="B278" s="18" t="s">
        <v>2550</v>
      </c>
      <c r="C278" s="20" t="n">
        <v>1</v>
      </c>
      <c r="D278" s="20" t="s">
        <v>116</v>
      </c>
      <c r="E278" s="20" t="n">
        <f aca="false">IF(C278=1,COUNTIFS($C$2:C278,1,$D$2:D278,D278),COUNTIFS($C$2:$C$799,1,$D$2:$D$799,D278)+COUNTIFS($C$2:C278,2,$D$2:D278,D278))</f>
        <v>119</v>
      </c>
      <c r="F278" s="20" t="str">
        <f aca="false">D278&amp;" #"&amp;TEXT(E278,"000")</f>
        <v>구약 #119</v>
      </c>
      <c r="G278" s="18" t="s">
        <v>2551</v>
      </c>
      <c r="H278" s="18" t="s">
        <v>2484</v>
      </c>
      <c r="I278" s="21" t="s">
        <v>2397</v>
      </c>
      <c r="J278" s="22" t="s">
        <v>2552</v>
      </c>
      <c r="K278" s="23" t="s">
        <v>121</v>
      </c>
      <c r="L278" s="24" t="s">
        <v>2553</v>
      </c>
      <c r="M278" s="24" t="s">
        <v>2554</v>
      </c>
      <c r="N278" s="23" t="s">
        <v>2555</v>
      </c>
      <c r="O278" s="24" t="s">
        <v>2556</v>
      </c>
      <c r="P278" s="24" t="s">
        <v>2557</v>
      </c>
      <c r="Q278" s="24" t="s">
        <v>2558</v>
      </c>
      <c r="R278" s="25" t="s">
        <v>2559</v>
      </c>
      <c r="S278" s="24" t="s">
        <v>129</v>
      </c>
      <c r="T278" s="24" t="str">
        <f aca="false">"["&amp;안내!$C$5&amp;" "&amp;F278&amp;"] "&amp;L278&amp;" | "&amp;J278</f>
        <v>[1분 성경 구약 #119] 로뎀나무 아래 | 왕상 18:41-19:8</v>
      </c>
      <c r="U278" s="26" t="n">
        <f aca="false">IF(D278="구약",IF(C278=1,안내!$C$9,안내!$C$10)+AD278-1,IF(C278=1,안내!$C$9,안내!$C$10)+7*INT((AD278-1)/4)+CHOOSE(MOD(AD278-1,4)+1,0,2,4,5))</f>
        <v>46509</v>
      </c>
      <c r="V278" s="23" t="str">
        <f aca="false">CHOOSE(WEEKDAY(U278,2),"월","화","수","목","금","토","일")</f>
        <v>일</v>
      </c>
      <c r="W278" s="24" t="str">
        <f aca="false">IFERROR(IF(INDEX($C$2:$C$799,MATCH(D278&amp;"#"&amp;(E278+1),$AC$2:$AC$799,0))=C278,"다음 편: ","시즌1 완결 · 시즌2 첫 편: ")&amp;INDEX($L$2:$L$799,MATCH(D278&amp;"#"&amp;(E278+1),$AC$2:$AC$799,0)),"구약 트랙 완결")</f>
        <v>다음 편: 세미한 소리</v>
      </c>
      <c r="X278" s="23" t="s">
        <v>130</v>
      </c>
      <c r="Y278" s="23" t="s">
        <v>130</v>
      </c>
      <c r="Z278" s="23" t="s">
        <v>130</v>
      </c>
      <c r="AA278" s="23" t="s">
        <v>130</v>
      </c>
      <c r="AB278" s="24"/>
      <c r="AC278" s="23" t="str">
        <f aca="false">D278&amp;"#"&amp;E278</f>
        <v>구약#119</v>
      </c>
      <c r="AD278" s="23" t="n">
        <f aca="false">COUNTIFS($C$2:C278,C278,$D$2:D278,D278)</f>
        <v>119</v>
      </c>
    </row>
    <row r="279" customFormat="false" ht="26.85" hidden="false" customHeight="false" outlineLevel="0" collapsed="false">
      <c r="A279" s="21" t="n">
        <v>278</v>
      </c>
      <c r="B279" s="18" t="s">
        <v>2560</v>
      </c>
      <c r="C279" s="20" t="n">
        <v>1</v>
      </c>
      <c r="D279" s="20" t="s">
        <v>116</v>
      </c>
      <c r="E279" s="20" t="n">
        <f aca="false">IF(C279=1,COUNTIFS($C$2:C279,1,$D$2:D279,D279),COUNTIFS($C$2:$C$799,1,$D$2:$D$799,D279)+COUNTIFS($C$2:C279,2,$D$2:D279,D279))</f>
        <v>120</v>
      </c>
      <c r="F279" s="20" t="str">
        <f aca="false">D279&amp;" #"&amp;TEXT(E279,"000")</f>
        <v>구약 #120</v>
      </c>
      <c r="G279" s="18" t="s">
        <v>2551</v>
      </c>
      <c r="H279" s="18" t="s">
        <v>2484</v>
      </c>
      <c r="I279" s="21" t="s">
        <v>2397</v>
      </c>
      <c r="J279" s="22" t="s">
        <v>2561</v>
      </c>
      <c r="K279" s="23" t="s">
        <v>121</v>
      </c>
      <c r="L279" s="24" t="s">
        <v>2562</v>
      </c>
      <c r="M279" s="24" t="s">
        <v>2563</v>
      </c>
      <c r="N279" s="23" t="s">
        <v>2564</v>
      </c>
      <c r="O279" s="24" t="s">
        <v>2565</v>
      </c>
      <c r="P279" s="24" t="s">
        <v>2566</v>
      </c>
      <c r="Q279" s="24" t="s">
        <v>2567</v>
      </c>
      <c r="R279" s="24"/>
      <c r="S279" s="24" t="s">
        <v>129</v>
      </c>
      <c r="T279" s="24" t="str">
        <f aca="false">"["&amp;안내!$C$5&amp;" "&amp;F279&amp;"] "&amp;L279&amp;" | "&amp;J279</f>
        <v>[1분 성경 구약 #120] 세미한 소리 | 왕상 19:9-21</v>
      </c>
      <c r="U279" s="26" t="n">
        <f aca="false">IF(D279="구약",IF(C279=1,안내!$C$9,안내!$C$10)+AD279-1,IF(C279=1,안내!$C$9,안내!$C$10)+7*INT((AD279-1)/4)+CHOOSE(MOD(AD279-1,4)+1,0,2,4,5))</f>
        <v>46510</v>
      </c>
      <c r="V279" s="23" t="str">
        <f aca="false">CHOOSE(WEEKDAY(U279,2),"월","화","수","목","금","토","일")</f>
        <v>월</v>
      </c>
      <c r="W279" s="24" t="str">
        <f aca="false">IFERROR(IF(INDEX($C$2:$C$799,MATCH(D279&amp;"#"&amp;(E279+1),$AC$2:$AC$799,0))=C279,"다음 편: ","시즌1 완결 · 시즌2 첫 편: ")&amp;INDEX($L$2:$L$799,MATCH(D279&amp;"#"&amp;(E279+1),$AC$2:$AC$799,0)),"구약 트랙 완결")</f>
        <v>다음 편: 불병거와 회오리바람</v>
      </c>
      <c r="X279" s="23" t="s">
        <v>130</v>
      </c>
      <c r="Y279" s="23" t="s">
        <v>130</v>
      </c>
      <c r="Z279" s="23" t="s">
        <v>130</v>
      </c>
      <c r="AA279" s="23" t="s">
        <v>130</v>
      </c>
      <c r="AB279" s="24"/>
      <c r="AC279" s="23" t="str">
        <f aca="false">D279&amp;"#"&amp;E279</f>
        <v>구약#120</v>
      </c>
      <c r="AD279" s="23" t="n">
        <f aca="false">COUNTIFS($C$2:C279,C279,$D$2:D279,D279)</f>
        <v>120</v>
      </c>
    </row>
    <row r="280" customFormat="false" ht="26.85" hidden="false" customHeight="false" outlineLevel="0" collapsed="false">
      <c r="A280" s="21" t="n">
        <v>279</v>
      </c>
      <c r="B280" s="18" t="s">
        <v>2568</v>
      </c>
      <c r="C280" s="23" t="n">
        <v>2</v>
      </c>
      <c r="D280" s="23" t="s">
        <v>116</v>
      </c>
      <c r="E280" s="23" t="n">
        <f aca="false">IF(C280=1,COUNTIFS($C$2:C280,1,$D$2:D280,D280),COUNTIFS($C$2:$C$799,1,$D$2:$D$799,D280)+COUNTIFS($C$2:C280,2,$D$2:D280,D280))</f>
        <v>341</v>
      </c>
      <c r="F280" s="23" t="str">
        <f aca="false">D280&amp;" #"&amp;TEXT(E280,"000")</f>
        <v>구약 #341</v>
      </c>
      <c r="G280" s="18" t="s">
        <v>2551</v>
      </c>
      <c r="H280" s="18" t="s">
        <v>2569</v>
      </c>
      <c r="I280" s="21" t="s">
        <v>2397</v>
      </c>
      <c r="J280" s="22" t="s">
        <v>2570</v>
      </c>
      <c r="K280" s="23" t="s">
        <v>121</v>
      </c>
      <c r="L280" s="24" t="s">
        <v>2571</v>
      </c>
      <c r="M280" s="24" t="s">
        <v>2572</v>
      </c>
      <c r="N280" s="23" t="s">
        <v>2573</v>
      </c>
      <c r="O280" s="24" t="s">
        <v>2574</v>
      </c>
      <c r="P280" s="24" t="s">
        <v>2575</v>
      </c>
      <c r="Q280" s="24" t="s">
        <v>2576</v>
      </c>
      <c r="R280" s="24"/>
      <c r="S280" s="24" t="s">
        <v>2577</v>
      </c>
      <c r="T280" s="24" t="str">
        <f aca="false">"["&amp;안내!$C$5&amp;" "&amp;F280&amp;"] "&amp;L280&amp;" | "&amp;J280</f>
        <v>[1분 성경 구약 #341] 산의 신이냐 골짜기의 신이냐 | 왕상 20:1-43</v>
      </c>
      <c r="U280" s="26" t="n">
        <f aca="false">IF(D280="구약",IF(C280=1,안내!$C$9,안내!$C$10)+AD280-1,IF(C280=1,안내!$C$9,안내!$C$10)+7*INT((AD280-1)/4)+CHOOSE(MOD(AD280-1,4)+1,0,2,4,5))</f>
        <v>46738</v>
      </c>
      <c r="V280" s="23" t="str">
        <f aca="false">CHOOSE(WEEKDAY(U280,2),"월","화","수","목","금","토","일")</f>
        <v>금</v>
      </c>
      <c r="W280" s="24" t="str">
        <f aca="false">IFERROR(IF(INDEX($C$2:$C$799,MATCH(D280&amp;"#"&amp;(E280+1),$AC$2:$AC$799,0))=C280,"다음 편: ","시즌1 완결 · 시즌2 첫 편: ")&amp;INDEX($L$2:$L$799,MATCH(D280&amp;"#"&amp;(E280+1),$AC$2:$AC$799,0)),"구약 트랙 완결")</f>
        <v>다음 편: 나봇의 포도원</v>
      </c>
      <c r="X280" s="23" t="s">
        <v>130</v>
      </c>
      <c r="Y280" s="23" t="s">
        <v>130</v>
      </c>
      <c r="Z280" s="23" t="s">
        <v>130</v>
      </c>
      <c r="AA280" s="23" t="s">
        <v>130</v>
      </c>
      <c r="AB280" s="24"/>
      <c r="AC280" s="23" t="str">
        <f aca="false">D280&amp;"#"&amp;E280</f>
        <v>구약#341</v>
      </c>
      <c r="AD280" s="23" t="n">
        <f aca="false">COUNTIFS($C$2:C280,C280,$D$2:D280,D280)</f>
        <v>159</v>
      </c>
    </row>
    <row r="281" customFormat="false" ht="25.35" hidden="false" customHeight="false" outlineLevel="0" collapsed="false">
      <c r="A281" s="21" t="n">
        <v>280</v>
      </c>
      <c r="B281" s="18" t="s">
        <v>2578</v>
      </c>
      <c r="C281" s="23" t="n">
        <v>2</v>
      </c>
      <c r="D281" s="23" t="s">
        <v>116</v>
      </c>
      <c r="E281" s="23" t="n">
        <f aca="false">IF(C281=1,COUNTIFS($C$2:C281,1,$D$2:D281,D281),COUNTIFS($C$2:$C$799,1,$D$2:$D$799,D281)+COUNTIFS($C$2:C281,2,$D$2:D281,D281))</f>
        <v>342</v>
      </c>
      <c r="F281" s="23" t="str">
        <f aca="false">D281&amp;" #"&amp;TEXT(E281,"000")</f>
        <v>구약 #342</v>
      </c>
      <c r="G281" s="18" t="s">
        <v>2551</v>
      </c>
      <c r="H281" s="18" t="s">
        <v>2569</v>
      </c>
      <c r="I281" s="21" t="s">
        <v>2397</v>
      </c>
      <c r="J281" s="22" t="s">
        <v>2579</v>
      </c>
      <c r="K281" s="23" t="s">
        <v>121</v>
      </c>
      <c r="L281" s="24" t="s">
        <v>2580</v>
      </c>
      <c r="M281" s="24" t="s">
        <v>2581</v>
      </c>
      <c r="N281" s="23" t="s">
        <v>2582</v>
      </c>
      <c r="O281" s="24" t="s">
        <v>2583</v>
      </c>
      <c r="P281" s="24" t="s">
        <v>2584</v>
      </c>
      <c r="Q281" s="24" t="s">
        <v>2585</v>
      </c>
      <c r="R281" s="25" t="s">
        <v>704</v>
      </c>
      <c r="S281" s="24" t="s">
        <v>2577</v>
      </c>
      <c r="T281" s="24" t="str">
        <f aca="false">"["&amp;안내!$C$5&amp;" "&amp;F281&amp;"] "&amp;L281&amp;" | "&amp;J281</f>
        <v>[1분 성경 구약 #342] 나봇의 포도원 | 왕상 21:1-29</v>
      </c>
      <c r="U281" s="26" t="n">
        <f aca="false">IF(D281="구약",IF(C281=1,안내!$C$9,안내!$C$10)+AD281-1,IF(C281=1,안내!$C$9,안내!$C$10)+7*INT((AD281-1)/4)+CHOOSE(MOD(AD281-1,4)+1,0,2,4,5))</f>
        <v>46739</v>
      </c>
      <c r="V281" s="23" t="str">
        <f aca="false">CHOOSE(WEEKDAY(U281,2),"월","화","수","목","금","토","일")</f>
        <v>토</v>
      </c>
      <c r="W281" s="24" t="str">
        <f aca="false">IFERROR(IF(INDEX($C$2:$C$799,MATCH(D281&amp;"#"&amp;(E281+1),$AC$2:$AC$799,0))=C281,"다음 편: ","시즌1 완결 · 시즌2 첫 편: ")&amp;INDEX($L$2:$L$799,MATCH(D281&amp;"#"&amp;(E281+1),$AC$2:$AC$799,0)),"구약 트랙 완결")</f>
        <v>다음 편: 400 대 1</v>
      </c>
      <c r="X281" s="23" t="s">
        <v>130</v>
      </c>
      <c r="Y281" s="23" t="s">
        <v>130</v>
      </c>
      <c r="Z281" s="23" t="s">
        <v>130</v>
      </c>
      <c r="AA281" s="23" t="s">
        <v>130</v>
      </c>
      <c r="AB281" s="24"/>
      <c r="AC281" s="23" t="str">
        <f aca="false">D281&amp;"#"&amp;E281</f>
        <v>구약#342</v>
      </c>
      <c r="AD281" s="23" t="n">
        <f aca="false">COUNTIFS($C$2:C281,C281,$D$2:D281,D281)</f>
        <v>160</v>
      </c>
    </row>
    <row r="282" customFormat="false" ht="26.85" hidden="false" customHeight="false" outlineLevel="0" collapsed="false">
      <c r="A282" s="21" t="n">
        <v>281</v>
      </c>
      <c r="B282" s="18" t="s">
        <v>2586</v>
      </c>
      <c r="C282" s="23" t="n">
        <v>2</v>
      </c>
      <c r="D282" s="23" t="s">
        <v>116</v>
      </c>
      <c r="E282" s="23" t="n">
        <f aca="false">IF(C282=1,COUNTIFS($C$2:C282,1,$D$2:D282,D282),COUNTIFS($C$2:$C$799,1,$D$2:$D$799,D282)+COUNTIFS($C$2:C282,2,$D$2:D282,D282))</f>
        <v>343</v>
      </c>
      <c r="F282" s="23" t="str">
        <f aca="false">D282&amp;" #"&amp;TEXT(E282,"000")</f>
        <v>구약 #343</v>
      </c>
      <c r="G282" s="18" t="s">
        <v>2551</v>
      </c>
      <c r="H282" s="18" t="s">
        <v>2569</v>
      </c>
      <c r="I282" s="21" t="s">
        <v>2397</v>
      </c>
      <c r="J282" s="22" t="s">
        <v>2587</v>
      </c>
      <c r="K282" s="23" t="s">
        <v>121</v>
      </c>
      <c r="L282" s="29" t="s">
        <v>2588</v>
      </c>
      <c r="M282" s="24" t="s">
        <v>2589</v>
      </c>
      <c r="N282" s="23" t="s">
        <v>2590</v>
      </c>
      <c r="O282" s="24" t="s">
        <v>2591</v>
      </c>
      <c r="P282" s="24" t="s">
        <v>2592</v>
      </c>
      <c r="Q282" s="24" t="s">
        <v>2593</v>
      </c>
      <c r="R282" s="25" t="s">
        <v>2594</v>
      </c>
      <c r="S282" s="24" t="s">
        <v>2577</v>
      </c>
      <c r="T282" s="24" t="str">
        <f aca="false">"["&amp;안내!$C$5&amp;" "&amp;F282&amp;"] "&amp;L282&amp;" | "&amp;J282</f>
        <v>[1분 성경 구약 #343] 400 대 1 | 왕상 22:1-53</v>
      </c>
      <c r="U282" s="26" t="n">
        <f aca="false">IF(D282="구약",IF(C282=1,안내!$C$9,안내!$C$10)+AD282-1,IF(C282=1,안내!$C$9,안내!$C$10)+7*INT((AD282-1)/4)+CHOOSE(MOD(AD282-1,4)+1,0,2,4,5))</f>
        <v>46740</v>
      </c>
      <c r="V282" s="23" t="str">
        <f aca="false">CHOOSE(WEEKDAY(U282,2),"월","화","수","목","금","토","일")</f>
        <v>일</v>
      </c>
      <c r="W282" s="24" t="str">
        <f aca="false">IFERROR(IF(INDEX($C$2:$C$799,MATCH(D282&amp;"#"&amp;(E282+1),$AC$2:$AC$799,0))=C282,"다음 편: ","시즌1 완결 · 시즌2 첫 편: ")&amp;INDEX($L$2:$L$799,MATCH(D282&amp;"#"&amp;(E282+1),$AC$2:$AC$799,0)),"구약 트랙 완결")</f>
        <v>다음 편: 에그론의 신에게 묻다</v>
      </c>
      <c r="X282" s="23" t="s">
        <v>130</v>
      </c>
      <c r="Y282" s="23" t="s">
        <v>130</v>
      </c>
      <c r="Z282" s="23" t="s">
        <v>130</v>
      </c>
      <c r="AA282" s="23" t="s">
        <v>130</v>
      </c>
      <c r="AB282" s="24"/>
      <c r="AC282" s="23" t="str">
        <f aca="false">D282&amp;"#"&amp;E282</f>
        <v>구약#343</v>
      </c>
      <c r="AD282" s="23" t="n">
        <f aca="false">COUNTIFS($C$2:C282,C282,$D$2:D282,D282)</f>
        <v>161</v>
      </c>
    </row>
    <row r="283" customFormat="false" ht="26.85" hidden="false" customHeight="false" outlineLevel="0" collapsed="false">
      <c r="A283" s="21" t="n">
        <v>282</v>
      </c>
      <c r="B283" s="18" t="s">
        <v>2595</v>
      </c>
      <c r="C283" s="23" t="n">
        <v>2</v>
      </c>
      <c r="D283" s="23" t="s">
        <v>116</v>
      </c>
      <c r="E283" s="23" t="n">
        <f aca="false">IF(C283=1,COUNTIFS($C$2:C283,1,$D$2:D283,D283),COUNTIFS($C$2:$C$799,1,$D$2:$D$799,D283)+COUNTIFS($C$2:C283,2,$D$2:D283,D283))</f>
        <v>344</v>
      </c>
      <c r="F283" s="23" t="str">
        <f aca="false">D283&amp;" #"&amp;TEXT(E283,"000")</f>
        <v>구약 #344</v>
      </c>
      <c r="G283" s="18" t="s">
        <v>2551</v>
      </c>
      <c r="H283" s="18" t="s">
        <v>2569</v>
      </c>
      <c r="I283" s="21" t="s">
        <v>2596</v>
      </c>
      <c r="J283" s="22" t="s">
        <v>2597</v>
      </c>
      <c r="K283" s="23" t="s">
        <v>121</v>
      </c>
      <c r="L283" s="24" t="s">
        <v>2598</v>
      </c>
      <c r="M283" s="24" t="s">
        <v>2599</v>
      </c>
      <c r="N283" s="23" t="s">
        <v>2600</v>
      </c>
      <c r="O283" s="24" t="s">
        <v>2601</v>
      </c>
      <c r="P283" s="24" t="s">
        <v>2602</v>
      </c>
      <c r="Q283" s="24" t="s">
        <v>2603</v>
      </c>
      <c r="R283" s="25" t="s">
        <v>2604</v>
      </c>
      <c r="S283" s="24" t="s">
        <v>2577</v>
      </c>
      <c r="T283" s="24" t="str">
        <f aca="false">"["&amp;안내!$C$5&amp;" "&amp;F283&amp;"] "&amp;L283&amp;" | "&amp;J283</f>
        <v>[1분 성경 구약 #344] 에그론의 신에게 묻다 | 왕하 1:1-18</v>
      </c>
      <c r="U283" s="26" t="n">
        <f aca="false">IF(D283="구약",IF(C283=1,안내!$C$9,안내!$C$10)+AD283-1,IF(C283=1,안내!$C$9,안내!$C$10)+7*INT((AD283-1)/4)+CHOOSE(MOD(AD283-1,4)+1,0,2,4,5))</f>
        <v>46741</v>
      </c>
      <c r="V283" s="23" t="str">
        <f aca="false">CHOOSE(WEEKDAY(U283,2),"월","화","수","목","금","토","일")</f>
        <v>월</v>
      </c>
      <c r="W283" s="24" t="str">
        <f aca="false">IFERROR(IF(INDEX($C$2:$C$799,MATCH(D283&amp;"#"&amp;(E283+1),$AC$2:$AC$799,0))=C283,"다음 편: ","시즌1 완결 · 시즌2 첫 편: ")&amp;INDEX($L$2:$L$799,MATCH(D283&amp;"#"&amp;(E283+1),$AC$2:$AC$799,0)),"구약 트랙 완결")</f>
        <v>다음 편: 엘리사의 첫 기적</v>
      </c>
      <c r="X283" s="23" t="s">
        <v>130</v>
      </c>
      <c r="Y283" s="23" t="s">
        <v>130</v>
      </c>
      <c r="Z283" s="23" t="s">
        <v>130</v>
      </c>
      <c r="AA283" s="23" t="s">
        <v>130</v>
      </c>
      <c r="AB283" s="24"/>
      <c r="AC283" s="23" t="str">
        <f aca="false">D283&amp;"#"&amp;E283</f>
        <v>구약#344</v>
      </c>
      <c r="AD283" s="23" t="n">
        <f aca="false">COUNTIFS($C$2:C283,C283,$D$2:D283,D283)</f>
        <v>162</v>
      </c>
    </row>
    <row r="284" customFormat="false" ht="52.2" hidden="false" customHeight="false" outlineLevel="0" collapsed="false">
      <c r="A284" s="21" t="n">
        <v>283</v>
      </c>
      <c r="B284" s="18" t="s">
        <v>2605</v>
      </c>
      <c r="C284" s="20" t="n">
        <v>1</v>
      </c>
      <c r="D284" s="20" t="s">
        <v>116</v>
      </c>
      <c r="E284" s="20" t="n">
        <f aca="false">IF(C284=1,COUNTIFS($C$2:C284,1,$D$2:D284,D284),COUNTIFS($C$2:$C$799,1,$D$2:$D$799,D284)+COUNTIFS($C$2:C284,2,$D$2:D284,D284))</f>
        <v>121</v>
      </c>
      <c r="F284" s="20" t="str">
        <f aca="false">D284&amp;" #"&amp;TEXT(E284,"000")</f>
        <v>구약 #121</v>
      </c>
      <c r="G284" s="18" t="s">
        <v>2551</v>
      </c>
      <c r="H284" s="18" t="s">
        <v>2484</v>
      </c>
      <c r="I284" s="21" t="s">
        <v>2596</v>
      </c>
      <c r="J284" s="22" t="s">
        <v>2606</v>
      </c>
      <c r="K284" s="23" t="s">
        <v>121</v>
      </c>
      <c r="L284" s="24" t="s">
        <v>2607</v>
      </c>
      <c r="M284" s="24" t="s">
        <v>2608</v>
      </c>
      <c r="N284" s="23" t="s">
        <v>2609</v>
      </c>
      <c r="O284" s="24" t="s">
        <v>2610</v>
      </c>
      <c r="P284" s="24" t="s">
        <v>2611</v>
      </c>
      <c r="Q284" s="24" t="s">
        <v>2612</v>
      </c>
      <c r="R284" s="25" t="s">
        <v>2613</v>
      </c>
      <c r="S284" s="28" t="s">
        <v>2614</v>
      </c>
      <c r="T284" s="24" t="str">
        <f aca="false">"["&amp;안내!$C$5&amp;" "&amp;F284&amp;"] "&amp;L284&amp;" | "&amp;J284</f>
        <v>[1분 성경 구약 #121] 불병거와 회오리바람 | 왕하 2:1-14</v>
      </c>
      <c r="U284" s="26" t="n">
        <f aca="false">IF(D284="구약",IF(C284=1,안내!$C$9,안내!$C$10)+AD284-1,IF(C284=1,안내!$C$9,안내!$C$10)+7*INT((AD284-1)/4)+CHOOSE(MOD(AD284-1,4)+1,0,2,4,5))</f>
        <v>46511</v>
      </c>
      <c r="V284" s="23" t="str">
        <f aca="false">CHOOSE(WEEKDAY(U284,2),"월","화","수","목","금","토","일")</f>
        <v>화</v>
      </c>
      <c r="W284" s="24" t="str">
        <f aca="false">IFERROR(IF(INDEX($C$2:$C$799,MATCH(D284&amp;"#"&amp;(E284+1),$AC$2:$AC$799,0))=C284,"다음 편: ","시즌1 완결 · 시즌2 첫 편: ")&amp;INDEX($L$2:$L$799,MATCH(D284&amp;"#"&amp;(E284+1),$AC$2:$AC$799,0)),"구약 트랙 완결")</f>
        <v>다음 편: 수넴 여인의 아들</v>
      </c>
      <c r="X284" s="23" t="s">
        <v>130</v>
      </c>
      <c r="Y284" s="23" t="s">
        <v>130</v>
      </c>
      <c r="Z284" s="23" t="s">
        <v>130</v>
      </c>
      <c r="AA284" s="23" t="s">
        <v>130</v>
      </c>
      <c r="AB284" s="24"/>
      <c r="AC284" s="23" t="str">
        <f aca="false">D284&amp;"#"&amp;E284</f>
        <v>구약#121</v>
      </c>
      <c r="AD284" s="23" t="n">
        <f aca="false">COUNTIFS($C$2:C284,C284,$D$2:D284,D284)</f>
        <v>121</v>
      </c>
    </row>
    <row r="285" customFormat="false" ht="26.85" hidden="false" customHeight="false" outlineLevel="0" collapsed="false">
      <c r="A285" s="21" t="n">
        <v>284</v>
      </c>
      <c r="B285" s="18" t="s">
        <v>2615</v>
      </c>
      <c r="C285" s="23" t="n">
        <v>2</v>
      </c>
      <c r="D285" s="23" t="s">
        <v>116</v>
      </c>
      <c r="E285" s="23" t="n">
        <f aca="false">IF(C285=1,COUNTIFS($C$2:C285,1,$D$2:D285,D285),COUNTIFS($C$2:$C$799,1,$D$2:$D$799,D285)+COUNTIFS($C$2:C285,2,$D$2:D285,D285))</f>
        <v>345</v>
      </c>
      <c r="F285" s="23" t="str">
        <f aca="false">D285&amp;" #"&amp;TEXT(E285,"000")</f>
        <v>구약 #345</v>
      </c>
      <c r="G285" s="18" t="s">
        <v>2551</v>
      </c>
      <c r="H285" s="18" t="s">
        <v>2569</v>
      </c>
      <c r="I285" s="21" t="s">
        <v>2596</v>
      </c>
      <c r="J285" s="22" t="s">
        <v>2616</v>
      </c>
      <c r="K285" s="23" t="s">
        <v>121</v>
      </c>
      <c r="L285" s="24" t="s">
        <v>2617</v>
      </c>
      <c r="M285" s="24" t="s">
        <v>2618</v>
      </c>
      <c r="N285" s="23" t="s">
        <v>2619</v>
      </c>
      <c r="O285" s="24" t="s">
        <v>2620</v>
      </c>
      <c r="P285" s="24" t="s">
        <v>2621</v>
      </c>
      <c r="Q285" s="24" t="s">
        <v>2622</v>
      </c>
      <c r="R285" s="25" t="s">
        <v>2623</v>
      </c>
      <c r="S285" s="24" t="s">
        <v>2624</v>
      </c>
      <c r="T285" s="24" t="str">
        <f aca="false">"["&amp;안내!$C$5&amp;" "&amp;F285&amp;"] "&amp;L285&amp;" | "&amp;J285</f>
        <v>[1분 성경 구약 #345] 엘리사의 첫 기적 | 왕하 2:15-25</v>
      </c>
      <c r="U285" s="26" t="n">
        <f aca="false">IF(D285="구약",IF(C285=1,안내!$C$9,안내!$C$10)+AD285-1,IF(C285=1,안내!$C$9,안내!$C$10)+7*INT((AD285-1)/4)+CHOOSE(MOD(AD285-1,4)+1,0,2,4,5))</f>
        <v>46742</v>
      </c>
      <c r="V285" s="23" t="str">
        <f aca="false">CHOOSE(WEEKDAY(U285,2),"월","화","수","목","금","토","일")</f>
        <v>화</v>
      </c>
      <c r="W285" s="24" t="str">
        <f aca="false">IFERROR(IF(INDEX($C$2:$C$799,MATCH(D285&amp;"#"&amp;(E285+1),$AC$2:$AC$799,0))=C285,"다음 편: ","시즌1 완결 · 시즌2 첫 편: ")&amp;INDEX($L$2:$L$799,MATCH(D285&amp;"#"&amp;(E285+1),$AC$2:$AC$799,0)),"구약 트랙 완결")</f>
        <v>다음 편: 골짜기에 물이 가득</v>
      </c>
      <c r="X285" s="23" t="s">
        <v>130</v>
      </c>
      <c r="Y285" s="23" t="s">
        <v>130</v>
      </c>
      <c r="Z285" s="23" t="s">
        <v>130</v>
      </c>
      <c r="AA285" s="23" t="s">
        <v>130</v>
      </c>
      <c r="AB285" s="24"/>
      <c r="AC285" s="23" t="str">
        <f aca="false">D285&amp;"#"&amp;E285</f>
        <v>구약#345</v>
      </c>
      <c r="AD285" s="23" t="n">
        <f aca="false">COUNTIFS($C$2:C285,C285,$D$2:D285,D285)</f>
        <v>163</v>
      </c>
    </row>
    <row r="286" customFormat="false" ht="26.85" hidden="false" customHeight="false" outlineLevel="0" collapsed="false">
      <c r="A286" s="21" t="n">
        <v>285</v>
      </c>
      <c r="B286" s="18" t="s">
        <v>2625</v>
      </c>
      <c r="C286" s="23" t="n">
        <v>2</v>
      </c>
      <c r="D286" s="23" t="s">
        <v>116</v>
      </c>
      <c r="E286" s="23" t="n">
        <f aca="false">IF(C286=1,COUNTIFS($C$2:C286,1,$D$2:D286,D286),COUNTIFS($C$2:$C$799,1,$D$2:$D$799,D286)+COUNTIFS($C$2:C286,2,$D$2:D286,D286))</f>
        <v>346</v>
      </c>
      <c r="F286" s="23" t="str">
        <f aca="false">D286&amp;" #"&amp;TEXT(E286,"000")</f>
        <v>구약 #346</v>
      </c>
      <c r="G286" s="18" t="s">
        <v>2626</v>
      </c>
      <c r="H286" s="18" t="s">
        <v>2569</v>
      </c>
      <c r="I286" s="21" t="s">
        <v>2596</v>
      </c>
      <c r="J286" s="22" t="s">
        <v>2627</v>
      </c>
      <c r="K286" s="23" t="s">
        <v>121</v>
      </c>
      <c r="L286" s="24" t="s">
        <v>2628</v>
      </c>
      <c r="M286" s="24" t="s">
        <v>2629</v>
      </c>
      <c r="N286" s="23" t="s">
        <v>2630</v>
      </c>
      <c r="O286" s="24" t="s">
        <v>2631</v>
      </c>
      <c r="P286" s="24" t="s">
        <v>2632</v>
      </c>
      <c r="Q286" s="24" t="s">
        <v>2633</v>
      </c>
      <c r="R286" s="27" t="s">
        <v>2634</v>
      </c>
      <c r="S286" s="24" t="s">
        <v>2624</v>
      </c>
      <c r="T286" s="24" t="str">
        <f aca="false">"["&amp;안내!$C$5&amp;" "&amp;F286&amp;"] "&amp;L286&amp;" | "&amp;J286</f>
        <v>[1분 성경 구약 #346] 골짜기에 물이 가득 | 왕하 3:1-27</v>
      </c>
      <c r="U286" s="26" t="n">
        <f aca="false">IF(D286="구약",IF(C286=1,안내!$C$9,안내!$C$10)+AD286-1,IF(C286=1,안내!$C$9,안내!$C$10)+7*INT((AD286-1)/4)+CHOOSE(MOD(AD286-1,4)+1,0,2,4,5))</f>
        <v>46743</v>
      </c>
      <c r="V286" s="23" t="str">
        <f aca="false">CHOOSE(WEEKDAY(U286,2),"월","화","수","목","금","토","일")</f>
        <v>수</v>
      </c>
      <c r="W286" s="24" t="str">
        <f aca="false">IFERROR(IF(INDEX($C$2:$C$799,MATCH(D286&amp;"#"&amp;(E286+1),$AC$2:$AC$799,0))=C286,"다음 편: ","시즌1 완결 · 시즌2 첫 편: ")&amp;INDEX($L$2:$L$799,MATCH(D286&amp;"#"&amp;(E286+1),$AC$2:$AC$799,0)),"구약 트랙 완결")</f>
        <v>다음 편: 과부의 기름병</v>
      </c>
      <c r="X286" s="23" t="s">
        <v>130</v>
      </c>
      <c r="Y286" s="23" t="s">
        <v>130</v>
      </c>
      <c r="Z286" s="23" t="s">
        <v>130</v>
      </c>
      <c r="AA286" s="23" t="s">
        <v>130</v>
      </c>
      <c r="AB286" s="24"/>
      <c r="AC286" s="23" t="str">
        <f aca="false">D286&amp;"#"&amp;E286</f>
        <v>구약#346</v>
      </c>
      <c r="AD286" s="23" t="n">
        <f aca="false">COUNTIFS($C$2:C286,C286,$D$2:D286,D286)</f>
        <v>164</v>
      </c>
    </row>
    <row r="287" customFormat="false" ht="26.85" hidden="false" customHeight="false" outlineLevel="0" collapsed="false">
      <c r="A287" s="21" t="n">
        <v>286</v>
      </c>
      <c r="B287" s="18" t="s">
        <v>2635</v>
      </c>
      <c r="C287" s="23" t="n">
        <v>2</v>
      </c>
      <c r="D287" s="23" t="s">
        <v>116</v>
      </c>
      <c r="E287" s="23" t="n">
        <f aca="false">IF(C287=1,COUNTIFS($C$2:C287,1,$D$2:D287,D287),COUNTIFS($C$2:$C$799,1,$D$2:$D$799,D287)+COUNTIFS($C$2:C287,2,$D$2:D287,D287))</f>
        <v>347</v>
      </c>
      <c r="F287" s="23" t="str">
        <f aca="false">D287&amp;" #"&amp;TEXT(E287,"000")</f>
        <v>구약 #347</v>
      </c>
      <c r="G287" s="18" t="s">
        <v>2626</v>
      </c>
      <c r="H287" s="18" t="s">
        <v>2569</v>
      </c>
      <c r="I287" s="21" t="s">
        <v>2596</v>
      </c>
      <c r="J287" s="22" t="s">
        <v>2636</v>
      </c>
      <c r="K287" s="23" t="s">
        <v>121</v>
      </c>
      <c r="L287" s="24" t="s">
        <v>2637</v>
      </c>
      <c r="M287" s="24" t="s">
        <v>2638</v>
      </c>
      <c r="N287" s="23" t="s">
        <v>2639</v>
      </c>
      <c r="O287" s="24" t="s">
        <v>2640</v>
      </c>
      <c r="P287" s="24" t="s">
        <v>2641</v>
      </c>
      <c r="Q287" s="24" t="s">
        <v>2642</v>
      </c>
      <c r="R287" s="24"/>
      <c r="S287" s="24" t="s">
        <v>2624</v>
      </c>
      <c r="T287" s="24" t="str">
        <f aca="false">"["&amp;안내!$C$5&amp;" "&amp;F287&amp;"] "&amp;L287&amp;" | "&amp;J287</f>
        <v>[1분 성경 구약 #347] 과부의 기름병 | 왕하 4:1-7</v>
      </c>
      <c r="U287" s="26" t="n">
        <f aca="false">IF(D287="구약",IF(C287=1,안내!$C$9,안내!$C$10)+AD287-1,IF(C287=1,안내!$C$9,안내!$C$10)+7*INT((AD287-1)/4)+CHOOSE(MOD(AD287-1,4)+1,0,2,4,5))</f>
        <v>46744</v>
      </c>
      <c r="V287" s="23" t="str">
        <f aca="false">CHOOSE(WEEKDAY(U287,2),"월","화","수","목","금","토","일")</f>
        <v>목</v>
      </c>
      <c r="W287" s="24" t="str">
        <f aca="false">IFERROR(IF(INDEX($C$2:$C$799,MATCH(D287&amp;"#"&amp;(E287+1),$AC$2:$AC$799,0))=C287,"다음 편: ","시즌1 완결 · 시즌2 첫 편: ")&amp;INDEX($L$2:$L$799,MATCH(D287&amp;"#"&amp;(E287+1),$AC$2:$AC$799,0)),"구약 트랙 완결")</f>
        <v>다음 편: 국 속의 독, 보리떡 20개</v>
      </c>
      <c r="X287" s="23" t="s">
        <v>130</v>
      </c>
      <c r="Y287" s="23" t="s">
        <v>130</v>
      </c>
      <c r="Z287" s="23" t="s">
        <v>130</v>
      </c>
      <c r="AA287" s="23" t="s">
        <v>130</v>
      </c>
      <c r="AB287" s="24"/>
      <c r="AC287" s="23" t="str">
        <f aca="false">D287&amp;"#"&amp;E287</f>
        <v>구약#347</v>
      </c>
      <c r="AD287" s="23" t="n">
        <f aca="false">COUNTIFS($C$2:C287,C287,$D$2:D287,D287)</f>
        <v>165</v>
      </c>
    </row>
    <row r="288" customFormat="false" ht="52.2" hidden="false" customHeight="false" outlineLevel="0" collapsed="false">
      <c r="A288" s="21" t="n">
        <v>287</v>
      </c>
      <c r="B288" s="18" t="s">
        <v>2643</v>
      </c>
      <c r="C288" s="20" t="n">
        <v>1</v>
      </c>
      <c r="D288" s="20" t="s">
        <v>116</v>
      </c>
      <c r="E288" s="20" t="n">
        <f aca="false">IF(C288=1,COUNTIFS($C$2:C288,1,$D$2:D288,D288),COUNTIFS($C$2:$C$799,1,$D$2:$D$799,D288)+COUNTIFS($C$2:C288,2,$D$2:D288,D288))</f>
        <v>122</v>
      </c>
      <c r="F288" s="20" t="str">
        <f aca="false">D288&amp;" #"&amp;TEXT(E288,"000")</f>
        <v>구약 #122</v>
      </c>
      <c r="G288" s="18" t="s">
        <v>2626</v>
      </c>
      <c r="H288" s="18" t="s">
        <v>2644</v>
      </c>
      <c r="I288" s="21" t="s">
        <v>2596</v>
      </c>
      <c r="J288" s="22" t="s">
        <v>2645</v>
      </c>
      <c r="K288" s="23" t="s">
        <v>121</v>
      </c>
      <c r="L288" s="24" t="s">
        <v>2646</v>
      </c>
      <c r="M288" s="24" t="s">
        <v>2647</v>
      </c>
      <c r="N288" s="23" t="s">
        <v>2648</v>
      </c>
      <c r="O288" s="24" t="s">
        <v>2649</v>
      </c>
      <c r="P288" s="24" t="s">
        <v>2650</v>
      </c>
      <c r="Q288" s="24" t="s">
        <v>2651</v>
      </c>
      <c r="R288" s="24"/>
      <c r="S288" s="28" t="s">
        <v>2652</v>
      </c>
      <c r="T288" s="24" t="str">
        <f aca="false">"["&amp;안내!$C$5&amp;" "&amp;F288&amp;"] "&amp;L288&amp;" | "&amp;J288</f>
        <v>[1분 성경 구약 #122] 수넴 여인의 아들 | 왕하 4:8-37</v>
      </c>
      <c r="U288" s="26" t="n">
        <f aca="false">IF(D288="구약",IF(C288=1,안내!$C$9,안내!$C$10)+AD288-1,IF(C288=1,안내!$C$9,안내!$C$10)+7*INT((AD288-1)/4)+CHOOSE(MOD(AD288-1,4)+1,0,2,4,5))</f>
        <v>46512</v>
      </c>
      <c r="V288" s="23" t="str">
        <f aca="false">CHOOSE(WEEKDAY(U288,2),"월","화","수","목","금","토","일")</f>
        <v>수</v>
      </c>
      <c r="W288" s="24" t="str">
        <f aca="false">IFERROR(IF(INDEX($C$2:$C$799,MATCH(D288&amp;"#"&amp;(E288+1),$AC$2:$AC$799,0))=C288,"다음 편: ","시즌1 완결 · 시즌2 첫 편: ")&amp;INDEX($L$2:$L$799,MATCH(D288&amp;"#"&amp;(E288+1),$AC$2:$AC$799,0)),"구약 트랙 완결")</f>
        <v>다음 편: 요단강에 일곱 번</v>
      </c>
      <c r="X288" s="23" t="s">
        <v>130</v>
      </c>
      <c r="Y288" s="23" t="s">
        <v>130</v>
      </c>
      <c r="Z288" s="23" t="s">
        <v>130</v>
      </c>
      <c r="AA288" s="23" t="s">
        <v>130</v>
      </c>
      <c r="AB288" s="24"/>
      <c r="AC288" s="23" t="str">
        <f aca="false">D288&amp;"#"&amp;E288</f>
        <v>구약#122</v>
      </c>
      <c r="AD288" s="23" t="n">
        <f aca="false">COUNTIFS($C$2:C288,C288,$D$2:D288,D288)</f>
        <v>122</v>
      </c>
    </row>
    <row r="289" customFormat="false" ht="26.85" hidden="false" customHeight="false" outlineLevel="0" collapsed="false">
      <c r="A289" s="21" t="n">
        <v>288</v>
      </c>
      <c r="B289" s="18" t="s">
        <v>2653</v>
      </c>
      <c r="C289" s="23" t="n">
        <v>2</v>
      </c>
      <c r="D289" s="23" t="s">
        <v>116</v>
      </c>
      <c r="E289" s="23" t="n">
        <f aca="false">IF(C289=1,COUNTIFS($C$2:C289,1,$D$2:D289,D289),COUNTIFS($C$2:$C$799,1,$D$2:$D$799,D289)+COUNTIFS($C$2:C289,2,$D$2:D289,D289))</f>
        <v>348</v>
      </c>
      <c r="F289" s="23" t="str">
        <f aca="false">D289&amp;" #"&amp;TEXT(E289,"000")</f>
        <v>구약 #348</v>
      </c>
      <c r="G289" s="18" t="s">
        <v>2626</v>
      </c>
      <c r="H289" s="18" t="s">
        <v>2569</v>
      </c>
      <c r="I289" s="21" t="s">
        <v>2596</v>
      </c>
      <c r="J289" s="22" t="s">
        <v>2654</v>
      </c>
      <c r="K289" s="23" t="s">
        <v>121</v>
      </c>
      <c r="L289" s="24" t="s">
        <v>2655</v>
      </c>
      <c r="M289" s="24" t="s">
        <v>2656</v>
      </c>
      <c r="N289" s="23" t="s">
        <v>2657</v>
      </c>
      <c r="O289" s="24" t="s">
        <v>2658</v>
      </c>
      <c r="P289" s="24" t="s">
        <v>2659</v>
      </c>
      <c r="Q289" s="24" t="s">
        <v>2046</v>
      </c>
      <c r="R289" s="25" t="s">
        <v>2660</v>
      </c>
      <c r="S289" s="24" t="s">
        <v>2661</v>
      </c>
      <c r="T289" s="24" t="str">
        <f aca="false">"["&amp;안내!$C$5&amp;" "&amp;F289&amp;"] "&amp;L289&amp;" | "&amp;J289</f>
        <v>[1분 성경 구약 #348] 국 속의 독, 보리떡 20개 | 왕하 4:38-44</v>
      </c>
      <c r="U289" s="26" t="n">
        <f aca="false">IF(D289="구약",IF(C289=1,안내!$C$9,안내!$C$10)+AD289-1,IF(C289=1,안내!$C$9,안내!$C$10)+7*INT((AD289-1)/4)+CHOOSE(MOD(AD289-1,4)+1,0,2,4,5))</f>
        <v>46745</v>
      </c>
      <c r="V289" s="23" t="str">
        <f aca="false">CHOOSE(WEEKDAY(U289,2),"월","화","수","목","금","토","일")</f>
        <v>금</v>
      </c>
      <c r="W289" s="24" t="str">
        <f aca="false">IFERROR(IF(INDEX($C$2:$C$799,MATCH(D289&amp;"#"&amp;(E289+1),$AC$2:$AC$799,0))=C289,"다음 편: ","시즌1 완결 · 시즌2 첫 편: ")&amp;INDEX($L$2:$L$799,MATCH(D289&amp;"#"&amp;(E289+1),$AC$2:$AC$799,0)),"구약 트랙 완결")</f>
        <v>다음 편: 게하시의 거짓말</v>
      </c>
      <c r="X289" s="23" t="s">
        <v>130</v>
      </c>
      <c r="Y289" s="23" t="s">
        <v>130</v>
      </c>
      <c r="Z289" s="23" t="s">
        <v>130</v>
      </c>
      <c r="AA289" s="23" t="s">
        <v>130</v>
      </c>
      <c r="AB289" s="24"/>
      <c r="AC289" s="23" t="str">
        <f aca="false">D289&amp;"#"&amp;E289</f>
        <v>구약#348</v>
      </c>
      <c r="AD289" s="23" t="n">
        <f aca="false">COUNTIFS($C$2:C289,C289,$D$2:D289,D289)</f>
        <v>166</v>
      </c>
    </row>
    <row r="290" customFormat="false" ht="26.85" hidden="false" customHeight="false" outlineLevel="0" collapsed="false">
      <c r="A290" s="21" t="n">
        <v>289</v>
      </c>
      <c r="B290" s="18" t="s">
        <v>2662</v>
      </c>
      <c r="C290" s="20" t="n">
        <v>1</v>
      </c>
      <c r="D290" s="20" t="s">
        <v>116</v>
      </c>
      <c r="E290" s="20" t="n">
        <f aca="false">IF(C290=1,COUNTIFS($C$2:C290,1,$D$2:D290,D290),COUNTIFS($C$2:$C$799,1,$D$2:$D$799,D290)+COUNTIFS($C$2:C290,2,$D$2:D290,D290))</f>
        <v>123</v>
      </c>
      <c r="F290" s="20" t="str">
        <f aca="false">D290&amp;" #"&amp;TEXT(E290,"000")</f>
        <v>구약 #123</v>
      </c>
      <c r="G290" s="18" t="s">
        <v>2626</v>
      </c>
      <c r="H290" s="18" t="s">
        <v>2644</v>
      </c>
      <c r="I290" s="21" t="s">
        <v>2596</v>
      </c>
      <c r="J290" s="22" t="s">
        <v>2663</v>
      </c>
      <c r="K290" s="23" t="s">
        <v>121</v>
      </c>
      <c r="L290" s="24" t="s">
        <v>2664</v>
      </c>
      <c r="M290" s="24" t="s">
        <v>2665</v>
      </c>
      <c r="N290" s="23" t="s">
        <v>2666</v>
      </c>
      <c r="O290" s="24" t="s">
        <v>2667</v>
      </c>
      <c r="P290" s="24" t="s">
        <v>2668</v>
      </c>
      <c r="Q290" s="24" t="s">
        <v>2669</v>
      </c>
      <c r="R290" s="24"/>
      <c r="S290" s="28" t="s">
        <v>2670</v>
      </c>
      <c r="T290" s="24" t="str">
        <f aca="false">"["&amp;안내!$C$5&amp;" "&amp;F290&amp;"] "&amp;L290&amp;" | "&amp;J290</f>
        <v>[1분 성경 구약 #123] 요단강에 일곱 번 | 왕하 5:1-19</v>
      </c>
      <c r="U290" s="26" t="n">
        <f aca="false">IF(D290="구약",IF(C290=1,안내!$C$9,안내!$C$10)+AD290-1,IF(C290=1,안내!$C$9,안내!$C$10)+7*INT((AD290-1)/4)+CHOOSE(MOD(AD290-1,4)+1,0,2,4,5))</f>
        <v>46513</v>
      </c>
      <c r="V290" s="23" t="str">
        <f aca="false">CHOOSE(WEEKDAY(U290,2),"월","화","수","목","금","토","일")</f>
        <v>목</v>
      </c>
      <c r="W290" s="24" t="str">
        <f aca="false">IFERROR(IF(INDEX($C$2:$C$799,MATCH(D290&amp;"#"&amp;(E290+1),$AC$2:$AC$799,0))=C290,"다음 편: ","시즌1 완결 · 시즌2 첫 편: ")&amp;INDEX($L$2:$L$799,MATCH(D290&amp;"#"&amp;(E290+1),$AC$2:$AC$799,0)),"구약 트랙 완결")</f>
        <v>다음 편: 불말과 불병거</v>
      </c>
      <c r="X290" s="23" t="s">
        <v>130</v>
      </c>
      <c r="Y290" s="23" t="s">
        <v>130</v>
      </c>
      <c r="Z290" s="23" t="s">
        <v>130</v>
      </c>
      <c r="AA290" s="23" t="s">
        <v>130</v>
      </c>
      <c r="AB290" s="24"/>
      <c r="AC290" s="23" t="str">
        <f aca="false">D290&amp;"#"&amp;E290</f>
        <v>구약#123</v>
      </c>
      <c r="AD290" s="23" t="n">
        <f aca="false">COUNTIFS($C$2:C290,C290,$D$2:D290,D290)</f>
        <v>123</v>
      </c>
    </row>
    <row r="291" customFormat="false" ht="25.35" hidden="false" customHeight="false" outlineLevel="0" collapsed="false">
      <c r="A291" s="21" t="n">
        <v>290</v>
      </c>
      <c r="B291" s="18" t="s">
        <v>2671</v>
      </c>
      <c r="C291" s="23" t="n">
        <v>2</v>
      </c>
      <c r="D291" s="23" t="s">
        <v>116</v>
      </c>
      <c r="E291" s="23" t="n">
        <f aca="false">IF(C291=1,COUNTIFS($C$2:C291,1,$D$2:D291,D291),COUNTIFS($C$2:$C$799,1,$D$2:$D$799,D291)+COUNTIFS($C$2:C291,2,$D$2:D291,D291))</f>
        <v>349</v>
      </c>
      <c r="F291" s="23" t="str">
        <f aca="false">D291&amp;" #"&amp;TEXT(E291,"000")</f>
        <v>구약 #349</v>
      </c>
      <c r="G291" s="18" t="s">
        <v>2626</v>
      </c>
      <c r="H291" s="18" t="s">
        <v>2569</v>
      </c>
      <c r="I291" s="21" t="s">
        <v>2596</v>
      </c>
      <c r="J291" s="22" t="s">
        <v>2672</v>
      </c>
      <c r="K291" s="23" t="s">
        <v>121</v>
      </c>
      <c r="L291" s="24" t="s">
        <v>2673</v>
      </c>
      <c r="M291" s="24" t="s">
        <v>2674</v>
      </c>
      <c r="N291" s="23" t="s">
        <v>2675</v>
      </c>
      <c r="O291" s="24" t="s">
        <v>2676</v>
      </c>
      <c r="P291" s="24" t="s">
        <v>2677</v>
      </c>
      <c r="Q291" s="24" t="s">
        <v>2678</v>
      </c>
      <c r="R291" s="24"/>
      <c r="S291" s="24" t="s">
        <v>2679</v>
      </c>
      <c r="T291" s="24" t="str">
        <f aca="false">"["&amp;안내!$C$5&amp;" "&amp;F291&amp;"] "&amp;L291&amp;" | "&amp;J291</f>
        <v>[1분 성경 구약 #349] 게하시의 거짓말 | 왕하 5:20-27</v>
      </c>
      <c r="U291" s="26" t="n">
        <f aca="false">IF(D291="구약",IF(C291=1,안내!$C$9,안내!$C$10)+AD291-1,IF(C291=1,안내!$C$9,안내!$C$10)+7*INT((AD291-1)/4)+CHOOSE(MOD(AD291-1,4)+1,0,2,4,5))</f>
        <v>46746</v>
      </c>
      <c r="V291" s="23" t="str">
        <f aca="false">CHOOSE(WEEKDAY(U291,2),"월","화","수","목","금","토","일")</f>
        <v>토</v>
      </c>
      <c r="W291" s="24" t="str">
        <f aca="false">IFERROR(IF(INDEX($C$2:$C$799,MATCH(D291&amp;"#"&amp;(E291+1),$AC$2:$AC$799,0))=C291,"다음 편: ","시즌1 완결 · 시즌2 첫 편: ")&amp;INDEX($L$2:$L$799,MATCH(D291&amp;"#"&amp;(E291+1),$AC$2:$AC$799,0)),"구약 트랙 완결")</f>
        <v>다음 편: 떠오른 도끼</v>
      </c>
      <c r="X291" s="23" t="s">
        <v>130</v>
      </c>
      <c r="Y291" s="23" t="s">
        <v>130</v>
      </c>
      <c r="Z291" s="23" t="s">
        <v>130</v>
      </c>
      <c r="AA291" s="23" t="s">
        <v>130</v>
      </c>
      <c r="AB291" s="24"/>
      <c r="AC291" s="23" t="str">
        <f aca="false">D291&amp;"#"&amp;E291</f>
        <v>구약#349</v>
      </c>
      <c r="AD291" s="23" t="n">
        <f aca="false">COUNTIFS($C$2:C291,C291,$D$2:D291,D291)</f>
        <v>167</v>
      </c>
    </row>
    <row r="292" customFormat="false" ht="15" hidden="false" customHeight="false" outlineLevel="0" collapsed="false">
      <c r="A292" s="21" t="n">
        <v>291</v>
      </c>
      <c r="B292" s="18" t="s">
        <v>2680</v>
      </c>
      <c r="C292" s="23" t="n">
        <v>2</v>
      </c>
      <c r="D292" s="23" t="s">
        <v>116</v>
      </c>
      <c r="E292" s="23" t="n">
        <f aca="false">IF(C292=1,COUNTIFS($C$2:C292,1,$D$2:D292,D292),COUNTIFS($C$2:$C$799,1,$D$2:$D$799,D292)+COUNTIFS($C$2:C292,2,$D$2:D292,D292))</f>
        <v>350</v>
      </c>
      <c r="F292" s="23" t="str">
        <f aca="false">D292&amp;" #"&amp;TEXT(E292,"000")</f>
        <v>구약 #350</v>
      </c>
      <c r="G292" s="18" t="s">
        <v>2626</v>
      </c>
      <c r="H292" s="18" t="s">
        <v>2569</v>
      </c>
      <c r="I292" s="21" t="s">
        <v>2596</v>
      </c>
      <c r="J292" s="22" t="s">
        <v>2681</v>
      </c>
      <c r="K292" s="23" t="s">
        <v>121</v>
      </c>
      <c r="L292" s="24" t="s">
        <v>2682</v>
      </c>
      <c r="M292" s="24" t="s">
        <v>2683</v>
      </c>
      <c r="N292" s="23" t="s">
        <v>2684</v>
      </c>
      <c r="O292" s="24" t="s">
        <v>2685</v>
      </c>
      <c r="P292" s="24" t="s">
        <v>2686</v>
      </c>
      <c r="Q292" s="24" t="s">
        <v>2687</v>
      </c>
      <c r="R292" s="24"/>
      <c r="S292" s="24" t="s">
        <v>2679</v>
      </c>
      <c r="T292" s="24" t="str">
        <f aca="false">"["&amp;안내!$C$5&amp;" "&amp;F292&amp;"] "&amp;L292&amp;" | "&amp;J292</f>
        <v>[1분 성경 구약 #350] 떠오른 도끼 | 왕하 6:1-7</v>
      </c>
      <c r="U292" s="26" t="n">
        <f aca="false">IF(D292="구약",IF(C292=1,안내!$C$9,안내!$C$10)+AD292-1,IF(C292=1,안내!$C$9,안내!$C$10)+7*INT((AD292-1)/4)+CHOOSE(MOD(AD292-1,4)+1,0,2,4,5))</f>
        <v>46747</v>
      </c>
      <c r="V292" s="23" t="str">
        <f aca="false">CHOOSE(WEEKDAY(U292,2),"월","화","수","목","금","토","일")</f>
        <v>일</v>
      </c>
      <c r="W292" s="24" t="str">
        <f aca="false">IFERROR(IF(INDEX($C$2:$C$799,MATCH(D292&amp;"#"&amp;(E292+1),$AC$2:$AC$799,0))=C292,"다음 편: ","시즌1 완결 · 시즌2 첫 편: ")&amp;INDEX($L$2:$L$799,MATCH(D292&amp;"#"&amp;(E292+1),$AC$2:$AC$799,0)),"구약 트랙 완결")</f>
        <v>다음 편: 돌려받은 땅</v>
      </c>
      <c r="X292" s="23" t="s">
        <v>130</v>
      </c>
      <c r="Y292" s="23" t="s">
        <v>130</v>
      </c>
      <c r="Z292" s="23" t="s">
        <v>130</v>
      </c>
      <c r="AA292" s="23" t="s">
        <v>130</v>
      </c>
      <c r="AB292" s="24"/>
      <c r="AC292" s="23" t="str">
        <f aca="false">D292&amp;"#"&amp;E292</f>
        <v>구약#350</v>
      </c>
      <c r="AD292" s="23" t="n">
        <f aca="false">COUNTIFS($C$2:C292,C292,$D$2:D292,D292)</f>
        <v>168</v>
      </c>
    </row>
    <row r="293" customFormat="false" ht="39.55" hidden="false" customHeight="false" outlineLevel="0" collapsed="false">
      <c r="A293" s="21" t="n">
        <v>292</v>
      </c>
      <c r="B293" s="18" t="s">
        <v>2688</v>
      </c>
      <c r="C293" s="20" t="n">
        <v>1</v>
      </c>
      <c r="D293" s="20" t="s">
        <v>116</v>
      </c>
      <c r="E293" s="20" t="n">
        <f aca="false">IF(C293=1,COUNTIFS($C$2:C293,1,$D$2:D293,D293),COUNTIFS($C$2:$C$799,1,$D$2:$D$799,D293)+COUNTIFS($C$2:C293,2,$D$2:D293,D293))</f>
        <v>124</v>
      </c>
      <c r="F293" s="20" t="str">
        <f aca="false">D293&amp;" #"&amp;TEXT(E293,"000")</f>
        <v>구약 #124</v>
      </c>
      <c r="G293" s="18" t="s">
        <v>2626</v>
      </c>
      <c r="H293" s="18" t="s">
        <v>2644</v>
      </c>
      <c r="I293" s="21" t="s">
        <v>2596</v>
      </c>
      <c r="J293" s="22" t="s">
        <v>2689</v>
      </c>
      <c r="K293" s="23" t="s">
        <v>121</v>
      </c>
      <c r="L293" s="24" t="s">
        <v>2690</v>
      </c>
      <c r="M293" s="24" t="s">
        <v>2691</v>
      </c>
      <c r="N293" s="23" t="s">
        <v>2692</v>
      </c>
      <c r="O293" s="24" t="s">
        <v>2693</v>
      </c>
      <c r="P293" s="24" t="s">
        <v>2694</v>
      </c>
      <c r="Q293" s="24" t="s">
        <v>2695</v>
      </c>
      <c r="R293" s="24"/>
      <c r="S293" s="28" t="s">
        <v>2696</v>
      </c>
      <c r="T293" s="24" t="str">
        <f aca="false">"["&amp;안내!$C$5&amp;" "&amp;F293&amp;"] "&amp;L293&amp;" | "&amp;J293</f>
        <v>[1분 성경 구약 #124] 불말과 불병거 | 왕하 6:8-23</v>
      </c>
      <c r="U293" s="26" t="n">
        <f aca="false">IF(D293="구약",IF(C293=1,안내!$C$9,안내!$C$10)+AD293-1,IF(C293=1,안내!$C$9,안내!$C$10)+7*INT((AD293-1)/4)+CHOOSE(MOD(AD293-1,4)+1,0,2,4,5))</f>
        <v>46514</v>
      </c>
      <c r="V293" s="23" t="str">
        <f aca="false">CHOOSE(WEEKDAY(U293,2),"월","화","수","목","금","토","일")</f>
        <v>금</v>
      </c>
      <c r="W293" s="24" t="str">
        <f aca="false">IFERROR(IF(INDEX($C$2:$C$799,MATCH(D293&amp;"#"&amp;(E293+1),$AC$2:$AC$799,0))=C293,"다음 편: ","시즌1 완결 · 시즌2 첫 편: ")&amp;INDEX($L$2:$L$799,MATCH(D293&amp;"#"&amp;(E293+1),$AC$2:$AC$799,0)),"구약 트랙 완결")</f>
        <v>다음 편: 네 명의 나병환자</v>
      </c>
      <c r="X293" s="23" t="s">
        <v>130</v>
      </c>
      <c r="Y293" s="23" t="s">
        <v>130</v>
      </c>
      <c r="Z293" s="23" t="s">
        <v>130</v>
      </c>
      <c r="AA293" s="23" t="s">
        <v>130</v>
      </c>
      <c r="AB293" s="24"/>
      <c r="AC293" s="23" t="str">
        <f aca="false">D293&amp;"#"&amp;E293</f>
        <v>구약#124</v>
      </c>
      <c r="AD293" s="23" t="n">
        <f aca="false">COUNTIFS($C$2:C293,C293,$D$2:D293,D293)</f>
        <v>124</v>
      </c>
    </row>
    <row r="294" customFormat="false" ht="26.85" hidden="false" customHeight="false" outlineLevel="0" collapsed="false">
      <c r="A294" s="21" t="n">
        <v>293</v>
      </c>
      <c r="B294" s="18" t="s">
        <v>2697</v>
      </c>
      <c r="C294" s="20" t="n">
        <v>1</v>
      </c>
      <c r="D294" s="20" t="s">
        <v>116</v>
      </c>
      <c r="E294" s="20" t="n">
        <f aca="false">IF(C294=1,COUNTIFS($C$2:C294,1,$D$2:D294,D294),COUNTIFS($C$2:$C$799,1,$D$2:$D$799,D294)+COUNTIFS($C$2:C294,2,$D$2:D294,D294))</f>
        <v>125</v>
      </c>
      <c r="F294" s="20" t="str">
        <f aca="false">D294&amp;" #"&amp;TEXT(E294,"000")</f>
        <v>구약 #125</v>
      </c>
      <c r="G294" s="18" t="s">
        <v>2626</v>
      </c>
      <c r="H294" s="18" t="s">
        <v>2644</v>
      </c>
      <c r="I294" s="21" t="s">
        <v>2596</v>
      </c>
      <c r="J294" s="22" t="s">
        <v>2698</v>
      </c>
      <c r="K294" s="23" t="s">
        <v>121</v>
      </c>
      <c r="L294" s="24" t="s">
        <v>2699</v>
      </c>
      <c r="M294" s="24" t="s">
        <v>2700</v>
      </c>
      <c r="N294" s="23" t="s">
        <v>2701</v>
      </c>
      <c r="O294" s="24" t="s">
        <v>2702</v>
      </c>
      <c r="P294" s="24" t="s">
        <v>2703</v>
      </c>
      <c r="Q294" s="24" t="s">
        <v>2704</v>
      </c>
      <c r="R294" s="27" t="s">
        <v>2705</v>
      </c>
      <c r="S294" s="24" t="s">
        <v>129</v>
      </c>
      <c r="T294" s="24" t="str">
        <f aca="false">"["&amp;안내!$C$5&amp;" "&amp;F294&amp;"] "&amp;L294&amp;" | "&amp;J294</f>
        <v>[1분 성경 구약 #125] 네 명의 나병환자 | 왕하 6:24-7:20</v>
      </c>
      <c r="U294" s="26" t="n">
        <f aca="false">IF(D294="구약",IF(C294=1,안내!$C$9,안내!$C$10)+AD294-1,IF(C294=1,안내!$C$9,안내!$C$10)+7*INT((AD294-1)/4)+CHOOSE(MOD(AD294-1,4)+1,0,2,4,5))</f>
        <v>46515</v>
      </c>
      <c r="V294" s="23" t="str">
        <f aca="false">CHOOSE(WEEKDAY(U294,2),"월","화","수","목","금","토","일")</f>
        <v>토</v>
      </c>
      <c r="W294" s="24" t="str">
        <f aca="false">IFERROR(IF(INDEX($C$2:$C$799,MATCH(D294&amp;"#"&amp;(E294+1),$AC$2:$AC$799,0))=C294,"다음 편: ","시즌1 완결 · 시즌2 첫 편: ")&amp;INDEX($L$2:$L$799,MATCH(D294&amp;"#"&amp;(E294+1),$AC$2:$AC$799,0)),"구약 트랙 완결")</f>
        <v>다음 편: 6년 동안 숨겨진 아기 왕</v>
      </c>
      <c r="X294" s="23" t="s">
        <v>130</v>
      </c>
      <c r="Y294" s="23" t="s">
        <v>130</v>
      </c>
      <c r="Z294" s="23" t="s">
        <v>130</v>
      </c>
      <c r="AA294" s="23" t="s">
        <v>130</v>
      </c>
      <c r="AB294" s="24"/>
      <c r="AC294" s="23" t="str">
        <f aca="false">D294&amp;"#"&amp;E294</f>
        <v>구약#125</v>
      </c>
      <c r="AD294" s="23" t="n">
        <f aca="false">COUNTIFS($C$2:C294,C294,$D$2:D294,D294)</f>
        <v>125</v>
      </c>
    </row>
    <row r="295" customFormat="false" ht="26.85" hidden="false" customHeight="false" outlineLevel="0" collapsed="false">
      <c r="A295" s="21" t="n">
        <v>294</v>
      </c>
      <c r="B295" s="18" t="s">
        <v>2706</v>
      </c>
      <c r="C295" s="23" t="n">
        <v>2</v>
      </c>
      <c r="D295" s="23" t="s">
        <v>116</v>
      </c>
      <c r="E295" s="23" t="n">
        <f aca="false">IF(C295=1,COUNTIFS($C$2:C295,1,$D$2:D295,D295),COUNTIFS($C$2:$C$799,1,$D$2:$D$799,D295)+COUNTIFS($C$2:C295,2,$D$2:D295,D295))</f>
        <v>351</v>
      </c>
      <c r="F295" s="23" t="str">
        <f aca="false">D295&amp;" #"&amp;TEXT(E295,"000")</f>
        <v>구약 #351</v>
      </c>
      <c r="G295" s="18" t="s">
        <v>2626</v>
      </c>
      <c r="H295" s="18" t="s">
        <v>2569</v>
      </c>
      <c r="I295" s="21" t="s">
        <v>2596</v>
      </c>
      <c r="J295" s="22" t="s">
        <v>2707</v>
      </c>
      <c r="K295" s="23" t="s">
        <v>121</v>
      </c>
      <c r="L295" s="24" t="s">
        <v>2708</v>
      </c>
      <c r="M295" s="24" t="s">
        <v>2709</v>
      </c>
      <c r="N295" s="23" t="s">
        <v>2710</v>
      </c>
      <c r="O295" s="24" t="s">
        <v>2711</v>
      </c>
      <c r="P295" s="24" t="s">
        <v>2712</v>
      </c>
      <c r="Q295" s="24" t="s">
        <v>2713</v>
      </c>
      <c r="R295" s="24"/>
      <c r="S295" s="24" t="s">
        <v>2714</v>
      </c>
      <c r="T295" s="24" t="str">
        <f aca="false">"["&amp;안내!$C$5&amp;" "&amp;F295&amp;"] "&amp;L295&amp;" | "&amp;J295</f>
        <v>[1분 성경 구약 #351] 돌려받은 땅 | 왕하 8:1-29</v>
      </c>
      <c r="U295" s="26" t="n">
        <f aca="false">IF(D295="구약",IF(C295=1,안내!$C$9,안내!$C$10)+AD295-1,IF(C295=1,안내!$C$9,안내!$C$10)+7*INT((AD295-1)/4)+CHOOSE(MOD(AD295-1,4)+1,0,2,4,5))</f>
        <v>46748</v>
      </c>
      <c r="V295" s="23" t="str">
        <f aca="false">CHOOSE(WEEKDAY(U295,2),"월","화","수","목","금","토","일")</f>
        <v>월</v>
      </c>
      <c r="W295" s="24" t="str">
        <f aca="false">IFERROR(IF(INDEX($C$2:$C$799,MATCH(D295&amp;"#"&amp;(E295+1),$AC$2:$AC$799,0))=C295,"다음 편: ","시즌1 완결 · 시즌2 첫 편: ")&amp;INDEX($L$2:$L$799,MATCH(D295&amp;"#"&amp;(E295+1),$AC$2:$AC$799,0)),"구약 트랙 완결")</f>
        <v>다음 편: 예후의 질주</v>
      </c>
      <c r="X295" s="23" t="s">
        <v>130</v>
      </c>
      <c r="Y295" s="23" t="s">
        <v>130</v>
      </c>
      <c r="Z295" s="23" t="s">
        <v>130</v>
      </c>
      <c r="AA295" s="23" t="s">
        <v>130</v>
      </c>
      <c r="AB295" s="24"/>
      <c r="AC295" s="23" t="str">
        <f aca="false">D295&amp;"#"&amp;E295</f>
        <v>구약#351</v>
      </c>
      <c r="AD295" s="23" t="n">
        <f aca="false">COUNTIFS($C$2:C295,C295,$D$2:D295,D295)</f>
        <v>169</v>
      </c>
    </row>
    <row r="296" customFormat="false" ht="15" hidden="false" customHeight="false" outlineLevel="0" collapsed="false">
      <c r="A296" s="21" t="n">
        <v>295</v>
      </c>
      <c r="B296" s="18" t="s">
        <v>2715</v>
      </c>
      <c r="C296" s="23" t="n">
        <v>2</v>
      </c>
      <c r="D296" s="23" t="s">
        <v>116</v>
      </c>
      <c r="E296" s="23" t="n">
        <f aca="false">IF(C296=1,COUNTIFS($C$2:C296,1,$D$2:D296,D296),COUNTIFS($C$2:$C$799,1,$D$2:$D$799,D296)+COUNTIFS($C$2:C296,2,$D$2:D296,D296))</f>
        <v>352</v>
      </c>
      <c r="F296" s="23" t="str">
        <f aca="false">D296&amp;" #"&amp;TEXT(E296,"000")</f>
        <v>구약 #352</v>
      </c>
      <c r="G296" s="18" t="s">
        <v>2716</v>
      </c>
      <c r="H296" s="18" t="s">
        <v>2717</v>
      </c>
      <c r="I296" s="21" t="s">
        <v>2596</v>
      </c>
      <c r="J296" s="22" t="s">
        <v>2718</v>
      </c>
      <c r="K296" s="23" t="s">
        <v>121</v>
      </c>
      <c r="L296" s="24" t="s">
        <v>2719</v>
      </c>
      <c r="M296" s="24" t="s">
        <v>2720</v>
      </c>
      <c r="N296" s="23" t="s">
        <v>2721</v>
      </c>
      <c r="O296" s="24" t="s">
        <v>728</v>
      </c>
      <c r="P296" s="24" t="s">
        <v>2722</v>
      </c>
      <c r="Q296" s="24" t="s">
        <v>2723</v>
      </c>
      <c r="R296" s="25" t="s">
        <v>2724</v>
      </c>
      <c r="S296" s="24" t="s">
        <v>2714</v>
      </c>
      <c r="T296" s="24" t="str">
        <f aca="false">"["&amp;안내!$C$5&amp;" "&amp;F296&amp;"] "&amp;L296&amp;" | "&amp;J296</f>
        <v>[1분 성경 구약 #352] 예후의 질주 | 왕하 9:1-37</v>
      </c>
      <c r="U296" s="26" t="n">
        <f aca="false">IF(D296="구약",IF(C296=1,안내!$C$9,안내!$C$10)+AD296-1,IF(C296=1,안내!$C$9,안내!$C$10)+7*INT((AD296-1)/4)+CHOOSE(MOD(AD296-1,4)+1,0,2,4,5))</f>
        <v>46749</v>
      </c>
      <c r="V296" s="23" t="str">
        <f aca="false">CHOOSE(WEEKDAY(U296,2),"월","화","수","목","금","토","일")</f>
        <v>화</v>
      </c>
      <c r="W296" s="24" t="str">
        <f aca="false">IFERROR(IF(INDEX($C$2:$C$799,MATCH(D296&amp;"#"&amp;(E296+1),$AC$2:$AC$799,0))=C296,"다음 편: ","시즌1 완결 · 시즌2 첫 편: ")&amp;INDEX($L$2:$L$799,MATCH(D296&amp;"#"&amp;(E296+1),$AC$2:$AC$799,0)),"구약 트랙 완결")</f>
        <v>다음 편: 반쪽짜리 개혁</v>
      </c>
      <c r="X296" s="23" t="s">
        <v>130</v>
      </c>
      <c r="Y296" s="23" t="s">
        <v>130</v>
      </c>
      <c r="Z296" s="23" t="s">
        <v>130</v>
      </c>
      <c r="AA296" s="23" t="s">
        <v>130</v>
      </c>
      <c r="AB296" s="24"/>
      <c r="AC296" s="23" t="str">
        <f aca="false">D296&amp;"#"&amp;E296</f>
        <v>구약#352</v>
      </c>
      <c r="AD296" s="23" t="n">
        <f aca="false">COUNTIFS($C$2:C296,C296,$D$2:D296,D296)</f>
        <v>170</v>
      </c>
    </row>
    <row r="297" customFormat="false" ht="25.35" hidden="false" customHeight="false" outlineLevel="0" collapsed="false">
      <c r="A297" s="21" t="n">
        <v>296</v>
      </c>
      <c r="B297" s="18" t="s">
        <v>2725</v>
      </c>
      <c r="C297" s="23" t="n">
        <v>2</v>
      </c>
      <c r="D297" s="23" t="s">
        <v>116</v>
      </c>
      <c r="E297" s="23" t="n">
        <f aca="false">IF(C297=1,COUNTIFS($C$2:C297,1,$D$2:D297,D297),COUNTIFS($C$2:$C$799,1,$D$2:$D$799,D297)+COUNTIFS($C$2:C297,2,$D$2:D297,D297))</f>
        <v>353</v>
      </c>
      <c r="F297" s="23" t="str">
        <f aca="false">D297&amp;" #"&amp;TEXT(E297,"000")</f>
        <v>구약 #353</v>
      </c>
      <c r="G297" s="18" t="s">
        <v>2716</v>
      </c>
      <c r="H297" s="18" t="s">
        <v>2717</v>
      </c>
      <c r="I297" s="21" t="s">
        <v>2596</v>
      </c>
      <c r="J297" s="22" t="s">
        <v>2726</v>
      </c>
      <c r="K297" s="23" t="s">
        <v>121</v>
      </c>
      <c r="L297" s="24" t="s">
        <v>2727</v>
      </c>
      <c r="M297" s="24" t="s">
        <v>2728</v>
      </c>
      <c r="N297" s="23" t="s">
        <v>2729</v>
      </c>
      <c r="O297" s="24" t="s">
        <v>2730</v>
      </c>
      <c r="P297" s="24" t="s">
        <v>2731</v>
      </c>
      <c r="Q297" s="24" t="s">
        <v>2732</v>
      </c>
      <c r="R297" s="25" t="s">
        <v>1822</v>
      </c>
      <c r="S297" s="24" t="s">
        <v>2714</v>
      </c>
      <c r="T297" s="24" t="str">
        <f aca="false">"["&amp;안내!$C$5&amp;" "&amp;F297&amp;"] "&amp;L297&amp;" | "&amp;J297</f>
        <v>[1분 성경 구약 #353] 반쪽짜리 개혁 | 왕하 10:1-36</v>
      </c>
      <c r="U297" s="26" t="n">
        <f aca="false">IF(D297="구약",IF(C297=1,안내!$C$9,안내!$C$10)+AD297-1,IF(C297=1,안내!$C$9,안내!$C$10)+7*INT((AD297-1)/4)+CHOOSE(MOD(AD297-1,4)+1,0,2,4,5))</f>
        <v>46750</v>
      </c>
      <c r="V297" s="23" t="str">
        <f aca="false">CHOOSE(WEEKDAY(U297,2),"월","화","수","목","금","토","일")</f>
        <v>수</v>
      </c>
      <c r="W297" s="24" t="str">
        <f aca="false">IFERROR(IF(INDEX($C$2:$C$799,MATCH(D297&amp;"#"&amp;(E297+1),$AC$2:$AC$799,0))=C297,"다음 편: ","시즌1 완결 · 시즌2 첫 편: ")&amp;INDEX($L$2:$L$799,MATCH(D297&amp;"#"&amp;(E297+1),$AC$2:$AC$799,0)),"구약 트랙 완결")</f>
        <v>다음 편: 성전을 수리하다</v>
      </c>
      <c r="X297" s="23" t="s">
        <v>130</v>
      </c>
      <c r="Y297" s="23" t="s">
        <v>130</v>
      </c>
      <c r="Z297" s="23" t="s">
        <v>130</v>
      </c>
      <c r="AA297" s="23" t="s">
        <v>130</v>
      </c>
      <c r="AB297" s="24"/>
      <c r="AC297" s="23" t="str">
        <f aca="false">D297&amp;"#"&amp;E297</f>
        <v>구약#353</v>
      </c>
      <c r="AD297" s="23" t="n">
        <f aca="false">COUNTIFS($C$2:C297,C297,$D$2:D297,D297)</f>
        <v>171</v>
      </c>
    </row>
    <row r="298" customFormat="false" ht="39.55" hidden="false" customHeight="false" outlineLevel="0" collapsed="false">
      <c r="A298" s="21" t="n">
        <v>297</v>
      </c>
      <c r="B298" s="18" t="s">
        <v>2733</v>
      </c>
      <c r="C298" s="20" t="n">
        <v>1</v>
      </c>
      <c r="D298" s="20" t="s">
        <v>116</v>
      </c>
      <c r="E298" s="20" t="n">
        <f aca="false">IF(C298=1,COUNTIFS($C$2:C298,1,$D$2:D298,D298),COUNTIFS($C$2:$C$799,1,$D$2:$D$799,D298)+COUNTIFS($C$2:C298,2,$D$2:D298,D298))</f>
        <v>126</v>
      </c>
      <c r="F298" s="20" t="str">
        <f aca="false">D298&amp;" #"&amp;TEXT(E298,"000")</f>
        <v>구약 #126</v>
      </c>
      <c r="G298" s="18" t="s">
        <v>2716</v>
      </c>
      <c r="H298" s="18" t="s">
        <v>2644</v>
      </c>
      <c r="I298" s="21" t="s">
        <v>2596</v>
      </c>
      <c r="J298" s="22" t="s">
        <v>2734</v>
      </c>
      <c r="K298" s="23" t="s">
        <v>121</v>
      </c>
      <c r="L298" s="29" t="s">
        <v>2735</v>
      </c>
      <c r="M298" s="24" t="s">
        <v>2736</v>
      </c>
      <c r="N298" s="23" t="s">
        <v>2737</v>
      </c>
      <c r="O298" s="24" t="s">
        <v>2738</v>
      </c>
      <c r="P298" s="24" t="s">
        <v>2739</v>
      </c>
      <c r="Q298" s="24" t="s">
        <v>2740</v>
      </c>
      <c r="R298" s="24"/>
      <c r="S298" s="28" t="s">
        <v>2741</v>
      </c>
      <c r="T298" s="24" t="str">
        <f aca="false">"["&amp;안내!$C$5&amp;" "&amp;F298&amp;"] "&amp;L298&amp;" | "&amp;J298</f>
        <v>[1분 성경 구약 #126] 6년 동안 숨겨진 아기 왕 | 왕하 11:1-21</v>
      </c>
      <c r="U298" s="26" t="n">
        <f aca="false">IF(D298="구약",IF(C298=1,안내!$C$9,안내!$C$10)+AD298-1,IF(C298=1,안내!$C$9,안내!$C$10)+7*INT((AD298-1)/4)+CHOOSE(MOD(AD298-1,4)+1,0,2,4,5))</f>
        <v>46516</v>
      </c>
      <c r="V298" s="23" t="str">
        <f aca="false">CHOOSE(WEEKDAY(U298,2),"월","화","수","목","금","토","일")</f>
        <v>일</v>
      </c>
      <c r="W298" s="24" t="str">
        <f aca="false">IFERROR(IF(INDEX($C$2:$C$799,MATCH(D298&amp;"#"&amp;(E298+1),$AC$2:$AC$799,0))=C298,"다음 편: ","시즌1 완결 · 시즌2 첫 편: ")&amp;INDEX($L$2:$L$799,MATCH(D298&amp;"#"&amp;(E298+1),$AC$2:$AC$799,0)),"구약 트랙 완결")</f>
        <v>다음 편: 북이스라엘의 멸망</v>
      </c>
      <c r="X298" s="23" t="s">
        <v>130</v>
      </c>
      <c r="Y298" s="23" t="s">
        <v>130</v>
      </c>
      <c r="Z298" s="23" t="s">
        <v>130</v>
      </c>
      <c r="AA298" s="23" t="s">
        <v>130</v>
      </c>
      <c r="AB298" s="24"/>
      <c r="AC298" s="23" t="str">
        <f aca="false">D298&amp;"#"&amp;E298</f>
        <v>구약#126</v>
      </c>
      <c r="AD298" s="23" t="n">
        <f aca="false">COUNTIFS($C$2:C298,C298,$D$2:D298,D298)</f>
        <v>126</v>
      </c>
    </row>
    <row r="299" customFormat="false" ht="26.85" hidden="false" customHeight="false" outlineLevel="0" collapsed="false">
      <c r="A299" s="21" t="n">
        <v>298</v>
      </c>
      <c r="B299" s="18" t="s">
        <v>2742</v>
      </c>
      <c r="C299" s="23" t="n">
        <v>2</v>
      </c>
      <c r="D299" s="23" t="s">
        <v>116</v>
      </c>
      <c r="E299" s="23" t="n">
        <f aca="false">IF(C299=1,COUNTIFS($C$2:C299,1,$D$2:D299,D299),COUNTIFS($C$2:$C$799,1,$D$2:$D$799,D299)+COUNTIFS($C$2:C299,2,$D$2:D299,D299))</f>
        <v>354</v>
      </c>
      <c r="F299" s="23" t="str">
        <f aca="false">D299&amp;" #"&amp;TEXT(E299,"000")</f>
        <v>구약 #354</v>
      </c>
      <c r="G299" s="18" t="s">
        <v>2716</v>
      </c>
      <c r="H299" s="18" t="s">
        <v>2717</v>
      </c>
      <c r="I299" s="21" t="s">
        <v>2596</v>
      </c>
      <c r="J299" s="22" t="s">
        <v>2743</v>
      </c>
      <c r="K299" s="23" t="s">
        <v>121</v>
      </c>
      <c r="L299" s="24" t="s">
        <v>2744</v>
      </c>
      <c r="M299" s="24" t="s">
        <v>2745</v>
      </c>
      <c r="N299" s="23" t="s">
        <v>2746</v>
      </c>
      <c r="O299" s="24" t="s">
        <v>2747</v>
      </c>
      <c r="P299" s="24" t="s">
        <v>2748</v>
      </c>
      <c r="Q299" s="24" t="s">
        <v>2749</v>
      </c>
      <c r="R299" s="24"/>
      <c r="S299" s="24" t="s">
        <v>2750</v>
      </c>
      <c r="T299" s="24" t="str">
        <f aca="false">"["&amp;안내!$C$5&amp;" "&amp;F299&amp;"] "&amp;L299&amp;" | "&amp;J299</f>
        <v>[1분 성경 구약 #354] 성전을 수리하다 | 왕하 12:1-21</v>
      </c>
      <c r="U299" s="26" t="n">
        <f aca="false">IF(D299="구약",IF(C299=1,안내!$C$9,안내!$C$10)+AD299-1,IF(C299=1,안내!$C$9,안내!$C$10)+7*INT((AD299-1)/4)+CHOOSE(MOD(AD299-1,4)+1,0,2,4,5))</f>
        <v>46751</v>
      </c>
      <c r="V299" s="23" t="str">
        <f aca="false">CHOOSE(WEEKDAY(U299,2),"월","화","수","목","금","토","일")</f>
        <v>목</v>
      </c>
      <c r="W299" s="24" t="str">
        <f aca="false">IFERROR(IF(INDEX($C$2:$C$799,MATCH(D299&amp;"#"&amp;(E299+1),$AC$2:$AC$799,0))=C299,"다음 편: ","시즌1 완결 · 시즌2 첫 편: ")&amp;INDEX($L$2:$L$799,MATCH(D299&amp;"#"&amp;(E299+1),$AC$2:$AC$799,0)),"구약 트랙 완결")</f>
        <v>다음 편: 엘리사의 뼈</v>
      </c>
      <c r="X299" s="23" t="s">
        <v>130</v>
      </c>
      <c r="Y299" s="23" t="s">
        <v>130</v>
      </c>
      <c r="Z299" s="23" t="s">
        <v>130</v>
      </c>
      <c r="AA299" s="23" t="s">
        <v>130</v>
      </c>
      <c r="AB299" s="24"/>
      <c r="AC299" s="23" t="str">
        <f aca="false">D299&amp;"#"&amp;E299</f>
        <v>구약#354</v>
      </c>
      <c r="AD299" s="23" t="n">
        <f aca="false">COUNTIFS($C$2:C299,C299,$D$2:D299,D299)</f>
        <v>172</v>
      </c>
    </row>
    <row r="300" customFormat="false" ht="26.85" hidden="false" customHeight="false" outlineLevel="0" collapsed="false">
      <c r="A300" s="21" t="n">
        <v>299</v>
      </c>
      <c r="B300" s="18" t="s">
        <v>2751</v>
      </c>
      <c r="C300" s="23" t="n">
        <v>2</v>
      </c>
      <c r="D300" s="23" t="s">
        <v>116</v>
      </c>
      <c r="E300" s="23" t="n">
        <f aca="false">IF(C300=1,COUNTIFS($C$2:C300,1,$D$2:D300,D300),COUNTIFS($C$2:$C$799,1,$D$2:$D$799,D300)+COUNTIFS($C$2:C300,2,$D$2:D300,D300))</f>
        <v>355</v>
      </c>
      <c r="F300" s="23" t="str">
        <f aca="false">D300&amp;" #"&amp;TEXT(E300,"000")</f>
        <v>구약 #355</v>
      </c>
      <c r="G300" s="18" t="s">
        <v>2716</v>
      </c>
      <c r="H300" s="18" t="s">
        <v>2717</v>
      </c>
      <c r="I300" s="21" t="s">
        <v>2596</v>
      </c>
      <c r="J300" s="22" t="s">
        <v>2752</v>
      </c>
      <c r="K300" s="23" t="s">
        <v>121</v>
      </c>
      <c r="L300" s="24" t="s">
        <v>2753</v>
      </c>
      <c r="M300" s="24" t="s">
        <v>2754</v>
      </c>
      <c r="N300" s="23" t="s">
        <v>2755</v>
      </c>
      <c r="O300" s="24" t="s">
        <v>2756</v>
      </c>
      <c r="P300" s="24" t="s">
        <v>2757</v>
      </c>
      <c r="Q300" s="24" t="s">
        <v>2758</v>
      </c>
      <c r="R300" s="25" t="s">
        <v>2759</v>
      </c>
      <c r="S300" s="24" t="s">
        <v>2750</v>
      </c>
      <c r="T300" s="24" t="str">
        <f aca="false">"["&amp;안내!$C$5&amp;" "&amp;F300&amp;"] "&amp;L300&amp;" | "&amp;J300</f>
        <v>[1분 성경 구약 #355] 엘리사의 뼈 | 왕하 13:1-25</v>
      </c>
      <c r="U300" s="26" t="n">
        <f aca="false">IF(D300="구약",IF(C300=1,안내!$C$9,안내!$C$10)+AD300-1,IF(C300=1,안내!$C$9,안내!$C$10)+7*INT((AD300-1)/4)+CHOOSE(MOD(AD300-1,4)+1,0,2,4,5))</f>
        <v>46752</v>
      </c>
      <c r="V300" s="23" t="str">
        <f aca="false">CHOOSE(WEEKDAY(U300,2),"월","화","수","목","금","토","일")</f>
        <v>금</v>
      </c>
      <c r="W300" s="24" t="str">
        <f aca="false">IFERROR(IF(INDEX($C$2:$C$799,MATCH(D300&amp;"#"&amp;(E300+1),$AC$2:$AC$799,0))=C300,"다음 편: ","시즌1 완결 · 시즌2 첫 편: ")&amp;INDEX($L$2:$L$799,MATCH(D300&amp;"#"&amp;(E300+1),$AC$2:$AC$799,0)),"구약 트랙 완결")</f>
        <v>다음 편: 흔들리는 두 왕국</v>
      </c>
      <c r="X300" s="23" t="s">
        <v>130</v>
      </c>
      <c r="Y300" s="23" t="s">
        <v>130</v>
      </c>
      <c r="Z300" s="23" t="s">
        <v>130</v>
      </c>
      <c r="AA300" s="23" t="s">
        <v>130</v>
      </c>
      <c r="AB300" s="24"/>
      <c r="AC300" s="23" t="str">
        <f aca="false">D300&amp;"#"&amp;E300</f>
        <v>구약#355</v>
      </c>
      <c r="AD300" s="23" t="n">
        <f aca="false">COUNTIFS($C$2:C300,C300,$D$2:D300,D300)</f>
        <v>173</v>
      </c>
    </row>
    <row r="301" customFormat="false" ht="26.85" hidden="false" customHeight="false" outlineLevel="0" collapsed="false">
      <c r="A301" s="21" t="n">
        <v>300</v>
      </c>
      <c r="B301" s="18" t="s">
        <v>2760</v>
      </c>
      <c r="C301" s="23" t="n">
        <v>2</v>
      </c>
      <c r="D301" s="23" t="s">
        <v>116</v>
      </c>
      <c r="E301" s="23" t="n">
        <f aca="false">IF(C301=1,COUNTIFS($C$2:C301,1,$D$2:D301,D301),COUNTIFS($C$2:$C$799,1,$D$2:$D$799,D301)+COUNTIFS($C$2:C301,2,$D$2:D301,D301))</f>
        <v>356</v>
      </c>
      <c r="F301" s="23" t="str">
        <f aca="false">D301&amp;" #"&amp;TEXT(E301,"000")</f>
        <v>구약 #356</v>
      </c>
      <c r="G301" s="18" t="s">
        <v>2716</v>
      </c>
      <c r="H301" s="18" t="s">
        <v>2717</v>
      </c>
      <c r="I301" s="21" t="s">
        <v>2596</v>
      </c>
      <c r="J301" s="22" t="s">
        <v>2761</v>
      </c>
      <c r="K301" s="23" t="s">
        <v>1085</v>
      </c>
      <c r="L301" s="24" t="s">
        <v>2762</v>
      </c>
      <c r="M301" s="24" t="s">
        <v>2763</v>
      </c>
      <c r="N301" s="23" t="s">
        <v>2764</v>
      </c>
      <c r="O301" s="24" t="s">
        <v>2765</v>
      </c>
      <c r="P301" s="24" t="s">
        <v>2766</v>
      </c>
      <c r="Q301" s="24" t="s">
        <v>2515</v>
      </c>
      <c r="R301" s="27" t="s">
        <v>2767</v>
      </c>
      <c r="S301" s="24" t="s">
        <v>2750</v>
      </c>
      <c r="T301" s="24" t="str">
        <f aca="false">"["&amp;안내!$C$5&amp;" "&amp;F301&amp;"] "&amp;L301&amp;" | "&amp;J301</f>
        <v>[1분 성경 구약 #356] 흔들리는 두 왕국 | 왕하 14:1-16:20</v>
      </c>
      <c r="U301" s="26" t="n">
        <f aca="false">IF(D301="구약",IF(C301=1,안내!$C$9,안내!$C$10)+AD301-1,IF(C301=1,안내!$C$9,안내!$C$10)+7*INT((AD301-1)/4)+CHOOSE(MOD(AD301-1,4)+1,0,2,4,5))</f>
        <v>46753</v>
      </c>
      <c r="V301" s="23" t="str">
        <f aca="false">CHOOSE(WEEKDAY(U301,2),"월","화","수","목","금","토","일")</f>
        <v>토</v>
      </c>
      <c r="W301" s="24" t="str">
        <f aca="false">IFERROR(IF(INDEX($C$2:$C$799,MATCH(D301&amp;"#"&amp;(E301+1),$AC$2:$AC$799,0))=C301,"다음 편: ","시즌1 완결 · 시즌2 첫 편: ")&amp;INDEX($L$2:$L$799,MATCH(D301&amp;"#"&amp;(E301+1),$AC$2:$AC$799,0)),"구약 트랙 완결")</f>
        <v>다음 편: 히스기야와 랍사게</v>
      </c>
      <c r="X301" s="23" t="s">
        <v>130</v>
      </c>
      <c r="Y301" s="23" t="s">
        <v>130</v>
      </c>
      <c r="Z301" s="23" t="s">
        <v>130</v>
      </c>
      <c r="AA301" s="23" t="s">
        <v>130</v>
      </c>
      <c r="AB301" s="24"/>
      <c r="AC301" s="23" t="str">
        <f aca="false">D301&amp;"#"&amp;E301</f>
        <v>구약#356</v>
      </c>
      <c r="AD301" s="23" t="n">
        <f aca="false">COUNTIFS($C$2:C301,C301,$D$2:D301,D301)</f>
        <v>174</v>
      </c>
    </row>
    <row r="302" customFormat="false" ht="52.2" hidden="false" customHeight="false" outlineLevel="0" collapsed="false">
      <c r="A302" s="21" t="n">
        <v>301</v>
      </c>
      <c r="B302" s="18" t="s">
        <v>2768</v>
      </c>
      <c r="C302" s="20" t="n">
        <v>1</v>
      </c>
      <c r="D302" s="20" t="s">
        <v>116</v>
      </c>
      <c r="E302" s="20" t="n">
        <f aca="false">IF(C302=1,COUNTIFS($C$2:C302,1,$D$2:D302,D302),COUNTIFS($C$2:$C$799,1,$D$2:$D$799,D302)+COUNTIFS($C$2:C302,2,$D$2:D302,D302))</f>
        <v>127</v>
      </c>
      <c r="F302" s="20" t="str">
        <f aca="false">D302&amp;" #"&amp;TEXT(E302,"000")</f>
        <v>구약 #127</v>
      </c>
      <c r="G302" s="18" t="s">
        <v>2716</v>
      </c>
      <c r="H302" s="18" t="s">
        <v>2644</v>
      </c>
      <c r="I302" s="21" t="s">
        <v>2596</v>
      </c>
      <c r="J302" s="22" t="s">
        <v>2769</v>
      </c>
      <c r="K302" s="23" t="s">
        <v>121</v>
      </c>
      <c r="L302" s="24" t="s">
        <v>2770</v>
      </c>
      <c r="M302" s="24" t="s">
        <v>2771</v>
      </c>
      <c r="N302" s="23" t="s">
        <v>2772</v>
      </c>
      <c r="O302" s="24" t="s">
        <v>2773</v>
      </c>
      <c r="P302" s="24" t="s">
        <v>2774</v>
      </c>
      <c r="Q302" s="24" t="s">
        <v>2775</v>
      </c>
      <c r="R302" s="24"/>
      <c r="S302" s="28" t="s">
        <v>2776</v>
      </c>
      <c r="T302" s="24" t="str">
        <f aca="false">"["&amp;안내!$C$5&amp;" "&amp;F302&amp;"] "&amp;L302&amp;" | "&amp;J302</f>
        <v>[1분 성경 구약 #127] 북이스라엘의 멸망 | 왕하 17:1-41</v>
      </c>
      <c r="U302" s="26" t="n">
        <f aca="false">IF(D302="구약",IF(C302=1,안내!$C$9,안내!$C$10)+AD302-1,IF(C302=1,안내!$C$9,안내!$C$10)+7*INT((AD302-1)/4)+CHOOSE(MOD(AD302-1,4)+1,0,2,4,5))</f>
        <v>46517</v>
      </c>
      <c r="V302" s="23" t="str">
        <f aca="false">CHOOSE(WEEKDAY(U302,2),"월","화","수","목","금","토","일")</f>
        <v>월</v>
      </c>
      <c r="W302" s="24" t="str">
        <f aca="false">IFERROR(IF(INDEX($C$2:$C$799,MATCH(D302&amp;"#"&amp;(E302+1),$AC$2:$AC$799,0))=C302,"다음 편: ","시즌1 완결 · 시즌2 첫 편: ")&amp;INDEX($L$2:$L$799,MATCH(D302&amp;"#"&amp;(E302+1),$AC$2:$AC$799,0)),"구약 트랙 완결")</f>
        <v>다음 편: 편지를 펴 놓고 기도하다</v>
      </c>
      <c r="X302" s="23" t="s">
        <v>130</v>
      </c>
      <c r="Y302" s="23" t="s">
        <v>130</v>
      </c>
      <c r="Z302" s="23" t="s">
        <v>130</v>
      </c>
      <c r="AA302" s="23" t="s">
        <v>130</v>
      </c>
      <c r="AB302" s="24"/>
      <c r="AC302" s="23" t="str">
        <f aca="false">D302&amp;"#"&amp;E302</f>
        <v>구약#127</v>
      </c>
      <c r="AD302" s="23" t="n">
        <f aca="false">COUNTIFS($C$2:C302,C302,$D$2:D302,D302)</f>
        <v>127</v>
      </c>
    </row>
    <row r="303" customFormat="false" ht="25.35" hidden="false" customHeight="false" outlineLevel="0" collapsed="false">
      <c r="A303" s="21" t="n">
        <v>302</v>
      </c>
      <c r="B303" s="18" t="s">
        <v>2777</v>
      </c>
      <c r="C303" s="23" t="n">
        <v>2</v>
      </c>
      <c r="D303" s="23" t="s">
        <v>116</v>
      </c>
      <c r="E303" s="23" t="n">
        <f aca="false">IF(C303=1,COUNTIFS($C$2:C303,1,$D$2:D303,D303),COUNTIFS($C$2:$C$799,1,$D$2:$D$799,D303)+COUNTIFS($C$2:C303,2,$D$2:D303,D303))</f>
        <v>357</v>
      </c>
      <c r="F303" s="23" t="str">
        <f aca="false">D303&amp;" #"&amp;TEXT(E303,"000")</f>
        <v>구약 #357</v>
      </c>
      <c r="G303" s="18" t="s">
        <v>2778</v>
      </c>
      <c r="H303" s="18" t="s">
        <v>2717</v>
      </c>
      <c r="I303" s="21" t="s">
        <v>2596</v>
      </c>
      <c r="J303" s="22" t="s">
        <v>2779</v>
      </c>
      <c r="K303" s="23" t="s">
        <v>121</v>
      </c>
      <c r="L303" s="24" t="s">
        <v>2780</v>
      </c>
      <c r="M303" s="24" t="s">
        <v>2781</v>
      </c>
      <c r="N303" s="23" t="s">
        <v>2782</v>
      </c>
      <c r="O303" s="24" t="s">
        <v>2783</v>
      </c>
      <c r="P303" s="24" t="s">
        <v>2784</v>
      </c>
      <c r="Q303" s="24" t="s">
        <v>2785</v>
      </c>
      <c r="R303" s="24"/>
      <c r="S303" s="24" t="s">
        <v>2786</v>
      </c>
      <c r="T303" s="24" t="str">
        <f aca="false">"["&amp;안내!$C$5&amp;" "&amp;F303&amp;"] "&amp;L303&amp;" | "&amp;J303</f>
        <v>[1분 성경 구약 #357] 히스기야와 랍사게 | 왕하 18:1-37</v>
      </c>
      <c r="U303" s="26" t="n">
        <f aca="false">IF(D303="구약",IF(C303=1,안내!$C$9,안내!$C$10)+AD303-1,IF(C303=1,안내!$C$9,안내!$C$10)+7*INT((AD303-1)/4)+CHOOSE(MOD(AD303-1,4)+1,0,2,4,5))</f>
        <v>46754</v>
      </c>
      <c r="V303" s="23" t="str">
        <f aca="false">CHOOSE(WEEKDAY(U303,2),"월","화","수","목","금","토","일")</f>
        <v>일</v>
      </c>
      <c r="W303" s="24" t="str">
        <f aca="false">IFERROR(IF(INDEX($C$2:$C$799,MATCH(D303&amp;"#"&amp;(E303+1),$AC$2:$AC$799,0))=C303,"다음 편: ","시즌1 완결 · 시즌2 첫 편: ")&amp;INDEX($L$2:$L$799,MATCH(D303&amp;"#"&amp;(E303+1),$AC$2:$AC$799,0)),"구약 트랙 완결")</f>
        <v>다음 편: 생명 15년 연장</v>
      </c>
      <c r="X303" s="23" t="s">
        <v>130</v>
      </c>
      <c r="Y303" s="23" t="s">
        <v>130</v>
      </c>
      <c r="Z303" s="23" t="s">
        <v>130</v>
      </c>
      <c r="AA303" s="23" t="s">
        <v>130</v>
      </c>
      <c r="AB303" s="24"/>
      <c r="AC303" s="23" t="str">
        <f aca="false">D303&amp;"#"&amp;E303</f>
        <v>구약#357</v>
      </c>
      <c r="AD303" s="23" t="n">
        <f aca="false">COUNTIFS($C$2:C303,C303,$D$2:D303,D303)</f>
        <v>175</v>
      </c>
    </row>
    <row r="304" customFormat="false" ht="39.55" hidden="false" customHeight="false" outlineLevel="0" collapsed="false">
      <c r="A304" s="21" t="n">
        <v>303</v>
      </c>
      <c r="B304" s="18" t="s">
        <v>2787</v>
      </c>
      <c r="C304" s="20" t="n">
        <v>1</v>
      </c>
      <c r="D304" s="20" t="s">
        <v>116</v>
      </c>
      <c r="E304" s="20" t="n">
        <f aca="false">IF(C304=1,COUNTIFS($C$2:C304,1,$D$2:D304,D304),COUNTIFS($C$2:$C$799,1,$D$2:$D$799,D304)+COUNTIFS($C$2:C304,2,$D$2:D304,D304))</f>
        <v>128</v>
      </c>
      <c r="F304" s="20" t="str">
        <f aca="false">D304&amp;" #"&amp;TEXT(E304,"000")</f>
        <v>구약 #128</v>
      </c>
      <c r="G304" s="18" t="s">
        <v>2778</v>
      </c>
      <c r="H304" s="18" t="s">
        <v>2644</v>
      </c>
      <c r="I304" s="21" t="s">
        <v>2596</v>
      </c>
      <c r="J304" s="22" t="s">
        <v>2788</v>
      </c>
      <c r="K304" s="23" t="s">
        <v>121</v>
      </c>
      <c r="L304" s="24" t="s">
        <v>2789</v>
      </c>
      <c r="M304" s="24" t="s">
        <v>2790</v>
      </c>
      <c r="N304" s="23" t="s">
        <v>2791</v>
      </c>
      <c r="O304" s="24" t="s">
        <v>2792</v>
      </c>
      <c r="P304" s="24" t="s">
        <v>2793</v>
      </c>
      <c r="Q304" s="24" t="s">
        <v>2794</v>
      </c>
      <c r="R304" s="25" t="s">
        <v>2795</v>
      </c>
      <c r="S304" s="28" t="s">
        <v>2796</v>
      </c>
      <c r="T304" s="24" t="str">
        <f aca="false">"["&amp;안내!$C$5&amp;" "&amp;F304&amp;"] "&amp;L304&amp;" | "&amp;J304</f>
        <v>[1분 성경 구약 #128] 편지를 펴 놓고 기도하다 | 왕하 19:1-37</v>
      </c>
      <c r="U304" s="26" t="n">
        <f aca="false">IF(D304="구약",IF(C304=1,안내!$C$9,안내!$C$10)+AD304-1,IF(C304=1,안내!$C$9,안내!$C$10)+7*INT((AD304-1)/4)+CHOOSE(MOD(AD304-1,4)+1,0,2,4,5))</f>
        <v>46518</v>
      </c>
      <c r="V304" s="23" t="str">
        <f aca="false">CHOOSE(WEEKDAY(U304,2),"월","화","수","목","금","토","일")</f>
        <v>화</v>
      </c>
      <c r="W304" s="24" t="str">
        <f aca="false">IFERROR(IF(INDEX($C$2:$C$799,MATCH(D304&amp;"#"&amp;(E304+1),$AC$2:$AC$799,0))=C304,"다음 편: ","시즌1 완결 · 시즌2 첫 편: ")&amp;INDEX($L$2:$L$799,MATCH(D304&amp;"#"&amp;(E304+1),$AC$2:$AC$799,0)),"구약 트랙 완결")</f>
        <v>다음 편: 성전에서 발견된 책</v>
      </c>
      <c r="X304" s="23" t="s">
        <v>130</v>
      </c>
      <c r="Y304" s="23" t="s">
        <v>130</v>
      </c>
      <c r="Z304" s="23" t="s">
        <v>130</v>
      </c>
      <c r="AA304" s="23" t="s">
        <v>130</v>
      </c>
      <c r="AB304" s="24"/>
      <c r="AC304" s="23" t="str">
        <f aca="false">D304&amp;"#"&amp;E304</f>
        <v>구약#128</v>
      </c>
      <c r="AD304" s="23" t="n">
        <f aca="false">COUNTIFS($C$2:C304,C304,$D$2:D304,D304)</f>
        <v>128</v>
      </c>
    </row>
    <row r="305" customFormat="false" ht="26.85" hidden="false" customHeight="false" outlineLevel="0" collapsed="false">
      <c r="A305" s="21" t="n">
        <v>304</v>
      </c>
      <c r="B305" s="18" t="s">
        <v>2797</v>
      </c>
      <c r="C305" s="23" t="n">
        <v>2</v>
      </c>
      <c r="D305" s="23" t="s">
        <v>116</v>
      </c>
      <c r="E305" s="23" t="n">
        <f aca="false">IF(C305=1,COUNTIFS($C$2:C305,1,$D$2:D305,D305),COUNTIFS($C$2:$C$799,1,$D$2:$D$799,D305)+COUNTIFS($C$2:C305,2,$D$2:D305,D305))</f>
        <v>358</v>
      </c>
      <c r="F305" s="23" t="str">
        <f aca="false">D305&amp;" #"&amp;TEXT(E305,"000")</f>
        <v>구약 #358</v>
      </c>
      <c r="G305" s="18" t="s">
        <v>2778</v>
      </c>
      <c r="H305" s="18" t="s">
        <v>2717</v>
      </c>
      <c r="I305" s="21" t="s">
        <v>2596</v>
      </c>
      <c r="J305" s="22" t="s">
        <v>2798</v>
      </c>
      <c r="K305" s="23" t="s">
        <v>121</v>
      </c>
      <c r="L305" s="24" t="s">
        <v>2799</v>
      </c>
      <c r="M305" s="24" t="s">
        <v>2800</v>
      </c>
      <c r="N305" s="23" t="s">
        <v>2801</v>
      </c>
      <c r="O305" s="24" t="s">
        <v>2802</v>
      </c>
      <c r="P305" s="24" t="s">
        <v>2803</v>
      </c>
      <c r="Q305" s="24" t="s">
        <v>2804</v>
      </c>
      <c r="R305" s="24"/>
      <c r="S305" s="24" t="s">
        <v>2805</v>
      </c>
      <c r="T305" s="24" t="str">
        <f aca="false">"["&amp;안내!$C$5&amp;" "&amp;F305&amp;"] "&amp;L305&amp;" | "&amp;J305</f>
        <v>[1분 성경 구약 #358] 생명 15년 연장 | 왕하 20:1-21</v>
      </c>
      <c r="U305" s="26" t="n">
        <f aca="false">IF(D305="구약",IF(C305=1,안내!$C$9,안내!$C$10)+AD305-1,IF(C305=1,안내!$C$9,안내!$C$10)+7*INT((AD305-1)/4)+CHOOSE(MOD(AD305-1,4)+1,0,2,4,5))</f>
        <v>46755</v>
      </c>
      <c r="V305" s="23" t="str">
        <f aca="false">CHOOSE(WEEKDAY(U305,2),"월","화","수","목","금","토","일")</f>
        <v>월</v>
      </c>
      <c r="W305" s="24" t="str">
        <f aca="false">IFERROR(IF(INDEX($C$2:$C$799,MATCH(D305&amp;"#"&amp;(E305+1),$AC$2:$AC$799,0))=C305,"다음 편: ","시즌1 완결 · 시즌2 첫 편: ")&amp;INDEX($L$2:$L$799,MATCH(D305&amp;"#"&amp;(E305+1),$AC$2:$AC$799,0)),"구약 트랙 완결")</f>
        <v>다음 편: 가장 악한 왕 므낫세</v>
      </c>
      <c r="X305" s="23" t="s">
        <v>130</v>
      </c>
      <c r="Y305" s="23" t="s">
        <v>130</v>
      </c>
      <c r="Z305" s="23" t="s">
        <v>130</v>
      </c>
      <c r="AA305" s="23" t="s">
        <v>130</v>
      </c>
      <c r="AB305" s="24"/>
      <c r="AC305" s="23" t="str">
        <f aca="false">D305&amp;"#"&amp;E305</f>
        <v>구약#358</v>
      </c>
      <c r="AD305" s="23" t="n">
        <f aca="false">COUNTIFS($C$2:C305,C305,$D$2:D305,D305)</f>
        <v>176</v>
      </c>
    </row>
    <row r="306" customFormat="false" ht="26.85" hidden="false" customHeight="false" outlineLevel="0" collapsed="false">
      <c r="A306" s="21" t="n">
        <v>305</v>
      </c>
      <c r="B306" s="18" t="s">
        <v>2806</v>
      </c>
      <c r="C306" s="23" t="n">
        <v>2</v>
      </c>
      <c r="D306" s="23" t="s">
        <v>116</v>
      </c>
      <c r="E306" s="23" t="n">
        <f aca="false">IF(C306=1,COUNTIFS($C$2:C306,1,$D$2:D306,D306),COUNTIFS($C$2:$C$799,1,$D$2:$D$799,D306)+COUNTIFS($C$2:C306,2,$D$2:D306,D306))</f>
        <v>359</v>
      </c>
      <c r="F306" s="23" t="str">
        <f aca="false">D306&amp;" #"&amp;TEXT(E306,"000")</f>
        <v>구약 #359</v>
      </c>
      <c r="G306" s="18" t="s">
        <v>2778</v>
      </c>
      <c r="H306" s="18" t="s">
        <v>2717</v>
      </c>
      <c r="I306" s="21" t="s">
        <v>2596</v>
      </c>
      <c r="J306" s="22" t="s">
        <v>2807</v>
      </c>
      <c r="K306" s="23" t="s">
        <v>121</v>
      </c>
      <c r="L306" s="24" t="s">
        <v>2808</v>
      </c>
      <c r="M306" s="29" t="s">
        <v>2809</v>
      </c>
      <c r="N306" s="23" t="s">
        <v>2810</v>
      </c>
      <c r="O306" s="24" t="s">
        <v>2811</v>
      </c>
      <c r="P306" s="24" t="s">
        <v>2812</v>
      </c>
      <c r="Q306" s="24" t="s">
        <v>2330</v>
      </c>
      <c r="R306" s="27" t="s">
        <v>2813</v>
      </c>
      <c r="S306" s="24" t="s">
        <v>2805</v>
      </c>
      <c r="T306" s="24" t="str">
        <f aca="false">"["&amp;안내!$C$5&amp;" "&amp;F306&amp;"] "&amp;L306&amp;" | "&amp;J306</f>
        <v>[1분 성경 구약 #359] 가장 악한 왕 므낫세 | 왕하 21:1-26</v>
      </c>
      <c r="U306" s="26" t="n">
        <f aca="false">IF(D306="구약",IF(C306=1,안내!$C$9,안내!$C$10)+AD306-1,IF(C306=1,안내!$C$9,안내!$C$10)+7*INT((AD306-1)/4)+CHOOSE(MOD(AD306-1,4)+1,0,2,4,5))</f>
        <v>46756</v>
      </c>
      <c r="V306" s="23" t="str">
        <f aca="false">CHOOSE(WEEKDAY(U306,2),"월","화","수","목","금","토","일")</f>
        <v>화</v>
      </c>
      <c r="W306" s="24" t="str">
        <f aca="false">IFERROR(IF(INDEX($C$2:$C$799,MATCH(D306&amp;"#"&amp;(E306+1),$AC$2:$AC$799,0))=C306,"다음 편: ","시즌1 완결 · 시즌2 첫 편: ")&amp;INDEX($L$2:$L$799,MATCH(D306&amp;"#"&amp;(E306+1),$AC$2:$AC$799,0)),"구약 트랙 완결")</f>
        <v>다음 편: 요시야의 개혁</v>
      </c>
      <c r="X306" s="23" t="s">
        <v>130</v>
      </c>
      <c r="Y306" s="23" t="s">
        <v>130</v>
      </c>
      <c r="Z306" s="23" t="s">
        <v>130</v>
      </c>
      <c r="AA306" s="23" t="s">
        <v>130</v>
      </c>
      <c r="AB306" s="24"/>
      <c r="AC306" s="23" t="str">
        <f aca="false">D306&amp;"#"&amp;E306</f>
        <v>구약#359</v>
      </c>
      <c r="AD306" s="23" t="n">
        <f aca="false">COUNTIFS($C$2:C306,C306,$D$2:D306,D306)</f>
        <v>177</v>
      </c>
    </row>
    <row r="307" customFormat="false" ht="39.55" hidden="false" customHeight="false" outlineLevel="0" collapsed="false">
      <c r="A307" s="21" t="n">
        <v>306</v>
      </c>
      <c r="B307" s="18" t="s">
        <v>2814</v>
      </c>
      <c r="C307" s="20" t="n">
        <v>1</v>
      </c>
      <c r="D307" s="20" t="s">
        <v>116</v>
      </c>
      <c r="E307" s="20" t="n">
        <f aca="false">IF(C307=1,COUNTIFS($C$2:C307,1,$D$2:D307,D307),COUNTIFS($C$2:$C$799,1,$D$2:$D$799,D307)+COUNTIFS($C$2:C307,2,$D$2:D307,D307))</f>
        <v>129</v>
      </c>
      <c r="F307" s="20" t="str">
        <f aca="false">D307&amp;" #"&amp;TEXT(E307,"000")</f>
        <v>구약 #129</v>
      </c>
      <c r="G307" s="18" t="s">
        <v>2778</v>
      </c>
      <c r="H307" s="18" t="s">
        <v>2644</v>
      </c>
      <c r="I307" s="21" t="s">
        <v>2596</v>
      </c>
      <c r="J307" s="22" t="s">
        <v>2815</v>
      </c>
      <c r="K307" s="23" t="s">
        <v>121</v>
      </c>
      <c r="L307" s="24" t="s">
        <v>2816</v>
      </c>
      <c r="M307" s="24" t="s">
        <v>2817</v>
      </c>
      <c r="N307" s="23" t="s">
        <v>2818</v>
      </c>
      <c r="O307" s="24" t="s">
        <v>2819</v>
      </c>
      <c r="P307" s="24" t="s">
        <v>2820</v>
      </c>
      <c r="Q307" s="24" t="s">
        <v>2749</v>
      </c>
      <c r="R307" s="24"/>
      <c r="S307" s="28" t="s">
        <v>2821</v>
      </c>
      <c r="T307" s="24" t="str">
        <f aca="false">"["&amp;안내!$C$5&amp;" "&amp;F307&amp;"] "&amp;L307&amp;" | "&amp;J307</f>
        <v>[1분 성경 구약 #129] 성전에서 발견된 책 | 왕하 22:1-20</v>
      </c>
      <c r="U307" s="26" t="n">
        <f aca="false">IF(D307="구약",IF(C307=1,안내!$C$9,안내!$C$10)+AD307-1,IF(C307=1,안내!$C$9,안내!$C$10)+7*INT((AD307-1)/4)+CHOOSE(MOD(AD307-1,4)+1,0,2,4,5))</f>
        <v>46519</v>
      </c>
      <c r="V307" s="23" t="str">
        <f aca="false">CHOOSE(WEEKDAY(U307,2),"월","화","수","목","금","토","일")</f>
        <v>수</v>
      </c>
      <c r="W307" s="24" t="str">
        <f aca="false">IFERROR(IF(INDEX($C$2:$C$799,MATCH(D307&amp;"#"&amp;(E307+1),$AC$2:$AC$799,0))=C307,"다음 편: ","시즌1 완결 · 시즌2 첫 편: ")&amp;INDEX($L$2:$L$799,MATCH(D307&amp;"#"&amp;(E307+1),$AC$2:$AC$799,0)),"구약 트랙 완결")</f>
        <v>다음 편: 예루살렘 함락과 작은 소망</v>
      </c>
      <c r="X307" s="23" t="s">
        <v>130</v>
      </c>
      <c r="Y307" s="23" t="s">
        <v>130</v>
      </c>
      <c r="Z307" s="23" t="s">
        <v>130</v>
      </c>
      <c r="AA307" s="23" t="s">
        <v>130</v>
      </c>
      <c r="AB307" s="24"/>
      <c r="AC307" s="23" t="str">
        <f aca="false">D307&amp;"#"&amp;E307</f>
        <v>구약#129</v>
      </c>
      <c r="AD307" s="23" t="n">
        <f aca="false">COUNTIFS($C$2:C307,C307,$D$2:D307,D307)</f>
        <v>129</v>
      </c>
    </row>
    <row r="308" customFormat="false" ht="26.85" hidden="false" customHeight="false" outlineLevel="0" collapsed="false">
      <c r="A308" s="21" t="n">
        <v>307</v>
      </c>
      <c r="B308" s="18" t="s">
        <v>2822</v>
      </c>
      <c r="C308" s="23" t="n">
        <v>2</v>
      </c>
      <c r="D308" s="23" t="s">
        <v>116</v>
      </c>
      <c r="E308" s="23" t="n">
        <f aca="false">IF(C308=1,COUNTIFS($C$2:C308,1,$D$2:D308,D308),COUNTIFS($C$2:$C$799,1,$D$2:$D$799,D308)+COUNTIFS($C$2:C308,2,$D$2:D308,D308))</f>
        <v>360</v>
      </c>
      <c r="F308" s="23" t="str">
        <f aca="false">D308&amp;" #"&amp;TEXT(E308,"000")</f>
        <v>구약 #360</v>
      </c>
      <c r="G308" s="18" t="s">
        <v>2778</v>
      </c>
      <c r="H308" s="18" t="s">
        <v>2717</v>
      </c>
      <c r="I308" s="21" t="s">
        <v>2596</v>
      </c>
      <c r="J308" s="22" t="s">
        <v>2823</v>
      </c>
      <c r="K308" s="23" t="s">
        <v>121</v>
      </c>
      <c r="L308" s="24" t="s">
        <v>2824</v>
      </c>
      <c r="M308" s="24" t="s">
        <v>2825</v>
      </c>
      <c r="N308" s="23" t="s">
        <v>2826</v>
      </c>
      <c r="O308" s="24" t="s">
        <v>2827</v>
      </c>
      <c r="P308" s="24" t="s">
        <v>2828</v>
      </c>
      <c r="Q308" s="24" t="s">
        <v>2829</v>
      </c>
      <c r="R308" s="24"/>
      <c r="S308" s="24" t="s">
        <v>2830</v>
      </c>
      <c r="T308" s="24" t="str">
        <f aca="false">"["&amp;안내!$C$5&amp;" "&amp;F308&amp;"] "&amp;L308&amp;" | "&amp;J308</f>
        <v>[1분 성경 구약 #360] 요시야의 개혁 | 왕하 23:1-30</v>
      </c>
      <c r="U308" s="26" t="n">
        <f aca="false">IF(D308="구약",IF(C308=1,안내!$C$9,안내!$C$10)+AD308-1,IF(C308=1,안내!$C$9,안내!$C$10)+7*INT((AD308-1)/4)+CHOOSE(MOD(AD308-1,4)+1,0,2,4,5))</f>
        <v>46757</v>
      </c>
      <c r="V308" s="23" t="str">
        <f aca="false">CHOOSE(WEEKDAY(U308,2),"월","화","수","목","금","토","일")</f>
        <v>수</v>
      </c>
      <c r="W308" s="24" t="str">
        <f aca="false">IFERROR(IF(INDEX($C$2:$C$799,MATCH(D308&amp;"#"&amp;(E308+1),$AC$2:$AC$799,0))=C308,"다음 편: ","시즌1 완결 · 시즌2 첫 편: ")&amp;INDEX($L$2:$L$799,MATCH(D308&amp;"#"&amp;(E308+1),$AC$2:$AC$799,0)),"구약 트랙 완결")</f>
        <v>다음 편: 무너지는 유다</v>
      </c>
      <c r="X308" s="23" t="s">
        <v>130</v>
      </c>
      <c r="Y308" s="23" t="s">
        <v>130</v>
      </c>
      <c r="Z308" s="23" t="s">
        <v>130</v>
      </c>
      <c r="AA308" s="23" t="s">
        <v>130</v>
      </c>
      <c r="AB308" s="24"/>
      <c r="AC308" s="23" t="str">
        <f aca="false">D308&amp;"#"&amp;E308</f>
        <v>구약#360</v>
      </c>
      <c r="AD308" s="23" t="n">
        <f aca="false">COUNTIFS($C$2:C308,C308,$D$2:D308,D308)</f>
        <v>178</v>
      </c>
    </row>
    <row r="309" customFormat="false" ht="26.85" hidden="false" customHeight="false" outlineLevel="0" collapsed="false">
      <c r="A309" s="21" t="n">
        <v>308</v>
      </c>
      <c r="B309" s="18" t="s">
        <v>2831</v>
      </c>
      <c r="C309" s="23" t="n">
        <v>2</v>
      </c>
      <c r="D309" s="23" t="s">
        <v>116</v>
      </c>
      <c r="E309" s="23" t="n">
        <f aca="false">IF(C309=1,COUNTIFS($C$2:C309,1,$D$2:D309,D309),COUNTIFS($C$2:$C$799,1,$D$2:$D$799,D309)+COUNTIFS($C$2:C309,2,$D$2:D309,D309))</f>
        <v>361</v>
      </c>
      <c r="F309" s="23" t="str">
        <f aca="false">D309&amp;" #"&amp;TEXT(E309,"000")</f>
        <v>구약 #361</v>
      </c>
      <c r="G309" s="18" t="s">
        <v>2778</v>
      </c>
      <c r="H309" s="18" t="s">
        <v>2717</v>
      </c>
      <c r="I309" s="21" t="s">
        <v>2596</v>
      </c>
      <c r="J309" s="22" t="s">
        <v>2832</v>
      </c>
      <c r="K309" s="23" t="s">
        <v>121</v>
      </c>
      <c r="L309" s="24" t="s">
        <v>2833</v>
      </c>
      <c r="M309" s="24" t="s">
        <v>2834</v>
      </c>
      <c r="N309" s="23" t="s">
        <v>2835</v>
      </c>
      <c r="O309" s="24" t="s">
        <v>2836</v>
      </c>
      <c r="P309" s="24" t="s">
        <v>2837</v>
      </c>
      <c r="Q309" s="24" t="s">
        <v>2838</v>
      </c>
      <c r="R309" s="24"/>
      <c r="S309" s="24" t="s">
        <v>2830</v>
      </c>
      <c r="T309" s="24" t="str">
        <f aca="false">"["&amp;안내!$C$5&amp;" "&amp;F309&amp;"] "&amp;L309&amp;" | "&amp;J309</f>
        <v>[1분 성경 구약 #361] 무너지는 유다 | 왕하 23:31-24:20</v>
      </c>
      <c r="U309" s="26" t="n">
        <f aca="false">IF(D309="구약",IF(C309=1,안내!$C$9,안내!$C$10)+AD309-1,IF(C309=1,안내!$C$9,안내!$C$10)+7*INT((AD309-1)/4)+CHOOSE(MOD(AD309-1,4)+1,0,2,4,5))</f>
        <v>46758</v>
      </c>
      <c r="V309" s="23" t="str">
        <f aca="false">CHOOSE(WEEKDAY(U309,2),"월","화","수","목","금","토","일")</f>
        <v>목</v>
      </c>
      <c r="W309" s="24" t="str">
        <f aca="false">IFERROR(IF(INDEX($C$2:$C$799,MATCH(D309&amp;"#"&amp;(E309+1),$AC$2:$AC$799,0))=C309,"다음 편: ","시즌1 완결 · 시즌2 첫 편: ")&amp;INDEX($L$2:$L$799,MATCH(D309&amp;"#"&amp;(E309+1),$AC$2:$AC$799,0)),"구약 트랙 완결")</f>
        <v>다음 편: 아담부터 시작하는 족보</v>
      </c>
      <c r="X309" s="23" t="s">
        <v>130</v>
      </c>
      <c r="Y309" s="23" t="s">
        <v>130</v>
      </c>
      <c r="Z309" s="23" t="s">
        <v>130</v>
      </c>
      <c r="AA309" s="23" t="s">
        <v>130</v>
      </c>
      <c r="AB309" s="24"/>
      <c r="AC309" s="23" t="str">
        <f aca="false">D309&amp;"#"&amp;E309</f>
        <v>구약#361</v>
      </c>
      <c r="AD309" s="23" t="n">
        <f aca="false">COUNTIFS($C$2:C309,C309,$D$2:D309,D309)</f>
        <v>179</v>
      </c>
    </row>
    <row r="310" customFormat="false" ht="39.55" hidden="false" customHeight="false" outlineLevel="0" collapsed="false">
      <c r="A310" s="21" t="n">
        <v>309</v>
      </c>
      <c r="B310" s="18" t="s">
        <v>2839</v>
      </c>
      <c r="C310" s="20" t="n">
        <v>1</v>
      </c>
      <c r="D310" s="20" t="s">
        <v>116</v>
      </c>
      <c r="E310" s="20" t="n">
        <f aca="false">IF(C310=1,COUNTIFS($C$2:C310,1,$D$2:D310,D310),COUNTIFS($C$2:$C$799,1,$D$2:$D$799,D310)+COUNTIFS($C$2:C310,2,$D$2:D310,D310))</f>
        <v>130</v>
      </c>
      <c r="F310" s="20" t="str">
        <f aca="false">D310&amp;" #"&amp;TEXT(E310,"000")</f>
        <v>구약 #130</v>
      </c>
      <c r="G310" s="18" t="s">
        <v>2778</v>
      </c>
      <c r="H310" s="18" t="s">
        <v>2644</v>
      </c>
      <c r="I310" s="21" t="s">
        <v>2596</v>
      </c>
      <c r="J310" s="22" t="s">
        <v>2840</v>
      </c>
      <c r="K310" s="23" t="s">
        <v>121</v>
      </c>
      <c r="L310" s="24" t="s">
        <v>2841</v>
      </c>
      <c r="M310" s="24" t="s">
        <v>2842</v>
      </c>
      <c r="N310" s="23" t="s">
        <v>2843</v>
      </c>
      <c r="O310" s="24" t="s">
        <v>2844</v>
      </c>
      <c r="P310" s="24" t="s">
        <v>2845</v>
      </c>
      <c r="Q310" s="24" t="s">
        <v>2846</v>
      </c>
      <c r="R310" s="25" t="s">
        <v>2847</v>
      </c>
      <c r="S310" s="28" t="s">
        <v>2848</v>
      </c>
      <c r="T310" s="24" t="str">
        <f aca="false">"["&amp;안내!$C$5&amp;" "&amp;F310&amp;"] "&amp;L310&amp;" | "&amp;J310</f>
        <v>[1분 성경 구약 #130] 예루살렘 함락과 작은 소망 | 왕하 25:1-30</v>
      </c>
      <c r="U310" s="26" t="n">
        <f aca="false">IF(D310="구약",IF(C310=1,안내!$C$9,안내!$C$10)+AD310-1,IF(C310=1,안내!$C$9,안내!$C$10)+7*INT((AD310-1)/4)+CHOOSE(MOD(AD310-1,4)+1,0,2,4,5))</f>
        <v>46520</v>
      </c>
      <c r="V310" s="23" t="str">
        <f aca="false">CHOOSE(WEEKDAY(U310,2),"월","화","수","목","금","토","일")</f>
        <v>목</v>
      </c>
      <c r="W310" s="24" t="str">
        <f aca="false">IFERROR(IF(INDEX($C$2:$C$799,MATCH(D310&amp;"#"&amp;(E310+1),$AC$2:$AC$799,0))=C310,"다음 편: ","시즌1 완결 · 시즌2 첫 편: ")&amp;INDEX($L$2:$L$799,MATCH(D310&amp;"#"&amp;(E310+1),$AC$2:$AC$799,0)),"구약 트랙 완결")</f>
        <v>다음 편: 찬양대가 앞장선 전쟁</v>
      </c>
      <c r="X310" s="23" t="s">
        <v>130</v>
      </c>
      <c r="Y310" s="23" t="s">
        <v>130</v>
      </c>
      <c r="Z310" s="23" t="s">
        <v>130</v>
      </c>
      <c r="AA310" s="23" t="s">
        <v>130</v>
      </c>
      <c r="AB310" s="24"/>
      <c r="AC310" s="23" t="str">
        <f aca="false">D310&amp;"#"&amp;E310</f>
        <v>구약#130</v>
      </c>
      <c r="AD310" s="23" t="n">
        <f aca="false">COUNTIFS($C$2:C310,C310,$D$2:D310,D310)</f>
        <v>130</v>
      </c>
    </row>
    <row r="311" customFormat="false" ht="26.85" hidden="false" customHeight="false" outlineLevel="0" collapsed="false">
      <c r="A311" s="21" t="n">
        <v>310</v>
      </c>
      <c r="B311" s="18" t="s">
        <v>2849</v>
      </c>
      <c r="C311" s="23" t="n">
        <v>2</v>
      </c>
      <c r="D311" s="23" t="s">
        <v>116</v>
      </c>
      <c r="E311" s="23" t="n">
        <f aca="false">IF(C311=1,COUNTIFS($C$2:C311,1,$D$2:D311,D311),COUNTIFS($C$2:$C$799,1,$D$2:$D$799,D311)+COUNTIFS($C$2:C311,2,$D$2:D311,D311))</f>
        <v>362</v>
      </c>
      <c r="F311" s="23" t="str">
        <f aca="false">D311&amp;" #"&amp;TEXT(E311,"000")</f>
        <v>구약 #362</v>
      </c>
      <c r="G311" s="18" t="s">
        <v>2850</v>
      </c>
      <c r="H311" s="18" t="s">
        <v>2851</v>
      </c>
      <c r="I311" s="21" t="s">
        <v>2852</v>
      </c>
      <c r="J311" s="22" t="s">
        <v>2853</v>
      </c>
      <c r="K311" s="23" t="s">
        <v>1085</v>
      </c>
      <c r="L311" s="24" t="s">
        <v>2854</v>
      </c>
      <c r="M311" s="24" t="s">
        <v>2855</v>
      </c>
      <c r="N311" s="23" t="s">
        <v>2856</v>
      </c>
      <c r="O311" s="24" t="s">
        <v>2857</v>
      </c>
      <c r="P311" s="24" t="s">
        <v>2858</v>
      </c>
      <c r="Q311" s="24" t="s">
        <v>243</v>
      </c>
      <c r="R311" s="24"/>
      <c r="S311" s="24" t="s">
        <v>2859</v>
      </c>
      <c r="T311" s="24" t="str">
        <f aca="false">"["&amp;안내!$C$5&amp;" "&amp;F311&amp;"] "&amp;L311&amp;" | "&amp;J311</f>
        <v>[1분 성경 구약 #362] 아담부터 시작하는 족보 | 대상 1:1-9:44</v>
      </c>
      <c r="U311" s="26" t="n">
        <f aca="false">IF(D311="구약",IF(C311=1,안내!$C$9,안내!$C$10)+AD311-1,IF(C311=1,안내!$C$9,안내!$C$10)+7*INT((AD311-1)/4)+CHOOSE(MOD(AD311-1,4)+1,0,2,4,5))</f>
        <v>46759</v>
      </c>
      <c r="V311" s="23" t="str">
        <f aca="false">CHOOSE(WEEKDAY(U311,2),"월","화","수","목","금","토","일")</f>
        <v>금</v>
      </c>
      <c r="W311" s="24" t="str">
        <f aca="false">IFERROR(IF(INDEX($C$2:$C$799,MATCH(D311&amp;"#"&amp;(E311+1),$AC$2:$AC$799,0))=C311,"다음 편: ","시즌1 완결 · 시즌2 첫 편: ")&amp;INDEX($L$2:$L$799,MATCH(D311&amp;"#"&amp;(E311+1),$AC$2:$AC$799,0)),"구약 트랙 완결")</f>
        <v>다음 편: 야베스의 기도</v>
      </c>
      <c r="X311" s="23" t="s">
        <v>130</v>
      </c>
      <c r="Y311" s="23" t="s">
        <v>130</v>
      </c>
      <c r="Z311" s="23" t="s">
        <v>130</v>
      </c>
      <c r="AA311" s="23" t="s">
        <v>130</v>
      </c>
      <c r="AB311" s="24"/>
      <c r="AC311" s="23" t="str">
        <f aca="false">D311&amp;"#"&amp;E311</f>
        <v>구약#362</v>
      </c>
      <c r="AD311" s="23" t="n">
        <f aca="false">COUNTIFS($C$2:C311,C311,$D$2:D311,D311)</f>
        <v>180</v>
      </c>
    </row>
    <row r="312" customFormat="false" ht="26.85" hidden="false" customHeight="false" outlineLevel="0" collapsed="false">
      <c r="A312" s="21" t="n">
        <v>311</v>
      </c>
      <c r="B312" s="18" t="s">
        <v>2860</v>
      </c>
      <c r="C312" s="23" t="n">
        <v>2</v>
      </c>
      <c r="D312" s="23" t="s">
        <v>116</v>
      </c>
      <c r="E312" s="23" t="n">
        <f aca="false">IF(C312=1,COUNTIFS($C$2:C312,1,$D$2:D312,D312),COUNTIFS($C$2:$C$799,1,$D$2:$D$799,D312)+COUNTIFS($C$2:C312,2,$D$2:D312,D312))</f>
        <v>363</v>
      </c>
      <c r="F312" s="23" t="str">
        <f aca="false">D312&amp;" #"&amp;TEXT(E312,"000")</f>
        <v>구약 #363</v>
      </c>
      <c r="G312" s="18" t="s">
        <v>2850</v>
      </c>
      <c r="H312" s="18" t="s">
        <v>2851</v>
      </c>
      <c r="I312" s="21" t="s">
        <v>2852</v>
      </c>
      <c r="J312" s="22" t="s">
        <v>2861</v>
      </c>
      <c r="K312" s="23" t="s">
        <v>1085</v>
      </c>
      <c r="L312" s="24" t="s">
        <v>2862</v>
      </c>
      <c r="M312" s="24" t="s">
        <v>2863</v>
      </c>
      <c r="N312" s="23" t="s">
        <v>2864</v>
      </c>
      <c r="O312" s="24" t="s">
        <v>2865</v>
      </c>
      <c r="P312" s="24" t="s">
        <v>2866</v>
      </c>
      <c r="Q312" s="24" t="s">
        <v>2867</v>
      </c>
      <c r="R312" s="25" t="s">
        <v>2868</v>
      </c>
      <c r="S312" s="24" t="s">
        <v>2859</v>
      </c>
      <c r="T312" s="24" t="str">
        <f aca="false">"["&amp;안내!$C$5&amp;" "&amp;F312&amp;"] "&amp;L312&amp;" | "&amp;J312</f>
        <v>[1분 성경 구약 #363] 야베스의 기도 | 대상 4:9-10</v>
      </c>
      <c r="U312" s="26" t="n">
        <f aca="false">IF(D312="구약",IF(C312=1,안내!$C$9,안내!$C$10)+AD312-1,IF(C312=1,안내!$C$9,안내!$C$10)+7*INT((AD312-1)/4)+CHOOSE(MOD(AD312-1,4)+1,0,2,4,5))</f>
        <v>46760</v>
      </c>
      <c r="V312" s="23" t="str">
        <f aca="false">CHOOSE(WEEKDAY(U312,2),"월","화","수","목","금","토","일")</f>
        <v>토</v>
      </c>
      <c r="W312" s="24" t="str">
        <f aca="false">IFERROR(IF(INDEX($C$2:$C$799,MATCH(D312&amp;"#"&amp;(E312+1),$AC$2:$AC$799,0))=C312,"다음 편: ","시즌1 완결 · 시즌2 첫 편: ")&amp;INDEX($L$2:$L$799,MATCH(D312&amp;"#"&amp;(E312+1),$AC$2:$AC$799,0)),"구약 트랙 완결")</f>
        <v>다음 편: 다윗에게 모인 용사들</v>
      </c>
      <c r="X312" s="23" t="s">
        <v>130</v>
      </c>
      <c r="Y312" s="23" t="s">
        <v>130</v>
      </c>
      <c r="Z312" s="23" t="s">
        <v>130</v>
      </c>
      <c r="AA312" s="23" t="s">
        <v>130</v>
      </c>
      <c r="AB312" s="24"/>
      <c r="AC312" s="23" t="str">
        <f aca="false">D312&amp;"#"&amp;E312</f>
        <v>구약#363</v>
      </c>
      <c r="AD312" s="23" t="n">
        <f aca="false">COUNTIFS($C$2:C312,C312,$D$2:D312,D312)</f>
        <v>181</v>
      </c>
    </row>
    <row r="313" customFormat="false" ht="26.85" hidden="false" customHeight="false" outlineLevel="0" collapsed="false">
      <c r="A313" s="21" t="n">
        <v>312</v>
      </c>
      <c r="B313" s="18" t="s">
        <v>2869</v>
      </c>
      <c r="C313" s="23" t="n">
        <v>2</v>
      </c>
      <c r="D313" s="23" t="s">
        <v>116</v>
      </c>
      <c r="E313" s="23" t="n">
        <f aca="false">IF(C313=1,COUNTIFS($C$2:C313,1,$D$2:D313,D313),COUNTIFS($C$2:$C$799,1,$D$2:$D$799,D313)+COUNTIFS($C$2:C313,2,$D$2:D313,D313))</f>
        <v>364</v>
      </c>
      <c r="F313" s="23" t="str">
        <f aca="false">D313&amp;" #"&amp;TEXT(E313,"000")</f>
        <v>구약 #364</v>
      </c>
      <c r="G313" s="18" t="s">
        <v>2850</v>
      </c>
      <c r="H313" s="18" t="s">
        <v>2851</v>
      </c>
      <c r="I313" s="21" t="s">
        <v>2852</v>
      </c>
      <c r="J313" s="22" t="s">
        <v>2870</v>
      </c>
      <c r="K313" s="23" t="s">
        <v>1085</v>
      </c>
      <c r="L313" s="24" t="s">
        <v>2871</v>
      </c>
      <c r="M313" s="24" t="s">
        <v>2872</v>
      </c>
      <c r="N313" s="23" t="s">
        <v>2873</v>
      </c>
      <c r="O313" s="24" t="s">
        <v>2874</v>
      </c>
      <c r="P313" s="24" t="s">
        <v>2875</v>
      </c>
      <c r="Q313" s="24" t="s">
        <v>2876</v>
      </c>
      <c r="R313" s="24"/>
      <c r="S313" s="24" t="s">
        <v>2859</v>
      </c>
      <c r="T313" s="24" t="str">
        <f aca="false">"["&amp;안내!$C$5&amp;" "&amp;F313&amp;"] "&amp;L313&amp;" | "&amp;J313</f>
        <v>[1분 성경 구약 #364] 다윗에게 모인 용사들 | 대상 10:1-12:40</v>
      </c>
      <c r="U313" s="26" t="n">
        <f aca="false">IF(D313="구약",IF(C313=1,안내!$C$9,안내!$C$10)+AD313-1,IF(C313=1,안내!$C$9,안내!$C$10)+7*INT((AD313-1)/4)+CHOOSE(MOD(AD313-1,4)+1,0,2,4,5))</f>
        <v>46761</v>
      </c>
      <c r="V313" s="23" t="str">
        <f aca="false">CHOOSE(WEEKDAY(U313,2),"월","화","수","목","금","토","일")</f>
        <v>일</v>
      </c>
      <c r="W313" s="24" t="str">
        <f aca="false">IFERROR(IF(INDEX($C$2:$C$799,MATCH(D313&amp;"#"&amp;(E313+1),$AC$2:$AC$799,0))=C313,"다음 편: ","시즌1 완결 · 시즌2 첫 편: ")&amp;INDEX($L$2:$L$799,MATCH(D313&amp;"#"&amp;(E313+1),$AC$2:$AC$799,0)),"구약 트랙 완결")</f>
        <v>다음 편: 언약궤를 맞이하다</v>
      </c>
      <c r="X313" s="23" t="s">
        <v>130</v>
      </c>
      <c r="Y313" s="23" t="s">
        <v>130</v>
      </c>
      <c r="Z313" s="23" t="s">
        <v>130</v>
      </c>
      <c r="AA313" s="23" t="s">
        <v>130</v>
      </c>
      <c r="AB313" s="24"/>
      <c r="AC313" s="23" t="str">
        <f aca="false">D313&amp;"#"&amp;E313</f>
        <v>구약#364</v>
      </c>
      <c r="AD313" s="23" t="n">
        <f aca="false">COUNTIFS($C$2:C313,C313,$D$2:D313,D313)</f>
        <v>182</v>
      </c>
    </row>
    <row r="314" customFormat="false" ht="26.85" hidden="false" customHeight="false" outlineLevel="0" collapsed="false">
      <c r="A314" s="21" t="n">
        <v>313</v>
      </c>
      <c r="B314" s="18" t="s">
        <v>2877</v>
      </c>
      <c r="C314" s="23" t="n">
        <v>2</v>
      </c>
      <c r="D314" s="23" t="s">
        <v>116</v>
      </c>
      <c r="E314" s="23" t="n">
        <f aca="false">IF(C314=1,COUNTIFS($C$2:C314,1,$D$2:D314,D314),COUNTIFS($C$2:$C$799,1,$D$2:$D$799,D314)+COUNTIFS($C$2:C314,2,$D$2:D314,D314))</f>
        <v>365</v>
      </c>
      <c r="F314" s="23" t="str">
        <f aca="false">D314&amp;" #"&amp;TEXT(E314,"000")</f>
        <v>구약 #365</v>
      </c>
      <c r="G314" s="18" t="s">
        <v>2850</v>
      </c>
      <c r="H314" s="18" t="s">
        <v>2851</v>
      </c>
      <c r="I314" s="21" t="s">
        <v>2852</v>
      </c>
      <c r="J314" s="22" t="s">
        <v>2878</v>
      </c>
      <c r="K314" s="23" t="s">
        <v>1085</v>
      </c>
      <c r="L314" s="24" t="s">
        <v>2879</v>
      </c>
      <c r="M314" s="24" t="s">
        <v>2880</v>
      </c>
      <c r="N314" s="23" t="s">
        <v>2881</v>
      </c>
      <c r="O314" s="24" t="s">
        <v>2882</v>
      </c>
      <c r="P314" s="24" t="s">
        <v>2883</v>
      </c>
      <c r="Q314" s="24" t="s">
        <v>2884</v>
      </c>
      <c r="R314" s="24"/>
      <c r="S314" s="24" t="s">
        <v>2859</v>
      </c>
      <c r="T314" s="24" t="str">
        <f aca="false">"["&amp;안내!$C$5&amp;" "&amp;F314&amp;"] "&amp;L314&amp;" | "&amp;J314</f>
        <v>[1분 성경 구약 #365] 언약궤를 맞이하다 | 대상 13:1-16:43</v>
      </c>
      <c r="U314" s="26" t="n">
        <f aca="false">IF(D314="구약",IF(C314=1,안내!$C$9,안내!$C$10)+AD314-1,IF(C314=1,안내!$C$9,안내!$C$10)+7*INT((AD314-1)/4)+CHOOSE(MOD(AD314-1,4)+1,0,2,4,5))</f>
        <v>46762</v>
      </c>
      <c r="V314" s="23" t="str">
        <f aca="false">CHOOSE(WEEKDAY(U314,2),"월","화","수","목","금","토","일")</f>
        <v>월</v>
      </c>
      <c r="W314" s="24" t="str">
        <f aca="false">IFERROR(IF(INDEX($C$2:$C$799,MATCH(D314&amp;"#"&amp;(E314+1),$AC$2:$AC$799,0))=C314,"다음 편: ","시즌1 완결 · 시즌2 첫 편: ")&amp;INDEX($L$2:$L$799,MATCH(D314&amp;"#"&amp;(E314+1),$AC$2:$AC$799,0)),"구약 트랙 완결")</f>
        <v>다음 편: 오르난의 타작마당</v>
      </c>
      <c r="X314" s="23" t="s">
        <v>130</v>
      </c>
      <c r="Y314" s="23" t="s">
        <v>130</v>
      </c>
      <c r="Z314" s="23" t="s">
        <v>130</v>
      </c>
      <c r="AA314" s="23" t="s">
        <v>130</v>
      </c>
      <c r="AB314" s="24"/>
      <c r="AC314" s="23" t="str">
        <f aca="false">D314&amp;"#"&amp;E314</f>
        <v>구약#365</v>
      </c>
      <c r="AD314" s="23" t="n">
        <f aca="false">COUNTIFS($C$2:C314,C314,$D$2:D314,D314)</f>
        <v>183</v>
      </c>
    </row>
    <row r="315" customFormat="false" ht="26.85" hidden="false" customHeight="false" outlineLevel="0" collapsed="false">
      <c r="A315" s="21" t="n">
        <v>314</v>
      </c>
      <c r="B315" s="18" t="s">
        <v>2885</v>
      </c>
      <c r="C315" s="23" t="n">
        <v>2</v>
      </c>
      <c r="D315" s="23" t="s">
        <v>116</v>
      </c>
      <c r="E315" s="23" t="n">
        <f aca="false">IF(C315=1,COUNTIFS($C$2:C315,1,$D$2:D315,D315),COUNTIFS($C$2:$C$799,1,$D$2:$D$799,D315)+COUNTIFS($C$2:C315,2,$D$2:D315,D315))</f>
        <v>366</v>
      </c>
      <c r="F315" s="23" t="str">
        <f aca="false">D315&amp;" #"&amp;TEXT(E315,"000")</f>
        <v>구약 #366</v>
      </c>
      <c r="G315" s="18" t="s">
        <v>2850</v>
      </c>
      <c r="H315" s="18" t="s">
        <v>2851</v>
      </c>
      <c r="I315" s="21" t="s">
        <v>2852</v>
      </c>
      <c r="J315" s="22" t="s">
        <v>2886</v>
      </c>
      <c r="K315" s="23" t="s">
        <v>1085</v>
      </c>
      <c r="L315" s="24" t="s">
        <v>2887</v>
      </c>
      <c r="M315" s="24" t="s">
        <v>2888</v>
      </c>
      <c r="N315" s="23" t="s">
        <v>2889</v>
      </c>
      <c r="O315" s="24" t="s">
        <v>2890</v>
      </c>
      <c r="P315" s="24" t="s">
        <v>2891</v>
      </c>
      <c r="Q315" s="24" t="s">
        <v>2892</v>
      </c>
      <c r="R315" s="25" t="s">
        <v>2393</v>
      </c>
      <c r="S315" s="24" t="s">
        <v>2859</v>
      </c>
      <c r="T315" s="24" t="str">
        <f aca="false">"["&amp;안내!$C$5&amp;" "&amp;F315&amp;"] "&amp;L315&amp;" | "&amp;J315</f>
        <v>[1분 성경 구약 #366] 오르난의 타작마당 | 대상 17:1-21:30</v>
      </c>
      <c r="U315" s="26" t="n">
        <f aca="false">IF(D315="구약",IF(C315=1,안내!$C$9,안내!$C$10)+AD315-1,IF(C315=1,안내!$C$9,안내!$C$10)+7*INT((AD315-1)/4)+CHOOSE(MOD(AD315-1,4)+1,0,2,4,5))</f>
        <v>46763</v>
      </c>
      <c r="V315" s="23" t="str">
        <f aca="false">CHOOSE(WEEKDAY(U315,2),"월","화","수","목","금","토","일")</f>
        <v>화</v>
      </c>
      <c r="W315" s="24" t="str">
        <f aca="false">IFERROR(IF(INDEX($C$2:$C$799,MATCH(D315&amp;"#"&amp;(E315+1),$AC$2:$AC$799,0))=C315,"다음 편: ","시즌1 완결 · 시즌2 첫 편: ")&amp;INDEX($L$2:$L$799,MATCH(D315&amp;"#"&amp;(E315+1),$AC$2:$AC$799,0)),"구약 트랙 완결")</f>
        <v>다음 편: 성전을 준비하는 다윗</v>
      </c>
      <c r="X315" s="23" t="s">
        <v>130</v>
      </c>
      <c r="Y315" s="23" t="s">
        <v>130</v>
      </c>
      <c r="Z315" s="23" t="s">
        <v>130</v>
      </c>
      <c r="AA315" s="23" t="s">
        <v>130</v>
      </c>
      <c r="AB315" s="24"/>
      <c r="AC315" s="23" t="str">
        <f aca="false">D315&amp;"#"&amp;E315</f>
        <v>구약#366</v>
      </c>
      <c r="AD315" s="23" t="n">
        <f aca="false">COUNTIFS($C$2:C315,C315,$D$2:D315,D315)</f>
        <v>184</v>
      </c>
    </row>
    <row r="316" customFormat="false" ht="26.85" hidden="false" customHeight="false" outlineLevel="0" collapsed="false">
      <c r="A316" s="21" t="n">
        <v>315</v>
      </c>
      <c r="B316" s="18" t="s">
        <v>2893</v>
      </c>
      <c r="C316" s="23" t="n">
        <v>2</v>
      </c>
      <c r="D316" s="23" t="s">
        <v>116</v>
      </c>
      <c r="E316" s="23" t="n">
        <f aca="false">IF(C316=1,COUNTIFS($C$2:C316,1,$D$2:D316,D316),COUNTIFS($C$2:$C$799,1,$D$2:$D$799,D316)+COUNTIFS($C$2:C316,2,$D$2:D316,D316))</f>
        <v>367</v>
      </c>
      <c r="F316" s="23" t="str">
        <f aca="false">D316&amp;" #"&amp;TEXT(E316,"000")</f>
        <v>구약 #367</v>
      </c>
      <c r="G316" s="18" t="s">
        <v>2850</v>
      </c>
      <c r="H316" s="18" t="s">
        <v>2851</v>
      </c>
      <c r="I316" s="21" t="s">
        <v>2852</v>
      </c>
      <c r="J316" s="22" t="s">
        <v>2894</v>
      </c>
      <c r="K316" s="23" t="s">
        <v>1085</v>
      </c>
      <c r="L316" s="24" t="s">
        <v>2895</v>
      </c>
      <c r="M316" s="24" t="s">
        <v>2896</v>
      </c>
      <c r="N316" s="23" t="s">
        <v>2897</v>
      </c>
      <c r="O316" s="24" t="s">
        <v>2898</v>
      </c>
      <c r="P316" s="24" t="s">
        <v>2899</v>
      </c>
      <c r="Q316" s="24" t="s">
        <v>2900</v>
      </c>
      <c r="R316" s="24"/>
      <c r="S316" s="24" t="s">
        <v>2859</v>
      </c>
      <c r="T316" s="24" t="str">
        <f aca="false">"["&amp;안내!$C$5&amp;" "&amp;F316&amp;"] "&amp;L316&amp;" | "&amp;J316</f>
        <v>[1분 성경 구약 #367] 성전을 준비하는 다윗 | 대상 22:1-27:34</v>
      </c>
      <c r="U316" s="26" t="n">
        <f aca="false">IF(D316="구약",IF(C316=1,안내!$C$9,안내!$C$10)+AD316-1,IF(C316=1,안내!$C$9,안내!$C$10)+7*INT((AD316-1)/4)+CHOOSE(MOD(AD316-1,4)+1,0,2,4,5))</f>
        <v>46764</v>
      </c>
      <c r="V316" s="23" t="str">
        <f aca="false">CHOOSE(WEEKDAY(U316,2),"월","화","수","목","금","토","일")</f>
        <v>수</v>
      </c>
      <c r="W316" s="24" t="str">
        <f aca="false">IFERROR(IF(INDEX($C$2:$C$799,MATCH(D316&amp;"#"&amp;(E316+1),$AC$2:$AC$799,0))=C316,"다음 편: ","시즌1 완결 · 시즌2 첫 편: ")&amp;INDEX($L$2:$L$799,MATCH(D316&amp;"#"&amp;(E316+1),$AC$2:$AC$799,0)),"구약 트랙 완결")</f>
        <v>다음 편: 나라와 권세가 주께 있사오니</v>
      </c>
      <c r="X316" s="23" t="s">
        <v>130</v>
      </c>
      <c r="Y316" s="23" t="s">
        <v>130</v>
      </c>
      <c r="Z316" s="23" t="s">
        <v>130</v>
      </c>
      <c r="AA316" s="23" t="s">
        <v>130</v>
      </c>
      <c r="AB316" s="24"/>
      <c r="AC316" s="23" t="str">
        <f aca="false">D316&amp;"#"&amp;E316</f>
        <v>구약#367</v>
      </c>
      <c r="AD316" s="23" t="n">
        <f aca="false">COUNTIFS($C$2:C316,C316,$D$2:D316,D316)</f>
        <v>185</v>
      </c>
    </row>
    <row r="317" customFormat="false" ht="26.85" hidden="false" customHeight="false" outlineLevel="0" collapsed="false">
      <c r="A317" s="21" t="n">
        <v>316</v>
      </c>
      <c r="B317" s="18" t="s">
        <v>2901</v>
      </c>
      <c r="C317" s="23" t="n">
        <v>2</v>
      </c>
      <c r="D317" s="23" t="s">
        <v>116</v>
      </c>
      <c r="E317" s="23" t="n">
        <f aca="false">IF(C317=1,COUNTIFS($C$2:C317,1,$D$2:D317,D317),COUNTIFS($C$2:$C$799,1,$D$2:$D$799,D317)+COUNTIFS($C$2:C317,2,$D$2:D317,D317))</f>
        <v>368</v>
      </c>
      <c r="F317" s="23" t="str">
        <f aca="false">D317&amp;" #"&amp;TEXT(E317,"000")</f>
        <v>구약 #368</v>
      </c>
      <c r="G317" s="18" t="s">
        <v>2850</v>
      </c>
      <c r="H317" s="18" t="s">
        <v>2851</v>
      </c>
      <c r="I317" s="21" t="s">
        <v>2852</v>
      </c>
      <c r="J317" s="22" t="s">
        <v>2902</v>
      </c>
      <c r="K317" s="23" t="s">
        <v>1085</v>
      </c>
      <c r="L317" s="24" t="s">
        <v>2903</v>
      </c>
      <c r="M317" s="24" t="s">
        <v>2904</v>
      </c>
      <c r="N317" s="23" t="s">
        <v>2905</v>
      </c>
      <c r="O317" s="24" t="s">
        <v>2906</v>
      </c>
      <c r="P317" s="24" t="s">
        <v>2907</v>
      </c>
      <c r="Q317" s="24" t="s">
        <v>2908</v>
      </c>
      <c r="R317" s="24"/>
      <c r="S317" s="24" t="s">
        <v>2859</v>
      </c>
      <c r="T317" s="24" t="str">
        <f aca="false">"["&amp;안내!$C$5&amp;" "&amp;F317&amp;"] "&amp;L317&amp;" | "&amp;J317</f>
        <v>[1분 성경 구약 #368] 나라와 권세가 주께 있사오니 | 대상 28:1-29:30</v>
      </c>
      <c r="U317" s="26" t="n">
        <f aca="false">IF(D317="구약",IF(C317=1,안내!$C$9,안내!$C$10)+AD317-1,IF(C317=1,안내!$C$9,안내!$C$10)+7*INT((AD317-1)/4)+CHOOSE(MOD(AD317-1,4)+1,0,2,4,5))</f>
        <v>46765</v>
      </c>
      <c r="V317" s="23" t="str">
        <f aca="false">CHOOSE(WEEKDAY(U317,2),"월","화","수","목","금","토","일")</f>
        <v>목</v>
      </c>
      <c r="W317" s="24" t="str">
        <f aca="false">IFERROR(IF(INDEX($C$2:$C$799,MATCH(D317&amp;"#"&amp;(E317+1),$AC$2:$AC$799,0))=C317,"다음 편: ","시즌1 완결 · 시즌2 첫 편: ")&amp;INDEX($L$2:$L$799,MATCH(D317&amp;"#"&amp;(E317+1),$AC$2:$AC$799,0)),"구약 트랙 완결")</f>
        <v>다음 편: 내 백성이 스스로 낮추고</v>
      </c>
      <c r="X317" s="23" t="s">
        <v>130</v>
      </c>
      <c r="Y317" s="23" t="s">
        <v>130</v>
      </c>
      <c r="Z317" s="23" t="s">
        <v>130</v>
      </c>
      <c r="AA317" s="23" t="s">
        <v>130</v>
      </c>
      <c r="AB317" s="24"/>
      <c r="AC317" s="23" t="str">
        <f aca="false">D317&amp;"#"&amp;E317</f>
        <v>구약#368</v>
      </c>
      <c r="AD317" s="23" t="n">
        <f aca="false">COUNTIFS($C$2:C317,C317,$D$2:D317,D317)</f>
        <v>186</v>
      </c>
    </row>
    <row r="318" customFormat="false" ht="26.85" hidden="false" customHeight="false" outlineLevel="0" collapsed="false">
      <c r="A318" s="21" t="n">
        <v>317</v>
      </c>
      <c r="B318" s="18" t="s">
        <v>2909</v>
      </c>
      <c r="C318" s="23" t="n">
        <v>2</v>
      </c>
      <c r="D318" s="23" t="s">
        <v>116</v>
      </c>
      <c r="E318" s="23" t="n">
        <f aca="false">IF(C318=1,COUNTIFS($C$2:C318,1,$D$2:D318,D318),COUNTIFS($C$2:$C$799,1,$D$2:$D$799,D318)+COUNTIFS($C$2:C318,2,$D$2:D318,D318))</f>
        <v>369</v>
      </c>
      <c r="F318" s="23" t="str">
        <f aca="false">D318&amp;" #"&amp;TEXT(E318,"000")</f>
        <v>구약 #369</v>
      </c>
      <c r="G318" s="18" t="s">
        <v>2910</v>
      </c>
      <c r="H318" s="18" t="s">
        <v>2911</v>
      </c>
      <c r="I318" s="21" t="s">
        <v>2912</v>
      </c>
      <c r="J318" s="22" t="s">
        <v>2913</v>
      </c>
      <c r="K318" s="23" t="s">
        <v>1085</v>
      </c>
      <c r="L318" s="24" t="s">
        <v>2914</v>
      </c>
      <c r="M318" s="24" t="s">
        <v>2915</v>
      </c>
      <c r="N318" s="23" t="s">
        <v>2916</v>
      </c>
      <c r="O318" s="24" t="s">
        <v>2917</v>
      </c>
      <c r="P318" s="24" t="s">
        <v>2419</v>
      </c>
      <c r="Q318" s="24" t="s">
        <v>2918</v>
      </c>
      <c r="R318" s="24"/>
      <c r="S318" s="24" t="s">
        <v>2859</v>
      </c>
      <c r="T318" s="24" t="str">
        <f aca="false">"["&amp;안내!$C$5&amp;" "&amp;F318&amp;"] "&amp;L318&amp;" | "&amp;J318</f>
        <v>[1분 성경 구약 #369] 내 백성이 스스로 낮추고 | 대하 1:1-9:31</v>
      </c>
      <c r="U318" s="26" t="n">
        <f aca="false">IF(D318="구약",IF(C318=1,안내!$C$9,안내!$C$10)+AD318-1,IF(C318=1,안내!$C$9,안내!$C$10)+7*INT((AD318-1)/4)+CHOOSE(MOD(AD318-1,4)+1,0,2,4,5))</f>
        <v>46766</v>
      </c>
      <c r="V318" s="23" t="str">
        <f aca="false">CHOOSE(WEEKDAY(U318,2),"월","화","수","목","금","토","일")</f>
        <v>금</v>
      </c>
      <c r="W318" s="24" t="str">
        <f aca="false">IFERROR(IF(INDEX($C$2:$C$799,MATCH(D318&amp;"#"&amp;(E318+1),$AC$2:$AC$799,0))=C318,"다음 편: ","시즌1 완결 · 시즌2 첫 편: ")&amp;INDEX($L$2:$L$799,MATCH(D318&amp;"#"&amp;(E318+1),$AC$2:$AC$799,0)),"구약 트랙 완결")</f>
        <v>다음 편: 온 땅을 두루 살피시는 하나님</v>
      </c>
      <c r="X318" s="23" t="s">
        <v>130</v>
      </c>
      <c r="Y318" s="23" t="s">
        <v>130</v>
      </c>
      <c r="Z318" s="23" t="s">
        <v>130</v>
      </c>
      <c r="AA318" s="23" t="s">
        <v>130</v>
      </c>
      <c r="AB318" s="24"/>
      <c r="AC318" s="23" t="str">
        <f aca="false">D318&amp;"#"&amp;E318</f>
        <v>구약#369</v>
      </c>
      <c r="AD318" s="23" t="n">
        <f aca="false">COUNTIFS($C$2:C318,C318,$D$2:D318,D318)</f>
        <v>187</v>
      </c>
    </row>
    <row r="319" customFormat="false" ht="26.85" hidden="false" customHeight="false" outlineLevel="0" collapsed="false">
      <c r="A319" s="21" t="n">
        <v>318</v>
      </c>
      <c r="B319" s="18" t="s">
        <v>2919</v>
      </c>
      <c r="C319" s="23" t="n">
        <v>2</v>
      </c>
      <c r="D319" s="23" t="s">
        <v>116</v>
      </c>
      <c r="E319" s="23" t="n">
        <f aca="false">IF(C319=1,COUNTIFS($C$2:C319,1,$D$2:D319,D319),COUNTIFS($C$2:$C$799,1,$D$2:$D$799,D319)+COUNTIFS($C$2:C319,2,$D$2:D319,D319))</f>
        <v>370</v>
      </c>
      <c r="F319" s="23" t="str">
        <f aca="false">D319&amp;" #"&amp;TEXT(E319,"000")</f>
        <v>구약 #370</v>
      </c>
      <c r="G319" s="18" t="s">
        <v>2910</v>
      </c>
      <c r="H319" s="18" t="s">
        <v>2911</v>
      </c>
      <c r="I319" s="21" t="s">
        <v>2912</v>
      </c>
      <c r="J319" s="22" t="s">
        <v>2920</v>
      </c>
      <c r="K319" s="23" t="s">
        <v>1085</v>
      </c>
      <c r="L319" s="24" t="s">
        <v>2921</v>
      </c>
      <c r="M319" s="24" t="s">
        <v>2922</v>
      </c>
      <c r="N319" s="23" t="s">
        <v>2923</v>
      </c>
      <c r="O319" s="24" t="s">
        <v>2924</v>
      </c>
      <c r="P319" s="24" t="s">
        <v>2925</v>
      </c>
      <c r="Q319" s="24" t="s">
        <v>2330</v>
      </c>
      <c r="R319" s="24"/>
      <c r="S319" s="24" t="s">
        <v>2859</v>
      </c>
      <c r="T319" s="24" t="str">
        <f aca="false">"["&amp;안내!$C$5&amp;" "&amp;F319&amp;"] "&amp;L319&amp;" | "&amp;J319</f>
        <v>[1분 성경 구약 #370] 온 땅을 두루 살피시는 하나님 | 대하 10:1-19:11</v>
      </c>
      <c r="U319" s="26" t="n">
        <f aca="false">IF(D319="구약",IF(C319=1,안내!$C$9,안내!$C$10)+AD319-1,IF(C319=1,안내!$C$9,안내!$C$10)+7*INT((AD319-1)/4)+CHOOSE(MOD(AD319-1,4)+1,0,2,4,5))</f>
        <v>46767</v>
      </c>
      <c r="V319" s="23" t="str">
        <f aca="false">CHOOSE(WEEKDAY(U319,2),"월","화","수","목","금","토","일")</f>
        <v>토</v>
      </c>
      <c r="W319" s="24" t="str">
        <f aca="false">IFERROR(IF(INDEX($C$2:$C$799,MATCH(D319&amp;"#"&amp;(E319+1),$AC$2:$AC$799,0))=C319,"다음 편: ","시즌1 완결 · 시즌2 첫 편: ")&amp;INDEX($L$2:$L$799,MATCH(D319&amp;"#"&amp;(E319+1),$AC$2:$AC$799,0)),"구약 트랙 완결")</f>
        <v>다음 편: 교만해진 왕들</v>
      </c>
      <c r="X319" s="23" t="s">
        <v>130</v>
      </c>
      <c r="Y319" s="23" t="s">
        <v>130</v>
      </c>
      <c r="Z319" s="23" t="s">
        <v>130</v>
      </c>
      <c r="AA319" s="23" t="s">
        <v>130</v>
      </c>
      <c r="AB319" s="24"/>
      <c r="AC319" s="23" t="str">
        <f aca="false">D319&amp;"#"&amp;E319</f>
        <v>구약#370</v>
      </c>
      <c r="AD319" s="23" t="n">
        <f aca="false">COUNTIFS($C$2:C319,C319,$D$2:D319,D319)</f>
        <v>188</v>
      </c>
    </row>
    <row r="320" customFormat="false" ht="52.2" hidden="false" customHeight="false" outlineLevel="0" collapsed="false">
      <c r="A320" s="21" t="n">
        <v>319</v>
      </c>
      <c r="B320" s="18" t="s">
        <v>2926</v>
      </c>
      <c r="C320" s="20" t="n">
        <v>1</v>
      </c>
      <c r="D320" s="20" t="s">
        <v>116</v>
      </c>
      <c r="E320" s="20" t="n">
        <f aca="false">IF(C320=1,COUNTIFS($C$2:C320,1,$D$2:D320,D320),COUNTIFS($C$2:$C$799,1,$D$2:$D$799,D320)+COUNTIFS($C$2:C320,2,$D$2:D320,D320))</f>
        <v>131</v>
      </c>
      <c r="F320" s="20" t="str">
        <f aca="false">D320&amp;" #"&amp;TEXT(E320,"000")</f>
        <v>구약 #131</v>
      </c>
      <c r="G320" s="18" t="s">
        <v>2910</v>
      </c>
      <c r="H320" s="18" t="s">
        <v>2927</v>
      </c>
      <c r="I320" s="21" t="s">
        <v>2912</v>
      </c>
      <c r="J320" s="22" t="s">
        <v>2928</v>
      </c>
      <c r="K320" s="23" t="s">
        <v>1085</v>
      </c>
      <c r="L320" s="24" t="s">
        <v>2929</v>
      </c>
      <c r="M320" s="24" t="s">
        <v>2930</v>
      </c>
      <c r="N320" s="23" t="s">
        <v>2931</v>
      </c>
      <c r="O320" s="24" t="s">
        <v>2932</v>
      </c>
      <c r="P320" s="24" t="s">
        <v>2933</v>
      </c>
      <c r="Q320" s="24" t="s">
        <v>2934</v>
      </c>
      <c r="R320" s="24"/>
      <c r="S320" s="28" t="s">
        <v>2935</v>
      </c>
      <c r="T320" s="24" t="str">
        <f aca="false">"["&amp;안내!$C$5&amp;" "&amp;F320&amp;"] "&amp;L320&amp;" | "&amp;J320</f>
        <v>[1분 성경 구약 #131] 찬양대가 앞장선 전쟁 | 대하 20:1-30</v>
      </c>
      <c r="U320" s="26" t="n">
        <f aca="false">IF(D320="구약",IF(C320=1,안내!$C$9,안내!$C$10)+AD320-1,IF(C320=1,안내!$C$9,안내!$C$10)+7*INT((AD320-1)/4)+CHOOSE(MOD(AD320-1,4)+1,0,2,4,5))</f>
        <v>46521</v>
      </c>
      <c r="V320" s="23" t="str">
        <f aca="false">CHOOSE(WEEKDAY(U320,2),"월","화","수","목","금","토","일")</f>
        <v>금</v>
      </c>
      <c r="W320" s="24" t="str">
        <f aca="false">IFERROR(IF(INDEX($C$2:$C$799,MATCH(D320&amp;"#"&amp;(E320+1),$AC$2:$AC$799,0))=C320,"다음 편: ","시즌1 완결 · 시즌2 첫 편: ")&amp;INDEX($L$2:$L$799,MATCH(D320&amp;"#"&amp;(E320+1),$AC$2:$AC$799,0)),"구약 트랙 완결")</f>
        <v>다음 편: 가장 악한 왕의 회개</v>
      </c>
      <c r="X320" s="23" t="s">
        <v>130</v>
      </c>
      <c r="Y320" s="23" t="s">
        <v>130</v>
      </c>
      <c r="Z320" s="23" t="s">
        <v>130</v>
      </c>
      <c r="AA320" s="23" t="s">
        <v>130</v>
      </c>
      <c r="AB320" s="24"/>
      <c r="AC320" s="23" t="str">
        <f aca="false">D320&amp;"#"&amp;E320</f>
        <v>구약#131</v>
      </c>
      <c r="AD320" s="23" t="n">
        <f aca="false">COUNTIFS($C$2:C320,C320,$D$2:D320,D320)</f>
        <v>131</v>
      </c>
    </row>
    <row r="321" customFormat="false" ht="26.85" hidden="false" customHeight="false" outlineLevel="0" collapsed="false">
      <c r="A321" s="21" t="n">
        <v>320</v>
      </c>
      <c r="B321" s="18" t="s">
        <v>2936</v>
      </c>
      <c r="C321" s="23" t="n">
        <v>2</v>
      </c>
      <c r="D321" s="23" t="s">
        <v>116</v>
      </c>
      <c r="E321" s="23" t="n">
        <f aca="false">IF(C321=1,COUNTIFS($C$2:C321,1,$D$2:D321,D321),COUNTIFS($C$2:$C$799,1,$D$2:$D$799,D321)+COUNTIFS($C$2:C321,2,$D$2:D321,D321))</f>
        <v>371</v>
      </c>
      <c r="F321" s="23" t="str">
        <f aca="false">D321&amp;" #"&amp;TEXT(E321,"000")</f>
        <v>구약 #371</v>
      </c>
      <c r="G321" s="18" t="s">
        <v>2910</v>
      </c>
      <c r="H321" s="18" t="s">
        <v>2911</v>
      </c>
      <c r="I321" s="21" t="s">
        <v>2912</v>
      </c>
      <c r="J321" s="22" t="s">
        <v>2937</v>
      </c>
      <c r="K321" s="23" t="s">
        <v>1085</v>
      </c>
      <c r="L321" s="24" t="s">
        <v>2938</v>
      </c>
      <c r="M321" s="24" t="s">
        <v>2939</v>
      </c>
      <c r="N321" s="23" t="s">
        <v>2940</v>
      </c>
      <c r="O321" s="24" t="s">
        <v>2941</v>
      </c>
      <c r="P321" s="24" t="s">
        <v>2942</v>
      </c>
      <c r="Q321" s="24" t="s">
        <v>2943</v>
      </c>
      <c r="R321" s="24"/>
      <c r="S321" s="24" t="s">
        <v>2944</v>
      </c>
      <c r="T321" s="24" t="str">
        <f aca="false">"["&amp;안내!$C$5&amp;" "&amp;F321&amp;"] "&amp;L321&amp;" | "&amp;J321</f>
        <v>[1분 성경 구약 #371] 교만해진 왕들 | 대하 20:31-28:27</v>
      </c>
      <c r="U321" s="26" t="n">
        <f aca="false">IF(D321="구약",IF(C321=1,안내!$C$9,안내!$C$10)+AD321-1,IF(C321=1,안내!$C$9,안내!$C$10)+7*INT((AD321-1)/4)+CHOOSE(MOD(AD321-1,4)+1,0,2,4,5))</f>
        <v>46768</v>
      </c>
      <c r="V321" s="23" t="str">
        <f aca="false">CHOOSE(WEEKDAY(U321,2),"월","화","수","목","금","토","일")</f>
        <v>일</v>
      </c>
      <c r="W321" s="24" t="str">
        <f aca="false">IFERROR(IF(INDEX($C$2:$C$799,MATCH(D321&amp;"#"&amp;(E321+1),$AC$2:$AC$799,0))=C321,"다음 편: ","시즌1 완결 · 시즌2 첫 편: ")&amp;INDEX($L$2:$L$799,MATCH(D321&amp;"#"&amp;(E321+1),$AC$2:$AC$799,0)),"구약 트랙 완결")</f>
        <v>다음 편: 히스기야의 유월절</v>
      </c>
      <c r="X321" s="23" t="s">
        <v>130</v>
      </c>
      <c r="Y321" s="23" t="s">
        <v>130</v>
      </c>
      <c r="Z321" s="23" t="s">
        <v>130</v>
      </c>
      <c r="AA321" s="23" t="s">
        <v>130</v>
      </c>
      <c r="AB321" s="24"/>
      <c r="AC321" s="23" t="str">
        <f aca="false">D321&amp;"#"&amp;E321</f>
        <v>구약#371</v>
      </c>
      <c r="AD321" s="23" t="n">
        <f aca="false">COUNTIFS($C$2:C321,C321,$D$2:D321,D321)</f>
        <v>189</v>
      </c>
    </row>
    <row r="322" customFormat="false" ht="26.85" hidden="false" customHeight="false" outlineLevel="0" collapsed="false">
      <c r="A322" s="21" t="n">
        <v>321</v>
      </c>
      <c r="B322" s="18" t="s">
        <v>2945</v>
      </c>
      <c r="C322" s="23" t="n">
        <v>2</v>
      </c>
      <c r="D322" s="23" t="s">
        <v>116</v>
      </c>
      <c r="E322" s="23" t="n">
        <f aca="false">IF(C322=1,COUNTIFS($C$2:C322,1,$D$2:D322,D322),COUNTIFS($C$2:$C$799,1,$D$2:$D$799,D322)+COUNTIFS($C$2:C322,2,$D$2:D322,D322))</f>
        <v>372</v>
      </c>
      <c r="F322" s="23" t="str">
        <f aca="false">D322&amp;" #"&amp;TEXT(E322,"000")</f>
        <v>구약 #372</v>
      </c>
      <c r="G322" s="18" t="s">
        <v>2910</v>
      </c>
      <c r="H322" s="18" t="s">
        <v>2911</v>
      </c>
      <c r="I322" s="21" t="s">
        <v>2912</v>
      </c>
      <c r="J322" s="22" t="s">
        <v>2946</v>
      </c>
      <c r="K322" s="23" t="s">
        <v>1085</v>
      </c>
      <c r="L322" s="24" t="s">
        <v>2947</v>
      </c>
      <c r="M322" s="24" t="s">
        <v>2948</v>
      </c>
      <c r="N322" s="23" t="s">
        <v>2949</v>
      </c>
      <c r="O322" s="24" t="s">
        <v>2950</v>
      </c>
      <c r="P322" s="24" t="s">
        <v>2951</v>
      </c>
      <c r="Q322" s="24" t="s">
        <v>2952</v>
      </c>
      <c r="R322" s="24"/>
      <c r="S322" s="24" t="s">
        <v>2944</v>
      </c>
      <c r="T322" s="24" t="str">
        <f aca="false">"["&amp;안내!$C$5&amp;" "&amp;F322&amp;"] "&amp;L322&amp;" | "&amp;J322</f>
        <v>[1분 성경 구약 #372] 히스기야의 유월절 | 대하 29:1-32:33</v>
      </c>
      <c r="U322" s="26" t="n">
        <f aca="false">IF(D322="구약",IF(C322=1,안내!$C$9,안내!$C$10)+AD322-1,IF(C322=1,안내!$C$9,안내!$C$10)+7*INT((AD322-1)/4)+CHOOSE(MOD(AD322-1,4)+1,0,2,4,5))</f>
        <v>46769</v>
      </c>
      <c r="V322" s="23" t="str">
        <f aca="false">CHOOSE(WEEKDAY(U322,2),"월","화","수","목","금","토","일")</f>
        <v>월</v>
      </c>
      <c r="W322" s="24" t="str">
        <f aca="false">IFERROR(IF(INDEX($C$2:$C$799,MATCH(D322&amp;"#"&amp;(E322+1),$AC$2:$AC$799,0))=C322,"다음 편: ","시즌1 완결 · 시즌2 첫 편: ")&amp;INDEX($L$2:$L$799,MATCH(D322&amp;"#"&amp;(E322+1),$AC$2:$AC$799,0)),"구약 트랙 완결")</f>
        <v>다음 편: 어려서부터 하나님을 찾은 왕</v>
      </c>
      <c r="X322" s="23" t="s">
        <v>130</v>
      </c>
      <c r="Y322" s="23" t="s">
        <v>130</v>
      </c>
      <c r="Z322" s="23" t="s">
        <v>130</v>
      </c>
      <c r="AA322" s="23" t="s">
        <v>130</v>
      </c>
      <c r="AB322" s="24"/>
      <c r="AC322" s="23" t="str">
        <f aca="false">D322&amp;"#"&amp;E322</f>
        <v>구약#372</v>
      </c>
      <c r="AD322" s="23" t="n">
        <f aca="false">COUNTIFS($C$2:C322,C322,$D$2:D322,D322)</f>
        <v>190</v>
      </c>
    </row>
    <row r="323" customFormat="false" ht="39.55" hidden="false" customHeight="false" outlineLevel="0" collapsed="false">
      <c r="A323" s="21" t="n">
        <v>322</v>
      </c>
      <c r="B323" s="18" t="s">
        <v>2953</v>
      </c>
      <c r="C323" s="20" t="n">
        <v>1</v>
      </c>
      <c r="D323" s="20" t="s">
        <v>116</v>
      </c>
      <c r="E323" s="20" t="n">
        <f aca="false">IF(C323=1,COUNTIFS($C$2:C323,1,$D$2:D323,D323),COUNTIFS($C$2:$C$799,1,$D$2:$D$799,D323)+COUNTIFS($C$2:C323,2,$D$2:D323,D323))</f>
        <v>132</v>
      </c>
      <c r="F323" s="20" t="str">
        <f aca="false">D323&amp;" #"&amp;TEXT(E323,"000")</f>
        <v>구약 #132</v>
      </c>
      <c r="G323" s="18" t="s">
        <v>2910</v>
      </c>
      <c r="H323" s="18" t="s">
        <v>2927</v>
      </c>
      <c r="I323" s="21" t="s">
        <v>2912</v>
      </c>
      <c r="J323" s="22" t="s">
        <v>2954</v>
      </c>
      <c r="K323" s="23" t="s">
        <v>1085</v>
      </c>
      <c r="L323" s="24" t="s">
        <v>2955</v>
      </c>
      <c r="M323" s="24" t="s">
        <v>2956</v>
      </c>
      <c r="N323" s="23" t="s">
        <v>2957</v>
      </c>
      <c r="O323" s="24" t="s">
        <v>2958</v>
      </c>
      <c r="P323" s="24" t="s">
        <v>2959</v>
      </c>
      <c r="Q323" s="24" t="s">
        <v>2960</v>
      </c>
      <c r="R323" s="24"/>
      <c r="S323" s="28" t="s">
        <v>2961</v>
      </c>
      <c r="T323" s="24" t="str">
        <f aca="false">"["&amp;안내!$C$5&amp;" "&amp;F323&amp;"] "&amp;L323&amp;" | "&amp;J323</f>
        <v>[1분 성경 구약 #132] 가장 악한 왕의 회개 | 대하 33:1-20</v>
      </c>
      <c r="U323" s="26" t="n">
        <f aca="false">IF(D323="구약",IF(C323=1,안내!$C$9,안내!$C$10)+AD323-1,IF(C323=1,안내!$C$9,안내!$C$10)+7*INT((AD323-1)/4)+CHOOSE(MOD(AD323-1,4)+1,0,2,4,5))</f>
        <v>46522</v>
      </c>
      <c r="V323" s="23" t="str">
        <f aca="false">CHOOSE(WEEKDAY(U323,2),"월","화","수","목","금","토","일")</f>
        <v>토</v>
      </c>
      <c r="W323" s="24" t="str">
        <f aca="false">IFERROR(IF(INDEX($C$2:$C$799,MATCH(D323&amp;"#"&amp;(E323+1),$AC$2:$AC$799,0))=C323,"다음 편: ","시즌1 완결 · 시즌2 첫 편: ")&amp;INDEX($L$2:$L$799,MATCH(D323&amp;"#"&amp;(E323+1),$AC$2:$AC$799,0)),"구약 트랙 완결")</f>
        <v>다음 편: 고레스의 칙령</v>
      </c>
      <c r="X323" s="23" t="s">
        <v>130</v>
      </c>
      <c r="Y323" s="23" t="s">
        <v>130</v>
      </c>
      <c r="Z323" s="23" t="s">
        <v>130</v>
      </c>
      <c r="AA323" s="23" t="s">
        <v>130</v>
      </c>
      <c r="AB323" s="24"/>
      <c r="AC323" s="23" t="str">
        <f aca="false">D323&amp;"#"&amp;E323</f>
        <v>구약#132</v>
      </c>
      <c r="AD323" s="23" t="n">
        <f aca="false">COUNTIFS($C$2:C323,C323,$D$2:D323,D323)</f>
        <v>132</v>
      </c>
    </row>
    <row r="324" customFormat="false" ht="26.85" hidden="false" customHeight="false" outlineLevel="0" collapsed="false">
      <c r="A324" s="21" t="n">
        <v>323</v>
      </c>
      <c r="B324" s="18" t="s">
        <v>2962</v>
      </c>
      <c r="C324" s="23" t="n">
        <v>2</v>
      </c>
      <c r="D324" s="23" t="s">
        <v>116</v>
      </c>
      <c r="E324" s="23" t="n">
        <f aca="false">IF(C324=1,COUNTIFS($C$2:C324,1,$D$2:D324,D324),COUNTIFS($C$2:$C$799,1,$D$2:$D$799,D324)+COUNTIFS($C$2:C324,2,$D$2:D324,D324))</f>
        <v>373</v>
      </c>
      <c r="F324" s="23" t="str">
        <f aca="false">D324&amp;" #"&amp;TEXT(E324,"000")</f>
        <v>구약 #373</v>
      </c>
      <c r="G324" s="18" t="s">
        <v>2910</v>
      </c>
      <c r="H324" s="18" t="s">
        <v>2911</v>
      </c>
      <c r="I324" s="21" t="s">
        <v>2912</v>
      </c>
      <c r="J324" s="22" t="s">
        <v>2963</v>
      </c>
      <c r="K324" s="23" t="s">
        <v>1085</v>
      </c>
      <c r="L324" s="24" t="s">
        <v>2964</v>
      </c>
      <c r="M324" s="29" t="s">
        <v>2965</v>
      </c>
      <c r="N324" s="23" t="s">
        <v>2966</v>
      </c>
      <c r="O324" s="24" t="s">
        <v>2967</v>
      </c>
      <c r="P324" s="24" t="s">
        <v>2968</v>
      </c>
      <c r="Q324" s="24" t="s">
        <v>2330</v>
      </c>
      <c r="R324" s="24"/>
      <c r="S324" s="24" t="s">
        <v>2969</v>
      </c>
      <c r="T324" s="24" t="str">
        <f aca="false">"["&amp;안내!$C$5&amp;" "&amp;F324&amp;"] "&amp;L324&amp;" | "&amp;J324</f>
        <v>[1분 성경 구약 #373] 어려서부터 하나님을 찾은 왕 | 대하 33:21-35:27</v>
      </c>
      <c r="U324" s="26" t="n">
        <f aca="false">IF(D324="구약",IF(C324=1,안내!$C$9,안내!$C$10)+AD324-1,IF(C324=1,안내!$C$9,안내!$C$10)+7*INT((AD324-1)/4)+CHOOSE(MOD(AD324-1,4)+1,0,2,4,5))</f>
        <v>46770</v>
      </c>
      <c r="V324" s="23" t="str">
        <f aca="false">CHOOSE(WEEKDAY(U324,2),"월","화","수","목","금","토","일")</f>
        <v>화</v>
      </c>
      <c r="W324" s="24" t="str">
        <f aca="false">IFERROR(IF(INDEX($C$2:$C$799,MATCH(D324&amp;"#"&amp;(E324+1),$AC$2:$AC$799,0))=C324,"다음 편: ","시즌1 완결 · 시즌2 첫 편: ")&amp;INDEX($L$2:$L$799,MATCH(D324&amp;"#"&amp;(E324+1),$AC$2:$AC$799,0)),"구약 트랙 완결")</f>
        <v>다음 편: 무너짐과 새로운 시작</v>
      </c>
      <c r="X324" s="23" t="s">
        <v>130</v>
      </c>
      <c r="Y324" s="23" t="s">
        <v>130</v>
      </c>
      <c r="Z324" s="23" t="s">
        <v>130</v>
      </c>
      <c r="AA324" s="23" t="s">
        <v>130</v>
      </c>
      <c r="AB324" s="24"/>
      <c r="AC324" s="23" t="str">
        <f aca="false">D324&amp;"#"&amp;E324</f>
        <v>구약#373</v>
      </c>
      <c r="AD324" s="23" t="n">
        <f aca="false">COUNTIFS($C$2:C324,C324,$D$2:D324,D324)</f>
        <v>191</v>
      </c>
    </row>
    <row r="325" customFormat="false" ht="26.85" hidden="false" customHeight="false" outlineLevel="0" collapsed="false">
      <c r="A325" s="21" t="n">
        <v>324</v>
      </c>
      <c r="B325" s="18" t="s">
        <v>2970</v>
      </c>
      <c r="C325" s="23" t="n">
        <v>2</v>
      </c>
      <c r="D325" s="23" t="s">
        <v>116</v>
      </c>
      <c r="E325" s="23" t="n">
        <f aca="false">IF(C325=1,COUNTIFS($C$2:C325,1,$D$2:D325,D325),COUNTIFS($C$2:$C$799,1,$D$2:$D$799,D325)+COUNTIFS($C$2:C325,2,$D$2:D325,D325))</f>
        <v>374</v>
      </c>
      <c r="F325" s="23" t="str">
        <f aca="false">D325&amp;" #"&amp;TEXT(E325,"000")</f>
        <v>구약 #374</v>
      </c>
      <c r="G325" s="18" t="s">
        <v>2910</v>
      </c>
      <c r="H325" s="18" t="s">
        <v>2911</v>
      </c>
      <c r="I325" s="21" t="s">
        <v>2912</v>
      </c>
      <c r="J325" s="22" t="s">
        <v>2971</v>
      </c>
      <c r="K325" s="23" t="s">
        <v>1085</v>
      </c>
      <c r="L325" s="24" t="s">
        <v>2972</v>
      </c>
      <c r="M325" s="29" t="s">
        <v>2973</v>
      </c>
      <c r="N325" s="23" t="s">
        <v>2974</v>
      </c>
      <c r="O325" s="24" t="s">
        <v>2975</v>
      </c>
      <c r="P325" s="24" t="s">
        <v>2976</v>
      </c>
      <c r="Q325" s="24" t="s">
        <v>2977</v>
      </c>
      <c r="R325" s="24"/>
      <c r="S325" s="24" t="s">
        <v>2969</v>
      </c>
      <c r="T325" s="24" t="str">
        <f aca="false">"["&amp;안내!$C$5&amp;" "&amp;F325&amp;"] "&amp;L325&amp;" | "&amp;J325</f>
        <v>[1분 성경 구약 #374] 무너짐과 새로운 시작 | 대하 36:1-23</v>
      </c>
      <c r="U325" s="26" t="n">
        <f aca="false">IF(D325="구약",IF(C325=1,안내!$C$9,안내!$C$10)+AD325-1,IF(C325=1,안내!$C$9,안내!$C$10)+7*INT((AD325-1)/4)+CHOOSE(MOD(AD325-1,4)+1,0,2,4,5))</f>
        <v>46771</v>
      </c>
      <c r="V325" s="23" t="str">
        <f aca="false">CHOOSE(WEEKDAY(U325,2),"월","화","수","목","금","토","일")</f>
        <v>수</v>
      </c>
      <c r="W325" s="24" t="str">
        <f aca="false">IFERROR(IF(INDEX($C$2:$C$799,MATCH(D325&amp;"#"&amp;(E325+1),$AC$2:$AC$799,0))=C325,"다음 편: ","시즌1 완결 · 시즌2 첫 편: ")&amp;INDEX($L$2:$L$799,MATCH(D325&amp;"#"&amp;(E325+1),$AC$2:$AC$799,0)),"구약 트랙 완결")</f>
        <v>다음 편: 돌아온 사람들의 명단</v>
      </c>
      <c r="X325" s="23" t="s">
        <v>130</v>
      </c>
      <c r="Y325" s="23" t="s">
        <v>130</v>
      </c>
      <c r="Z325" s="23" t="s">
        <v>130</v>
      </c>
      <c r="AA325" s="23" t="s">
        <v>130</v>
      </c>
      <c r="AB325" s="24"/>
      <c r="AC325" s="23" t="str">
        <f aca="false">D325&amp;"#"&amp;E325</f>
        <v>구약#374</v>
      </c>
      <c r="AD325" s="23" t="n">
        <f aca="false">COUNTIFS($C$2:C325,C325,$D$2:D325,D325)</f>
        <v>192</v>
      </c>
    </row>
    <row r="326" customFormat="false" ht="52.2" hidden="false" customHeight="false" outlineLevel="0" collapsed="false">
      <c r="A326" s="21" t="n">
        <v>325</v>
      </c>
      <c r="B326" s="18" t="s">
        <v>2978</v>
      </c>
      <c r="C326" s="20" t="n">
        <v>1</v>
      </c>
      <c r="D326" s="20" t="s">
        <v>116</v>
      </c>
      <c r="E326" s="20" t="n">
        <f aca="false">IF(C326=1,COUNTIFS($C$2:C326,1,$D$2:D326,D326),COUNTIFS($C$2:$C$799,1,$D$2:$D$799,D326)+COUNTIFS($C$2:C326,2,$D$2:D326,D326))</f>
        <v>133</v>
      </c>
      <c r="F326" s="20" t="str">
        <f aca="false">D326&amp;" #"&amp;TEXT(E326,"000")</f>
        <v>구약 #133</v>
      </c>
      <c r="G326" s="18" t="s">
        <v>2979</v>
      </c>
      <c r="H326" s="18" t="s">
        <v>2927</v>
      </c>
      <c r="I326" s="21" t="s">
        <v>2980</v>
      </c>
      <c r="J326" s="22" t="s">
        <v>2981</v>
      </c>
      <c r="K326" s="23" t="s">
        <v>121</v>
      </c>
      <c r="L326" s="24" t="s">
        <v>2982</v>
      </c>
      <c r="M326" s="24" t="s">
        <v>2983</v>
      </c>
      <c r="N326" s="23" t="s">
        <v>2984</v>
      </c>
      <c r="O326" s="24" t="s">
        <v>2985</v>
      </c>
      <c r="P326" s="24" t="s">
        <v>2986</v>
      </c>
      <c r="Q326" s="24" t="s">
        <v>2987</v>
      </c>
      <c r="R326" s="24"/>
      <c r="S326" s="28" t="s">
        <v>2988</v>
      </c>
      <c r="T326" s="24" t="str">
        <f aca="false">"["&amp;안내!$C$5&amp;" "&amp;F326&amp;"] "&amp;L326&amp;" | "&amp;J326</f>
        <v>[1분 성경 구약 #133] 고레스의 칙령 | 스 1:1-11</v>
      </c>
      <c r="U326" s="26" t="n">
        <f aca="false">IF(D326="구약",IF(C326=1,안내!$C$9,안내!$C$10)+AD326-1,IF(C326=1,안내!$C$9,안내!$C$10)+7*INT((AD326-1)/4)+CHOOSE(MOD(AD326-1,4)+1,0,2,4,5))</f>
        <v>46523</v>
      </c>
      <c r="V326" s="23" t="str">
        <f aca="false">CHOOSE(WEEKDAY(U326,2),"월","화","수","목","금","토","일")</f>
        <v>일</v>
      </c>
      <c r="W326" s="24" t="str">
        <f aca="false">IFERROR(IF(INDEX($C$2:$C$799,MATCH(D326&amp;"#"&amp;(E326+1),$AC$2:$AC$799,0))=C326,"다음 편: ","시즌1 완결 · 시즌2 첫 편: ")&amp;INDEX($L$2:$L$799,MATCH(D326&amp;"#"&amp;(E326+1),$AC$2:$AC$799,0)),"구약 트랙 완결")</f>
        <v>다음 편: 울음과 함성</v>
      </c>
      <c r="X326" s="23" t="s">
        <v>130</v>
      </c>
      <c r="Y326" s="23" t="s">
        <v>130</v>
      </c>
      <c r="Z326" s="23" t="s">
        <v>130</v>
      </c>
      <c r="AA326" s="23" t="s">
        <v>130</v>
      </c>
      <c r="AB326" s="24"/>
      <c r="AC326" s="23" t="str">
        <f aca="false">D326&amp;"#"&amp;E326</f>
        <v>구약#133</v>
      </c>
      <c r="AD326" s="23" t="n">
        <f aca="false">COUNTIFS($C$2:C326,C326,$D$2:D326,D326)</f>
        <v>133</v>
      </c>
    </row>
    <row r="327" customFormat="false" ht="26.85" hidden="false" customHeight="false" outlineLevel="0" collapsed="false">
      <c r="A327" s="21" t="n">
        <v>326</v>
      </c>
      <c r="B327" s="18" t="s">
        <v>2989</v>
      </c>
      <c r="C327" s="23" t="n">
        <v>2</v>
      </c>
      <c r="D327" s="23" t="s">
        <v>116</v>
      </c>
      <c r="E327" s="23" t="n">
        <f aca="false">IF(C327=1,COUNTIFS($C$2:C327,1,$D$2:D327,D327),COUNTIFS($C$2:$C$799,1,$D$2:$D$799,D327)+COUNTIFS($C$2:C327,2,$D$2:D327,D327))</f>
        <v>375</v>
      </c>
      <c r="F327" s="23" t="str">
        <f aca="false">D327&amp;" #"&amp;TEXT(E327,"000")</f>
        <v>구약 #375</v>
      </c>
      <c r="G327" s="18" t="s">
        <v>2979</v>
      </c>
      <c r="H327" s="18" t="s">
        <v>2911</v>
      </c>
      <c r="I327" s="21" t="s">
        <v>2980</v>
      </c>
      <c r="J327" s="22" t="s">
        <v>2990</v>
      </c>
      <c r="K327" s="23" t="s">
        <v>1085</v>
      </c>
      <c r="L327" s="24" t="s">
        <v>2991</v>
      </c>
      <c r="M327" s="24" t="s">
        <v>2992</v>
      </c>
      <c r="N327" s="23" t="s">
        <v>2993</v>
      </c>
      <c r="O327" s="24" t="s">
        <v>2994</v>
      </c>
      <c r="P327" s="24" t="s">
        <v>2995</v>
      </c>
      <c r="Q327" s="24" t="s">
        <v>2996</v>
      </c>
      <c r="R327" s="24"/>
      <c r="S327" s="24" t="s">
        <v>2997</v>
      </c>
      <c r="T327" s="24" t="str">
        <f aca="false">"["&amp;안내!$C$5&amp;" "&amp;F327&amp;"] "&amp;L327&amp;" | "&amp;J327</f>
        <v>[1분 성경 구약 #375] 돌아온 사람들의 명단 | 스 2:1-70</v>
      </c>
      <c r="U327" s="26" t="n">
        <f aca="false">IF(D327="구약",IF(C327=1,안내!$C$9,안내!$C$10)+AD327-1,IF(C327=1,안내!$C$9,안내!$C$10)+7*INT((AD327-1)/4)+CHOOSE(MOD(AD327-1,4)+1,0,2,4,5))</f>
        <v>46772</v>
      </c>
      <c r="V327" s="23" t="str">
        <f aca="false">CHOOSE(WEEKDAY(U327,2),"월","화","수","목","금","토","일")</f>
        <v>목</v>
      </c>
      <c r="W327" s="24" t="str">
        <f aca="false">IFERROR(IF(INDEX($C$2:$C$799,MATCH(D327&amp;"#"&amp;(E327+1),$AC$2:$AC$799,0))=C327,"다음 편: ","시즌1 완결 · 시즌2 첫 편: ")&amp;INDEX($L$2:$L$799,MATCH(D327&amp;"#"&amp;(E327+1),$AC$2:$AC$799,0)),"구약 트랙 완결")</f>
        <v>다음 편: 멈춰 버린 공사</v>
      </c>
      <c r="X327" s="23" t="s">
        <v>130</v>
      </c>
      <c r="Y327" s="23" t="s">
        <v>130</v>
      </c>
      <c r="Z327" s="23" t="s">
        <v>130</v>
      </c>
      <c r="AA327" s="23" t="s">
        <v>130</v>
      </c>
      <c r="AB327" s="24"/>
      <c r="AC327" s="23" t="str">
        <f aca="false">D327&amp;"#"&amp;E327</f>
        <v>구약#375</v>
      </c>
      <c r="AD327" s="23" t="n">
        <f aca="false">COUNTIFS($C$2:C327,C327,$D$2:D327,D327)</f>
        <v>193</v>
      </c>
    </row>
    <row r="328" customFormat="false" ht="26.85" hidden="false" customHeight="false" outlineLevel="0" collapsed="false">
      <c r="A328" s="21" t="n">
        <v>327</v>
      </c>
      <c r="B328" s="18" t="s">
        <v>2998</v>
      </c>
      <c r="C328" s="20" t="n">
        <v>1</v>
      </c>
      <c r="D328" s="20" t="s">
        <v>116</v>
      </c>
      <c r="E328" s="20" t="n">
        <f aca="false">IF(C328=1,COUNTIFS($C$2:C328,1,$D$2:D328,D328),COUNTIFS($C$2:$C$799,1,$D$2:$D$799,D328)+COUNTIFS($C$2:C328,2,$D$2:D328,D328))</f>
        <v>134</v>
      </c>
      <c r="F328" s="20" t="str">
        <f aca="false">D328&amp;" #"&amp;TEXT(E328,"000")</f>
        <v>구약 #134</v>
      </c>
      <c r="G328" s="18" t="s">
        <v>2979</v>
      </c>
      <c r="H328" s="18" t="s">
        <v>2927</v>
      </c>
      <c r="I328" s="21" t="s">
        <v>2980</v>
      </c>
      <c r="J328" s="22" t="s">
        <v>2999</v>
      </c>
      <c r="K328" s="23" t="s">
        <v>121</v>
      </c>
      <c r="L328" s="24" t="s">
        <v>3000</v>
      </c>
      <c r="M328" s="24" t="s">
        <v>3001</v>
      </c>
      <c r="N328" s="23" t="s">
        <v>3002</v>
      </c>
      <c r="O328" s="24" t="s">
        <v>3003</v>
      </c>
      <c r="P328" s="24" t="s">
        <v>3004</v>
      </c>
      <c r="Q328" s="24" t="s">
        <v>3005</v>
      </c>
      <c r="R328" s="24"/>
      <c r="S328" s="28" t="s">
        <v>3006</v>
      </c>
      <c r="T328" s="24" t="str">
        <f aca="false">"["&amp;안내!$C$5&amp;" "&amp;F328&amp;"] "&amp;L328&amp;" | "&amp;J328</f>
        <v>[1분 성경 구약 #134] 울음과 함성 | 스 3:1-13</v>
      </c>
      <c r="U328" s="26" t="n">
        <f aca="false">IF(D328="구약",IF(C328=1,안내!$C$9,안내!$C$10)+AD328-1,IF(C328=1,안내!$C$9,안내!$C$10)+7*INT((AD328-1)/4)+CHOOSE(MOD(AD328-1,4)+1,0,2,4,5))</f>
        <v>46524</v>
      </c>
      <c r="V328" s="23" t="str">
        <f aca="false">CHOOSE(WEEKDAY(U328,2),"월","화","수","목","금","토","일")</f>
        <v>월</v>
      </c>
      <c r="W328" s="24" t="str">
        <f aca="false">IFERROR(IF(INDEX($C$2:$C$799,MATCH(D328&amp;"#"&amp;(E328+1),$AC$2:$AC$799,0))=C328,"다음 편: ","시즌1 완결 · 시즌2 첫 편: ")&amp;INDEX($L$2:$L$799,MATCH(D328&amp;"#"&amp;(E328+1),$AC$2:$AC$799,0)),"구약 트랙 완결")</f>
        <v>다음 편: 무너진 성벽 소식</v>
      </c>
      <c r="X328" s="23" t="s">
        <v>130</v>
      </c>
      <c r="Y328" s="23" t="s">
        <v>130</v>
      </c>
      <c r="Z328" s="23" t="s">
        <v>130</v>
      </c>
      <c r="AA328" s="23" t="s">
        <v>130</v>
      </c>
      <c r="AB328" s="24"/>
      <c r="AC328" s="23" t="str">
        <f aca="false">D328&amp;"#"&amp;E328</f>
        <v>구약#134</v>
      </c>
      <c r="AD328" s="23" t="n">
        <f aca="false">COUNTIFS($C$2:C328,C328,$D$2:D328,D328)</f>
        <v>134</v>
      </c>
    </row>
    <row r="329" customFormat="false" ht="15" hidden="false" customHeight="false" outlineLevel="0" collapsed="false">
      <c r="A329" s="21" t="n">
        <v>328</v>
      </c>
      <c r="B329" s="18" t="s">
        <v>3007</v>
      </c>
      <c r="C329" s="23" t="n">
        <v>2</v>
      </c>
      <c r="D329" s="23" t="s">
        <v>116</v>
      </c>
      <c r="E329" s="23" t="n">
        <f aca="false">IF(C329=1,COUNTIFS($C$2:C329,1,$D$2:D329,D329),COUNTIFS($C$2:$C$799,1,$D$2:$D$799,D329)+COUNTIFS($C$2:C329,2,$D$2:D329,D329))</f>
        <v>376</v>
      </c>
      <c r="F329" s="23" t="str">
        <f aca="false">D329&amp;" #"&amp;TEXT(E329,"000")</f>
        <v>구약 #376</v>
      </c>
      <c r="G329" s="18" t="s">
        <v>2979</v>
      </c>
      <c r="H329" s="18" t="s">
        <v>2911</v>
      </c>
      <c r="I329" s="21" t="s">
        <v>2980</v>
      </c>
      <c r="J329" s="22" t="s">
        <v>3008</v>
      </c>
      <c r="K329" s="23" t="s">
        <v>121</v>
      </c>
      <c r="L329" s="24" t="s">
        <v>3009</v>
      </c>
      <c r="M329" s="24" t="s">
        <v>3010</v>
      </c>
      <c r="N329" s="23" t="s">
        <v>3011</v>
      </c>
      <c r="O329" s="24" t="s">
        <v>3012</v>
      </c>
      <c r="P329" s="24" t="s">
        <v>3013</v>
      </c>
      <c r="Q329" s="24" t="s">
        <v>3014</v>
      </c>
      <c r="R329" s="24"/>
      <c r="S329" s="24" t="s">
        <v>3015</v>
      </c>
      <c r="T329" s="24" t="str">
        <f aca="false">"["&amp;안내!$C$5&amp;" "&amp;F329&amp;"] "&amp;L329&amp;" | "&amp;J329</f>
        <v>[1분 성경 구약 #376] 멈춰 버린 공사 | 스 4:1-24</v>
      </c>
      <c r="U329" s="26" t="n">
        <f aca="false">IF(D329="구약",IF(C329=1,안내!$C$9,안내!$C$10)+AD329-1,IF(C329=1,안내!$C$9,안내!$C$10)+7*INT((AD329-1)/4)+CHOOSE(MOD(AD329-1,4)+1,0,2,4,5))</f>
        <v>46773</v>
      </c>
      <c r="V329" s="23" t="str">
        <f aca="false">CHOOSE(WEEKDAY(U329,2),"월","화","수","목","금","토","일")</f>
        <v>금</v>
      </c>
      <c r="W329" s="24" t="str">
        <f aca="false">IFERROR(IF(INDEX($C$2:$C$799,MATCH(D329&amp;"#"&amp;(E329+1),$AC$2:$AC$799,0))=C329,"다음 편: ","시즌1 완결 · 시즌2 첫 편: ")&amp;INDEX($L$2:$L$799,MATCH(D329&amp;"#"&amp;(E329+1),$AC$2:$AC$799,0)),"구약 트랙 완결")</f>
        <v>다음 편: 성전 완공</v>
      </c>
      <c r="X329" s="23" t="s">
        <v>130</v>
      </c>
      <c r="Y329" s="23" t="s">
        <v>130</v>
      </c>
      <c r="Z329" s="23" t="s">
        <v>130</v>
      </c>
      <c r="AA329" s="23" t="s">
        <v>130</v>
      </c>
      <c r="AB329" s="24"/>
      <c r="AC329" s="23" t="str">
        <f aca="false">D329&amp;"#"&amp;E329</f>
        <v>구약#376</v>
      </c>
      <c r="AD329" s="23" t="n">
        <f aca="false">COUNTIFS($C$2:C329,C329,$D$2:D329,D329)</f>
        <v>194</v>
      </c>
    </row>
    <row r="330" customFormat="false" ht="26.85" hidden="false" customHeight="false" outlineLevel="0" collapsed="false">
      <c r="A330" s="21" t="n">
        <v>329</v>
      </c>
      <c r="B330" s="18" t="s">
        <v>3016</v>
      </c>
      <c r="C330" s="23" t="n">
        <v>2</v>
      </c>
      <c r="D330" s="23" t="s">
        <v>116</v>
      </c>
      <c r="E330" s="23" t="n">
        <f aca="false">IF(C330=1,COUNTIFS($C$2:C330,1,$D$2:D330,D330),COUNTIFS($C$2:$C$799,1,$D$2:$D$799,D330)+COUNTIFS($C$2:C330,2,$D$2:D330,D330))</f>
        <v>377</v>
      </c>
      <c r="F330" s="23" t="str">
        <f aca="false">D330&amp;" #"&amp;TEXT(E330,"000")</f>
        <v>구약 #377</v>
      </c>
      <c r="G330" s="18" t="s">
        <v>2979</v>
      </c>
      <c r="H330" s="18" t="s">
        <v>2911</v>
      </c>
      <c r="I330" s="21" t="s">
        <v>2980</v>
      </c>
      <c r="J330" s="22" t="s">
        <v>3017</v>
      </c>
      <c r="K330" s="23" t="s">
        <v>121</v>
      </c>
      <c r="L330" s="24" t="s">
        <v>3018</v>
      </c>
      <c r="M330" s="24" t="s">
        <v>3019</v>
      </c>
      <c r="N330" s="23" t="s">
        <v>3020</v>
      </c>
      <c r="O330" s="24" t="s">
        <v>3021</v>
      </c>
      <c r="P330" s="24" t="s">
        <v>3022</v>
      </c>
      <c r="Q330" s="24" t="s">
        <v>3023</v>
      </c>
      <c r="R330" s="24"/>
      <c r="S330" s="24" t="s">
        <v>3015</v>
      </c>
      <c r="T330" s="24" t="str">
        <f aca="false">"["&amp;안내!$C$5&amp;" "&amp;F330&amp;"] "&amp;L330&amp;" | "&amp;J330</f>
        <v>[1분 성경 구약 #377] 성전 완공 | 스 5:1-6:22</v>
      </c>
      <c r="U330" s="26" t="n">
        <f aca="false">IF(D330="구약",IF(C330=1,안내!$C$9,안내!$C$10)+AD330-1,IF(C330=1,안내!$C$9,안내!$C$10)+7*INT((AD330-1)/4)+CHOOSE(MOD(AD330-1,4)+1,0,2,4,5))</f>
        <v>46774</v>
      </c>
      <c r="V330" s="23" t="str">
        <f aca="false">CHOOSE(WEEKDAY(U330,2),"월","화","수","목","금","토","일")</f>
        <v>토</v>
      </c>
      <c r="W330" s="24" t="str">
        <f aca="false">IFERROR(IF(INDEX($C$2:$C$799,MATCH(D330&amp;"#"&amp;(E330+1),$AC$2:$AC$799,0))=C330,"다음 편: ","시즌1 완결 · 시즌2 첫 편: ")&amp;INDEX($L$2:$L$799,MATCH(D330&amp;"#"&amp;(E330+1),$AC$2:$AC$799,0)),"구약 트랙 완결")</f>
        <v>다음 편: 말씀을 연구한 학자</v>
      </c>
      <c r="X330" s="23" t="s">
        <v>130</v>
      </c>
      <c r="Y330" s="23" t="s">
        <v>130</v>
      </c>
      <c r="Z330" s="23" t="s">
        <v>130</v>
      </c>
      <c r="AA330" s="23" t="s">
        <v>130</v>
      </c>
      <c r="AB330" s="24"/>
      <c r="AC330" s="23" t="str">
        <f aca="false">D330&amp;"#"&amp;E330</f>
        <v>구약#377</v>
      </c>
      <c r="AD330" s="23" t="n">
        <f aca="false">COUNTIFS($C$2:C330,C330,$D$2:D330,D330)</f>
        <v>195</v>
      </c>
    </row>
    <row r="331" customFormat="false" ht="26.85" hidden="false" customHeight="false" outlineLevel="0" collapsed="false">
      <c r="A331" s="21" t="n">
        <v>330</v>
      </c>
      <c r="B331" s="18" t="s">
        <v>3024</v>
      </c>
      <c r="C331" s="23" t="n">
        <v>2</v>
      </c>
      <c r="D331" s="23" t="s">
        <v>116</v>
      </c>
      <c r="E331" s="23" t="n">
        <f aca="false">IF(C331=1,COUNTIFS($C$2:C331,1,$D$2:D331,D331),COUNTIFS($C$2:$C$799,1,$D$2:$D$799,D331)+COUNTIFS($C$2:C331,2,$D$2:D331,D331))</f>
        <v>378</v>
      </c>
      <c r="F331" s="23" t="str">
        <f aca="false">D331&amp;" #"&amp;TEXT(E331,"000")</f>
        <v>구약 #378</v>
      </c>
      <c r="G331" s="18" t="s">
        <v>2979</v>
      </c>
      <c r="H331" s="18" t="s">
        <v>2911</v>
      </c>
      <c r="I331" s="21" t="s">
        <v>2980</v>
      </c>
      <c r="J331" s="22" t="s">
        <v>3025</v>
      </c>
      <c r="K331" s="23" t="s">
        <v>121</v>
      </c>
      <c r="L331" s="24" t="s">
        <v>3026</v>
      </c>
      <c r="M331" s="24" t="s">
        <v>3027</v>
      </c>
      <c r="N331" s="23" t="s">
        <v>3028</v>
      </c>
      <c r="O331" s="24" t="s">
        <v>3029</v>
      </c>
      <c r="P331" s="24" t="s">
        <v>3030</v>
      </c>
      <c r="Q331" s="24" t="s">
        <v>2960</v>
      </c>
      <c r="R331" s="24"/>
      <c r="S331" s="24" t="s">
        <v>3015</v>
      </c>
      <c r="T331" s="24" t="str">
        <f aca="false">"["&amp;안내!$C$5&amp;" "&amp;F331&amp;"] "&amp;L331&amp;" | "&amp;J331</f>
        <v>[1분 성경 구약 #378] 말씀을 연구한 학자 | 스 7:1-28</v>
      </c>
      <c r="U331" s="26" t="n">
        <f aca="false">IF(D331="구약",IF(C331=1,안내!$C$9,안내!$C$10)+AD331-1,IF(C331=1,안내!$C$9,안내!$C$10)+7*INT((AD331-1)/4)+CHOOSE(MOD(AD331-1,4)+1,0,2,4,5))</f>
        <v>46775</v>
      </c>
      <c r="V331" s="23" t="str">
        <f aca="false">CHOOSE(WEEKDAY(U331,2),"월","화","수","목","금","토","일")</f>
        <v>일</v>
      </c>
      <c r="W331" s="24" t="str">
        <f aca="false">IFERROR(IF(INDEX($C$2:$C$799,MATCH(D331&amp;"#"&amp;(E331+1),$AC$2:$AC$799,0))=C331,"다음 편: ","시즌1 완결 · 시즌2 첫 편: ")&amp;INDEX($L$2:$L$799,MATCH(D331&amp;"#"&amp;(E331+1),$AC$2:$AC$799,0)),"구약 트랙 완결")</f>
        <v>다음 편: 군대 대신 금식</v>
      </c>
      <c r="X331" s="23" t="s">
        <v>130</v>
      </c>
      <c r="Y331" s="23" t="s">
        <v>130</v>
      </c>
      <c r="Z331" s="23" t="s">
        <v>130</v>
      </c>
      <c r="AA331" s="23" t="s">
        <v>130</v>
      </c>
      <c r="AB331" s="24"/>
      <c r="AC331" s="23" t="str">
        <f aca="false">D331&amp;"#"&amp;E331</f>
        <v>구약#378</v>
      </c>
      <c r="AD331" s="23" t="n">
        <f aca="false">COUNTIFS($C$2:C331,C331,$D$2:D331,D331)</f>
        <v>196</v>
      </c>
    </row>
    <row r="332" customFormat="false" ht="26.85" hidden="false" customHeight="false" outlineLevel="0" collapsed="false">
      <c r="A332" s="21" t="n">
        <v>331</v>
      </c>
      <c r="B332" s="18" t="s">
        <v>3031</v>
      </c>
      <c r="C332" s="23" t="n">
        <v>2</v>
      </c>
      <c r="D332" s="23" t="s">
        <v>116</v>
      </c>
      <c r="E332" s="23" t="n">
        <f aca="false">IF(C332=1,COUNTIFS($C$2:C332,1,$D$2:D332,D332),COUNTIFS($C$2:$C$799,1,$D$2:$D$799,D332)+COUNTIFS($C$2:C332,2,$D$2:D332,D332))</f>
        <v>379</v>
      </c>
      <c r="F332" s="23" t="str">
        <f aca="false">D332&amp;" #"&amp;TEXT(E332,"000")</f>
        <v>구약 #379</v>
      </c>
      <c r="G332" s="18" t="s">
        <v>2979</v>
      </c>
      <c r="H332" s="18" t="s">
        <v>2911</v>
      </c>
      <c r="I332" s="21" t="s">
        <v>2980</v>
      </c>
      <c r="J332" s="22" t="s">
        <v>3032</v>
      </c>
      <c r="K332" s="23" t="s">
        <v>121</v>
      </c>
      <c r="L332" s="24" t="s">
        <v>3033</v>
      </c>
      <c r="M332" s="24" t="s">
        <v>3034</v>
      </c>
      <c r="N332" s="23" t="s">
        <v>3035</v>
      </c>
      <c r="O332" s="24" t="s">
        <v>3036</v>
      </c>
      <c r="P332" s="24" t="s">
        <v>3037</v>
      </c>
      <c r="Q332" s="24" t="s">
        <v>3038</v>
      </c>
      <c r="R332" s="24"/>
      <c r="S332" s="24" t="s">
        <v>3015</v>
      </c>
      <c r="T332" s="24" t="str">
        <f aca="false">"["&amp;안내!$C$5&amp;" "&amp;F332&amp;"] "&amp;L332&amp;" | "&amp;J332</f>
        <v>[1분 성경 구약 #379] 군대 대신 금식 | 스 8:1-36</v>
      </c>
      <c r="U332" s="26" t="n">
        <f aca="false">IF(D332="구약",IF(C332=1,안내!$C$9,안내!$C$10)+AD332-1,IF(C332=1,안내!$C$9,안내!$C$10)+7*INT((AD332-1)/4)+CHOOSE(MOD(AD332-1,4)+1,0,2,4,5))</f>
        <v>46776</v>
      </c>
      <c r="V332" s="23" t="str">
        <f aca="false">CHOOSE(WEEKDAY(U332,2),"월","화","수","목","금","토","일")</f>
        <v>월</v>
      </c>
      <c r="W332" s="24" t="str">
        <f aca="false">IFERROR(IF(INDEX($C$2:$C$799,MATCH(D332&amp;"#"&amp;(E332+1),$AC$2:$AC$799,0))=C332,"다음 편: ","시즌1 완결 · 시즌2 첫 편: ")&amp;INDEX($L$2:$L$799,MATCH(D332&amp;"#"&amp;(E332+1),$AC$2:$AC$799,0)),"구약 트랙 완결")</f>
        <v>다음 편: 에스라의 회개 기도</v>
      </c>
      <c r="X332" s="23" t="s">
        <v>130</v>
      </c>
      <c r="Y332" s="23" t="s">
        <v>130</v>
      </c>
      <c r="Z332" s="23" t="s">
        <v>130</v>
      </c>
      <c r="AA332" s="23" t="s">
        <v>130</v>
      </c>
      <c r="AB332" s="24"/>
      <c r="AC332" s="23" t="str">
        <f aca="false">D332&amp;"#"&amp;E332</f>
        <v>구약#379</v>
      </c>
      <c r="AD332" s="23" t="n">
        <f aca="false">COUNTIFS($C$2:C332,C332,$D$2:D332,D332)</f>
        <v>197</v>
      </c>
    </row>
    <row r="333" customFormat="false" ht="26.85" hidden="false" customHeight="false" outlineLevel="0" collapsed="false">
      <c r="A333" s="21" t="n">
        <v>332</v>
      </c>
      <c r="B333" s="18" t="s">
        <v>3039</v>
      </c>
      <c r="C333" s="23" t="n">
        <v>2</v>
      </c>
      <c r="D333" s="23" t="s">
        <v>116</v>
      </c>
      <c r="E333" s="23" t="n">
        <f aca="false">IF(C333=1,COUNTIFS($C$2:C333,1,$D$2:D333,D333),COUNTIFS($C$2:$C$799,1,$D$2:$D$799,D333)+COUNTIFS($C$2:C333,2,$D$2:D333,D333))</f>
        <v>380</v>
      </c>
      <c r="F333" s="23" t="str">
        <f aca="false">D333&amp;" #"&amp;TEXT(E333,"000")</f>
        <v>구약 #380</v>
      </c>
      <c r="G333" s="18" t="s">
        <v>2979</v>
      </c>
      <c r="H333" s="18" t="s">
        <v>2911</v>
      </c>
      <c r="I333" s="21" t="s">
        <v>2980</v>
      </c>
      <c r="J333" s="22" t="s">
        <v>3040</v>
      </c>
      <c r="K333" s="23" t="s">
        <v>121</v>
      </c>
      <c r="L333" s="24" t="s">
        <v>3041</v>
      </c>
      <c r="M333" s="24" t="s">
        <v>3042</v>
      </c>
      <c r="N333" s="23" t="s">
        <v>3043</v>
      </c>
      <c r="O333" s="24" t="s">
        <v>3044</v>
      </c>
      <c r="P333" s="24" t="s">
        <v>3045</v>
      </c>
      <c r="Q333" s="24" t="s">
        <v>3046</v>
      </c>
      <c r="R333" s="25" t="s">
        <v>3047</v>
      </c>
      <c r="S333" s="24" t="s">
        <v>3015</v>
      </c>
      <c r="T333" s="24" t="str">
        <f aca="false">"["&amp;안내!$C$5&amp;" "&amp;F333&amp;"] "&amp;L333&amp;" | "&amp;J333</f>
        <v>[1분 성경 구약 #380] 에스라의 회개 기도 | 스 9:1-10:44</v>
      </c>
      <c r="U333" s="26" t="n">
        <f aca="false">IF(D333="구약",IF(C333=1,안내!$C$9,안내!$C$10)+AD333-1,IF(C333=1,안내!$C$9,안내!$C$10)+7*INT((AD333-1)/4)+CHOOSE(MOD(AD333-1,4)+1,0,2,4,5))</f>
        <v>46777</v>
      </c>
      <c r="V333" s="23" t="str">
        <f aca="false">CHOOSE(WEEKDAY(U333,2),"월","화","수","목","금","토","일")</f>
        <v>화</v>
      </c>
      <c r="W333" s="24" t="str">
        <f aca="false">IFERROR(IF(INDEX($C$2:$C$799,MATCH(D333&amp;"#"&amp;(E333+1),$AC$2:$AC$799,0))=C333,"다음 편: ","시즌1 완결 · 시즌2 첫 편: ")&amp;INDEX($L$2:$L$799,MATCH(D333&amp;"#"&amp;(E333+1),$AC$2:$AC$799,0)),"구약 트랙 완결")</f>
        <v>다음 편: 각자 맡은 구간</v>
      </c>
      <c r="X333" s="23" t="s">
        <v>130</v>
      </c>
      <c r="Y333" s="23" t="s">
        <v>130</v>
      </c>
      <c r="Z333" s="23" t="s">
        <v>130</v>
      </c>
      <c r="AA333" s="23" t="s">
        <v>130</v>
      </c>
      <c r="AB333" s="24"/>
      <c r="AC333" s="23" t="str">
        <f aca="false">D333&amp;"#"&amp;E333</f>
        <v>구약#380</v>
      </c>
      <c r="AD333" s="23" t="n">
        <f aca="false">COUNTIFS($C$2:C333,C333,$D$2:D333,D333)</f>
        <v>198</v>
      </c>
    </row>
    <row r="334" customFormat="false" ht="52.2" hidden="false" customHeight="false" outlineLevel="0" collapsed="false">
      <c r="A334" s="21" t="n">
        <v>333</v>
      </c>
      <c r="B334" s="18" t="s">
        <v>3048</v>
      </c>
      <c r="C334" s="20" t="n">
        <v>1</v>
      </c>
      <c r="D334" s="20" t="s">
        <v>116</v>
      </c>
      <c r="E334" s="20" t="n">
        <f aca="false">IF(C334=1,COUNTIFS($C$2:C334,1,$D$2:D334,D334),COUNTIFS($C$2:$C$799,1,$D$2:$D$799,D334)+COUNTIFS($C$2:C334,2,$D$2:D334,D334))</f>
        <v>135</v>
      </c>
      <c r="F334" s="20" t="str">
        <f aca="false">D334&amp;" #"&amp;TEXT(E334,"000")</f>
        <v>구약 #135</v>
      </c>
      <c r="G334" s="18" t="s">
        <v>3049</v>
      </c>
      <c r="H334" s="18" t="s">
        <v>2927</v>
      </c>
      <c r="I334" s="21" t="s">
        <v>3050</v>
      </c>
      <c r="J334" s="22" t="s">
        <v>3051</v>
      </c>
      <c r="K334" s="23" t="s">
        <v>121</v>
      </c>
      <c r="L334" s="24" t="s">
        <v>3052</v>
      </c>
      <c r="M334" s="24" t="s">
        <v>3053</v>
      </c>
      <c r="N334" s="23" t="s">
        <v>3054</v>
      </c>
      <c r="O334" s="24" t="s">
        <v>3055</v>
      </c>
      <c r="P334" s="24" t="s">
        <v>3056</v>
      </c>
      <c r="Q334" s="24" t="s">
        <v>3057</v>
      </c>
      <c r="R334" s="24"/>
      <c r="S334" s="28" t="s">
        <v>3058</v>
      </c>
      <c r="T334" s="24" t="str">
        <f aca="false">"["&amp;안내!$C$5&amp;" "&amp;F334&amp;"] "&amp;L334&amp;" | "&amp;J334</f>
        <v>[1분 성경 구약 #135] 무너진 성벽 소식 | 느 1:1-11</v>
      </c>
      <c r="U334" s="26" t="n">
        <f aca="false">IF(D334="구약",IF(C334=1,안내!$C$9,안내!$C$10)+AD334-1,IF(C334=1,안내!$C$9,안내!$C$10)+7*INT((AD334-1)/4)+CHOOSE(MOD(AD334-1,4)+1,0,2,4,5))</f>
        <v>46525</v>
      </c>
      <c r="V334" s="23" t="str">
        <f aca="false">CHOOSE(WEEKDAY(U334,2),"월","화","수","목","금","토","일")</f>
        <v>화</v>
      </c>
      <c r="W334" s="24" t="str">
        <f aca="false">IFERROR(IF(INDEX($C$2:$C$799,MATCH(D334&amp;"#"&amp;(E334+1),$AC$2:$AC$799,0))=C334,"다음 편: ","시즌1 완결 · 시즌2 첫 편: ")&amp;INDEX($L$2:$L$799,MATCH(D334&amp;"#"&amp;(E334+1),$AC$2:$AC$799,0)),"구약 트랙 완결")</f>
        <v>다음 편: 왕의 허락</v>
      </c>
      <c r="X334" s="23" t="s">
        <v>130</v>
      </c>
      <c r="Y334" s="23" t="s">
        <v>130</v>
      </c>
      <c r="Z334" s="23" t="s">
        <v>130</v>
      </c>
      <c r="AA334" s="23" t="s">
        <v>130</v>
      </c>
      <c r="AB334" s="24"/>
      <c r="AC334" s="23" t="str">
        <f aca="false">D334&amp;"#"&amp;E334</f>
        <v>구약#135</v>
      </c>
      <c r="AD334" s="23" t="n">
        <f aca="false">COUNTIFS($C$2:C334,C334,$D$2:D334,D334)</f>
        <v>135</v>
      </c>
    </row>
    <row r="335" customFormat="false" ht="26.85" hidden="false" customHeight="false" outlineLevel="0" collapsed="false">
      <c r="A335" s="21" t="n">
        <v>334</v>
      </c>
      <c r="B335" s="18" t="s">
        <v>3059</v>
      </c>
      <c r="C335" s="20" t="n">
        <v>1</v>
      </c>
      <c r="D335" s="20" t="s">
        <v>116</v>
      </c>
      <c r="E335" s="20" t="n">
        <f aca="false">IF(C335=1,COUNTIFS($C$2:C335,1,$D$2:D335,D335),COUNTIFS($C$2:$C$799,1,$D$2:$D$799,D335)+COUNTIFS($C$2:C335,2,$D$2:D335,D335))</f>
        <v>136</v>
      </c>
      <c r="F335" s="20" t="str">
        <f aca="false">D335&amp;" #"&amp;TEXT(E335,"000")</f>
        <v>구약 #136</v>
      </c>
      <c r="G335" s="18" t="s">
        <v>3049</v>
      </c>
      <c r="H335" s="18" t="s">
        <v>2927</v>
      </c>
      <c r="I335" s="21" t="s">
        <v>3050</v>
      </c>
      <c r="J335" s="22" t="s">
        <v>3060</v>
      </c>
      <c r="K335" s="23" t="s">
        <v>121</v>
      </c>
      <c r="L335" s="24" t="s">
        <v>3061</v>
      </c>
      <c r="M335" s="24" t="s">
        <v>3062</v>
      </c>
      <c r="N335" s="23" t="s">
        <v>3063</v>
      </c>
      <c r="O335" s="24" t="s">
        <v>3064</v>
      </c>
      <c r="P335" s="24" t="s">
        <v>3065</v>
      </c>
      <c r="Q335" s="24" t="s">
        <v>3066</v>
      </c>
      <c r="R335" s="24"/>
      <c r="S335" s="24" t="s">
        <v>129</v>
      </c>
      <c r="T335" s="24" t="str">
        <f aca="false">"["&amp;안내!$C$5&amp;" "&amp;F335&amp;"] "&amp;L335&amp;" | "&amp;J335</f>
        <v>[1분 성경 구약 #136] 왕의 허락 | 느 2:1-20</v>
      </c>
      <c r="U335" s="26" t="n">
        <f aca="false">IF(D335="구약",IF(C335=1,안내!$C$9,안내!$C$10)+AD335-1,IF(C335=1,안내!$C$9,안내!$C$10)+7*INT((AD335-1)/4)+CHOOSE(MOD(AD335-1,4)+1,0,2,4,5))</f>
        <v>46526</v>
      </c>
      <c r="V335" s="23" t="str">
        <f aca="false">CHOOSE(WEEKDAY(U335,2),"월","화","수","목","금","토","일")</f>
        <v>수</v>
      </c>
      <c r="W335" s="24" t="str">
        <f aca="false">IFERROR(IF(INDEX($C$2:$C$799,MATCH(D335&amp;"#"&amp;(E335+1),$AC$2:$AC$799,0))=C335,"다음 편: ","시즌1 완결 · 시즌2 첫 편: ")&amp;INDEX($L$2:$L$799,MATCH(D335&amp;"#"&amp;(E335+1),$AC$2:$AC$799,0)),"구약 트랙 완결")</f>
        <v>다음 편: 한 손엔 연장, 한 손엔 무기</v>
      </c>
      <c r="X335" s="23" t="s">
        <v>130</v>
      </c>
      <c r="Y335" s="23" t="s">
        <v>130</v>
      </c>
      <c r="Z335" s="23" t="s">
        <v>130</v>
      </c>
      <c r="AA335" s="23" t="s">
        <v>130</v>
      </c>
      <c r="AB335" s="24"/>
      <c r="AC335" s="23" t="str">
        <f aca="false">D335&amp;"#"&amp;E335</f>
        <v>구약#136</v>
      </c>
      <c r="AD335" s="23" t="n">
        <f aca="false">COUNTIFS($C$2:C335,C335,$D$2:D335,D335)</f>
        <v>136</v>
      </c>
    </row>
    <row r="336" customFormat="false" ht="26.85" hidden="false" customHeight="false" outlineLevel="0" collapsed="false">
      <c r="A336" s="21" t="n">
        <v>335</v>
      </c>
      <c r="B336" s="18" t="s">
        <v>3067</v>
      </c>
      <c r="C336" s="23" t="n">
        <v>2</v>
      </c>
      <c r="D336" s="23" t="s">
        <v>116</v>
      </c>
      <c r="E336" s="23" t="n">
        <f aca="false">IF(C336=1,COUNTIFS($C$2:C336,1,$D$2:D336,D336),COUNTIFS($C$2:$C$799,1,$D$2:$D$799,D336)+COUNTIFS($C$2:C336,2,$D$2:D336,D336))</f>
        <v>381</v>
      </c>
      <c r="F336" s="23" t="str">
        <f aca="false">D336&amp;" #"&amp;TEXT(E336,"000")</f>
        <v>구약 #381</v>
      </c>
      <c r="G336" s="18" t="s">
        <v>3049</v>
      </c>
      <c r="H336" s="18" t="s">
        <v>3068</v>
      </c>
      <c r="I336" s="21" t="s">
        <v>3050</v>
      </c>
      <c r="J336" s="22" t="s">
        <v>3069</v>
      </c>
      <c r="K336" s="23" t="s">
        <v>1085</v>
      </c>
      <c r="L336" s="24" t="s">
        <v>3070</v>
      </c>
      <c r="M336" s="24" t="s">
        <v>3071</v>
      </c>
      <c r="N336" s="23" t="s">
        <v>3072</v>
      </c>
      <c r="O336" s="24" t="s">
        <v>3073</v>
      </c>
      <c r="P336" s="24" t="s">
        <v>3074</v>
      </c>
      <c r="Q336" s="24" t="s">
        <v>3075</v>
      </c>
      <c r="R336" s="24"/>
      <c r="S336" s="24" t="s">
        <v>3076</v>
      </c>
      <c r="T336" s="24" t="str">
        <f aca="false">"["&amp;안내!$C$5&amp;" "&amp;F336&amp;"] "&amp;L336&amp;" | "&amp;J336</f>
        <v>[1분 성경 구약 #381] 각자 맡은 구간 | 느 3:1-32</v>
      </c>
      <c r="U336" s="26" t="n">
        <f aca="false">IF(D336="구약",IF(C336=1,안내!$C$9,안내!$C$10)+AD336-1,IF(C336=1,안내!$C$9,안내!$C$10)+7*INT((AD336-1)/4)+CHOOSE(MOD(AD336-1,4)+1,0,2,4,5))</f>
        <v>46778</v>
      </c>
      <c r="V336" s="23" t="str">
        <f aca="false">CHOOSE(WEEKDAY(U336,2),"월","화","수","목","금","토","일")</f>
        <v>수</v>
      </c>
      <c r="W336" s="24" t="str">
        <f aca="false">IFERROR(IF(INDEX($C$2:$C$799,MATCH(D336&amp;"#"&amp;(E336+1),$AC$2:$AC$799,0))=C336,"다음 편: ","시즌1 완결 · 시즌2 첫 편: ")&amp;INDEX($L$2:$L$799,MATCH(D336&amp;"#"&amp;(E336+1),$AC$2:$AC$799,0)),"구약 트랙 완결")</f>
        <v>다음 편: 가난한 형제의 눈물</v>
      </c>
      <c r="X336" s="23" t="s">
        <v>130</v>
      </c>
      <c r="Y336" s="23" t="s">
        <v>130</v>
      </c>
      <c r="Z336" s="23" t="s">
        <v>130</v>
      </c>
      <c r="AA336" s="23" t="s">
        <v>130</v>
      </c>
      <c r="AB336" s="24"/>
      <c r="AC336" s="23" t="str">
        <f aca="false">D336&amp;"#"&amp;E336</f>
        <v>구약#381</v>
      </c>
      <c r="AD336" s="23" t="n">
        <f aca="false">COUNTIFS($C$2:C336,C336,$D$2:D336,D336)</f>
        <v>199</v>
      </c>
    </row>
    <row r="337" customFormat="false" ht="26.85" hidden="false" customHeight="false" outlineLevel="0" collapsed="false">
      <c r="A337" s="21" t="n">
        <v>336</v>
      </c>
      <c r="B337" s="18" t="s">
        <v>3077</v>
      </c>
      <c r="C337" s="20" t="n">
        <v>1</v>
      </c>
      <c r="D337" s="20" t="s">
        <v>116</v>
      </c>
      <c r="E337" s="20" t="n">
        <f aca="false">IF(C337=1,COUNTIFS($C$2:C337,1,$D$2:D337,D337),COUNTIFS($C$2:$C$799,1,$D$2:$D$799,D337)+COUNTIFS($C$2:C337,2,$D$2:D337,D337))</f>
        <v>137</v>
      </c>
      <c r="F337" s="20" t="str">
        <f aca="false">D337&amp;" #"&amp;TEXT(E337,"000")</f>
        <v>구약 #137</v>
      </c>
      <c r="G337" s="18" t="s">
        <v>3049</v>
      </c>
      <c r="H337" s="18" t="s">
        <v>2927</v>
      </c>
      <c r="I337" s="21" t="s">
        <v>3050</v>
      </c>
      <c r="J337" s="22" t="s">
        <v>3078</v>
      </c>
      <c r="K337" s="23" t="s">
        <v>121</v>
      </c>
      <c r="L337" s="24" t="s">
        <v>3079</v>
      </c>
      <c r="M337" s="24" t="s">
        <v>3080</v>
      </c>
      <c r="N337" s="23" t="s">
        <v>3081</v>
      </c>
      <c r="O337" s="24" t="s">
        <v>3082</v>
      </c>
      <c r="P337" s="24" t="s">
        <v>3083</v>
      </c>
      <c r="Q337" s="24" t="s">
        <v>3084</v>
      </c>
      <c r="R337" s="24"/>
      <c r="S337" s="28" t="s">
        <v>3085</v>
      </c>
      <c r="T337" s="24" t="str">
        <f aca="false">"["&amp;안내!$C$5&amp;" "&amp;F337&amp;"] "&amp;L337&amp;" | "&amp;J337</f>
        <v>[1분 성경 구약 #137] 한 손엔 연장, 한 손엔 무기 | 느 4:1-23</v>
      </c>
      <c r="U337" s="26" t="n">
        <f aca="false">IF(D337="구약",IF(C337=1,안내!$C$9,안내!$C$10)+AD337-1,IF(C337=1,안내!$C$9,안내!$C$10)+7*INT((AD337-1)/4)+CHOOSE(MOD(AD337-1,4)+1,0,2,4,5))</f>
        <v>46527</v>
      </c>
      <c r="V337" s="23" t="str">
        <f aca="false">CHOOSE(WEEKDAY(U337,2),"월","화","수","목","금","토","일")</f>
        <v>목</v>
      </c>
      <c r="W337" s="24" t="str">
        <f aca="false">IFERROR(IF(INDEX($C$2:$C$799,MATCH(D337&amp;"#"&amp;(E337+1),$AC$2:$AC$799,0))=C337,"다음 편: ","시즌1 완결 · 시즌2 첫 편: ")&amp;INDEX($L$2:$L$799,MATCH(D337&amp;"#"&amp;(E337+1),$AC$2:$AC$799,0)),"구약 트랙 완결")</f>
        <v>다음 편: 수문 앞의 말씀</v>
      </c>
      <c r="X337" s="23" t="s">
        <v>130</v>
      </c>
      <c r="Y337" s="23" t="s">
        <v>130</v>
      </c>
      <c r="Z337" s="23" t="s">
        <v>130</v>
      </c>
      <c r="AA337" s="23" t="s">
        <v>130</v>
      </c>
      <c r="AB337" s="24"/>
      <c r="AC337" s="23" t="str">
        <f aca="false">D337&amp;"#"&amp;E337</f>
        <v>구약#137</v>
      </c>
      <c r="AD337" s="23" t="n">
        <f aca="false">COUNTIFS($C$2:C337,C337,$D$2:D337,D337)</f>
        <v>137</v>
      </c>
    </row>
    <row r="338" customFormat="false" ht="26.85" hidden="false" customHeight="false" outlineLevel="0" collapsed="false">
      <c r="A338" s="21" t="n">
        <v>337</v>
      </c>
      <c r="B338" s="18" t="s">
        <v>3086</v>
      </c>
      <c r="C338" s="23" t="n">
        <v>2</v>
      </c>
      <c r="D338" s="23" t="s">
        <v>116</v>
      </c>
      <c r="E338" s="23" t="n">
        <f aca="false">IF(C338=1,COUNTIFS($C$2:C338,1,$D$2:D338,D338),COUNTIFS($C$2:$C$799,1,$D$2:$D$799,D338)+COUNTIFS($C$2:C338,2,$D$2:D338,D338))</f>
        <v>382</v>
      </c>
      <c r="F338" s="23" t="str">
        <f aca="false">D338&amp;" #"&amp;TEXT(E338,"000")</f>
        <v>구약 #382</v>
      </c>
      <c r="G338" s="18" t="s">
        <v>3049</v>
      </c>
      <c r="H338" s="18" t="s">
        <v>3068</v>
      </c>
      <c r="I338" s="21" t="s">
        <v>3050</v>
      </c>
      <c r="J338" s="22" t="s">
        <v>3087</v>
      </c>
      <c r="K338" s="23" t="s">
        <v>121</v>
      </c>
      <c r="L338" s="24" t="s">
        <v>3088</v>
      </c>
      <c r="M338" s="24" t="s">
        <v>3089</v>
      </c>
      <c r="N338" s="23" t="s">
        <v>3090</v>
      </c>
      <c r="O338" s="24" t="s">
        <v>3091</v>
      </c>
      <c r="P338" s="24" t="s">
        <v>3092</v>
      </c>
      <c r="Q338" s="24" t="s">
        <v>2330</v>
      </c>
      <c r="R338" s="24"/>
      <c r="S338" s="24" t="s">
        <v>3093</v>
      </c>
      <c r="T338" s="24" t="str">
        <f aca="false">"["&amp;안내!$C$5&amp;" "&amp;F338&amp;"] "&amp;L338&amp;" | "&amp;J338</f>
        <v>[1분 성경 구약 #382] 가난한 형제의 눈물 | 느 5:1-19</v>
      </c>
      <c r="U338" s="26" t="n">
        <f aca="false">IF(D338="구약",IF(C338=1,안내!$C$9,안내!$C$10)+AD338-1,IF(C338=1,안내!$C$9,안내!$C$10)+7*INT((AD338-1)/4)+CHOOSE(MOD(AD338-1,4)+1,0,2,4,5))</f>
        <v>46779</v>
      </c>
      <c r="V338" s="23" t="str">
        <f aca="false">CHOOSE(WEEKDAY(U338,2),"월","화","수","목","금","토","일")</f>
        <v>목</v>
      </c>
      <c r="W338" s="24" t="str">
        <f aca="false">IFERROR(IF(INDEX($C$2:$C$799,MATCH(D338&amp;"#"&amp;(E338+1),$AC$2:$AC$799,0))=C338,"다음 편: ","시즌1 완결 · 시즌2 첫 편: ")&amp;INDEX($L$2:$L$799,MATCH(D338&amp;"#"&amp;(E338+1),$AC$2:$AC$799,0)),"구약 트랙 완결")</f>
        <v>다음 편: 52일 만의 완성</v>
      </c>
      <c r="X338" s="23" t="s">
        <v>130</v>
      </c>
      <c r="Y338" s="23" t="s">
        <v>130</v>
      </c>
      <c r="Z338" s="23" t="s">
        <v>130</v>
      </c>
      <c r="AA338" s="23" t="s">
        <v>130</v>
      </c>
      <c r="AB338" s="24"/>
      <c r="AC338" s="23" t="str">
        <f aca="false">D338&amp;"#"&amp;E338</f>
        <v>구약#382</v>
      </c>
      <c r="AD338" s="23" t="n">
        <f aca="false">COUNTIFS($C$2:C338,C338,$D$2:D338,D338)</f>
        <v>200</v>
      </c>
    </row>
    <row r="339" customFormat="false" ht="26.85" hidden="false" customHeight="false" outlineLevel="0" collapsed="false">
      <c r="A339" s="21" t="n">
        <v>338</v>
      </c>
      <c r="B339" s="18" t="s">
        <v>3094</v>
      </c>
      <c r="C339" s="23" t="n">
        <v>2</v>
      </c>
      <c r="D339" s="23" t="s">
        <v>116</v>
      </c>
      <c r="E339" s="23" t="n">
        <f aca="false">IF(C339=1,COUNTIFS($C$2:C339,1,$D$2:D339,D339),COUNTIFS($C$2:$C$799,1,$D$2:$D$799,D339)+COUNTIFS($C$2:C339,2,$D$2:D339,D339))</f>
        <v>383</v>
      </c>
      <c r="F339" s="23" t="str">
        <f aca="false">D339&amp;" #"&amp;TEXT(E339,"000")</f>
        <v>구약 #383</v>
      </c>
      <c r="G339" s="18" t="s">
        <v>3049</v>
      </c>
      <c r="H339" s="18" t="s">
        <v>3068</v>
      </c>
      <c r="I339" s="21" t="s">
        <v>3050</v>
      </c>
      <c r="J339" s="22" t="s">
        <v>3095</v>
      </c>
      <c r="K339" s="23" t="s">
        <v>121</v>
      </c>
      <c r="L339" s="29" t="s">
        <v>3096</v>
      </c>
      <c r="M339" s="24" t="s">
        <v>3097</v>
      </c>
      <c r="N339" s="23" t="s">
        <v>3098</v>
      </c>
      <c r="O339" s="24" t="s">
        <v>3099</v>
      </c>
      <c r="P339" s="24" t="s">
        <v>3100</v>
      </c>
      <c r="Q339" s="24" t="s">
        <v>3101</v>
      </c>
      <c r="R339" s="24"/>
      <c r="S339" s="24" t="s">
        <v>3093</v>
      </c>
      <c r="T339" s="24" t="str">
        <f aca="false">"["&amp;안내!$C$5&amp;" "&amp;F339&amp;"] "&amp;L339&amp;" | "&amp;J339</f>
        <v>[1분 성경 구약 #383] 52일 만의 완성 | 느 6:1-19</v>
      </c>
      <c r="U339" s="26" t="n">
        <f aca="false">IF(D339="구약",IF(C339=1,안내!$C$9,안내!$C$10)+AD339-1,IF(C339=1,안내!$C$9,안내!$C$10)+7*INT((AD339-1)/4)+CHOOSE(MOD(AD339-1,4)+1,0,2,4,5))</f>
        <v>46780</v>
      </c>
      <c r="V339" s="23" t="str">
        <f aca="false">CHOOSE(WEEKDAY(U339,2),"월","화","수","목","금","토","일")</f>
        <v>금</v>
      </c>
      <c r="W339" s="24" t="str">
        <f aca="false">IFERROR(IF(INDEX($C$2:$C$799,MATCH(D339&amp;"#"&amp;(E339+1),$AC$2:$AC$799,0))=C339,"다음 편: ","시즌1 완결 · 시즌2 첫 편: ")&amp;INDEX($L$2:$L$799,MATCH(D339&amp;"#"&amp;(E339+1),$AC$2:$AC$799,0)),"구약 트랙 완결")</f>
        <v>다음 편: 역사를 돌아보는 기도</v>
      </c>
      <c r="X339" s="23" t="s">
        <v>130</v>
      </c>
      <c r="Y339" s="23" t="s">
        <v>130</v>
      </c>
      <c r="Z339" s="23" t="s">
        <v>130</v>
      </c>
      <c r="AA339" s="23" t="s">
        <v>130</v>
      </c>
      <c r="AB339" s="24"/>
      <c r="AC339" s="23" t="str">
        <f aca="false">D339&amp;"#"&amp;E339</f>
        <v>구약#383</v>
      </c>
      <c r="AD339" s="23" t="n">
        <f aca="false">COUNTIFS($C$2:C339,C339,$D$2:D339,D339)</f>
        <v>201</v>
      </c>
    </row>
    <row r="340" customFormat="false" ht="39.55" hidden="false" customHeight="false" outlineLevel="0" collapsed="false">
      <c r="A340" s="21" t="n">
        <v>339</v>
      </c>
      <c r="B340" s="18" t="s">
        <v>3102</v>
      </c>
      <c r="C340" s="20" t="n">
        <v>1</v>
      </c>
      <c r="D340" s="20" t="s">
        <v>116</v>
      </c>
      <c r="E340" s="20" t="n">
        <f aca="false">IF(C340=1,COUNTIFS($C$2:C340,1,$D$2:D340,D340),COUNTIFS($C$2:$C$799,1,$D$2:$D$799,D340)+COUNTIFS($C$2:C340,2,$D$2:D340,D340))</f>
        <v>138</v>
      </c>
      <c r="F340" s="20" t="str">
        <f aca="false">D340&amp;" #"&amp;TEXT(E340,"000")</f>
        <v>구약 #138</v>
      </c>
      <c r="G340" s="18" t="s">
        <v>3049</v>
      </c>
      <c r="H340" s="18" t="s">
        <v>2927</v>
      </c>
      <c r="I340" s="21" t="s">
        <v>3050</v>
      </c>
      <c r="J340" s="22" t="s">
        <v>3103</v>
      </c>
      <c r="K340" s="23" t="s">
        <v>121</v>
      </c>
      <c r="L340" s="24" t="s">
        <v>3104</v>
      </c>
      <c r="M340" s="24" t="s">
        <v>3105</v>
      </c>
      <c r="N340" s="23" t="s">
        <v>3106</v>
      </c>
      <c r="O340" s="24" t="s">
        <v>3107</v>
      </c>
      <c r="P340" s="24" t="s">
        <v>3108</v>
      </c>
      <c r="Q340" s="24" t="s">
        <v>3109</v>
      </c>
      <c r="R340" s="24"/>
      <c r="S340" s="28" t="s">
        <v>3110</v>
      </c>
      <c r="T340" s="24" t="str">
        <f aca="false">"["&amp;안내!$C$5&amp;" "&amp;F340&amp;"] "&amp;L340&amp;" | "&amp;J340</f>
        <v>[1분 성경 구약 #138] 수문 앞의 말씀 | 느 7:1-8:18</v>
      </c>
      <c r="U340" s="26" t="n">
        <f aca="false">IF(D340="구약",IF(C340=1,안내!$C$9,안내!$C$10)+AD340-1,IF(C340=1,안내!$C$9,안내!$C$10)+7*INT((AD340-1)/4)+CHOOSE(MOD(AD340-1,4)+1,0,2,4,5))</f>
        <v>46528</v>
      </c>
      <c r="V340" s="23" t="str">
        <f aca="false">CHOOSE(WEEKDAY(U340,2),"월","화","수","목","금","토","일")</f>
        <v>금</v>
      </c>
      <c r="W340" s="24" t="str">
        <f aca="false">IFERROR(IF(INDEX($C$2:$C$799,MATCH(D340&amp;"#"&amp;(E340+1),$AC$2:$AC$799,0))=C340,"다음 편: ","시즌1 완결 · 시즌2 첫 편: ")&amp;INDEX($L$2:$L$799,MATCH(D340&amp;"#"&amp;(E340+1),$AC$2:$AC$799,0)),"구약 트랙 완결")</f>
        <v>다음 편: 새 왕비</v>
      </c>
      <c r="X340" s="23" t="s">
        <v>130</v>
      </c>
      <c r="Y340" s="23" t="s">
        <v>130</v>
      </c>
      <c r="Z340" s="23" t="s">
        <v>130</v>
      </c>
      <c r="AA340" s="23" t="s">
        <v>130</v>
      </c>
      <c r="AB340" s="24"/>
      <c r="AC340" s="23" t="str">
        <f aca="false">D340&amp;"#"&amp;E340</f>
        <v>구약#138</v>
      </c>
      <c r="AD340" s="23" t="n">
        <f aca="false">COUNTIFS($C$2:C340,C340,$D$2:D340,D340)</f>
        <v>138</v>
      </c>
    </row>
    <row r="341" customFormat="false" ht="26.85" hidden="false" customHeight="false" outlineLevel="0" collapsed="false">
      <c r="A341" s="21" t="n">
        <v>340</v>
      </c>
      <c r="B341" s="18" t="s">
        <v>3111</v>
      </c>
      <c r="C341" s="23" t="n">
        <v>2</v>
      </c>
      <c r="D341" s="23" t="s">
        <v>116</v>
      </c>
      <c r="E341" s="23" t="n">
        <f aca="false">IF(C341=1,COUNTIFS($C$2:C341,1,$D$2:D341,D341),COUNTIFS($C$2:$C$799,1,$D$2:$D$799,D341)+COUNTIFS($C$2:C341,2,$D$2:D341,D341))</f>
        <v>384</v>
      </c>
      <c r="F341" s="23" t="str">
        <f aca="false">D341&amp;" #"&amp;TEXT(E341,"000")</f>
        <v>구약 #384</v>
      </c>
      <c r="G341" s="18" t="s">
        <v>3049</v>
      </c>
      <c r="H341" s="18" t="s">
        <v>3068</v>
      </c>
      <c r="I341" s="21" t="s">
        <v>3050</v>
      </c>
      <c r="J341" s="22" t="s">
        <v>3112</v>
      </c>
      <c r="K341" s="23" t="s">
        <v>1085</v>
      </c>
      <c r="L341" s="24" t="s">
        <v>3113</v>
      </c>
      <c r="M341" s="24" t="s">
        <v>3114</v>
      </c>
      <c r="N341" s="23" t="s">
        <v>3115</v>
      </c>
      <c r="O341" s="24" t="s">
        <v>3116</v>
      </c>
      <c r="P341" s="24" t="s">
        <v>3117</v>
      </c>
      <c r="Q341" s="24" t="s">
        <v>3118</v>
      </c>
      <c r="R341" s="24"/>
      <c r="S341" s="24" t="s">
        <v>3119</v>
      </c>
      <c r="T341" s="24" t="str">
        <f aca="false">"["&amp;안내!$C$5&amp;" "&amp;F341&amp;"] "&amp;L341&amp;" | "&amp;J341</f>
        <v>[1분 성경 구약 #384] 역사를 돌아보는 기도 | 느 9:1-10:39</v>
      </c>
      <c r="U341" s="26" t="n">
        <f aca="false">IF(D341="구약",IF(C341=1,안내!$C$9,안내!$C$10)+AD341-1,IF(C341=1,안내!$C$9,안내!$C$10)+7*INT((AD341-1)/4)+CHOOSE(MOD(AD341-1,4)+1,0,2,4,5))</f>
        <v>46781</v>
      </c>
      <c r="V341" s="23" t="str">
        <f aca="false">CHOOSE(WEEKDAY(U341,2),"월","화","수","목","금","토","일")</f>
        <v>토</v>
      </c>
      <c r="W341" s="24" t="str">
        <f aca="false">IFERROR(IF(INDEX($C$2:$C$799,MATCH(D341&amp;"#"&amp;(E341+1),$AC$2:$AC$799,0))=C341,"다음 편: ","시즌1 완결 · 시즌2 첫 편: ")&amp;INDEX($L$2:$L$799,MATCH(D341&amp;"#"&amp;(E341+1),$AC$2:$AC$799,0)),"구약 트랙 완결")</f>
        <v>다음 편: 봉헌의 기쁨과 다시 하는 개혁</v>
      </c>
      <c r="X341" s="23" t="s">
        <v>130</v>
      </c>
      <c r="Y341" s="23" t="s">
        <v>130</v>
      </c>
      <c r="Z341" s="23" t="s">
        <v>130</v>
      </c>
      <c r="AA341" s="23" t="s">
        <v>130</v>
      </c>
      <c r="AB341" s="24"/>
      <c r="AC341" s="23" t="str">
        <f aca="false">D341&amp;"#"&amp;E341</f>
        <v>구약#384</v>
      </c>
      <c r="AD341" s="23" t="n">
        <f aca="false">COUNTIFS($C$2:C341,C341,$D$2:D341,D341)</f>
        <v>202</v>
      </c>
    </row>
    <row r="342" customFormat="false" ht="26.85" hidden="false" customHeight="false" outlineLevel="0" collapsed="false">
      <c r="A342" s="21" t="n">
        <v>341</v>
      </c>
      <c r="B342" s="18" t="s">
        <v>3120</v>
      </c>
      <c r="C342" s="23" t="n">
        <v>2</v>
      </c>
      <c r="D342" s="23" t="s">
        <v>116</v>
      </c>
      <c r="E342" s="23" t="n">
        <f aca="false">IF(C342=1,COUNTIFS($C$2:C342,1,$D$2:D342,D342),COUNTIFS($C$2:$C$799,1,$D$2:$D$799,D342)+COUNTIFS($C$2:C342,2,$D$2:D342,D342))</f>
        <v>385</v>
      </c>
      <c r="F342" s="23" t="str">
        <f aca="false">D342&amp;" #"&amp;TEXT(E342,"000")</f>
        <v>구약 #385</v>
      </c>
      <c r="G342" s="18" t="s">
        <v>3049</v>
      </c>
      <c r="H342" s="18" t="s">
        <v>3068</v>
      </c>
      <c r="I342" s="21" t="s">
        <v>3050</v>
      </c>
      <c r="J342" s="22" t="s">
        <v>3121</v>
      </c>
      <c r="K342" s="23" t="s">
        <v>1085</v>
      </c>
      <c r="L342" s="24" t="s">
        <v>3122</v>
      </c>
      <c r="M342" s="24" t="s">
        <v>3123</v>
      </c>
      <c r="N342" s="23" t="s">
        <v>3124</v>
      </c>
      <c r="O342" s="24" t="s">
        <v>3125</v>
      </c>
      <c r="P342" s="24" t="s">
        <v>3126</v>
      </c>
      <c r="Q342" s="24" t="s">
        <v>3127</v>
      </c>
      <c r="R342" s="24"/>
      <c r="S342" s="24" t="s">
        <v>3119</v>
      </c>
      <c r="T342" s="24" t="str">
        <f aca="false">"["&amp;안내!$C$5&amp;" "&amp;F342&amp;"] "&amp;L342&amp;" | "&amp;J342</f>
        <v>[1분 성경 구약 #385] 봉헌의 기쁨과 다시 하는 개혁 | 느 11:1-13:31</v>
      </c>
      <c r="U342" s="26" t="n">
        <f aca="false">IF(D342="구약",IF(C342=1,안내!$C$9,안내!$C$10)+AD342-1,IF(C342=1,안내!$C$9,안내!$C$10)+7*INT((AD342-1)/4)+CHOOSE(MOD(AD342-1,4)+1,0,2,4,5))</f>
        <v>46782</v>
      </c>
      <c r="V342" s="23" t="str">
        <f aca="false">CHOOSE(WEEKDAY(U342,2),"월","화","수","목","금","토","일")</f>
        <v>일</v>
      </c>
      <c r="W342" s="24" t="str">
        <f aca="false">IFERROR(IF(INDEX($C$2:$C$799,MATCH(D342&amp;"#"&amp;(E342+1),$AC$2:$AC$799,0))=C342,"다음 편: ","시즌1 완결 · 시즌2 첫 편: ")&amp;INDEX($L$2:$L$799,MATCH(D342&amp;"#"&amp;(E342+1),$AC$2:$AC$799,0)),"구약 트랙 완결")</f>
        <v>다음 편: 거절한 왕비</v>
      </c>
      <c r="X342" s="23" t="s">
        <v>130</v>
      </c>
      <c r="Y342" s="23" t="s">
        <v>130</v>
      </c>
      <c r="Z342" s="23" t="s">
        <v>130</v>
      </c>
      <c r="AA342" s="23" t="s">
        <v>130</v>
      </c>
      <c r="AB342" s="24"/>
      <c r="AC342" s="23" t="str">
        <f aca="false">D342&amp;"#"&amp;E342</f>
        <v>구약#385</v>
      </c>
      <c r="AD342" s="23" t="n">
        <f aca="false">COUNTIFS($C$2:C342,C342,$D$2:D342,D342)</f>
        <v>203</v>
      </c>
    </row>
    <row r="343" customFormat="false" ht="26.85" hidden="false" customHeight="false" outlineLevel="0" collapsed="false">
      <c r="A343" s="21" t="n">
        <v>342</v>
      </c>
      <c r="B343" s="18" t="s">
        <v>3128</v>
      </c>
      <c r="C343" s="23" t="n">
        <v>2</v>
      </c>
      <c r="D343" s="23" t="s">
        <v>116</v>
      </c>
      <c r="E343" s="23" t="n">
        <f aca="false">IF(C343=1,COUNTIFS($C$2:C343,1,$D$2:D343,D343),COUNTIFS($C$2:$C$799,1,$D$2:$D$799,D343)+COUNTIFS($C$2:C343,2,$D$2:D343,D343))</f>
        <v>386</v>
      </c>
      <c r="F343" s="23" t="str">
        <f aca="false">D343&amp;" #"&amp;TEXT(E343,"000")</f>
        <v>구약 #386</v>
      </c>
      <c r="G343" s="18" t="s">
        <v>3129</v>
      </c>
      <c r="H343" s="18" t="s">
        <v>3068</v>
      </c>
      <c r="I343" s="21" t="s">
        <v>3130</v>
      </c>
      <c r="J343" s="22" t="s">
        <v>3131</v>
      </c>
      <c r="K343" s="23" t="s">
        <v>121</v>
      </c>
      <c r="L343" s="24" t="s">
        <v>3132</v>
      </c>
      <c r="M343" s="24" t="s">
        <v>3133</v>
      </c>
      <c r="N343" s="23" t="s">
        <v>3134</v>
      </c>
      <c r="O343" s="24" t="s">
        <v>3135</v>
      </c>
      <c r="P343" s="24" t="s">
        <v>3136</v>
      </c>
      <c r="Q343" s="24" t="s">
        <v>3137</v>
      </c>
      <c r="R343" s="25" t="s">
        <v>3138</v>
      </c>
      <c r="S343" s="24" t="s">
        <v>3119</v>
      </c>
      <c r="T343" s="24" t="str">
        <f aca="false">"["&amp;안내!$C$5&amp;" "&amp;F343&amp;"] "&amp;L343&amp;" | "&amp;J343</f>
        <v>[1분 성경 구약 #386] 거절한 왕비 | 에 1:1-22</v>
      </c>
      <c r="U343" s="26" t="n">
        <f aca="false">IF(D343="구약",IF(C343=1,안내!$C$9,안내!$C$10)+AD343-1,IF(C343=1,안내!$C$9,안내!$C$10)+7*INT((AD343-1)/4)+CHOOSE(MOD(AD343-1,4)+1,0,2,4,5))</f>
        <v>46783</v>
      </c>
      <c r="V343" s="23" t="str">
        <f aca="false">CHOOSE(WEEKDAY(U343,2),"월","화","수","목","금","토","일")</f>
        <v>월</v>
      </c>
      <c r="W343" s="24" t="str">
        <f aca="false">IFERROR(IF(INDEX($C$2:$C$799,MATCH(D343&amp;"#"&amp;(E343+1),$AC$2:$AC$799,0))=C343,"다음 편: ","시즌1 완결 · 시즌2 첫 편: ")&amp;INDEX($L$2:$L$799,MATCH(D343&amp;"#"&amp;(E343+1),$AC$2:$AC$799,0)),"구약 트랙 완결")</f>
        <v>다음 편: 기록된 충성</v>
      </c>
      <c r="X343" s="23" t="s">
        <v>130</v>
      </c>
      <c r="Y343" s="23" t="s">
        <v>130</v>
      </c>
      <c r="Z343" s="23" t="s">
        <v>130</v>
      </c>
      <c r="AA343" s="23" t="s">
        <v>130</v>
      </c>
      <c r="AB343" s="24"/>
      <c r="AC343" s="23" t="str">
        <f aca="false">D343&amp;"#"&amp;E343</f>
        <v>구약#386</v>
      </c>
      <c r="AD343" s="23" t="n">
        <f aca="false">COUNTIFS($C$2:C343,C343,$D$2:D343,D343)</f>
        <v>204</v>
      </c>
    </row>
    <row r="344" customFormat="false" ht="52.2" hidden="false" customHeight="false" outlineLevel="0" collapsed="false">
      <c r="A344" s="21" t="n">
        <v>343</v>
      </c>
      <c r="B344" s="18" t="s">
        <v>3139</v>
      </c>
      <c r="C344" s="20" t="n">
        <v>1</v>
      </c>
      <c r="D344" s="20" t="s">
        <v>116</v>
      </c>
      <c r="E344" s="20" t="n">
        <f aca="false">IF(C344=1,COUNTIFS($C$2:C344,1,$D$2:D344,D344),COUNTIFS($C$2:$C$799,1,$D$2:$D$799,D344)+COUNTIFS($C$2:C344,2,$D$2:D344,D344))</f>
        <v>139</v>
      </c>
      <c r="F344" s="20" t="str">
        <f aca="false">D344&amp;" #"&amp;TEXT(E344,"000")</f>
        <v>구약 #139</v>
      </c>
      <c r="G344" s="18" t="s">
        <v>3129</v>
      </c>
      <c r="H344" s="18" t="s">
        <v>3140</v>
      </c>
      <c r="I344" s="21" t="s">
        <v>3130</v>
      </c>
      <c r="J344" s="22" t="s">
        <v>3141</v>
      </c>
      <c r="K344" s="23" t="s">
        <v>121</v>
      </c>
      <c r="L344" s="24" t="s">
        <v>3142</v>
      </c>
      <c r="M344" s="24" t="s">
        <v>3143</v>
      </c>
      <c r="N344" s="23" t="s">
        <v>3144</v>
      </c>
      <c r="O344" s="24" t="s">
        <v>3145</v>
      </c>
      <c r="P344" s="24" t="s">
        <v>3146</v>
      </c>
      <c r="Q344" s="24" t="s">
        <v>3147</v>
      </c>
      <c r="R344" s="24"/>
      <c r="S344" s="28" t="s">
        <v>3148</v>
      </c>
      <c r="T344" s="24" t="str">
        <f aca="false">"["&amp;안내!$C$5&amp;" "&amp;F344&amp;"] "&amp;L344&amp;" | "&amp;J344</f>
        <v>[1분 성경 구약 #139] 새 왕비 | 에 2:1-18</v>
      </c>
      <c r="U344" s="26" t="n">
        <f aca="false">IF(D344="구약",IF(C344=1,안내!$C$9,안내!$C$10)+AD344-1,IF(C344=1,안내!$C$9,안내!$C$10)+7*INT((AD344-1)/4)+CHOOSE(MOD(AD344-1,4)+1,0,2,4,5))</f>
        <v>46529</v>
      </c>
      <c r="V344" s="23" t="str">
        <f aca="false">CHOOSE(WEEKDAY(U344,2),"월","화","수","목","금","토","일")</f>
        <v>토</v>
      </c>
      <c r="W344" s="24" t="str">
        <f aca="false">IFERROR(IF(INDEX($C$2:$C$799,MATCH(D344&amp;"#"&amp;(E344+1),$AC$2:$AC$799,0))=C344,"다음 편: ","시즌1 완결 · 시즌2 첫 편: ")&amp;INDEX($L$2:$L$799,MATCH(D344&amp;"#"&amp;(E344+1),$AC$2:$AC$799,0)),"구약 트랙 완결")</f>
        <v>다음 편: 하만의 음모</v>
      </c>
      <c r="X344" s="23" t="s">
        <v>130</v>
      </c>
      <c r="Y344" s="23" t="s">
        <v>130</v>
      </c>
      <c r="Z344" s="23" t="s">
        <v>130</v>
      </c>
      <c r="AA344" s="23" t="s">
        <v>130</v>
      </c>
      <c r="AB344" s="24"/>
      <c r="AC344" s="23" t="str">
        <f aca="false">D344&amp;"#"&amp;E344</f>
        <v>구약#139</v>
      </c>
      <c r="AD344" s="23" t="n">
        <f aca="false">COUNTIFS($C$2:C344,C344,$D$2:D344,D344)</f>
        <v>139</v>
      </c>
    </row>
    <row r="345" customFormat="false" ht="26.85" hidden="false" customHeight="false" outlineLevel="0" collapsed="false">
      <c r="A345" s="21" t="n">
        <v>344</v>
      </c>
      <c r="B345" s="18" t="s">
        <v>3149</v>
      </c>
      <c r="C345" s="23" t="n">
        <v>2</v>
      </c>
      <c r="D345" s="23" t="s">
        <v>116</v>
      </c>
      <c r="E345" s="23" t="n">
        <f aca="false">IF(C345=1,COUNTIFS($C$2:C345,1,$D$2:D345,D345),COUNTIFS($C$2:$C$799,1,$D$2:$D$799,D345)+COUNTIFS($C$2:C345,2,$D$2:D345,D345))</f>
        <v>387</v>
      </c>
      <c r="F345" s="23" t="str">
        <f aca="false">D345&amp;" #"&amp;TEXT(E345,"000")</f>
        <v>구약 #387</v>
      </c>
      <c r="G345" s="18" t="s">
        <v>3129</v>
      </c>
      <c r="H345" s="18" t="s">
        <v>3068</v>
      </c>
      <c r="I345" s="21" t="s">
        <v>3130</v>
      </c>
      <c r="J345" s="22" t="s">
        <v>3150</v>
      </c>
      <c r="K345" s="23" t="s">
        <v>121</v>
      </c>
      <c r="L345" s="24" t="s">
        <v>3151</v>
      </c>
      <c r="M345" s="24" t="s">
        <v>3152</v>
      </c>
      <c r="N345" s="23" t="s">
        <v>3153</v>
      </c>
      <c r="O345" s="24" t="s">
        <v>3154</v>
      </c>
      <c r="P345" s="24" t="s">
        <v>3155</v>
      </c>
      <c r="Q345" s="24" t="s">
        <v>3156</v>
      </c>
      <c r="R345" s="24"/>
      <c r="S345" s="24" t="s">
        <v>3157</v>
      </c>
      <c r="T345" s="24" t="str">
        <f aca="false">"["&amp;안내!$C$5&amp;" "&amp;F345&amp;"] "&amp;L345&amp;" | "&amp;J345</f>
        <v>[1분 성경 구약 #387] 기록된 충성 | 에 2:19-23</v>
      </c>
      <c r="U345" s="26" t="n">
        <f aca="false">IF(D345="구약",IF(C345=1,안내!$C$9,안내!$C$10)+AD345-1,IF(C345=1,안내!$C$9,안내!$C$10)+7*INT((AD345-1)/4)+CHOOSE(MOD(AD345-1,4)+1,0,2,4,5))</f>
        <v>46784</v>
      </c>
      <c r="V345" s="23" t="str">
        <f aca="false">CHOOSE(WEEKDAY(U345,2),"월","화","수","목","금","토","일")</f>
        <v>화</v>
      </c>
      <c r="W345" s="24" t="str">
        <f aca="false">IFERROR(IF(INDEX($C$2:$C$799,MATCH(D345&amp;"#"&amp;(E345+1),$AC$2:$AC$799,0))=C345,"다음 편: ","시즌1 완결 · 시즌2 첫 편: ")&amp;INDEX($L$2:$L$799,MATCH(D345&amp;"#"&amp;(E345+1),$AC$2:$AC$799,0)),"구약 트랙 완결")</f>
        <v>다음 편: 왕 앞으로</v>
      </c>
      <c r="X345" s="23" t="s">
        <v>130</v>
      </c>
      <c r="Y345" s="23" t="s">
        <v>130</v>
      </c>
      <c r="Z345" s="23" t="s">
        <v>130</v>
      </c>
      <c r="AA345" s="23" t="s">
        <v>130</v>
      </c>
      <c r="AB345" s="24"/>
      <c r="AC345" s="23" t="str">
        <f aca="false">D345&amp;"#"&amp;E345</f>
        <v>구약#387</v>
      </c>
      <c r="AD345" s="23" t="n">
        <f aca="false">COUNTIFS($C$2:C345,C345,$D$2:D345,D345)</f>
        <v>205</v>
      </c>
    </row>
    <row r="346" customFormat="false" ht="26.85" hidden="false" customHeight="false" outlineLevel="0" collapsed="false">
      <c r="A346" s="21" t="n">
        <v>345</v>
      </c>
      <c r="B346" s="18" t="s">
        <v>3158</v>
      </c>
      <c r="C346" s="20" t="n">
        <v>1</v>
      </c>
      <c r="D346" s="20" t="s">
        <v>116</v>
      </c>
      <c r="E346" s="20" t="n">
        <f aca="false">IF(C346=1,COUNTIFS($C$2:C346,1,$D$2:D346,D346),COUNTIFS($C$2:$C$799,1,$D$2:$D$799,D346)+COUNTIFS($C$2:C346,2,$D$2:D346,D346))</f>
        <v>140</v>
      </c>
      <c r="F346" s="20" t="str">
        <f aca="false">D346&amp;" #"&amp;TEXT(E346,"000")</f>
        <v>구약 #140</v>
      </c>
      <c r="G346" s="18" t="s">
        <v>3129</v>
      </c>
      <c r="H346" s="18" t="s">
        <v>3140</v>
      </c>
      <c r="I346" s="21" t="s">
        <v>3130</v>
      </c>
      <c r="J346" s="22" t="s">
        <v>3159</v>
      </c>
      <c r="K346" s="23" t="s">
        <v>121</v>
      </c>
      <c r="L346" s="24" t="s">
        <v>3160</v>
      </c>
      <c r="M346" s="24" t="s">
        <v>3161</v>
      </c>
      <c r="N346" s="23" t="s">
        <v>3162</v>
      </c>
      <c r="O346" s="24" t="s">
        <v>3163</v>
      </c>
      <c r="P346" s="24" t="s">
        <v>3164</v>
      </c>
      <c r="Q346" s="24" t="s">
        <v>3165</v>
      </c>
      <c r="R346" s="24"/>
      <c r="S346" s="28" t="s">
        <v>3166</v>
      </c>
      <c r="T346" s="24" t="str">
        <f aca="false">"["&amp;안내!$C$5&amp;" "&amp;F346&amp;"] "&amp;L346&amp;" | "&amp;J346</f>
        <v>[1분 성경 구약 #140] 하만의 음모 | 에 3:1-15</v>
      </c>
      <c r="U346" s="26" t="n">
        <f aca="false">IF(D346="구약",IF(C346=1,안내!$C$9,안내!$C$10)+AD346-1,IF(C346=1,안내!$C$9,안내!$C$10)+7*INT((AD346-1)/4)+CHOOSE(MOD(AD346-1,4)+1,0,2,4,5))</f>
        <v>46530</v>
      </c>
      <c r="V346" s="23" t="str">
        <f aca="false">CHOOSE(WEEKDAY(U346,2),"월","화","수","목","금","토","일")</f>
        <v>일</v>
      </c>
      <c r="W346" s="24" t="str">
        <f aca="false">IFERROR(IF(INDEX($C$2:$C$799,MATCH(D346&amp;"#"&amp;(E346+1),$AC$2:$AC$799,0))=C346,"다음 편: ","시즌1 완결 · 시즌2 첫 편: ")&amp;INDEX($L$2:$L$799,MATCH(D346&amp;"#"&amp;(E346+1),$AC$2:$AC$799,0)),"구약 트랙 완결")</f>
        <v>다음 편: 죽으면 죽으리라</v>
      </c>
      <c r="X346" s="23" t="s">
        <v>130</v>
      </c>
      <c r="Y346" s="23" t="s">
        <v>130</v>
      </c>
      <c r="Z346" s="23" t="s">
        <v>130</v>
      </c>
      <c r="AA346" s="23" t="s">
        <v>130</v>
      </c>
      <c r="AB346" s="24"/>
      <c r="AC346" s="23" t="str">
        <f aca="false">D346&amp;"#"&amp;E346</f>
        <v>구약#140</v>
      </c>
      <c r="AD346" s="23" t="n">
        <f aca="false">COUNTIFS($C$2:C346,C346,$D$2:D346,D346)</f>
        <v>140</v>
      </c>
    </row>
    <row r="347" customFormat="false" ht="26.85" hidden="false" customHeight="false" outlineLevel="0" collapsed="false">
      <c r="A347" s="21" t="n">
        <v>346</v>
      </c>
      <c r="B347" s="18" t="s">
        <v>3167</v>
      </c>
      <c r="C347" s="20" t="n">
        <v>1</v>
      </c>
      <c r="D347" s="20" t="s">
        <v>116</v>
      </c>
      <c r="E347" s="20" t="n">
        <f aca="false">IF(C347=1,COUNTIFS($C$2:C347,1,$D$2:D347,D347),COUNTIFS($C$2:$C$799,1,$D$2:$D$799,D347)+COUNTIFS($C$2:C347,2,$D$2:D347,D347))</f>
        <v>141</v>
      </c>
      <c r="F347" s="20" t="str">
        <f aca="false">D347&amp;" #"&amp;TEXT(E347,"000")</f>
        <v>구약 #141</v>
      </c>
      <c r="G347" s="18" t="s">
        <v>3129</v>
      </c>
      <c r="H347" s="18" t="s">
        <v>3140</v>
      </c>
      <c r="I347" s="21" t="s">
        <v>3130</v>
      </c>
      <c r="J347" s="22" t="s">
        <v>3168</v>
      </c>
      <c r="K347" s="23" t="s">
        <v>121</v>
      </c>
      <c r="L347" s="24" t="s">
        <v>3169</v>
      </c>
      <c r="M347" s="24" t="s">
        <v>3170</v>
      </c>
      <c r="N347" s="23" t="s">
        <v>3171</v>
      </c>
      <c r="O347" s="24" t="s">
        <v>3172</v>
      </c>
      <c r="P347" s="24" t="s">
        <v>3173</v>
      </c>
      <c r="Q347" s="24" t="s">
        <v>3174</v>
      </c>
      <c r="R347" s="24"/>
      <c r="S347" s="24" t="s">
        <v>129</v>
      </c>
      <c r="T347" s="24" t="str">
        <f aca="false">"["&amp;안내!$C$5&amp;" "&amp;F347&amp;"] "&amp;L347&amp;" | "&amp;J347</f>
        <v>[1분 성경 구약 #141] 죽으면 죽으리라 | 에 4:1-17</v>
      </c>
      <c r="U347" s="26" t="n">
        <f aca="false">IF(D347="구약",IF(C347=1,안내!$C$9,안내!$C$10)+AD347-1,IF(C347=1,안내!$C$9,안내!$C$10)+7*INT((AD347-1)/4)+CHOOSE(MOD(AD347-1,4)+1,0,2,4,5))</f>
        <v>46531</v>
      </c>
      <c r="V347" s="23" t="str">
        <f aca="false">CHOOSE(WEEKDAY(U347,2),"월","화","수","목","금","토","일")</f>
        <v>월</v>
      </c>
      <c r="W347" s="24" t="str">
        <f aca="false">IFERROR(IF(INDEX($C$2:$C$799,MATCH(D347&amp;"#"&amp;(E347+1),$AC$2:$AC$799,0))=C347,"다음 편: ","시즌1 완결 · 시즌2 첫 편: ")&amp;INDEX($L$2:$L$799,MATCH(D347&amp;"#"&amp;(E347+1),$AC$2:$AC$799,0)),"구약 트랙 완결")</f>
        <v>다음 편: 잠 못 이룬 왕</v>
      </c>
      <c r="X347" s="23" t="s">
        <v>130</v>
      </c>
      <c r="Y347" s="23" t="s">
        <v>130</v>
      </c>
      <c r="Z347" s="23" t="s">
        <v>130</v>
      </c>
      <c r="AA347" s="23" t="s">
        <v>130</v>
      </c>
      <c r="AB347" s="24"/>
      <c r="AC347" s="23" t="str">
        <f aca="false">D347&amp;"#"&amp;E347</f>
        <v>구약#141</v>
      </c>
      <c r="AD347" s="23" t="n">
        <f aca="false">COUNTIFS($C$2:C347,C347,$D$2:D347,D347)</f>
        <v>141</v>
      </c>
    </row>
    <row r="348" customFormat="false" ht="15" hidden="false" customHeight="false" outlineLevel="0" collapsed="false">
      <c r="A348" s="21" t="n">
        <v>347</v>
      </c>
      <c r="B348" s="18" t="s">
        <v>3175</v>
      </c>
      <c r="C348" s="23" t="n">
        <v>2</v>
      </c>
      <c r="D348" s="23" t="s">
        <v>116</v>
      </c>
      <c r="E348" s="23" t="n">
        <f aca="false">IF(C348=1,COUNTIFS($C$2:C348,1,$D$2:D348,D348),COUNTIFS($C$2:$C$799,1,$D$2:$D$799,D348)+COUNTIFS($C$2:C348,2,$D$2:D348,D348))</f>
        <v>388</v>
      </c>
      <c r="F348" s="23" t="str">
        <f aca="false">D348&amp;" #"&amp;TEXT(E348,"000")</f>
        <v>구약 #388</v>
      </c>
      <c r="G348" s="18" t="s">
        <v>3129</v>
      </c>
      <c r="H348" s="18" t="s">
        <v>3068</v>
      </c>
      <c r="I348" s="21" t="s">
        <v>3130</v>
      </c>
      <c r="J348" s="22" t="s">
        <v>3176</v>
      </c>
      <c r="K348" s="23" t="s">
        <v>121</v>
      </c>
      <c r="L348" s="24" t="s">
        <v>3177</v>
      </c>
      <c r="M348" s="24" t="s">
        <v>3178</v>
      </c>
      <c r="N348" s="23" t="s">
        <v>3179</v>
      </c>
      <c r="O348" s="24" t="s">
        <v>3180</v>
      </c>
      <c r="P348" s="24" t="s">
        <v>3181</v>
      </c>
      <c r="Q348" s="24" t="s">
        <v>3182</v>
      </c>
      <c r="R348" s="24"/>
      <c r="S348" s="24" t="s">
        <v>3183</v>
      </c>
      <c r="T348" s="24" t="str">
        <f aca="false">"["&amp;안내!$C$5&amp;" "&amp;F348&amp;"] "&amp;L348&amp;" | "&amp;J348</f>
        <v>[1분 성경 구약 #388] 왕 앞으로 | 에 5:1-14</v>
      </c>
      <c r="U348" s="26" t="n">
        <f aca="false">IF(D348="구약",IF(C348=1,안내!$C$9,안내!$C$10)+AD348-1,IF(C348=1,안내!$C$9,안내!$C$10)+7*INT((AD348-1)/4)+CHOOSE(MOD(AD348-1,4)+1,0,2,4,5))</f>
        <v>46785</v>
      </c>
      <c r="V348" s="23" t="str">
        <f aca="false">CHOOSE(WEEKDAY(U348,2),"월","화","수","목","금","토","일")</f>
        <v>수</v>
      </c>
      <c r="W348" s="24" t="str">
        <f aca="false">IFERROR(IF(INDEX($C$2:$C$799,MATCH(D348&amp;"#"&amp;(E348+1),$AC$2:$AC$799,0))=C348,"다음 편: ","시즌1 완결 · 시즌2 첫 편: ")&amp;INDEX($L$2:$L$799,MATCH(D348&amp;"#"&amp;(E348+1),$AC$2:$AC$799,0)),"구약 트랙 완결")</f>
        <v>다음 편: 새로운 조서</v>
      </c>
      <c r="X348" s="23" t="s">
        <v>130</v>
      </c>
      <c r="Y348" s="23" t="s">
        <v>130</v>
      </c>
      <c r="Z348" s="23" t="s">
        <v>130</v>
      </c>
      <c r="AA348" s="23" t="s">
        <v>130</v>
      </c>
      <c r="AB348" s="24"/>
      <c r="AC348" s="23" t="str">
        <f aca="false">D348&amp;"#"&amp;E348</f>
        <v>구약#388</v>
      </c>
      <c r="AD348" s="23" t="n">
        <f aca="false">COUNTIFS($C$2:C348,C348,$D$2:D348,D348)</f>
        <v>206</v>
      </c>
    </row>
    <row r="349" customFormat="false" ht="26.85" hidden="false" customHeight="false" outlineLevel="0" collapsed="false">
      <c r="A349" s="21" t="n">
        <v>348</v>
      </c>
      <c r="B349" s="18" t="s">
        <v>3184</v>
      </c>
      <c r="C349" s="20" t="n">
        <v>1</v>
      </c>
      <c r="D349" s="20" t="s">
        <v>116</v>
      </c>
      <c r="E349" s="20" t="n">
        <f aca="false">IF(C349=1,COUNTIFS($C$2:C349,1,$D$2:D349,D349),COUNTIFS($C$2:$C$799,1,$D$2:$D$799,D349)+COUNTIFS($C$2:C349,2,$D$2:D349,D349))</f>
        <v>142</v>
      </c>
      <c r="F349" s="20" t="str">
        <f aca="false">D349&amp;" #"&amp;TEXT(E349,"000")</f>
        <v>구약 #142</v>
      </c>
      <c r="G349" s="18" t="s">
        <v>3129</v>
      </c>
      <c r="H349" s="18" t="s">
        <v>3140</v>
      </c>
      <c r="I349" s="21" t="s">
        <v>3130</v>
      </c>
      <c r="J349" s="22" t="s">
        <v>3185</v>
      </c>
      <c r="K349" s="23" t="s">
        <v>121</v>
      </c>
      <c r="L349" s="24" t="s">
        <v>3186</v>
      </c>
      <c r="M349" s="24" t="s">
        <v>3187</v>
      </c>
      <c r="N349" s="23" t="s">
        <v>3188</v>
      </c>
      <c r="O349" s="24" t="s">
        <v>3189</v>
      </c>
      <c r="P349" s="24" t="s">
        <v>3190</v>
      </c>
      <c r="Q349" s="24" t="s">
        <v>3191</v>
      </c>
      <c r="R349" s="24"/>
      <c r="S349" s="28" t="s">
        <v>3192</v>
      </c>
      <c r="T349" s="24" t="str">
        <f aca="false">"["&amp;안내!$C$5&amp;" "&amp;F349&amp;"] "&amp;L349&amp;" | "&amp;J349</f>
        <v>[1분 성경 구약 #142] 잠 못 이룬 왕 | 에 6:1-14</v>
      </c>
      <c r="U349" s="26" t="n">
        <f aca="false">IF(D349="구약",IF(C349=1,안내!$C$9,안내!$C$10)+AD349-1,IF(C349=1,안내!$C$9,안내!$C$10)+7*INT((AD349-1)/4)+CHOOSE(MOD(AD349-1,4)+1,0,2,4,5))</f>
        <v>46532</v>
      </c>
      <c r="V349" s="23" t="str">
        <f aca="false">CHOOSE(WEEKDAY(U349,2),"월","화","수","목","금","토","일")</f>
        <v>화</v>
      </c>
      <c r="W349" s="24" t="str">
        <f aca="false">IFERROR(IF(INDEX($C$2:$C$799,MATCH(D349&amp;"#"&amp;(E349+1),$AC$2:$AC$799,0))=C349,"다음 편: ","시즌1 완결 · 시즌2 첫 편: ")&amp;INDEX($L$2:$L$799,MATCH(D349&amp;"#"&amp;(E349+1),$AC$2:$AC$799,0)),"구약 트랙 완결")</f>
        <v>다음 편: 뒤바뀐 운명</v>
      </c>
      <c r="X349" s="23" t="s">
        <v>130</v>
      </c>
      <c r="Y349" s="23" t="s">
        <v>130</v>
      </c>
      <c r="Z349" s="23" t="s">
        <v>130</v>
      </c>
      <c r="AA349" s="23" t="s">
        <v>130</v>
      </c>
      <c r="AB349" s="24"/>
      <c r="AC349" s="23" t="str">
        <f aca="false">D349&amp;"#"&amp;E349</f>
        <v>구약#142</v>
      </c>
      <c r="AD349" s="23" t="n">
        <f aca="false">COUNTIFS($C$2:C349,C349,$D$2:D349,D349)</f>
        <v>142</v>
      </c>
    </row>
    <row r="350" customFormat="false" ht="15" hidden="false" customHeight="false" outlineLevel="0" collapsed="false">
      <c r="A350" s="21" t="n">
        <v>349</v>
      </c>
      <c r="B350" s="18" t="s">
        <v>3193</v>
      </c>
      <c r="C350" s="20" t="n">
        <v>1</v>
      </c>
      <c r="D350" s="20" t="s">
        <v>116</v>
      </c>
      <c r="E350" s="20" t="n">
        <f aca="false">IF(C350=1,COUNTIFS($C$2:C350,1,$D$2:D350,D350),COUNTIFS($C$2:$C$799,1,$D$2:$D$799,D350)+COUNTIFS($C$2:C350,2,$D$2:D350,D350))</f>
        <v>143</v>
      </c>
      <c r="F350" s="20" t="str">
        <f aca="false">D350&amp;" #"&amp;TEXT(E350,"000")</f>
        <v>구약 #143</v>
      </c>
      <c r="G350" s="18" t="s">
        <v>3129</v>
      </c>
      <c r="H350" s="18" t="s">
        <v>3140</v>
      </c>
      <c r="I350" s="21" t="s">
        <v>3130</v>
      </c>
      <c r="J350" s="22" t="s">
        <v>3194</v>
      </c>
      <c r="K350" s="23" t="s">
        <v>121</v>
      </c>
      <c r="L350" s="24" t="s">
        <v>3195</v>
      </c>
      <c r="M350" s="24" t="s">
        <v>3196</v>
      </c>
      <c r="N350" s="23" t="s">
        <v>3197</v>
      </c>
      <c r="O350" s="24" t="s">
        <v>3198</v>
      </c>
      <c r="P350" s="24" t="s">
        <v>3181</v>
      </c>
      <c r="Q350" s="24" t="s">
        <v>3199</v>
      </c>
      <c r="R350" s="25" t="s">
        <v>704</v>
      </c>
      <c r="S350" s="24" t="s">
        <v>129</v>
      </c>
      <c r="T350" s="24" t="str">
        <f aca="false">"["&amp;안내!$C$5&amp;" "&amp;F350&amp;"] "&amp;L350&amp;" | "&amp;J350</f>
        <v>[1분 성경 구약 #143] 뒤바뀐 운명 | 에 7:1-10</v>
      </c>
      <c r="U350" s="26" t="n">
        <f aca="false">IF(D350="구약",IF(C350=1,안내!$C$9,안내!$C$10)+AD350-1,IF(C350=1,안내!$C$9,안내!$C$10)+7*INT((AD350-1)/4)+CHOOSE(MOD(AD350-1,4)+1,0,2,4,5))</f>
        <v>46533</v>
      </c>
      <c r="V350" s="23" t="str">
        <f aca="false">CHOOSE(WEEKDAY(U350,2),"월","화","수","목","금","토","일")</f>
        <v>수</v>
      </c>
      <c r="W350" s="24" t="str">
        <f aca="false">IFERROR(IF(INDEX($C$2:$C$799,MATCH(D350&amp;"#"&amp;(E350+1),$AC$2:$AC$799,0))=C350,"다음 편: ","시즌1 완결 · 시즌2 첫 편: ")&amp;INDEX($L$2:$L$799,MATCH(D350&amp;"#"&amp;(E350+1),$AC$2:$AC$799,0)),"구약 트랙 완결")</f>
        <v>다음 편: 하늘에서 오간 대화</v>
      </c>
      <c r="X350" s="23" t="s">
        <v>130</v>
      </c>
      <c r="Y350" s="23" t="s">
        <v>130</v>
      </c>
      <c r="Z350" s="23" t="s">
        <v>130</v>
      </c>
      <c r="AA350" s="23" t="s">
        <v>130</v>
      </c>
      <c r="AB350" s="24"/>
      <c r="AC350" s="23" t="str">
        <f aca="false">D350&amp;"#"&amp;E350</f>
        <v>구약#143</v>
      </c>
      <c r="AD350" s="23" t="n">
        <f aca="false">COUNTIFS($C$2:C350,C350,$D$2:D350,D350)</f>
        <v>143</v>
      </c>
    </row>
    <row r="351" customFormat="false" ht="15" hidden="false" customHeight="false" outlineLevel="0" collapsed="false">
      <c r="A351" s="21" t="n">
        <v>350</v>
      </c>
      <c r="B351" s="18" t="s">
        <v>3200</v>
      </c>
      <c r="C351" s="23" t="n">
        <v>2</v>
      </c>
      <c r="D351" s="23" t="s">
        <v>116</v>
      </c>
      <c r="E351" s="23" t="n">
        <f aca="false">IF(C351=1,COUNTIFS($C$2:C351,1,$D$2:D351,D351),COUNTIFS($C$2:$C$799,1,$D$2:$D$799,D351)+COUNTIFS($C$2:C351,2,$D$2:D351,D351))</f>
        <v>389</v>
      </c>
      <c r="F351" s="23" t="str">
        <f aca="false">D351&amp;" #"&amp;TEXT(E351,"000")</f>
        <v>구약 #389</v>
      </c>
      <c r="G351" s="18" t="s">
        <v>3129</v>
      </c>
      <c r="H351" s="18" t="s">
        <v>3068</v>
      </c>
      <c r="I351" s="21" t="s">
        <v>3130</v>
      </c>
      <c r="J351" s="22" t="s">
        <v>3201</v>
      </c>
      <c r="K351" s="23" t="s">
        <v>121</v>
      </c>
      <c r="L351" s="24" t="s">
        <v>3202</v>
      </c>
      <c r="M351" s="24" t="s">
        <v>3203</v>
      </c>
      <c r="N351" s="23" t="s">
        <v>3204</v>
      </c>
      <c r="O351" s="24" t="s">
        <v>3205</v>
      </c>
      <c r="P351" s="24" t="s">
        <v>3173</v>
      </c>
      <c r="Q351" s="24" t="s">
        <v>3206</v>
      </c>
      <c r="R351" s="24"/>
      <c r="S351" s="24" t="s">
        <v>3207</v>
      </c>
      <c r="T351" s="24" t="str">
        <f aca="false">"["&amp;안내!$C$5&amp;" "&amp;F351&amp;"] "&amp;L351&amp;" | "&amp;J351</f>
        <v>[1분 성경 구약 #389] 새로운 조서 | 에 8:1-17</v>
      </c>
      <c r="U351" s="26" t="n">
        <f aca="false">IF(D351="구약",IF(C351=1,안내!$C$9,안내!$C$10)+AD351-1,IF(C351=1,안내!$C$9,안내!$C$10)+7*INT((AD351-1)/4)+CHOOSE(MOD(AD351-1,4)+1,0,2,4,5))</f>
        <v>46786</v>
      </c>
      <c r="V351" s="23" t="str">
        <f aca="false">CHOOSE(WEEKDAY(U351,2),"월","화","수","목","금","토","일")</f>
        <v>목</v>
      </c>
      <c r="W351" s="24" t="str">
        <f aca="false">IFERROR(IF(INDEX($C$2:$C$799,MATCH(D351&amp;"#"&amp;(E351+1),$AC$2:$AC$799,0))=C351,"다음 편: ","시즌1 완결 · 시즌2 첫 편: ")&amp;INDEX($L$2:$L$799,MATCH(D351&amp;"#"&amp;(E351+1),$AC$2:$AC$799,0)),"구약 트랙 완결")</f>
        <v>다음 편: 부림절</v>
      </c>
      <c r="X351" s="23" t="s">
        <v>130</v>
      </c>
      <c r="Y351" s="23" t="s">
        <v>130</v>
      </c>
      <c r="Z351" s="23" t="s">
        <v>130</v>
      </c>
      <c r="AA351" s="23" t="s">
        <v>130</v>
      </c>
      <c r="AB351" s="24"/>
      <c r="AC351" s="23" t="str">
        <f aca="false">D351&amp;"#"&amp;E351</f>
        <v>구약#389</v>
      </c>
      <c r="AD351" s="23" t="n">
        <f aca="false">COUNTIFS($C$2:C351,C351,$D$2:D351,D351)</f>
        <v>207</v>
      </c>
    </row>
    <row r="352" customFormat="false" ht="26.85" hidden="false" customHeight="false" outlineLevel="0" collapsed="false">
      <c r="A352" s="21" t="n">
        <v>351</v>
      </c>
      <c r="B352" s="18" t="s">
        <v>3208</v>
      </c>
      <c r="C352" s="23" t="n">
        <v>2</v>
      </c>
      <c r="D352" s="23" t="s">
        <v>116</v>
      </c>
      <c r="E352" s="23" t="n">
        <f aca="false">IF(C352=1,COUNTIFS($C$2:C352,1,$D$2:D352,D352),COUNTIFS($C$2:$C$799,1,$D$2:$D$799,D352)+COUNTIFS($C$2:C352,2,$D$2:D352,D352))</f>
        <v>390</v>
      </c>
      <c r="F352" s="23" t="str">
        <f aca="false">D352&amp;" #"&amp;TEXT(E352,"000")</f>
        <v>구약 #390</v>
      </c>
      <c r="G352" s="18" t="s">
        <v>3129</v>
      </c>
      <c r="H352" s="18" t="s">
        <v>3068</v>
      </c>
      <c r="I352" s="21" t="s">
        <v>3130</v>
      </c>
      <c r="J352" s="22" t="s">
        <v>3209</v>
      </c>
      <c r="K352" s="23" t="s">
        <v>121</v>
      </c>
      <c r="L352" s="24" t="s">
        <v>3210</v>
      </c>
      <c r="M352" s="24" t="s">
        <v>3211</v>
      </c>
      <c r="N352" s="23" t="s">
        <v>3212</v>
      </c>
      <c r="O352" s="24" t="s">
        <v>3213</v>
      </c>
      <c r="P352" s="24" t="s">
        <v>3214</v>
      </c>
      <c r="Q352" s="24" t="s">
        <v>3215</v>
      </c>
      <c r="R352" s="25" t="s">
        <v>3216</v>
      </c>
      <c r="S352" s="24" t="s">
        <v>3207</v>
      </c>
      <c r="T352" s="24" t="str">
        <f aca="false">"["&amp;안내!$C$5&amp;" "&amp;F352&amp;"] "&amp;L352&amp;" | "&amp;J352</f>
        <v>[1분 성경 구약 #390] 부림절 | 에 9:1-10:3</v>
      </c>
      <c r="U352" s="26" t="n">
        <f aca="false">IF(D352="구약",IF(C352=1,안내!$C$9,안내!$C$10)+AD352-1,IF(C352=1,안내!$C$9,안내!$C$10)+7*INT((AD352-1)/4)+CHOOSE(MOD(AD352-1,4)+1,0,2,4,5))</f>
        <v>46787</v>
      </c>
      <c r="V352" s="23" t="str">
        <f aca="false">CHOOSE(WEEKDAY(U352,2),"월","화","수","목","금","토","일")</f>
        <v>금</v>
      </c>
      <c r="W352" s="24" t="str">
        <f aca="false">IFERROR(IF(INDEX($C$2:$C$799,MATCH(D352&amp;"#"&amp;(E352+1),$AC$2:$AC$799,0))=C352,"다음 편: ","시즌1 완결 · 시즌2 첫 편: ")&amp;INDEX($L$2:$L$799,MATCH(D352&amp;"#"&amp;(E352+1),$AC$2:$AC$799,0)),"구약 트랙 완결")</f>
        <v>다음 편: 욥의 탄식</v>
      </c>
      <c r="X352" s="23" t="s">
        <v>130</v>
      </c>
      <c r="Y352" s="23" t="s">
        <v>130</v>
      </c>
      <c r="Z352" s="23" t="s">
        <v>130</v>
      </c>
      <c r="AA352" s="23" t="s">
        <v>130</v>
      </c>
      <c r="AB352" s="24"/>
      <c r="AC352" s="23" t="str">
        <f aca="false">D352&amp;"#"&amp;E352</f>
        <v>구약#390</v>
      </c>
      <c r="AD352" s="23" t="n">
        <f aca="false">COUNTIFS($C$2:C352,C352,$D$2:D352,D352)</f>
        <v>208</v>
      </c>
    </row>
    <row r="353" customFormat="false" ht="39.55" hidden="false" customHeight="false" outlineLevel="0" collapsed="false">
      <c r="A353" s="21" t="n">
        <v>352</v>
      </c>
      <c r="B353" s="18" t="s">
        <v>3217</v>
      </c>
      <c r="C353" s="20" t="n">
        <v>1</v>
      </c>
      <c r="D353" s="20" t="s">
        <v>116</v>
      </c>
      <c r="E353" s="20" t="n">
        <f aca="false">IF(C353=1,COUNTIFS($C$2:C353,1,$D$2:D353,D353),COUNTIFS($C$2:$C$799,1,$D$2:$D$799,D353)+COUNTIFS($C$2:C353,2,$D$2:D353,D353))</f>
        <v>144</v>
      </c>
      <c r="F353" s="20" t="str">
        <f aca="false">D353&amp;" #"&amp;TEXT(E353,"000")</f>
        <v>구약 #144</v>
      </c>
      <c r="G353" s="18" t="s">
        <v>3218</v>
      </c>
      <c r="H353" s="18" t="s">
        <v>3140</v>
      </c>
      <c r="I353" s="21" t="s">
        <v>3219</v>
      </c>
      <c r="J353" s="22" t="s">
        <v>3220</v>
      </c>
      <c r="K353" s="23" t="s">
        <v>121</v>
      </c>
      <c r="L353" s="24" t="s">
        <v>3221</v>
      </c>
      <c r="M353" s="24" t="s">
        <v>3222</v>
      </c>
      <c r="N353" s="23" t="s">
        <v>3223</v>
      </c>
      <c r="O353" s="24" t="s">
        <v>3224</v>
      </c>
      <c r="P353" s="24" t="s">
        <v>3225</v>
      </c>
      <c r="Q353" s="24" t="s">
        <v>3226</v>
      </c>
      <c r="R353" s="25" t="s">
        <v>3227</v>
      </c>
      <c r="S353" s="28" t="s">
        <v>3228</v>
      </c>
      <c r="T353" s="24" t="str">
        <f aca="false">"["&amp;안내!$C$5&amp;" "&amp;F353&amp;"] "&amp;L353&amp;" | "&amp;J353</f>
        <v>[1분 성경 구약 #144] 하늘에서 오간 대화 | 욥 1:1-12</v>
      </c>
      <c r="U353" s="26" t="n">
        <f aca="false">IF(D353="구약",IF(C353=1,안내!$C$9,안내!$C$10)+AD353-1,IF(C353=1,안내!$C$9,안내!$C$10)+7*INT((AD353-1)/4)+CHOOSE(MOD(AD353-1,4)+1,0,2,4,5))</f>
        <v>46534</v>
      </c>
      <c r="V353" s="23" t="str">
        <f aca="false">CHOOSE(WEEKDAY(U353,2),"월","화","수","목","금","토","일")</f>
        <v>목</v>
      </c>
      <c r="W353" s="24" t="str">
        <f aca="false">IFERROR(IF(INDEX($C$2:$C$799,MATCH(D353&amp;"#"&amp;(E353+1),$AC$2:$AC$799,0))=C353,"다음 편: ","시즌1 완결 · 시즌2 첫 편: ")&amp;INDEX($L$2:$L$799,MATCH(D353&amp;"#"&amp;(E353+1),$AC$2:$AC$799,0)),"구약 트랙 완결")</f>
        <v>다음 편: 하루에 모든 것을 잃다</v>
      </c>
      <c r="X353" s="23" t="s">
        <v>130</v>
      </c>
      <c r="Y353" s="23" t="s">
        <v>130</v>
      </c>
      <c r="Z353" s="23" t="s">
        <v>130</v>
      </c>
      <c r="AA353" s="23" t="s">
        <v>130</v>
      </c>
      <c r="AB353" s="24"/>
      <c r="AC353" s="23" t="str">
        <f aca="false">D353&amp;"#"&amp;E353</f>
        <v>구약#144</v>
      </c>
      <c r="AD353" s="23" t="n">
        <f aca="false">COUNTIFS($C$2:C353,C353,$D$2:D353,D353)</f>
        <v>144</v>
      </c>
    </row>
    <row r="354" customFormat="false" ht="26.85" hidden="false" customHeight="false" outlineLevel="0" collapsed="false">
      <c r="A354" s="21" t="n">
        <v>353</v>
      </c>
      <c r="B354" s="18" t="s">
        <v>3229</v>
      </c>
      <c r="C354" s="20" t="n">
        <v>1</v>
      </c>
      <c r="D354" s="20" t="s">
        <v>116</v>
      </c>
      <c r="E354" s="20" t="n">
        <f aca="false">IF(C354=1,COUNTIFS($C$2:C354,1,$D$2:D354,D354),COUNTIFS($C$2:$C$799,1,$D$2:$D$799,D354)+COUNTIFS($C$2:C354,2,$D$2:D354,D354))</f>
        <v>145</v>
      </c>
      <c r="F354" s="20" t="str">
        <f aca="false">D354&amp;" #"&amp;TEXT(E354,"000")</f>
        <v>구약 #145</v>
      </c>
      <c r="G354" s="18" t="s">
        <v>3218</v>
      </c>
      <c r="H354" s="18" t="s">
        <v>3140</v>
      </c>
      <c r="I354" s="21" t="s">
        <v>3219</v>
      </c>
      <c r="J354" s="22" t="s">
        <v>3230</v>
      </c>
      <c r="K354" s="23" t="s">
        <v>121</v>
      </c>
      <c r="L354" s="24" t="s">
        <v>3231</v>
      </c>
      <c r="M354" s="24" t="s">
        <v>3232</v>
      </c>
      <c r="N354" s="23" t="s">
        <v>3233</v>
      </c>
      <c r="O354" s="24" t="s">
        <v>3234</v>
      </c>
      <c r="P354" s="24" t="s">
        <v>3235</v>
      </c>
      <c r="Q354" s="24" t="s">
        <v>3236</v>
      </c>
      <c r="R354" s="25" t="s">
        <v>3237</v>
      </c>
      <c r="S354" s="24" t="s">
        <v>129</v>
      </c>
      <c r="T354" s="24" t="str">
        <f aca="false">"["&amp;안내!$C$5&amp;" "&amp;F354&amp;"] "&amp;L354&amp;" | "&amp;J354</f>
        <v>[1분 성경 구약 #145] 하루에 모든 것을 잃다 | 욥 1:13-22</v>
      </c>
      <c r="U354" s="26" t="n">
        <f aca="false">IF(D354="구약",IF(C354=1,안내!$C$9,안내!$C$10)+AD354-1,IF(C354=1,안내!$C$9,안내!$C$10)+7*INT((AD354-1)/4)+CHOOSE(MOD(AD354-1,4)+1,0,2,4,5))</f>
        <v>46535</v>
      </c>
      <c r="V354" s="23" t="str">
        <f aca="false">CHOOSE(WEEKDAY(U354,2),"월","화","수","목","금","토","일")</f>
        <v>금</v>
      </c>
      <c r="W354" s="24" t="str">
        <f aca="false">IFERROR(IF(INDEX($C$2:$C$799,MATCH(D354&amp;"#"&amp;(E354+1),$AC$2:$AC$799,0))=C354,"다음 편: ","시즌1 완결 · 시즌2 첫 편: ")&amp;INDEX($L$2:$L$799,MATCH(D354&amp;"#"&amp;(E354+1),$AC$2:$AC$799,0)),"구약 트랙 완결")</f>
        <v>다음 편: 재 위에 앉은 욥</v>
      </c>
      <c r="X354" s="23" t="s">
        <v>130</v>
      </c>
      <c r="Y354" s="23" t="s">
        <v>130</v>
      </c>
      <c r="Z354" s="23" t="s">
        <v>130</v>
      </c>
      <c r="AA354" s="23" t="s">
        <v>130</v>
      </c>
      <c r="AB354" s="24"/>
      <c r="AC354" s="23" t="str">
        <f aca="false">D354&amp;"#"&amp;E354</f>
        <v>구약#145</v>
      </c>
      <c r="AD354" s="23" t="n">
        <f aca="false">COUNTIFS($C$2:C354,C354,$D$2:D354,D354)</f>
        <v>145</v>
      </c>
    </row>
    <row r="355" customFormat="false" ht="26.85" hidden="false" customHeight="false" outlineLevel="0" collapsed="false">
      <c r="A355" s="21" t="n">
        <v>354</v>
      </c>
      <c r="B355" s="18" t="s">
        <v>3238</v>
      </c>
      <c r="C355" s="20" t="n">
        <v>1</v>
      </c>
      <c r="D355" s="20" t="s">
        <v>116</v>
      </c>
      <c r="E355" s="20" t="n">
        <f aca="false">IF(C355=1,COUNTIFS($C$2:C355,1,$D$2:D355,D355),COUNTIFS($C$2:$C$799,1,$D$2:$D$799,D355)+COUNTIFS($C$2:C355,2,$D$2:D355,D355))</f>
        <v>146</v>
      </c>
      <c r="F355" s="20" t="str">
        <f aca="false">D355&amp;" #"&amp;TEXT(E355,"000")</f>
        <v>구약 #146</v>
      </c>
      <c r="G355" s="18" t="s">
        <v>3218</v>
      </c>
      <c r="H355" s="18" t="s">
        <v>3140</v>
      </c>
      <c r="I355" s="21" t="s">
        <v>3219</v>
      </c>
      <c r="J355" s="22" t="s">
        <v>3239</v>
      </c>
      <c r="K355" s="23" t="s">
        <v>121</v>
      </c>
      <c r="L355" s="24" t="s">
        <v>3240</v>
      </c>
      <c r="M355" s="24" t="s">
        <v>3241</v>
      </c>
      <c r="N355" s="23" t="s">
        <v>3242</v>
      </c>
      <c r="O355" s="24" t="s">
        <v>3243</v>
      </c>
      <c r="P355" s="24" t="s">
        <v>3244</v>
      </c>
      <c r="Q355" s="24" t="s">
        <v>3245</v>
      </c>
      <c r="R355" s="25" t="s">
        <v>3246</v>
      </c>
      <c r="S355" s="24" t="s">
        <v>129</v>
      </c>
      <c r="T355" s="24" t="str">
        <f aca="false">"["&amp;안내!$C$5&amp;" "&amp;F355&amp;"] "&amp;L355&amp;" | "&amp;J355</f>
        <v>[1분 성경 구약 #146] 재 위에 앉은 욥 | 욥 2:1-13</v>
      </c>
      <c r="U355" s="26" t="n">
        <f aca="false">IF(D355="구약",IF(C355=1,안내!$C$9,안내!$C$10)+AD355-1,IF(C355=1,안내!$C$9,안내!$C$10)+7*INT((AD355-1)/4)+CHOOSE(MOD(AD355-1,4)+1,0,2,4,5))</f>
        <v>46536</v>
      </c>
      <c r="V355" s="23" t="str">
        <f aca="false">CHOOSE(WEEKDAY(U355,2),"월","화","수","목","금","토","일")</f>
        <v>토</v>
      </c>
      <c r="W355" s="24" t="str">
        <f aca="false">IFERROR(IF(INDEX($C$2:$C$799,MATCH(D355&amp;"#"&amp;(E355+1),$AC$2:$AC$799,0))=C355,"다음 편: ","시즌1 완결 · 시즌2 첫 편: ")&amp;INDEX($L$2:$L$799,MATCH(D355&amp;"#"&amp;(E355+1),$AC$2:$AC$799,0)),"구약 트랙 완결")</f>
        <v>다음 편: 폭풍 속의 음성</v>
      </c>
      <c r="X355" s="23" t="s">
        <v>130</v>
      </c>
      <c r="Y355" s="23" t="s">
        <v>130</v>
      </c>
      <c r="Z355" s="23" t="s">
        <v>130</v>
      </c>
      <c r="AA355" s="23" t="s">
        <v>130</v>
      </c>
      <c r="AB355" s="24"/>
      <c r="AC355" s="23" t="str">
        <f aca="false">D355&amp;"#"&amp;E355</f>
        <v>구약#146</v>
      </c>
      <c r="AD355" s="23" t="n">
        <f aca="false">COUNTIFS($C$2:C355,C355,$D$2:D355,D355)</f>
        <v>146</v>
      </c>
    </row>
    <row r="356" customFormat="false" ht="26.85" hidden="false" customHeight="false" outlineLevel="0" collapsed="false">
      <c r="A356" s="21" t="n">
        <v>355</v>
      </c>
      <c r="B356" s="18" t="s">
        <v>3247</v>
      </c>
      <c r="C356" s="23" t="n">
        <v>2</v>
      </c>
      <c r="D356" s="23" t="s">
        <v>116</v>
      </c>
      <c r="E356" s="23" t="n">
        <f aca="false">IF(C356=1,COUNTIFS($C$2:C356,1,$D$2:D356,D356),COUNTIFS($C$2:$C$799,1,$D$2:$D$799,D356)+COUNTIFS($C$2:C356,2,$D$2:D356,D356))</f>
        <v>391</v>
      </c>
      <c r="F356" s="23" t="str">
        <f aca="false">D356&amp;" #"&amp;TEXT(E356,"000")</f>
        <v>구약 #391</v>
      </c>
      <c r="G356" s="18" t="s">
        <v>3218</v>
      </c>
      <c r="H356" s="18" t="s">
        <v>3248</v>
      </c>
      <c r="I356" s="21" t="s">
        <v>3219</v>
      </c>
      <c r="J356" s="22" t="s">
        <v>3249</v>
      </c>
      <c r="K356" s="23" t="s">
        <v>1085</v>
      </c>
      <c r="L356" s="24" t="s">
        <v>3250</v>
      </c>
      <c r="M356" s="24" t="s">
        <v>3251</v>
      </c>
      <c r="N356" s="23" t="s">
        <v>3252</v>
      </c>
      <c r="O356" s="24" t="s">
        <v>3253</v>
      </c>
      <c r="P356" s="24" t="s">
        <v>3254</v>
      </c>
      <c r="Q356" s="24" t="s">
        <v>3255</v>
      </c>
      <c r="R356" s="25" t="s">
        <v>3256</v>
      </c>
      <c r="S356" s="24" t="s">
        <v>3257</v>
      </c>
      <c r="T356" s="24" t="str">
        <f aca="false">"["&amp;안내!$C$5&amp;" "&amp;F356&amp;"] "&amp;L356&amp;" | "&amp;J356</f>
        <v>[1분 성경 구약 #391] 욥의 탄식 | 욥 3:1-26</v>
      </c>
      <c r="U356" s="26" t="n">
        <f aca="false">IF(D356="구약",IF(C356=1,안내!$C$9,안내!$C$10)+AD356-1,IF(C356=1,안내!$C$9,안내!$C$10)+7*INT((AD356-1)/4)+CHOOSE(MOD(AD356-1,4)+1,0,2,4,5))</f>
        <v>46788</v>
      </c>
      <c r="V356" s="23" t="str">
        <f aca="false">CHOOSE(WEEKDAY(U356,2),"월","화","수","목","금","토","일")</f>
        <v>토</v>
      </c>
      <c r="W356" s="24" t="str">
        <f aca="false">IFERROR(IF(INDEX($C$2:$C$799,MATCH(D356&amp;"#"&amp;(E356+1),$AC$2:$AC$799,0))=C356,"다음 편: ","시즌1 완결 · 시즌2 첫 편: ")&amp;INDEX($L$2:$L$799,MATCH(D356&amp;"#"&amp;(E356+1),$AC$2:$AC$799,0)),"구약 트랙 완결")</f>
        <v>다음 편: 네가 죄를 지어서 그래</v>
      </c>
      <c r="X356" s="23" t="s">
        <v>130</v>
      </c>
      <c r="Y356" s="23" t="s">
        <v>130</v>
      </c>
      <c r="Z356" s="23" t="s">
        <v>130</v>
      </c>
      <c r="AA356" s="23" t="s">
        <v>130</v>
      </c>
      <c r="AB356" s="24"/>
      <c r="AC356" s="23" t="str">
        <f aca="false">D356&amp;"#"&amp;E356</f>
        <v>구약#391</v>
      </c>
      <c r="AD356" s="23" t="n">
        <f aca="false">COUNTIFS($C$2:C356,C356,$D$2:D356,D356)</f>
        <v>209</v>
      </c>
    </row>
    <row r="357" customFormat="false" ht="26.85" hidden="false" customHeight="false" outlineLevel="0" collapsed="false">
      <c r="A357" s="21" t="n">
        <v>356</v>
      </c>
      <c r="B357" s="18" t="s">
        <v>3258</v>
      </c>
      <c r="C357" s="23" t="n">
        <v>2</v>
      </c>
      <c r="D357" s="23" t="s">
        <v>116</v>
      </c>
      <c r="E357" s="23" t="n">
        <f aca="false">IF(C357=1,COUNTIFS($C$2:C357,1,$D$2:D357,D357),COUNTIFS($C$2:$C$799,1,$D$2:$D$799,D357)+COUNTIFS($C$2:C357,2,$D$2:D357,D357))</f>
        <v>392</v>
      </c>
      <c r="F357" s="23" t="str">
        <f aca="false">D357&amp;" #"&amp;TEXT(E357,"000")</f>
        <v>구약 #392</v>
      </c>
      <c r="G357" s="18" t="s">
        <v>3218</v>
      </c>
      <c r="H357" s="18" t="s">
        <v>3248</v>
      </c>
      <c r="I357" s="21" t="s">
        <v>3219</v>
      </c>
      <c r="J357" s="22" t="s">
        <v>3259</v>
      </c>
      <c r="K357" s="23" t="s">
        <v>1085</v>
      </c>
      <c r="L357" s="24" t="s">
        <v>3260</v>
      </c>
      <c r="M357" s="24" t="s">
        <v>3261</v>
      </c>
      <c r="N357" s="23" t="s">
        <v>3262</v>
      </c>
      <c r="O357" s="24" t="s">
        <v>3263</v>
      </c>
      <c r="P357" s="24" t="s">
        <v>3264</v>
      </c>
      <c r="Q357" s="24" t="s">
        <v>3265</v>
      </c>
      <c r="R357" s="24"/>
      <c r="S357" s="24" t="s">
        <v>3257</v>
      </c>
      <c r="T357" s="24" t="str">
        <f aca="false">"["&amp;안내!$C$5&amp;" "&amp;F357&amp;"] "&amp;L357&amp;" | "&amp;J357</f>
        <v>[1분 성경 구약 #392] 네가 죄를 지어서 그래 | 욥 4:1-14:22</v>
      </c>
      <c r="U357" s="26" t="n">
        <f aca="false">IF(D357="구약",IF(C357=1,안내!$C$9,안내!$C$10)+AD357-1,IF(C357=1,안내!$C$9,안내!$C$10)+7*INT((AD357-1)/4)+CHOOSE(MOD(AD357-1,4)+1,0,2,4,5))</f>
        <v>46789</v>
      </c>
      <c r="V357" s="23" t="str">
        <f aca="false">CHOOSE(WEEKDAY(U357,2),"월","화","수","목","금","토","일")</f>
        <v>일</v>
      </c>
      <c r="W357" s="24" t="str">
        <f aca="false">IFERROR(IF(INDEX($C$2:$C$799,MATCH(D357&amp;"#"&amp;(E357+1),$AC$2:$AC$799,0))=C357,"다음 편: ","시즌1 완결 · 시즌2 첫 편: ")&amp;INDEX($L$2:$L$799,MATCH(D357&amp;"#"&amp;(E357+1),$AC$2:$AC$799,0)),"구약 트랙 완결")</f>
        <v>다음 편: 나의 대속자가 살아 계시니</v>
      </c>
      <c r="X357" s="23" t="s">
        <v>130</v>
      </c>
      <c r="Y357" s="23" t="s">
        <v>130</v>
      </c>
      <c r="Z357" s="23" t="s">
        <v>130</v>
      </c>
      <c r="AA357" s="23" t="s">
        <v>130</v>
      </c>
      <c r="AB357" s="24"/>
      <c r="AC357" s="23" t="str">
        <f aca="false">D357&amp;"#"&amp;E357</f>
        <v>구약#392</v>
      </c>
      <c r="AD357" s="23" t="n">
        <f aca="false">COUNTIFS($C$2:C357,C357,$D$2:D357,D357)</f>
        <v>210</v>
      </c>
    </row>
    <row r="358" customFormat="false" ht="26.85" hidden="false" customHeight="false" outlineLevel="0" collapsed="false">
      <c r="A358" s="21" t="n">
        <v>357</v>
      </c>
      <c r="B358" s="18" t="s">
        <v>3266</v>
      </c>
      <c r="C358" s="23" t="n">
        <v>2</v>
      </c>
      <c r="D358" s="23" t="s">
        <v>116</v>
      </c>
      <c r="E358" s="23" t="n">
        <f aca="false">IF(C358=1,COUNTIFS($C$2:C358,1,$D$2:D358,D358),COUNTIFS($C$2:$C$799,1,$D$2:$D$799,D358)+COUNTIFS($C$2:C358,2,$D$2:D358,D358))</f>
        <v>393</v>
      </c>
      <c r="F358" s="23" t="str">
        <f aca="false">D358&amp;" #"&amp;TEXT(E358,"000")</f>
        <v>구약 #393</v>
      </c>
      <c r="G358" s="18" t="s">
        <v>3218</v>
      </c>
      <c r="H358" s="18" t="s">
        <v>3248</v>
      </c>
      <c r="I358" s="21" t="s">
        <v>3219</v>
      </c>
      <c r="J358" s="22" t="s">
        <v>3267</v>
      </c>
      <c r="K358" s="23" t="s">
        <v>1085</v>
      </c>
      <c r="L358" s="24" t="s">
        <v>3268</v>
      </c>
      <c r="M358" s="24" t="s">
        <v>3269</v>
      </c>
      <c r="N358" s="23" t="s">
        <v>3270</v>
      </c>
      <c r="O358" s="24" t="s">
        <v>3271</v>
      </c>
      <c r="P358" s="24" t="s">
        <v>3272</v>
      </c>
      <c r="Q358" s="24" t="s">
        <v>3245</v>
      </c>
      <c r="R358" s="25" t="s">
        <v>3273</v>
      </c>
      <c r="S358" s="24" t="s">
        <v>3257</v>
      </c>
      <c r="T358" s="24" t="str">
        <f aca="false">"["&amp;안내!$C$5&amp;" "&amp;F358&amp;"] "&amp;L358&amp;" | "&amp;J358</f>
        <v>[1분 성경 구약 #393] 나의 대속자가 살아 계시니 | 욥 15:1-21:34</v>
      </c>
      <c r="U358" s="26" t="n">
        <f aca="false">IF(D358="구약",IF(C358=1,안내!$C$9,안내!$C$10)+AD358-1,IF(C358=1,안내!$C$9,안내!$C$10)+7*INT((AD358-1)/4)+CHOOSE(MOD(AD358-1,4)+1,0,2,4,5))</f>
        <v>46790</v>
      </c>
      <c r="V358" s="23" t="str">
        <f aca="false">CHOOSE(WEEKDAY(U358,2),"월","화","수","목","금","토","일")</f>
        <v>월</v>
      </c>
      <c r="W358" s="24" t="str">
        <f aca="false">IFERROR(IF(INDEX($C$2:$C$799,MATCH(D358&amp;"#"&amp;(E358+1),$AC$2:$AC$799,0))=C358,"다음 편: ","시즌1 완결 · 시즌2 첫 편: ")&amp;INDEX($L$2:$L$799,MATCH(D358&amp;"#"&amp;(E358+1),$AC$2:$AC$799,0)),"구약 트랙 완결")</f>
        <v>다음 편: 정금같이 나오리라</v>
      </c>
      <c r="X358" s="23" t="s">
        <v>130</v>
      </c>
      <c r="Y358" s="23" t="s">
        <v>130</v>
      </c>
      <c r="Z358" s="23" t="s">
        <v>130</v>
      </c>
      <c r="AA358" s="23" t="s">
        <v>130</v>
      </c>
      <c r="AB358" s="24"/>
      <c r="AC358" s="23" t="str">
        <f aca="false">D358&amp;"#"&amp;E358</f>
        <v>구약#393</v>
      </c>
      <c r="AD358" s="23" t="n">
        <f aca="false">COUNTIFS($C$2:C358,C358,$D$2:D358,D358)</f>
        <v>211</v>
      </c>
    </row>
    <row r="359" customFormat="false" ht="26.85" hidden="false" customHeight="false" outlineLevel="0" collapsed="false">
      <c r="A359" s="21" t="n">
        <v>358</v>
      </c>
      <c r="B359" s="18" t="s">
        <v>3274</v>
      </c>
      <c r="C359" s="23" t="n">
        <v>2</v>
      </c>
      <c r="D359" s="23" t="s">
        <v>116</v>
      </c>
      <c r="E359" s="23" t="n">
        <f aca="false">IF(C359=1,COUNTIFS($C$2:C359,1,$D$2:D359,D359),COUNTIFS($C$2:$C$799,1,$D$2:$D$799,D359)+COUNTIFS($C$2:C359,2,$D$2:D359,D359))</f>
        <v>394</v>
      </c>
      <c r="F359" s="23" t="str">
        <f aca="false">D359&amp;" #"&amp;TEXT(E359,"000")</f>
        <v>구약 #394</v>
      </c>
      <c r="G359" s="18" t="s">
        <v>3218</v>
      </c>
      <c r="H359" s="18" t="s">
        <v>3248</v>
      </c>
      <c r="I359" s="21" t="s">
        <v>3219</v>
      </c>
      <c r="J359" s="22" t="s">
        <v>3275</v>
      </c>
      <c r="K359" s="23" t="s">
        <v>1085</v>
      </c>
      <c r="L359" s="24" t="s">
        <v>3276</v>
      </c>
      <c r="M359" s="24" t="s">
        <v>3277</v>
      </c>
      <c r="N359" s="23" t="s">
        <v>3278</v>
      </c>
      <c r="O359" s="24" t="s">
        <v>3279</v>
      </c>
      <c r="P359" s="24" t="s">
        <v>3272</v>
      </c>
      <c r="Q359" s="24" t="s">
        <v>3245</v>
      </c>
      <c r="R359" s="24"/>
      <c r="S359" s="24" t="s">
        <v>3257</v>
      </c>
      <c r="T359" s="24" t="str">
        <f aca="false">"["&amp;안내!$C$5&amp;" "&amp;F359&amp;"] "&amp;L359&amp;" | "&amp;J359</f>
        <v>[1분 성경 구약 #394] 정금같이 나오리라 | 욥 22:1-31:40</v>
      </c>
      <c r="U359" s="26" t="n">
        <f aca="false">IF(D359="구약",IF(C359=1,안내!$C$9,안내!$C$10)+AD359-1,IF(C359=1,안내!$C$9,안내!$C$10)+7*INT((AD359-1)/4)+CHOOSE(MOD(AD359-1,4)+1,0,2,4,5))</f>
        <v>46791</v>
      </c>
      <c r="V359" s="23" t="str">
        <f aca="false">CHOOSE(WEEKDAY(U359,2),"월","화","수","목","금","토","일")</f>
        <v>화</v>
      </c>
      <c r="W359" s="24" t="str">
        <f aca="false">IFERROR(IF(INDEX($C$2:$C$799,MATCH(D359&amp;"#"&amp;(E359+1),$AC$2:$AC$799,0))=C359,"다음 편: ","시즌1 완결 · 시즌2 첫 편: ")&amp;INDEX($L$2:$L$799,MATCH(D359&amp;"#"&amp;(E359+1),$AC$2:$AC$799,0)),"구약 트랙 완결")</f>
        <v>다음 편: 젊은 엘리후</v>
      </c>
      <c r="X359" s="23" t="s">
        <v>130</v>
      </c>
      <c r="Y359" s="23" t="s">
        <v>130</v>
      </c>
      <c r="Z359" s="23" t="s">
        <v>130</v>
      </c>
      <c r="AA359" s="23" t="s">
        <v>130</v>
      </c>
      <c r="AB359" s="24"/>
      <c r="AC359" s="23" t="str">
        <f aca="false">D359&amp;"#"&amp;E359</f>
        <v>구약#394</v>
      </c>
      <c r="AD359" s="23" t="n">
        <f aca="false">COUNTIFS($C$2:C359,C359,$D$2:D359,D359)</f>
        <v>212</v>
      </c>
    </row>
    <row r="360" customFormat="false" ht="26.85" hidden="false" customHeight="false" outlineLevel="0" collapsed="false">
      <c r="A360" s="21" t="n">
        <v>359</v>
      </c>
      <c r="B360" s="18" t="s">
        <v>3280</v>
      </c>
      <c r="C360" s="23" t="n">
        <v>2</v>
      </c>
      <c r="D360" s="23" t="s">
        <v>116</v>
      </c>
      <c r="E360" s="23" t="n">
        <f aca="false">IF(C360=1,COUNTIFS($C$2:C360,1,$D$2:D360,D360),COUNTIFS($C$2:$C$799,1,$D$2:$D$799,D360)+COUNTIFS($C$2:C360,2,$D$2:D360,D360))</f>
        <v>395</v>
      </c>
      <c r="F360" s="23" t="str">
        <f aca="false">D360&amp;" #"&amp;TEXT(E360,"000")</f>
        <v>구약 #395</v>
      </c>
      <c r="G360" s="18" t="s">
        <v>3218</v>
      </c>
      <c r="H360" s="18" t="s">
        <v>3248</v>
      </c>
      <c r="I360" s="21" t="s">
        <v>3219</v>
      </c>
      <c r="J360" s="22" t="s">
        <v>3281</v>
      </c>
      <c r="K360" s="23" t="s">
        <v>1085</v>
      </c>
      <c r="L360" s="24" t="s">
        <v>3282</v>
      </c>
      <c r="M360" s="24" t="s">
        <v>3283</v>
      </c>
      <c r="N360" s="23" t="s">
        <v>3284</v>
      </c>
      <c r="O360" s="24" t="s">
        <v>3285</v>
      </c>
      <c r="P360" s="24" t="s">
        <v>3286</v>
      </c>
      <c r="Q360" s="24" t="s">
        <v>3287</v>
      </c>
      <c r="R360" s="24"/>
      <c r="S360" s="24" t="s">
        <v>3257</v>
      </c>
      <c r="T360" s="24" t="str">
        <f aca="false">"["&amp;안내!$C$5&amp;" "&amp;F360&amp;"] "&amp;L360&amp;" | "&amp;J360</f>
        <v>[1분 성경 구약 #395] 젊은 엘리후 | 욥 32:1-37:24</v>
      </c>
      <c r="U360" s="26" t="n">
        <f aca="false">IF(D360="구약",IF(C360=1,안내!$C$9,안내!$C$10)+AD360-1,IF(C360=1,안내!$C$9,안내!$C$10)+7*INT((AD360-1)/4)+CHOOSE(MOD(AD360-1,4)+1,0,2,4,5))</f>
        <v>46792</v>
      </c>
      <c r="V360" s="23" t="str">
        <f aca="false">CHOOSE(WEEKDAY(U360,2),"월","화","수","목","금","토","일")</f>
        <v>수</v>
      </c>
      <c r="W360" s="24" t="str">
        <f aca="false">IFERROR(IF(INDEX($C$2:$C$799,MATCH(D360&amp;"#"&amp;(E360+1),$AC$2:$AC$799,0))=C360,"다음 편: ","시즌1 완결 · 시즌2 첫 편: ")&amp;INDEX($L$2:$L$799,MATCH(D360&amp;"#"&amp;(E360+1),$AC$2:$AC$799,0)),"구약 트랙 완결")</f>
        <v>다음 편: 이제는 눈으로 주를 뵈옵나이다</v>
      </c>
      <c r="X360" s="23" t="s">
        <v>130</v>
      </c>
      <c r="Y360" s="23" t="s">
        <v>130</v>
      </c>
      <c r="Z360" s="23" t="s">
        <v>130</v>
      </c>
      <c r="AA360" s="23" t="s">
        <v>130</v>
      </c>
      <c r="AB360" s="24"/>
      <c r="AC360" s="23" t="str">
        <f aca="false">D360&amp;"#"&amp;E360</f>
        <v>구약#395</v>
      </c>
      <c r="AD360" s="23" t="n">
        <f aca="false">COUNTIFS($C$2:C360,C360,$D$2:D360,D360)</f>
        <v>213</v>
      </c>
    </row>
    <row r="361" customFormat="false" ht="52.2" hidden="false" customHeight="false" outlineLevel="0" collapsed="false">
      <c r="A361" s="21" t="n">
        <v>360</v>
      </c>
      <c r="B361" s="18" t="s">
        <v>3288</v>
      </c>
      <c r="C361" s="20" t="n">
        <v>1</v>
      </c>
      <c r="D361" s="20" t="s">
        <v>116</v>
      </c>
      <c r="E361" s="20" t="n">
        <f aca="false">IF(C361=1,COUNTIFS($C$2:C361,1,$D$2:D361,D361),COUNTIFS($C$2:$C$799,1,$D$2:$D$799,D361)+COUNTIFS($C$2:C361,2,$D$2:D361,D361))</f>
        <v>147</v>
      </c>
      <c r="F361" s="20" t="str">
        <f aca="false">D361&amp;" #"&amp;TEXT(E361,"000")</f>
        <v>구약 #147</v>
      </c>
      <c r="G361" s="18" t="s">
        <v>3218</v>
      </c>
      <c r="H361" s="18" t="s">
        <v>3140</v>
      </c>
      <c r="I361" s="21" t="s">
        <v>3219</v>
      </c>
      <c r="J361" s="22" t="s">
        <v>3289</v>
      </c>
      <c r="K361" s="23" t="s">
        <v>121</v>
      </c>
      <c r="L361" s="24" t="s">
        <v>3290</v>
      </c>
      <c r="M361" s="24" t="s">
        <v>3291</v>
      </c>
      <c r="N361" s="23" t="s">
        <v>3292</v>
      </c>
      <c r="O361" s="24" t="s">
        <v>3293</v>
      </c>
      <c r="P361" s="24" t="s">
        <v>3294</v>
      </c>
      <c r="Q361" s="24" t="s">
        <v>3295</v>
      </c>
      <c r="R361" s="25" t="s">
        <v>3296</v>
      </c>
      <c r="S361" s="28" t="s">
        <v>3297</v>
      </c>
      <c r="T361" s="24" t="str">
        <f aca="false">"["&amp;안내!$C$5&amp;" "&amp;F361&amp;"] "&amp;L361&amp;" | "&amp;J361</f>
        <v>[1분 성경 구약 #147] 폭풍 속의 음성 | 욥 38:1-40:5</v>
      </c>
      <c r="U361" s="26" t="n">
        <f aca="false">IF(D361="구약",IF(C361=1,안내!$C$9,안내!$C$10)+AD361-1,IF(C361=1,안내!$C$9,안내!$C$10)+7*INT((AD361-1)/4)+CHOOSE(MOD(AD361-1,4)+1,0,2,4,5))</f>
        <v>46537</v>
      </c>
      <c r="V361" s="23" t="str">
        <f aca="false">CHOOSE(WEEKDAY(U361,2),"월","화","수","목","금","토","일")</f>
        <v>일</v>
      </c>
      <c r="W361" s="24" t="str">
        <f aca="false">IFERROR(IF(INDEX($C$2:$C$799,MATCH(D361&amp;"#"&amp;(E361+1),$AC$2:$AC$799,0))=C361,"다음 편: ","시즌1 완결 · 시즌2 첫 편: ")&amp;INDEX($L$2:$L$799,MATCH(D361&amp;"#"&amp;(E361+1),$AC$2:$AC$799,0)),"구약 트랙 완결")</f>
        <v>다음 편: 갑절의 회복</v>
      </c>
      <c r="X361" s="23" t="s">
        <v>130</v>
      </c>
      <c r="Y361" s="23" t="s">
        <v>130</v>
      </c>
      <c r="Z361" s="23" t="s">
        <v>130</v>
      </c>
      <c r="AA361" s="23" t="s">
        <v>130</v>
      </c>
      <c r="AB361" s="24"/>
      <c r="AC361" s="23" t="str">
        <f aca="false">D361&amp;"#"&amp;E361</f>
        <v>구약#147</v>
      </c>
      <c r="AD361" s="23" t="n">
        <f aca="false">COUNTIFS($C$2:C361,C361,$D$2:D361,D361)</f>
        <v>147</v>
      </c>
    </row>
    <row r="362" customFormat="false" ht="26.85" hidden="false" customHeight="false" outlineLevel="0" collapsed="false">
      <c r="A362" s="21" t="n">
        <v>361</v>
      </c>
      <c r="B362" s="18" t="s">
        <v>3298</v>
      </c>
      <c r="C362" s="23" t="n">
        <v>2</v>
      </c>
      <c r="D362" s="23" t="s">
        <v>116</v>
      </c>
      <c r="E362" s="23" t="n">
        <f aca="false">IF(C362=1,COUNTIFS($C$2:C362,1,$D$2:D362,D362),COUNTIFS($C$2:$C$799,1,$D$2:$D$799,D362)+COUNTIFS($C$2:C362,2,$D$2:D362,D362))</f>
        <v>396</v>
      </c>
      <c r="F362" s="23" t="str">
        <f aca="false">D362&amp;" #"&amp;TEXT(E362,"000")</f>
        <v>구약 #396</v>
      </c>
      <c r="G362" s="18" t="s">
        <v>3218</v>
      </c>
      <c r="H362" s="18" t="s">
        <v>3248</v>
      </c>
      <c r="I362" s="21" t="s">
        <v>3219</v>
      </c>
      <c r="J362" s="22" t="s">
        <v>3299</v>
      </c>
      <c r="K362" s="23" t="s">
        <v>121</v>
      </c>
      <c r="L362" s="24" t="s">
        <v>3300</v>
      </c>
      <c r="M362" s="24" t="s">
        <v>3301</v>
      </c>
      <c r="N362" s="23" t="s">
        <v>3302</v>
      </c>
      <c r="O362" s="24" t="s">
        <v>3303</v>
      </c>
      <c r="P362" s="24" t="s">
        <v>3304</v>
      </c>
      <c r="Q362" s="24" t="s">
        <v>3305</v>
      </c>
      <c r="R362" s="24"/>
      <c r="S362" s="24" t="s">
        <v>3306</v>
      </c>
      <c r="T362" s="24" t="str">
        <f aca="false">"["&amp;안내!$C$5&amp;" "&amp;F362&amp;"] "&amp;L362&amp;" | "&amp;J362</f>
        <v>[1분 성경 구약 #396] 이제는 눈으로 주를 뵈옵나이다 | 욥 40:6-42:6</v>
      </c>
      <c r="U362" s="26" t="n">
        <f aca="false">IF(D362="구약",IF(C362=1,안내!$C$9,안내!$C$10)+AD362-1,IF(C362=1,안내!$C$9,안내!$C$10)+7*INT((AD362-1)/4)+CHOOSE(MOD(AD362-1,4)+1,0,2,4,5))</f>
        <v>46793</v>
      </c>
      <c r="V362" s="23" t="str">
        <f aca="false">CHOOSE(WEEKDAY(U362,2),"월","화","수","목","금","토","일")</f>
        <v>목</v>
      </c>
      <c r="W362" s="24" t="str">
        <f aca="false">IFERROR(IF(INDEX($C$2:$C$799,MATCH(D362&amp;"#"&amp;(E362+1),$AC$2:$AC$799,0))=C362,"다음 편: ","시즌1 완결 · 시즌2 첫 편: ")&amp;INDEX($L$2:$L$799,MATCH(D362&amp;"#"&amp;(E362+1),$AC$2:$AC$799,0)),"구약 트랙 완결")</f>
        <v>다음 편: 하나님의 아들</v>
      </c>
      <c r="X362" s="23" t="s">
        <v>130</v>
      </c>
      <c r="Y362" s="23" t="s">
        <v>130</v>
      </c>
      <c r="Z362" s="23" t="s">
        <v>130</v>
      </c>
      <c r="AA362" s="23" t="s">
        <v>130</v>
      </c>
      <c r="AB362" s="24"/>
      <c r="AC362" s="23" t="str">
        <f aca="false">D362&amp;"#"&amp;E362</f>
        <v>구약#396</v>
      </c>
      <c r="AD362" s="23" t="n">
        <f aca="false">COUNTIFS($C$2:C362,C362,$D$2:D362,D362)</f>
        <v>214</v>
      </c>
    </row>
    <row r="363" customFormat="false" ht="39.55" hidden="false" customHeight="false" outlineLevel="0" collapsed="false">
      <c r="A363" s="21" t="n">
        <v>362</v>
      </c>
      <c r="B363" s="18" t="s">
        <v>3307</v>
      </c>
      <c r="C363" s="20" t="n">
        <v>1</v>
      </c>
      <c r="D363" s="20" t="s">
        <v>116</v>
      </c>
      <c r="E363" s="20" t="n">
        <f aca="false">IF(C363=1,COUNTIFS($C$2:C363,1,$D$2:D363,D363),COUNTIFS($C$2:$C$799,1,$D$2:$D$799,D363)+COUNTIFS($C$2:C363,2,$D$2:D363,D363))</f>
        <v>148</v>
      </c>
      <c r="F363" s="20" t="str">
        <f aca="false">D363&amp;" #"&amp;TEXT(E363,"000")</f>
        <v>구약 #148</v>
      </c>
      <c r="G363" s="18" t="s">
        <v>3218</v>
      </c>
      <c r="H363" s="18" t="s">
        <v>3140</v>
      </c>
      <c r="I363" s="21" t="s">
        <v>3219</v>
      </c>
      <c r="J363" s="22" t="s">
        <v>3308</v>
      </c>
      <c r="K363" s="23" t="s">
        <v>121</v>
      </c>
      <c r="L363" s="24" t="s">
        <v>3309</v>
      </c>
      <c r="M363" s="24" t="s">
        <v>3310</v>
      </c>
      <c r="N363" s="23" t="s">
        <v>3311</v>
      </c>
      <c r="O363" s="24" t="s">
        <v>3312</v>
      </c>
      <c r="P363" s="24" t="s">
        <v>3313</v>
      </c>
      <c r="Q363" s="24" t="s">
        <v>3314</v>
      </c>
      <c r="R363" s="27" t="s">
        <v>3315</v>
      </c>
      <c r="S363" s="28" t="s">
        <v>3316</v>
      </c>
      <c r="T363" s="24" t="str">
        <f aca="false">"["&amp;안내!$C$5&amp;" "&amp;F363&amp;"] "&amp;L363&amp;" | "&amp;J363</f>
        <v>[1분 성경 구약 #148] 갑절의 회복 | 욥 42:7-17</v>
      </c>
      <c r="U363" s="26" t="n">
        <f aca="false">IF(D363="구약",IF(C363=1,안내!$C$9,안내!$C$10)+AD363-1,IF(C363=1,안내!$C$9,안내!$C$10)+7*INT((AD363-1)/4)+CHOOSE(MOD(AD363-1,4)+1,0,2,4,5))</f>
        <v>46538</v>
      </c>
      <c r="V363" s="23" t="str">
        <f aca="false">CHOOSE(WEEKDAY(U363,2),"월","화","수","목","금","토","일")</f>
        <v>월</v>
      </c>
      <c r="W363" s="24" t="str">
        <f aca="false">IFERROR(IF(INDEX($C$2:$C$799,MATCH(D363&amp;"#"&amp;(E363+1),$AC$2:$AC$799,0))=C363,"다음 편: ","시즌1 완결 · 시즌2 첫 편: ")&amp;INDEX($L$2:$L$799,MATCH(D363&amp;"#"&amp;(E363+1),$AC$2:$AC$799,0)),"구약 트랙 완결")</f>
        <v>다음 편: 복 있는 사람</v>
      </c>
      <c r="X363" s="23" t="s">
        <v>130</v>
      </c>
      <c r="Y363" s="23" t="s">
        <v>130</v>
      </c>
      <c r="Z363" s="23" t="s">
        <v>130</v>
      </c>
      <c r="AA363" s="23" t="s">
        <v>130</v>
      </c>
      <c r="AB363" s="24"/>
      <c r="AC363" s="23" t="str">
        <f aca="false">D363&amp;"#"&amp;E363</f>
        <v>구약#148</v>
      </c>
      <c r="AD363" s="23" t="n">
        <f aca="false">COUNTIFS($C$2:C363,C363,$D$2:D363,D363)</f>
        <v>148</v>
      </c>
    </row>
    <row r="364" customFormat="false" ht="26.85" hidden="false" customHeight="false" outlineLevel="0" collapsed="false">
      <c r="A364" s="21" t="n">
        <v>363</v>
      </c>
      <c r="B364" s="18" t="s">
        <v>3317</v>
      </c>
      <c r="C364" s="20" t="n">
        <v>1</v>
      </c>
      <c r="D364" s="20" t="s">
        <v>116</v>
      </c>
      <c r="E364" s="20" t="n">
        <f aca="false">IF(C364=1,COUNTIFS($C$2:C364,1,$D$2:D364,D364),COUNTIFS($C$2:$C$799,1,$D$2:$D$799,D364)+COUNTIFS($C$2:C364,2,$D$2:D364,D364))</f>
        <v>149</v>
      </c>
      <c r="F364" s="20" t="str">
        <f aca="false">D364&amp;" #"&amp;TEXT(E364,"000")</f>
        <v>구약 #149</v>
      </c>
      <c r="G364" s="18" t="s">
        <v>3318</v>
      </c>
      <c r="H364" s="18" t="s">
        <v>3319</v>
      </c>
      <c r="I364" s="21" t="s">
        <v>3320</v>
      </c>
      <c r="J364" s="22" t="s">
        <v>3321</v>
      </c>
      <c r="K364" s="23" t="s">
        <v>1085</v>
      </c>
      <c r="L364" s="24" t="s">
        <v>3322</v>
      </c>
      <c r="M364" s="24" t="s">
        <v>3323</v>
      </c>
      <c r="N364" s="23" t="s">
        <v>3324</v>
      </c>
      <c r="O364" s="24" t="s">
        <v>3325</v>
      </c>
      <c r="P364" s="24" t="s">
        <v>3326</v>
      </c>
      <c r="Q364" s="24" t="s">
        <v>3327</v>
      </c>
      <c r="R364" s="24"/>
      <c r="S364" s="24" t="s">
        <v>129</v>
      </c>
      <c r="T364" s="24" t="str">
        <f aca="false">"["&amp;안내!$C$5&amp;" "&amp;F364&amp;"] "&amp;L364&amp;" | "&amp;J364</f>
        <v>[1분 성경 구약 #149] 복 있는 사람 | 시편 1편</v>
      </c>
      <c r="U364" s="26" t="n">
        <f aca="false">IF(D364="구약",IF(C364=1,안내!$C$9,안내!$C$10)+AD364-1,IF(C364=1,안내!$C$9,안내!$C$10)+7*INT((AD364-1)/4)+CHOOSE(MOD(AD364-1,4)+1,0,2,4,5))</f>
        <v>46539</v>
      </c>
      <c r="V364" s="23" t="str">
        <f aca="false">CHOOSE(WEEKDAY(U364,2),"월","화","수","목","금","토","일")</f>
        <v>화</v>
      </c>
      <c r="W364" s="24" t="str">
        <f aca="false">IFERROR(IF(INDEX($C$2:$C$799,MATCH(D364&amp;"#"&amp;(E364+1),$AC$2:$AC$799,0))=C364,"다음 편: ","시즌1 완결 · 시즌2 첫 편: ")&amp;INDEX($L$2:$L$799,MATCH(D364&amp;"#"&amp;(E364+1),$AC$2:$AC$799,0)),"구약 트랙 완결")</f>
        <v>다음 편: 나의 하나님 어찌하여</v>
      </c>
      <c r="X364" s="23" t="s">
        <v>130</v>
      </c>
      <c r="Y364" s="23" t="s">
        <v>130</v>
      </c>
      <c r="Z364" s="23" t="s">
        <v>130</v>
      </c>
      <c r="AA364" s="23" t="s">
        <v>130</v>
      </c>
      <c r="AB364" s="24"/>
      <c r="AC364" s="23" t="str">
        <f aca="false">D364&amp;"#"&amp;E364</f>
        <v>구약#149</v>
      </c>
      <c r="AD364" s="23" t="n">
        <f aca="false">COUNTIFS($C$2:C364,C364,$D$2:D364,D364)</f>
        <v>149</v>
      </c>
    </row>
    <row r="365" customFormat="false" ht="15" hidden="false" customHeight="false" outlineLevel="0" collapsed="false">
      <c r="A365" s="21" t="n">
        <v>364</v>
      </c>
      <c r="B365" s="18" t="s">
        <v>3328</v>
      </c>
      <c r="C365" s="23" t="n">
        <v>2</v>
      </c>
      <c r="D365" s="23" t="s">
        <v>116</v>
      </c>
      <c r="E365" s="23" t="n">
        <f aca="false">IF(C365=1,COUNTIFS($C$2:C365,1,$D$2:D365,D365),COUNTIFS($C$2:$C$799,1,$D$2:$D$799,D365)+COUNTIFS($C$2:C365,2,$D$2:D365,D365))</f>
        <v>397</v>
      </c>
      <c r="F365" s="23" t="str">
        <f aca="false">D365&amp;" #"&amp;TEXT(E365,"000")</f>
        <v>구약 #397</v>
      </c>
      <c r="G365" s="18" t="s">
        <v>3318</v>
      </c>
      <c r="H365" s="18" t="s">
        <v>3248</v>
      </c>
      <c r="I365" s="21" t="s">
        <v>3320</v>
      </c>
      <c r="J365" s="22" t="s">
        <v>3329</v>
      </c>
      <c r="K365" s="23" t="s">
        <v>1085</v>
      </c>
      <c r="L365" s="24" t="s">
        <v>3330</v>
      </c>
      <c r="M365" s="24" t="s">
        <v>3331</v>
      </c>
      <c r="N365" s="23" t="s">
        <v>3332</v>
      </c>
      <c r="O365" s="24" t="s">
        <v>3333</v>
      </c>
      <c r="P365" s="24" t="s">
        <v>3334</v>
      </c>
      <c r="Q365" s="24" t="s">
        <v>3335</v>
      </c>
      <c r="R365" s="25" t="s">
        <v>3336</v>
      </c>
      <c r="S365" s="24" t="s">
        <v>3337</v>
      </c>
      <c r="T365" s="24" t="str">
        <f aca="false">"["&amp;안내!$C$5&amp;" "&amp;F365&amp;"] "&amp;L365&amp;" | "&amp;J365</f>
        <v>[1분 성경 구약 #397] 하나님의 아들 | 시편 2편</v>
      </c>
      <c r="U365" s="26" t="n">
        <f aca="false">IF(D365="구약",IF(C365=1,안내!$C$9,안내!$C$10)+AD365-1,IF(C365=1,안내!$C$9,안내!$C$10)+7*INT((AD365-1)/4)+CHOOSE(MOD(AD365-1,4)+1,0,2,4,5))</f>
        <v>46794</v>
      </c>
      <c r="V365" s="23" t="str">
        <f aca="false">CHOOSE(WEEKDAY(U365,2),"월","화","수","목","금","토","일")</f>
        <v>금</v>
      </c>
      <c r="W365" s="24" t="str">
        <f aca="false">IFERROR(IF(INDEX($C$2:$C$799,MATCH(D365&amp;"#"&amp;(E365+1),$AC$2:$AC$799,0))=C365,"다음 편: ","시즌1 완결 · 시즌2 첫 편: ")&amp;INDEX($L$2:$L$799,MATCH(D365&amp;"#"&amp;(E365+1),$AC$2:$AC$799,0)),"구약 트랙 완결")</f>
        <v>다음 편: 사람이 무엇이기에</v>
      </c>
      <c r="X365" s="23" t="s">
        <v>130</v>
      </c>
      <c r="Y365" s="23" t="s">
        <v>130</v>
      </c>
      <c r="Z365" s="23" t="s">
        <v>130</v>
      </c>
      <c r="AA365" s="23" t="s">
        <v>130</v>
      </c>
      <c r="AB365" s="24"/>
      <c r="AC365" s="23" t="str">
        <f aca="false">D365&amp;"#"&amp;E365</f>
        <v>구약#397</v>
      </c>
      <c r="AD365" s="23" t="n">
        <f aca="false">COUNTIFS($C$2:C365,C365,$D$2:D365,D365)</f>
        <v>215</v>
      </c>
    </row>
    <row r="366" customFormat="false" ht="26.85" hidden="false" customHeight="false" outlineLevel="0" collapsed="false">
      <c r="A366" s="21" t="n">
        <v>365</v>
      </c>
      <c r="B366" s="18" t="s">
        <v>3338</v>
      </c>
      <c r="C366" s="23" t="n">
        <v>2</v>
      </c>
      <c r="D366" s="23" t="s">
        <v>116</v>
      </c>
      <c r="E366" s="23" t="n">
        <f aca="false">IF(C366=1,COUNTIFS($C$2:C366,1,$D$2:D366,D366),COUNTIFS($C$2:$C$799,1,$D$2:$D$799,D366)+COUNTIFS($C$2:C366,2,$D$2:D366,D366))</f>
        <v>398</v>
      </c>
      <c r="F366" s="23" t="str">
        <f aca="false">D366&amp;" #"&amp;TEXT(E366,"000")</f>
        <v>구약 #398</v>
      </c>
      <c r="G366" s="18" t="s">
        <v>3318</v>
      </c>
      <c r="H366" s="18" t="s">
        <v>3248</v>
      </c>
      <c r="I366" s="21" t="s">
        <v>3320</v>
      </c>
      <c r="J366" s="22" t="s">
        <v>3339</v>
      </c>
      <c r="K366" s="23" t="s">
        <v>1085</v>
      </c>
      <c r="L366" s="24" t="s">
        <v>3340</v>
      </c>
      <c r="M366" s="24" t="s">
        <v>3341</v>
      </c>
      <c r="N366" s="23" t="s">
        <v>3342</v>
      </c>
      <c r="O366" s="24" t="s">
        <v>3343</v>
      </c>
      <c r="P366" s="24" t="s">
        <v>3344</v>
      </c>
      <c r="Q366" s="24" t="s">
        <v>3345</v>
      </c>
      <c r="R366" s="24"/>
      <c r="S366" s="24" t="s">
        <v>3337</v>
      </c>
      <c r="T366" s="24" t="str">
        <f aca="false">"["&amp;안내!$C$5&amp;" "&amp;F366&amp;"] "&amp;L366&amp;" | "&amp;J366</f>
        <v>[1분 성경 구약 #398] 사람이 무엇이기에 | 시편 8편</v>
      </c>
      <c r="U366" s="26" t="n">
        <f aca="false">IF(D366="구약",IF(C366=1,안내!$C$9,안내!$C$10)+AD366-1,IF(C366=1,안내!$C$9,안내!$C$10)+7*INT((AD366-1)/4)+CHOOSE(MOD(AD366-1,4)+1,0,2,4,5))</f>
        <v>46795</v>
      </c>
      <c r="V366" s="23" t="str">
        <f aca="false">CHOOSE(WEEKDAY(U366,2),"월","화","수","목","금","토","일")</f>
        <v>토</v>
      </c>
      <c r="W366" s="24" t="str">
        <f aca="false">IFERROR(IF(INDEX($C$2:$C$799,MATCH(D366&amp;"#"&amp;(E366+1),$AC$2:$AC$799,0))=C366,"다음 편: ","시즌1 완결 · 시즌2 첫 편: ")&amp;INDEX($L$2:$L$799,MATCH(D366&amp;"#"&amp;(E366+1),$AC$2:$AC$799,0)),"구약 트랙 완결")</f>
        <v>다음 편: 하늘이 말하고 있다</v>
      </c>
      <c r="X366" s="23" t="s">
        <v>130</v>
      </c>
      <c r="Y366" s="23" t="s">
        <v>130</v>
      </c>
      <c r="Z366" s="23" t="s">
        <v>130</v>
      </c>
      <c r="AA366" s="23" t="s">
        <v>130</v>
      </c>
      <c r="AB366" s="24"/>
      <c r="AC366" s="23" t="str">
        <f aca="false">D366&amp;"#"&amp;E366</f>
        <v>구약#398</v>
      </c>
      <c r="AD366" s="23" t="n">
        <f aca="false">COUNTIFS($C$2:C366,C366,$D$2:D366,D366)</f>
        <v>216</v>
      </c>
    </row>
    <row r="367" customFormat="false" ht="26.85" hidden="false" customHeight="false" outlineLevel="0" collapsed="false">
      <c r="A367" s="21" t="n">
        <v>366</v>
      </c>
      <c r="B367" s="18" t="s">
        <v>3346</v>
      </c>
      <c r="C367" s="23" t="n">
        <v>2</v>
      </c>
      <c r="D367" s="23" t="s">
        <v>116</v>
      </c>
      <c r="E367" s="23" t="n">
        <f aca="false">IF(C367=1,COUNTIFS($C$2:C367,1,$D$2:D367,D367),COUNTIFS($C$2:$C$799,1,$D$2:$D$799,D367)+COUNTIFS($C$2:C367,2,$D$2:D367,D367))</f>
        <v>399</v>
      </c>
      <c r="F367" s="23" t="str">
        <f aca="false">D367&amp;" #"&amp;TEXT(E367,"000")</f>
        <v>구약 #399</v>
      </c>
      <c r="G367" s="18" t="s">
        <v>3318</v>
      </c>
      <c r="H367" s="18" t="s">
        <v>3248</v>
      </c>
      <c r="I367" s="21" t="s">
        <v>3320</v>
      </c>
      <c r="J367" s="22" t="s">
        <v>3347</v>
      </c>
      <c r="K367" s="23" t="s">
        <v>1085</v>
      </c>
      <c r="L367" s="24" t="s">
        <v>3348</v>
      </c>
      <c r="M367" s="24" t="s">
        <v>3349</v>
      </c>
      <c r="N367" s="23" t="s">
        <v>3350</v>
      </c>
      <c r="O367" s="24" t="s">
        <v>3351</v>
      </c>
      <c r="P367" s="24" t="s">
        <v>3344</v>
      </c>
      <c r="Q367" s="24" t="s">
        <v>3352</v>
      </c>
      <c r="R367" s="24"/>
      <c r="S367" s="24" t="s">
        <v>3337</v>
      </c>
      <c r="T367" s="24" t="str">
        <f aca="false">"["&amp;안내!$C$5&amp;" "&amp;F367&amp;"] "&amp;L367&amp;" | "&amp;J367</f>
        <v>[1분 성경 구약 #399] 하늘이 말하고 있다 | 시편 19편</v>
      </c>
      <c r="U367" s="26" t="n">
        <f aca="false">IF(D367="구약",IF(C367=1,안내!$C$9,안내!$C$10)+AD367-1,IF(C367=1,안내!$C$9,안내!$C$10)+7*INT((AD367-1)/4)+CHOOSE(MOD(AD367-1,4)+1,0,2,4,5))</f>
        <v>46796</v>
      </c>
      <c r="V367" s="23" t="str">
        <f aca="false">CHOOSE(WEEKDAY(U367,2),"월","화","수","목","금","토","일")</f>
        <v>일</v>
      </c>
      <c r="W367" s="24" t="str">
        <f aca="false">IFERROR(IF(INDEX($C$2:$C$799,MATCH(D367&amp;"#"&amp;(E367+1),$AC$2:$AC$799,0))=C367,"다음 편: ","시즌1 완결 · 시즌2 첫 편: ")&amp;INDEX($L$2:$L$799,MATCH(D367&amp;"#"&amp;(E367+1),$AC$2:$AC$799,0)),"구약 트랙 완결")</f>
        <v>다음 편: 여호와는 나의 빛</v>
      </c>
      <c r="X367" s="23" t="s">
        <v>130</v>
      </c>
      <c r="Y367" s="23" t="s">
        <v>130</v>
      </c>
      <c r="Z367" s="23" t="s">
        <v>130</v>
      </c>
      <c r="AA367" s="23" t="s">
        <v>130</v>
      </c>
      <c r="AB367" s="24"/>
      <c r="AC367" s="23" t="str">
        <f aca="false">D367&amp;"#"&amp;E367</f>
        <v>구약#399</v>
      </c>
      <c r="AD367" s="23" t="n">
        <f aca="false">COUNTIFS($C$2:C367,C367,$D$2:D367,D367)</f>
        <v>217</v>
      </c>
    </row>
    <row r="368" customFormat="false" ht="52.2" hidden="false" customHeight="false" outlineLevel="0" collapsed="false">
      <c r="A368" s="21" t="n">
        <v>367</v>
      </c>
      <c r="B368" s="18" t="s">
        <v>3353</v>
      </c>
      <c r="C368" s="20" t="n">
        <v>1</v>
      </c>
      <c r="D368" s="20" t="s">
        <v>116</v>
      </c>
      <c r="E368" s="20" t="n">
        <f aca="false">IF(C368=1,COUNTIFS($C$2:C368,1,$D$2:D368,D368),COUNTIFS($C$2:$C$799,1,$D$2:$D$799,D368)+COUNTIFS($C$2:C368,2,$D$2:D368,D368))</f>
        <v>150</v>
      </c>
      <c r="F368" s="20" t="str">
        <f aca="false">D368&amp;" #"&amp;TEXT(E368,"000")</f>
        <v>구약 #150</v>
      </c>
      <c r="G368" s="18" t="s">
        <v>3318</v>
      </c>
      <c r="H368" s="18" t="s">
        <v>3319</v>
      </c>
      <c r="I368" s="21" t="s">
        <v>3320</v>
      </c>
      <c r="J368" s="22" t="s">
        <v>3354</v>
      </c>
      <c r="K368" s="23" t="s">
        <v>1085</v>
      </c>
      <c r="L368" s="24" t="s">
        <v>3355</v>
      </c>
      <c r="M368" s="24" t="s">
        <v>3356</v>
      </c>
      <c r="N368" s="23" t="s">
        <v>3357</v>
      </c>
      <c r="O368" s="24" t="s">
        <v>3358</v>
      </c>
      <c r="P368" s="24" t="s">
        <v>3359</v>
      </c>
      <c r="Q368" s="24" t="s">
        <v>3360</v>
      </c>
      <c r="R368" s="25" t="s">
        <v>3361</v>
      </c>
      <c r="S368" s="28" t="s">
        <v>3362</v>
      </c>
      <c r="T368" s="24" t="str">
        <f aca="false">"["&amp;안내!$C$5&amp;" "&amp;F368&amp;"] "&amp;L368&amp;" | "&amp;J368</f>
        <v>[1분 성경 구약 #150] 나의 하나님 어찌하여 | 시편 22편</v>
      </c>
      <c r="U368" s="26" t="n">
        <f aca="false">IF(D368="구약",IF(C368=1,안내!$C$9,안내!$C$10)+AD368-1,IF(C368=1,안내!$C$9,안내!$C$10)+7*INT((AD368-1)/4)+CHOOSE(MOD(AD368-1,4)+1,0,2,4,5))</f>
        <v>46540</v>
      </c>
      <c r="V368" s="23" t="str">
        <f aca="false">CHOOSE(WEEKDAY(U368,2),"월","화","수","목","금","토","일")</f>
        <v>수</v>
      </c>
      <c r="W368" s="24" t="str">
        <f aca="false">IFERROR(IF(INDEX($C$2:$C$799,MATCH(D368&amp;"#"&amp;(E368+1),$AC$2:$AC$799,0))=C368,"다음 편: ","시즌1 완결 · 시즌2 첫 편: ")&amp;INDEX($L$2:$L$799,MATCH(D368&amp;"#"&amp;(E368+1),$AC$2:$AC$799,0)),"구약 트랙 완결")</f>
        <v>다음 편: 여호와는 나의 목자</v>
      </c>
      <c r="X368" s="23" t="s">
        <v>130</v>
      </c>
      <c r="Y368" s="23" t="s">
        <v>130</v>
      </c>
      <c r="Z368" s="23" t="s">
        <v>130</v>
      </c>
      <c r="AA368" s="23" t="s">
        <v>130</v>
      </c>
      <c r="AB368" s="24"/>
      <c r="AC368" s="23" t="str">
        <f aca="false">D368&amp;"#"&amp;E368</f>
        <v>구약#150</v>
      </c>
      <c r="AD368" s="23" t="n">
        <f aca="false">COUNTIFS($C$2:C368,C368,$D$2:D368,D368)</f>
        <v>150</v>
      </c>
    </row>
    <row r="369" customFormat="false" ht="26.85" hidden="false" customHeight="false" outlineLevel="0" collapsed="false">
      <c r="A369" s="21" t="n">
        <v>368</v>
      </c>
      <c r="B369" s="18" t="s">
        <v>3363</v>
      </c>
      <c r="C369" s="20" t="n">
        <v>1</v>
      </c>
      <c r="D369" s="20" t="s">
        <v>116</v>
      </c>
      <c r="E369" s="20" t="n">
        <f aca="false">IF(C369=1,COUNTIFS($C$2:C369,1,$D$2:D369,D369),COUNTIFS($C$2:$C$799,1,$D$2:$D$799,D369)+COUNTIFS($C$2:C369,2,$D$2:D369,D369))</f>
        <v>151</v>
      </c>
      <c r="F369" s="20" t="str">
        <f aca="false">D369&amp;" #"&amp;TEXT(E369,"000")</f>
        <v>구약 #151</v>
      </c>
      <c r="G369" s="18" t="s">
        <v>3318</v>
      </c>
      <c r="H369" s="18" t="s">
        <v>3319</v>
      </c>
      <c r="I369" s="21" t="s">
        <v>3320</v>
      </c>
      <c r="J369" s="22" t="s">
        <v>3364</v>
      </c>
      <c r="K369" s="23" t="s">
        <v>1085</v>
      </c>
      <c r="L369" s="24" t="s">
        <v>3365</v>
      </c>
      <c r="M369" s="24" t="s">
        <v>3366</v>
      </c>
      <c r="N369" s="23" t="s">
        <v>3367</v>
      </c>
      <c r="O369" s="24" t="s">
        <v>3368</v>
      </c>
      <c r="P369" s="24" t="s">
        <v>3369</v>
      </c>
      <c r="Q369" s="24" t="s">
        <v>3370</v>
      </c>
      <c r="R369" s="25" t="s">
        <v>3371</v>
      </c>
      <c r="S369" s="24" t="s">
        <v>129</v>
      </c>
      <c r="T369" s="24" t="str">
        <f aca="false">"["&amp;안내!$C$5&amp;" "&amp;F369&amp;"] "&amp;L369&amp;" | "&amp;J369</f>
        <v>[1분 성경 구약 #151] 여호와는 나의 목자 | 시편 23편</v>
      </c>
      <c r="U369" s="26" t="n">
        <f aca="false">IF(D369="구약",IF(C369=1,안내!$C$9,안내!$C$10)+AD369-1,IF(C369=1,안내!$C$9,안내!$C$10)+7*INT((AD369-1)/4)+CHOOSE(MOD(AD369-1,4)+1,0,2,4,5))</f>
        <v>46541</v>
      </c>
      <c r="V369" s="23" t="str">
        <f aca="false">CHOOSE(WEEKDAY(U369,2),"월","화","수","목","금","토","일")</f>
        <v>목</v>
      </c>
      <c r="W369" s="24" t="str">
        <f aca="false">IFERROR(IF(INDEX($C$2:$C$799,MATCH(D369&amp;"#"&amp;(E369+1),$AC$2:$AC$799,0))=C369,"다음 편: ","시즌1 완결 · 시즌2 첫 편: ")&amp;INDEX($L$2:$L$799,MATCH(D369&amp;"#"&amp;(E369+1),$AC$2:$AC$799,0)),"구약 트랙 완결")</f>
        <v>다음 편: 정한 마음을 창조하소서</v>
      </c>
      <c r="X369" s="23" t="s">
        <v>130</v>
      </c>
      <c r="Y369" s="23" t="s">
        <v>130</v>
      </c>
      <c r="Z369" s="23" t="s">
        <v>130</v>
      </c>
      <c r="AA369" s="23" t="s">
        <v>130</v>
      </c>
      <c r="AB369" s="24"/>
      <c r="AC369" s="23" t="str">
        <f aca="false">D369&amp;"#"&amp;E369</f>
        <v>구약#151</v>
      </c>
      <c r="AD369" s="23" t="n">
        <f aca="false">COUNTIFS($C$2:C369,C369,$D$2:D369,D369)</f>
        <v>151</v>
      </c>
    </row>
    <row r="370" customFormat="false" ht="26.85" hidden="false" customHeight="false" outlineLevel="0" collapsed="false">
      <c r="A370" s="21" t="n">
        <v>369</v>
      </c>
      <c r="B370" s="18" t="s">
        <v>3372</v>
      </c>
      <c r="C370" s="23" t="n">
        <v>2</v>
      </c>
      <c r="D370" s="23" t="s">
        <v>116</v>
      </c>
      <c r="E370" s="23" t="n">
        <f aca="false">IF(C370=1,COUNTIFS($C$2:C370,1,$D$2:D370,D370),COUNTIFS($C$2:$C$799,1,$D$2:$D$799,D370)+COUNTIFS($C$2:C370,2,$D$2:D370,D370))</f>
        <v>400</v>
      </c>
      <c r="F370" s="23" t="str">
        <f aca="false">D370&amp;" #"&amp;TEXT(E370,"000")</f>
        <v>구약 #400</v>
      </c>
      <c r="G370" s="18" t="s">
        <v>3318</v>
      </c>
      <c r="H370" s="18" t="s">
        <v>3248</v>
      </c>
      <c r="I370" s="21" t="s">
        <v>3320</v>
      </c>
      <c r="J370" s="22" t="s">
        <v>3373</v>
      </c>
      <c r="K370" s="23" t="s">
        <v>1085</v>
      </c>
      <c r="L370" s="24" t="s">
        <v>3374</v>
      </c>
      <c r="M370" s="24" t="s">
        <v>3375</v>
      </c>
      <c r="N370" s="23" t="s">
        <v>3376</v>
      </c>
      <c r="O370" s="24" t="s">
        <v>3377</v>
      </c>
      <c r="P370" s="24" t="s">
        <v>3344</v>
      </c>
      <c r="Q370" s="24" t="s">
        <v>3378</v>
      </c>
      <c r="R370" s="24"/>
      <c r="S370" s="24" t="s">
        <v>3379</v>
      </c>
      <c r="T370" s="24" t="str">
        <f aca="false">"["&amp;안내!$C$5&amp;" "&amp;F370&amp;"] "&amp;L370&amp;" | "&amp;J370</f>
        <v>[1분 성경 구약 #400] 여호와는 나의 빛 | 시편 27편</v>
      </c>
      <c r="U370" s="26" t="n">
        <f aca="false">IF(D370="구약",IF(C370=1,안내!$C$9,안내!$C$10)+AD370-1,IF(C370=1,안내!$C$9,안내!$C$10)+7*INT((AD370-1)/4)+CHOOSE(MOD(AD370-1,4)+1,0,2,4,5))</f>
        <v>46797</v>
      </c>
      <c r="V370" s="23" t="str">
        <f aca="false">CHOOSE(WEEKDAY(U370,2),"월","화","수","목","금","토","일")</f>
        <v>월</v>
      </c>
      <c r="W370" s="24" t="str">
        <f aca="false">IFERROR(IF(INDEX($C$2:$C$799,MATCH(D370&amp;"#"&amp;(E370+1),$AC$2:$AC$799,0))=C370,"다음 편: ","시즌1 완결 · 시즌2 첫 편: ")&amp;INDEX($L$2:$L$799,MATCH(D370&amp;"#"&amp;(E370+1),$AC$2:$AC$799,0)),"구약 트랙 완결")</f>
        <v>다음 편: 용서받은 사람의 기쁨</v>
      </c>
      <c r="X370" s="23" t="s">
        <v>130</v>
      </c>
      <c r="Y370" s="23" t="s">
        <v>130</v>
      </c>
      <c r="Z370" s="23" t="s">
        <v>130</v>
      </c>
      <c r="AA370" s="23" t="s">
        <v>130</v>
      </c>
      <c r="AB370" s="24"/>
      <c r="AC370" s="23" t="str">
        <f aca="false">D370&amp;"#"&amp;E370</f>
        <v>구약#400</v>
      </c>
      <c r="AD370" s="23" t="n">
        <f aca="false">COUNTIFS($C$2:C370,C370,$D$2:D370,D370)</f>
        <v>218</v>
      </c>
    </row>
    <row r="371" customFormat="false" ht="26.85" hidden="false" customHeight="false" outlineLevel="0" collapsed="false">
      <c r="A371" s="21" t="n">
        <v>370</v>
      </c>
      <c r="B371" s="18" t="s">
        <v>3380</v>
      </c>
      <c r="C371" s="23" t="n">
        <v>2</v>
      </c>
      <c r="D371" s="23" t="s">
        <v>116</v>
      </c>
      <c r="E371" s="23" t="n">
        <f aca="false">IF(C371=1,COUNTIFS($C$2:C371,1,$D$2:D371,D371),COUNTIFS($C$2:$C$799,1,$D$2:$D$799,D371)+COUNTIFS($C$2:C371,2,$D$2:D371,D371))</f>
        <v>401</v>
      </c>
      <c r="F371" s="23" t="str">
        <f aca="false">D371&amp;" #"&amp;TEXT(E371,"000")</f>
        <v>구약 #401</v>
      </c>
      <c r="G371" s="18" t="s">
        <v>3318</v>
      </c>
      <c r="H371" s="18" t="s">
        <v>3248</v>
      </c>
      <c r="I371" s="21" t="s">
        <v>3320</v>
      </c>
      <c r="J371" s="22" t="s">
        <v>3381</v>
      </c>
      <c r="K371" s="23" t="s">
        <v>1085</v>
      </c>
      <c r="L371" s="24" t="s">
        <v>3382</v>
      </c>
      <c r="M371" s="24" t="s">
        <v>3383</v>
      </c>
      <c r="N371" s="23" t="s">
        <v>3384</v>
      </c>
      <c r="O371" s="24" t="s">
        <v>3385</v>
      </c>
      <c r="P371" s="24" t="s">
        <v>3344</v>
      </c>
      <c r="Q371" s="24"/>
      <c r="R371" s="25" t="s">
        <v>3386</v>
      </c>
      <c r="S371" s="24" t="s">
        <v>3379</v>
      </c>
      <c r="T371" s="24" t="str">
        <f aca="false">"["&amp;안내!$C$5&amp;" "&amp;F371&amp;"] "&amp;L371&amp;" | "&amp;J371</f>
        <v>[1분 성경 구약 #401] 용서받은 사람의 기쁨 | 시편 32편</v>
      </c>
      <c r="U371" s="26" t="n">
        <f aca="false">IF(D371="구약",IF(C371=1,안내!$C$9,안내!$C$10)+AD371-1,IF(C371=1,안내!$C$9,안내!$C$10)+7*INT((AD371-1)/4)+CHOOSE(MOD(AD371-1,4)+1,0,2,4,5))</f>
        <v>46798</v>
      </c>
      <c r="V371" s="23" t="str">
        <f aca="false">CHOOSE(WEEKDAY(U371,2),"월","화","수","목","금","토","일")</f>
        <v>화</v>
      </c>
      <c r="W371" s="24" t="str">
        <f aca="false">IFERROR(IF(INDEX($C$2:$C$799,MATCH(D371&amp;"#"&amp;(E371+1),$AC$2:$AC$799,0))=C371,"다음 편: ","시즌1 완결 · 시즌2 첫 편: ")&amp;INDEX($L$2:$L$799,MATCH(D371&amp;"#"&amp;(E371+1),$AC$2:$AC$799,0)),"구약 트랙 완결")</f>
        <v>다음 편: 사슴이 시냇물을 찾듯</v>
      </c>
      <c r="X371" s="23" t="s">
        <v>130</v>
      </c>
      <c r="Y371" s="23" t="s">
        <v>130</v>
      </c>
      <c r="Z371" s="23" t="s">
        <v>130</v>
      </c>
      <c r="AA371" s="23" t="s">
        <v>130</v>
      </c>
      <c r="AB371" s="24"/>
      <c r="AC371" s="23" t="str">
        <f aca="false">D371&amp;"#"&amp;E371</f>
        <v>구약#401</v>
      </c>
      <c r="AD371" s="23" t="n">
        <f aca="false">COUNTIFS($C$2:C371,C371,$D$2:D371,D371)</f>
        <v>219</v>
      </c>
    </row>
    <row r="372" customFormat="false" ht="26.85" hidden="false" customHeight="false" outlineLevel="0" collapsed="false">
      <c r="A372" s="21" t="n">
        <v>371</v>
      </c>
      <c r="B372" s="18" t="s">
        <v>3387</v>
      </c>
      <c r="C372" s="23" t="n">
        <v>2</v>
      </c>
      <c r="D372" s="23" t="s">
        <v>116</v>
      </c>
      <c r="E372" s="23" t="n">
        <f aca="false">IF(C372=1,COUNTIFS($C$2:C372,1,$D$2:D372,D372),COUNTIFS($C$2:$C$799,1,$D$2:$D$799,D372)+COUNTIFS($C$2:C372,2,$D$2:D372,D372))</f>
        <v>402</v>
      </c>
      <c r="F372" s="23" t="str">
        <f aca="false">D372&amp;" #"&amp;TEXT(E372,"000")</f>
        <v>구약 #402</v>
      </c>
      <c r="G372" s="18" t="s">
        <v>3388</v>
      </c>
      <c r="H372" s="18" t="s">
        <v>3389</v>
      </c>
      <c r="I372" s="21" t="s">
        <v>3320</v>
      </c>
      <c r="J372" s="22" t="s">
        <v>3390</v>
      </c>
      <c r="K372" s="23" t="s">
        <v>1085</v>
      </c>
      <c r="L372" s="24" t="s">
        <v>3391</v>
      </c>
      <c r="M372" s="24" t="s">
        <v>3392</v>
      </c>
      <c r="N372" s="23" t="s">
        <v>3393</v>
      </c>
      <c r="O372" s="24" t="s">
        <v>3394</v>
      </c>
      <c r="P372" s="24" t="s">
        <v>3395</v>
      </c>
      <c r="Q372" s="24" t="s">
        <v>3396</v>
      </c>
      <c r="R372" s="24"/>
      <c r="S372" s="24" t="s">
        <v>3379</v>
      </c>
      <c r="T372" s="24" t="str">
        <f aca="false">"["&amp;안내!$C$5&amp;" "&amp;F372&amp;"] "&amp;L372&amp;" | "&amp;J372</f>
        <v>[1분 성경 구약 #402] 사슴이 시냇물을 찾듯 | 시편 42편</v>
      </c>
      <c r="U372" s="26" t="n">
        <f aca="false">IF(D372="구약",IF(C372=1,안내!$C$9,안내!$C$10)+AD372-1,IF(C372=1,안내!$C$9,안내!$C$10)+7*INT((AD372-1)/4)+CHOOSE(MOD(AD372-1,4)+1,0,2,4,5))</f>
        <v>46799</v>
      </c>
      <c r="V372" s="23" t="str">
        <f aca="false">CHOOSE(WEEKDAY(U372,2),"월","화","수","목","금","토","일")</f>
        <v>수</v>
      </c>
      <c r="W372" s="24" t="str">
        <f aca="false">IFERROR(IF(INDEX($C$2:$C$799,MATCH(D372&amp;"#"&amp;(E372+1),$AC$2:$AC$799,0))=C372,"다음 편: ","시즌1 완결 · 시즌2 첫 편: ")&amp;INDEX($L$2:$L$799,MATCH(D372&amp;"#"&amp;(E372+1),$AC$2:$AC$799,0)),"구약 트랙 완결")</f>
        <v>다음 편: 하나님은 우리의 피난처</v>
      </c>
      <c r="X372" s="23" t="s">
        <v>130</v>
      </c>
      <c r="Y372" s="23" t="s">
        <v>130</v>
      </c>
      <c r="Z372" s="23" t="s">
        <v>130</v>
      </c>
      <c r="AA372" s="23" t="s">
        <v>130</v>
      </c>
      <c r="AB372" s="24"/>
      <c r="AC372" s="23" t="str">
        <f aca="false">D372&amp;"#"&amp;E372</f>
        <v>구약#402</v>
      </c>
      <c r="AD372" s="23" t="n">
        <f aca="false">COUNTIFS($C$2:C372,C372,$D$2:D372,D372)</f>
        <v>220</v>
      </c>
    </row>
    <row r="373" customFormat="false" ht="26.85" hidden="false" customHeight="false" outlineLevel="0" collapsed="false">
      <c r="A373" s="21" t="n">
        <v>372</v>
      </c>
      <c r="B373" s="18" t="s">
        <v>3397</v>
      </c>
      <c r="C373" s="23" t="n">
        <v>2</v>
      </c>
      <c r="D373" s="23" t="s">
        <v>116</v>
      </c>
      <c r="E373" s="23" t="n">
        <f aca="false">IF(C373=1,COUNTIFS($C$2:C373,1,$D$2:D373,D373),COUNTIFS($C$2:$C$799,1,$D$2:$D$799,D373)+COUNTIFS($C$2:C373,2,$D$2:D373,D373))</f>
        <v>403</v>
      </c>
      <c r="F373" s="23" t="str">
        <f aca="false">D373&amp;" #"&amp;TEXT(E373,"000")</f>
        <v>구약 #403</v>
      </c>
      <c r="G373" s="18" t="s">
        <v>3388</v>
      </c>
      <c r="H373" s="18" t="s">
        <v>3389</v>
      </c>
      <c r="I373" s="21" t="s">
        <v>3320</v>
      </c>
      <c r="J373" s="22" t="s">
        <v>3398</v>
      </c>
      <c r="K373" s="23" t="s">
        <v>1085</v>
      </c>
      <c r="L373" s="24" t="s">
        <v>3399</v>
      </c>
      <c r="M373" s="24" t="s">
        <v>3400</v>
      </c>
      <c r="N373" s="23" t="s">
        <v>3401</v>
      </c>
      <c r="O373" s="24" t="s">
        <v>3402</v>
      </c>
      <c r="P373" s="24" t="s">
        <v>3395</v>
      </c>
      <c r="Q373" s="24" t="s">
        <v>3403</v>
      </c>
      <c r="R373" s="24"/>
      <c r="S373" s="24" t="s">
        <v>3379</v>
      </c>
      <c r="T373" s="24" t="str">
        <f aca="false">"["&amp;안내!$C$5&amp;" "&amp;F373&amp;"] "&amp;L373&amp;" | "&amp;J373</f>
        <v>[1분 성경 구약 #403] 하나님은 우리의 피난처 | 시편 46편</v>
      </c>
      <c r="U373" s="26" t="n">
        <f aca="false">IF(D373="구약",IF(C373=1,안내!$C$9,안내!$C$10)+AD373-1,IF(C373=1,안내!$C$9,안내!$C$10)+7*INT((AD373-1)/4)+CHOOSE(MOD(AD373-1,4)+1,0,2,4,5))</f>
        <v>46800</v>
      </c>
      <c r="V373" s="23" t="str">
        <f aca="false">CHOOSE(WEEKDAY(U373,2),"월","화","수","목","금","토","일")</f>
        <v>목</v>
      </c>
      <c r="W373" s="24" t="str">
        <f aca="false">IFERROR(IF(INDEX($C$2:$C$799,MATCH(D373&amp;"#"&amp;(E373+1),$AC$2:$AC$799,0))=C373,"다음 편: ","시즌1 완결 · 시즌2 첫 편: ")&amp;INDEX($L$2:$L$799,MATCH(D373&amp;"#"&amp;(E373+1),$AC$2:$AC$799,0)),"구약 트랙 완결")</f>
        <v>다음 편: 잠잠히 하나님만</v>
      </c>
      <c r="X373" s="23" t="s">
        <v>130</v>
      </c>
      <c r="Y373" s="23" t="s">
        <v>130</v>
      </c>
      <c r="Z373" s="23" t="s">
        <v>130</v>
      </c>
      <c r="AA373" s="23" t="s">
        <v>130</v>
      </c>
      <c r="AB373" s="24"/>
      <c r="AC373" s="23" t="str">
        <f aca="false">D373&amp;"#"&amp;E373</f>
        <v>구약#403</v>
      </c>
      <c r="AD373" s="23" t="n">
        <f aca="false">COUNTIFS($C$2:C373,C373,$D$2:D373,D373)</f>
        <v>221</v>
      </c>
    </row>
    <row r="374" customFormat="false" ht="52.2" hidden="false" customHeight="false" outlineLevel="0" collapsed="false">
      <c r="A374" s="21" t="n">
        <v>373</v>
      </c>
      <c r="B374" s="18" t="s">
        <v>3404</v>
      </c>
      <c r="C374" s="20" t="n">
        <v>1</v>
      </c>
      <c r="D374" s="20" t="s">
        <v>116</v>
      </c>
      <c r="E374" s="20" t="n">
        <f aca="false">IF(C374=1,COUNTIFS($C$2:C374,1,$D$2:D374,D374),COUNTIFS($C$2:$C$799,1,$D$2:$D$799,D374)+COUNTIFS($C$2:C374,2,$D$2:D374,D374))</f>
        <v>152</v>
      </c>
      <c r="F374" s="20" t="str">
        <f aca="false">D374&amp;" #"&amp;TEXT(E374,"000")</f>
        <v>구약 #152</v>
      </c>
      <c r="G374" s="18" t="s">
        <v>3388</v>
      </c>
      <c r="H374" s="18" t="s">
        <v>3319</v>
      </c>
      <c r="I374" s="21" t="s">
        <v>3320</v>
      </c>
      <c r="J374" s="22" t="s">
        <v>3405</v>
      </c>
      <c r="K374" s="23" t="s">
        <v>1085</v>
      </c>
      <c r="L374" s="24" t="s">
        <v>3406</v>
      </c>
      <c r="M374" s="24" t="s">
        <v>3407</v>
      </c>
      <c r="N374" s="23" t="s">
        <v>3408</v>
      </c>
      <c r="O374" s="24" t="s">
        <v>3409</v>
      </c>
      <c r="P374" s="24" t="s">
        <v>3344</v>
      </c>
      <c r="Q374" s="24" t="s">
        <v>3410</v>
      </c>
      <c r="R374" s="24"/>
      <c r="S374" s="28" t="s">
        <v>3411</v>
      </c>
      <c r="T374" s="24" t="str">
        <f aca="false">"["&amp;안내!$C$5&amp;" "&amp;F374&amp;"] "&amp;L374&amp;" | "&amp;J374</f>
        <v>[1분 성경 구약 #152] 정한 마음을 창조하소서 | 시편 51편</v>
      </c>
      <c r="U374" s="26" t="n">
        <f aca="false">IF(D374="구약",IF(C374=1,안내!$C$9,안내!$C$10)+AD374-1,IF(C374=1,안내!$C$9,안내!$C$10)+7*INT((AD374-1)/4)+CHOOSE(MOD(AD374-1,4)+1,0,2,4,5))</f>
        <v>46542</v>
      </c>
      <c r="V374" s="23" t="str">
        <f aca="false">CHOOSE(WEEKDAY(U374,2),"월","화","수","목","금","토","일")</f>
        <v>금</v>
      </c>
      <c r="W374" s="24" t="str">
        <f aca="false">IFERROR(IF(INDEX($C$2:$C$799,MATCH(D374&amp;"#"&amp;(E374+1),$AC$2:$AC$799,0))=C374,"다음 편: ","시즌1 완결 · 시즌2 첫 편: ")&amp;INDEX($L$2:$L$799,MATCH(D374&amp;"#"&amp;(E374+1),$AC$2:$AC$799,0)),"구약 트랙 완결")</f>
        <v>다음 편: 내 발에 등이요</v>
      </c>
      <c r="X374" s="23" t="s">
        <v>130</v>
      </c>
      <c r="Y374" s="23" t="s">
        <v>130</v>
      </c>
      <c r="Z374" s="23" t="s">
        <v>130</v>
      </c>
      <c r="AA374" s="23" t="s">
        <v>130</v>
      </c>
      <c r="AB374" s="24"/>
      <c r="AC374" s="23" t="str">
        <f aca="false">D374&amp;"#"&amp;E374</f>
        <v>구약#152</v>
      </c>
      <c r="AD374" s="23" t="n">
        <f aca="false">COUNTIFS($C$2:C374,C374,$D$2:D374,D374)</f>
        <v>152</v>
      </c>
    </row>
    <row r="375" customFormat="false" ht="26.85" hidden="false" customHeight="false" outlineLevel="0" collapsed="false">
      <c r="A375" s="21" t="n">
        <v>374</v>
      </c>
      <c r="B375" s="18" t="s">
        <v>3412</v>
      </c>
      <c r="C375" s="23" t="n">
        <v>2</v>
      </c>
      <c r="D375" s="23" t="s">
        <v>116</v>
      </c>
      <c r="E375" s="23" t="n">
        <f aca="false">IF(C375=1,COUNTIFS($C$2:C375,1,$D$2:D375,D375),COUNTIFS($C$2:$C$799,1,$D$2:$D$799,D375)+COUNTIFS($C$2:C375,2,$D$2:D375,D375))</f>
        <v>404</v>
      </c>
      <c r="F375" s="23" t="str">
        <f aca="false">D375&amp;" #"&amp;TEXT(E375,"000")</f>
        <v>구약 #404</v>
      </c>
      <c r="G375" s="18" t="s">
        <v>3388</v>
      </c>
      <c r="H375" s="18" t="s">
        <v>3389</v>
      </c>
      <c r="I375" s="21" t="s">
        <v>3320</v>
      </c>
      <c r="J375" s="22" t="s">
        <v>3413</v>
      </c>
      <c r="K375" s="23" t="s">
        <v>1085</v>
      </c>
      <c r="L375" s="24" t="s">
        <v>3414</v>
      </c>
      <c r="M375" s="24" t="s">
        <v>3415</v>
      </c>
      <c r="N375" s="23" t="s">
        <v>3416</v>
      </c>
      <c r="O375" s="24" t="s">
        <v>3417</v>
      </c>
      <c r="P375" s="24" t="s">
        <v>3344</v>
      </c>
      <c r="Q375" s="24" t="s">
        <v>3418</v>
      </c>
      <c r="R375" s="24"/>
      <c r="S375" s="24" t="s">
        <v>3419</v>
      </c>
      <c r="T375" s="24" t="str">
        <f aca="false">"["&amp;안내!$C$5&amp;" "&amp;F375&amp;"] "&amp;L375&amp;" | "&amp;J375</f>
        <v>[1분 성경 구약 #404] 잠잠히 하나님만 | 시편 62편</v>
      </c>
      <c r="U375" s="26" t="n">
        <f aca="false">IF(D375="구약",IF(C375=1,안내!$C$9,안내!$C$10)+AD375-1,IF(C375=1,안내!$C$9,안내!$C$10)+7*INT((AD375-1)/4)+CHOOSE(MOD(AD375-1,4)+1,0,2,4,5))</f>
        <v>46801</v>
      </c>
      <c r="V375" s="23" t="str">
        <f aca="false">CHOOSE(WEEKDAY(U375,2),"월","화","수","목","금","토","일")</f>
        <v>금</v>
      </c>
      <c r="W375" s="24" t="str">
        <f aca="false">IFERROR(IF(INDEX($C$2:$C$799,MATCH(D375&amp;"#"&amp;(E375+1),$AC$2:$AC$799,0))=C375,"다음 편: ","시즌1 완결 · 시즌2 첫 편: ")&amp;INDEX($L$2:$L$799,MATCH(D375&amp;"#"&amp;(E375+1),$AC$2:$AC$799,0)),"구약 트랙 완결")</f>
        <v>다음 편: 광야에서 부른 노래</v>
      </c>
      <c r="X375" s="23" t="s">
        <v>130</v>
      </c>
      <c r="Y375" s="23" t="s">
        <v>130</v>
      </c>
      <c r="Z375" s="23" t="s">
        <v>130</v>
      </c>
      <c r="AA375" s="23" t="s">
        <v>130</v>
      </c>
      <c r="AB375" s="24"/>
      <c r="AC375" s="23" t="str">
        <f aca="false">D375&amp;"#"&amp;E375</f>
        <v>구약#404</v>
      </c>
      <c r="AD375" s="23" t="n">
        <f aca="false">COUNTIFS($C$2:C375,C375,$D$2:D375,D375)</f>
        <v>222</v>
      </c>
    </row>
    <row r="376" customFormat="false" ht="26.85" hidden="false" customHeight="false" outlineLevel="0" collapsed="false">
      <c r="A376" s="21" t="n">
        <v>375</v>
      </c>
      <c r="B376" s="18" t="s">
        <v>3420</v>
      </c>
      <c r="C376" s="23" t="n">
        <v>2</v>
      </c>
      <c r="D376" s="23" t="s">
        <v>116</v>
      </c>
      <c r="E376" s="23" t="n">
        <f aca="false">IF(C376=1,COUNTIFS($C$2:C376,1,$D$2:D376,D376),COUNTIFS($C$2:$C$799,1,$D$2:$D$799,D376)+COUNTIFS($C$2:C376,2,$D$2:D376,D376))</f>
        <v>405</v>
      </c>
      <c r="F376" s="23" t="str">
        <f aca="false">D376&amp;" #"&amp;TEXT(E376,"000")</f>
        <v>구약 #405</v>
      </c>
      <c r="G376" s="18" t="s">
        <v>3388</v>
      </c>
      <c r="H376" s="18" t="s">
        <v>3389</v>
      </c>
      <c r="I376" s="21" t="s">
        <v>3320</v>
      </c>
      <c r="J376" s="22" t="s">
        <v>3421</v>
      </c>
      <c r="K376" s="23" t="s">
        <v>1085</v>
      </c>
      <c r="L376" s="24" t="s">
        <v>3422</v>
      </c>
      <c r="M376" s="24" t="s">
        <v>3423</v>
      </c>
      <c r="N376" s="23" t="s">
        <v>3424</v>
      </c>
      <c r="O376" s="24" t="s">
        <v>3425</v>
      </c>
      <c r="P376" s="24" t="s">
        <v>3344</v>
      </c>
      <c r="Q376" s="24" t="s">
        <v>3426</v>
      </c>
      <c r="R376" s="24"/>
      <c r="S376" s="24" t="s">
        <v>3419</v>
      </c>
      <c r="T376" s="24" t="str">
        <f aca="false">"["&amp;안내!$C$5&amp;" "&amp;F376&amp;"] "&amp;L376&amp;" | "&amp;J376</f>
        <v>[1분 성경 구약 #405] 광야에서 부른 노래 | 시편 63편</v>
      </c>
      <c r="U376" s="26" t="n">
        <f aca="false">IF(D376="구약",IF(C376=1,안내!$C$9,안내!$C$10)+AD376-1,IF(C376=1,안내!$C$9,안내!$C$10)+7*INT((AD376-1)/4)+CHOOSE(MOD(AD376-1,4)+1,0,2,4,5))</f>
        <v>46802</v>
      </c>
      <c r="V376" s="23" t="str">
        <f aca="false">CHOOSE(WEEKDAY(U376,2),"월","화","수","목","금","토","일")</f>
        <v>토</v>
      </c>
      <c r="W376" s="24" t="str">
        <f aca="false">IFERROR(IF(INDEX($C$2:$C$799,MATCH(D376&amp;"#"&amp;(E376+1),$AC$2:$AC$799,0))=C376,"다음 편: ","시즌1 완결 · 시즌2 첫 편: ")&amp;INDEX($L$2:$L$799,MATCH(D376&amp;"#"&amp;(E376+1),$AC$2:$AC$799,0)),"구약 트랙 완결")</f>
        <v>다음 편: 악인이 잘되는 것 같을 때</v>
      </c>
      <c r="X376" s="23" t="s">
        <v>130</v>
      </c>
      <c r="Y376" s="23" t="s">
        <v>130</v>
      </c>
      <c r="Z376" s="23" t="s">
        <v>130</v>
      </c>
      <c r="AA376" s="23" t="s">
        <v>130</v>
      </c>
      <c r="AB376" s="24"/>
      <c r="AC376" s="23" t="str">
        <f aca="false">D376&amp;"#"&amp;E376</f>
        <v>구약#405</v>
      </c>
      <c r="AD376" s="23" t="n">
        <f aca="false">COUNTIFS($C$2:C376,C376,$D$2:D376,D376)</f>
        <v>223</v>
      </c>
    </row>
    <row r="377" customFormat="false" ht="26.85" hidden="false" customHeight="false" outlineLevel="0" collapsed="false">
      <c r="A377" s="21" t="n">
        <v>376</v>
      </c>
      <c r="B377" s="18" t="s">
        <v>3427</v>
      </c>
      <c r="C377" s="23" t="n">
        <v>2</v>
      </c>
      <c r="D377" s="23" t="s">
        <v>116</v>
      </c>
      <c r="E377" s="23" t="n">
        <f aca="false">IF(C377=1,COUNTIFS($C$2:C377,1,$D$2:D377,D377),COUNTIFS($C$2:$C$799,1,$D$2:$D$799,D377)+COUNTIFS($C$2:C377,2,$D$2:D377,D377))</f>
        <v>406</v>
      </c>
      <c r="F377" s="23" t="str">
        <f aca="false">D377&amp;" #"&amp;TEXT(E377,"000")</f>
        <v>구약 #406</v>
      </c>
      <c r="G377" s="18" t="s">
        <v>3388</v>
      </c>
      <c r="H377" s="18" t="s">
        <v>3389</v>
      </c>
      <c r="I377" s="21" t="s">
        <v>3320</v>
      </c>
      <c r="J377" s="22" t="s">
        <v>3428</v>
      </c>
      <c r="K377" s="23" t="s">
        <v>1085</v>
      </c>
      <c r="L377" s="24" t="s">
        <v>3429</v>
      </c>
      <c r="M377" s="24" t="s">
        <v>3430</v>
      </c>
      <c r="N377" s="23" t="s">
        <v>3431</v>
      </c>
      <c r="O377" s="24" t="s">
        <v>3432</v>
      </c>
      <c r="P377" s="24" t="s">
        <v>3433</v>
      </c>
      <c r="Q377" s="24" t="s">
        <v>1276</v>
      </c>
      <c r="R377" s="24"/>
      <c r="S377" s="24" t="s">
        <v>3419</v>
      </c>
      <c r="T377" s="24" t="str">
        <f aca="false">"["&amp;안내!$C$5&amp;" "&amp;F377&amp;"] "&amp;L377&amp;" | "&amp;J377</f>
        <v>[1분 성경 구약 #406] 악인이 잘되는 것 같을 때 | 시편 73편</v>
      </c>
      <c r="U377" s="26" t="n">
        <f aca="false">IF(D377="구약",IF(C377=1,안내!$C$9,안내!$C$10)+AD377-1,IF(C377=1,안내!$C$9,안내!$C$10)+7*INT((AD377-1)/4)+CHOOSE(MOD(AD377-1,4)+1,0,2,4,5))</f>
        <v>46803</v>
      </c>
      <c r="V377" s="23" t="str">
        <f aca="false">CHOOSE(WEEKDAY(U377,2),"월","화","수","목","금","토","일")</f>
        <v>일</v>
      </c>
      <c r="W377" s="24" t="str">
        <f aca="false">IFERROR(IF(INDEX($C$2:$C$799,MATCH(D377&amp;"#"&amp;(E377+1),$AC$2:$AC$799,0))=C377,"다음 편: ","시즌1 완결 · 시즌2 첫 편: ")&amp;INDEX($L$2:$L$799,MATCH(D377&amp;"#"&amp;(E377+1),$AC$2:$AC$799,0)),"구약 트랙 완결")</f>
        <v>다음 편: 주의 집에서의 하루</v>
      </c>
      <c r="X377" s="23" t="s">
        <v>130</v>
      </c>
      <c r="Y377" s="23" t="s">
        <v>130</v>
      </c>
      <c r="Z377" s="23" t="s">
        <v>130</v>
      </c>
      <c r="AA377" s="23" t="s">
        <v>130</v>
      </c>
      <c r="AB377" s="24"/>
      <c r="AC377" s="23" t="str">
        <f aca="false">D377&amp;"#"&amp;E377</f>
        <v>구약#406</v>
      </c>
      <c r="AD377" s="23" t="n">
        <f aca="false">COUNTIFS($C$2:C377,C377,$D$2:D377,D377)</f>
        <v>224</v>
      </c>
    </row>
    <row r="378" customFormat="false" ht="26.85" hidden="false" customHeight="false" outlineLevel="0" collapsed="false">
      <c r="A378" s="21" t="n">
        <v>377</v>
      </c>
      <c r="B378" s="18" t="s">
        <v>3434</v>
      </c>
      <c r="C378" s="23" t="n">
        <v>2</v>
      </c>
      <c r="D378" s="23" t="s">
        <v>116</v>
      </c>
      <c r="E378" s="23" t="n">
        <f aca="false">IF(C378=1,COUNTIFS($C$2:C378,1,$D$2:D378,D378),COUNTIFS($C$2:$C$799,1,$D$2:$D$799,D378)+COUNTIFS($C$2:C378,2,$D$2:D378,D378))</f>
        <v>407</v>
      </c>
      <c r="F378" s="23" t="str">
        <f aca="false">D378&amp;" #"&amp;TEXT(E378,"000")</f>
        <v>구약 #407</v>
      </c>
      <c r="G378" s="18" t="s">
        <v>3388</v>
      </c>
      <c r="H378" s="18" t="s">
        <v>3389</v>
      </c>
      <c r="I378" s="21" t="s">
        <v>3320</v>
      </c>
      <c r="J378" s="22" t="s">
        <v>3435</v>
      </c>
      <c r="K378" s="23" t="s">
        <v>1085</v>
      </c>
      <c r="L378" s="24" t="s">
        <v>3436</v>
      </c>
      <c r="M378" s="24" t="s">
        <v>3437</v>
      </c>
      <c r="N378" s="23" t="s">
        <v>3438</v>
      </c>
      <c r="O378" s="24" t="s">
        <v>3439</v>
      </c>
      <c r="P378" s="24" t="s">
        <v>3395</v>
      </c>
      <c r="Q378" s="24" t="s">
        <v>3440</v>
      </c>
      <c r="R378" s="24"/>
      <c r="S378" s="24" t="s">
        <v>3419</v>
      </c>
      <c r="T378" s="24" t="str">
        <f aca="false">"["&amp;안내!$C$5&amp;" "&amp;F378&amp;"] "&amp;L378&amp;" | "&amp;J378</f>
        <v>[1분 성경 구약 #407] 주의 집에서의 하루 | 시편 84편</v>
      </c>
      <c r="U378" s="26" t="n">
        <f aca="false">IF(D378="구약",IF(C378=1,안내!$C$9,안내!$C$10)+AD378-1,IF(C378=1,안내!$C$9,안내!$C$10)+7*INT((AD378-1)/4)+CHOOSE(MOD(AD378-1,4)+1,0,2,4,5))</f>
        <v>46804</v>
      </c>
      <c r="V378" s="23" t="str">
        <f aca="false">CHOOSE(WEEKDAY(U378,2),"월","화","수","목","금","토","일")</f>
        <v>월</v>
      </c>
      <c r="W378" s="24" t="str">
        <f aca="false">IFERROR(IF(INDEX($C$2:$C$799,MATCH(D378&amp;"#"&amp;(E378+1),$AC$2:$AC$799,0))=C378,"다음 편: ","시즌1 완결 · 시즌2 첫 편: ")&amp;INDEX($L$2:$L$799,MATCH(D378&amp;"#"&amp;(E378+1),$AC$2:$AC$799,0)),"구약 트랙 완결")</f>
        <v>다음 편: 영원한 언약</v>
      </c>
      <c r="X378" s="23" t="s">
        <v>130</v>
      </c>
      <c r="Y378" s="23" t="s">
        <v>130</v>
      </c>
      <c r="Z378" s="23" t="s">
        <v>130</v>
      </c>
      <c r="AA378" s="23" t="s">
        <v>130</v>
      </c>
      <c r="AB378" s="24"/>
      <c r="AC378" s="23" t="str">
        <f aca="false">D378&amp;"#"&amp;E378</f>
        <v>구약#407</v>
      </c>
      <c r="AD378" s="23" t="n">
        <f aca="false">COUNTIFS($C$2:C378,C378,$D$2:D378,D378)</f>
        <v>225</v>
      </c>
    </row>
    <row r="379" customFormat="false" ht="26.85" hidden="false" customHeight="false" outlineLevel="0" collapsed="false">
      <c r="A379" s="21" t="n">
        <v>378</v>
      </c>
      <c r="B379" s="18" t="s">
        <v>3441</v>
      </c>
      <c r="C379" s="23" t="n">
        <v>2</v>
      </c>
      <c r="D379" s="23" t="s">
        <v>116</v>
      </c>
      <c r="E379" s="23" t="n">
        <f aca="false">IF(C379=1,COUNTIFS($C$2:C379,1,$D$2:D379,D379),COUNTIFS($C$2:$C$799,1,$D$2:$D$799,D379)+COUNTIFS($C$2:C379,2,$D$2:D379,D379))</f>
        <v>408</v>
      </c>
      <c r="F379" s="23" t="str">
        <f aca="false">D379&amp;" #"&amp;TEXT(E379,"000")</f>
        <v>구약 #408</v>
      </c>
      <c r="G379" s="18" t="s">
        <v>3388</v>
      </c>
      <c r="H379" s="18" t="s">
        <v>3389</v>
      </c>
      <c r="I379" s="21" t="s">
        <v>3320</v>
      </c>
      <c r="J379" s="22" t="s">
        <v>3442</v>
      </c>
      <c r="K379" s="23" t="s">
        <v>1085</v>
      </c>
      <c r="L379" s="24" t="s">
        <v>3443</v>
      </c>
      <c r="M379" s="24" t="s">
        <v>3444</v>
      </c>
      <c r="N379" s="23" t="s">
        <v>3445</v>
      </c>
      <c r="O379" s="24" t="s">
        <v>3446</v>
      </c>
      <c r="P379" s="24" t="s">
        <v>3447</v>
      </c>
      <c r="Q379" s="24" t="s">
        <v>3448</v>
      </c>
      <c r="R379" s="25" t="s">
        <v>3449</v>
      </c>
      <c r="S379" s="24" t="s">
        <v>3419</v>
      </c>
      <c r="T379" s="24" t="str">
        <f aca="false">"["&amp;안내!$C$5&amp;" "&amp;F379&amp;"] "&amp;L379&amp;" | "&amp;J379</f>
        <v>[1분 성경 구약 #408] 영원한 언약 | 시편 89편</v>
      </c>
      <c r="U379" s="26" t="n">
        <f aca="false">IF(D379="구약",IF(C379=1,안내!$C$9,안내!$C$10)+AD379-1,IF(C379=1,안내!$C$9,안내!$C$10)+7*INT((AD379-1)/4)+CHOOSE(MOD(AD379-1,4)+1,0,2,4,5))</f>
        <v>46805</v>
      </c>
      <c r="V379" s="23" t="str">
        <f aca="false">CHOOSE(WEEKDAY(U379,2),"월","화","수","목","금","토","일")</f>
        <v>화</v>
      </c>
      <c r="W379" s="24" t="str">
        <f aca="false">IFERROR(IF(INDEX($C$2:$C$799,MATCH(D379&amp;"#"&amp;(E379+1),$AC$2:$AC$799,0))=C379,"다음 편: ","시즌1 완결 · 시즌2 첫 편: ")&amp;INDEX($L$2:$L$799,MATCH(D379&amp;"#"&amp;(E379+1),$AC$2:$AC$799,0)),"구약 트랙 완결")</f>
        <v>다음 편: 우리의 날 계수함을 가르치소서</v>
      </c>
      <c r="X379" s="23" t="s">
        <v>130</v>
      </c>
      <c r="Y379" s="23" t="s">
        <v>130</v>
      </c>
      <c r="Z379" s="23" t="s">
        <v>130</v>
      </c>
      <c r="AA379" s="23" t="s">
        <v>130</v>
      </c>
      <c r="AB379" s="24"/>
      <c r="AC379" s="23" t="str">
        <f aca="false">D379&amp;"#"&amp;E379</f>
        <v>구약#408</v>
      </c>
      <c r="AD379" s="23" t="n">
        <f aca="false">COUNTIFS($C$2:C379,C379,$D$2:D379,D379)</f>
        <v>226</v>
      </c>
    </row>
    <row r="380" customFormat="false" ht="26.85" hidden="false" customHeight="false" outlineLevel="0" collapsed="false">
      <c r="A380" s="21" t="n">
        <v>379</v>
      </c>
      <c r="B380" s="18" t="s">
        <v>3450</v>
      </c>
      <c r="C380" s="23" t="n">
        <v>2</v>
      </c>
      <c r="D380" s="23" t="s">
        <v>116</v>
      </c>
      <c r="E380" s="23" t="n">
        <f aca="false">IF(C380=1,COUNTIFS($C$2:C380,1,$D$2:D380,D380),COUNTIFS($C$2:$C$799,1,$D$2:$D$799,D380)+COUNTIFS($C$2:C380,2,$D$2:D380,D380))</f>
        <v>409</v>
      </c>
      <c r="F380" s="23" t="str">
        <f aca="false">D380&amp;" #"&amp;TEXT(E380,"000")</f>
        <v>구약 #409</v>
      </c>
      <c r="G380" s="18" t="s">
        <v>3451</v>
      </c>
      <c r="H380" s="18" t="s">
        <v>3452</v>
      </c>
      <c r="I380" s="21" t="s">
        <v>3320</v>
      </c>
      <c r="J380" s="22" t="s">
        <v>3453</v>
      </c>
      <c r="K380" s="23" t="s">
        <v>1085</v>
      </c>
      <c r="L380" s="24" t="s">
        <v>3454</v>
      </c>
      <c r="M380" s="24" t="s">
        <v>3455</v>
      </c>
      <c r="N380" s="23" t="s">
        <v>3456</v>
      </c>
      <c r="O380" s="24" t="s">
        <v>3457</v>
      </c>
      <c r="P380" s="24" t="s">
        <v>1107</v>
      </c>
      <c r="Q380" s="24" t="s">
        <v>3458</v>
      </c>
      <c r="R380" s="24"/>
      <c r="S380" s="24" t="s">
        <v>3419</v>
      </c>
      <c r="T380" s="24" t="str">
        <f aca="false">"["&amp;안내!$C$5&amp;" "&amp;F380&amp;"] "&amp;L380&amp;" | "&amp;J380</f>
        <v>[1분 성경 구약 #409] 우리의 날 계수함을 가르치소서 | 시편 90편</v>
      </c>
      <c r="U380" s="26" t="n">
        <f aca="false">IF(D380="구약",IF(C380=1,안내!$C$9,안내!$C$10)+AD380-1,IF(C380=1,안내!$C$9,안내!$C$10)+7*INT((AD380-1)/4)+CHOOSE(MOD(AD380-1,4)+1,0,2,4,5))</f>
        <v>46806</v>
      </c>
      <c r="V380" s="23" t="str">
        <f aca="false">CHOOSE(WEEKDAY(U380,2),"월","화","수","목","금","토","일")</f>
        <v>수</v>
      </c>
      <c r="W380" s="24" t="str">
        <f aca="false">IFERROR(IF(INDEX($C$2:$C$799,MATCH(D380&amp;"#"&amp;(E380+1),$AC$2:$AC$799,0))=C380,"다음 편: ","시즌1 완결 · 시즌2 첫 편: ")&amp;INDEX($L$2:$L$799,MATCH(D380&amp;"#"&amp;(E380+1),$AC$2:$AC$799,0)),"구약 트랙 완결")</f>
        <v>다음 편: 전능자의 그늘 아래</v>
      </c>
      <c r="X380" s="23" t="s">
        <v>130</v>
      </c>
      <c r="Y380" s="23" t="s">
        <v>130</v>
      </c>
      <c r="Z380" s="23" t="s">
        <v>130</v>
      </c>
      <c r="AA380" s="23" t="s">
        <v>130</v>
      </c>
      <c r="AB380" s="24"/>
      <c r="AC380" s="23" t="str">
        <f aca="false">D380&amp;"#"&amp;E380</f>
        <v>구약#409</v>
      </c>
      <c r="AD380" s="23" t="n">
        <f aca="false">COUNTIFS($C$2:C380,C380,$D$2:D380,D380)</f>
        <v>227</v>
      </c>
    </row>
    <row r="381" customFormat="false" ht="26.85" hidden="false" customHeight="false" outlineLevel="0" collapsed="false">
      <c r="A381" s="21" t="n">
        <v>380</v>
      </c>
      <c r="B381" s="18" t="s">
        <v>3459</v>
      </c>
      <c r="C381" s="23" t="n">
        <v>2</v>
      </c>
      <c r="D381" s="23" t="s">
        <v>116</v>
      </c>
      <c r="E381" s="23" t="n">
        <f aca="false">IF(C381=1,COUNTIFS($C$2:C381,1,$D$2:D381,D381),COUNTIFS($C$2:$C$799,1,$D$2:$D$799,D381)+COUNTIFS($C$2:C381,2,$D$2:D381,D381))</f>
        <v>410</v>
      </c>
      <c r="F381" s="23" t="str">
        <f aca="false">D381&amp;" #"&amp;TEXT(E381,"000")</f>
        <v>구약 #410</v>
      </c>
      <c r="G381" s="18" t="s">
        <v>3451</v>
      </c>
      <c r="H381" s="18" t="s">
        <v>3452</v>
      </c>
      <c r="I381" s="21" t="s">
        <v>3320</v>
      </c>
      <c r="J381" s="22" t="s">
        <v>3460</v>
      </c>
      <c r="K381" s="23" t="s">
        <v>1085</v>
      </c>
      <c r="L381" s="24" t="s">
        <v>3461</v>
      </c>
      <c r="M381" s="24" t="s">
        <v>3462</v>
      </c>
      <c r="N381" s="23" t="s">
        <v>3463</v>
      </c>
      <c r="O381" s="24" t="s">
        <v>3464</v>
      </c>
      <c r="P381" s="24" t="s">
        <v>3465</v>
      </c>
      <c r="Q381" s="24" t="s">
        <v>3466</v>
      </c>
      <c r="R381" s="25" t="s">
        <v>3467</v>
      </c>
      <c r="S381" s="24" t="s">
        <v>3419</v>
      </c>
      <c r="T381" s="24" t="str">
        <f aca="false">"["&amp;안내!$C$5&amp;" "&amp;F381&amp;"] "&amp;L381&amp;" | "&amp;J381</f>
        <v>[1분 성경 구약 #410] 전능자의 그늘 아래 | 시편 91편</v>
      </c>
      <c r="U381" s="26" t="n">
        <f aca="false">IF(D381="구약",IF(C381=1,안내!$C$9,안내!$C$10)+AD381-1,IF(C381=1,안내!$C$9,안내!$C$10)+7*INT((AD381-1)/4)+CHOOSE(MOD(AD381-1,4)+1,0,2,4,5))</f>
        <v>46807</v>
      </c>
      <c r="V381" s="23" t="str">
        <f aca="false">CHOOSE(WEEKDAY(U381,2),"월","화","수","목","금","토","일")</f>
        <v>목</v>
      </c>
      <c r="W381" s="24" t="str">
        <f aca="false">IFERROR(IF(INDEX($C$2:$C$799,MATCH(D381&amp;"#"&amp;(E381+1),$AC$2:$AC$799,0))=C381,"다음 편: ","시즌1 완결 · 시즌2 첫 편: ")&amp;INDEX($L$2:$L$799,MATCH(D381&amp;"#"&amp;(E381+1),$AC$2:$AC$799,0)),"구약 트랙 완결")</f>
        <v>다음 편: 오라 우리가 경배하자</v>
      </c>
      <c r="X381" s="23" t="s">
        <v>130</v>
      </c>
      <c r="Y381" s="23" t="s">
        <v>130</v>
      </c>
      <c r="Z381" s="23" t="s">
        <v>130</v>
      </c>
      <c r="AA381" s="23" t="s">
        <v>130</v>
      </c>
      <c r="AB381" s="24"/>
      <c r="AC381" s="23" t="str">
        <f aca="false">D381&amp;"#"&amp;E381</f>
        <v>구약#410</v>
      </c>
      <c r="AD381" s="23" t="n">
        <f aca="false">COUNTIFS($C$2:C381,C381,$D$2:D381,D381)</f>
        <v>228</v>
      </c>
    </row>
    <row r="382" customFormat="false" ht="26.85" hidden="false" customHeight="false" outlineLevel="0" collapsed="false">
      <c r="A382" s="21" t="n">
        <v>381</v>
      </c>
      <c r="B382" s="18" t="s">
        <v>3468</v>
      </c>
      <c r="C382" s="23" t="n">
        <v>2</v>
      </c>
      <c r="D382" s="23" t="s">
        <v>116</v>
      </c>
      <c r="E382" s="23" t="n">
        <f aca="false">IF(C382=1,COUNTIFS($C$2:C382,1,$D$2:D382,D382),COUNTIFS($C$2:$C$799,1,$D$2:$D$799,D382)+COUNTIFS($C$2:C382,2,$D$2:D382,D382))</f>
        <v>411</v>
      </c>
      <c r="F382" s="23" t="str">
        <f aca="false">D382&amp;" #"&amp;TEXT(E382,"000")</f>
        <v>구약 #411</v>
      </c>
      <c r="G382" s="18" t="s">
        <v>3451</v>
      </c>
      <c r="H382" s="18" t="s">
        <v>3452</v>
      </c>
      <c r="I382" s="21" t="s">
        <v>3320</v>
      </c>
      <c r="J382" s="22" t="s">
        <v>3469</v>
      </c>
      <c r="K382" s="23" t="s">
        <v>1085</v>
      </c>
      <c r="L382" s="24" t="s">
        <v>3470</v>
      </c>
      <c r="M382" s="24" t="s">
        <v>3471</v>
      </c>
      <c r="N382" s="23" t="s">
        <v>3472</v>
      </c>
      <c r="O382" s="24" t="s">
        <v>3473</v>
      </c>
      <c r="P382" s="24" t="s">
        <v>3474</v>
      </c>
      <c r="Q382" s="24" t="s">
        <v>3475</v>
      </c>
      <c r="R382" s="24"/>
      <c r="S382" s="24" t="s">
        <v>3419</v>
      </c>
      <c r="T382" s="24" t="str">
        <f aca="false">"["&amp;안내!$C$5&amp;" "&amp;F382&amp;"] "&amp;L382&amp;" | "&amp;J382</f>
        <v>[1분 성경 구약 #411] 오라 우리가 경배하자 | 시편 95편</v>
      </c>
      <c r="U382" s="26" t="n">
        <f aca="false">IF(D382="구약",IF(C382=1,안내!$C$9,안내!$C$10)+AD382-1,IF(C382=1,안내!$C$9,안내!$C$10)+7*INT((AD382-1)/4)+CHOOSE(MOD(AD382-1,4)+1,0,2,4,5))</f>
        <v>46808</v>
      </c>
      <c r="V382" s="23" t="str">
        <f aca="false">CHOOSE(WEEKDAY(U382,2),"월","화","수","목","금","토","일")</f>
        <v>금</v>
      </c>
      <c r="W382" s="24" t="str">
        <f aca="false">IFERROR(IF(INDEX($C$2:$C$799,MATCH(D382&amp;"#"&amp;(E382+1),$AC$2:$AC$799,0))=C382,"다음 편: ","시즌1 완결 · 시즌2 첫 편: ")&amp;INDEX($L$2:$L$799,MATCH(D382&amp;"#"&amp;(E382+1),$AC$2:$AC$799,0)),"구약 트랙 완결")</f>
        <v>다음 편: 감사의 노래</v>
      </c>
      <c r="X382" s="23" t="s">
        <v>130</v>
      </c>
      <c r="Y382" s="23" t="s">
        <v>130</v>
      </c>
      <c r="Z382" s="23" t="s">
        <v>130</v>
      </c>
      <c r="AA382" s="23" t="s">
        <v>130</v>
      </c>
      <c r="AB382" s="24"/>
      <c r="AC382" s="23" t="str">
        <f aca="false">D382&amp;"#"&amp;E382</f>
        <v>구약#411</v>
      </c>
      <c r="AD382" s="23" t="n">
        <f aca="false">COUNTIFS($C$2:C382,C382,$D$2:D382,D382)</f>
        <v>229</v>
      </c>
    </row>
    <row r="383" customFormat="false" ht="26.85" hidden="false" customHeight="false" outlineLevel="0" collapsed="false">
      <c r="A383" s="21" t="n">
        <v>382</v>
      </c>
      <c r="B383" s="18" t="s">
        <v>3476</v>
      </c>
      <c r="C383" s="23" t="n">
        <v>2</v>
      </c>
      <c r="D383" s="23" t="s">
        <v>116</v>
      </c>
      <c r="E383" s="23" t="n">
        <f aca="false">IF(C383=1,COUNTIFS($C$2:C383,1,$D$2:D383,D383),COUNTIFS($C$2:$C$799,1,$D$2:$D$799,D383)+COUNTIFS($C$2:C383,2,$D$2:D383,D383))</f>
        <v>412</v>
      </c>
      <c r="F383" s="23" t="str">
        <f aca="false">D383&amp;" #"&amp;TEXT(E383,"000")</f>
        <v>구약 #412</v>
      </c>
      <c r="G383" s="18" t="s">
        <v>3451</v>
      </c>
      <c r="H383" s="18" t="s">
        <v>3452</v>
      </c>
      <c r="I383" s="21" t="s">
        <v>3320</v>
      </c>
      <c r="J383" s="22" t="s">
        <v>3477</v>
      </c>
      <c r="K383" s="23" t="s">
        <v>1085</v>
      </c>
      <c r="L383" s="24" t="s">
        <v>3478</v>
      </c>
      <c r="M383" s="24" t="s">
        <v>3479</v>
      </c>
      <c r="N383" s="23" t="s">
        <v>3480</v>
      </c>
      <c r="O383" s="24" t="s">
        <v>3481</v>
      </c>
      <c r="P383" s="24" t="s">
        <v>3474</v>
      </c>
      <c r="Q383" s="24" t="s">
        <v>3482</v>
      </c>
      <c r="R383" s="24"/>
      <c r="S383" s="24" t="s">
        <v>3419</v>
      </c>
      <c r="T383" s="24" t="str">
        <f aca="false">"["&amp;안내!$C$5&amp;" "&amp;F383&amp;"] "&amp;L383&amp;" | "&amp;J383</f>
        <v>[1분 성경 구약 #412] 감사의 노래 | 시편 100편</v>
      </c>
      <c r="U383" s="26" t="n">
        <f aca="false">IF(D383="구약",IF(C383=1,안내!$C$9,안내!$C$10)+AD383-1,IF(C383=1,안내!$C$9,안내!$C$10)+7*INT((AD383-1)/4)+CHOOSE(MOD(AD383-1,4)+1,0,2,4,5))</f>
        <v>46809</v>
      </c>
      <c r="V383" s="23" t="str">
        <f aca="false">CHOOSE(WEEKDAY(U383,2),"월","화","수","목","금","토","일")</f>
        <v>토</v>
      </c>
      <c r="W383" s="24" t="str">
        <f aca="false">IFERROR(IF(INDEX($C$2:$C$799,MATCH(D383&amp;"#"&amp;(E383+1),$AC$2:$AC$799,0))=C383,"다음 편: ","시즌1 완결 · 시즌2 첫 편: ")&amp;INDEX($L$2:$L$799,MATCH(D383&amp;"#"&amp;(E383+1),$AC$2:$AC$799,0)),"구약 트랙 완결")</f>
        <v>다음 편: 은택을 잊지 말라</v>
      </c>
      <c r="X383" s="23" t="s">
        <v>130</v>
      </c>
      <c r="Y383" s="23" t="s">
        <v>130</v>
      </c>
      <c r="Z383" s="23" t="s">
        <v>130</v>
      </c>
      <c r="AA383" s="23" t="s">
        <v>130</v>
      </c>
      <c r="AB383" s="24"/>
      <c r="AC383" s="23" t="str">
        <f aca="false">D383&amp;"#"&amp;E383</f>
        <v>구약#412</v>
      </c>
      <c r="AD383" s="23" t="n">
        <f aca="false">COUNTIFS($C$2:C383,C383,$D$2:D383,D383)</f>
        <v>230</v>
      </c>
    </row>
    <row r="384" customFormat="false" ht="26.85" hidden="false" customHeight="false" outlineLevel="0" collapsed="false">
      <c r="A384" s="21" t="n">
        <v>383</v>
      </c>
      <c r="B384" s="18" t="s">
        <v>3483</v>
      </c>
      <c r="C384" s="23" t="n">
        <v>2</v>
      </c>
      <c r="D384" s="23" t="s">
        <v>116</v>
      </c>
      <c r="E384" s="23" t="n">
        <f aca="false">IF(C384=1,COUNTIFS($C$2:C384,1,$D$2:D384,D384),COUNTIFS($C$2:$C$799,1,$D$2:$D$799,D384)+COUNTIFS($C$2:C384,2,$D$2:D384,D384))</f>
        <v>413</v>
      </c>
      <c r="F384" s="23" t="str">
        <f aca="false">D384&amp;" #"&amp;TEXT(E384,"000")</f>
        <v>구약 #413</v>
      </c>
      <c r="G384" s="18" t="s">
        <v>3451</v>
      </c>
      <c r="H384" s="18" t="s">
        <v>3452</v>
      </c>
      <c r="I384" s="21" t="s">
        <v>3320</v>
      </c>
      <c r="J384" s="22" t="s">
        <v>3484</v>
      </c>
      <c r="K384" s="23" t="s">
        <v>1085</v>
      </c>
      <c r="L384" s="24" t="s">
        <v>3485</v>
      </c>
      <c r="M384" s="24" t="s">
        <v>3486</v>
      </c>
      <c r="N384" s="23" t="s">
        <v>3487</v>
      </c>
      <c r="O384" s="24" t="s">
        <v>3488</v>
      </c>
      <c r="P384" s="24" t="s">
        <v>3344</v>
      </c>
      <c r="Q384" s="24"/>
      <c r="R384" s="24"/>
      <c r="S384" s="24" t="s">
        <v>3419</v>
      </c>
      <c r="T384" s="24" t="str">
        <f aca="false">"["&amp;안내!$C$5&amp;" "&amp;F384&amp;"] "&amp;L384&amp;" | "&amp;J384</f>
        <v>[1분 성경 구약 #413] 은택을 잊지 말라 | 시편 103편</v>
      </c>
      <c r="U384" s="26" t="n">
        <f aca="false">IF(D384="구약",IF(C384=1,안내!$C$9,안내!$C$10)+AD384-1,IF(C384=1,안내!$C$9,안내!$C$10)+7*INT((AD384-1)/4)+CHOOSE(MOD(AD384-1,4)+1,0,2,4,5))</f>
        <v>46810</v>
      </c>
      <c r="V384" s="23" t="str">
        <f aca="false">CHOOSE(WEEKDAY(U384,2),"월","화","수","목","금","토","일")</f>
        <v>일</v>
      </c>
      <c r="W384" s="24" t="str">
        <f aca="false">IFERROR(IF(INDEX($C$2:$C$799,MATCH(D384&amp;"#"&amp;(E384+1),$AC$2:$AC$799,0))=C384,"다음 편: ","시즌1 완결 · 시즌2 첫 편: ")&amp;INDEX($L$2:$L$799,MATCH(D384&amp;"#"&amp;(E384+1),$AC$2:$AC$799,0)),"구약 트랙 완결")</f>
        <v>다음 편: 창조를 노래하다</v>
      </c>
      <c r="X384" s="23" t="s">
        <v>130</v>
      </c>
      <c r="Y384" s="23" t="s">
        <v>130</v>
      </c>
      <c r="Z384" s="23" t="s">
        <v>130</v>
      </c>
      <c r="AA384" s="23" t="s">
        <v>130</v>
      </c>
      <c r="AB384" s="24"/>
      <c r="AC384" s="23" t="str">
        <f aca="false">D384&amp;"#"&amp;E384</f>
        <v>구약#413</v>
      </c>
      <c r="AD384" s="23" t="n">
        <f aca="false">COUNTIFS($C$2:C384,C384,$D$2:D384,D384)</f>
        <v>231</v>
      </c>
    </row>
    <row r="385" customFormat="false" ht="26.85" hidden="false" customHeight="false" outlineLevel="0" collapsed="false">
      <c r="A385" s="21" t="n">
        <v>384</v>
      </c>
      <c r="B385" s="18" t="s">
        <v>3489</v>
      </c>
      <c r="C385" s="23" t="n">
        <v>2</v>
      </c>
      <c r="D385" s="23" t="s">
        <v>116</v>
      </c>
      <c r="E385" s="23" t="n">
        <f aca="false">IF(C385=1,COUNTIFS($C$2:C385,1,$D$2:D385,D385),COUNTIFS($C$2:$C$799,1,$D$2:$D$799,D385)+COUNTIFS($C$2:C385,2,$D$2:D385,D385))</f>
        <v>414</v>
      </c>
      <c r="F385" s="23" t="str">
        <f aca="false">D385&amp;" #"&amp;TEXT(E385,"000")</f>
        <v>구약 #414</v>
      </c>
      <c r="G385" s="18" t="s">
        <v>3451</v>
      </c>
      <c r="H385" s="18" t="s">
        <v>3452</v>
      </c>
      <c r="I385" s="21" t="s">
        <v>3320</v>
      </c>
      <c r="J385" s="22" t="s">
        <v>3490</v>
      </c>
      <c r="K385" s="23" t="s">
        <v>1085</v>
      </c>
      <c r="L385" s="24" t="s">
        <v>3491</v>
      </c>
      <c r="M385" s="24" t="s">
        <v>3492</v>
      </c>
      <c r="N385" s="23" t="s">
        <v>3493</v>
      </c>
      <c r="O385" s="24" t="s">
        <v>3494</v>
      </c>
      <c r="P385" s="24" t="s">
        <v>3495</v>
      </c>
      <c r="Q385" s="24" t="s">
        <v>3496</v>
      </c>
      <c r="R385" s="24"/>
      <c r="S385" s="24" t="s">
        <v>3419</v>
      </c>
      <c r="T385" s="24" t="str">
        <f aca="false">"["&amp;안내!$C$5&amp;" "&amp;F385&amp;"] "&amp;L385&amp;" | "&amp;J385</f>
        <v>[1분 성경 구약 #414] 창조를 노래하다 | 시편 104편</v>
      </c>
      <c r="U385" s="26" t="n">
        <f aca="false">IF(D385="구약",IF(C385=1,안내!$C$9,안내!$C$10)+AD385-1,IF(C385=1,안내!$C$9,안내!$C$10)+7*INT((AD385-1)/4)+CHOOSE(MOD(AD385-1,4)+1,0,2,4,5))</f>
        <v>46811</v>
      </c>
      <c r="V385" s="23" t="str">
        <f aca="false">CHOOSE(WEEKDAY(U385,2),"월","화","수","목","금","토","일")</f>
        <v>월</v>
      </c>
      <c r="W385" s="24" t="str">
        <f aca="false">IFERROR(IF(INDEX($C$2:$C$799,MATCH(D385&amp;"#"&amp;(E385+1),$AC$2:$AC$799,0))=C385,"다음 편: ","시즌1 완결 · 시즌2 첫 편: ")&amp;INDEX($L$2:$L$799,MATCH(D385&amp;"#"&amp;(E385+1),$AC$2:$AC$799,0)),"구약 트랙 완결")</f>
        <v>다음 편: 그래도 구원하신 하나님</v>
      </c>
      <c r="X385" s="23" t="s">
        <v>130</v>
      </c>
      <c r="Y385" s="23" t="s">
        <v>130</v>
      </c>
      <c r="Z385" s="23" t="s">
        <v>130</v>
      </c>
      <c r="AA385" s="23" t="s">
        <v>130</v>
      </c>
      <c r="AB385" s="24"/>
      <c r="AC385" s="23" t="str">
        <f aca="false">D385&amp;"#"&amp;E385</f>
        <v>구약#414</v>
      </c>
      <c r="AD385" s="23" t="n">
        <f aca="false">COUNTIFS($C$2:C385,C385,$D$2:D385,D385)</f>
        <v>232</v>
      </c>
    </row>
    <row r="386" customFormat="false" ht="26.85" hidden="false" customHeight="false" outlineLevel="0" collapsed="false">
      <c r="A386" s="21" t="n">
        <v>385</v>
      </c>
      <c r="B386" s="18" t="s">
        <v>3497</v>
      </c>
      <c r="C386" s="23" t="n">
        <v>2</v>
      </c>
      <c r="D386" s="23" t="s">
        <v>116</v>
      </c>
      <c r="E386" s="23" t="n">
        <f aca="false">IF(C386=1,COUNTIFS($C$2:C386,1,$D$2:D386,D386),COUNTIFS($C$2:$C$799,1,$D$2:$D$799,D386)+COUNTIFS($C$2:C386,2,$D$2:D386,D386))</f>
        <v>415</v>
      </c>
      <c r="F386" s="23" t="str">
        <f aca="false">D386&amp;" #"&amp;TEXT(E386,"000")</f>
        <v>구약 #415</v>
      </c>
      <c r="G386" s="18" t="s">
        <v>3451</v>
      </c>
      <c r="H386" s="18" t="s">
        <v>3452</v>
      </c>
      <c r="I386" s="21" t="s">
        <v>3320</v>
      </c>
      <c r="J386" s="22" t="s">
        <v>3498</v>
      </c>
      <c r="K386" s="23" t="s">
        <v>1085</v>
      </c>
      <c r="L386" s="24" t="s">
        <v>3499</v>
      </c>
      <c r="M386" s="24" t="s">
        <v>3500</v>
      </c>
      <c r="N386" s="23" t="s">
        <v>3501</v>
      </c>
      <c r="O386" s="24" t="s">
        <v>3502</v>
      </c>
      <c r="P386" s="24" t="s">
        <v>3495</v>
      </c>
      <c r="Q386" s="24" t="s">
        <v>3503</v>
      </c>
      <c r="R386" s="24"/>
      <c r="S386" s="24" t="s">
        <v>3419</v>
      </c>
      <c r="T386" s="24" t="str">
        <f aca="false">"["&amp;안내!$C$5&amp;" "&amp;F386&amp;"] "&amp;L386&amp;" | "&amp;J386</f>
        <v>[1분 성경 구약 #415] 그래도 구원하신 하나님 | 시편 106편</v>
      </c>
      <c r="U386" s="26" t="n">
        <f aca="false">IF(D386="구약",IF(C386=1,안내!$C$9,안내!$C$10)+AD386-1,IF(C386=1,안내!$C$9,안내!$C$10)+7*INT((AD386-1)/4)+CHOOSE(MOD(AD386-1,4)+1,0,2,4,5))</f>
        <v>46812</v>
      </c>
      <c r="V386" s="23" t="str">
        <f aca="false">CHOOSE(WEEKDAY(U386,2),"월","화","수","목","금","토","일")</f>
        <v>화</v>
      </c>
      <c r="W386" s="24" t="str">
        <f aca="false">IFERROR(IF(INDEX($C$2:$C$799,MATCH(D386&amp;"#"&amp;(E386+1),$AC$2:$AC$799,0))=C386,"다음 편: ","시즌1 완결 · 시즌2 첫 편: ")&amp;INDEX($L$2:$L$799,MATCH(D386&amp;"#"&amp;(E386+1),$AC$2:$AC$799,0)),"구약 트랙 완결")</f>
        <v>다음 편: 내 우편에 앉으라</v>
      </c>
      <c r="X386" s="23" t="s">
        <v>130</v>
      </c>
      <c r="Y386" s="23" t="s">
        <v>130</v>
      </c>
      <c r="Z386" s="23" t="s">
        <v>130</v>
      </c>
      <c r="AA386" s="23" t="s">
        <v>130</v>
      </c>
      <c r="AB386" s="24"/>
      <c r="AC386" s="23" t="str">
        <f aca="false">D386&amp;"#"&amp;E386</f>
        <v>구약#415</v>
      </c>
      <c r="AD386" s="23" t="n">
        <f aca="false">COUNTIFS($C$2:C386,C386,$D$2:D386,D386)</f>
        <v>233</v>
      </c>
    </row>
    <row r="387" customFormat="false" ht="26.85" hidden="false" customHeight="false" outlineLevel="0" collapsed="false">
      <c r="A387" s="21" t="n">
        <v>386</v>
      </c>
      <c r="B387" s="18" t="s">
        <v>3504</v>
      </c>
      <c r="C387" s="23" t="n">
        <v>2</v>
      </c>
      <c r="D387" s="23" t="s">
        <v>116</v>
      </c>
      <c r="E387" s="23" t="n">
        <f aca="false">IF(C387=1,COUNTIFS($C$2:C387,1,$D$2:D387,D387),COUNTIFS($C$2:$C$799,1,$D$2:$D$799,D387)+COUNTIFS($C$2:C387,2,$D$2:D387,D387))</f>
        <v>416</v>
      </c>
      <c r="F387" s="23" t="str">
        <f aca="false">D387&amp;" #"&amp;TEXT(E387,"000")</f>
        <v>구약 #416</v>
      </c>
      <c r="G387" s="18" t="s">
        <v>3505</v>
      </c>
      <c r="H387" s="18" t="s">
        <v>3506</v>
      </c>
      <c r="I387" s="21" t="s">
        <v>3320</v>
      </c>
      <c r="J387" s="22" t="s">
        <v>3507</v>
      </c>
      <c r="K387" s="23" t="s">
        <v>1085</v>
      </c>
      <c r="L387" s="24" t="s">
        <v>3508</v>
      </c>
      <c r="M387" s="24" t="s">
        <v>3509</v>
      </c>
      <c r="N387" s="23" t="s">
        <v>3510</v>
      </c>
      <c r="O387" s="24" t="s">
        <v>3511</v>
      </c>
      <c r="P387" s="24" t="s">
        <v>3512</v>
      </c>
      <c r="Q387" s="24" t="s">
        <v>3513</v>
      </c>
      <c r="R387" s="25" t="s">
        <v>3514</v>
      </c>
      <c r="S387" s="24" t="s">
        <v>3419</v>
      </c>
      <c r="T387" s="24" t="str">
        <f aca="false">"["&amp;안내!$C$5&amp;" "&amp;F387&amp;"] "&amp;L387&amp;" | "&amp;J387</f>
        <v>[1분 성경 구약 #416] 내 우편에 앉으라 | 시편 110편</v>
      </c>
      <c r="U387" s="26" t="n">
        <f aca="false">IF(D387="구약",IF(C387=1,안내!$C$9,안내!$C$10)+AD387-1,IF(C387=1,안내!$C$9,안내!$C$10)+7*INT((AD387-1)/4)+CHOOSE(MOD(AD387-1,4)+1,0,2,4,5))</f>
        <v>46813</v>
      </c>
      <c r="V387" s="23" t="str">
        <f aca="false">CHOOSE(WEEKDAY(U387,2),"월","화","수","목","금","토","일")</f>
        <v>수</v>
      </c>
      <c r="W387" s="24" t="str">
        <f aca="false">IFERROR(IF(INDEX($C$2:$C$799,MATCH(D387&amp;"#"&amp;(E387+1),$AC$2:$AC$799,0))=C387,"다음 편: ","시즌1 완결 · 시즌2 첫 편: ")&amp;INDEX($L$2:$L$799,MATCH(D387&amp;"#"&amp;(E387+1),$AC$2:$AC$799,0)),"구약 트랙 완결")</f>
        <v>다음 편: 산을 향하여 눈을 들리라</v>
      </c>
      <c r="X387" s="23" t="s">
        <v>130</v>
      </c>
      <c r="Y387" s="23" t="s">
        <v>130</v>
      </c>
      <c r="Z387" s="23" t="s">
        <v>130</v>
      </c>
      <c r="AA387" s="23" t="s">
        <v>130</v>
      </c>
      <c r="AB387" s="24"/>
      <c r="AC387" s="23" t="str">
        <f aca="false">D387&amp;"#"&amp;E387</f>
        <v>구약#416</v>
      </c>
      <c r="AD387" s="23" t="n">
        <f aca="false">COUNTIFS($C$2:C387,C387,$D$2:D387,D387)</f>
        <v>234</v>
      </c>
    </row>
    <row r="388" customFormat="false" ht="52.2" hidden="false" customHeight="false" outlineLevel="0" collapsed="false">
      <c r="A388" s="21" t="n">
        <v>387</v>
      </c>
      <c r="B388" s="18" t="s">
        <v>3515</v>
      </c>
      <c r="C388" s="20" t="n">
        <v>1</v>
      </c>
      <c r="D388" s="20" t="s">
        <v>116</v>
      </c>
      <c r="E388" s="20" t="n">
        <f aca="false">IF(C388=1,COUNTIFS($C$2:C388,1,$D$2:D388,D388),COUNTIFS($C$2:$C$799,1,$D$2:$D$799,D388)+COUNTIFS($C$2:C388,2,$D$2:D388,D388))</f>
        <v>153</v>
      </c>
      <c r="F388" s="20" t="str">
        <f aca="false">D388&amp;" #"&amp;TEXT(E388,"000")</f>
        <v>구약 #153</v>
      </c>
      <c r="G388" s="18" t="s">
        <v>3505</v>
      </c>
      <c r="H388" s="18" t="s">
        <v>3319</v>
      </c>
      <c r="I388" s="21" t="s">
        <v>3320</v>
      </c>
      <c r="J388" s="22" t="s">
        <v>3516</v>
      </c>
      <c r="K388" s="23" t="s">
        <v>1085</v>
      </c>
      <c r="L388" s="24" t="s">
        <v>3517</v>
      </c>
      <c r="M388" s="24" t="s">
        <v>3518</v>
      </c>
      <c r="N388" s="23" t="s">
        <v>3519</v>
      </c>
      <c r="O388" s="24" t="s">
        <v>3520</v>
      </c>
      <c r="P388" s="24" t="s">
        <v>3495</v>
      </c>
      <c r="Q388" s="24" t="s">
        <v>3521</v>
      </c>
      <c r="R388" s="24"/>
      <c r="S388" s="28" t="s">
        <v>3522</v>
      </c>
      <c r="T388" s="24" t="str">
        <f aca="false">"["&amp;안내!$C$5&amp;" "&amp;F388&amp;"] "&amp;L388&amp;" | "&amp;J388</f>
        <v>[1분 성경 구약 #153] 내 발에 등이요 | 시편 119편</v>
      </c>
      <c r="U388" s="26" t="n">
        <f aca="false">IF(D388="구약",IF(C388=1,안내!$C$9,안내!$C$10)+AD388-1,IF(C388=1,안내!$C$9,안내!$C$10)+7*INT((AD388-1)/4)+CHOOSE(MOD(AD388-1,4)+1,0,2,4,5))</f>
        <v>46543</v>
      </c>
      <c r="V388" s="23" t="str">
        <f aca="false">CHOOSE(WEEKDAY(U388,2),"월","화","수","목","금","토","일")</f>
        <v>토</v>
      </c>
      <c r="W388" s="24" t="str">
        <f aca="false">IFERROR(IF(INDEX($C$2:$C$799,MATCH(D388&amp;"#"&amp;(E388+1),$AC$2:$AC$799,0))=C388,"다음 편: ","시즌1 완결 · 시즌2 첫 편: ")&amp;INDEX($L$2:$L$799,MATCH(D388&amp;"#"&amp;(E388+1),$AC$2:$AC$799,0)),"구약 트랙 완결")</f>
        <v>다음 편: 나를 아시는 하나님</v>
      </c>
      <c r="X388" s="23" t="s">
        <v>130</v>
      </c>
      <c r="Y388" s="23" t="s">
        <v>130</v>
      </c>
      <c r="Z388" s="23" t="s">
        <v>130</v>
      </c>
      <c r="AA388" s="23" t="s">
        <v>130</v>
      </c>
      <c r="AB388" s="24"/>
      <c r="AC388" s="23" t="str">
        <f aca="false">D388&amp;"#"&amp;E388</f>
        <v>구약#153</v>
      </c>
      <c r="AD388" s="23" t="n">
        <f aca="false">COUNTIFS($C$2:C388,C388,$D$2:D388,D388)</f>
        <v>153</v>
      </c>
    </row>
    <row r="389" customFormat="false" ht="26.85" hidden="false" customHeight="false" outlineLevel="0" collapsed="false">
      <c r="A389" s="21" t="n">
        <v>388</v>
      </c>
      <c r="B389" s="18" t="s">
        <v>3523</v>
      </c>
      <c r="C389" s="23" t="n">
        <v>2</v>
      </c>
      <c r="D389" s="23" t="s">
        <v>116</v>
      </c>
      <c r="E389" s="23" t="n">
        <f aca="false">IF(C389=1,COUNTIFS($C$2:C389,1,$D$2:D389,D389),COUNTIFS($C$2:$C$799,1,$D$2:$D$799,D389)+COUNTIFS($C$2:C389,2,$D$2:D389,D389))</f>
        <v>417</v>
      </c>
      <c r="F389" s="23" t="str">
        <f aca="false">D389&amp;" #"&amp;TEXT(E389,"000")</f>
        <v>구약 #417</v>
      </c>
      <c r="G389" s="18" t="s">
        <v>3505</v>
      </c>
      <c r="H389" s="18" t="s">
        <v>3506</v>
      </c>
      <c r="I389" s="21" t="s">
        <v>3320</v>
      </c>
      <c r="J389" s="22" t="s">
        <v>3524</v>
      </c>
      <c r="K389" s="23" t="s">
        <v>1085</v>
      </c>
      <c r="L389" s="24" t="s">
        <v>3525</v>
      </c>
      <c r="M389" s="24" t="s">
        <v>3526</v>
      </c>
      <c r="N389" s="23" t="s">
        <v>3527</v>
      </c>
      <c r="O389" s="24" t="s">
        <v>3528</v>
      </c>
      <c r="P389" s="24" t="s">
        <v>3529</v>
      </c>
      <c r="Q389" s="24" t="s">
        <v>3530</v>
      </c>
      <c r="R389" s="24"/>
      <c r="S389" s="24" t="s">
        <v>3531</v>
      </c>
      <c r="T389" s="24" t="str">
        <f aca="false">"["&amp;안내!$C$5&amp;" "&amp;F389&amp;"] "&amp;L389&amp;" | "&amp;J389</f>
        <v>[1분 성경 구약 #417] 산을 향하여 눈을 들리라 | 시편 121편</v>
      </c>
      <c r="U389" s="26" t="n">
        <f aca="false">IF(D389="구약",IF(C389=1,안내!$C$9,안내!$C$10)+AD389-1,IF(C389=1,안내!$C$9,안내!$C$10)+7*INT((AD389-1)/4)+CHOOSE(MOD(AD389-1,4)+1,0,2,4,5))</f>
        <v>46814</v>
      </c>
      <c r="V389" s="23" t="str">
        <f aca="false">CHOOSE(WEEKDAY(U389,2),"월","화","수","목","금","토","일")</f>
        <v>목</v>
      </c>
      <c r="W389" s="24" t="str">
        <f aca="false">IFERROR(IF(INDEX($C$2:$C$799,MATCH(D389&amp;"#"&amp;(E389+1),$AC$2:$AC$799,0))=C389,"다음 편: ","시즌1 완결 · 시즌2 첫 편: ")&amp;INDEX($L$2:$L$799,MATCH(D389&amp;"#"&amp;(E389+1),$AC$2:$AC$799,0)),"구약 트랙 완결")</f>
        <v>다음 편: 눈물로 씨를 뿌리는 자</v>
      </c>
      <c r="X389" s="23" t="s">
        <v>130</v>
      </c>
      <c r="Y389" s="23" t="s">
        <v>130</v>
      </c>
      <c r="Z389" s="23" t="s">
        <v>130</v>
      </c>
      <c r="AA389" s="23" t="s">
        <v>130</v>
      </c>
      <c r="AB389" s="24"/>
      <c r="AC389" s="23" t="str">
        <f aca="false">D389&amp;"#"&amp;E389</f>
        <v>구약#417</v>
      </c>
      <c r="AD389" s="23" t="n">
        <f aca="false">COUNTIFS($C$2:C389,C389,$D$2:D389,D389)</f>
        <v>235</v>
      </c>
    </row>
    <row r="390" customFormat="false" ht="26.85" hidden="false" customHeight="false" outlineLevel="0" collapsed="false">
      <c r="A390" s="21" t="n">
        <v>389</v>
      </c>
      <c r="B390" s="18" t="s">
        <v>3532</v>
      </c>
      <c r="C390" s="23" t="n">
        <v>2</v>
      </c>
      <c r="D390" s="23" t="s">
        <v>116</v>
      </c>
      <c r="E390" s="23" t="n">
        <f aca="false">IF(C390=1,COUNTIFS($C$2:C390,1,$D$2:D390,D390),COUNTIFS($C$2:$C$799,1,$D$2:$D$799,D390)+COUNTIFS($C$2:C390,2,$D$2:D390,D390))</f>
        <v>418</v>
      </c>
      <c r="F390" s="23" t="str">
        <f aca="false">D390&amp;" #"&amp;TEXT(E390,"000")</f>
        <v>구약 #418</v>
      </c>
      <c r="G390" s="18" t="s">
        <v>3505</v>
      </c>
      <c r="H390" s="18" t="s">
        <v>3506</v>
      </c>
      <c r="I390" s="21" t="s">
        <v>3320</v>
      </c>
      <c r="J390" s="22" t="s">
        <v>3533</v>
      </c>
      <c r="K390" s="23" t="s">
        <v>1085</v>
      </c>
      <c r="L390" s="24" t="s">
        <v>3534</v>
      </c>
      <c r="M390" s="24" t="s">
        <v>3535</v>
      </c>
      <c r="N390" s="23" t="s">
        <v>3536</v>
      </c>
      <c r="O390" s="24" t="s">
        <v>3537</v>
      </c>
      <c r="P390" s="24" t="s">
        <v>3538</v>
      </c>
      <c r="Q390" s="24" t="s">
        <v>3539</v>
      </c>
      <c r="R390" s="24"/>
      <c r="S390" s="24" t="s">
        <v>3531</v>
      </c>
      <c r="T390" s="24" t="str">
        <f aca="false">"["&amp;안내!$C$5&amp;" "&amp;F390&amp;"] "&amp;L390&amp;" | "&amp;J390</f>
        <v>[1분 성경 구약 #418] 눈물로 씨를 뿌리는 자 | 시편 126편</v>
      </c>
      <c r="U390" s="26" t="n">
        <f aca="false">IF(D390="구약",IF(C390=1,안내!$C$9,안내!$C$10)+AD390-1,IF(C390=1,안내!$C$9,안내!$C$10)+7*INT((AD390-1)/4)+CHOOSE(MOD(AD390-1,4)+1,0,2,4,5))</f>
        <v>46815</v>
      </c>
      <c r="V390" s="23" t="str">
        <f aca="false">CHOOSE(WEEKDAY(U390,2),"월","화","수","목","금","토","일")</f>
        <v>금</v>
      </c>
      <c r="W390" s="24" t="str">
        <f aca="false">IFERROR(IF(INDEX($C$2:$C$799,MATCH(D390&amp;"#"&amp;(E390+1),$AC$2:$AC$799,0))=C390,"다음 편: ","시즌1 완결 · 시즌2 첫 편: ")&amp;INDEX($L$2:$L$799,MATCH(D390&amp;"#"&amp;(E390+1),$AC$2:$AC$799,0)),"구약 트랙 완결")</f>
        <v>다음 편: 형제가 연합하여</v>
      </c>
      <c r="X390" s="23" t="s">
        <v>130</v>
      </c>
      <c r="Y390" s="23" t="s">
        <v>130</v>
      </c>
      <c r="Z390" s="23" t="s">
        <v>130</v>
      </c>
      <c r="AA390" s="23" t="s">
        <v>130</v>
      </c>
      <c r="AB390" s="24"/>
      <c r="AC390" s="23" t="str">
        <f aca="false">D390&amp;"#"&amp;E390</f>
        <v>구약#418</v>
      </c>
      <c r="AD390" s="23" t="n">
        <f aca="false">COUNTIFS($C$2:C390,C390,$D$2:D390,D390)</f>
        <v>236</v>
      </c>
    </row>
    <row r="391" customFormat="false" ht="26.85" hidden="false" customHeight="false" outlineLevel="0" collapsed="false">
      <c r="A391" s="21" t="n">
        <v>390</v>
      </c>
      <c r="B391" s="18" t="s">
        <v>3540</v>
      </c>
      <c r="C391" s="23" t="n">
        <v>2</v>
      </c>
      <c r="D391" s="23" t="s">
        <v>116</v>
      </c>
      <c r="E391" s="23" t="n">
        <f aca="false">IF(C391=1,COUNTIFS($C$2:C391,1,$D$2:D391,D391),COUNTIFS($C$2:$C$799,1,$D$2:$D$799,D391)+COUNTIFS($C$2:C391,2,$D$2:D391,D391))</f>
        <v>419</v>
      </c>
      <c r="F391" s="23" t="str">
        <f aca="false">D391&amp;" #"&amp;TEXT(E391,"000")</f>
        <v>구약 #419</v>
      </c>
      <c r="G391" s="18" t="s">
        <v>3505</v>
      </c>
      <c r="H391" s="18" t="s">
        <v>3506</v>
      </c>
      <c r="I391" s="21" t="s">
        <v>3320</v>
      </c>
      <c r="J391" s="22" t="s">
        <v>3541</v>
      </c>
      <c r="K391" s="23" t="s">
        <v>1085</v>
      </c>
      <c r="L391" s="24" t="s">
        <v>3542</v>
      </c>
      <c r="M391" s="24" t="s">
        <v>3543</v>
      </c>
      <c r="N391" s="23" t="s">
        <v>3544</v>
      </c>
      <c r="O391" s="24" t="s">
        <v>3545</v>
      </c>
      <c r="P391" s="24" t="s">
        <v>3546</v>
      </c>
      <c r="Q391" s="24" t="s">
        <v>3547</v>
      </c>
      <c r="R391" s="24"/>
      <c r="S391" s="24" t="s">
        <v>3531</v>
      </c>
      <c r="T391" s="24" t="str">
        <f aca="false">"["&amp;안내!$C$5&amp;" "&amp;F391&amp;"] "&amp;L391&amp;" | "&amp;J391</f>
        <v>[1분 성경 구약 #419] 형제가 연합하여 | 시편 133편</v>
      </c>
      <c r="U391" s="26" t="n">
        <f aca="false">IF(D391="구약",IF(C391=1,안내!$C$9,안내!$C$10)+AD391-1,IF(C391=1,안내!$C$9,안내!$C$10)+7*INT((AD391-1)/4)+CHOOSE(MOD(AD391-1,4)+1,0,2,4,5))</f>
        <v>46816</v>
      </c>
      <c r="V391" s="23" t="str">
        <f aca="false">CHOOSE(WEEKDAY(U391,2),"월","화","수","목","금","토","일")</f>
        <v>토</v>
      </c>
      <c r="W391" s="24" t="str">
        <f aca="false">IFERROR(IF(INDEX($C$2:$C$799,MATCH(D391&amp;"#"&amp;(E391+1),$AC$2:$AC$799,0))=C391,"다음 편: ","시즌1 완결 · 시즌2 첫 편: ")&amp;INDEX($L$2:$L$799,MATCH(D391&amp;"#"&amp;(E391+1),$AC$2:$AC$799,0)),"구약 트랙 완결")</f>
        <v>다음 편: 대대로 찬양하라</v>
      </c>
      <c r="X391" s="23" t="s">
        <v>130</v>
      </c>
      <c r="Y391" s="23" t="s">
        <v>130</v>
      </c>
      <c r="Z391" s="23" t="s">
        <v>130</v>
      </c>
      <c r="AA391" s="23" t="s">
        <v>130</v>
      </c>
      <c r="AB391" s="24"/>
      <c r="AC391" s="23" t="str">
        <f aca="false">D391&amp;"#"&amp;E391</f>
        <v>구약#419</v>
      </c>
      <c r="AD391" s="23" t="n">
        <f aca="false">COUNTIFS($C$2:C391,C391,$D$2:D391,D391)</f>
        <v>237</v>
      </c>
    </row>
    <row r="392" customFormat="false" ht="52.2" hidden="false" customHeight="false" outlineLevel="0" collapsed="false">
      <c r="A392" s="21" t="n">
        <v>391</v>
      </c>
      <c r="B392" s="18" t="s">
        <v>3548</v>
      </c>
      <c r="C392" s="20" t="n">
        <v>1</v>
      </c>
      <c r="D392" s="20" t="s">
        <v>116</v>
      </c>
      <c r="E392" s="20" t="n">
        <f aca="false">IF(C392=1,COUNTIFS($C$2:C392,1,$D$2:D392,D392),COUNTIFS($C$2:$C$799,1,$D$2:$D$799,D392)+COUNTIFS($C$2:C392,2,$D$2:D392,D392))</f>
        <v>154</v>
      </c>
      <c r="F392" s="20" t="str">
        <f aca="false">D392&amp;" #"&amp;TEXT(E392,"000")</f>
        <v>구약 #154</v>
      </c>
      <c r="G392" s="18" t="s">
        <v>3505</v>
      </c>
      <c r="H392" s="18" t="s">
        <v>3319</v>
      </c>
      <c r="I392" s="21" t="s">
        <v>3320</v>
      </c>
      <c r="J392" s="22" t="s">
        <v>3549</v>
      </c>
      <c r="K392" s="23" t="s">
        <v>1085</v>
      </c>
      <c r="L392" s="24" t="s">
        <v>3550</v>
      </c>
      <c r="M392" s="24" t="s">
        <v>3551</v>
      </c>
      <c r="N392" s="23" t="s">
        <v>3552</v>
      </c>
      <c r="O392" s="24" t="s">
        <v>3553</v>
      </c>
      <c r="P392" s="24" t="s">
        <v>3344</v>
      </c>
      <c r="Q392" s="24" t="s">
        <v>3554</v>
      </c>
      <c r="R392" s="24"/>
      <c r="S392" s="28" t="s">
        <v>3555</v>
      </c>
      <c r="T392" s="24" t="str">
        <f aca="false">"["&amp;안내!$C$5&amp;" "&amp;F392&amp;"] "&amp;L392&amp;" | "&amp;J392</f>
        <v>[1분 성경 구약 #154] 나를 아시는 하나님 | 시편 139편</v>
      </c>
      <c r="U392" s="26" t="n">
        <f aca="false">IF(D392="구약",IF(C392=1,안내!$C$9,안내!$C$10)+AD392-1,IF(C392=1,안내!$C$9,안내!$C$10)+7*INT((AD392-1)/4)+CHOOSE(MOD(AD392-1,4)+1,0,2,4,5))</f>
        <v>46544</v>
      </c>
      <c r="V392" s="23" t="str">
        <f aca="false">CHOOSE(WEEKDAY(U392,2),"월","화","수","목","금","토","일")</f>
        <v>일</v>
      </c>
      <c r="W392" s="24" t="str">
        <f aca="false">IFERROR(IF(INDEX($C$2:$C$799,MATCH(D392&amp;"#"&amp;(E392+1),$AC$2:$AC$799,0))=C392,"다음 편: ","시즌1 완결 · 시즌2 첫 편: ")&amp;INDEX($L$2:$L$799,MATCH(D392&amp;"#"&amp;(E392+1),$AC$2:$AC$799,0)),"구약 트랙 완결")</f>
        <v>다음 편: 지혜의 첫 걸음</v>
      </c>
      <c r="X392" s="23" t="s">
        <v>130</v>
      </c>
      <c r="Y392" s="23" t="s">
        <v>130</v>
      </c>
      <c r="Z392" s="23" t="s">
        <v>130</v>
      </c>
      <c r="AA392" s="23" t="s">
        <v>130</v>
      </c>
      <c r="AB392" s="24"/>
      <c r="AC392" s="23" t="str">
        <f aca="false">D392&amp;"#"&amp;E392</f>
        <v>구약#154</v>
      </c>
      <c r="AD392" s="23" t="n">
        <f aca="false">COUNTIFS($C$2:C392,C392,$D$2:D392,D392)</f>
        <v>154</v>
      </c>
    </row>
    <row r="393" customFormat="false" ht="26.85" hidden="false" customHeight="false" outlineLevel="0" collapsed="false">
      <c r="A393" s="21" t="n">
        <v>392</v>
      </c>
      <c r="B393" s="18" t="s">
        <v>3556</v>
      </c>
      <c r="C393" s="23" t="n">
        <v>2</v>
      </c>
      <c r="D393" s="23" t="s">
        <v>116</v>
      </c>
      <c r="E393" s="23" t="n">
        <f aca="false">IF(C393=1,COUNTIFS($C$2:C393,1,$D$2:D393,D393),COUNTIFS($C$2:$C$799,1,$D$2:$D$799,D393)+COUNTIFS($C$2:C393,2,$D$2:D393,D393))</f>
        <v>420</v>
      </c>
      <c r="F393" s="23" t="str">
        <f aca="false">D393&amp;" #"&amp;TEXT(E393,"000")</f>
        <v>구약 #420</v>
      </c>
      <c r="G393" s="18" t="s">
        <v>3505</v>
      </c>
      <c r="H393" s="18" t="s">
        <v>3506</v>
      </c>
      <c r="I393" s="21" t="s">
        <v>3320</v>
      </c>
      <c r="J393" s="22" t="s">
        <v>3557</v>
      </c>
      <c r="K393" s="23" t="s">
        <v>1085</v>
      </c>
      <c r="L393" s="24" t="s">
        <v>3558</v>
      </c>
      <c r="M393" s="24" t="s">
        <v>3559</v>
      </c>
      <c r="N393" s="23" t="s">
        <v>3560</v>
      </c>
      <c r="O393" s="24" t="s">
        <v>3561</v>
      </c>
      <c r="P393" s="24" t="s">
        <v>3344</v>
      </c>
      <c r="Q393" s="24"/>
      <c r="R393" s="24"/>
      <c r="S393" s="24" t="s">
        <v>3562</v>
      </c>
      <c r="T393" s="24" t="str">
        <f aca="false">"["&amp;안내!$C$5&amp;" "&amp;F393&amp;"] "&amp;L393&amp;" | "&amp;J393</f>
        <v>[1분 성경 구약 #420] 대대로 찬양하라 | 시편 145편</v>
      </c>
      <c r="U393" s="26" t="n">
        <f aca="false">IF(D393="구약",IF(C393=1,안내!$C$9,안내!$C$10)+AD393-1,IF(C393=1,안내!$C$9,안내!$C$10)+7*INT((AD393-1)/4)+CHOOSE(MOD(AD393-1,4)+1,0,2,4,5))</f>
        <v>46817</v>
      </c>
      <c r="V393" s="23" t="str">
        <f aca="false">CHOOSE(WEEKDAY(U393,2),"월","화","수","목","금","토","일")</f>
        <v>일</v>
      </c>
      <c r="W393" s="24" t="str">
        <f aca="false">IFERROR(IF(INDEX($C$2:$C$799,MATCH(D393&amp;"#"&amp;(E393+1),$AC$2:$AC$799,0))=C393,"다음 편: ","시즌1 완결 · 시즌2 첫 편: ")&amp;INDEX($L$2:$L$799,MATCH(D393&amp;"#"&amp;(E393+1),$AC$2:$AC$799,0)),"구약 트랙 완결")</f>
        <v>다음 편: 호흡이 있는 자마다</v>
      </c>
      <c r="X393" s="23" t="s">
        <v>130</v>
      </c>
      <c r="Y393" s="23" t="s">
        <v>130</v>
      </c>
      <c r="Z393" s="23" t="s">
        <v>130</v>
      </c>
      <c r="AA393" s="23" t="s">
        <v>130</v>
      </c>
      <c r="AB393" s="24"/>
      <c r="AC393" s="23" t="str">
        <f aca="false">D393&amp;"#"&amp;E393</f>
        <v>구약#420</v>
      </c>
      <c r="AD393" s="23" t="n">
        <f aca="false">COUNTIFS($C$2:C393,C393,$D$2:D393,D393)</f>
        <v>238</v>
      </c>
    </row>
    <row r="394" customFormat="false" ht="26.85" hidden="false" customHeight="false" outlineLevel="0" collapsed="false">
      <c r="A394" s="21" t="n">
        <v>393</v>
      </c>
      <c r="B394" s="18" t="s">
        <v>3563</v>
      </c>
      <c r="C394" s="23" t="n">
        <v>2</v>
      </c>
      <c r="D394" s="23" t="s">
        <v>116</v>
      </c>
      <c r="E394" s="23" t="n">
        <f aca="false">IF(C394=1,COUNTIFS($C$2:C394,1,$D$2:D394,D394),COUNTIFS($C$2:$C$799,1,$D$2:$D$799,D394)+COUNTIFS($C$2:C394,2,$D$2:D394,D394))</f>
        <v>421</v>
      </c>
      <c r="F394" s="23" t="str">
        <f aca="false">D394&amp;" #"&amp;TEXT(E394,"000")</f>
        <v>구약 #421</v>
      </c>
      <c r="G394" s="18" t="s">
        <v>3505</v>
      </c>
      <c r="H394" s="18" t="s">
        <v>3506</v>
      </c>
      <c r="I394" s="21" t="s">
        <v>3320</v>
      </c>
      <c r="J394" s="22" t="s">
        <v>3564</v>
      </c>
      <c r="K394" s="23" t="s">
        <v>1085</v>
      </c>
      <c r="L394" s="24" t="s">
        <v>3565</v>
      </c>
      <c r="M394" s="24" t="s">
        <v>3566</v>
      </c>
      <c r="N394" s="23" t="s">
        <v>3567</v>
      </c>
      <c r="O394" s="24" t="s">
        <v>3568</v>
      </c>
      <c r="P394" s="24" t="s">
        <v>3569</v>
      </c>
      <c r="Q394" s="24" t="s">
        <v>3570</v>
      </c>
      <c r="R394" s="24"/>
      <c r="S394" s="24" t="s">
        <v>3562</v>
      </c>
      <c r="T394" s="24" t="str">
        <f aca="false">"["&amp;안내!$C$5&amp;" "&amp;F394&amp;"] "&amp;L394&amp;" | "&amp;J394</f>
        <v>[1분 성경 구약 #421] 호흡이 있는 자마다 | 시편 150편</v>
      </c>
      <c r="U394" s="26" t="n">
        <f aca="false">IF(D394="구약",IF(C394=1,안내!$C$9,안내!$C$10)+AD394-1,IF(C394=1,안내!$C$9,안내!$C$10)+7*INT((AD394-1)/4)+CHOOSE(MOD(AD394-1,4)+1,0,2,4,5))</f>
        <v>46818</v>
      </c>
      <c r="V394" s="23" t="str">
        <f aca="false">CHOOSE(WEEKDAY(U394,2),"월","화","수","목","금","토","일")</f>
        <v>월</v>
      </c>
      <c r="W394" s="24" t="str">
        <f aca="false">IFERROR(IF(INDEX($C$2:$C$799,MATCH(D394&amp;"#"&amp;(E394+1),$AC$2:$AC$799,0))=C394,"다음 편: ","시즌1 완결 · 시즌2 첫 편: ")&amp;INDEX($L$2:$L$799,MATCH(D394&amp;"#"&amp;(E394+1),$AC$2:$AC$799,0)),"구약 트랙 완결")</f>
        <v>다음 편: 네 길을 인도하시리라</v>
      </c>
      <c r="X394" s="23" t="s">
        <v>130</v>
      </c>
      <c r="Y394" s="23" t="s">
        <v>130</v>
      </c>
      <c r="Z394" s="23" t="s">
        <v>130</v>
      </c>
      <c r="AA394" s="23" t="s">
        <v>130</v>
      </c>
      <c r="AB394" s="24"/>
      <c r="AC394" s="23" t="str">
        <f aca="false">D394&amp;"#"&amp;E394</f>
        <v>구약#421</v>
      </c>
      <c r="AD394" s="23" t="n">
        <f aca="false">COUNTIFS($C$2:C394,C394,$D$2:D394,D394)</f>
        <v>239</v>
      </c>
    </row>
    <row r="395" customFormat="false" ht="39.55" hidden="false" customHeight="false" outlineLevel="0" collapsed="false">
      <c r="A395" s="21" t="n">
        <v>394</v>
      </c>
      <c r="B395" s="18" t="s">
        <v>3571</v>
      </c>
      <c r="C395" s="20" t="n">
        <v>1</v>
      </c>
      <c r="D395" s="20" t="s">
        <v>116</v>
      </c>
      <c r="E395" s="20" t="n">
        <f aca="false">IF(C395=1,COUNTIFS($C$2:C395,1,$D$2:D395,D395),COUNTIFS($C$2:$C$799,1,$D$2:$D$799,D395)+COUNTIFS($C$2:C395,2,$D$2:D395,D395))</f>
        <v>155</v>
      </c>
      <c r="F395" s="20" t="str">
        <f aca="false">D395&amp;" #"&amp;TEXT(E395,"000")</f>
        <v>구약 #155</v>
      </c>
      <c r="G395" s="18" t="s">
        <v>3572</v>
      </c>
      <c r="H395" s="18" t="s">
        <v>3319</v>
      </c>
      <c r="I395" s="21" t="s">
        <v>3573</v>
      </c>
      <c r="J395" s="22" t="s">
        <v>3574</v>
      </c>
      <c r="K395" s="23" t="s">
        <v>1085</v>
      </c>
      <c r="L395" s="24" t="s">
        <v>3575</v>
      </c>
      <c r="M395" s="24" t="s">
        <v>3576</v>
      </c>
      <c r="N395" s="23" t="s">
        <v>3577</v>
      </c>
      <c r="O395" s="24" t="s">
        <v>3578</v>
      </c>
      <c r="P395" s="24" t="s">
        <v>3579</v>
      </c>
      <c r="Q395" s="24" t="s">
        <v>3580</v>
      </c>
      <c r="R395" s="24"/>
      <c r="S395" s="28" t="s">
        <v>3581</v>
      </c>
      <c r="T395" s="24" t="str">
        <f aca="false">"["&amp;안내!$C$5&amp;" "&amp;F395&amp;"] "&amp;L395&amp;" | "&amp;J395</f>
        <v>[1분 성경 구약 #155] 지혜의 첫 걸음 | 잠 1:1-33</v>
      </c>
      <c r="U395" s="26" t="n">
        <f aca="false">IF(D395="구약",IF(C395=1,안내!$C$9,안내!$C$10)+AD395-1,IF(C395=1,안내!$C$9,안내!$C$10)+7*INT((AD395-1)/4)+CHOOSE(MOD(AD395-1,4)+1,0,2,4,5))</f>
        <v>46545</v>
      </c>
      <c r="V395" s="23" t="str">
        <f aca="false">CHOOSE(WEEKDAY(U395,2),"월","화","수","목","금","토","일")</f>
        <v>월</v>
      </c>
      <c r="W395" s="24" t="str">
        <f aca="false">IFERROR(IF(INDEX($C$2:$C$799,MATCH(D395&amp;"#"&amp;(E395+1),$AC$2:$AC$799,0))=C395,"다음 편: ","시즌1 완결 · 시즌2 첫 편: ")&amp;INDEX($L$2:$L$799,MATCH(D395&amp;"#"&amp;(E395+1),$AC$2:$AC$799,0)),"구약 트랙 완결")</f>
        <v>다음 편: 모든 것에 때가 있다</v>
      </c>
      <c r="X395" s="23" t="s">
        <v>130</v>
      </c>
      <c r="Y395" s="23" t="s">
        <v>130</v>
      </c>
      <c r="Z395" s="23" t="s">
        <v>130</v>
      </c>
      <c r="AA395" s="23" t="s">
        <v>130</v>
      </c>
      <c r="AB395" s="24"/>
      <c r="AC395" s="23" t="str">
        <f aca="false">D395&amp;"#"&amp;E395</f>
        <v>구약#155</v>
      </c>
      <c r="AD395" s="23" t="n">
        <f aca="false">COUNTIFS($C$2:C395,C395,$D$2:D395,D395)</f>
        <v>155</v>
      </c>
    </row>
    <row r="396" customFormat="false" ht="25.35" hidden="false" customHeight="false" outlineLevel="0" collapsed="false">
      <c r="A396" s="21" t="n">
        <v>395</v>
      </c>
      <c r="B396" s="18" t="s">
        <v>3582</v>
      </c>
      <c r="C396" s="23" t="n">
        <v>2</v>
      </c>
      <c r="D396" s="23" t="s">
        <v>116</v>
      </c>
      <c r="E396" s="23" t="n">
        <f aca="false">IF(C396=1,COUNTIFS($C$2:C396,1,$D$2:D396,D396),COUNTIFS($C$2:$C$799,1,$D$2:$D$799,D396)+COUNTIFS($C$2:C396,2,$D$2:D396,D396))</f>
        <v>422</v>
      </c>
      <c r="F396" s="23" t="str">
        <f aca="false">D396&amp;" #"&amp;TEXT(E396,"000")</f>
        <v>구약 #422</v>
      </c>
      <c r="G396" s="18" t="s">
        <v>3572</v>
      </c>
      <c r="H396" s="18" t="s">
        <v>3506</v>
      </c>
      <c r="I396" s="21" t="s">
        <v>3573</v>
      </c>
      <c r="J396" s="22" t="s">
        <v>3583</v>
      </c>
      <c r="K396" s="23" t="s">
        <v>1085</v>
      </c>
      <c r="L396" s="24" t="s">
        <v>3584</v>
      </c>
      <c r="M396" s="24" t="s">
        <v>3585</v>
      </c>
      <c r="N396" s="23" t="s">
        <v>3586</v>
      </c>
      <c r="O396" s="24" t="s">
        <v>3587</v>
      </c>
      <c r="P396" s="24" t="s">
        <v>3579</v>
      </c>
      <c r="Q396" s="24" t="s">
        <v>3588</v>
      </c>
      <c r="R396" s="24"/>
      <c r="S396" s="24" t="s">
        <v>3589</v>
      </c>
      <c r="T396" s="24" t="str">
        <f aca="false">"["&amp;안내!$C$5&amp;" "&amp;F396&amp;"] "&amp;L396&amp;" | "&amp;J396</f>
        <v>[1분 성경 구약 #422] 네 길을 인도하시리라 | 잠 2:1-4:27</v>
      </c>
      <c r="U396" s="26" t="n">
        <f aca="false">IF(D396="구약",IF(C396=1,안내!$C$9,안내!$C$10)+AD396-1,IF(C396=1,안내!$C$9,안내!$C$10)+7*INT((AD396-1)/4)+CHOOSE(MOD(AD396-1,4)+1,0,2,4,5))</f>
        <v>46819</v>
      </c>
      <c r="V396" s="23" t="str">
        <f aca="false">CHOOSE(WEEKDAY(U396,2),"월","화","수","목","금","토","일")</f>
        <v>화</v>
      </c>
      <c r="W396" s="24" t="str">
        <f aca="false">IFERROR(IF(INDEX($C$2:$C$799,MATCH(D396&amp;"#"&amp;(E396+1),$AC$2:$AC$799,0))=C396,"다음 편: ","시즌1 완결 · 시즌2 첫 편: ")&amp;INDEX($L$2:$L$799,MATCH(D396&amp;"#"&amp;(E396+1),$AC$2:$AC$799,0)),"구약 트랙 완결")</f>
        <v>다음 편: 개미에게 배우라</v>
      </c>
      <c r="X396" s="23" t="s">
        <v>130</v>
      </c>
      <c r="Y396" s="23" t="s">
        <v>130</v>
      </c>
      <c r="Z396" s="23" t="s">
        <v>130</v>
      </c>
      <c r="AA396" s="23" t="s">
        <v>130</v>
      </c>
      <c r="AB396" s="24"/>
      <c r="AC396" s="23" t="str">
        <f aca="false">D396&amp;"#"&amp;E396</f>
        <v>구약#422</v>
      </c>
      <c r="AD396" s="23" t="n">
        <f aca="false">COUNTIFS($C$2:C396,C396,$D$2:D396,D396)</f>
        <v>240</v>
      </c>
    </row>
    <row r="397" customFormat="false" ht="26.85" hidden="false" customHeight="false" outlineLevel="0" collapsed="false">
      <c r="A397" s="21" t="n">
        <v>396</v>
      </c>
      <c r="B397" s="18" t="s">
        <v>3590</v>
      </c>
      <c r="C397" s="23" t="n">
        <v>2</v>
      </c>
      <c r="D397" s="23" t="s">
        <v>116</v>
      </c>
      <c r="E397" s="23" t="n">
        <f aca="false">IF(C397=1,COUNTIFS($C$2:C397,1,$D$2:D397,D397),COUNTIFS($C$2:$C$799,1,$D$2:$D$799,D397)+COUNTIFS($C$2:C397,2,$D$2:D397,D397))</f>
        <v>423</v>
      </c>
      <c r="F397" s="23" t="str">
        <f aca="false">D397&amp;" #"&amp;TEXT(E397,"000")</f>
        <v>구약 #423</v>
      </c>
      <c r="G397" s="18" t="s">
        <v>3572</v>
      </c>
      <c r="H397" s="18" t="s">
        <v>3506</v>
      </c>
      <c r="I397" s="21" t="s">
        <v>3573</v>
      </c>
      <c r="J397" s="22" t="s">
        <v>3591</v>
      </c>
      <c r="K397" s="23" t="s">
        <v>1085</v>
      </c>
      <c r="L397" s="24" t="s">
        <v>3592</v>
      </c>
      <c r="M397" s="24" t="s">
        <v>3593</v>
      </c>
      <c r="N397" s="23" t="s">
        <v>3594</v>
      </c>
      <c r="O397" s="24" t="s">
        <v>3595</v>
      </c>
      <c r="P397" s="24" t="s">
        <v>3596</v>
      </c>
      <c r="Q397" s="24" t="s">
        <v>3597</v>
      </c>
      <c r="R397" s="25" t="s">
        <v>3598</v>
      </c>
      <c r="S397" s="24" t="s">
        <v>3589</v>
      </c>
      <c r="T397" s="24" t="str">
        <f aca="false">"["&amp;안내!$C$5&amp;" "&amp;F397&amp;"] "&amp;L397&amp;" | "&amp;J397</f>
        <v>[1분 성경 구약 #423] 개미에게 배우라 | 잠 5:1-7:27</v>
      </c>
      <c r="U397" s="26" t="n">
        <f aca="false">IF(D397="구약",IF(C397=1,안내!$C$9,안내!$C$10)+AD397-1,IF(C397=1,안내!$C$9,안내!$C$10)+7*INT((AD397-1)/4)+CHOOSE(MOD(AD397-1,4)+1,0,2,4,5))</f>
        <v>46820</v>
      </c>
      <c r="V397" s="23" t="str">
        <f aca="false">CHOOSE(WEEKDAY(U397,2),"월","화","수","목","금","토","일")</f>
        <v>수</v>
      </c>
      <c r="W397" s="24" t="str">
        <f aca="false">IFERROR(IF(INDEX($C$2:$C$799,MATCH(D397&amp;"#"&amp;(E397+1),$AC$2:$AC$799,0))=C397,"다음 편: ","시즌1 완결 · 시즌2 첫 편: ")&amp;INDEX($L$2:$L$799,MATCH(D397&amp;"#"&amp;(E397+1),$AC$2:$AC$799,0)),"구약 트랙 완결")</f>
        <v>다음 편: 지혜가 부른다</v>
      </c>
      <c r="X397" s="23" t="s">
        <v>130</v>
      </c>
      <c r="Y397" s="23" t="s">
        <v>130</v>
      </c>
      <c r="Z397" s="23" t="s">
        <v>130</v>
      </c>
      <c r="AA397" s="23" t="s">
        <v>130</v>
      </c>
      <c r="AB397" s="24"/>
      <c r="AC397" s="23" t="str">
        <f aca="false">D397&amp;"#"&amp;E397</f>
        <v>구약#423</v>
      </c>
      <c r="AD397" s="23" t="n">
        <f aca="false">COUNTIFS($C$2:C397,C397,$D$2:D397,D397)</f>
        <v>241</v>
      </c>
    </row>
    <row r="398" customFormat="false" ht="26.85" hidden="false" customHeight="false" outlineLevel="0" collapsed="false">
      <c r="A398" s="21" t="n">
        <v>397</v>
      </c>
      <c r="B398" s="18" t="s">
        <v>3599</v>
      </c>
      <c r="C398" s="23" t="n">
        <v>2</v>
      </c>
      <c r="D398" s="23" t="s">
        <v>116</v>
      </c>
      <c r="E398" s="23" t="n">
        <f aca="false">IF(C398=1,COUNTIFS($C$2:C398,1,$D$2:D398,D398),COUNTIFS($C$2:$C$799,1,$D$2:$D$799,D398)+COUNTIFS($C$2:C398,2,$D$2:D398,D398))</f>
        <v>424</v>
      </c>
      <c r="F398" s="23" t="str">
        <f aca="false">D398&amp;" #"&amp;TEXT(E398,"000")</f>
        <v>구약 #424</v>
      </c>
      <c r="G398" s="18" t="s">
        <v>3572</v>
      </c>
      <c r="H398" s="18" t="s">
        <v>3506</v>
      </c>
      <c r="I398" s="21" t="s">
        <v>3573</v>
      </c>
      <c r="J398" s="22" t="s">
        <v>3600</v>
      </c>
      <c r="K398" s="23" t="s">
        <v>1085</v>
      </c>
      <c r="L398" s="24" t="s">
        <v>3601</v>
      </c>
      <c r="M398" s="24" t="s">
        <v>3602</v>
      </c>
      <c r="N398" s="23" t="s">
        <v>3603</v>
      </c>
      <c r="O398" s="24" t="s">
        <v>3604</v>
      </c>
      <c r="P398" s="24" t="s">
        <v>3605</v>
      </c>
      <c r="Q398" s="24" t="s">
        <v>3606</v>
      </c>
      <c r="R398" s="25" t="s">
        <v>3607</v>
      </c>
      <c r="S398" s="24" t="s">
        <v>3589</v>
      </c>
      <c r="T398" s="24" t="str">
        <f aca="false">"["&amp;안내!$C$5&amp;" "&amp;F398&amp;"] "&amp;L398&amp;" | "&amp;J398</f>
        <v>[1분 성경 구약 #424] 지혜가 부른다 | 잠 8:1-9:18</v>
      </c>
      <c r="U398" s="26" t="n">
        <f aca="false">IF(D398="구약",IF(C398=1,안내!$C$9,안내!$C$10)+AD398-1,IF(C398=1,안내!$C$9,안내!$C$10)+7*INT((AD398-1)/4)+CHOOSE(MOD(AD398-1,4)+1,0,2,4,5))</f>
        <v>46821</v>
      </c>
      <c r="V398" s="23" t="str">
        <f aca="false">CHOOSE(WEEKDAY(U398,2),"월","화","수","목","금","토","일")</f>
        <v>목</v>
      </c>
      <c r="W398" s="24" t="str">
        <f aca="false">IFERROR(IF(INDEX($C$2:$C$799,MATCH(D398&amp;"#"&amp;(E398+1),$AC$2:$AC$799,0))=C398,"다음 편: ","시즌1 완결 · 시즌2 첫 편: ")&amp;INDEX($L$2:$L$799,MATCH(D398&amp;"#"&amp;(E398+1),$AC$2:$AC$799,0)),"구약 트랙 완결")</f>
        <v>다음 편: 말 한마디의 힘</v>
      </c>
      <c r="X398" s="23" t="s">
        <v>130</v>
      </c>
      <c r="Y398" s="23" t="s">
        <v>130</v>
      </c>
      <c r="Z398" s="23" t="s">
        <v>130</v>
      </c>
      <c r="AA398" s="23" t="s">
        <v>130</v>
      </c>
      <c r="AB398" s="24"/>
      <c r="AC398" s="23" t="str">
        <f aca="false">D398&amp;"#"&amp;E398</f>
        <v>구약#424</v>
      </c>
      <c r="AD398" s="23" t="n">
        <f aca="false">COUNTIFS($C$2:C398,C398,$D$2:D398,D398)</f>
        <v>242</v>
      </c>
    </row>
    <row r="399" customFormat="false" ht="25.35" hidden="false" customHeight="false" outlineLevel="0" collapsed="false">
      <c r="A399" s="21" t="n">
        <v>398</v>
      </c>
      <c r="B399" s="18" t="s">
        <v>3608</v>
      </c>
      <c r="C399" s="23" t="n">
        <v>2</v>
      </c>
      <c r="D399" s="23" t="s">
        <v>116</v>
      </c>
      <c r="E399" s="23" t="n">
        <f aca="false">IF(C399=1,COUNTIFS($C$2:C399,1,$D$2:D399,D399),COUNTIFS($C$2:$C$799,1,$D$2:$D$799,D399)+COUNTIFS($C$2:C399,2,$D$2:D399,D399))</f>
        <v>425</v>
      </c>
      <c r="F399" s="23" t="str">
        <f aca="false">D399&amp;" #"&amp;TEXT(E399,"000")</f>
        <v>구약 #425</v>
      </c>
      <c r="G399" s="18" t="s">
        <v>3572</v>
      </c>
      <c r="H399" s="18" t="s">
        <v>3506</v>
      </c>
      <c r="I399" s="21" t="s">
        <v>3573</v>
      </c>
      <c r="J399" s="22" t="s">
        <v>3609</v>
      </c>
      <c r="K399" s="23" t="s">
        <v>1085</v>
      </c>
      <c r="L399" s="24" t="s">
        <v>3610</v>
      </c>
      <c r="M399" s="24" t="s">
        <v>3611</v>
      </c>
      <c r="N399" s="23" t="s">
        <v>3612</v>
      </c>
      <c r="O399" s="24" t="s">
        <v>3613</v>
      </c>
      <c r="P399" s="24" t="s">
        <v>3614</v>
      </c>
      <c r="Q399" s="24" t="s">
        <v>3615</v>
      </c>
      <c r="R399" s="24"/>
      <c r="S399" s="24" t="s">
        <v>3589</v>
      </c>
      <c r="T399" s="24" t="str">
        <f aca="false">"["&amp;안내!$C$5&amp;" "&amp;F399&amp;"] "&amp;L399&amp;" | "&amp;J399</f>
        <v>[1분 성경 구약 #425] 말 한마디의 힘 | 잠 10:1-15:33</v>
      </c>
      <c r="U399" s="26" t="n">
        <f aca="false">IF(D399="구약",IF(C399=1,안내!$C$9,안내!$C$10)+AD399-1,IF(C399=1,안내!$C$9,안내!$C$10)+7*INT((AD399-1)/4)+CHOOSE(MOD(AD399-1,4)+1,0,2,4,5))</f>
        <v>46822</v>
      </c>
      <c r="V399" s="23" t="str">
        <f aca="false">CHOOSE(WEEKDAY(U399,2),"월","화","수","목","금","토","일")</f>
        <v>금</v>
      </c>
      <c r="W399" s="24" t="str">
        <f aca="false">IFERROR(IF(INDEX($C$2:$C$799,MATCH(D399&amp;"#"&amp;(E399+1),$AC$2:$AC$799,0))=C399,"다음 편: ","시즌1 완결 · 시즌2 첫 편: ")&amp;INDEX($L$2:$L$799,MATCH(D399&amp;"#"&amp;(E399+1),$AC$2:$AC$799,0)),"구약 트랙 완결")</f>
        <v>다음 편: 사람이 계획해도</v>
      </c>
      <c r="X399" s="23" t="s">
        <v>130</v>
      </c>
      <c r="Y399" s="23" t="s">
        <v>130</v>
      </c>
      <c r="Z399" s="23" t="s">
        <v>130</v>
      </c>
      <c r="AA399" s="23" t="s">
        <v>130</v>
      </c>
      <c r="AB399" s="24"/>
      <c r="AC399" s="23" t="str">
        <f aca="false">D399&amp;"#"&amp;E399</f>
        <v>구약#425</v>
      </c>
      <c r="AD399" s="23" t="n">
        <f aca="false">COUNTIFS($C$2:C399,C399,$D$2:D399,D399)</f>
        <v>243</v>
      </c>
    </row>
    <row r="400" customFormat="false" ht="26.85" hidden="false" customHeight="false" outlineLevel="0" collapsed="false">
      <c r="A400" s="21" t="n">
        <v>399</v>
      </c>
      <c r="B400" s="18" t="s">
        <v>3616</v>
      </c>
      <c r="C400" s="23" t="n">
        <v>2</v>
      </c>
      <c r="D400" s="23" t="s">
        <v>116</v>
      </c>
      <c r="E400" s="23" t="n">
        <f aca="false">IF(C400=1,COUNTIFS($C$2:C400,1,$D$2:D400,D400),COUNTIFS($C$2:$C$799,1,$D$2:$D$799,D400)+COUNTIFS($C$2:C400,2,$D$2:D400,D400))</f>
        <v>426</v>
      </c>
      <c r="F400" s="23" t="str">
        <f aca="false">D400&amp;" #"&amp;TEXT(E400,"000")</f>
        <v>구약 #426</v>
      </c>
      <c r="G400" s="18" t="s">
        <v>3572</v>
      </c>
      <c r="H400" s="18" t="s">
        <v>3506</v>
      </c>
      <c r="I400" s="21" t="s">
        <v>3573</v>
      </c>
      <c r="J400" s="22" t="s">
        <v>3617</v>
      </c>
      <c r="K400" s="23" t="s">
        <v>1085</v>
      </c>
      <c r="L400" s="24" t="s">
        <v>3618</v>
      </c>
      <c r="M400" s="24" t="s">
        <v>3619</v>
      </c>
      <c r="N400" s="23" t="s">
        <v>3620</v>
      </c>
      <c r="O400" s="24" t="s">
        <v>3621</v>
      </c>
      <c r="P400" s="24" t="s">
        <v>3614</v>
      </c>
      <c r="Q400" s="24" t="s">
        <v>3622</v>
      </c>
      <c r="R400" s="24"/>
      <c r="S400" s="24" t="s">
        <v>3589</v>
      </c>
      <c r="T400" s="24" t="str">
        <f aca="false">"["&amp;안내!$C$5&amp;" "&amp;F400&amp;"] "&amp;L400&amp;" | "&amp;J400</f>
        <v>[1분 성경 구약 #426] 사람이 계획해도 | 잠 16:1-22:16</v>
      </c>
      <c r="U400" s="26" t="n">
        <f aca="false">IF(D400="구약",IF(C400=1,안내!$C$9,안내!$C$10)+AD400-1,IF(C400=1,안내!$C$9,안내!$C$10)+7*INT((AD400-1)/4)+CHOOSE(MOD(AD400-1,4)+1,0,2,4,5))</f>
        <v>46823</v>
      </c>
      <c r="V400" s="23" t="str">
        <f aca="false">CHOOSE(WEEKDAY(U400,2),"월","화","수","목","금","토","일")</f>
        <v>토</v>
      </c>
      <c r="W400" s="24" t="str">
        <f aca="false">IFERROR(IF(INDEX($C$2:$C$799,MATCH(D400&amp;"#"&amp;(E400+1),$AC$2:$AC$799,0))=C400,"다음 편: ","시즌1 완결 · 시즌2 첫 편: ")&amp;INDEX($L$2:$L$799,MATCH(D400&amp;"#"&amp;(E400+1),$AC$2:$AC$799,0)),"구약 트랙 완결")</f>
        <v>다음 편: 일곱 번 넘어져도</v>
      </c>
      <c r="X400" s="23" t="s">
        <v>130</v>
      </c>
      <c r="Y400" s="23" t="s">
        <v>130</v>
      </c>
      <c r="Z400" s="23" t="s">
        <v>130</v>
      </c>
      <c r="AA400" s="23" t="s">
        <v>130</v>
      </c>
      <c r="AB400" s="24"/>
      <c r="AC400" s="23" t="str">
        <f aca="false">D400&amp;"#"&amp;E400</f>
        <v>구약#426</v>
      </c>
      <c r="AD400" s="23" t="n">
        <f aca="false">COUNTIFS($C$2:C400,C400,$D$2:D400,D400)</f>
        <v>244</v>
      </c>
    </row>
    <row r="401" customFormat="false" ht="26.85" hidden="false" customHeight="false" outlineLevel="0" collapsed="false">
      <c r="A401" s="21" t="n">
        <v>400</v>
      </c>
      <c r="B401" s="18" t="s">
        <v>3623</v>
      </c>
      <c r="C401" s="23" t="n">
        <v>2</v>
      </c>
      <c r="D401" s="23" t="s">
        <v>116</v>
      </c>
      <c r="E401" s="23" t="n">
        <f aca="false">IF(C401=1,COUNTIFS($C$2:C401,1,$D$2:D401,D401),COUNTIFS($C$2:$C$799,1,$D$2:$D$799,D401)+COUNTIFS($C$2:C401,2,$D$2:D401,D401))</f>
        <v>427</v>
      </c>
      <c r="F401" s="23" t="str">
        <f aca="false">D401&amp;" #"&amp;TEXT(E401,"000")</f>
        <v>구약 #427</v>
      </c>
      <c r="G401" s="18" t="s">
        <v>3572</v>
      </c>
      <c r="H401" s="18" t="s">
        <v>3506</v>
      </c>
      <c r="I401" s="21" t="s">
        <v>3573</v>
      </c>
      <c r="J401" s="22" t="s">
        <v>3624</v>
      </c>
      <c r="K401" s="23" t="s">
        <v>1085</v>
      </c>
      <c r="L401" s="24" t="s">
        <v>3625</v>
      </c>
      <c r="M401" s="24" t="s">
        <v>3626</v>
      </c>
      <c r="N401" s="23" t="s">
        <v>3627</v>
      </c>
      <c r="O401" s="24" t="s">
        <v>3628</v>
      </c>
      <c r="P401" s="24" t="s">
        <v>3629</v>
      </c>
      <c r="Q401" s="24" t="s">
        <v>3630</v>
      </c>
      <c r="R401" s="24"/>
      <c r="S401" s="24" t="s">
        <v>3589</v>
      </c>
      <c r="T401" s="24" t="str">
        <f aca="false">"["&amp;안내!$C$5&amp;" "&amp;F401&amp;"] "&amp;L401&amp;" | "&amp;J401</f>
        <v>[1분 성경 구약 #427] 일곱 번 넘어져도 | 잠 22:17-24:34</v>
      </c>
      <c r="U401" s="26" t="n">
        <f aca="false">IF(D401="구약",IF(C401=1,안내!$C$9,안내!$C$10)+AD401-1,IF(C401=1,안내!$C$9,안내!$C$10)+7*INT((AD401-1)/4)+CHOOSE(MOD(AD401-1,4)+1,0,2,4,5))</f>
        <v>46824</v>
      </c>
      <c r="V401" s="23" t="str">
        <f aca="false">CHOOSE(WEEKDAY(U401,2),"월","화","수","목","금","토","일")</f>
        <v>일</v>
      </c>
      <c r="W401" s="24" t="str">
        <f aca="false">IFERROR(IF(INDEX($C$2:$C$799,MATCH(D401&amp;"#"&amp;(E401+1),$AC$2:$AC$799,0))=C401,"다음 편: ","시즌1 완결 · 시즌2 첫 편: ")&amp;INDEX($L$2:$L$799,MATCH(D401&amp;"#"&amp;(E401+1),$AC$2:$AC$799,0)),"구약 트랙 완결")</f>
        <v>다음 편: 원수에게 빵을</v>
      </c>
      <c r="X401" s="23" t="s">
        <v>130</v>
      </c>
      <c r="Y401" s="23" t="s">
        <v>130</v>
      </c>
      <c r="Z401" s="23" t="s">
        <v>130</v>
      </c>
      <c r="AA401" s="23" t="s">
        <v>130</v>
      </c>
      <c r="AB401" s="24"/>
      <c r="AC401" s="23" t="str">
        <f aca="false">D401&amp;"#"&amp;E401</f>
        <v>구약#427</v>
      </c>
      <c r="AD401" s="23" t="n">
        <f aca="false">COUNTIFS($C$2:C401,C401,$D$2:D401,D401)</f>
        <v>245</v>
      </c>
    </row>
    <row r="402" customFormat="false" ht="26.85" hidden="false" customHeight="false" outlineLevel="0" collapsed="false">
      <c r="A402" s="21" t="n">
        <v>401</v>
      </c>
      <c r="B402" s="18" t="s">
        <v>3631</v>
      </c>
      <c r="C402" s="23" t="n">
        <v>2</v>
      </c>
      <c r="D402" s="23" t="s">
        <v>116</v>
      </c>
      <c r="E402" s="23" t="n">
        <f aca="false">IF(C402=1,COUNTIFS($C$2:C402,1,$D$2:D402,D402),COUNTIFS($C$2:$C$799,1,$D$2:$D$799,D402)+COUNTIFS($C$2:C402,2,$D$2:D402,D402))</f>
        <v>428</v>
      </c>
      <c r="F402" s="23" t="str">
        <f aca="false">D402&amp;" #"&amp;TEXT(E402,"000")</f>
        <v>구약 #428</v>
      </c>
      <c r="G402" s="18" t="s">
        <v>3572</v>
      </c>
      <c r="H402" s="18" t="s">
        <v>3506</v>
      </c>
      <c r="I402" s="21" t="s">
        <v>3573</v>
      </c>
      <c r="J402" s="22" t="s">
        <v>3632</v>
      </c>
      <c r="K402" s="23" t="s">
        <v>1085</v>
      </c>
      <c r="L402" s="24" t="s">
        <v>3633</v>
      </c>
      <c r="M402" s="24" t="s">
        <v>3634</v>
      </c>
      <c r="N402" s="23" t="s">
        <v>3635</v>
      </c>
      <c r="O402" s="24" t="s">
        <v>3636</v>
      </c>
      <c r="P402" s="24" t="s">
        <v>3614</v>
      </c>
      <c r="Q402" s="24" t="s">
        <v>3637</v>
      </c>
      <c r="R402" s="25" t="s">
        <v>3638</v>
      </c>
      <c r="S402" s="24" t="s">
        <v>3589</v>
      </c>
      <c r="T402" s="24" t="str">
        <f aca="false">"["&amp;안내!$C$5&amp;" "&amp;F402&amp;"] "&amp;L402&amp;" | "&amp;J402</f>
        <v>[1분 성경 구약 #428] 원수에게 빵을 | 잠 25:1-29:27</v>
      </c>
      <c r="U402" s="26" t="n">
        <f aca="false">IF(D402="구약",IF(C402=1,안내!$C$9,안내!$C$10)+AD402-1,IF(C402=1,안내!$C$9,안내!$C$10)+7*INT((AD402-1)/4)+CHOOSE(MOD(AD402-1,4)+1,0,2,4,5))</f>
        <v>46825</v>
      </c>
      <c r="V402" s="23" t="str">
        <f aca="false">CHOOSE(WEEKDAY(U402,2),"월","화","수","목","금","토","일")</f>
        <v>월</v>
      </c>
      <c r="W402" s="24" t="str">
        <f aca="false">IFERROR(IF(INDEX($C$2:$C$799,MATCH(D402&amp;"#"&amp;(E402+1),$AC$2:$AC$799,0))=C402,"다음 편: ","시즌1 완결 · 시즌2 첫 편: ")&amp;INDEX($L$2:$L$799,MATCH(D402&amp;"#"&amp;(E402+1),$AC$2:$AC$799,0)),"구약 트랙 완결")</f>
        <v>다음 편: 여호와를 경외하는 여자</v>
      </c>
      <c r="X402" s="23" t="s">
        <v>130</v>
      </c>
      <c r="Y402" s="23" t="s">
        <v>130</v>
      </c>
      <c r="Z402" s="23" t="s">
        <v>130</v>
      </c>
      <c r="AA402" s="23" t="s">
        <v>130</v>
      </c>
      <c r="AB402" s="24"/>
      <c r="AC402" s="23" t="str">
        <f aca="false">D402&amp;"#"&amp;E402</f>
        <v>구약#428</v>
      </c>
      <c r="AD402" s="23" t="n">
        <f aca="false">COUNTIFS($C$2:C402,C402,$D$2:D402,D402)</f>
        <v>246</v>
      </c>
    </row>
    <row r="403" customFormat="false" ht="26.85" hidden="false" customHeight="false" outlineLevel="0" collapsed="false">
      <c r="A403" s="21" t="n">
        <v>402</v>
      </c>
      <c r="B403" s="18" t="s">
        <v>3639</v>
      </c>
      <c r="C403" s="23" t="n">
        <v>2</v>
      </c>
      <c r="D403" s="23" t="s">
        <v>116</v>
      </c>
      <c r="E403" s="23" t="n">
        <f aca="false">IF(C403=1,COUNTIFS($C$2:C403,1,$D$2:D403,D403),COUNTIFS($C$2:$C$799,1,$D$2:$D$799,D403)+COUNTIFS($C$2:C403,2,$D$2:D403,D403))</f>
        <v>429</v>
      </c>
      <c r="F403" s="23" t="str">
        <f aca="false">D403&amp;" #"&amp;TEXT(E403,"000")</f>
        <v>구약 #429</v>
      </c>
      <c r="G403" s="18" t="s">
        <v>3572</v>
      </c>
      <c r="H403" s="18" t="s">
        <v>3506</v>
      </c>
      <c r="I403" s="21" t="s">
        <v>3573</v>
      </c>
      <c r="J403" s="22" t="s">
        <v>3640</v>
      </c>
      <c r="K403" s="23" t="s">
        <v>1085</v>
      </c>
      <c r="L403" s="24" t="s">
        <v>3641</v>
      </c>
      <c r="M403" s="24" t="s">
        <v>3642</v>
      </c>
      <c r="N403" s="23" t="s">
        <v>3643</v>
      </c>
      <c r="O403" s="24" t="s">
        <v>3644</v>
      </c>
      <c r="P403" s="24" t="s">
        <v>3645</v>
      </c>
      <c r="Q403" s="24" t="s">
        <v>3646</v>
      </c>
      <c r="R403" s="24"/>
      <c r="S403" s="24" t="s">
        <v>3589</v>
      </c>
      <c r="T403" s="24" t="str">
        <f aca="false">"["&amp;안내!$C$5&amp;" "&amp;F403&amp;"] "&amp;L403&amp;" | "&amp;J403</f>
        <v>[1분 성경 구약 #429] 여호와를 경외하는 여자 | 잠 30:1-31:31</v>
      </c>
      <c r="U403" s="26" t="n">
        <f aca="false">IF(D403="구약",IF(C403=1,안내!$C$9,안내!$C$10)+AD403-1,IF(C403=1,안내!$C$9,안내!$C$10)+7*INT((AD403-1)/4)+CHOOSE(MOD(AD403-1,4)+1,0,2,4,5))</f>
        <v>46826</v>
      </c>
      <c r="V403" s="23" t="str">
        <f aca="false">CHOOSE(WEEKDAY(U403,2),"월","화","수","목","금","토","일")</f>
        <v>화</v>
      </c>
      <c r="W403" s="24" t="str">
        <f aca="false">IFERROR(IF(INDEX($C$2:$C$799,MATCH(D403&amp;"#"&amp;(E403+1),$AC$2:$AC$799,0))=C403,"다음 편: ","시즌1 완결 · 시즌2 첫 편: ")&amp;INDEX($L$2:$L$799,MATCH(D403&amp;"#"&amp;(E403+1),$AC$2:$AC$799,0)),"구약 트랙 완결")</f>
        <v>다음 편: 헛되고 헛되다</v>
      </c>
      <c r="X403" s="23" t="s">
        <v>130</v>
      </c>
      <c r="Y403" s="23" t="s">
        <v>130</v>
      </c>
      <c r="Z403" s="23" t="s">
        <v>130</v>
      </c>
      <c r="AA403" s="23" t="s">
        <v>130</v>
      </c>
      <c r="AB403" s="24"/>
      <c r="AC403" s="23" t="str">
        <f aca="false">D403&amp;"#"&amp;E403</f>
        <v>구약#429</v>
      </c>
      <c r="AD403" s="23" t="n">
        <f aca="false">COUNTIFS($C$2:C403,C403,$D$2:D403,D403)</f>
        <v>247</v>
      </c>
    </row>
    <row r="404" customFormat="false" ht="15" hidden="false" customHeight="false" outlineLevel="0" collapsed="false">
      <c r="A404" s="21" t="n">
        <v>403</v>
      </c>
      <c r="B404" s="18" t="s">
        <v>3647</v>
      </c>
      <c r="C404" s="23" t="n">
        <v>2</v>
      </c>
      <c r="D404" s="23" t="s">
        <v>116</v>
      </c>
      <c r="E404" s="23" t="n">
        <f aca="false">IF(C404=1,COUNTIFS($C$2:C404,1,$D$2:D404,D404),COUNTIFS($C$2:$C$799,1,$D$2:$D$799,D404)+COUNTIFS($C$2:C404,2,$D$2:D404,D404))</f>
        <v>430</v>
      </c>
      <c r="F404" s="23" t="str">
        <f aca="false">D404&amp;" #"&amp;TEXT(E404,"000")</f>
        <v>구약 #430</v>
      </c>
      <c r="G404" s="18" t="s">
        <v>3648</v>
      </c>
      <c r="H404" s="18" t="s">
        <v>3649</v>
      </c>
      <c r="I404" s="21" t="s">
        <v>3650</v>
      </c>
      <c r="J404" s="22" t="s">
        <v>3651</v>
      </c>
      <c r="K404" s="23" t="s">
        <v>1085</v>
      </c>
      <c r="L404" s="24" t="s">
        <v>3652</v>
      </c>
      <c r="M404" s="24" t="s">
        <v>3653</v>
      </c>
      <c r="N404" s="23" t="s">
        <v>3654</v>
      </c>
      <c r="O404" s="24" t="s">
        <v>3655</v>
      </c>
      <c r="P404" s="24" t="s">
        <v>3656</v>
      </c>
      <c r="Q404" s="24" t="s">
        <v>3657</v>
      </c>
      <c r="R404" s="24"/>
      <c r="S404" s="24" t="s">
        <v>3589</v>
      </c>
      <c r="T404" s="24" t="str">
        <f aca="false">"["&amp;안내!$C$5&amp;" "&amp;F404&amp;"] "&amp;L404&amp;" | "&amp;J404</f>
        <v>[1분 성경 구약 #430] 헛되고 헛되다 | 전 1:1-2:26</v>
      </c>
      <c r="U404" s="26" t="n">
        <f aca="false">IF(D404="구약",IF(C404=1,안내!$C$9,안내!$C$10)+AD404-1,IF(C404=1,안내!$C$9,안내!$C$10)+7*INT((AD404-1)/4)+CHOOSE(MOD(AD404-1,4)+1,0,2,4,5))</f>
        <v>46827</v>
      </c>
      <c r="V404" s="23" t="str">
        <f aca="false">CHOOSE(WEEKDAY(U404,2),"월","화","수","목","금","토","일")</f>
        <v>수</v>
      </c>
      <c r="W404" s="24" t="str">
        <f aca="false">IFERROR(IF(INDEX($C$2:$C$799,MATCH(D404&amp;"#"&amp;(E404+1),$AC$2:$AC$799,0))=C404,"다음 편: ","시즌1 완결 · 시즌2 첫 편: ")&amp;INDEX($L$2:$L$799,MATCH(D404&amp;"#"&amp;(E404+1),$AC$2:$AC$799,0)),"구약 트랙 완결")</f>
        <v>다음 편: 세 겹 줄</v>
      </c>
      <c r="X404" s="23" t="s">
        <v>130</v>
      </c>
      <c r="Y404" s="23" t="s">
        <v>130</v>
      </c>
      <c r="Z404" s="23" t="s">
        <v>130</v>
      </c>
      <c r="AA404" s="23" t="s">
        <v>130</v>
      </c>
      <c r="AB404" s="24"/>
      <c r="AC404" s="23" t="str">
        <f aca="false">D404&amp;"#"&amp;E404</f>
        <v>구약#430</v>
      </c>
      <c r="AD404" s="23" t="n">
        <f aca="false">COUNTIFS($C$2:C404,C404,$D$2:D404,D404)</f>
        <v>248</v>
      </c>
    </row>
    <row r="405" customFormat="false" ht="52.2" hidden="false" customHeight="false" outlineLevel="0" collapsed="false">
      <c r="A405" s="21" t="n">
        <v>404</v>
      </c>
      <c r="B405" s="18" t="s">
        <v>3658</v>
      </c>
      <c r="C405" s="20" t="n">
        <v>1</v>
      </c>
      <c r="D405" s="20" t="s">
        <v>116</v>
      </c>
      <c r="E405" s="20" t="n">
        <f aca="false">IF(C405=1,COUNTIFS($C$2:C405,1,$D$2:D405,D405),COUNTIFS($C$2:$C$799,1,$D$2:$D$799,D405)+COUNTIFS($C$2:C405,2,$D$2:D405,D405))</f>
        <v>156</v>
      </c>
      <c r="F405" s="20" t="str">
        <f aca="false">D405&amp;" #"&amp;TEXT(E405,"000")</f>
        <v>구약 #156</v>
      </c>
      <c r="G405" s="18" t="s">
        <v>3648</v>
      </c>
      <c r="H405" s="18" t="s">
        <v>3659</v>
      </c>
      <c r="I405" s="21" t="s">
        <v>3650</v>
      </c>
      <c r="J405" s="22" t="s">
        <v>3660</v>
      </c>
      <c r="K405" s="23" t="s">
        <v>1085</v>
      </c>
      <c r="L405" s="24" t="s">
        <v>3661</v>
      </c>
      <c r="M405" s="24" t="s">
        <v>3662</v>
      </c>
      <c r="N405" s="23" t="s">
        <v>3663</v>
      </c>
      <c r="O405" s="24" t="s">
        <v>3664</v>
      </c>
      <c r="P405" s="24" t="s">
        <v>3665</v>
      </c>
      <c r="Q405" s="24" t="s">
        <v>3666</v>
      </c>
      <c r="R405" s="24"/>
      <c r="S405" s="28" t="s">
        <v>3667</v>
      </c>
      <c r="T405" s="24" t="str">
        <f aca="false">"["&amp;안내!$C$5&amp;" "&amp;F405&amp;"] "&amp;L405&amp;" | "&amp;J405</f>
        <v>[1분 성경 구약 #156] 모든 것에 때가 있다 | 전 3:1-22</v>
      </c>
      <c r="U405" s="26" t="n">
        <f aca="false">IF(D405="구약",IF(C405=1,안내!$C$9,안내!$C$10)+AD405-1,IF(C405=1,안내!$C$9,안내!$C$10)+7*INT((AD405-1)/4)+CHOOSE(MOD(AD405-1,4)+1,0,2,4,5))</f>
        <v>46546</v>
      </c>
      <c r="V405" s="23" t="str">
        <f aca="false">CHOOSE(WEEKDAY(U405,2),"월","화","수","목","금","토","일")</f>
        <v>화</v>
      </c>
      <c r="W405" s="24" t="str">
        <f aca="false">IFERROR(IF(INDEX($C$2:$C$799,MATCH(D405&amp;"#"&amp;(E405+1),$AC$2:$AC$799,0))=C405,"다음 편: ","시즌1 완결 · 시즌2 첫 편: ")&amp;INDEX($L$2:$L$799,MATCH(D405&amp;"#"&amp;(E405+1),$AC$2:$AC$799,0)),"구약 트랙 완결")</f>
        <v>다음 편: 내가 여기 있나이다</v>
      </c>
      <c r="X405" s="23" t="s">
        <v>130</v>
      </c>
      <c r="Y405" s="23" t="s">
        <v>130</v>
      </c>
      <c r="Z405" s="23" t="s">
        <v>130</v>
      </c>
      <c r="AA405" s="23" t="s">
        <v>130</v>
      </c>
      <c r="AB405" s="24"/>
      <c r="AC405" s="23" t="str">
        <f aca="false">D405&amp;"#"&amp;E405</f>
        <v>구약#156</v>
      </c>
      <c r="AD405" s="23" t="n">
        <f aca="false">COUNTIFS($C$2:C405,C405,$D$2:D405,D405)</f>
        <v>156</v>
      </c>
    </row>
    <row r="406" customFormat="false" ht="26.85" hidden="false" customHeight="false" outlineLevel="0" collapsed="false">
      <c r="A406" s="21" t="n">
        <v>405</v>
      </c>
      <c r="B406" s="18" t="s">
        <v>3668</v>
      </c>
      <c r="C406" s="23" t="n">
        <v>2</v>
      </c>
      <c r="D406" s="23" t="s">
        <v>116</v>
      </c>
      <c r="E406" s="23" t="n">
        <f aca="false">IF(C406=1,COUNTIFS($C$2:C406,1,$D$2:D406,D406),COUNTIFS($C$2:$C$799,1,$D$2:$D$799,D406)+COUNTIFS($C$2:C406,2,$D$2:D406,D406))</f>
        <v>431</v>
      </c>
      <c r="F406" s="23" t="str">
        <f aca="false">D406&amp;" #"&amp;TEXT(E406,"000")</f>
        <v>구약 #431</v>
      </c>
      <c r="G406" s="18" t="s">
        <v>3648</v>
      </c>
      <c r="H406" s="18" t="s">
        <v>3649</v>
      </c>
      <c r="I406" s="21" t="s">
        <v>3650</v>
      </c>
      <c r="J406" s="22" t="s">
        <v>3669</v>
      </c>
      <c r="K406" s="23" t="s">
        <v>1085</v>
      </c>
      <c r="L406" s="24" t="s">
        <v>3670</v>
      </c>
      <c r="M406" s="24" t="s">
        <v>3671</v>
      </c>
      <c r="N406" s="23" t="s">
        <v>3672</v>
      </c>
      <c r="O406" s="24" t="s">
        <v>3673</v>
      </c>
      <c r="P406" s="24" t="s">
        <v>3665</v>
      </c>
      <c r="Q406" s="24" t="s">
        <v>3674</v>
      </c>
      <c r="R406" s="24"/>
      <c r="S406" s="24" t="s">
        <v>3675</v>
      </c>
      <c r="T406" s="24" t="str">
        <f aca="false">"["&amp;안내!$C$5&amp;" "&amp;F406&amp;"] "&amp;L406&amp;" | "&amp;J406</f>
        <v>[1분 성경 구약 #431] 세 겹 줄 | 전 4:1-6:12</v>
      </c>
      <c r="U406" s="26" t="n">
        <f aca="false">IF(D406="구약",IF(C406=1,안내!$C$9,안내!$C$10)+AD406-1,IF(C406=1,안내!$C$9,안내!$C$10)+7*INT((AD406-1)/4)+CHOOSE(MOD(AD406-1,4)+1,0,2,4,5))</f>
        <v>46828</v>
      </c>
      <c r="V406" s="23" t="str">
        <f aca="false">CHOOSE(WEEKDAY(U406,2),"월","화","수","목","금","토","일")</f>
        <v>목</v>
      </c>
      <c r="W406" s="24" t="str">
        <f aca="false">IFERROR(IF(INDEX($C$2:$C$799,MATCH(D406&amp;"#"&amp;(E406+1),$AC$2:$AC$799,0))=C406,"다음 편: ","시즌1 완결 · 시즌2 첫 편: ")&amp;INDEX($L$2:$L$799,MATCH(D406&amp;"#"&amp;(E406+1),$AC$2:$AC$799,0)),"구약 트랙 완결")</f>
        <v>다음 편: 형통한 날과 곤고한 날</v>
      </c>
      <c r="X406" s="23" t="s">
        <v>130</v>
      </c>
      <c r="Y406" s="23" t="s">
        <v>130</v>
      </c>
      <c r="Z406" s="23" t="s">
        <v>130</v>
      </c>
      <c r="AA406" s="23" t="s">
        <v>130</v>
      </c>
      <c r="AB406" s="24"/>
      <c r="AC406" s="23" t="str">
        <f aca="false">D406&amp;"#"&amp;E406</f>
        <v>구약#431</v>
      </c>
      <c r="AD406" s="23" t="n">
        <f aca="false">COUNTIFS($C$2:C406,C406,$D$2:D406,D406)</f>
        <v>249</v>
      </c>
    </row>
    <row r="407" customFormat="false" ht="26.85" hidden="false" customHeight="false" outlineLevel="0" collapsed="false">
      <c r="A407" s="21" t="n">
        <v>406</v>
      </c>
      <c r="B407" s="18" t="s">
        <v>3676</v>
      </c>
      <c r="C407" s="23" t="n">
        <v>2</v>
      </c>
      <c r="D407" s="23" t="s">
        <v>116</v>
      </c>
      <c r="E407" s="23" t="n">
        <f aca="false">IF(C407=1,COUNTIFS($C$2:C407,1,$D$2:D407,D407),COUNTIFS($C$2:$C$799,1,$D$2:$D$799,D407)+COUNTIFS($C$2:C407,2,$D$2:D407,D407))</f>
        <v>432</v>
      </c>
      <c r="F407" s="23" t="str">
        <f aca="false">D407&amp;" #"&amp;TEXT(E407,"000")</f>
        <v>구약 #432</v>
      </c>
      <c r="G407" s="18" t="s">
        <v>3648</v>
      </c>
      <c r="H407" s="18" t="s">
        <v>3649</v>
      </c>
      <c r="I407" s="21" t="s">
        <v>3650</v>
      </c>
      <c r="J407" s="22" t="s">
        <v>3677</v>
      </c>
      <c r="K407" s="23" t="s">
        <v>1085</v>
      </c>
      <c r="L407" s="24" t="s">
        <v>3678</v>
      </c>
      <c r="M407" s="24" t="s">
        <v>3679</v>
      </c>
      <c r="N407" s="23" t="s">
        <v>3680</v>
      </c>
      <c r="O407" s="24" t="s">
        <v>3681</v>
      </c>
      <c r="P407" s="24" t="s">
        <v>3665</v>
      </c>
      <c r="Q407" s="24" t="s">
        <v>3682</v>
      </c>
      <c r="R407" s="24"/>
      <c r="S407" s="24" t="s">
        <v>3675</v>
      </c>
      <c r="T407" s="24" t="str">
        <f aca="false">"["&amp;안내!$C$5&amp;" "&amp;F407&amp;"] "&amp;L407&amp;" | "&amp;J407</f>
        <v>[1분 성경 구약 #432] 형통한 날과 곤고한 날 | 전 7:1-11:6</v>
      </c>
      <c r="U407" s="26" t="n">
        <f aca="false">IF(D407="구약",IF(C407=1,안내!$C$9,안내!$C$10)+AD407-1,IF(C407=1,안내!$C$9,안내!$C$10)+7*INT((AD407-1)/4)+CHOOSE(MOD(AD407-1,4)+1,0,2,4,5))</f>
        <v>46829</v>
      </c>
      <c r="V407" s="23" t="str">
        <f aca="false">CHOOSE(WEEKDAY(U407,2),"월","화","수","목","금","토","일")</f>
        <v>금</v>
      </c>
      <c r="W407" s="24" t="str">
        <f aca="false">IFERROR(IF(INDEX($C$2:$C$799,MATCH(D407&amp;"#"&amp;(E407+1),$AC$2:$AC$799,0))=C407,"다음 편: ","시즌1 완결 · 시즌2 첫 편: ")&amp;INDEX($L$2:$L$799,MATCH(D407&amp;"#"&amp;(E407+1),$AC$2:$AC$799,0)),"구약 트랙 완결")</f>
        <v>다음 편: 청년의 때에</v>
      </c>
      <c r="X407" s="23" t="s">
        <v>130</v>
      </c>
      <c r="Y407" s="23" t="s">
        <v>130</v>
      </c>
      <c r="Z407" s="23" t="s">
        <v>130</v>
      </c>
      <c r="AA407" s="23" t="s">
        <v>130</v>
      </c>
      <c r="AB407" s="24"/>
      <c r="AC407" s="23" t="str">
        <f aca="false">D407&amp;"#"&amp;E407</f>
        <v>구약#432</v>
      </c>
      <c r="AD407" s="23" t="n">
        <f aca="false">COUNTIFS($C$2:C407,C407,$D$2:D407,D407)</f>
        <v>250</v>
      </c>
    </row>
    <row r="408" customFormat="false" ht="26.85" hidden="false" customHeight="false" outlineLevel="0" collapsed="false">
      <c r="A408" s="21" t="n">
        <v>407</v>
      </c>
      <c r="B408" s="18" t="s">
        <v>3683</v>
      </c>
      <c r="C408" s="23" t="n">
        <v>2</v>
      </c>
      <c r="D408" s="23" t="s">
        <v>116</v>
      </c>
      <c r="E408" s="23" t="n">
        <f aca="false">IF(C408=1,COUNTIFS($C$2:C408,1,$D$2:D408,D408),COUNTIFS($C$2:$C$799,1,$D$2:$D$799,D408)+COUNTIFS($C$2:C408,2,$D$2:D408,D408))</f>
        <v>433</v>
      </c>
      <c r="F408" s="23" t="str">
        <f aca="false">D408&amp;" #"&amp;TEXT(E408,"000")</f>
        <v>구약 #433</v>
      </c>
      <c r="G408" s="18" t="s">
        <v>3648</v>
      </c>
      <c r="H408" s="18" t="s">
        <v>3649</v>
      </c>
      <c r="I408" s="21" t="s">
        <v>3650</v>
      </c>
      <c r="J408" s="22" t="s">
        <v>3684</v>
      </c>
      <c r="K408" s="23" t="s">
        <v>1085</v>
      </c>
      <c r="L408" s="24" t="s">
        <v>3685</v>
      </c>
      <c r="M408" s="24" t="s">
        <v>3686</v>
      </c>
      <c r="N408" s="23" t="s">
        <v>3687</v>
      </c>
      <c r="O408" s="24" t="s">
        <v>3688</v>
      </c>
      <c r="P408" s="24" t="s">
        <v>3689</v>
      </c>
      <c r="Q408" s="24" t="s">
        <v>3690</v>
      </c>
      <c r="R408" s="24"/>
      <c r="S408" s="24" t="s">
        <v>3675</v>
      </c>
      <c r="T408" s="24" t="str">
        <f aca="false">"["&amp;안내!$C$5&amp;" "&amp;F408&amp;"] "&amp;L408&amp;" | "&amp;J408</f>
        <v>[1분 성경 구약 #433] 청년의 때에 | 전 11:7-12:14</v>
      </c>
      <c r="U408" s="26" t="n">
        <f aca="false">IF(D408="구약",IF(C408=1,안내!$C$9,안내!$C$10)+AD408-1,IF(C408=1,안내!$C$9,안내!$C$10)+7*INT((AD408-1)/4)+CHOOSE(MOD(AD408-1,4)+1,0,2,4,5))</f>
        <v>46830</v>
      </c>
      <c r="V408" s="23" t="str">
        <f aca="false">CHOOSE(WEEKDAY(U408,2),"월","화","수","목","금","토","일")</f>
        <v>토</v>
      </c>
      <c r="W408" s="24" t="str">
        <f aca="false">IFERROR(IF(INDEX($C$2:$C$799,MATCH(D408&amp;"#"&amp;(E408+1),$AC$2:$AC$799,0))=C408,"다음 편: ","시즌1 완결 · 시즌2 첫 편: ")&amp;INDEX($L$2:$L$799,MATCH(D408&amp;"#"&amp;(E408+1),$AC$2:$AC$799,0)),"구약 트랙 완결")</f>
        <v>다음 편: 사랑의 깃발</v>
      </c>
      <c r="X408" s="23" t="s">
        <v>130</v>
      </c>
      <c r="Y408" s="23" t="s">
        <v>130</v>
      </c>
      <c r="Z408" s="23" t="s">
        <v>130</v>
      </c>
      <c r="AA408" s="23" t="s">
        <v>130</v>
      </c>
      <c r="AB408" s="24"/>
      <c r="AC408" s="23" t="str">
        <f aca="false">D408&amp;"#"&amp;E408</f>
        <v>구약#433</v>
      </c>
      <c r="AD408" s="23" t="n">
        <f aca="false">COUNTIFS($C$2:C408,C408,$D$2:D408,D408)</f>
        <v>251</v>
      </c>
    </row>
    <row r="409" customFormat="false" ht="26.85" hidden="false" customHeight="false" outlineLevel="0" collapsed="false">
      <c r="A409" s="21" t="n">
        <v>408</v>
      </c>
      <c r="B409" s="18" t="s">
        <v>3691</v>
      </c>
      <c r="C409" s="23" t="n">
        <v>2</v>
      </c>
      <c r="D409" s="23" t="s">
        <v>116</v>
      </c>
      <c r="E409" s="23" t="n">
        <f aca="false">IF(C409=1,COUNTIFS($C$2:C409,1,$D$2:D409,D409),COUNTIFS($C$2:$C$799,1,$D$2:$D$799,D409)+COUNTIFS($C$2:C409,2,$D$2:D409,D409))</f>
        <v>434</v>
      </c>
      <c r="F409" s="23" t="str">
        <f aca="false">D409&amp;" #"&amp;TEXT(E409,"000")</f>
        <v>구약 #434</v>
      </c>
      <c r="G409" s="18" t="s">
        <v>3648</v>
      </c>
      <c r="H409" s="18" t="s">
        <v>3649</v>
      </c>
      <c r="I409" s="21" t="s">
        <v>3692</v>
      </c>
      <c r="J409" s="22" t="s">
        <v>3693</v>
      </c>
      <c r="K409" s="23" t="s">
        <v>1085</v>
      </c>
      <c r="L409" s="24" t="s">
        <v>3694</v>
      </c>
      <c r="M409" s="24" t="s">
        <v>3695</v>
      </c>
      <c r="N409" s="23" t="s">
        <v>3696</v>
      </c>
      <c r="O409" s="24" t="s">
        <v>3697</v>
      </c>
      <c r="P409" s="24" t="s">
        <v>3698</v>
      </c>
      <c r="Q409" s="24" t="s">
        <v>3699</v>
      </c>
      <c r="R409" s="25" t="s">
        <v>3700</v>
      </c>
      <c r="S409" s="24" t="s">
        <v>3675</v>
      </c>
      <c r="T409" s="24" t="str">
        <f aca="false">"["&amp;안내!$C$5&amp;" "&amp;F409&amp;"] "&amp;L409&amp;" | "&amp;J409</f>
        <v>[1분 성경 구약 #434] 사랑의 깃발 | 아 1:1-3:5</v>
      </c>
      <c r="U409" s="26" t="n">
        <f aca="false">IF(D409="구약",IF(C409=1,안내!$C$9,안내!$C$10)+AD409-1,IF(C409=1,안내!$C$9,안내!$C$10)+7*INT((AD409-1)/4)+CHOOSE(MOD(AD409-1,4)+1,0,2,4,5))</f>
        <v>46831</v>
      </c>
      <c r="V409" s="23" t="str">
        <f aca="false">CHOOSE(WEEKDAY(U409,2),"월","화","수","목","금","토","일")</f>
        <v>일</v>
      </c>
      <c r="W409" s="24" t="str">
        <f aca="false">IFERROR(IF(INDEX($C$2:$C$799,MATCH(D409&amp;"#"&amp;(E409+1),$AC$2:$AC$799,0))=C409,"다음 편: ","시즌1 완결 · 시즌2 첫 편: ")&amp;INDEX($L$2:$L$799,MATCH(D409&amp;"#"&amp;(E409+1),$AC$2:$AC$799,0)),"구약 트랙 완결")</f>
        <v>다음 편: 혼인날</v>
      </c>
      <c r="X409" s="23" t="s">
        <v>130</v>
      </c>
      <c r="Y409" s="23" t="s">
        <v>130</v>
      </c>
      <c r="Z409" s="23" t="s">
        <v>130</v>
      </c>
      <c r="AA409" s="23" t="s">
        <v>130</v>
      </c>
      <c r="AB409" s="24"/>
      <c r="AC409" s="23" t="str">
        <f aca="false">D409&amp;"#"&amp;E409</f>
        <v>구약#434</v>
      </c>
      <c r="AD409" s="23" t="n">
        <f aca="false">COUNTIFS($C$2:C409,C409,$D$2:D409,D409)</f>
        <v>252</v>
      </c>
    </row>
    <row r="410" customFormat="false" ht="26.85" hidden="false" customHeight="false" outlineLevel="0" collapsed="false">
      <c r="A410" s="21" t="n">
        <v>409</v>
      </c>
      <c r="B410" s="18" t="s">
        <v>3701</v>
      </c>
      <c r="C410" s="23" t="n">
        <v>2</v>
      </c>
      <c r="D410" s="23" t="s">
        <v>116</v>
      </c>
      <c r="E410" s="23" t="n">
        <f aca="false">IF(C410=1,COUNTIFS($C$2:C410,1,$D$2:D410,D410),COUNTIFS($C$2:$C$799,1,$D$2:$D$799,D410)+COUNTIFS($C$2:C410,2,$D$2:D410,D410))</f>
        <v>435</v>
      </c>
      <c r="F410" s="23" t="str">
        <f aca="false">D410&amp;" #"&amp;TEXT(E410,"000")</f>
        <v>구약 #435</v>
      </c>
      <c r="G410" s="18" t="s">
        <v>3648</v>
      </c>
      <c r="H410" s="18" t="s">
        <v>3649</v>
      </c>
      <c r="I410" s="21" t="s">
        <v>3692</v>
      </c>
      <c r="J410" s="22" t="s">
        <v>3702</v>
      </c>
      <c r="K410" s="23" t="s">
        <v>1085</v>
      </c>
      <c r="L410" s="24" t="s">
        <v>3703</v>
      </c>
      <c r="M410" s="24" t="s">
        <v>3704</v>
      </c>
      <c r="N410" s="23" t="s">
        <v>3705</v>
      </c>
      <c r="O410" s="24" t="s">
        <v>3706</v>
      </c>
      <c r="P410" s="24" t="s">
        <v>3698</v>
      </c>
      <c r="Q410" s="24" t="s">
        <v>3707</v>
      </c>
      <c r="R410" s="25" t="s">
        <v>3708</v>
      </c>
      <c r="S410" s="24" t="s">
        <v>3675</v>
      </c>
      <c r="T410" s="24" t="str">
        <f aca="false">"["&amp;안내!$C$5&amp;" "&amp;F410&amp;"] "&amp;L410&amp;" | "&amp;J410</f>
        <v>[1분 성경 구약 #435] 혼인날 | 아 3:6-5:1</v>
      </c>
      <c r="U410" s="26" t="n">
        <f aca="false">IF(D410="구약",IF(C410=1,안내!$C$9,안내!$C$10)+AD410-1,IF(C410=1,안내!$C$9,안내!$C$10)+7*INT((AD410-1)/4)+CHOOSE(MOD(AD410-1,4)+1,0,2,4,5))</f>
        <v>46832</v>
      </c>
      <c r="V410" s="23" t="str">
        <f aca="false">CHOOSE(WEEKDAY(U410,2),"월","화","수","목","금","토","일")</f>
        <v>월</v>
      </c>
      <c r="W410" s="24" t="str">
        <f aca="false">IFERROR(IF(INDEX($C$2:$C$799,MATCH(D410&amp;"#"&amp;(E410+1),$AC$2:$AC$799,0))=C410,"다음 편: ","시즌1 완결 · 시즌2 첫 편: ")&amp;INDEX($L$2:$L$799,MATCH(D410&amp;"#"&amp;(E410+1),$AC$2:$AC$799,0)),"구약 트랙 완결")</f>
        <v>다음 편: 사랑은 죽음같이 강하다</v>
      </c>
      <c r="X410" s="23" t="s">
        <v>130</v>
      </c>
      <c r="Y410" s="23" t="s">
        <v>130</v>
      </c>
      <c r="Z410" s="23" t="s">
        <v>130</v>
      </c>
      <c r="AA410" s="23" t="s">
        <v>130</v>
      </c>
      <c r="AB410" s="24"/>
      <c r="AC410" s="23" t="str">
        <f aca="false">D410&amp;"#"&amp;E410</f>
        <v>구약#435</v>
      </c>
      <c r="AD410" s="23" t="n">
        <f aca="false">COUNTIFS($C$2:C410,C410,$D$2:D410,D410)</f>
        <v>253</v>
      </c>
    </row>
    <row r="411" customFormat="false" ht="26.85" hidden="false" customHeight="false" outlineLevel="0" collapsed="false">
      <c r="A411" s="21" t="n">
        <v>410</v>
      </c>
      <c r="B411" s="18" t="s">
        <v>3709</v>
      </c>
      <c r="C411" s="23" t="n">
        <v>2</v>
      </c>
      <c r="D411" s="23" t="s">
        <v>116</v>
      </c>
      <c r="E411" s="23" t="n">
        <f aca="false">IF(C411=1,COUNTIFS($C$2:C411,1,$D$2:D411,D411),COUNTIFS($C$2:$C$799,1,$D$2:$D$799,D411)+COUNTIFS($C$2:C411,2,$D$2:D411,D411))</f>
        <v>436</v>
      </c>
      <c r="F411" s="23" t="str">
        <f aca="false">D411&amp;" #"&amp;TEXT(E411,"000")</f>
        <v>구약 #436</v>
      </c>
      <c r="G411" s="18" t="s">
        <v>3648</v>
      </c>
      <c r="H411" s="18" t="s">
        <v>3649</v>
      </c>
      <c r="I411" s="21" t="s">
        <v>3692</v>
      </c>
      <c r="J411" s="22" t="s">
        <v>3710</v>
      </c>
      <c r="K411" s="23" t="s">
        <v>1085</v>
      </c>
      <c r="L411" s="24" t="s">
        <v>3711</v>
      </c>
      <c r="M411" s="24" t="s">
        <v>3712</v>
      </c>
      <c r="N411" s="23" t="s">
        <v>3713</v>
      </c>
      <c r="O411" s="24" t="s">
        <v>3714</v>
      </c>
      <c r="P411" s="24" t="s">
        <v>3698</v>
      </c>
      <c r="Q411" s="24" t="s">
        <v>3715</v>
      </c>
      <c r="R411" s="25" t="s">
        <v>3716</v>
      </c>
      <c r="S411" s="24" t="s">
        <v>3675</v>
      </c>
      <c r="T411" s="24" t="str">
        <f aca="false">"["&amp;안내!$C$5&amp;" "&amp;F411&amp;"] "&amp;L411&amp;" | "&amp;J411</f>
        <v>[1분 성경 구약 #436] 사랑은 죽음같이 강하다 | 아 5:2-8:14</v>
      </c>
      <c r="U411" s="26" t="n">
        <f aca="false">IF(D411="구약",IF(C411=1,안내!$C$9,안내!$C$10)+AD411-1,IF(C411=1,안내!$C$9,안내!$C$10)+7*INT((AD411-1)/4)+CHOOSE(MOD(AD411-1,4)+1,0,2,4,5))</f>
        <v>46833</v>
      </c>
      <c r="V411" s="23" t="str">
        <f aca="false">CHOOSE(WEEKDAY(U411,2),"월","화","수","목","금","토","일")</f>
        <v>화</v>
      </c>
      <c r="W411" s="24" t="str">
        <f aca="false">IFERROR(IF(INDEX($C$2:$C$799,MATCH(D411&amp;"#"&amp;(E411+1),$AC$2:$AC$799,0))=C411,"다음 편: ","시즌1 완결 · 시즌2 첫 편: ")&amp;INDEX($L$2:$L$799,MATCH(D411&amp;"#"&amp;(E411+1),$AC$2:$AC$799,0)),"구약 트랙 완결")</f>
        <v>다음 편: 주홍 같은 죄도</v>
      </c>
      <c r="X411" s="23" t="s">
        <v>130</v>
      </c>
      <c r="Y411" s="23" t="s">
        <v>130</v>
      </c>
      <c r="Z411" s="23" t="s">
        <v>130</v>
      </c>
      <c r="AA411" s="23" t="s">
        <v>130</v>
      </c>
      <c r="AB411" s="24"/>
      <c r="AC411" s="23" t="str">
        <f aca="false">D411&amp;"#"&amp;E411</f>
        <v>구약#436</v>
      </c>
      <c r="AD411" s="23" t="n">
        <f aca="false">COUNTIFS($C$2:C411,C411,$D$2:D411,D411)</f>
        <v>254</v>
      </c>
    </row>
    <row r="412" customFormat="false" ht="26.85" hidden="false" customHeight="false" outlineLevel="0" collapsed="false">
      <c r="A412" s="21" t="n">
        <v>411</v>
      </c>
      <c r="B412" s="18" t="s">
        <v>3717</v>
      </c>
      <c r="C412" s="23" t="n">
        <v>2</v>
      </c>
      <c r="D412" s="23" t="s">
        <v>116</v>
      </c>
      <c r="E412" s="23" t="n">
        <f aca="false">IF(C412=1,COUNTIFS($C$2:C412,1,$D$2:D412,D412),COUNTIFS($C$2:$C$799,1,$D$2:$D$799,D412)+COUNTIFS($C$2:C412,2,$D$2:D412,D412))</f>
        <v>437</v>
      </c>
      <c r="F412" s="23" t="str">
        <f aca="false">D412&amp;" #"&amp;TEXT(E412,"000")</f>
        <v>구약 #437</v>
      </c>
      <c r="G412" s="18" t="s">
        <v>3718</v>
      </c>
      <c r="H412" s="18" t="s">
        <v>3719</v>
      </c>
      <c r="I412" s="21" t="s">
        <v>3720</v>
      </c>
      <c r="J412" s="22" t="s">
        <v>3721</v>
      </c>
      <c r="K412" s="23" t="s">
        <v>1085</v>
      </c>
      <c r="L412" s="24" t="s">
        <v>3722</v>
      </c>
      <c r="M412" s="24" t="s">
        <v>3723</v>
      </c>
      <c r="N412" s="23" t="s">
        <v>3724</v>
      </c>
      <c r="O412" s="24" t="s">
        <v>3725</v>
      </c>
      <c r="P412" s="24" t="s">
        <v>3726</v>
      </c>
      <c r="Q412" s="24" t="s">
        <v>3727</v>
      </c>
      <c r="R412" s="24"/>
      <c r="S412" s="24" t="s">
        <v>3675</v>
      </c>
      <c r="T412" s="24" t="str">
        <f aca="false">"["&amp;안내!$C$5&amp;" "&amp;F412&amp;"] "&amp;L412&amp;" | "&amp;J412</f>
        <v>[1분 성경 구약 #437] 주홍 같은 죄도 | 사 1:1-31</v>
      </c>
      <c r="U412" s="26" t="n">
        <f aca="false">IF(D412="구약",IF(C412=1,안내!$C$9,안내!$C$10)+AD412-1,IF(C412=1,안내!$C$9,안내!$C$10)+7*INT((AD412-1)/4)+CHOOSE(MOD(AD412-1,4)+1,0,2,4,5))</f>
        <v>46834</v>
      </c>
      <c r="V412" s="23" t="str">
        <f aca="false">CHOOSE(WEEKDAY(U412,2),"월","화","수","목","금","토","일")</f>
        <v>수</v>
      </c>
      <c r="W412" s="24" t="str">
        <f aca="false">IFERROR(IF(INDEX($C$2:$C$799,MATCH(D412&amp;"#"&amp;(E412+1),$AC$2:$AC$799,0))=C412,"다음 편: ","시즌1 완결 · 시즌2 첫 편: ")&amp;INDEX($L$2:$L$799,MATCH(D412&amp;"#"&amp;(E412+1),$AC$2:$AC$799,0)),"구약 트랙 완결")</f>
        <v>다음 편: 칼을 쳐서 보습으로</v>
      </c>
      <c r="X412" s="23" t="s">
        <v>130</v>
      </c>
      <c r="Y412" s="23" t="s">
        <v>130</v>
      </c>
      <c r="Z412" s="23" t="s">
        <v>130</v>
      </c>
      <c r="AA412" s="23" t="s">
        <v>130</v>
      </c>
      <c r="AB412" s="24"/>
      <c r="AC412" s="23" t="str">
        <f aca="false">D412&amp;"#"&amp;E412</f>
        <v>구약#437</v>
      </c>
      <c r="AD412" s="23" t="n">
        <f aca="false">COUNTIFS($C$2:C412,C412,$D$2:D412,D412)</f>
        <v>255</v>
      </c>
    </row>
    <row r="413" customFormat="false" ht="26.85" hidden="false" customHeight="false" outlineLevel="0" collapsed="false">
      <c r="A413" s="21" t="n">
        <v>412</v>
      </c>
      <c r="B413" s="18" t="s">
        <v>3728</v>
      </c>
      <c r="C413" s="23" t="n">
        <v>2</v>
      </c>
      <c r="D413" s="23" t="s">
        <v>116</v>
      </c>
      <c r="E413" s="23" t="n">
        <f aca="false">IF(C413=1,COUNTIFS($C$2:C413,1,$D$2:D413,D413),COUNTIFS($C$2:$C$799,1,$D$2:$D$799,D413)+COUNTIFS($C$2:C413,2,$D$2:D413,D413))</f>
        <v>438</v>
      </c>
      <c r="F413" s="23" t="str">
        <f aca="false">D413&amp;" #"&amp;TEXT(E413,"000")</f>
        <v>구약 #438</v>
      </c>
      <c r="G413" s="18" t="s">
        <v>3718</v>
      </c>
      <c r="H413" s="18" t="s">
        <v>3719</v>
      </c>
      <c r="I413" s="21" t="s">
        <v>3720</v>
      </c>
      <c r="J413" s="22" t="s">
        <v>3729</v>
      </c>
      <c r="K413" s="23" t="s">
        <v>1085</v>
      </c>
      <c r="L413" s="24" t="s">
        <v>3730</v>
      </c>
      <c r="M413" s="24" t="s">
        <v>3731</v>
      </c>
      <c r="N413" s="23" t="s">
        <v>3732</v>
      </c>
      <c r="O413" s="24" t="s">
        <v>3733</v>
      </c>
      <c r="P413" s="24" t="s">
        <v>3734</v>
      </c>
      <c r="Q413" s="24" t="s">
        <v>3735</v>
      </c>
      <c r="R413" s="24"/>
      <c r="S413" s="24" t="s">
        <v>3675</v>
      </c>
      <c r="T413" s="24" t="str">
        <f aca="false">"["&amp;안내!$C$5&amp;" "&amp;F413&amp;"] "&amp;L413&amp;" | "&amp;J413</f>
        <v>[1분 성경 구약 #438] 칼을 쳐서 보습으로 | 사 2:1-5:30</v>
      </c>
      <c r="U413" s="26" t="n">
        <f aca="false">IF(D413="구약",IF(C413=1,안내!$C$9,안내!$C$10)+AD413-1,IF(C413=1,안내!$C$9,안내!$C$10)+7*INT((AD413-1)/4)+CHOOSE(MOD(AD413-1,4)+1,0,2,4,5))</f>
        <v>46835</v>
      </c>
      <c r="V413" s="23" t="str">
        <f aca="false">CHOOSE(WEEKDAY(U413,2),"월","화","수","목","금","토","일")</f>
        <v>목</v>
      </c>
      <c r="W413" s="24" t="str">
        <f aca="false">IFERROR(IF(INDEX($C$2:$C$799,MATCH(D413&amp;"#"&amp;(E413+1),$AC$2:$AC$799,0))=C413,"다음 편: ","시즌1 완결 · 시즌2 첫 편: ")&amp;INDEX($L$2:$L$799,MATCH(D413&amp;"#"&amp;(E413+1),$AC$2:$AC$799,0)),"구약 트랙 완결")</f>
        <v>다음 편: 하나님의 몽둥이</v>
      </c>
      <c r="X413" s="23" t="s">
        <v>130</v>
      </c>
      <c r="Y413" s="23" t="s">
        <v>130</v>
      </c>
      <c r="Z413" s="23" t="s">
        <v>130</v>
      </c>
      <c r="AA413" s="23" t="s">
        <v>130</v>
      </c>
      <c r="AB413" s="24"/>
      <c r="AC413" s="23" t="str">
        <f aca="false">D413&amp;"#"&amp;E413</f>
        <v>구약#438</v>
      </c>
      <c r="AD413" s="23" t="n">
        <f aca="false">COUNTIFS($C$2:C413,C413,$D$2:D413,D413)</f>
        <v>256</v>
      </c>
    </row>
    <row r="414" customFormat="false" ht="52.2" hidden="false" customHeight="false" outlineLevel="0" collapsed="false">
      <c r="A414" s="21" t="n">
        <v>413</v>
      </c>
      <c r="B414" s="18" t="s">
        <v>3736</v>
      </c>
      <c r="C414" s="20" t="n">
        <v>1</v>
      </c>
      <c r="D414" s="20" t="s">
        <v>116</v>
      </c>
      <c r="E414" s="20" t="n">
        <f aca="false">IF(C414=1,COUNTIFS($C$2:C414,1,$D$2:D414,D414),COUNTIFS($C$2:$C$799,1,$D$2:$D$799,D414)+COUNTIFS($C$2:C414,2,$D$2:D414,D414))</f>
        <v>157</v>
      </c>
      <c r="F414" s="20" t="str">
        <f aca="false">D414&amp;" #"&amp;TEXT(E414,"000")</f>
        <v>구약 #157</v>
      </c>
      <c r="G414" s="18" t="s">
        <v>3718</v>
      </c>
      <c r="H414" s="18" t="s">
        <v>3659</v>
      </c>
      <c r="I414" s="21" t="s">
        <v>3720</v>
      </c>
      <c r="J414" s="22" t="s">
        <v>3737</v>
      </c>
      <c r="K414" s="23" t="s">
        <v>1085</v>
      </c>
      <c r="L414" s="24" t="s">
        <v>3738</v>
      </c>
      <c r="M414" s="24" t="s">
        <v>3739</v>
      </c>
      <c r="N414" s="23" t="s">
        <v>3740</v>
      </c>
      <c r="O414" s="24" t="s">
        <v>3741</v>
      </c>
      <c r="P414" s="24" t="s">
        <v>3742</v>
      </c>
      <c r="Q414" s="24" t="s">
        <v>3743</v>
      </c>
      <c r="R414" s="25" t="s">
        <v>3744</v>
      </c>
      <c r="S414" s="28" t="s">
        <v>3745</v>
      </c>
      <c r="T414" s="24" t="str">
        <f aca="false">"["&amp;안내!$C$5&amp;" "&amp;F414&amp;"] "&amp;L414&amp;" | "&amp;J414</f>
        <v>[1분 성경 구약 #157] 내가 여기 있나이다 | 사 6:1-13</v>
      </c>
      <c r="U414" s="26" t="n">
        <f aca="false">IF(D414="구약",IF(C414=1,안내!$C$9,안내!$C$10)+AD414-1,IF(C414=1,안내!$C$9,안내!$C$10)+7*INT((AD414-1)/4)+CHOOSE(MOD(AD414-1,4)+1,0,2,4,5))</f>
        <v>46547</v>
      </c>
      <c r="V414" s="23" t="str">
        <f aca="false">CHOOSE(WEEKDAY(U414,2),"월","화","수","목","금","토","일")</f>
        <v>수</v>
      </c>
      <c r="W414" s="24" t="str">
        <f aca="false">IFERROR(IF(INDEX($C$2:$C$799,MATCH(D414&amp;"#"&amp;(E414+1),$AC$2:$AC$799,0))=C414,"다음 편: ","시즌1 완결 · 시즌2 첫 편: ")&amp;INDEX($L$2:$L$799,MATCH(D414&amp;"#"&amp;(E414+1),$AC$2:$AC$799,0)),"구약 트랙 완결")</f>
        <v>다음 편: 임마누엘의 징조</v>
      </c>
      <c r="X414" s="23" t="s">
        <v>130</v>
      </c>
      <c r="Y414" s="23" t="s">
        <v>130</v>
      </c>
      <c r="Z414" s="23" t="s">
        <v>130</v>
      </c>
      <c r="AA414" s="23" t="s">
        <v>130</v>
      </c>
      <c r="AB414" s="24"/>
      <c r="AC414" s="23" t="str">
        <f aca="false">D414&amp;"#"&amp;E414</f>
        <v>구약#157</v>
      </c>
      <c r="AD414" s="23" t="n">
        <f aca="false">COUNTIFS($C$2:C414,C414,$D$2:D414,D414)</f>
        <v>157</v>
      </c>
    </row>
    <row r="415" customFormat="false" ht="15" hidden="false" customHeight="false" outlineLevel="0" collapsed="false">
      <c r="A415" s="21" t="n">
        <v>414</v>
      </c>
      <c r="B415" s="18" t="s">
        <v>3746</v>
      </c>
      <c r="C415" s="20" t="n">
        <v>1</v>
      </c>
      <c r="D415" s="20" t="s">
        <v>116</v>
      </c>
      <c r="E415" s="20" t="n">
        <f aca="false">IF(C415=1,COUNTIFS($C$2:C415,1,$D$2:D415,D415),COUNTIFS($C$2:$C$799,1,$D$2:$D$799,D415)+COUNTIFS($C$2:C415,2,$D$2:D415,D415))</f>
        <v>158</v>
      </c>
      <c r="F415" s="20" t="str">
        <f aca="false">D415&amp;" #"&amp;TEXT(E415,"000")</f>
        <v>구약 #158</v>
      </c>
      <c r="G415" s="18" t="s">
        <v>3718</v>
      </c>
      <c r="H415" s="18" t="s">
        <v>3659</v>
      </c>
      <c r="I415" s="21" t="s">
        <v>3720</v>
      </c>
      <c r="J415" s="22" t="s">
        <v>3747</v>
      </c>
      <c r="K415" s="23" t="s">
        <v>1085</v>
      </c>
      <c r="L415" s="24" t="s">
        <v>3748</v>
      </c>
      <c r="M415" s="24" t="s">
        <v>3749</v>
      </c>
      <c r="N415" s="23" t="s">
        <v>3750</v>
      </c>
      <c r="O415" s="24" t="s">
        <v>3751</v>
      </c>
      <c r="P415" s="24" t="s">
        <v>3752</v>
      </c>
      <c r="Q415" s="24" t="s">
        <v>3753</v>
      </c>
      <c r="R415" s="25" t="s">
        <v>3754</v>
      </c>
      <c r="S415" s="24" t="s">
        <v>129</v>
      </c>
      <c r="T415" s="24" t="str">
        <f aca="false">"["&amp;안내!$C$5&amp;" "&amp;F415&amp;"] "&amp;L415&amp;" | "&amp;J415</f>
        <v>[1분 성경 구약 #158] 임마누엘의 징조 | 사 7:1-25</v>
      </c>
      <c r="U415" s="26" t="n">
        <f aca="false">IF(D415="구약",IF(C415=1,안내!$C$9,안내!$C$10)+AD415-1,IF(C415=1,안내!$C$9,안내!$C$10)+7*INT((AD415-1)/4)+CHOOSE(MOD(AD415-1,4)+1,0,2,4,5))</f>
        <v>46548</v>
      </c>
      <c r="V415" s="23" t="str">
        <f aca="false">CHOOSE(WEEKDAY(U415,2),"월","화","수","목","금","토","일")</f>
        <v>목</v>
      </c>
      <c r="W415" s="24" t="str">
        <f aca="false">IFERROR(IF(INDEX($C$2:$C$799,MATCH(D415&amp;"#"&amp;(E415+1),$AC$2:$AC$799,0))=C415,"다음 편: ","시즌1 완결 · 시즌2 첫 편: ")&amp;INDEX($L$2:$L$799,MATCH(D415&amp;"#"&amp;(E415+1),$AC$2:$AC$799,0)),"구약 트랙 완결")</f>
        <v>다음 편: 한 아기가 우리에게</v>
      </c>
      <c r="X415" s="23" t="s">
        <v>130</v>
      </c>
      <c r="Y415" s="23" t="s">
        <v>130</v>
      </c>
      <c r="Z415" s="23" t="s">
        <v>130</v>
      </c>
      <c r="AA415" s="23" t="s">
        <v>130</v>
      </c>
      <c r="AB415" s="24"/>
      <c r="AC415" s="23" t="str">
        <f aca="false">D415&amp;"#"&amp;E415</f>
        <v>구약#158</v>
      </c>
      <c r="AD415" s="23" t="n">
        <f aca="false">COUNTIFS($C$2:C415,C415,$D$2:D415,D415)</f>
        <v>158</v>
      </c>
    </row>
    <row r="416" customFormat="false" ht="25.35" hidden="false" customHeight="false" outlineLevel="0" collapsed="false">
      <c r="A416" s="21" t="n">
        <v>415</v>
      </c>
      <c r="B416" s="18" t="s">
        <v>3755</v>
      </c>
      <c r="C416" s="20" t="n">
        <v>1</v>
      </c>
      <c r="D416" s="20" t="s">
        <v>116</v>
      </c>
      <c r="E416" s="20" t="n">
        <f aca="false">IF(C416=1,COUNTIFS($C$2:C416,1,$D$2:D416,D416),COUNTIFS($C$2:$C$799,1,$D$2:$D$799,D416)+COUNTIFS($C$2:C416,2,$D$2:D416,D416))</f>
        <v>159</v>
      </c>
      <c r="F416" s="20" t="str">
        <f aca="false">D416&amp;" #"&amp;TEXT(E416,"000")</f>
        <v>구약 #159</v>
      </c>
      <c r="G416" s="18" t="s">
        <v>3718</v>
      </c>
      <c r="H416" s="18" t="s">
        <v>3659</v>
      </c>
      <c r="I416" s="21" t="s">
        <v>3720</v>
      </c>
      <c r="J416" s="22" t="s">
        <v>3756</v>
      </c>
      <c r="K416" s="23" t="s">
        <v>1085</v>
      </c>
      <c r="L416" s="24" t="s">
        <v>3757</v>
      </c>
      <c r="M416" s="24" t="s">
        <v>3758</v>
      </c>
      <c r="N416" s="23" t="s">
        <v>3759</v>
      </c>
      <c r="O416" s="24" t="s">
        <v>3760</v>
      </c>
      <c r="P416" s="24" t="s">
        <v>3720</v>
      </c>
      <c r="Q416" s="24" t="s">
        <v>3761</v>
      </c>
      <c r="R416" s="25" t="s">
        <v>3762</v>
      </c>
      <c r="S416" s="24" t="s">
        <v>129</v>
      </c>
      <c r="T416" s="24" t="str">
        <f aca="false">"["&amp;안내!$C$5&amp;" "&amp;F416&amp;"] "&amp;L416&amp;" | "&amp;J416</f>
        <v>[1분 성경 구약 #159] 한 아기가 우리에게 | 사 8:1-9:7</v>
      </c>
      <c r="U416" s="26" t="n">
        <f aca="false">IF(D416="구약",IF(C416=1,안내!$C$9,안내!$C$10)+AD416-1,IF(C416=1,안내!$C$9,안내!$C$10)+7*INT((AD416-1)/4)+CHOOSE(MOD(AD416-1,4)+1,0,2,4,5))</f>
        <v>46549</v>
      </c>
      <c r="V416" s="23" t="str">
        <f aca="false">CHOOSE(WEEKDAY(U416,2),"월","화","수","목","금","토","일")</f>
        <v>금</v>
      </c>
      <c r="W416" s="24" t="str">
        <f aca="false">IFERROR(IF(INDEX($C$2:$C$799,MATCH(D416&amp;"#"&amp;(E416+1),$AC$2:$AC$799,0))=C416,"다음 편: ","시즌1 완결 · 시즌2 첫 편: ")&amp;INDEX($L$2:$L$799,MATCH(D416&amp;"#"&amp;(E416+1),$AC$2:$AC$799,0)),"구약 트랙 완결")</f>
        <v>다음 편: 독수리 날개 치며</v>
      </c>
      <c r="X416" s="23" t="s">
        <v>130</v>
      </c>
      <c r="Y416" s="23" t="s">
        <v>130</v>
      </c>
      <c r="Z416" s="23" t="s">
        <v>130</v>
      </c>
      <c r="AA416" s="23" t="s">
        <v>130</v>
      </c>
      <c r="AB416" s="24"/>
      <c r="AC416" s="23" t="str">
        <f aca="false">D416&amp;"#"&amp;E416</f>
        <v>구약#159</v>
      </c>
      <c r="AD416" s="23" t="n">
        <f aca="false">COUNTIFS($C$2:C416,C416,$D$2:D416,D416)</f>
        <v>159</v>
      </c>
    </row>
    <row r="417" customFormat="false" ht="26.85" hidden="false" customHeight="false" outlineLevel="0" collapsed="false">
      <c r="A417" s="21" t="n">
        <v>416</v>
      </c>
      <c r="B417" s="18" t="s">
        <v>3763</v>
      </c>
      <c r="C417" s="23" t="n">
        <v>2</v>
      </c>
      <c r="D417" s="23" t="s">
        <v>116</v>
      </c>
      <c r="E417" s="23" t="n">
        <f aca="false">IF(C417=1,COUNTIFS($C$2:C417,1,$D$2:D417,D417),COUNTIFS($C$2:$C$799,1,$D$2:$D$799,D417)+COUNTIFS($C$2:C417,2,$D$2:D417,D417))</f>
        <v>439</v>
      </c>
      <c r="F417" s="23" t="str">
        <f aca="false">D417&amp;" #"&amp;TEXT(E417,"000")</f>
        <v>구약 #439</v>
      </c>
      <c r="G417" s="18" t="s">
        <v>3718</v>
      </c>
      <c r="H417" s="18" t="s">
        <v>3719</v>
      </c>
      <c r="I417" s="21" t="s">
        <v>3720</v>
      </c>
      <c r="J417" s="22" t="s">
        <v>3764</v>
      </c>
      <c r="K417" s="23" t="s">
        <v>1085</v>
      </c>
      <c r="L417" s="24" t="s">
        <v>3765</v>
      </c>
      <c r="M417" s="24" t="s">
        <v>3766</v>
      </c>
      <c r="N417" s="23" t="s">
        <v>3767</v>
      </c>
      <c r="O417" s="24" t="s">
        <v>3768</v>
      </c>
      <c r="P417" s="24" t="s">
        <v>3769</v>
      </c>
      <c r="Q417" s="24" t="s">
        <v>3770</v>
      </c>
      <c r="R417" s="24"/>
      <c r="S417" s="24" t="s">
        <v>3771</v>
      </c>
      <c r="T417" s="24" t="str">
        <f aca="false">"["&amp;안내!$C$5&amp;" "&amp;F417&amp;"] "&amp;L417&amp;" | "&amp;J417</f>
        <v>[1분 성경 구약 #439] 하나님의 몽둥이 | 사 9:8-10:34</v>
      </c>
      <c r="U417" s="26" t="n">
        <f aca="false">IF(D417="구약",IF(C417=1,안내!$C$9,안내!$C$10)+AD417-1,IF(C417=1,안내!$C$9,안내!$C$10)+7*INT((AD417-1)/4)+CHOOSE(MOD(AD417-1,4)+1,0,2,4,5))</f>
        <v>46836</v>
      </c>
      <c r="V417" s="23" t="str">
        <f aca="false">CHOOSE(WEEKDAY(U417,2),"월","화","수","목","금","토","일")</f>
        <v>금</v>
      </c>
      <c r="W417" s="24" t="str">
        <f aca="false">IFERROR(IF(INDEX($C$2:$C$799,MATCH(D417&amp;"#"&amp;(E417+1),$AC$2:$AC$799,0))=C417,"다음 편: ","시즌1 완결 · 시즌2 첫 편: ")&amp;INDEX($L$2:$L$799,MATCH(D417&amp;"#"&amp;(E417+1),$AC$2:$AC$799,0)),"구약 트랙 완결")</f>
        <v>다음 편: 이새의 줄기</v>
      </c>
      <c r="X417" s="23" t="s">
        <v>130</v>
      </c>
      <c r="Y417" s="23" t="s">
        <v>130</v>
      </c>
      <c r="Z417" s="23" t="s">
        <v>130</v>
      </c>
      <c r="AA417" s="23" t="s">
        <v>130</v>
      </c>
      <c r="AB417" s="24"/>
      <c r="AC417" s="23" t="str">
        <f aca="false">D417&amp;"#"&amp;E417</f>
        <v>구약#439</v>
      </c>
      <c r="AD417" s="23" t="n">
        <f aca="false">COUNTIFS($C$2:C417,C417,$D$2:D417,D417)</f>
        <v>257</v>
      </c>
    </row>
    <row r="418" customFormat="false" ht="26.85" hidden="false" customHeight="false" outlineLevel="0" collapsed="false">
      <c r="A418" s="21" t="n">
        <v>417</v>
      </c>
      <c r="B418" s="18" t="s">
        <v>3772</v>
      </c>
      <c r="C418" s="23" t="n">
        <v>2</v>
      </c>
      <c r="D418" s="23" t="s">
        <v>116</v>
      </c>
      <c r="E418" s="23" t="n">
        <f aca="false">IF(C418=1,COUNTIFS($C$2:C418,1,$D$2:D418,D418),COUNTIFS($C$2:$C$799,1,$D$2:$D$799,D418)+COUNTIFS($C$2:C418,2,$D$2:D418,D418))</f>
        <v>440</v>
      </c>
      <c r="F418" s="23" t="str">
        <f aca="false">D418&amp;" #"&amp;TEXT(E418,"000")</f>
        <v>구약 #440</v>
      </c>
      <c r="G418" s="18" t="s">
        <v>3718</v>
      </c>
      <c r="H418" s="18" t="s">
        <v>3719</v>
      </c>
      <c r="I418" s="21" t="s">
        <v>3720</v>
      </c>
      <c r="J418" s="22" t="s">
        <v>3773</v>
      </c>
      <c r="K418" s="23" t="s">
        <v>1085</v>
      </c>
      <c r="L418" s="24" t="s">
        <v>3774</v>
      </c>
      <c r="M418" s="24" t="s">
        <v>3775</v>
      </c>
      <c r="N418" s="23" t="s">
        <v>3776</v>
      </c>
      <c r="O418" s="24" t="s">
        <v>3777</v>
      </c>
      <c r="P418" s="24" t="s">
        <v>3778</v>
      </c>
      <c r="Q418" s="24" t="s">
        <v>3779</v>
      </c>
      <c r="R418" s="24"/>
      <c r="S418" s="24" t="s">
        <v>3771</v>
      </c>
      <c r="T418" s="24" t="str">
        <f aca="false">"["&amp;안내!$C$5&amp;" "&amp;F418&amp;"] "&amp;L418&amp;" | "&amp;J418</f>
        <v>[1분 성경 구약 #440] 이새의 줄기 | 사 11:1-16</v>
      </c>
      <c r="U418" s="26" t="n">
        <f aca="false">IF(D418="구약",IF(C418=1,안내!$C$9,안내!$C$10)+AD418-1,IF(C418=1,안내!$C$9,안내!$C$10)+7*INT((AD418-1)/4)+CHOOSE(MOD(AD418-1,4)+1,0,2,4,5))</f>
        <v>46837</v>
      </c>
      <c r="V418" s="23" t="str">
        <f aca="false">CHOOSE(WEEKDAY(U418,2),"월","화","수","목","금","토","일")</f>
        <v>토</v>
      </c>
      <c r="W418" s="24" t="str">
        <f aca="false">IFERROR(IF(INDEX($C$2:$C$799,MATCH(D418&amp;"#"&amp;(E418+1),$AC$2:$AC$799,0))=C418,"다음 편: ","시즌1 완결 · 시즌2 첫 편: ")&amp;INDEX($L$2:$L$799,MATCH(D418&amp;"#"&amp;(E418+1),$AC$2:$AC$799,0)),"구약 트랙 완결")</f>
        <v>다음 편: 구원의 우물</v>
      </c>
      <c r="X418" s="23" t="s">
        <v>130</v>
      </c>
      <c r="Y418" s="23" t="s">
        <v>130</v>
      </c>
      <c r="Z418" s="23" t="s">
        <v>130</v>
      </c>
      <c r="AA418" s="23" t="s">
        <v>130</v>
      </c>
      <c r="AB418" s="24"/>
      <c r="AC418" s="23" t="str">
        <f aca="false">D418&amp;"#"&amp;E418</f>
        <v>구약#440</v>
      </c>
      <c r="AD418" s="23" t="n">
        <f aca="false">COUNTIFS($C$2:C418,C418,$D$2:D418,D418)</f>
        <v>258</v>
      </c>
    </row>
    <row r="419" customFormat="false" ht="26.85" hidden="false" customHeight="false" outlineLevel="0" collapsed="false">
      <c r="A419" s="21" t="n">
        <v>418</v>
      </c>
      <c r="B419" s="18" t="s">
        <v>3780</v>
      </c>
      <c r="C419" s="23" t="n">
        <v>2</v>
      </c>
      <c r="D419" s="23" t="s">
        <v>116</v>
      </c>
      <c r="E419" s="23" t="n">
        <f aca="false">IF(C419=1,COUNTIFS($C$2:C419,1,$D$2:D419,D419),COUNTIFS($C$2:$C$799,1,$D$2:$D$799,D419)+COUNTIFS($C$2:C419,2,$D$2:D419,D419))</f>
        <v>441</v>
      </c>
      <c r="F419" s="23" t="str">
        <f aca="false">D419&amp;" #"&amp;TEXT(E419,"000")</f>
        <v>구약 #441</v>
      </c>
      <c r="G419" s="18" t="s">
        <v>3718</v>
      </c>
      <c r="H419" s="18" t="s">
        <v>3719</v>
      </c>
      <c r="I419" s="21" t="s">
        <v>3720</v>
      </c>
      <c r="J419" s="22" t="s">
        <v>3781</v>
      </c>
      <c r="K419" s="23" t="s">
        <v>1085</v>
      </c>
      <c r="L419" s="24" t="s">
        <v>3782</v>
      </c>
      <c r="M419" s="24" t="s">
        <v>3783</v>
      </c>
      <c r="N419" s="23" t="s">
        <v>3784</v>
      </c>
      <c r="O419" s="24" t="s">
        <v>3785</v>
      </c>
      <c r="P419" s="24" t="s">
        <v>3786</v>
      </c>
      <c r="Q419" s="24" t="s">
        <v>3787</v>
      </c>
      <c r="R419" s="24"/>
      <c r="S419" s="24" t="s">
        <v>3771</v>
      </c>
      <c r="T419" s="24" t="str">
        <f aca="false">"["&amp;안내!$C$5&amp;" "&amp;F419&amp;"] "&amp;L419&amp;" | "&amp;J419</f>
        <v>[1분 성경 구약 #441] 구원의 우물 | 사 12:1-6</v>
      </c>
      <c r="U419" s="26" t="n">
        <f aca="false">IF(D419="구약",IF(C419=1,안내!$C$9,안내!$C$10)+AD419-1,IF(C419=1,안내!$C$9,안내!$C$10)+7*INT((AD419-1)/4)+CHOOSE(MOD(AD419-1,4)+1,0,2,4,5))</f>
        <v>46838</v>
      </c>
      <c r="V419" s="23" t="str">
        <f aca="false">CHOOSE(WEEKDAY(U419,2),"월","화","수","목","금","토","일")</f>
        <v>일</v>
      </c>
      <c r="W419" s="24" t="str">
        <f aca="false">IFERROR(IF(INDEX($C$2:$C$799,MATCH(D419&amp;"#"&amp;(E419+1),$AC$2:$AC$799,0))=C419,"다음 편: ","시즌1 완결 · 시즌2 첫 편: ")&amp;INDEX($L$2:$L$799,MATCH(D419&amp;"#"&amp;(E419+1),$AC$2:$AC$799,0)),"구약 트랙 완결")</f>
        <v>다음 편: 열방을 향한 예언</v>
      </c>
      <c r="X419" s="23" t="s">
        <v>130</v>
      </c>
      <c r="Y419" s="23" t="s">
        <v>130</v>
      </c>
      <c r="Z419" s="23" t="s">
        <v>130</v>
      </c>
      <c r="AA419" s="23" t="s">
        <v>130</v>
      </c>
      <c r="AB419" s="24"/>
      <c r="AC419" s="23" t="str">
        <f aca="false">D419&amp;"#"&amp;E419</f>
        <v>구약#441</v>
      </c>
      <c r="AD419" s="23" t="n">
        <f aca="false">COUNTIFS($C$2:C419,C419,$D$2:D419,D419)</f>
        <v>259</v>
      </c>
    </row>
    <row r="420" customFormat="false" ht="26.85" hidden="false" customHeight="false" outlineLevel="0" collapsed="false">
      <c r="A420" s="21" t="n">
        <v>419</v>
      </c>
      <c r="B420" s="18" t="s">
        <v>3788</v>
      </c>
      <c r="C420" s="23" t="n">
        <v>2</v>
      </c>
      <c r="D420" s="23" t="s">
        <v>116</v>
      </c>
      <c r="E420" s="23" t="n">
        <f aca="false">IF(C420=1,COUNTIFS($C$2:C420,1,$D$2:D420,D420),COUNTIFS($C$2:$C$799,1,$D$2:$D$799,D420)+COUNTIFS($C$2:C420,2,$D$2:D420,D420))</f>
        <v>442</v>
      </c>
      <c r="F420" s="23" t="str">
        <f aca="false">D420&amp;" #"&amp;TEXT(E420,"000")</f>
        <v>구약 #442</v>
      </c>
      <c r="G420" s="18" t="s">
        <v>3789</v>
      </c>
      <c r="H420" s="18" t="s">
        <v>3719</v>
      </c>
      <c r="I420" s="21" t="s">
        <v>3720</v>
      </c>
      <c r="J420" s="22" t="s">
        <v>3790</v>
      </c>
      <c r="K420" s="23" t="s">
        <v>1085</v>
      </c>
      <c r="L420" s="24" t="s">
        <v>3791</v>
      </c>
      <c r="M420" s="24" t="s">
        <v>3792</v>
      </c>
      <c r="N420" s="23" t="s">
        <v>3793</v>
      </c>
      <c r="O420" s="24" t="s">
        <v>3794</v>
      </c>
      <c r="P420" s="24" t="s">
        <v>3720</v>
      </c>
      <c r="Q420" s="24" t="s">
        <v>3795</v>
      </c>
      <c r="R420" s="27" t="s">
        <v>3796</v>
      </c>
      <c r="S420" s="24" t="s">
        <v>3771</v>
      </c>
      <c r="T420" s="24" t="str">
        <f aca="false">"["&amp;안내!$C$5&amp;" "&amp;F420&amp;"] "&amp;L420&amp;" | "&amp;J420</f>
        <v>[1분 성경 구약 #442] 열방을 향한 예언 | 사 13:1-23:18</v>
      </c>
      <c r="U420" s="26" t="n">
        <f aca="false">IF(D420="구약",IF(C420=1,안내!$C$9,안내!$C$10)+AD420-1,IF(C420=1,안내!$C$9,안내!$C$10)+7*INT((AD420-1)/4)+CHOOSE(MOD(AD420-1,4)+1,0,2,4,5))</f>
        <v>46839</v>
      </c>
      <c r="V420" s="23" t="str">
        <f aca="false">CHOOSE(WEEKDAY(U420,2),"월","화","수","목","금","토","일")</f>
        <v>월</v>
      </c>
      <c r="W420" s="24" t="str">
        <f aca="false">IFERROR(IF(INDEX($C$2:$C$799,MATCH(D420&amp;"#"&amp;(E420+1),$AC$2:$AC$799,0))=C420,"다음 편: ","시즌1 완결 · 시즌2 첫 편: ")&amp;INDEX($L$2:$L$799,MATCH(D420&amp;"#"&amp;(E420+1),$AC$2:$AC$799,0)),"구약 트랙 완결")</f>
        <v>다음 편: 사망을 멸하시리라</v>
      </c>
      <c r="X420" s="23" t="s">
        <v>130</v>
      </c>
      <c r="Y420" s="23" t="s">
        <v>130</v>
      </c>
      <c r="Z420" s="23" t="s">
        <v>130</v>
      </c>
      <c r="AA420" s="23" t="s">
        <v>130</v>
      </c>
      <c r="AB420" s="24"/>
      <c r="AC420" s="23" t="str">
        <f aca="false">D420&amp;"#"&amp;E420</f>
        <v>구약#442</v>
      </c>
      <c r="AD420" s="23" t="n">
        <f aca="false">COUNTIFS($C$2:C420,C420,$D$2:D420,D420)</f>
        <v>260</v>
      </c>
    </row>
    <row r="421" customFormat="false" ht="26.85" hidden="false" customHeight="false" outlineLevel="0" collapsed="false">
      <c r="A421" s="21" t="n">
        <v>420</v>
      </c>
      <c r="B421" s="18" t="s">
        <v>3797</v>
      </c>
      <c r="C421" s="23" t="n">
        <v>2</v>
      </c>
      <c r="D421" s="23" t="s">
        <v>116</v>
      </c>
      <c r="E421" s="23" t="n">
        <f aca="false">IF(C421=1,COUNTIFS($C$2:C421,1,$D$2:D421,D421),COUNTIFS($C$2:$C$799,1,$D$2:$D$799,D421)+COUNTIFS($C$2:C421,2,$D$2:D421,D421))</f>
        <v>443</v>
      </c>
      <c r="F421" s="23" t="str">
        <f aca="false">D421&amp;" #"&amp;TEXT(E421,"000")</f>
        <v>구약 #443</v>
      </c>
      <c r="G421" s="18" t="s">
        <v>3789</v>
      </c>
      <c r="H421" s="18" t="s">
        <v>3719</v>
      </c>
      <c r="I421" s="21" t="s">
        <v>3720</v>
      </c>
      <c r="J421" s="22" t="s">
        <v>3798</v>
      </c>
      <c r="K421" s="23" t="s">
        <v>1085</v>
      </c>
      <c r="L421" s="24" t="s">
        <v>3799</v>
      </c>
      <c r="M421" s="24" t="s">
        <v>3800</v>
      </c>
      <c r="N421" s="23" t="s">
        <v>3801</v>
      </c>
      <c r="O421" s="24" t="s">
        <v>3802</v>
      </c>
      <c r="P421" s="24" t="s">
        <v>3720</v>
      </c>
      <c r="Q421" s="24" t="s">
        <v>3803</v>
      </c>
      <c r="R421" s="25" t="s">
        <v>3804</v>
      </c>
      <c r="S421" s="24" t="s">
        <v>3771</v>
      </c>
      <c r="T421" s="24" t="str">
        <f aca="false">"["&amp;안내!$C$5&amp;" "&amp;F421&amp;"] "&amp;L421&amp;" | "&amp;J421</f>
        <v>[1분 성경 구약 #443] 사망을 멸하시리라 | 사 24:1-27:13</v>
      </c>
      <c r="U421" s="26" t="n">
        <f aca="false">IF(D421="구약",IF(C421=1,안내!$C$9,안내!$C$10)+AD421-1,IF(C421=1,안내!$C$9,안내!$C$10)+7*INT((AD421-1)/4)+CHOOSE(MOD(AD421-1,4)+1,0,2,4,5))</f>
        <v>46840</v>
      </c>
      <c r="V421" s="23" t="str">
        <f aca="false">CHOOSE(WEEKDAY(U421,2),"월","화","수","목","금","토","일")</f>
        <v>화</v>
      </c>
      <c r="W421" s="24" t="str">
        <f aca="false">IFERROR(IF(INDEX($C$2:$C$799,MATCH(D421&amp;"#"&amp;(E421+1),$AC$2:$AC$799,0))=C421,"다음 편: ","시즌1 완결 · 시즌2 첫 편: ")&amp;INDEX($L$2:$L$799,MATCH(D421&amp;"#"&amp;(E421+1),$AC$2:$AC$799,0)),"구약 트랙 완결")</f>
        <v>다음 편: 시온의 기촛돌</v>
      </c>
      <c r="X421" s="23" t="s">
        <v>130</v>
      </c>
      <c r="Y421" s="23" t="s">
        <v>130</v>
      </c>
      <c r="Z421" s="23" t="s">
        <v>130</v>
      </c>
      <c r="AA421" s="23" t="s">
        <v>130</v>
      </c>
      <c r="AB421" s="24"/>
      <c r="AC421" s="23" t="str">
        <f aca="false">D421&amp;"#"&amp;E421</f>
        <v>구약#443</v>
      </c>
      <c r="AD421" s="23" t="n">
        <f aca="false">COUNTIFS($C$2:C421,C421,$D$2:D421,D421)</f>
        <v>261</v>
      </c>
    </row>
    <row r="422" customFormat="false" ht="26.85" hidden="false" customHeight="false" outlineLevel="0" collapsed="false">
      <c r="A422" s="21" t="n">
        <v>421</v>
      </c>
      <c r="B422" s="18" t="s">
        <v>3805</v>
      </c>
      <c r="C422" s="23" t="n">
        <v>2</v>
      </c>
      <c r="D422" s="23" t="s">
        <v>116</v>
      </c>
      <c r="E422" s="23" t="n">
        <f aca="false">IF(C422=1,COUNTIFS($C$2:C422,1,$D$2:D422,D422),COUNTIFS($C$2:$C$799,1,$D$2:$D$799,D422)+COUNTIFS($C$2:C422,2,$D$2:D422,D422))</f>
        <v>444</v>
      </c>
      <c r="F422" s="23" t="str">
        <f aca="false">D422&amp;" #"&amp;TEXT(E422,"000")</f>
        <v>구약 #444</v>
      </c>
      <c r="G422" s="18" t="s">
        <v>3789</v>
      </c>
      <c r="H422" s="18" t="s">
        <v>3719</v>
      </c>
      <c r="I422" s="21" t="s">
        <v>3720</v>
      </c>
      <c r="J422" s="22" t="s">
        <v>3806</v>
      </c>
      <c r="K422" s="23" t="s">
        <v>1085</v>
      </c>
      <c r="L422" s="24" t="s">
        <v>3807</v>
      </c>
      <c r="M422" s="24" t="s">
        <v>3808</v>
      </c>
      <c r="N422" s="23" t="s">
        <v>3809</v>
      </c>
      <c r="O422" s="24" t="s">
        <v>3810</v>
      </c>
      <c r="P422" s="24" t="s">
        <v>3720</v>
      </c>
      <c r="Q422" s="24" t="s">
        <v>3811</v>
      </c>
      <c r="R422" s="25" t="s">
        <v>3812</v>
      </c>
      <c r="S422" s="24" t="s">
        <v>3771</v>
      </c>
      <c r="T422" s="24" t="str">
        <f aca="false">"["&amp;안내!$C$5&amp;" "&amp;F422&amp;"] "&amp;L422&amp;" | "&amp;J422</f>
        <v>[1분 성경 구약 #444] 시온의 기촛돌 | 사 28:1-33:24</v>
      </c>
      <c r="U422" s="26" t="n">
        <f aca="false">IF(D422="구약",IF(C422=1,안내!$C$9,안내!$C$10)+AD422-1,IF(C422=1,안내!$C$9,안내!$C$10)+7*INT((AD422-1)/4)+CHOOSE(MOD(AD422-1,4)+1,0,2,4,5))</f>
        <v>46841</v>
      </c>
      <c r="V422" s="23" t="str">
        <f aca="false">CHOOSE(WEEKDAY(U422,2),"월","화","수","목","금","토","일")</f>
        <v>수</v>
      </c>
      <c r="W422" s="24" t="str">
        <f aca="false">IFERROR(IF(INDEX($C$2:$C$799,MATCH(D422&amp;"#"&amp;(E422+1),$AC$2:$AC$799,0))=C422,"다음 편: ","시즌1 완결 · 시즌2 첫 편: ")&amp;INDEX($L$2:$L$799,MATCH(D422&amp;"#"&amp;(E422+1),$AC$2:$AC$799,0)),"구약 트랙 완결")</f>
        <v>다음 편: 사막에 꽃이 핀다</v>
      </c>
      <c r="X422" s="23" t="s">
        <v>130</v>
      </c>
      <c r="Y422" s="23" t="s">
        <v>130</v>
      </c>
      <c r="Z422" s="23" t="s">
        <v>130</v>
      </c>
      <c r="AA422" s="23" t="s">
        <v>130</v>
      </c>
      <c r="AB422" s="24"/>
      <c r="AC422" s="23" t="str">
        <f aca="false">D422&amp;"#"&amp;E422</f>
        <v>구약#444</v>
      </c>
      <c r="AD422" s="23" t="n">
        <f aca="false">COUNTIFS($C$2:C422,C422,$D$2:D422,D422)</f>
        <v>262</v>
      </c>
    </row>
    <row r="423" customFormat="false" ht="26.85" hidden="false" customHeight="false" outlineLevel="0" collapsed="false">
      <c r="A423" s="21" t="n">
        <v>422</v>
      </c>
      <c r="B423" s="18" t="s">
        <v>3813</v>
      </c>
      <c r="C423" s="23" t="n">
        <v>2</v>
      </c>
      <c r="D423" s="23" t="s">
        <v>116</v>
      </c>
      <c r="E423" s="23" t="n">
        <f aca="false">IF(C423=1,COUNTIFS($C$2:C423,1,$D$2:D423,D423),COUNTIFS($C$2:$C$799,1,$D$2:$D$799,D423)+COUNTIFS($C$2:C423,2,$D$2:D423,D423))</f>
        <v>445</v>
      </c>
      <c r="F423" s="23" t="str">
        <f aca="false">D423&amp;" #"&amp;TEXT(E423,"000")</f>
        <v>구약 #445</v>
      </c>
      <c r="G423" s="18" t="s">
        <v>3789</v>
      </c>
      <c r="H423" s="18" t="s">
        <v>3719</v>
      </c>
      <c r="I423" s="21" t="s">
        <v>3720</v>
      </c>
      <c r="J423" s="22" t="s">
        <v>3814</v>
      </c>
      <c r="K423" s="23" t="s">
        <v>1085</v>
      </c>
      <c r="L423" s="24" t="s">
        <v>3815</v>
      </c>
      <c r="M423" s="24" t="s">
        <v>3816</v>
      </c>
      <c r="N423" s="23" t="s">
        <v>3817</v>
      </c>
      <c r="O423" s="24" t="s">
        <v>3818</v>
      </c>
      <c r="P423" s="24" t="s">
        <v>3720</v>
      </c>
      <c r="Q423" s="24" t="s">
        <v>3819</v>
      </c>
      <c r="R423" s="25" t="s">
        <v>3820</v>
      </c>
      <c r="S423" s="24" t="s">
        <v>3771</v>
      </c>
      <c r="T423" s="24" t="str">
        <f aca="false">"["&amp;안내!$C$5&amp;" "&amp;F423&amp;"] "&amp;L423&amp;" | "&amp;J423</f>
        <v>[1분 성경 구약 #445] 사막에 꽃이 핀다 | 사 34:1-35:10</v>
      </c>
      <c r="U423" s="26" t="n">
        <f aca="false">IF(D423="구약",IF(C423=1,안내!$C$9,안내!$C$10)+AD423-1,IF(C423=1,안내!$C$9,안내!$C$10)+7*INT((AD423-1)/4)+CHOOSE(MOD(AD423-1,4)+1,0,2,4,5))</f>
        <v>46842</v>
      </c>
      <c r="V423" s="23" t="str">
        <f aca="false">CHOOSE(WEEKDAY(U423,2),"월","화","수","목","금","토","일")</f>
        <v>목</v>
      </c>
      <c r="W423" s="24" t="str">
        <f aca="false">IFERROR(IF(INDEX($C$2:$C$799,MATCH(D423&amp;"#"&amp;(E423+1),$AC$2:$AC$799,0))=C423,"다음 편: ","시즌1 완결 · 시즌2 첫 편: ")&amp;INDEX($L$2:$L$799,MATCH(D423&amp;"#"&amp;(E423+1),$AC$2:$AC$799,0)),"구약 트랙 완결")</f>
        <v>다음 편: 산헤립 앞에서의 기도</v>
      </c>
      <c r="X423" s="23" t="s">
        <v>130</v>
      </c>
      <c r="Y423" s="23" t="s">
        <v>130</v>
      </c>
      <c r="Z423" s="23" t="s">
        <v>130</v>
      </c>
      <c r="AA423" s="23" t="s">
        <v>130</v>
      </c>
      <c r="AB423" s="24"/>
      <c r="AC423" s="23" t="str">
        <f aca="false">D423&amp;"#"&amp;E423</f>
        <v>구약#445</v>
      </c>
      <c r="AD423" s="23" t="n">
        <f aca="false">COUNTIFS($C$2:C423,C423,$D$2:D423,D423)</f>
        <v>263</v>
      </c>
    </row>
    <row r="424" customFormat="false" ht="26.85" hidden="false" customHeight="false" outlineLevel="0" collapsed="false">
      <c r="A424" s="21" t="n">
        <v>423</v>
      </c>
      <c r="B424" s="18" t="s">
        <v>3821</v>
      </c>
      <c r="C424" s="23" t="n">
        <v>2</v>
      </c>
      <c r="D424" s="23" t="s">
        <v>116</v>
      </c>
      <c r="E424" s="23" t="n">
        <f aca="false">IF(C424=1,COUNTIFS($C$2:C424,1,$D$2:D424,D424),COUNTIFS($C$2:$C$799,1,$D$2:$D$799,D424)+COUNTIFS($C$2:C424,2,$D$2:D424,D424))</f>
        <v>446</v>
      </c>
      <c r="F424" s="23" t="str">
        <f aca="false">D424&amp;" #"&amp;TEXT(E424,"000")</f>
        <v>구약 #446</v>
      </c>
      <c r="G424" s="18" t="s">
        <v>3789</v>
      </c>
      <c r="H424" s="18" t="s">
        <v>3719</v>
      </c>
      <c r="I424" s="21" t="s">
        <v>3720</v>
      </c>
      <c r="J424" s="22" t="s">
        <v>3822</v>
      </c>
      <c r="K424" s="23" t="s">
        <v>1085</v>
      </c>
      <c r="L424" s="24" t="s">
        <v>3823</v>
      </c>
      <c r="M424" s="24" t="s">
        <v>3824</v>
      </c>
      <c r="N424" s="23" t="s">
        <v>3825</v>
      </c>
      <c r="O424" s="24" t="s">
        <v>3826</v>
      </c>
      <c r="P424" s="24" t="s">
        <v>3827</v>
      </c>
      <c r="Q424" s="24" t="s">
        <v>3828</v>
      </c>
      <c r="R424" s="24"/>
      <c r="S424" s="24" t="s">
        <v>3771</v>
      </c>
      <c r="T424" s="24" t="str">
        <f aca="false">"["&amp;안내!$C$5&amp;" "&amp;F424&amp;"] "&amp;L424&amp;" | "&amp;J424</f>
        <v>[1분 성경 구약 #446] 산헤립 앞에서의 기도 | 사 36:1-37:38</v>
      </c>
      <c r="U424" s="26" t="n">
        <f aca="false">IF(D424="구약",IF(C424=1,안내!$C$9,안내!$C$10)+AD424-1,IF(C424=1,안내!$C$9,안내!$C$10)+7*INT((AD424-1)/4)+CHOOSE(MOD(AD424-1,4)+1,0,2,4,5))</f>
        <v>46843</v>
      </c>
      <c r="V424" s="23" t="str">
        <f aca="false">CHOOSE(WEEKDAY(U424,2),"월","화","수","목","금","토","일")</f>
        <v>금</v>
      </c>
      <c r="W424" s="24" t="str">
        <f aca="false">IFERROR(IF(INDEX($C$2:$C$799,MATCH(D424&amp;"#"&amp;(E424+1),$AC$2:$AC$799,0))=C424,"다음 편: ","시즌1 완결 · 시즌2 첫 편: ")&amp;INDEX($L$2:$L$799,MATCH(D424&amp;"#"&amp;(E424+1),$AC$2:$AC$799,0)),"구약 트랙 완결")</f>
        <v>다음 편: 병든 왕의 기도와 실수</v>
      </c>
      <c r="X424" s="23" t="s">
        <v>130</v>
      </c>
      <c r="Y424" s="23" t="s">
        <v>130</v>
      </c>
      <c r="Z424" s="23" t="s">
        <v>130</v>
      </c>
      <c r="AA424" s="23" t="s">
        <v>130</v>
      </c>
      <c r="AB424" s="24"/>
      <c r="AC424" s="23" t="str">
        <f aca="false">D424&amp;"#"&amp;E424</f>
        <v>구약#446</v>
      </c>
      <c r="AD424" s="23" t="n">
        <f aca="false">COUNTIFS($C$2:C424,C424,$D$2:D424,D424)</f>
        <v>264</v>
      </c>
    </row>
    <row r="425" customFormat="false" ht="26.85" hidden="false" customHeight="false" outlineLevel="0" collapsed="false">
      <c r="A425" s="21" t="n">
        <v>424</v>
      </c>
      <c r="B425" s="18" t="s">
        <v>3829</v>
      </c>
      <c r="C425" s="23" t="n">
        <v>2</v>
      </c>
      <c r="D425" s="23" t="s">
        <v>116</v>
      </c>
      <c r="E425" s="23" t="n">
        <f aca="false">IF(C425=1,COUNTIFS($C$2:C425,1,$D$2:D425,D425),COUNTIFS($C$2:$C$799,1,$D$2:$D$799,D425)+COUNTIFS($C$2:C425,2,$D$2:D425,D425))</f>
        <v>447</v>
      </c>
      <c r="F425" s="23" t="str">
        <f aca="false">D425&amp;" #"&amp;TEXT(E425,"000")</f>
        <v>구약 #447</v>
      </c>
      <c r="G425" s="18" t="s">
        <v>3789</v>
      </c>
      <c r="H425" s="18" t="s">
        <v>3719</v>
      </c>
      <c r="I425" s="21" t="s">
        <v>3720</v>
      </c>
      <c r="J425" s="22" t="s">
        <v>3830</v>
      </c>
      <c r="K425" s="23" t="s">
        <v>1085</v>
      </c>
      <c r="L425" s="24" t="s">
        <v>3831</v>
      </c>
      <c r="M425" s="24" t="s">
        <v>3832</v>
      </c>
      <c r="N425" s="23" t="s">
        <v>3833</v>
      </c>
      <c r="O425" s="24" t="s">
        <v>3834</v>
      </c>
      <c r="P425" s="24" t="s">
        <v>3835</v>
      </c>
      <c r="Q425" s="24" t="s">
        <v>3836</v>
      </c>
      <c r="R425" s="24"/>
      <c r="S425" s="24" t="s">
        <v>3771</v>
      </c>
      <c r="T425" s="24" t="str">
        <f aca="false">"["&amp;안내!$C$5&amp;" "&amp;F425&amp;"] "&amp;L425&amp;" | "&amp;J425</f>
        <v>[1분 성경 구약 #447] 병든 왕의 기도와 실수 | 사 38:1-39:8</v>
      </c>
      <c r="U425" s="26" t="n">
        <f aca="false">IF(D425="구약",IF(C425=1,안내!$C$9,안내!$C$10)+AD425-1,IF(C425=1,안내!$C$9,안내!$C$10)+7*INT((AD425-1)/4)+CHOOSE(MOD(AD425-1,4)+1,0,2,4,5))</f>
        <v>46844</v>
      </c>
      <c r="V425" s="23" t="str">
        <f aca="false">CHOOSE(WEEKDAY(U425,2),"월","화","수","목","금","토","일")</f>
        <v>토</v>
      </c>
      <c r="W425" s="24" t="str">
        <f aca="false">IFERROR(IF(INDEX($C$2:$C$799,MATCH(D425&amp;"#"&amp;(E425+1),$AC$2:$AC$799,0))=C425,"다음 편: ","시즌1 완결 · 시즌2 첫 편: ")&amp;INDEX($L$2:$L$799,MATCH(D425&amp;"#"&amp;(E425+1),$AC$2:$AC$799,0)),"구약 트랙 완결")</f>
        <v>다음 편: 위로하라 내 백성을</v>
      </c>
      <c r="X425" s="23" t="s">
        <v>130</v>
      </c>
      <c r="Y425" s="23" t="s">
        <v>130</v>
      </c>
      <c r="Z425" s="23" t="s">
        <v>130</v>
      </c>
      <c r="AA425" s="23" t="s">
        <v>130</v>
      </c>
      <c r="AB425" s="24"/>
      <c r="AC425" s="23" t="str">
        <f aca="false">D425&amp;"#"&amp;E425</f>
        <v>구약#447</v>
      </c>
      <c r="AD425" s="23" t="n">
        <f aca="false">COUNTIFS($C$2:C425,C425,$D$2:D425,D425)</f>
        <v>265</v>
      </c>
    </row>
    <row r="426" customFormat="false" ht="26.85" hidden="false" customHeight="false" outlineLevel="0" collapsed="false">
      <c r="A426" s="21" t="n">
        <v>425</v>
      </c>
      <c r="B426" s="18" t="s">
        <v>3837</v>
      </c>
      <c r="C426" s="23" t="n">
        <v>2</v>
      </c>
      <c r="D426" s="23" t="s">
        <v>116</v>
      </c>
      <c r="E426" s="23" t="n">
        <f aca="false">IF(C426=1,COUNTIFS($C$2:C426,1,$D$2:D426,D426),COUNTIFS($C$2:$C$799,1,$D$2:$D$799,D426)+COUNTIFS($C$2:C426,2,$D$2:D426,D426))</f>
        <v>448</v>
      </c>
      <c r="F426" s="23" t="str">
        <f aca="false">D426&amp;" #"&amp;TEXT(E426,"000")</f>
        <v>구약 #448</v>
      </c>
      <c r="G426" s="18" t="s">
        <v>3789</v>
      </c>
      <c r="H426" s="18" t="s">
        <v>3719</v>
      </c>
      <c r="I426" s="21" t="s">
        <v>3720</v>
      </c>
      <c r="J426" s="22" t="s">
        <v>3838</v>
      </c>
      <c r="K426" s="23" t="s">
        <v>1085</v>
      </c>
      <c r="L426" s="24" t="s">
        <v>3839</v>
      </c>
      <c r="M426" s="24" t="s">
        <v>3840</v>
      </c>
      <c r="N426" s="23" t="s">
        <v>3841</v>
      </c>
      <c r="O426" s="24" t="s">
        <v>3842</v>
      </c>
      <c r="P426" s="24" t="s">
        <v>3720</v>
      </c>
      <c r="Q426" s="24" t="s">
        <v>3843</v>
      </c>
      <c r="R426" s="25" t="s">
        <v>3844</v>
      </c>
      <c r="S426" s="24" t="s">
        <v>3771</v>
      </c>
      <c r="T426" s="24" t="str">
        <f aca="false">"["&amp;안내!$C$5&amp;" "&amp;F426&amp;"] "&amp;L426&amp;" | "&amp;J426</f>
        <v>[1분 성경 구약 #448] 위로하라 내 백성을 | 사 40:1-11</v>
      </c>
      <c r="U426" s="26" t="n">
        <f aca="false">IF(D426="구약",IF(C426=1,안내!$C$9,안내!$C$10)+AD426-1,IF(C426=1,안내!$C$9,안내!$C$10)+7*INT((AD426-1)/4)+CHOOSE(MOD(AD426-1,4)+1,0,2,4,5))</f>
        <v>46845</v>
      </c>
      <c r="V426" s="23" t="str">
        <f aca="false">CHOOSE(WEEKDAY(U426,2),"월","화","수","목","금","토","일")</f>
        <v>일</v>
      </c>
      <c r="W426" s="24" t="str">
        <f aca="false">IFERROR(IF(INDEX($C$2:$C$799,MATCH(D426&amp;"#"&amp;(E426+1),$AC$2:$AC$799,0))=C426,"다음 편: ","시즌1 완결 · 시즌2 첫 편: ")&amp;INDEX($L$2:$L$799,MATCH(D426&amp;"#"&amp;(E426+1),$AC$2:$AC$799,0)),"구약 트랙 완결")</f>
        <v>다음 편: 두려워하지 말라</v>
      </c>
      <c r="X426" s="23" t="s">
        <v>130</v>
      </c>
      <c r="Y426" s="23" t="s">
        <v>130</v>
      </c>
      <c r="Z426" s="23" t="s">
        <v>130</v>
      </c>
      <c r="AA426" s="23" t="s">
        <v>130</v>
      </c>
      <c r="AB426" s="24"/>
      <c r="AC426" s="23" t="str">
        <f aca="false">D426&amp;"#"&amp;E426</f>
        <v>구약#448</v>
      </c>
      <c r="AD426" s="23" t="n">
        <f aca="false">COUNTIFS($C$2:C426,C426,$D$2:D426,D426)</f>
        <v>266</v>
      </c>
    </row>
    <row r="427" customFormat="false" ht="52.2" hidden="false" customHeight="false" outlineLevel="0" collapsed="false">
      <c r="A427" s="21" t="n">
        <v>426</v>
      </c>
      <c r="B427" s="18" t="s">
        <v>3845</v>
      </c>
      <c r="C427" s="20" t="n">
        <v>1</v>
      </c>
      <c r="D427" s="20" t="s">
        <v>116</v>
      </c>
      <c r="E427" s="20" t="n">
        <f aca="false">IF(C427=1,COUNTIFS($C$2:C427,1,$D$2:D427,D427),COUNTIFS($C$2:$C$799,1,$D$2:$D$799,D427)+COUNTIFS($C$2:C427,2,$D$2:D427,D427))</f>
        <v>160</v>
      </c>
      <c r="F427" s="20" t="str">
        <f aca="false">D427&amp;" #"&amp;TEXT(E427,"000")</f>
        <v>구약 #160</v>
      </c>
      <c r="G427" s="18" t="s">
        <v>3789</v>
      </c>
      <c r="H427" s="18" t="s">
        <v>3659</v>
      </c>
      <c r="I427" s="21" t="s">
        <v>3720</v>
      </c>
      <c r="J427" s="22" t="s">
        <v>3846</v>
      </c>
      <c r="K427" s="23" t="s">
        <v>1085</v>
      </c>
      <c r="L427" s="24" t="s">
        <v>3847</v>
      </c>
      <c r="M427" s="24" t="s">
        <v>3848</v>
      </c>
      <c r="N427" s="23" t="s">
        <v>3849</v>
      </c>
      <c r="O427" s="24" t="s">
        <v>3850</v>
      </c>
      <c r="P427" s="24" t="s">
        <v>3720</v>
      </c>
      <c r="Q427" s="24" t="s">
        <v>3851</v>
      </c>
      <c r="R427" s="24"/>
      <c r="S427" s="28" t="s">
        <v>3852</v>
      </c>
      <c r="T427" s="24" t="str">
        <f aca="false">"["&amp;안내!$C$5&amp;" "&amp;F427&amp;"] "&amp;L427&amp;" | "&amp;J427</f>
        <v>[1분 성경 구약 #160] 독수리 날개 치며 | 사 40:12-31</v>
      </c>
      <c r="U427" s="26" t="n">
        <f aca="false">IF(D427="구약",IF(C427=1,안내!$C$9,안내!$C$10)+AD427-1,IF(C427=1,안내!$C$9,안내!$C$10)+7*INT((AD427-1)/4)+CHOOSE(MOD(AD427-1,4)+1,0,2,4,5))</f>
        <v>46550</v>
      </c>
      <c r="V427" s="23" t="str">
        <f aca="false">CHOOSE(WEEKDAY(U427,2),"월","화","수","목","금","토","일")</f>
        <v>토</v>
      </c>
      <c r="W427" s="24" t="str">
        <f aca="false">IFERROR(IF(INDEX($C$2:$C$799,MATCH(D427&amp;"#"&amp;(E427+1),$AC$2:$AC$799,0))=C427,"다음 편: ","시즌1 완결 · 시즌2 첫 편: ")&amp;INDEX($L$2:$L$799,MATCH(D427&amp;"#"&amp;(E427+1),$AC$2:$AC$799,0)),"구약 트랙 완결")</f>
        <v>다음 편: 그가 찔림은</v>
      </c>
      <c r="X427" s="23" t="s">
        <v>130</v>
      </c>
      <c r="Y427" s="23" t="s">
        <v>130</v>
      </c>
      <c r="Z427" s="23" t="s">
        <v>130</v>
      </c>
      <c r="AA427" s="23" t="s">
        <v>130</v>
      </c>
      <c r="AB427" s="24"/>
      <c r="AC427" s="23" t="str">
        <f aca="false">D427&amp;"#"&amp;E427</f>
        <v>구약#160</v>
      </c>
      <c r="AD427" s="23" t="n">
        <f aca="false">COUNTIFS($C$2:C427,C427,$D$2:D427,D427)</f>
        <v>160</v>
      </c>
    </row>
    <row r="428" customFormat="false" ht="25.35" hidden="false" customHeight="false" outlineLevel="0" collapsed="false">
      <c r="A428" s="21" t="n">
        <v>427</v>
      </c>
      <c r="B428" s="18" t="s">
        <v>3853</v>
      </c>
      <c r="C428" s="23" t="n">
        <v>2</v>
      </c>
      <c r="D428" s="23" t="s">
        <v>116</v>
      </c>
      <c r="E428" s="23" t="n">
        <f aca="false">IF(C428=1,COUNTIFS($C$2:C428,1,$D$2:D428,D428),COUNTIFS($C$2:$C$799,1,$D$2:$D$799,D428)+COUNTIFS($C$2:C428,2,$D$2:D428,D428))</f>
        <v>449</v>
      </c>
      <c r="F428" s="23" t="str">
        <f aca="false">D428&amp;" #"&amp;TEXT(E428,"000")</f>
        <v>구약 #449</v>
      </c>
      <c r="G428" s="18" t="s">
        <v>3854</v>
      </c>
      <c r="H428" s="18" t="s">
        <v>3855</v>
      </c>
      <c r="I428" s="21" t="s">
        <v>3720</v>
      </c>
      <c r="J428" s="22" t="s">
        <v>3856</v>
      </c>
      <c r="K428" s="23" t="s">
        <v>1085</v>
      </c>
      <c r="L428" s="24" t="s">
        <v>3857</v>
      </c>
      <c r="M428" s="24" t="s">
        <v>3858</v>
      </c>
      <c r="N428" s="23" t="s">
        <v>3859</v>
      </c>
      <c r="O428" s="24" t="s">
        <v>3860</v>
      </c>
      <c r="P428" s="24" t="s">
        <v>3861</v>
      </c>
      <c r="Q428" s="24" t="s">
        <v>3862</v>
      </c>
      <c r="R428" s="24"/>
      <c r="S428" s="24" t="s">
        <v>3863</v>
      </c>
      <c r="T428" s="24" t="str">
        <f aca="false">"["&amp;안내!$C$5&amp;" "&amp;F428&amp;"] "&amp;L428&amp;" | "&amp;J428</f>
        <v>[1분 성경 구약 #449] 두려워하지 말라 | 사 41:1-44:23</v>
      </c>
      <c r="U428" s="26" t="n">
        <f aca="false">IF(D428="구약",IF(C428=1,안내!$C$9,안내!$C$10)+AD428-1,IF(C428=1,안내!$C$9,안내!$C$10)+7*INT((AD428-1)/4)+CHOOSE(MOD(AD428-1,4)+1,0,2,4,5))</f>
        <v>46846</v>
      </c>
      <c r="V428" s="23" t="str">
        <f aca="false">CHOOSE(WEEKDAY(U428,2),"월","화","수","목","금","토","일")</f>
        <v>월</v>
      </c>
      <c r="W428" s="24" t="str">
        <f aca="false">IFERROR(IF(INDEX($C$2:$C$799,MATCH(D428&amp;"#"&amp;(E428+1),$AC$2:$AC$799,0))=C428,"다음 편: ","시즌1 완결 · 시즌2 첫 편: ")&amp;INDEX($L$2:$L$799,MATCH(D428&amp;"#"&amp;(E428+1),$AC$2:$AC$799,0)),"구약 트랙 완결")</f>
        <v>다음 편: 이름이 미리 불린 왕</v>
      </c>
      <c r="X428" s="23" t="s">
        <v>130</v>
      </c>
      <c r="Y428" s="23" t="s">
        <v>130</v>
      </c>
      <c r="Z428" s="23" t="s">
        <v>130</v>
      </c>
      <c r="AA428" s="23" t="s">
        <v>130</v>
      </c>
      <c r="AB428" s="24"/>
      <c r="AC428" s="23" t="str">
        <f aca="false">D428&amp;"#"&amp;E428</f>
        <v>구약#449</v>
      </c>
      <c r="AD428" s="23" t="n">
        <f aca="false">COUNTIFS($C$2:C428,C428,$D$2:D428,D428)</f>
        <v>267</v>
      </c>
    </row>
    <row r="429" customFormat="false" ht="26.85" hidden="false" customHeight="false" outlineLevel="0" collapsed="false">
      <c r="A429" s="21" t="n">
        <v>428</v>
      </c>
      <c r="B429" s="18" t="s">
        <v>3864</v>
      </c>
      <c r="C429" s="23" t="n">
        <v>2</v>
      </c>
      <c r="D429" s="23" t="s">
        <v>116</v>
      </c>
      <c r="E429" s="23" t="n">
        <f aca="false">IF(C429=1,COUNTIFS($C$2:C429,1,$D$2:D429,D429),COUNTIFS($C$2:$C$799,1,$D$2:$D$799,D429)+COUNTIFS($C$2:C429,2,$D$2:D429,D429))</f>
        <v>450</v>
      </c>
      <c r="F429" s="23" t="str">
        <f aca="false">D429&amp;" #"&amp;TEXT(E429,"000")</f>
        <v>구약 #450</v>
      </c>
      <c r="G429" s="18" t="s">
        <v>3854</v>
      </c>
      <c r="H429" s="18" t="s">
        <v>3855</v>
      </c>
      <c r="I429" s="21" t="s">
        <v>3720</v>
      </c>
      <c r="J429" s="22" t="s">
        <v>3865</v>
      </c>
      <c r="K429" s="23" t="s">
        <v>1085</v>
      </c>
      <c r="L429" s="24" t="s">
        <v>3866</v>
      </c>
      <c r="M429" s="29" t="s">
        <v>3867</v>
      </c>
      <c r="N429" s="23" t="s">
        <v>3868</v>
      </c>
      <c r="O429" s="24" t="s">
        <v>3869</v>
      </c>
      <c r="P429" s="24" t="s">
        <v>3870</v>
      </c>
      <c r="Q429" s="24" t="s">
        <v>3871</v>
      </c>
      <c r="R429" s="24"/>
      <c r="S429" s="24" t="s">
        <v>3863</v>
      </c>
      <c r="T429" s="24" t="str">
        <f aca="false">"["&amp;안내!$C$5&amp;" "&amp;F429&amp;"] "&amp;L429&amp;" | "&amp;J429</f>
        <v>[1분 성경 구약 #450] 이름이 미리 불린 왕 | 사 44:24-45:25</v>
      </c>
      <c r="U429" s="26" t="n">
        <f aca="false">IF(D429="구약",IF(C429=1,안내!$C$9,안내!$C$10)+AD429-1,IF(C429=1,안내!$C$9,안내!$C$10)+7*INT((AD429-1)/4)+CHOOSE(MOD(AD429-1,4)+1,0,2,4,5))</f>
        <v>46847</v>
      </c>
      <c r="V429" s="23" t="str">
        <f aca="false">CHOOSE(WEEKDAY(U429,2),"월","화","수","목","금","토","일")</f>
        <v>화</v>
      </c>
      <c r="W429" s="24" t="str">
        <f aca="false">IFERROR(IF(INDEX($C$2:$C$799,MATCH(D429&amp;"#"&amp;(E429+1),$AC$2:$AC$799,0))=C429,"다음 편: ","시즌1 완결 · 시즌2 첫 편: ")&amp;INDEX($L$2:$L$799,MATCH(D429&amp;"#"&amp;(E429+1),$AC$2:$AC$799,0)),"구약 트랙 완결")</f>
        <v>다음 편: 백발이 되기까지</v>
      </c>
      <c r="X429" s="23" t="s">
        <v>130</v>
      </c>
      <c r="Y429" s="23" t="s">
        <v>130</v>
      </c>
      <c r="Z429" s="23" t="s">
        <v>130</v>
      </c>
      <c r="AA429" s="23" t="s">
        <v>130</v>
      </c>
      <c r="AB429" s="24"/>
      <c r="AC429" s="23" t="str">
        <f aca="false">D429&amp;"#"&amp;E429</f>
        <v>구약#450</v>
      </c>
      <c r="AD429" s="23" t="n">
        <f aca="false">COUNTIFS($C$2:C429,C429,$D$2:D429,D429)</f>
        <v>268</v>
      </c>
    </row>
    <row r="430" customFormat="false" ht="26.85" hidden="false" customHeight="false" outlineLevel="0" collapsed="false">
      <c r="A430" s="21" t="n">
        <v>429</v>
      </c>
      <c r="B430" s="18" t="s">
        <v>3872</v>
      </c>
      <c r="C430" s="23" t="n">
        <v>2</v>
      </c>
      <c r="D430" s="23" t="s">
        <v>116</v>
      </c>
      <c r="E430" s="23" t="n">
        <f aca="false">IF(C430=1,COUNTIFS($C$2:C430,1,$D$2:D430,D430),COUNTIFS($C$2:$C$799,1,$D$2:$D$799,D430)+COUNTIFS($C$2:C430,2,$D$2:D430,D430))</f>
        <v>451</v>
      </c>
      <c r="F430" s="23" t="str">
        <f aca="false">D430&amp;" #"&amp;TEXT(E430,"000")</f>
        <v>구약 #451</v>
      </c>
      <c r="G430" s="18" t="s">
        <v>3854</v>
      </c>
      <c r="H430" s="18" t="s">
        <v>3855</v>
      </c>
      <c r="I430" s="21" t="s">
        <v>3720</v>
      </c>
      <c r="J430" s="22" t="s">
        <v>3873</v>
      </c>
      <c r="K430" s="23" t="s">
        <v>1085</v>
      </c>
      <c r="L430" s="24" t="s">
        <v>3874</v>
      </c>
      <c r="M430" s="24" t="s">
        <v>3875</v>
      </c>
      <c r="N430" s="23" t="s">
        <v>3876</v>
      </c>
      <c r="O430" s="24" t="s">
        <v>3877</v>
      </c>
      <c r="P430" s="24" t="s">
        <v>3720</v>
      </c>
      <c r="Q430" s="24" t="s">
        <v>3878</v>
      </c>
      <c r="R430" s="24"/>
      <c r="S430" s="24" t="s">
        <v>3863</v>
      </c>
      <c r="T430" s="24" t="str">
        <f aca="false">"["&amp;안내!$C$5&amp;" "&amp;F430&amp;"] "&amp;L430&amp;" | "&amp;J430</f>
        <v>[1분 성경 구약 #451] 백발이 되기까지 | 사 46:1-48:22</v>
      </c>
      <c r="U430" s="26" t="n">
        <f aca="false">IF(D430="구약",IF(C430=1,안내!$C$9,안내!$C$10)+AD430-1,IF(C430=1,안내!$C$9,안내!$C$10)+7*INT((AD430-1)/4)+CHOOSE(MOD(AD430-1,4)+1,0,2,4,5))</f>
        <v>46848</v>
      </c>
      <c r="V430" s="23" t="str">
        <f aca="false">CHOOSE(WEEKDAY(U430,2),"월","화","수","목","금","토","일")</f>
        <v>수</v>
      </c>
      <c r="W430" s="24" t="str">
        <f aca="false">IFERROR(IF(INDEX($C$2:$C$799,MATCH(D430&amp;"#"&amp;(E430+1),$AC$2:$AC$799,0))=C430,"다음 편: ","시즌1 완결 · 시즌2 첫 편: ")&amp;INDEX($L$2:$L$799,MATCH(D430&amp;"#"&amp;(E430+1),$AC$2:$AC$799,0)),"구약 트랙 완결")</f>
        <v>다음 편: 이방의 빛</v>
      </c>
      <c r="X430" s="23" t="s">
        <v>130</v>
      </c>
      <c r="Y430" s="23" t="s">
        <v>130</v>
      </c>
      <c r="Z430" s="23" t="s">
        <v>130</v>
      </c>
      <c r="AA430" s="23" t="s">
        <v>130</v>
      </c>
      <c r="AB430" s="24"/>
      <c r="AC430" s="23" t="str">
        <f aca="false">D430&amp;"#"&amp;E430</f>
        <v>구약#451</v>
      </c>
      <c r="AD430" s="23" t="n">
        <f aca="false">COUNTIFS($C$2:C430,C430,$D$2:D430,D430)</f>
        <v>269</v>
      </c>
    </row>
    <row r="431" customFormat="false" ht="26.85" hidden="false" customHeight="false" outlineLevel="0" collapsed="false">
      <c r="A431" s="21" t="n">
        <v>430</v>
      </c>
      <c r="B431" s="18" t="s">
        <v>3879</v>
      </c>
      <c r="C431" s="23" t="n">
        <v>2</v>
      </c>
      <c r="D431" s="23" t="s">
        <v>116</v>
      </c>
      <c r="E431" s="23" t="n">
        <f aca="false">IF(C431=1,COUNTIFS($C$2:C431,1,$D$2:D431,D431),COUNTIFS($C$2:$C$799,1,$D$2:$D$799,D431)+COUNTIFS($C$2:C431,2,$D$2:D431,D431))</f>
        <v>452</v>
      </c>
      <c r="F431" s="23" t="str">
        <f aca="false">D431&amp;" #"&amp;TEXT(E431,"000")</f>
        <v>구약 #452</v>
      </c>
      <c r="G431" s="18" t="s">
        <v>3854</v>
      </c>
      <c r="H431" s="18" t="s">
        <v>3855</v>
      </c>
      <c r="I431" s="21" t="s">
        <v>3720</v>
      </c>
      <c r="J431" s="22" t="s">
        <v>3880</v>
      </c>
      <c r="K431" s="23" t="s">
        <v>1085</v>
      </c>
      <c r="L431" s="24" t="s">
        <v>3881</v>
      </c>
      <c r="M431" s="24" t="s">
        <v>3882</v>
      </c>
      <c r="N431" s="23" t="s">
        <v>3883</v>
      </c>
      <c r="O431" s="24" t="s">
        <v>3884</v>
      </c>
      <c r="P431" s="24" t="s">
        <v>3885</v>
      </c>
      <c r="Q431" s="24" t="s">
        <v>3886</v>
      </c>
      <c r="R431" s="25" t="s">
        <v>3887</v>
      </c>
      <c r="S431" s="24" t="s">
        <v>3863</v>
      </c>
      <c r="T431" s="24" t="str">
        <f aca="false">"["&amp;안내!$C$5&amp;" "&amp;F431&amp;"] "&amp;L431&amp;" | "&amp;J431</f>
        <v>[1분 성경 구약 #452] 이방의 빛 | 사 49:1-50:11</v>
      </c>
      <c r="U431" s="26" t="n">
        <f aca="false">IF(D431="구약",IF(C431=1,안내!$C$9,안내!$C$10)+AD431-1,IF(C431=1,안내!$C$9,안내!$C$10)+7*INT((AD431-1)/4)+CHOOSE(MOD(AD431-1,4)+1,0,2,4,5))</f>
        <v>46849</v>
      </c>
      <c r="V431" s="23" t="str">
        <f aca="false">CHOOSE(WEEKDAY(U431,2),"월","화","수","목","금","토","일")</f>
        <v>목</v>
      </c>
      <c r="W431" s="24" t="str">
        <f aca="false">IFERROR(IF(INDEX($C$2:$C$799,MATCH(D431&amp;"#"&amp;(E431+1),$AC$2:$AC$799,0))=C431,"다음 편: ","시즌1 완결 · 시즌2 첫 편: ")&amp;INDEX($L$2:$L$799,MATCH(D431&amp;"#"&amp;(E431+1),$AC$2:$AC$799,0)),"구약 트랙 완결")</f>
        <v>다음 편: 좋은 소식을 전하는 발</v>
      </c>
      <c r="X431" s="23" t="s">
        <v>130</v>
      </c>
      <c r="Y431" s="23" t="s">
        <v>130</v>
      </c>
      <c r="Z431" s="23" t="s">
        <v>130</v>
      </c>
      <c r="AA431" s="23" t="s">
        <v>130</v>
      </c>
      <c r="AB431" s="24"/>
      <c r="AC431" s="23" t="str">
        <f aca="false">D431&amp;"#"&amp;E431</f>
        <v>구약#452</v>
      </c>
      <c r="AD431" s="23" t="n">
        <f aca="false">COUNTIFS($C$2:C431,C431,$D$2:D431,D431)</f>
        <v>270</v>
      </c>
    </row>
    <row r="432" customFormat="false" ht="25.35" hidden="false" customHeight="false" outlineLevel="0" collapsed="false">
      <c r="A432" s="21" t="n">
        <v>431</v>
      </c>
      <c r="B432" s="18" t="s">
        <v>3888</v>
      </c>
      <c r="C432" s="23" t="n">
        <v>2</v>
      </c>
      <c r="D432" s="23" t="s">
        <v>116</v>
      </c>
      <c r="E432" s="23" t="n">
        <f aca="false">IF(C432=1,COUNTIFS($C$2:C432,1,$D$2:D432,D432),COUNTIFS($C$2:$C$799,1,$D$2:$D$799,D432)+COUNTIFS($C$2:C432,2,$D$2:D432,D432))</f>
        <v>453</v>
      </c>
      <c r="F432" s="23" t="str">
        <f aca="false">D432&amp;" #"&amp;TEXT(E432,"000")</f>
        <v>구약 #453</v>
      </c>
      <c r="G432" s="18" t="s">
        <v>3854</v>
      </c>
      <c r="H432" s="18" t="s">
        <v>3855</v>
      </c>
      <c r="I432" s="21" t="s">
        <v>3720</v>
      </c>
      <c r="J432" s="22" t="s">
        <v>3889</v>
      </c>
      <c r="K432" s="23" t="s">
        <v>1085</v>
      </c>
      <c r="L432" s="24" t="s">
        <v>3890</v>
      </c>
      <c r="M432" s="24" t="s">
        <v>3891</v>
      </c>
      <c r="N432" s="23" t="s">
        <v>3892</v>
      </c>
      <c r="O432" s="24" t="s">
        <v>3893</v>
      </c>
      <c r="P432" s="24" t="s">
        <v>3894</v>
      </c>
      <c r="Q432" s="24" t="s">
        <v>3895</v>
      </c>
      <c r="R432" s="25" t="s">
        <v>3896</v>
      </c>
      <c r="S432" s="24" t="s">
        <v>3863</v>
      </c>
      <c r="T432" s="24" t="str">
        <f aca="false">"["&amp;안내!$C$5&amp;" "&amp;F432&amp;"] "&amp;L432&amp;" | "&amp;J432</f>
        <v>[1분 성경 구약 #453] 좋은 소식을 전하는 발 | 사 51:1-52:12</v>
      </c>
      <c r="U432" s="26" t="n">
        <f aca="false">IF(D432="구약",IF(C432=1,안내!$C$9,안내!$C$10)+AD432-1,IF(C432=1,안내!$C$9,안내!$C$10)+7*INT((AD432-1)/4)+CHOOSE(MOD(AD432-1,4)+1,0,2,4,5))</f>
        <v>46850</v>
      </c>
      <c r="V432" s="23" t="str">
        <f aca="false">CHOOSE(WEEKDAY(U432,2),"월","화","수","목","금","토","일")</f>
        <v>금</v>
      </c>
      <c r="W432" s="24" t="str">
        <f aca="false">IFERROR(IF(INDEX($C$2:$C$799,MATCH(D432&amp;"#"&amp;(E432+1),$AC$2:$AC$799,0))=C432,"다음 편: ","시즌1 완결 · 시즌2 첫 편: ")&amp;INDEX($L$2:$L$799,MATCH(D432&amp;"#"&amp;(E432+1),$AC$2:$AC$799,0)),"구약 트랙 완결")</f>
        <v>다음 편: 값없이 와서 사라</v>
      </c>
      <c r="X432" s="23" t="s">
        <v>130</v>
      </c>
      <c r="Y432" s="23" t="s">
        <v>130</v>
      </c>
      <c r="Z432" s="23" t="s">
        <v>130</v>
      </c>
      <c r="AA432" s="23" t="s">
        <v>130</v>
      </c>
      <c r="AB432" s="24"/>
      <c r="AC432" s="23" t="str">
        <f aca="false">D432&amp;"#"&amp;E432</f>
        <v>구약#453</v>
      </c>
      <c r="AD432" s="23" t="n">
        <f aca="false">COUNTIFS($C$2:C432,C432,$D$2:D432,D432)</f>
        <v>271</v>
      </c>
    </row>
    <row r="433" customFormat="false" ht="52.2" hidden="false" customHeight="false" outlineLevel="0" collapsed="false">
      <c r="A433" s="21" t="n">
        <v>432</v>
      </c>
      <c r="B433" s="18" t="s">
        <v>3897</v>
      </c>
      <c r="C433" s="20" t="n">
        <v>1</v>
      </c>
      <c r="D433" s="20" t="s">
        <v>116</v>
      </c>
      <c r="E433" s="20" t="n">
        <f aca="false">IF(C433=1,COUNTIFS($C$2:C433,1,$D$2:D433,D433),COUNTIFS($C$2:$C$799,1,$D$2:$D$799,D433)+COUNTIFS($C$2:C433,2,$D$2:D433,D433))</f>
        <v>161</v>
      </c>
      <c r="F433" s="20" t="str">
        <f aca="false">D433&amp;" #"&amp;TEXT(E433,"000")</f>
        <v>구약 #161</v>
      </c>
      <c r="G433" s="18" t="s">
        <v>3854</v>
      </c>
      <c r="H433" s="18" t="s">
        <v>3659</v>
      </c>
      <c r="I433" s="21" t="s">
        <v>3720</v>
      </c>
      <c r="J433" s="22" t="s">
        <v>3898</v>
      </c>
      <c r="K433" s="23" t="s">
        <v>1085</v>
      </c>
      <c r="L433" s="24" t="s">
        <v>3899</v>
      </c>
      <c r="M433" s="29" t="s">
        <v>3900</v>
      </c>
      <c r="N433" s="23" t="s">
        <v>3901</v>
      </c>
      <c r="O433" s="24" t="s">
        <v>3902</v>
      </c>
      <c r="P433" s="24" t="s">
        <v>3903</v>
      </c>
      <c r="Q433" s="24" t="s">
        <v>3904</v>
      </c>
      <c r="R433" s="25" t="s">
        <v>3905</v>
      </c>
      <c r="S433" s="28" t="s">
        <v>3906</v>
      </c>
      <c r="T433" s="24" t="str">
        <f aca="false">"["&amp;안내!$C$5&amp;" "&amp;F433&amp;"] "&amp;L433&amp;" | "&amp;J433</f>
        <v>[1분 성경 구약 #161] 그가 찔림은 | 사 52:13-53:12</v>
      </c>
      <c r="U433" s="26" t="n">
        <f aca="false">IF(D433="구약",IF(C433=1,안내!$C$9,안내!$C$10)+AD433-1,IF(C433=1,안내!$C$9,안내!$C$10)+7*INT((AD433-1)/4)+CHOOSE(MOD(AD433-1,4)+1,0,2,4,5))</f>
        <v>46551</v>
      </c>
      <c r="V433" s="23" t="str">
        <f aca="false">CHOOSE(WEEKDAY(U433,2),"월","화","수","목","금","토","일")</f>
        <v>일</v>
      </c>
      <c r="W433" s="24" t="str">
        <f aca="false">IFERROR(IF(INDEX($C$2:$C$799,MATCH(D433&amp;"#"&amp;(E433+1),$AC$2:$AC$799,0))=C433,"다음 편: ","시즌1 완결 · 시즌2 첫 편: ")&amp;INDEX($L$2:$L$799,MATCH(D433&amp;"#"&amp;(E433+1),$AC$2:$AC$799,0)),"구약 트랙 완결")</f>
        <v>다음 편: 나는 아이라</v>
      </c>
      <c r="X433" s="23" t="s">
        <v>130</v>
      </c>
      <c r="Y433" s="23" t="s">
        <v>130</v>
      </c>
      <c r="Z433" s="23" t="s">
        <v>130</v>
      </c>
      <c r="AA433" s="23" t="s">
        <v>130</v>
      </c>
      <c r="AB433" s="24"/>
      <c r="AC433" s="23" t="str">
        <f aca="false">D433&amp;"#"&amp;E433</f>
        <v>구약#161</v>
      </c>
      <c r="AD433" s="23" t="n">
        <f aca="false">COUNTIFS($C$2:C433,C433,$D$2:D433,D433)</f>
        <v>161</v>
      </c>
    </row>
    <row r="434" customFormat="false" ht="25.35" hidden="false" customHeight="false" outlineLevel="0" collapsed="false">
      <c r="A434" s="21" t="n">
        <v>433</v>
      </c>
      <c r="B434" s="18" t="s">
        <v>3907</v>
      </c>
      <c r="C434" s="23" t="n">
        <v>2</v>
      </c>
      <c r="D434" s="23" t="s">
        <v>116</v>
      </c>
      <c r="E434" s="23" t="n">
        <f aca="false">IF(C434=1,COUNTIFS($C$2:C434,1,$D$2:D434,D434),COUNTIFS($C$2:$C$799,1,$D$2:$D$799,D434)+COUNTIFS($C$2:C434,2,$D$2:D434,D434))</f>
        <v>454</v>
      </c>
      <c r="F434" s="23" t="str">
        <f aca="false">D434&amp;" #"&amp;TEXT(E434,"000")</f>
        <v>구약 #454</v>
      </c>
      <c r="G434" s="18" t="s">
        <v>3854</v>
      </c>
      <c r="H434" s="18" t="s">
        <v>3855</v>
      </c>
      <c r="I434" s="21" t="s">
        <v>3720</v>
      </c>
      <c r="J434" s="22" t="s">
        <v>3908</v>
      </c>
      <c r="K434" s="23" t="s">
        <v>1085</v>
      </c>
      <c r="L434" s="24" t="s">
        <v>3909</v>
      </c>
      <c r="M434" s="24" t="s">
        <v>3910</v>
      </c>
      <c r="N434" s="23" t="s">
        <v>3911</v>
      </c>
      <c r="O434" s="24" t="s">
        <v>3912</v>
      </c>
      <c r="P434" s="24" t="s">
        <v>3913</v>
      </c>
      <c r="Q434" s="24" t="s">
        <v>3914</v>
      </c>
      <c r="R434" s="24"/>
      <c r="S434" s="24" t="s">
        <v>3915</v>
      </c>
      <c r="T434" s="24" t="str">
        <f aca="false">"["&amp;안내!$C$5&amp;" "&amp;F434&amp;"] "&amp;L434&amp;" | "&amp;J434</f>
        <v>[1분 성경 구약 #454] 값없이 와서 사라 | 사 54:1-55:13</v>
      </c>
      <c r="U434" s="26" t="n">
        <f aca="false">IF(D434="구약",IF(C434=1,안내!$C$9,안내!$C$10)+AD434-1,IF(C434=1,안내!$C$9,안내!$C$10)+7*INT((AD434-1)/4)+CHOOSE(MOD(AD434-1,4)+1,0,2,4,5))</f>
        <v>46851</v>
      </c>
      <c r="V434" s="23" t="str">
        <f aca="false">CHOOSE(WEEKDAY(U434,2),"월","화","수","목","금","토","일")</f>
        <v>토</v>
      </c>
      <c r="W434" s="24" t="str">
        <f aca="false">IFERROR(IF(INDEX($C$2:$C$799,MATCH(D434&amp;"#"&amp;(E434+1),$AC$2:$AC$799,0))=C434,"다음 편: ","시즌1 완결 · 시즌2 첫 편: ")&amp;INDEX($L$2:$L$799,MATCH(D434&amp;"#"&amp;(E434+1),$AC$2:$AC$799,0)),"구약 트랙 완결")</f>
        <v>다음 편: 참된 금식</v>
      </c>
      <c r="X434" s="23" t="s">
        <v>130</v>
      </c>
      <c r="Y434" s="23" t="s">
        <v>130</v>
      </c>
      <c r="Z434" s="23" t="s">
        <v>130</v>
      </c>
      <c r="AA434" s="23" t="s">
        <v>130</v>
      </c>
      <c r="AB434" s="24"/>
      <c r="AC434" s="23" t="str">
        <f aca="false">D434&amp;"#"&amp;E434</f>
        <v>구약#454</v>
      </c>
      <c r="AD434" s="23" t="n">
        <f aca="false">COUNTIFS($C$2:C434,C434,$D$2:D434,D434)</f>
        <v>272</v>
      </c>
    </row>
    <row r="435" customFormat="false" ht="26.85" hidden="false" customHeight="false" outlineLevel="0" collapsed="false">
      <c r="A435" s="21" t="n">
        <v>434</v>
      </c>
      <c r="B435" s="18" t="s">
        <v>3916</v>
      </c>
      <c r="C435" s="23" t="n">
        <v>2</v>
      </c>
      <c r="D435" s="23" t="s">
        <v>116</v>
      </c>
      <c r="E435" s="23" t="n">
        <f aca="false">IF(C435=1,COUNTIFS($C$2:C435,1,$D$2:D435,D435),COUNTIFS($C$2:$C$799,1,$D$2:$D$799,D435)+COUNTIFS($C$2:C435,2,$D$2:D435,D435))</f>
        <v>455</v>
      </c>
      <c r="F435" s="23" t="str">
        <f aca="false">D435&amp;" #"&amp;TEXT(E435,"000")</f>
        <v>구약 #455</v>
      </c>
      <c r="G435" s="18" t="s">
        <v>3854</v>
      </c>
      <c r="H435" s="18" t="s">
        <v>3855</v>
      </c>
      <c r="I435" s="21" t="s">
        <v>3720</v>
      </c>
      <c r="J435" s="22" t="s">
        <v>3917</v>
      </c>
      <c r="K435" s="23" t="s">
        <v>1085</v>
      </c>
      <c r="L435" s="24" t="s">
        <v>3918</v>
      </c>
      <c r="M435" s="24" t="s">
        <v>3919</v>
      </c>
      <c r="N435" s="23" t="s">
        <v>3920</v>
      </c>
      <c r="O435" s="24" t="s">
        <v>3921</v>
      </c>
      <c r="P435" s="24" t="s">
        <v>3734</v>
      </c>
      <c r="Q435" s="24" t="s">
        <v>3922</v>
      </c>
      <c r="R435" s="24"/>
      <c r="S435" s="24" t="s">
        <v>3915</v>
      </c>
      <c r="T435" s="24" t="str">
        <f aca="false">"["&amp;안내!$C$5&amp;" "&amp;F435&amp;"] "&amp;L435&amp;" | "&amp;J435</f>
        <v>[1분 성경 구약 #455] 참된 금식 | 사 56:1-59:21</v>
      </c>
      <c r="U435" s="26" t="n">
        <f aca="false">IF(D435="구약",IF(C435=1,안내!$C$9,안내!$C$10)+AD435-1,IF(C435=1,안내!$C$9,안내!$C$10)+7*INT((AD435-1)/4)+CHOOSE(MOD(AD435-1,4)+1,0,2,4,5))</f>
        <v>46852</v>
      </c>
      <c r="V435" s="23" t="str">
        <f aca="false">CHOOSE(WEEKDAY(U435,2),"월","화","수","목","금","토","일")</f>
        <v>일</v>
      </c>
      <c r="W435" s="24" t="str">
        <f aca="false">IFERROR(IF(INDEX($C$2:$C$799,MATCH(D435&amp;"#"&amp;(E435+1),$AC$2:$AC$799,0))=C435,"다음 편: ","시즌1 완결 · 시즌2 첫 편: ")&amp;INDEX($L$2:$L$799,MATCH(D435&amp;"#"&amp;(E435+1),$AC$2:$AC$799,0)),"구약 트랙 완결")</f>
        <v>다음 편: 일어나 빛을 발하라</v>
      </c>
      <c r="X435" s="23" t="s">
        <v>130</v>
      </c>
      <c r="Y435" s="23" t="s">
        <v>130</v>
      </c>
      <c r="Z435" s="23" t="s">
        <v>130</v>
      </c>
      <c r="AA435" s="23" t="s">
        <v>130</v>
      </c>
      <c r="AB435" s="24"/>
      <c r="AC435" s="23" t="str">
        <f aca="false">D435&amp;"#"&amp;E435</f>
        <v>구약#455</v>
      </c>
      <c r="AD435" s="23" t="n">
        <f aca="false">COUNTIFS($C$2:C435,C435,$D$2:D435,D435)</f>
        <v>273</v>
      </c>
    </row>
    <row r="436" customFormat="false" ht="25.35" hidden="false" customHeight="false" outlineLevel="0" collapsed="false">
      <c r="A436" s="21" t="n">
        <v>435</v>
      </c>
      <c r="B436" s="18" t="s">
        <v>3923</v>
      </c>
      <c r="C436" s="23" t="n">
        <v>2</v>
      </c>
      <c r="D436" s="23" t="s">
        <v>116</v>
      </c>
      <c r="E436" s="23" t="n">
        <f aca="false">IF(C436=1,COUNTIFS($C$2:C436,1,$D$2:D436,D436),COUNTIFS($C$2:$C$799,1,$D$2:$D$799,D436)+COUNTIFS($C$2:C436,2,$D$2:D436,D436))</f>
        <v>456</v>
      </c>
      <c r="F436" s="23" t="str">
        <f aca="false">D436&amp;" #"&amp;TEXT(E436,"000")</f>
        <v>구약 #456</v>
      </c>
      <c r="G436" s="18" t="s">
        <v>3854</v>
      </c>
      <c r="H436" s="18" t="s">
        <v>3855</v>
      </c>
      <c r="I436" s="21" t="s">
        <v>3720</v>
      </c>
      <c r="J436" s="22" t="s">
        <v>3924</v>
      </c>
      <c r="K436" s="23" t="s">
        <v>1085</v>
      </c>
      <c r="L436" s="24" t="s">
        <v>3925</v>
      </c>
      <c r="M436" s="24" t="s">
        <v>3926</v>
      </c>
      <c r="N436" s="23" t="s">
        <v>3927</v>
      </c>
      <c r="O436" s="24" t="s">
        <v>3928</v>
      </c>
      <c r="P436" s="24" t="s">
        <v>3720</v>
      </c>
      <c r="Q436" s="24" t="s">
        <v>3929</v>
      </c>
      <c r="R436" s="27" t="s">
        <v>3930</v>
      </c>
      <c r="S436" s="24" t="s">
        <v>3915</v>
      </c>
      <c r="T436" s="24" t="str">
        <f aca="false">"["&amp;안내!$C$5&amp;" "&amp;F436&amp;"] "&amp;L436&amp;" | "&amp;J436</f>
        <v>[1분 성경 구약 #456] 일어나 빛을 발하라 | 사 60:1-62:12</v>
      </c>
      <c r="U436" s="26" t="n">
        <f aca="false">IF(D436="구약",IF(C436=1,안내!$C$9,안내!$C$10)+AD436-1,IF(C436=1,안내!$C$9,안내!$C$10)+7*INT((AD436-1)/4)+CHOOSE(MOD(AD436-1,4)+1,0,2,4,5))</f>
        <v>46853</v>
      </c>
      <c r="V436" s="23" t="str">
        <f aca="false">CHOOSE(WEEKDAY(U436,2),"월","화","수","목","금","토","일")</f>
        <v>월</v>
      </c>
      <c r="W436" s="24" t="str">
        <f aca="false">IFERROR(IF(INDEX($C$2:$C$799,MATCH(D436&amp;"#"&amp;(E436+1),$AC$2:$AC$799,0))=C436,"다음 편: ","시즌1 완결 · 시즌2 첫 편: ")&amp;INDEX($L$2:$L$799,MATCH(D436&amp;"#"&amp;(E436+1),$AC$2:$AC$799,0)),"구약 트랙 완결")</f>
        <v>다음 편: 새 하늘과 새 땅</v>
      </c>
      <c r="X436" s="23" t="s">
        <v>130</v>
      </c>
      <c r="Y436" s="23" t="s">
        <v>130</v>
      </c>
      <c r="Z436" s="23" t="s">
        <v>130</v>
      </c>
      <c r="AA436" s="23" t="s">
        <v>130</v>
      </c>
      <c r="AB436" s="24"/>
      <c r="AC436" s="23" t="str">
        <f aca="false">D436&amp;"#"&amp;E436</f>
        <v>구약#456</v>
      </c>
      <c r="AD436" s="23" t="n">
        <f aca="false">COUNTIFS($C$2:C436,C436,$D$2:D436,D436)</f>
        <v>274</v>
      </c>
    </row>
    <row r="437" customFormat="false" ht="25.35" hidden="false" customHeight="false" outlineLevel="0" collapsed="false">
      <c r="A437" s="21" t="n">
        <v>436</v>
      </c>
      <c r="B437" s="18" t="s">
        <v>3931</v>
      </c>
      <c r="C437" s="23" t="n">
        <v>2</v>
      </c>
      <c r="D437" s="23" t="s">
        <v>116</v>
      </c>
      <c r="E437" s="23" t="n">
        <f aca="false">IF(C437=1,COUNTIFS($C$2:C437,1,$D$2:D437,D437),COUNTIFS($C$2:$C$799,1,$D$2:$D$799,D437)+COUNTIFS($C$2:C437,2,$D$2:D437,D437))</f>
        <v>457</v>
      </c>
      <c r="F437" s="23" t="str">
        <f aca="false">D437&amp;" #"&amp;TEXT(E437,"000")</f>
        <v>구약 #457</v>
      </c>
      <c r="G437" s="18" t="s">
        <v>3854</v>
      </c>
      <c r="H437" s="18" t="s">
        <v>3855</v>
      </c>
      <c r="I437" s="21" t="s">
        <v>3720</v>
      </c>
      <c r="J437" s="22" t="s">
        <v>3932</v>
      </c>
      <c r="K437" s="23" t="s">
        <v>1085</v>
      </c>
      <c r="L437" s="24" t="s">
        <v>3933</v>
      </c>
      <c r="M437" s="24" t="s">
        <v>3934</v>
      </c>
      <c r="N437" s="23" t="s">
        <v>3935</v>
      </c>
      <c r="O437" s="24" t="s">
        <v>3936</v>
      </c>
      <c r="P437" s="24" t="s">
        <v>3720</v>
      </c>
      <c r="Q437" s="24" t="s">
        <v>3933</v>
      </c>
      <c r="R437" s="25" t="s">
        <v>3937</v>
      </c>
      <c r="S437" s="24" t="s">
        <v>3915</v>
      </c>
      <c r="T437" s="24" t="str">
        <f aca="false">"["&amp;안내!$C$5&amp;" "&amp;F437&amp;"] "&amp;L437&amp;" | "&amp;J437</f>
        <v>[1분 성경 구약 #457] 새 하늘과 새 땅 | 사 63:1-66:24</v>
      </c>
      <c r="U437" s="26" t="n">
        <f aca="false">IF(D437="구약",IF(C437=1,안내!$C$9,안내!$C$10)+AD437-1,IF(C437=1,안내!$C$9,안내!$C$10)+7*INT((AD437-1)/4)+CHOOSE(MOD(AD437-1,4)+1,0,2,4,5))</f>
        <v>46854</v>
      </c>
      <c r="V437" s="23" t="str">
        <f aca="false">CHOOSE(WEEKDAY(U437,2),"월","화","수","목","금","토","일")</f>
        <v>화</v>
      </c>
      <c r="W437" s="24" t="str">
        <f aca="false">IFERROR(IF(INDEX($C$2:$C$799,MATCH(D437&amp;"#"&amp;(E437+1),$AC$2:$AC$799,0))=C437,"다음 편: ","시즌1 완결 · 시즌2 첫 편: ")&amp;INDEX($L$2:$L$799,MATCH(D437&amp;"#"&amp;(E437+1),$AC$2:$AC$799,0)),"구약 트랙 완결")</f>
        <v>다음 편: 터진 웅덩이</v>
      </c>
      <c r="X437" s="23" t="s">
        <v>130</v>
      </c>
      <c r="Y437" s="23" t="s">
        <v>130</v>
      </c>
      <c r="Z437" s="23" t="s">
        <v>130</v>
      </c>
      <c r="AA437" s="23" t="s">
        <v>130</v>
      </c>
      <c r="AB437" s="24"/>
      <c r="AC437" s="23" t="str">
        <f aca="false">D437&amp;"#"&amp;E437</f>
        <v>구약#457</v>
      </c>
      <c r="AD437" s="23" t="n">
        <f aca="false">COUNTIFS($C$2:C437,C437,$D$2:D437,D437)</f>
        <v>275</v>
      </c>
    </row>
    <row r="438" customFormat="false" ht="52.2" hidden="false" customHeight="false" outlineLevel="0" collapsed="false">
      <c r="A438" s="21" t="n">
        <v>437</v>
      </c>
      <c r="B438" s="18" t="s">
        <v>3938</v>
      </c>
      <c r="C438" s="20" t="n">
        <v>1</v>
      </c>
      <c r="D438" s="20" t="s">
        <v>116</v>
      </c>
      <c r="E438" s="20" t="n">
        <f aca="false">IF(C438=1,COUNTIFS($C$2:C438,1,$D$2:D438,D438),COUNTIFS($C$2:$C$799,1,$D$2:$D$799,D438)+COUNTIFS($C$2:C438,2,$D$2:D438,D438))</f>
        <v>162</v>
      </c>
      <c r="F438" s="20" t="str">
        <f aca="false">D438&amp;" #"&amp;TEXT(E438,"000")</f>
        <v>구약 #162</v>
      </c>
      <c r="G438" s="18" t="s">
        <v>3939</v>
      </c>
      <c r="H438" s="18" t="s">
        <v>3659</v>
      </c>
      <c r="I438" s="21" t="s">
        <v>3940</v>
      </c>
      <c r="J438" s="22" t="s">
        <v>3941</v>
      </c>
      <c r="K438" s="23" t="s">
        <v>1085</v>
      </c>
      <c r="L438" s="24" t="s">
        <v>3942</v>
      </c>
      <c r="M438" s="24" t="s">
        <v>3943</v>
      </c>
      <c r="N438" s="23" t="s">
        <v>3944</v>
      </c>
      <c r="O438" s="24" t="s">
        <v>3945</v>
      </c>
      <c r="P438" s="24" t="s">
        <v>3946</v>
      </c>
      <c r="Q438" s="24" t="s">
        <v>3947</v>
      </c>
      <c r="R438" s="24"/>
      <c r="S438" s="28" t="s">
        <v>3948</v>
      </c>
      <c r="T438" s="24" t="str">
        <f aca="false">"["&amp;안내!$C$5&amp;" "&amp;F438&amp;"] "&amp;L438&amp;" | "&amp;J438</f>
        <v>[1분 성경 구약 #162] 나는 아이라 | 렘 1:1-19</v>
      </c>
      <c r="U438" s="26" t="n">
        <f aca="false">IF(D438="구약",IF(C438=1,안내!$C$9,안내!$C$10)+AD438-1,IF(C438=1,안내!$C$9,안내!$C$10)+7*INT((AD438-1)/4)+CHOOSE(MOD(AD438-1,4)+1,0,2,4,5))</f>
        <v>46552</v>
      </c>
      <c r="V438" s="23" t="str">
        <f aca="false">CHOOSE(WEEKDAY(U438,2),"월","화","수","목","금","토","일")</f>
        <v>월</v>
      </c>
      <c r="W438" s="24" t="str">
        <f aca="false">IFERROR(IF(INDEX($C$2:$C$799,MATCH(D438&amp;"#"&amp;(E438+1),$AC$2:$AC$799,0))=C438,"다음 편: ","시즌1 완결 · 시즌2 첫 편: ")&amp;INDEX($L$2:$L$799,MATCH(D438&amp;"#"&amp;(E438+1),$AC$2:$AC$799,0)),"구약 트랙 완결")</f>
        <v>다음 편: 토기장이의 집</v>
      </c>
      <c r="X438" s="23" t="s">
        <v>130</v>
      </c>
      <c r="Y438" s="23" t="s">
        <v>130</v>
      </c>
      <c r="Z438" s="23" t="s">
        <v>130</v>
      </c>
      <c r="AA438" s="23" t="s">
        <v>130</v>
      </c>
      <c r="AB438" s="24"/>
      <c r="AC438" s="23" t="str">
        <f aca="false">D438&amp;"#"&amp;E438</f>
        <v>구약#162</v>
      </c>
      <c r="AD438" s="23" t="n">
        <f aca="false">COUNTIFS($C$2:C438,C438,$D$2:D438,D438)</f>
        <v>162</v>
      </c>
    </row>
    <row r="439" customFormat="false" ht="26.85" hidden="false" customHeight="false" outlineLevel="0" collapsed="false">
      <c r="A439" s="21" t="n">
        <v>438</v>
      </c>
      <c r="B439" s="18" t="s">
        <v>3949</v>
      </c>
      <c r="C439" s="23" t="n">
        <v>2</v>
      </c>
      <c r="D439" s="23" t="s">
        <v>116</v>
      </c>
      <c r="E439" s="23" t="n">
        <f aca="false">IF(C439=1,COUNTIFS($C$2:C439,1,$D$2:D439,D439),COUNTIFS($C$2:$C$799,1,$D$2:$D$799,D439)+COUNTIFS($C$2:C439,2,$D$2:D439,D439))</f>
        <v>458</v>
      </c>
      <c r="F439" s="23" t="str">
        <f aca="false">D439&amp;" #"&amp;TEXT(E439,"000")</f>
        <v>구약 #458</v>
      </c>
      <c r="G439" s="18" t="s">
        <v>3939</v>
      </c>
      <c r="H439" s="18" t="s">
        <v>3950</v>
      </c>
      <c r="I439" s="21" t="s">
        <v>3940</v>
      </c>
      <c r="J439" s="22" t="s">
        <v>3951</v>
      </c>
      <c r="K439" s="23" t="s">
        <v>1085</v>
      </c>
      <c r="L439" s="24" t="s">
        <v>3952</v>
      </c>
      <c r="M439" s="24" t="s">
        <v>3953</v>
      </c>
      <c r="N439" s="23" t="s">
        <v>3954</v>
      </c>
      <c r="O439" s="24" t="s">
        <v>3955</v>
      </c>
      <c r="P439" s="24" t="s">
        <v>3940</v>
      </c>
      <c r="Q439" s="24" t="s">
        <v>3956</v>
      </c>
      <c r="R439" s="24"/>
      <c r="S439" s="24" t="s">
        <v>3957</v>
      </c>
      <c r="T439" s="24" t="str">
        <f aca="false">"["&amp;안내!$C$5&amp;" "&amp;F439&amp;"] "&amp;L439&amp;" | "&amp;J439</f>
        <v>[1분 성경 구약 #458] 터진 웅덩이 | 렘 2:1-6:30</v>
      </c>
      <c r="U439" s="26" t="n">
        <f aca="false">IF(D439="구약",IF(C439=1,안내!$C$9,안내!$C$10)+AD439-1,IF(C439=1,안내!$C$9,안내!$C$10)+7*INT((AD439-1)/4)+CHOOSE(MOD(AD439-1,4)+1,0,2,4,5))</f>
        <v>46855</v>
      </c>
      <c r="V439" s="23" t="str">
        <f aca="false">CHOOSE(WEEKDAY(U439,2),"월","화","수","목","금","토","일")</f>
        <v>수</v>
      </c>
      <c r="W439" s="24" t="str">
        <f aca="false">IFERROR(IF(INDEX($C$2:$C$799,MATCH(D439&amp;"#"&amp;(E439+1),$AC$2:$AC$799,0))=C439,"다음 편: ","시즌1 완결 · 시즌2 첫 편: ")&amp;INDEX($L$2:$L$799,MATCH(D439&amp;"#"&amp;(E439+1),$AC$2:$AC$799,0)),"구약 트랙 완결")</f>
        <v>다음 편: 성전 문 앞의 설교</v>
      </c>
      <c r="X439" s="23" t="s">
        <v>130</v>
      </c>
      <c r="Y439" s="23" t="s">
        <v>130</v>
      </c>
      <c r="Z439" s="23" t="s">
        <v>130</v>
      </c>
      <c r="AA439" s="23" t="s">
        <v>130</v>
      </c>
      <c r="AB439" s="24"/>
      <c r="AC439" s="23" t="str">
        <f aca="false">D439&amp;"#"&amp;E439</f>
        <v>구약#458</v>
      </c>
      <c r="AD439" s="23" t="n">
        <f aca="false">COUNTIFS($C$2:C439,C439,$D$2:D439,D439)</f>
        <v>276</v>
      </c>
    </row>
    <row r="440" customFormat="false" ht="26.85" hidden="false" customHeight="false" outlineLevel="0" collapsed="false">
      <c r="A440" s="21" t="n">
        <v>439</v>
      </c>
      <c r="B440" s="18" t="s">
        <v>3958</v>
      </c>
      <c r="C440" s="23" t="n">
        <v>2</v>
      </c>
      <c r="D440" s="23" t="s">
        <v>116</v>
      </c>
      <c r="E440" s="23" t="n">
        <f aca="false">IF(C440=1,COUNTIFS($C$2:C440,1,$D$2:D440,D440),COUNTIFS($C$2:$C$799,1,$D$2:$D$799,D440)+COUNTIFS($C$2:C440,2,$D$2:D440,D440))</f>
        <v>459</v>
      </c>
      <c r="F440" s="23" t="str">
        <f aca="false">D440&amp;" #"&amp;TEXT(E440,"000")</f>
        <v>구약 #459</v>
      </c>
      <c r="G440" s="18" t="s">
        <v>3939</v>
      </c>
      <c r="H440" s="18" t="s">
        <v>3950</v>
      </c>
      <c r="I440" s="21" t="s">
        <v>3940</v>
      </c>
      <c r="J440" s="22" t="s">
        <v>3959</v>
      </c>
      <c r="K440" s="23" t="s">
        <v>1085</v>
      </c>
      <c r="L440" s="24" t="s">
        <v>3960</v>
      </c>
      <c r="M440" s="24" t="s">
        <v>3961</v>
      </c>
      <c r="N440" s="23" t="s">
        <v>3962</v>
      </c>
      <c r="O440" s="24" t="s">
        <v>3963</v>
      </c>
      <c r="P440" s="24" t="s">
        <v>3964</v>
      </c>
      <c r="Q440" s="24" t="s">
        <v>3482</v>
      </c>
      <c r="R440" s="24"/>
      <c r="S440" s="24" t="s">
        <v>3957</v>
      </c>
      <c r="T440" s="24" t="str">
        <f aca="false">"["&amp;안내!$C$5&amp;" "&amp;F440&amp;"] "&amp;L440&amp;" | "&amp;J440</f>
        <v>[1분 성경 구약 #459] 성전 문 앞의 설교 | 렘 7:1-8:3</v>
      </c>
      <c r="U440" s="26" t="n">
        <f aca="false">IF(D440="구약",IF(C440=1,안내!$C$9,안내!$C$10)+AD440-1,IF(C440=1,안내!$C$9,안내!$C$10)+7*INT((AD440-1)/4)+CHOOSE(MOD(AD440-1,4)+1,0,2,4,5))</f>
        <v>46856</v>
      </c>
      <c r="V440" s="23" t="str">
        <f aca="false">CHOOSE(WEEKDAY(U440,2),"월","화","수","목","금","토","일")</f>
        <v>목</v>
      </c>
      <c r="W440" s="24" t="str">
        <f aca="false">IFERROR(IF(INDEX($C$2:$C$799,MATCH(D440&amp;"#"&amp;(E440+1),$AC$2:$AC$799,0))=C440,"다음 편: ","시즌1 완결 · 시즌2 첫 편: ")&amp;INDEX($L$2:$L$799,MATCH(D440&amp;"#"&amp;(E440+1),$AC$2:$AC$799,0)),"구약 트랙 완결")</f>
        <v>다음 편: 길르앗에는 유향이 없는가</v>
      </c>
      <c r="X440" s="23" t="s">
        <v>130</v>
      </c>
      <c r="Y440" s="23" t="s">
        <v>130</v>
      </c>
      <c r="Z440" s="23" t="s">
        <v>130</v>
      </c>
      <c r="AA440" s="23" t="s">
        <v>130</v>
      </c>
      <c r="AB440" s="24"/>
      <c r="AC440" s="23" t="str">
        <f aca="false">D440&amp;"#"&amp;E440</f>
        <v>구약#459</v>
      </c>
      <c r="AD440" s="23" t="n">
        <f aca="false">COUNTIFS($C$2:C440,C440,$D$2:D440,D440)</f>
        <v>277</v>
      </c>
    </row>
    <row r="441" customFormat="false" ht="26.85" hidden="false" customHeight="false" outlineLevel="0" collapsed="false">
      <c r="A441" s="21" t="n">
        <v>440</v>
      </c>
      <c r="B441" s="18" t="s">
        <v>3965</v>
      </c>
      <c r="C441" s="23" t="n">
        <v>2</v>
      </c>
      <c r="D441" s="23" t="s">
        <v>116</v>
      </c>
      <c r="E441" s="23" t="n">
        <f aca="false">IF(C441=1,COUNTIFS($C$2:C441,1,$D$2:D441,D441),COUNTIFS($C$2:$C$799,1,$D$2:$D$799,D441)+COUNTIFS($C$2:C441,2,$D$2:D441,D441))</f>
        <v>460</v>
      </c>
      <c r="F441" s="23" t="str">
        <f aca="false">D441&amp;" #"&amp;TEXT(E441,"000")</f>
        <v>구약 #460</v>
      </c>
      <c r="G441" s="18" t="s">
        <v>3939</v>
      </c>
      <c r="H441" s="18" t="s">
        <v>3950</v>
      </c>
      <c r="I441" s="21" t="s">
        <v>3940</v>
      </c>
      <c r="J441" s="22" t="s">
        <v>3966</v>
      </c>
      <c r="K441" s="23" t="s">
        <v>1085</v>
      </c>
      <c r="L441" s="24" t="s">
        <v>3967</v>
      </c>
      <c r="M441" s="24" t="s">
        <v>3968</v>
      </c>
      <c r="N441" s="23" t="s">
        <v>3969</v>
      </c>
      <c r="O441" s="24" t="s">
        <v>3970</v>
      </c>
      <c r="P441" s="24" t="s">
        <v>3940</v>
      </c>
      <c r="Q441" s="24" t="s">
        <v>3971</v>
      </c>
      <c r="R441" s="24"/>
      <c r="S441" s="24" t="s">
        <v>3957</v>
      </c>
      <c r="T441" s="24" t="str">
        <f aca="false">"["&amp;안내!$C$5&amp;" "&amp;F441&amp;"] "&amp;L441&amp;" | "&amp;J441</f>
        <v>[1분 성경 구약 #460] 길르앗에는 유향이 없는가 | 렘 8:4-10:25</v>
      </c>
      <c r="U441" s="26" t="n">
        <f aca="false">IF(D441="구약",IF(C441=1,안내!$C$9,안내!$C$10)+AD441-1,IF(C441=1,안내!$C$9,안내!$C$10)+7*INT((AD441-1)/4)+CHOOSE(MOD(AD441-1,4)+1,0,2,4,5))</f>
        <v>46857</v>
      </c>
      <c r="V441" s="23" t="str">
        <f aca="false">CHOOSE(WEEKDAY(U441,2),"월","화","수","목","금","토","일")</f>
        <v>금</v>
      </c>
      <c r="W441" s="24" t="str">
        <f aca="false">IFERROR(IF(INDEX($C$2:$C$799,MATCH(D441&amp;"#"&amp;(E441+1),$AC$2:$AC$799,0))=C441,"다음 편: ","시즌1 완결 · 시즌2 첫 편: ")&amp;INDEX($L$2:$L$799,MATCH(D441&amp;"#"&amp;(E441+1),$AC$2:$AC$799,0)),"구약 트랙 완결")</f>
        <v>다음 편: 고향 사람들의 음모</v>
      </c>
      <c r="X441" s="23" t="s">
        <v>130</v>
      </c>
      <c r="Y441" s="23" t="s">
        <v>130</v>
      </c>
      <c r="Z441" s="23" t="s">
        <v>130</v>
      </c>
      <c r="AA441" s="23" t="s">
        <v>130</v>
      </c>
      <c r="AB441" s="24"/>
      <c r="AC441" s="23" t="str">
        <f aca="false">D441&amp;"#"&amp;E441</f>
        <v>구약#460</v>
      </c>
      <c r="AD441" s="23" t="n">
        <f aca="false">COUNTIFS($C$2:C441,C441,$D$2:D441,D441)</f>
        <v>278</v>
      </c>
    </row>
    <row r="442" customFormat="false" ht="25.35" hidden="false" customHeight="false" outlineLevel="0" collapsed="false">
      <c r="A442" s="21" t="n">
        <v>441</v>
      </c>
      <c r="B442" s="18" t="s">
        <v>3972</v>
      </c>
      <c r="C442" s="23" t="n">
        <v>2</v>
      </c>
      <c r="D442" s="23" t="s">
        <v>116</v>
      </c>
      <c r="E442" s="23" t="n">
        <f aca="false">IF(C442=1,COUNTIFS($C$2:C442,1,$D$2:D442,D442),COUNTIFS($C$2:$C$799,1,$D$2:$D$799,D442)+COUNTIFS($C$2:C442,2,$D$2:D442,D442))</f>
        <v>461</v>
      </c>
      <c r="F442" s="23" t="str">
        <f aca="false">D442&amp;" #"&amp;TEXT(E442,"000")</f>
        <v>구약 #461</v>
      </c>
      <c r="G442" s="18" t="s">
        <v>3939</v>
      </c>
      <c r="H442" s="18" t="s">
        <v>3950</v>
      </c>
      <c r="I442" s="21" t="s">
        <v>3940</v>
      </c>
      <c r="J442" s="22" t="s">
        <v>3973</v>
      </c>
      <c r="K442" s="23" t="s">
        <v>1085</v>
      </c>
      <c r="L442" s="24" t="s">
        <v>3974</v>
      </c>
      <c r="M442" s="24" t="s">
        <v>3975</v>
      </c>
      <c r="N442" s="23" t="s">
        <v>3976</v>
      </c>
      <c r="O442" s="24" t="s">
        <v>3977</v>
      </c>
      <c r="P442" s="24" t="s">
        <v>3978</v>
      </c>
      <c r="Q442" s="24" t="s">
        <v>3979</v>
      </c>
      <c r="R442" s="24"/>
      <c r="S442" s="24" t="s">
        <v>3957</v>
      </c>
      <c r="T442" s="24" t="str">
        <f aca="false">"["&amp;안내!$C$5&amp;" "&amp;F442&amp;"] "&amp;L442&amp;" | "&amp;J442</f>
        <v>[1분 성경 구약 #461] 고향 사람들의 음모 | 렘 11:1-12:17</v>
      </c>
      <c r="U442" s="26" t="n">
        <f aca="false">IF(D442="구약",IF(C442=1,안내!$C$9,안내!$C$10)+AD442-1,IF(C442=1,안내!$C$9,안내!$C$10)+7*INT((AD442-1)/4)+CHOOSE(MOD(AD442-1,4)+1,0,2,4,5))</f>
        <v>46858</v>
      </c>
      <c r="V442" s="23" t="str">
        <f aca="false">CHOOSE(WEEKDAY(U442,2),"월","화","수","목","금","토","일")</f>
        <v>토</v>
      </c>
      <c r="W442" s="24" t="str">
        <f aca="false">IFERROR(IF(INDEX($C$2:$C$799,MATCH(D442&amp;"#"&amp;(E442+1),$AC$2:$AC$799,0))=C442,"다음 편: ","시즌1 완결 · 시즌2 첫 편: ")&amp;INDEX($L$2:$L$799,MATCH(D442&amp;"#"&amp;(E442+1),$AC$2:$AC$799,0)),"구약 트랙 완결")</f>
        <v>다음 편: 썩은 띠</v>
      </c>
      <c r="X442" s="23" t="s">
        <v>130</v>
      </c>
      <c r="Y442" s="23" t="s">
        <v>130</v>
      </c>
      <c r="Z442" s="23" t="s">
        <v>130</v>
      </c>
      <c r="AA442" s="23" t="s">
        <v>130</v>
      </c>
      <c r="AB442" s="24"/>
      <c r="AC442" s="23" t="str">
        <f aca="false">D442&amp;"#"&amp;E442</f>
        <v>구약#461</v>
      </c>
      <c r="AD442" s="23" t="n">
        <f aca="false">COUNTIFS($C$2:C442,C442,$D$2:D442,D442)</f>
        <v>279</v>
      </c>
    </row>
    <row r="443" customFormat="false" ht="26.85" hidden="false" customHeight="false" outlineLevel="0" collapsed="false">
      <c r="A443" s="21" t="n">
        <v>442</v>
      </c>
      <c r="B443" s="18" t="s">
        <v>3980</v>
      </c>
      <c r="C443" s="23" t="n">
        <v>2</v>
      </c>
      <c r="D443" s="23" t="s">
        <v>116</v>
      </c>
      <c r="E443" s="23" t="n">
        <f aca="false">IF(C443=1,COUNTIFS($C$2:C443,1,$D$2:D443,D443),COUNTIFS($C$2:$C$799,1,$D$2:$D$799,D443)+COUNTIFS($C$2:C443,2,$D$2:D443,D443))</f>
        <v>462</v>
      </c>
      <c r="F443" s="23" t="str">
        <f aca="false">D443&amp;" #"&amp;TEXT(E443,"000")</f>
        <v>구약 #462</v>
      </c>
      <c r="G443" s="18" t="s">
        <v>3939</v>
      </c>
      <c r="H443" s="18" t="s">
        <v>3950</v>
      </c>
      <c r="I443" s="21" t="s">
        <v>3940</v>
      </c>
      <c r="J443" s="22" t="s">
        <v>3981</v>
      </c>
      <c r="K443" s="23" t="s">
        <v>1085</v>
      </c>
      <c r="L443" s="24" t="s">
        <v>3982</v>
      </c>
      <c r="M443" s="24" t="s">
        <v>3983</v>
      </c>
      <c r="N443" s="23" t="s">
        <v>3984</v>
      </c>
      <c r="O443" s="24" t="s">
        <v>3985</v>
      </c>
      <c r="P443" s="24" t="s">
        <v>3940</v>
      </c>
      <c r="Q443" s="24" t="s">
        <v>3986</v>
      </c>
      <c r="R443" s="24"/>
      <c r="S443" s="24" t="s">
        <v>3957</v>
      </c>
      <c r="T443" s="24" t="str">
        <f aca="false">"["&amp;안내!$C$5&amp;" "&amp;F443&amp;"] "&amp;L443&amp;" | "&amp;J443</f>
        <v>[1분 성경 구약 #462] 썩은 띠 | 렘 13:1-27</v>
      </c>
      <c r="U443" s="26" t="n">
        <f aca="false">IF(D443="구약",IF(C443=1,안내!$C$9,안내!$C$10)+AD443-1,IF(C443=1,안내!$C$9,안내!$C$10)+7*INT((AD443-1)/4)+CHOOSE(MOD(AD443-1,4)+1,0,2,4,5))</f>
        <v>46859</v>
      </c>
      <c r="V443" s="23" t="str">
        <f aca="false">CHOOSE(WEEKDAY(U443,2),"월","화","수","목","금","토","일")</f>
        <v>일</v>
      </c>
      <c r="W443" s="24" t="str">
        <f aca="false">IFERROR(IF(INDEX($C$2:$C$799,MATCH(D443&amp;"#"&amp;(E443+1),$AC$2:$AC$799,0))=C443,"다음 편: ","시즌1 완결 · 시즌2 첫 편: ")&amp;INDEX($L$2:$L$799,MATCH(D443&amp;"#"&amp;(E443+1),$AC$2:$AC$799,0)),"구약 트랙 완결")</f>
        <v>다음 편: 만물보다 거짓된 마음</v>
      </c>
      <c r="X443" s="23" t="s">
        <v>130</v>
      </c>
      <c r="Y443" s="23" t="s">
        <v>130</v>
      </c>
      <c r="Z443" s="23" t="s">
        <v>130</v>
      </c>
      <c r="AA443" s="23" t="s">
        <v>130</v>
      </c>
      <c r="AB443" s="24"/>
      <c r="AC443" s="23" t="str">
        <f aca="false">D443&amp;"#"&amp;E443</f>
        <v>구약#462</v>
      </c>
      <c r="AD443" s="23" t="n">
        <f aca="false">COUNTIFS($C$2:C443,C443,$D$2:D443,D443)</f>
        <v>280</v>
      </c>
    </row>
    <row r="444" customFormat="false" ht="25.35" hidden="false" customHeight="false" outlineLevel="0" collapsed="false">
      <c r="A444" s="21" t="n">
        <v>443</v>
      </c>
      <c r="B444" s="18" t="s">
        <v>3987</v>
      </c>
      <c r="C444" s="23" t="n">
        <v>2</v>
      </c>
      <c r="D444" s="23" t="s">
        <v>116</v>
      </c>
      <c r="E444" s="23" t="n">
        <f aca="false">IF(C444=1,COUNTIFS($C$2:C444,1,$D$2:D444,D444),COUNTIFS($C$2:$C$799,1,$D$2:$D$799,D444)+COUNTIFS($C$2:C444,2,$D$2:D444,D444))</f>
        <v>463</v>
      </c>
      <c r="F444" s="23" t="str">
        <f aca="false">D444&amp;" #"&amp;TEXT(E444,"000")</f>
        <v>구약 #463</v>
      </c>
      <c r="G444" s="18" t="s">
        <v>3939</v>
      </c>
      <c r="H444" s="18" t="s">
        <v>3950</v>
      </c>
      <c r="I444" s="21" t="s">
        <v>3940</v>
      </c>
      <c r="J444" s="22" t="s">
        <v>3988</v>
      </c>
      <c r="K444" s="23" t="s">
        <v>1085</v>
      </c>
      <c r="L444" s="24" t="s">
        <v>3989</v>
      </c>
      <c r="M444" s="24" t="s">
        <v>3990</v>
      </c>
      <c r="N444" s="23" t="s">
        <v>3991</v>
      </c>
      <c r="O444" s="24" t="s">
        <v>3992</v>
      </c>
      <c r="P444" s="24" t="s">
        <v>3940</v>
      </c>
      <c r="Q444" s="24" t="s">
        <v>3993</v>
      </c>
      <c r="R444" s="24"/>
      <c r="S444" s="24" t="s">
        <v>3957</v>
      </c>
      <c r="T444" s="24" t="str">
        <f aca="false">"["&amp;안내!$C$5&amp;" "&amp;F444&amp;"] "&amp;L444&amp;" | "&amp;J444</f>
        <v>[1분 성경 구약 #463] 만물보다 거짓된 마음 | 렘 14:1-17:27</v>
      </c>
      <c r="U444" s="26" t="n">
        <f aca="false">IF(D444="구약",IF(C444=1,안내!$C$9,안내!$C$10)+AD444-1,IF(C444=1,안내!$C$9,안내!$C$10)+7*INT((AD444-1)/4)+CHOOSE(MOD(AD444-1,4)+1,0,2,4,5))</f>
        <v>46860</v>
      </c>
      <c r="V444" s="23" t="str">
        <f aca="false">CHOOSE(WEEKDAY(U444,2),"월","화","수","목","금","토","일")</f>
        <v>월</v>
      </c>
      <c r="W444" s="24" t="str">
        <f aca="false">IFERROR(IF(INDEX($C$2:$C$799,MATCH(D444&amp;"#"&amp;(E444+1),$AC$2:$AC$799,0))=C444,"다음 편: ","시즌1 완결 · 시즌2 첫 편: ")&amp;INDEX($L$2:$L$799,MATCH(D444&amp;"#"&amp;(E444+1),$AC$2:$AC$799,0)),"구약 트랙 완결")</f>
        <v>다음 편: 뼈 속의 불</v>
      </c>
      <c r="X444" s="23" t="s">
        <v>130</v>
      </c>
      <c r="Y444" s="23" t="s">
        <v>130</v>
      </c>
      <c r="Z444" s="23" t="s">
        <v>130</v>
      </c>
      <c r="AA444" s="23" t="s">
        <v>130</v>
      </c>
      <c r="AB444" s="24"/>
      <c r="AC444" s="23" t="str">
        <f aca="false">D444&amp;"#"&amp;E444</f>
        <v>구약#463</v>
      </c>
      <c r="AD444" s="23" t="n">
        <f aca="false">COUNTIFS($C$2:C444,C444,$D$2:D444,D444)</f>
        <v>281</v>
      </c>
    </row>
    <row r="445" customFormat="false" ht="52.2" hidden="false" customHeight="false" outlineLevel="0" collapsed="false">
      <c r="A445" s="21" t="n">
        <v>444</v>
      </c>
      <c r="B445" s="18" t="s">
        <v>3994</v>
      </c>
      <c r="C445" s="20" t="n">
        <v>1</v>
      </c>
      <c r="D445" s="20" t="s">
        <v>116</v>
      </c>
      <c r="E445" s="20" t="n">
        <f aca="false">IF(C445=1,COUNTIFS($C$2:C445,1,$D$2:D445,D445),COUNTIFS($C$2:$C$799,1,$D$2:$D$799,D445)+COUNTIFS($C$2:C445,2,$D$2:D445,D445))</f>
        <v>163</v>
      </c>
      <c r="F445" s="20" t="str">
        <f aca="false">D445&amp;" #"&amp;TEXT(E445,"000")</f>
        <v>구약 #163</v>
      </c>
      <c r="G445" s="18" t="s">
        <v>3939</v>
      </c>
      <c r="H445" s="18" t="s">
        <v>3659</v>
      </c>
      <c r="I445" s="21" t="s">
        <v>3940</v>
      </c>
      <c r="J445" s="22" t="s">
        <v>3995</v>
      </c>
      <c r="K445" s="23" t="s">
        <v>1085</v>
      </c>
      <c r="L445" s="24" t="s">
        <v>3996</v>
      </c>
      <c r="M445" s="24" t="s">
        <v>3997</v>
      </c>
      <c r="N445" s="23" t="s">
        <v>3998</v>
      </c>
      <c r="O445" s="24" t="s">
        <v>3999</v>
      </c>
      <c r="P445" s="24" t="s">
        <v>4000</v>
      </c>
      <c r="Q445" s="24" t="s">
        <v>4001</v>
      </c>
      <c r="R445" s="24"/>
      <c r="S445" s="28" t="s">
        <v>4002</v>
      </c>
      <c r="T445" s="24" t="str">
        <f aca="false">"["&amp;안내!$C$5&amp;" "&amp;F445&amp;"] "&amp;L445&amp;" | "&amp;J445</f>
        <v>[1분 성경 구약 #163] 토기장이의 집 | 렘 18:1-23</v>
      </c>
      <c r="U445" s="26" t="n">
        <f aca="false">IF(D445="구약",IF(C445=1,안내!$C$9,안내!$C$10)+AD445-1,IF(C445=1,안내!$C$9,안내!$C$10)+7*INT((AD445-1)/4)+CHOOSE(MOD(AD445-1,4)+1,0,2,4,5))</f>
        <v>46553</v>
      </c>
      <c r="V445" s="23" t="str">
        <f aca="false">CHOOSE(WEEKDAY(U445,2),"월","화","수","목","금","토","일")</f>
        <v>화</v>
      </c>
      <c r="W445" s="24" t="str">
        <f aca="false">IFERROR(IF(INDEX($C$2:$C$799,MATCH(D445&amp;"#"&amp;(E445+1),$AC$2:$AC$799,0))=C445,"다음 편: ","시즌1 완결 · 시즌2 첫 편: ")&amp;INDEX($L$2:$L$799,MATCH(D445&amp;"#"&amp;(E445+1),$AC$2:$AC$799,0)),"구약 트랙 완결")</f>
        <v>다음 편: 새 언약</v>
      </c>
      <c r="X445" s="23" t="s">
        <v>130</v>
      </c>
      <c r="Y445" s="23" t="s">
        <v>130</v>
      </c>
      <c r="Z445" s="23" t="s">
        <v>130</v>
      </c>
      <c r="AA445" s="23" t="s">
        <v>130</v>
      </c>
      <c r="AB445" s="24"/>
      <c r="AC445" s="23" t="str">
        <f aca="false">D445&amp;"#"&amp;E445</f>
        <v>구약#163</v>
      </c>
      <c r="AD445" s="23" t="n">
        <f aca="false">COUNTIFS($C$2:C445,C445,$D$2:D445,D445)</f>
        <v>163</v>
      </c>
    </row>
    <row r="446" customFormat="false" ht="26.85" hidden="false" customHeight="false" outlineLevel="0" collapsed="false">
      <c r="A446" s="21" t="n">
        <v>445</v>
      </c>
      <c r="B446" s="18" t="s">
        <v>4003</v>
      </c>
      <c r="C446" s="23" t="n">
        <v>2</v>
      </c>
      <c r="D446" s="23" t="s">
        <v>116</v>
      </c>
      <c r="E446" s="23" t="n">
        <f aca="false">IF(C446=1,COUNTIFS($C$2:C446,1,$D$2:D446,D446),COUNTIFS($C$2:$C$799,1,$D$2:$D$799,D446)+COUNTIFS($C$2:C446,2,$D$2:D446,D446))</f>
        <v>464</v>
      </c>
      <c r="F446" s="23" t="str">
        <f aca="false">D446&amp;" #"&amp;TEXT(E446,"000")</f>
        <v>구약 #464</v>
      </c>
      <c r="G446" s="18" t="s">
        <v>3939</v>
      </c>
      <c r="H446" s="18" t="s">
        <v>3950</v>
      </c>
      <c r="I446" s="21" t="s">
        <v>3940</v>
      </c>
      <c r="J446" s="22" t="s">
        <v>4004</v>
      </c>
      <c r="K446" s="23" t="s">
        <v>1085</v>
      </c>
      <c r="L446" s="24" t="s">
        <v>4005</v>
      </c>
      <c r="M446" s="24" t="s">
        <v>4006</v>
      </c>
      <c r="N446" s="23" t="s">
        <v>4007</v>
      </c>
      <c r="O446" s="24" t="s">
        <v>4008</v>
      </c>
      <c r="P446" s="24" t="s">
        <v>4009</v>
      </c>
      <c r="Q446" s="24" t="s">
        <v>4010</v>
      </c>
      <c r="R446" s="24"/>
      <c r="S446" s="24" t="s">
        <v>4011</v>
      </c>
      <c r="T446" s="24" t="str">
        <f aca="false">"["&amp;안내!$C$5&amp;" "&amp;F446&amp;"] "&amp;L446&amp;" | "&amp;J446</f>
        <v>[1분 성경 구약 #464] 뼈 속의 불 | 렘 19:1-20:18</v>
      </c>
      <c r="U446" s="26" t="n">
        <f aca="false">IF(D446="구약",IF(C446=1,안내!$C$9,안내!$C$10)+AD446-1,IF(C446=1,안내!$C$9,안내!$C$10)+7*INT((AD446-1)/4)+CHOOSE(MOD(AD446-1,4)+1,0,2,4,5))</f>
        <v>46861</v>
      </c>
      <c r="V446" s="23" t="str">
        <f aca="false">CHOOSE(WEEKDAY(U446,2),"월","화","수","목","금","토","일")</f>
        <v>화</v>
      </c>
      <c r="W446" s="24" t="str">
        <f aca="false">IFERROR(IF(INDEX($C$2:$C$799,MATCH(D446&amp;"#"&amp;(E446+1),$AC$2:$AC$799,0))=C446,"다음 편: ","시즌1 완결 · 시즌2 첫 편: ")&amp;INDEX($L$2:$L$799,MATCH(D446&amp;"#"&amp;(E446+1),$AC$2:$AC$799,0)),"구약 트랙 완결")</f>
        <v>다음 편: 70년의 예언과 의로운 가지</v>
      </c>
      <c r="X446" s="23" t="s">
        <v>130</v>
      </c>
      <c r="Y446" s="23" t="s">
        <v>130</v>
      </c>
      <c r="Z446" s="23" t="s">
        <v>130</v>
      </c>
      <c r="AA446" s="23" t="s">
        <v>130</v>
      </c>
      <c r="AB446" s="24"/>
      <c r="AC446" s="23" t="str">
        <f aca="false">D446&amp;"#"&amp;E446</f>
        <v>구약#464</v>
      </c>
      <c r="AD446" s="23" t="n">
        <f aca="false">COUNTIFS($C$2:C446,C446,$D$2:D446,D446)</f>
        <v>282</v>
      </c>
    </row>
    <row r="447" customFormat="false" ht="26.85" hidden="false" customHeight="false" outlineLevel="0" collapsed="false">
      <c r="A447" s="21" t="n">
        <v>446</v>
      </c>
      <c r="B447" s="18" t="s">
        <v>4012</v>
      </c>
      <c r="C447" s="23" t="n">
        <v>2</v>
      </c>
      <c r="D447" s="23" t="s">
        <v>116</v>
      </c>
      <c r="E447" s="23" t="n">
        <f aca="false">IF(C447=1,COUNTIFS($C$2:C447,1,$D$2:D447,D447),COUNTIFS($C$2:$C$799,1,$D$2:$D$799,D447)+COUNTIFS($C$2:C447,2,$D$2:D447,D447))</f>
        <v>465</v>
      </c>
      <c r="F447" s="23" t="str">
        <f aca="false">D447&amp;" #"&amp;TEXT(E447,"000")</f>
        <v>구약 #465</v>
      </c>
      <c r="G447" s="18" t="s">
        <v>3939</v>
      </c>
      <c r="H447" s="18" t="s">
        <v>3950</v>
      </c>
      <c r="I447" s="21" t="s">
        <v>3940</v>
      </c>
      <c r="J447" s="22" t="s">
        <v>4013</v>
      </c>
      <c r="K447" s="23" t="s">
        <v>1085</v>
      </c>
      <c r="L447" s="29" t="s">
        <v>4014</v>
      </c>
      <c r="M447" s="24" t="s">
        <v>4015</v>
      </c>
      <c r="N447" s="23" t="s">
        <v>4016</v>
      </c>
      <c r="O447" s="24" t="s">
        <v>4017</v>
      </c>
      <c r="P447" s="24" t="s">
        <v>3940</v>
      </c>
      <c r="Q447" s="24" t="s">
        <v>4018</v>
      </c>
      <c r="R447" s="27" t="s">
        <v>4019</v>
      </c>
      <c r="S447" s="24" t="s">
        <v>4011</v>
      </c>
      <c r="T447" s="24" t="str">
        <f aca="false">"["&amp;안내!$C$5&amp;" "&amp;F447&amp;"] "&amp;L447&amp;" | "&amp;J447</f>
        <v>[1분 성경 구약 #465] 70년의 예언과 의로운 가지 | 렘 21:1-25:38</v>
      </c>
      <c r="U447" s="26" t="n">
        <f aca="false">IF(D447="구약",IF(C447=1,안내!$C$9,안내!$C$10)+AD447-1,IF(C447=1,안내!$C$9,안내!$C$10)+7*INT((AD447-1)/4)+CHOOSE(MOD(AD447-1,4)+1,0,2,4,5))</f>
        <v>46862</v>
      </c>
      <c r="V447" s="23" t="str">
        <f aca="false">CHOOSE(WEEKDAY(U447,2),"월","화","수","목","금","토","일")</f>
        <v>수</v>
      </c>
      <c r="W447" s="24" t="str">
        <f aca="false">IFERROR(IF(INDEX($C$2:$C$799,MATCH(D447&amp;"#"&amp;(E447+1),$AC$2:$AC$799,0))=C447,"다음 편: ","시즌1 완결 · 시즌2 첫 편: ")&amp;INDEX($L$2:$L$799,MATCH(D447&amp;"#"&amp;(E447+1),$AC$2:$AC$799,0)),"구약 트랙 완결")</f>
        <v>다음 편: 죽음의 위기</v>
      </c>
      <c r="X447" s="23" t="s">
        <v>130</v>
      </c>
      <c r="Y447" s="23" t="s">
        <v>130</v>
      </c>
      <c r="Z447" s="23" t="s">
        <v>130</v>
      </c>
      <c r="AA447" s="23" t="s">
        <v>130</v>
      </c>
      <c r="AB447" s="24"/>
      <c r="AC447" s="23" t="str">
        <f aca="false">D447&amp;"#"&amp;E447</f>
        <v>구약#465</v>
      </c>
      <c r="AD447" s="23" t="n">
        <f aca="false">COUNTIFS($C$2:C447,C447,$D$2:D447,D447)</f>
        <v>283</v>
      </c>
    </row>
    <row r="448" customFormat="false" ht="26.85" hidden="false" customHeight="false" outlineLevel="0" collapsed="false">
      <c r="A448" s="21" t="n">
        <v>447</v>
      </c>
      <c r="B448" s="18" t="s">
        <v>4020</v>
      </c>
      <c r="C448" s="23" t="n">
        <v>2</v>
      </c>
      <c r="D448" s="23" t="s">
        <v>116</v>
      </c>
      <c r="E448" s="23" t="n">
        <f aca="false">IF(C448=1,COUNTIFS($C$2:C448,1,$D$2:D448,D448),COUNTIFS($C$2:$C$799,1,$D$2:$D$799,D448)+COUNTIFS($C$2:C448,2,$D$2:D448,D448))</f>
        <v>466</v>
      </c>
      <c r="F448" s="23" t="str">
        <f aca="false">D448&amp;" #"&amp;TEXT(E448,"000")</f>
        <v>구약 #466</v>
      </c>
      <c r="G448" s="18" t="s">
        <v>4021</v>
      </c>
      <c r="H448" s="18" t="s">
        <v>4022</v>
      </c>
      <c r="I448" s="21" t="s">
        <v>3940</v>
      </c>
      <c r="J448" s="22" t="s">
        <v>4023</v>
      </c>
      <c r="K448" s="23" t="s">
        <v>1085</v>
      </c>
      <c r="L448" s="24" t="s">
        <v>4024</v>
      </c>
      <c r="M448" s="24" t="s">
        <v>4025</v>
      </c>
      <c r="N448" s="23" t="s">
        <v>4026</v>
      </c>
      <c r="O448" s="24" t="s">
        <v>4027</v>
      </c>
      <c r="P448" s="24" t="s">
        <v>4028</v>
      </c>
      <c r="Q448" s="24" t="s">
        <v>2455</v>
      </c>
      <c r="R448" s="24"/>
      <c r="S448" s="24" t="s">
        <v>4011</v>
      </c>
      <c r="T448" s="24" t="str">
        <f aca="false">"["&amp;안내!$C$5&amp;" "&amp;F448&amp;"] "&amp;L448&amp;" | "&amp;J448</f>
        <v>[1분 성경 구약 #466] 죽음의 위기 | 렘 26:1-24</v>
      </c>
      <c r="U448" s="26" t="n">
        <f aca="false">IF(D448="구약",IF(C448=1,안내!$C$9,안내!$C$10)+AD448-1,IF(C448=1,안내!$C$9,안내!$C$10)+7*INT((AD448-1)/4)+CHOOSE(MOD(AD448-1,4)+1,0,2,4,5))</f>
        <v>46863</v>
      </c>
      <c r="V448" s="23" t="str">
        <f aca="false">CHOOSE(WEEKDAY(U448,2),"월","화","수","목","금","토","일")</f>
        <v>목</v>
      </c>
      <c r="W448" s="24" t="str">
        <f aca="false">IFERROR(IF(INDEX($C$2:$C$799,MATCH(D448&amp;"#"&amp;(E448+1),$AC$2:$AC$799,0))=C448,"다음 편: ","시즌1 완결 · 시즌2 첫 편: ")&amp;INDEX($L$2:$L$799,MATCH(D448&amp;"#"&amp;(E448+1),$AC$2:$AC$799,0)),"구약 트랙 완결")</f>
        <v>다음 편: 멍에를 멘 선지자</v>
      </c>
      <c r="X448" s="23" t="s">
        <v>130</v>
      </c>
      <c r="Y448" s="23" t="s">
        <v>130</v>
      </c>
      <c r="Z448" s="23" t="s">
        <v>130</v>
      </c>
      <c r="AA448" s="23" t="s">
        <v>130</v>
      </c>
      <c r="AB448" s="24"/>
      <c r="AC448" s="23" t="str">
        <f aca="false">D448&amp;"#"&amp;E448</f>
        <v>구약#466</v>
      </c>
      <c r="AD448" s="23" t="n">
        <f aca="false">COUNTIFS($C$2:C448,C448,$D$2:D448,D448)</f>
        <v>284</v>
      </c>
    </row>
    <row r="449" customFormat="false" ht="26.85" hidden="false" customHeight="false" outlineLevel="0" collapsed="false">
      <c r="A449" s="21" t="n">
        <v>448</v>
      </c>
      <c r="B449" s="18" t="s">
        <v>4029</v>
      </c>
      <c r="C449" s="23" t="n">
        <v>2</v>
      </c>
      <c r="D449" s="23" t="s">
        <v>116</v>
      </c>
      <c r="E449" s="23" t="n">
        <f aca="false">IF(C449=1,COUNTIFS($C$2:C449,1,$D$2:D449,D449),COUNTIFS($C$2:$C$799,1,$D$2:$D$799,D449)+COUNTIFS($C$2:C449,2,$D$2:D449,D449))</f>
        <v>467</v>
      </c>
      <c r="F449" s="23" t="str">
        <f aca="false">D449&amp;" #"&amp;TEXT(E449,"000")</f>
        <v>구약 #467</v>
      </c>
      <c r="G449" s="18" t="s">
        <v>4021</v>
      </c>
      <c r="H449" s="18" t="s">
        <v>4022</v>
      </c>
      <c r="I449" s="21" t="s">
        <v>3940</v>
      </c>
      <c r="J449" s="22" t="s">
        <v>4030</v>
      </c>
      <c r="K449" s="23" t="s">
        <v>1085</v>
      </c>
      <c r="L449" s="24" t="s">
        <v>4031</v>
      </c>
      <c r="M449" s="24" t="s">
        <v>4032</v>
      </c>
      <c r="N449" s="23" t="s">
        <v>4033</v>
      </c>
      <c r="O449" s="24" t="s">
        <v>4034</v>
      </c>
      <c r="P449" s="24" t="s">
        <v>4035</v>
      </c>
      <c r="Q449" s="24" t="s">
        <v>4036</v>
      </c>
      <c r="R449" s="24"/>
      <c r="S449" s="24" t="s">
        <v>4011</v>
      </c>
      <c r="T449" s="24" t="str">
        <f aca="false">"["&amp;안내!$C$5&amp;" "&amp;F449&amp;"] "&amp;L449&amp;" | "&amp;J449</f>
        <v>[1분 성경 구약 #467] 멍에를 멘 선지자 | 렘 27:1-28:17</v>
      </c>
      <c r="U449" s="26" t="n">
        <f aca="false">IF(D449="구약",IF(C449=1,안내!$C$9,안내!$C$10)+AD449-1,IF(C449=1,안내!$C$9,안내!$C$10)+7*INT((AD449-1)/4)+CHOOSE(MOD(AD449-1,4)+1,0,2,4,5))</f>
        <v>46864</v>
      </c>
      <c r="V449" s="23" t="str">
        <f aca="false">CHOOSE(WEEKDAY(U449,2),"월","화","수","목","금","토","일")</f>
        <v>금</v>
      </c>
      <c r="W449" s="24" t="str">
        <f aca="false">IFERROR(IF(INDEX($C$2:$C$799,MATCH(D449&amp;"#"&amp;(E449+1),$AC$2:$AC$799,0))=C449,"다음 편: ","시즌1 완결 · 시즌2 첫 편: ")&amp;INDEX($L$2:$L$799,MATCH(D449&amp;"#"&amp;(E449+1),$AC$2:$AC$799,0)),"구약 트랙 완결")</f>
        <v>다음 편: 포로들에게 보낸 편지</v>
      </c>
      <c r="X449" s="23" t="s">
        <v>130</v>
      </c>
      <c r="Y449" s="23" t="s">
        <v>130</v>
      </c>
      <c r="Z449" s="23" t="s">
        <v>130</v>
      </c>
      <c r="AA449" s="23" t="s">
        <v>130</v>
      </c>
      <c r="AB449" s="24"/>
      <c r="AC449" s="23" t="str">
        <f aca="false">D449&amp;"#"&amp;E449</f>
        <v>구약#467</v>
      </c>
      <c r="AD449" s="23" t="n">
        <f aca="false">COUNTIFS($C$2:C449,C449,$D$2:D449,D449)</f>
        <v>285</v>
      </c>
    </row>
    <row r="450" customFormat="false" ht="26.85" hidden="false" customHeight="false" outlineLevel="0" collapsed="false">
      <c r="A450" s="21" t="n">
        <v>449</v>
      </c>
      <c r="B450" s="18" t="s">
        <v>4037</v>
      </c>
      <c r="C450" s="23" t="n">
        <v>2</v>
      </c>
      <c r="D450" s="23" t="s">
        <v>116</v>
      </c>
      <c r="E450" s="23" t="n">
        <f aca="false">IF(C450=1,COUNTIFS($C$2:C450,1,$D$2:D450,D450),COUNTIFS($C$2:$C$799,1,$D$2:$D$799,D450)+COUNTIFS($C$2:C450,2,$D$2:D450,D450))</f>
        <v>468</v>
      </c>
      <c r="F450" s="23" t="str">
        <f aca="false">D450&amp;" #"&amp;TEXT(E450,"000")</f>
        <v>구약 #468</v>
      </c>
      <c r="G450" s="18" t="s">
        <v>4021</v>
      </c>
      <c r="H450" s="18" t="s">
        <v>4022</v>
      </c>
      <c r="I450" s="21" t="s">
        <v>3940</v>
      </c>
      <c r="J450" s="22" t="s">
        <v>4038</v>
      </c>
      <c r="K450" s="23" t="s">
        <v>1085</v>
      </c>
      <c r="L450" s="24" t="s">
        <v>4039</v>
      </c>
      <c r="M450" s="24" t="s">
        <v>4040</v>
      </c>
      <c r="N450" s="23" t="s">
        <v>4041</v>
      </c>
      <c r="O450" s="24" t="s">
        <v>4042</v>
      </c>
      <c r="P450" s="24" t="s">
        <v>4043</v>
      </c>
      <c r="Q450" s="24" t="s">
        <v>4044</v>
      </c>
      <c r="R450" s="27" t="s">
        <v>4045</v>
      </c>
      <c r="S450" s="24" t="s">
        <v>4011</v>
      </c>
      <c r="T450" s="24" t="str">
        <f aca="false">"["&amp;안내!$C$5&amp;" "&amp;F450&amp;"] "&amp;L450&amp;" | "&amp;J450</f>
        <v>[1분 성경 구약 #468] 포로들에게 보낸 편지 | 렘 29:1-32</v>
      </c>
      <c r="U450" s="26" t="n">
        <f aca="false">IF(D450="구약",IF(C450=1,안내!$C$9,안내!$C$10)+AD450-1,IF(C450=1,안내!$C$9,안내!$C$10)+7*INT((AD450-1)/4)+CHOOSE(MOD(AD450-1,4)+1,0,2,4,5))</f>
        <v>46865</v>
      </c>
      <c r="V450" s="23" t="str">
        <f aca="false">CHOOSE(WEEKDAY(U450,2),"월","화","수","목","금","토","일")</f>
        <v>토</v>
      </c>
      <c r="W450" s="24" t="str">
        <f aca="false">IFERROR(IF(INDEX($C$2:$C$799,MATCH(D450&amp;"#"&amp;(E450+1),$AC$2:$AC$799,0))=C450,"다음 편: ","시즌1 완결 · 시즌2 첫 편: ")&amp;INDEX($L$2:$L$799,MATCH(D450&amp;"#"&amp;(E450+1),$AC$2:$AC$799,0)),"구약 트랙 완결")</f>
        <v>다음 편: 무너지는 나라에서 밭을 사다</v>
      </c>
      <c r="X450" s="23" t="s">
        <v>130</v>
      </c>
      <c r="Y450" s="23" t="s">
        <v>130</v>
      </c>
      <c r="Z450" s="23" t="s">
        <v>130</v>
      </c>
      <c r="AA450" s="23" t="s">
        <v>130</v>
      </c>
      <c r="AB450" s="24"/>
      <c r="AC450" s="23" t="str">
        <f aca="false">D450&amp;"#"&amp;E450</f>
        <v>구약#468</v>
      </c>
      <c r="AD450" s="23" t="n">
        <f aca="false">COUNTIFS($C$2:C450,C450,$D$2:D450,D450)</f>
        <v>286</v>
      </c>
    </row>
    <row r="451" customFormat="false" ht="52.2" hidden="false" customHeight="false" outlineLevel="0" collapsed="false">
      <c r="A451" s="21" t="n">
        <v>450</v>
      </c>
      <c r="B451" s="18" t="s">
        <v>4046</v>
      </c>
      <c r="C451" s="20" t="n">
        <v>1</v>
      </c>
      <c r="D451" s="20" t="s">
        <v>116</v>
      </c>
      <c r="E451" s="20" t="n">
        <f aca="false">IF(C451=1,COUNTIFS($C$2:C451,1,$D$2:D451,D451),COUNTIFS($C$2:$C$799,1,$D$2:$D$799,D451)+COUNTIFS($C$2:C451,2,$D$2:D451,D451))</f>
        <v>164</v>
      </c>
      <c r="F451" s="20" t="str">
        <f aca="false">D451&amp;" #"&amp;TEXT(E451,"000")</f>
        <v>구약 #164</v>
      </c>
      <c r="G451" s="18" t="s">
        <v>4021</v>
      </c>
      <c r="H451" s="18" t="s">
        <v>4047</v>
      </c>
      <c r="I451" s="21" t="s">
        <v>3940</v>
      </c>
      <c r="J451" s="22" t="s">
        <v>4048</v>
      </c>
      <c r="K451" s="23" t="s">
        <v>1085</v>
      </c>
      <c r="L451" s="24" t="s">
        <v>4049</v>
      </c>
      <c r="M451" s="24" t="s">
        <v>4050</v>
      </c>
      <c r="N451" s="23" t="s">
        <v>4051</v>
      </c>
      <c r="O451" s="24" t="s">
        <v>4052</v>
      </c>
      <c r="P451" s="24" t="s">
        <v>3940</v>
      </c>
      <c r="Q451" s="24" t="s">
        <v>4053</v>
      </c>
      <c r="R451" s="25" t="s">
        <v>4054</v>
      </c>
      <c r="S451" s="28" t="s">
        <v>4055</v>
      </c>
      <c r="T451" s="24" t="str">
        <f aca="false">"["&amp;안내!$C$5&amp;" "&amp;F451&amp;"] "&amp;L451&amp;" | "&amp;J451</f>
        <v>[1분 성경 구약 #164] 새 언약 | 렘 30:1-31:40</v>
      </c>
      <c r="U451" s="26" t="n">
        <f aca="false">IF(D451="구약",IF(C451=1,안내!$C$9,안내!$C$10)+AD451-1,IF(C451=1,안내!$C$9,안내!$C$10)+7*INT((AD451-1)/4)+CHOOSE(MOD(AD451-1,4)+1,0,2,4,5))</f>
        <v>46554</v>
      </c>
      <c r="V451" s="23" t="str">
        <f aca="false">CHOOSE(WEEKDAY(U451,2),"월","화","수","목","금","토","일")</f>
        <v>수</v>
      </c>
      <c r="W451" s="24" t="str">
        <f aca="false">IFERROR(IF(INDEX($C$2:$C$799,MATCH(D451&amp;"#"&amp;(E451+1),$AC$2:$AC$799,0))=C451,"다음 편: ","시즌1 완결 · 시즌2 첫 편: ")&amp;INDEX($L$2:$L$799,MATCH(D451&amp;"#"&amp;(E451+1),$AC$2:$AC$799,0)),"구약 트랙 완결")</f>
        <v>다음 편: 진흙 구덩이</v>
      </c>
      <c r="X451" s="23" t="s">
        <v>130</v>
      </c>
      <c r="Y451" s="23" t="s">
        <v>130</v>
      </c>
      <c r="Z451" s="23" t="s">
        <v>130</v>
      </c>
      <c r="AA451" s="23" t="s">
        <v>130</v>
      </c>
      <c r="AB451" s="24"/>
      <c r="AC451" s="23" t="str">
        <f aca="false">D451&amp;"#"&amp;E451</f>
        <v>구약#164</v>
      </c>
      <c r="AD451" s="23" t="n">
        <f aca="false">COUNTIFS($C$2:C451,C451,$D$2:D451,D451)</f>
        <v>164</v>
      </c>
    </row>
    <row r="452" customFormat="false" ht="26.85" hidden="false" customHeight="false" outlineLevel="0" collapsed="false">
      <c r="A452" s="21" t="n">
        <v>451</v>
      </c>
      <c r="B452" s="18" t="s">
        <v>4056</v>
      </c>
      <c r="C452" s="23" t="n">
        <v>2</v>
      </c>
      <c r="D452" s="23" t="s">
        <v>116</v>
      </c>
      <c r="E452" s="23" t="n">
        <f aca="false">IF(C452=1,COUNTIFS($C$2:C452,1,$D$2:D452,D452),COUNTIFS($C$2:$C$799,1,$D$2:$D$799,D452)+COUNTIFS($C$2:C452,2,$D$2:D452,D452))</f>
        <v>469</v>
      </c>
      <c r="F452" s="23" t="str">
        <f aca="false">D452&amp;" #"&amp;TEXT(E452,"000")</f>
        <v>구약 #469</v>
      </c>
      <c r="G452" s="18" t="s">
        <v>4021</v>
      </c>
      <c r="H452" s="18" t="s">
        <v>4022</v>
      </c>
      <c r="I452" s="21" t="s">
        <v>3940</v>
      </c>
      <c r="J452" s="22" t="s">
        <v>4057</v>
      </c>
      <c r="K452" s="23" t="s">
        <v>1085</v>
      </c>
      <c r="L452" s="24" t="s">
        <v>4058</v>
      </c>
      <c r="M452" s="24" t="s">
        <v>4059</v>
      </c>
      <c r="N452" s="23" t="s">
        <v>4060</v>
      </c>
      <c r="O452" s="24" t="s">
        <v>4061</v>
      </c>
      <c r="P452" s="24" t="s">
        <v>4062</v>
      </c>
      <c r="Q452" s="24" t="s">
        <v>4063</v>
      </c>
      <c r="R452" s="24"/>
      <c r="S452" s="24" t="s">
        <v>4064</v>
      </c>
      <c r="T452" s="24" t="str">
        <f aca="false">"["&amp;안내!$C$5&amp;" "&amp;F452&amp;"] "&amp;L452&amp;" | "&amp;J452</f>
        <v>[1분 성경 구약 #469] 무너지는 나라에서 밭을 사다 | 렘 32:1-44</v>
      </c>
      <c r="U452" s="26" t="n">
        <f aca="false">IF(D452="구약",IF(C452=1,안내!$C$9,안내!$C$10)+AD452-1,IF(C452=1,안내!$C$9,안내!$C$10)+7*INT((AD452-1)/4)+CHOOSE(MOD(AD452-1,4)+1,0,2,4,5))</f>
        <v>46866</v>
      </c>
      <c r="V452" s="23" t="str">
        <f aca="false">CHOOSE(WEEKDAY(U452,2),"월","화","수","목","금","토","일")</f>
        <v>일</v>
      </c>
      <c r="W452" s="24" t="str">
        <f aca="false">IFERROR(IF(INDEX($C$2:$C$799,MATCH(D452&amp;"#"&amp;(E452+1),$AC$2:$AC$799,0))=C452,"다음 편: ","시즌1 완결 · 시즌2 첫 편: ")&amp;INDEX($L$2:$L$799,MATCH(D452&amp;"#"&amp;(E452+1),$AC$2:$AC$799,0)),"구약 트랙 완결")</f>
        <v>다음 편: 부르짖으라</v>
      </c>
      <c r="X452" s="23" t="s">
        <v>130</v>
      </c>
      <c r="Y452" s="23" t="s">
        <v>130</v>
      </c>
      <c r="Z452" s="23" t="s">
        <v>130</v>
      </c>
      <c r="AA452" s="23" t="s">
        <v>130</v>
      </c>
      <c r="AB452" s="24"/>
      <c r="AC452" s="23" t="str">
        <f aca="false">D452&amp;"#"&amp;E452</f>
        <v>구약#469</v>
      </c>
      <c r="AD452" s="23" t="n">
        <f aca="false">COUNTIFS($C$2:C452,C452,$D$2:D452,D452)</f>
        <v>287</v>
      </c>
    </row>
    <row r="453" customFormat="false" ht="26.85" hidden="false" customHeight="false" outlineLevel="0" collapsed="false">
      <c r="A453" s="21" t="n">
        <v>452</v>
      </c>
      <c r="B453" s="18" t="s">
        <v>4065</v>
      </c>
      <c r="C453" s="23" t="n">
        <v>2</v>
      </c>
      <c r="D453" s="23" t="s">
        <v>116</v>
      </c>
      <c r="E453" s="23" t="n">
        <f aca="false">IF(C453=1,COUNTIFS($C$2:C453,1,$D$2:D453,D453),COUNTIFS($C$2:$C$799,1,$D$2:$D$799,D453)+COUNTIFS($C$2:C453,2,$D$2:D453,D453))</f>
        <v>470</v>
      </c>
      <c r="F453" s="23" t="str">
        <f aca="false">D453&amp;" #"&amp;TEXT(E453,"000")</f>
        <v>구약 #470</v>
      </c>
      <c r="G453" s="18" t="s">
        <v>4021</v>
      </c>
      <c r="H453" s="18" t="s">
        <v>4022</v>
      </c>
      <c r="I453" s="21" t="s">
        <v>3940</v>
      </c>
      <c r="J453" s="22" t="s">
        <v>4066</v>
      </c>
      <c r="K453" s="23" t="s">
        <v>1085</v>
      </c>
      <c r="L453" s="24" t="s">
        <v>4067</v>
      </c>
      <c r="M453" s="24" t="s">
        <v>4068</v>
      </c>
      <c r="N453" s="23" t="s">
        <v>4069</v>
      </c>
      <c r="O453" s="24" t="s">
        <v>4070</v>
      </c>
      <c r="P453" s="24" t="s">
        <v>3940</v>
      </c>
      <c r="Q453" s="24" t="s">
        <v>4071</v>
      </c>
      <c r="R453" s="25" t="s">
        <v>4072</v>
      </c>
      <c r="S453" s="24" t="s">
        <v>4064</v>
      </c>
      <c r="T453" s="24" t="str">
        <f aca="false">"["&amp;안내!$C$5&amp;" "&amp;F453&amp;"] "&amp;L453&amp;" | "&amp;J453</f>
        <v>[1분 성경 구약 #470] 부르짖으라 | 렘 33:1-26</v>
      </c>
      <c r="U453" s="26" t="n">
        <f aca="false">IF(D453="구약",IF(C453=1,안내!$C$9,안내!$C$10)+AD453-1,IF(C453=1,안내!$C$9,안내!$C$10)+7*INT((AD453-1)/4)+CHOOSE(MOD(AD453-1,4)+1,0,2,4,5))</f>
        <v>46867</v>
      </c>
      <c r="V453" s="23" t="str">
        <f aca="false">CHOOSE(WEEKDAY(U453,2),"월","화","수","목","금","토","일")</f>
        <v>월</v>
      </c>
      <c r="W453" s="24" t="str">
        <f aca="false">IFERROR(IF(INDEX($C$2:$C$799,MATCH(D453&amp;"#"&amp;(E453+1),$AC$2:$AC$799,0))=C453,"다음 편: ","시즌1 완결 · 시즌2 첫 편: ")&amp;INDEX($L$2:$L$799,MATCH(D453&amp;"#"&amp;(E453+1),$AC$2:$AC$799,0)),"구약 트랙 완결")</f>
        <v>다음 편: 불태운 두루마리</v>
      </c>
      <c r="X453" s="23" t="s">
        <v>130</v>
      </c>
      <c r="Y453" s="23" t="s">
        <v>130</v>
      </c>
      <c r="Z453" s="23" t="s">
        <v>130</v>
      </c>
      <c r="AA453" s="23" t="s">
        <v>130</v>
      </c>
      <c r="AB453" s="24"/>
      <c r="AC453" s="23" t="str">
        <f aca="false">D453&amp;"#"&amp;E453</f>
        <v>구약#470</v>
      </c>
      <c r="AD453" s="23" t="n">
        <f aca="false">COUNTIFS($C$2:C453,C453,$D$2:D453,D453)</f>
        <v>288</v>
      </c>
    </row>
    <row r="454" customFormat="false" ht="26.85" hidden="false" customHeight="false" outlineLevel="0" collapsed="false">
      <c r="A454" s="21" t="n">
        <v>453</v>
      </c>
      <c r="B454" s="18" t="s">
        <v>4073</v>
      </c>
      <c r="C454" s="23" t="n">
        <v>2</v>
      </c>
      <c r="D454" s="23" t="s">
        <v>116</v>
      </c>
      <c r="E454" s="23" t="n">
        <f aca="false">IF(C454=1,COUNTIFS($C$2:C454,1,$D$2:D454,D454),COUNTIFS($C$2:$C$799,1,$D$2:$D$799,D454)+COUNTIFS($C$2:C454,2,$D$2:D454,D454))</f>
        <v>471</v>
      </c>
      <c r="F454" s="23" t="str">
        <f aca="false">D454&amp;" #"&amp;TEXT(E454,"000")</f>
        <v>구약 #471</v>
      </c>
      <c r="G454" s="18" t="s">
        <v>4021</v>
      </c>
      <c r="H454" s="18" t="s">
        <v>4022</v>
      </c>
      <c r="I454" s="21" t="s">
        <v>3940</v>
      </c>
      <c r="J454" s="22" t="s">
        <v>4074</v>
      </c>
      <c r="K454" s="23" t="s">
        <v>1085</v>
      </c>
      <c r="L454" s="24" t="s">
        <v>4075</v>
      </c>
      <c r="M454" s="24" t="s">
        <v>4076</v>
      </c>
      <c r="N454" s="23" t="s">
        <v>4077</v>
      </c>
      <c r="O454" s="24" t="s">
        <v>4078</v>
      </c>
      <c r="P454" s="24" t="s">
        <v>4079</v>
      </c>
      <c r="Q454" s="24" t="s">
        <v>4080</v>
      </c>
      <c r="R454" s="24"/>
      <c r="S454" s="24" t="s">
        <v>4064</v>
      </c>
      <c r="T454" s="24" t="str">
        <f aca="false">"["&amp;안내!$C$5&amp;" "&amp;F454&amp;"] "&amp;L454&amp;" | "&amp;J454</f>
        <v>[1분 성경 구약 #471] 불태운 두루마리 | 렘 34:1-36:32</v>
      </c>
      <c r="U454" s="26" t="n">
        <f aca="false">IF(D454="구약",IF(C454=1,안내!$C$9,안내!$C$10)+AD454-1,IF(C454=1,안내!$C$9,안내!$C$10)+7*INT((AD454-1)/4)+CHOOSE(MOD(AD454-1,4)+1,0,2,4,5))</f>
        <v>46868</v>
      </c>
      <c r="V454" s="23" t="str">
        <f aca="false">CHOOSE(WEEKDAY(U454,2),"월","화","수","목","금","토","일")</f>
        <v>화</v>
      </c>
      <c r="W454" s="24" t="str">
        <f aca="false">IFERROR(IF(INDEX($C$2:$C$799,MATCH(D454&amp;"#"&amp;(E454+1),$AC$2:$AC$799,0))=C454,"다음 편: ","시즌1 완결 · 시즌2 첫 편: ")&amp;INDEX($L$2:$L$799,MATCH(D454&amp;"#"&amp;(E454+1),$AC$2:$AC$799,0)),"구약 트랙 완결")</f>
        <v>다음 편: 예루살렘 함락</v>
      </c>
      <c r="X454" s="23" t="s">
        <v>130</v>
      </c>
      <c r="Y454" s="23" t="s">
        <v>130</v>
      </c>
      <c r="Z454" s="23" t="s">
        <v>130</v>
      </c>
      <c r="AA454" s="23" t="s">
        <v>130</v>
      </c>
      <c r="AB454" s="24"/>
      <c r="AC454" s="23" t="str">
        <f aca="false">D454&amp;"#"&amp;E454</f>
        <v>구약#471</v>
      </c>
      <c r="AD454" s="23" t="n">
        <f aca="false">COUNTIFS($C$2:C454,C454,$D$2:D454,D454)</f>
        <v>289</v>
      </c>
    </row>
    <row r="455" customFormat="false" ht="52.2" hidden="false" customHeight="false" outlineLevel="0" collapsed="false">
      <c r="A455" s="21" t="n">
        <v>454</v>
      </c>
      <c r="B455" s="18" t="s">
        <v>4081</v>
      </c>
      <c r="C455" s="20" t="n">
        <v>1</v>
      </c>
      <c r="D455" s="20" t="s">
        <v>116</v>
      </c>
      <c r="E455" s="20" t="n">
        <f aca="false">IF(C455=1,COUNTIFS($C$2:C455,1,$D$2:D455,D455),COUNTIFS($C$2:$C$799,1,$D$2:$D$799,D455)+COUNTIFS($C$2:C455,2,$D$2:D455,D455))</f>
        <v>165</v>
      </c>
      <c r="F455" s="20" t="str">
        <f aca="false">D455&amp;" #"&amp;TEXT(E455,"000")</f>
        <v>구약 #165</v>
      </c>
      <c r="G455" s="18" t="s">
        <v>4021</v>
      </c>
      <c r="H455" s="18" t="s">
        <v>4047</v>
      </c>
      <c r="I455" s="21" t="s">
        <v>3940</v>
      </c>
      <c r="J455" s="22" t="s">
        <v>4082</v>
      </c>
      <c r="K455" s="23" t="s">
        <v>1085</v>
      </c>
      <c r="L455" s="24" t="s">
        <v>4083</v>
      </c>
      <c r="M455" s="24" t="s">
        <v>4084</v>
      </c>
      <c r="N455" s="23" t="s">
        <v>4085</v>
      </c>
      <c r="O455" s="24" t="s">
        <v>4086</v>
      </c>
      <c r="P455" s="24" t="s">
        <v>4087</v>
      </c>
      <c r="Q455" s="24" t="s">
        <v>4088</v>
      </c>
      <c r="R455" s="24"/>
      <c r="S455" s="28" t="s">
        <v>4089</v>
      </c>
      <c r="T455" s="24" t="str">
        <f aca="false">"["&amp;안내!$C$5&amp;" "&amp;F455&amp;"] "&amp;L455&amp;" | "&amp;J455</f>
        <v>[1분 성경 구약 #165] 진흙 구덩이 | 렘 37:1-38:28</v>
      </c>
      <c r="U455" s="26" t="n">
        <f aca="false">IF(D455="구약",IF(C455=1,안내!$C$9,안내!$C$10)+AD455-1,IF(C455=1,안내!$C$9,안내!$C$10)+7*INT((AD455-1)/4)+CHOOSE(MOD(AD455-1,4)+1,0,2,4,5))</f>
        <v>46555</v>
      </c>
      <c r="V455" s="23" t="str">
        <f aca="false">CHOOSE(WEEKDAY(U455,2),"월","화","수","목","금","토","일")</f>
        <v>목</v>
      </c>
      <c r="W455" s="24" t="str">
        <f aca="false">IFERROR(IF(INDEX($C$2:$C$799,MATCH(D455&amp;"#"&amp;(E455+1),$AC$2:$AC$799,0))=C455,"다음 편: ","시즌1 완결 · 시즌2 첫 편: ")&amp;INDEX($L$2:$L$799,MATCH(D455&amp;"#"&amp;(E455+1),$AC$2:$AC$799,0)),"구약 트랙 완결")</f>
        <v>다음 편: 아침마다 새로우니</v>
      </c>
      <c r="X455" s="23" t="s">
        <v>130</v>
      </c>
      <c r="Y455" s="23" t="s">
        <v>130</v>
      </c>
      <c r="Z455" s="23" t="s">
        <v>130</v>
      </c>
      <c r="AA455" s="23" t="s">
        <v>130</v>
      </c>
      <c r="AB455" s="24"/>
      <c r="AC455" s="23" t="str">
        <f aca="false">D455&amp;"#"&amp;E455</f>
        <v>구약#165</v>
      </c>
      <c r="AD455" s="23" t="n">
        <f aca="false">COUNTIFS($C$2:C455,C455,$D$2:D455,D455)</f>
        <v>165</v>
      </c>
    </row>
    <row r="456" customFormat="false" ht="26.85" hidden="false" customHeight="false" outlineLevel="0" collapsed="false">
      <c r="A456" s="21" t="n">
        <v>455</v>
      </c>
      <c r="B456" s="18" t="s">
        <v>4090</v>
      </c>
      <c r="C456" s="23" t="n">
        <v>2</v>
      </c>
      <c r="D456" s="23" t="s">
        <v>116</v>
      </c>
      <c r="E456" s="23" t="n">
        <f aca="false">IF(C456=1,COUNTIFS($C$2:C456,1,$D$2:D456,D456),COUNTIFS($C$2:$C$799,1,$D$2:$D$799,D456)+COUNTIFS($C$2:C456,2,$D$2:D456,D456))</f>
        <v>472</v>
      </c>
      <c r="F456" s="23" t="str">
        <f aca="false">D456&amp;" #"&amp;TEXT(E456,"000")</f>
        <v>구약 #472</v>
      </c>
      <c r="G456" s="18" t="s">
        <v>4021</v>
      </c>
      <c r="H456" s="18" t="s">
        <v>4022</v>
      </c>
      <c r="I456" s="21" t="s">
        <v>3940</v>
      </c>
      <c r="J456" s="22" t="s">
        <v>4091</v>
      </c>
      <c r="K456" s="23" t="s">
        <v>1085</v>
      </c>
      <c r="L456" s="24" t="s">
        <v>4092</v>
      </c>
      <c r="M456" s="24" t="s">
        <v>4093</v>
      </c>
      <c r="N456" s="23" t="s">
        <v>4094</v>
      </c>
      <c r="O456" s="24" t="s">
        <v>4095</v>
      </c>
      <c r="P456" s="24" t="s">
        <v>4096</v>
      </c>
      <c r="Q456" s="24" t="s">
        <v>4097</v>
      </c>
      <c r="R456" s="25" t="s">
        <v>4098</v>
      </c>
      <c r="S456" s="24" t="s">
        <v>4099</v>
      </c>
      <c r="T456" s="24" t="str">
        <f aca="false">"["&amp;안내!$C$5&amp;" "&amp;F456&amp;"] "&amp;L456&amp;" | "&amp;J456</f>
        <v>[1분 성경 구약 #472] 예루살렘 함락 | 렘 39:1-41:18</v>
      </c>
      <c r="U456" s="26" t="n">
        <f aca="false">IF(D456="구약",IF(C456=1,안내!$C$9,안내!$C$10)+AD456-1,IF(C456=1,안내!$C$9,안내!$C$10)+7*INT((AD456-1)/4)+CHOOSE(MOD(AD456-1,4)+1,0,2,4,5))</f>
        <v>46869</v>
      </c>
      <c r="V456" s="23" t="str">
        <f aca="false">CHOOSE(WEEKDAY(U456,2),"월","화","수","목","금","토","일")</f>
        <v>수</v>
      </c>
      <c r="W456" s="24" t="str">
        <f aca="false">IFERROR(IF(INDEX($C$2:$C$799,MATCH(D456&amp;"#"&amp;(E456+1),$AC$2:$AC$799,0))=C456,"다음 편: ","시즌1 완결 · 시즌2 첫 편: ")&amp;INDEX($L$2:$L$799,MATCH(D456&amp;"#"&amp;(E456+1),$AC$2:$AC$799,0)),"구약 트랙 완결")</f>
        <v>다음 편: 애굽으로 간 남은 자들</v>
      </c>
      <c r="X456" s="23" t="s">
        <v>130</v>
      </c>
      <c r="Y456" s="23" t="s">
        <v>130</v>
      </c>
      <c r="Z456" s="23" t="s">
        <v>130</v>
      </c>
      <c r="AA456" s="23" t="s">
        <v>130</v>
      </c>
      <c r="AB456" s="24"/>
      <c r="AC456" s="23" t="str">
        <f aca="false">D456&amp;"#"&amp;E456</f>
        <v>구약#472</v>
      </c>
      <c r="AD456" s="23" t="n">
        <f aca="false">COUNTIFS($C$2:C456,C456,$D$2:D456,D456)</f>
        <v>290</v>
      </c>
    </row>
    <row r="457" customFormat="false" ht="26.85" hidden="false" customHeight="false" outlineLevel="0" collapsed="false">
      <c r="A457" s="21" t="n">
        <v>456</v>
      </c>
      <c r="B457" s="18" t="s">
        <v>4100</v>
      </c>
      <c r="C457" s="23" t="n">
        <v>2</v>
      </c>
      <c r="D457" s="23" t="s">
        <v>116</v>
      </c>
      <c r="E457" s="23" t="n">
        <f aca="false">IF(C457=1,COUNTIFS($C$2:C457,1,$D$2:D457,D457),COUNTIFS($C$2:$C$799,1,$D$2:$D$799,D457)+COUNTIFS($C$2:C457,2,$D$2:D457,D457))</f>
        <v>473</v>
      </c>
      <c r="F457" s="23" t="str">
        <f aca="false">D457&amp;" #"&amp;TEXT(E457,"000")</f>
        <v>구약 #473</v>
      </c>
      <c r="G457" s="18" t="s">
        <v>4021</v>
      </c>
      <c r="H457" s="18" t="s">
        <v>4022</v>
      </c>
      <c r="I457" s="21" t="s">
        <v>3940</v>
      </c>
      <c r="J457" s="22" t="s">
        <v>4101</v>
      </c>
      <c r="K457" s="23" t="s">
        <v>1085</v>
      </c>
      <c r="L457" s="24" t="s">
        <v>4102</v>
      </c>
      <c r="M457" s="24" t="s">
        <v>4103</v>
      </c>
      <c r="N457" s="23" t="s">
        <v>4104</v>
      </c>
      <c r="O457" s="24" t="s">
        <v>4105</v>
      </c>
      <c r="P457" s="24" t="s">
        <v>4106</v>
      </c>
      <c r="Q457" s="24" t="s">
        <v>4107</v>
      </c>
      <c r="R457" s="24"/>
      <c r="S457" s="24" t="s">
        <v>4099</v>
      </c>
      <c r="T457" s="24" t="str">
        <f aca="false">"["&amp;안내!$C$5&amp;" "&amp;F457&amp;"] "&amp;L457&amp;" | "&amp;J457</f>
        <v>[1분 성경 구약 #473] 애굽으로 간 남은 자들 | 렘 42:1-52:34</v>
      </c>
      <c r="U457" s="26" t="n">
        <f aca="false">IF(D457="구약",IF(C457=1,안내!$C$9,안내!$C$10)+AD457-1,IF(C457=1,안내!$C$9,안내!$C$10)+7*INT((AD457-1)/4)+CHOOSE(MOD(AD457-1,4)+1,0,2,4,5))</f>
        <v>46870</v>
      </c>
      <c r="V457" s="23" t="str">
        <f aca="false">CHOOSE(WEEKDAY(U457,2),"월","화","수","목","금","토","일")</f>
        <v>목</v>
      </c>
      <c r="W457" s="24" t="str">
        <f aca="false">IFERROR(IF(INDEX($C$2:$C$799,MATCH(D457&amp;"#"&amp;(E457+1),$AC$2:$AC$799,0))=C457,"다음 편: ","시즌1 완결 · 시즌2 첫 편: ")&amp;INDEX($L$2:$L$799,MATCH(D457&amp;"#"&amp;(E457+1),$AC$2:$AC$799,0)),"구약 트랙 완결")</f>
        <v>다음 편: 슬프다 이 성이여</v>
      </c>
      <c r="X457" s="23" t="s">
        <v>130</v>
      </c>
      <c r="Y457" s="23" t="s">
        <v>130</v>
      </c>
      <c r="Z457" s="23" t="s">
        <v>130</v>
      </c>
      <c r="AA457" s="23" t="s">
        <v>130</v>
      </c>
      <c r="AB457" s="24"/>
      <c r="AC457" s="23" t="str">
        <f aca="false">D457&amp;"#"&amp;E457</f>
        <v>구약#473</v>
      </c>
      <c r="AD457" s="23" t="n">
        <f aca="false">COUNTIFS($C$2:C457,C457,$D$2:D457,D457)</f>
        <v>291</v>
      </c>
    </row>
    <row r="458" customFormat="false" ht="26.85" hidden="false" customHeight="false" outlineLevel="0" collapsed="false">
      <c r="A458" s="21" t="n">
        <v>457</v>
      </c>
      <c r="B458" s="18" t="s">
        <v>4108</v>
      </c>
      <c r="C458" s="23" t="n">
        <v>2</v>
      </c>
      <c r="D458" s="23" t="s">
        <v>116</v>
      </c>
      <c r="E458" s="23" t="n">
        <f aca="false">IF(C458=1,COUNTIFS($C$2:C458,1,$D$2:D458,D458),COUNTIFS($C$2:$C$799,1,$D$2:$D$799,D458)+COUNTIFS($C$2:C458,2,$D$2:D458,D458))</f>
        <v>474</v>
      </c>
      <c r="F458" s="23" t="str">
        <f aca="false">D458&amp;" #"&amp;TEXT(E458,"000")</f>
        <v>구약 #474</v>
      </c>
      <c r="G458" s="18" t="s">
        <v>4021</v>
      </c>
      <c r="H458" s="18" t="s">
        <v>4022</v>
      </c>
      <c r="I458" s="21" t="s">
        <v>4109</v>
      </c>
      <c r="J458" s="22" t="s">
        <v>4110</v>
      </c>
      <c r="K458" s="23" t="s">
        <v>1085</v>
      </c>
      <c r="L458" s="24" t="s">
        <v>4111</v>
      </c>
      <c r="M458" s="24" t="s">
        <v>4112</v>
      </c>
      <c r="N458" s="23" t="s">
        <v>4113</v>
      </c>
      <c r="O458" s="24" t="s">
        <v>4114</v>
      </c>
      <c r="P458" s="24" t="s">
        <v>4115</v>
      </c>
      <c r="Q458" s="24" t="s">
        <v>4116</v>
      </c>
      <c r="R458" s="24"/>
      <c r="S458" s="24" t="s">
        <v>4099</v>
      </c>
      <c r="T458" s="24" t="str">
        <f aca="false">"["&amp;안내!$C$5&amp;" "&amp;F458&amp;"] "&amp;L458&amp;" | "&amp;J458</f>
        <v>[1분 성경 구약 #474] 슬프다 이 성이여 | 애 1:1-2:22</v>
      </c>
      <c r="U458" s="26" t="n">
        <f aca="false">IF(D458="구약",IF(C458=1,안내!$C$9,안내!$C$10)+AD458-1,IF(C458=1,안내!$C$9,안내!$C$10)+7*INT((AD458-1)/4)+CHOOSE(MOD(AD458-1,4)+1,0,2,4,5))</f>
        <v>46871</v>
      </c>
      <c r="V458" s="23" t="str">
        <f aca="false">CHOOSE(WEEKDAY(U458,2),"월","화","수","목","금","토","일")</f>
        <v>금</v>
      </c>
      <c r="W458" s="24" t="str">
        <f aca="false">IFERROR(IF(INDEX($C$2:$C$799,MATCH(D458&amp;"#"&amp;(E458+1),$AC$2:$AC$799,0))=C458,"다음 편: ","시즌1 완결 · 시즌2 첫 편: ")&amp;INDEX($L$2:$L$799,MATCH(D458&amp;"#"&amp;(E458+1),$AC$2:$AC$799,0)),"구약 트랙 완결")</f>
        <v>다음 편: 우리를 돌이키소서</v>
      </c>
      <c r="X458" s="23" t="s">
        <v>130</v>
      </c>
      <c r="Y458" s="23" t="s">
        <v>130</v>
      </c>
      <c r="Z458" s="23" t="s">
        <v>130</v>
      </c>
      <c r="AA458" s="23" t="s">
        <v>130</v>
      </c>
      <c r="AB458" s="24"/>
      <c r="AC458" s="23" t="str">
        <f aca="false">D458&amp;"#"&amp;E458</f>
        <v>구약#474</v>
      </c>
      <c r="AD458" s="23" t="n">
        <f aca="false">COUNTIFS($C$2:C458,C458,$D$2:D458,D458)</f>
        <v>292</v>
      </c>
    </row>
    <row r="459" customFormat="false" ht="52.2" hidden="false" customHeight="false" outlineLevel="0" collapsed="false">
      <c r="A459" s="21" t="n">
        <v>458</v>
      </c>
      <c r="B459" s="18" t="s">
        <v>4117</v>
      </c>
      <c r="C459" s="20" t="n">
        <v>1</v>
      </c>
      <c r="D459" s="20" t="s">
        <v>116</v>
      </c>
      <c r="E459" s="20" t="n">
        <f aca="false">IF(C459=1,COUNTIFS($C$2:C459,1,$D$2:D459,D459),COUNTIFS($C$2:$C$799,1,$D$2:$D$799,D459)+COUNTIFS($C$2:C459,2,$D$2:D459,D459))</f>
        <v>166</v>
      </c>
      <c r="F459" s="20" t="str">
        <f aca="false">D459&amp;" #"&amp;TEXT(E459,"000")</f>
        <v>구약 #166</v>
      </c>
      <c r="G459" s="18" t="s">
        <v>4021</v>
      </c>
      <c r="H459" s="18" t="s">
        <v>4047</v>
      </c>
      <c r="I459" s="21" t="s">
        <v>4109</v>
      </c>
      <c r="J459" s="22" t="s">
        <v>4118</v>
      </c>
      <c r="K459" s="23" t="s">
        <v>1085</v>
      </c>
      <c r="L459" s="24" t="s">
        <v>4119</v>
      </c>
      <c r="M459" s="24" t="s">
        <v>4120</v>
      </c>
      <c r="N459" s="23" t="s">
        <v>4121</v>
      </c>
      <c r="O459" s="24" t="s">
        <v>4122</v>
      </c>
      <c r="P459" s="24" t="s">
        <v>4115</v>
      </c>
      <c r="Q459" s="24" t="s">
        <v>4123</v>
      </c>
      <c r="R459" s="24"/>
      <c r="S459" s="28" t="s">
        <v>4124</v>
      </c>
      <c r="T459" s="24" t="str">
        <f aca="false">"["&amp;안내!$C$5&amp;" "&amp;F459&amp;"] "&amp;L459&amp;" | "&amp;J459</f>
        <v>[1분 성경 구약 #166] 아침마다 새로우니 | 애 3:1-66</v>
      </c>
      <c r="U459" s="26" t="n">
        <f aca="false">IF(D459="구약",IF(C459=1,안내!$C$9,안내!$C$10)+AD459-1,IF(C459=1,안내!$C$9,안내!$C$10)+7*INT((AD459-1)/4)+CHOOSE(MOD(AD459-1,4)+1,0,2,4,5))</f>
        <v>46556</v>
      </c>
      <c r="V459" s="23" t="str">
        <f aca="false">CHOOSE(WEEKDAY(U459,2),"월","화","수","목","금","토","일")</f>
        <v>금</v>
      </c>
      <c r="W459" s="24" t="str">
        <f aca="false">IFERROR(IF(INDEX($C$2:$C$799,MATCH(D459&amp;"#"&amp;(E459+1),$AC$2:$AC$799,0))=C459,"다음 편: ","시즌1 완결 · 시즌2 첫 편: ")&amp;INDEX($L$2:$L$799,MATCH(D459&amp;"#"&amp;(E459+1),$AC$2:$AC$799,0)),"구약 트랙 완결")</f>
        <v>다음 편: 마른 뼈 골짜기</v>
      </c>
      <c r="X459" s="23" t="s">
        <v>130</v>
      </c>
      <c r="Y459" s="23" t="s">
        <v>130</v>
      </c>
      <c r="Z459" s="23" t="s">
        <v>130</v>
      </c>
      <c r="AA459" s="23" t="s">
        <v>130</v>
      </c>
      <c r="AB459" s="24"/>
      <c r="AC459" s="23" t="str">
        <f aca="false">D459&amp;"#"&amp;E459</f>
        <v>구약#166</v>
      </c>
      <c r="AD459" s="23" t="n">
        <f aca="false">COUNTIFS($C$2:C459,C459,$D$2:D459,D459)</f>
        <v>166</v>
      </c>
    </row>
    <row r="460" customFormat="false" ht="26.85" hidden="false" customHeight="false" outlineLevel="0" collapsed="false">
      <c r="A460" s="21" t="n">
        <v>459</v>
      </c>
      <c r="B460" s="18" t="s">
        <v>4125</v>
      </c>
      <c r="C460" s="23" t="n">
        <v>2</v>
      </c>
      <c r="D460" s="23" t="s">
        <v>116</v>
      </c>
      <c r="E460" s="23" t="n">
        <f aca="false">IF(C460=1,COUNTIFS($C$2:C460,1,$D$2:D460,D460),COUNTIFS($C$2:$C$799,1,$D$2:$D$799,D460)+COUNTIFS($C$2:C460,2,$D$2:D460,D460))</f>
        <v>475</v>
      </c>
      <c r="F460" s="23" t="str">
        <f aca="false">D460&amp;" #"&amp;TEXT(E460,"000")</f>
        <v>구약 #475</v>
      </c>
      <c r="G460" s="18" t="s">
        <v>4021</v>
      </c>
      <c r="H460" s="18" t="s">
        <v>4022</v>
      </c>
      <c r="I460" s="21" t="s">
        <v>4109</v>
      </c>
      <c r="J460" s="22" t="s">
        <v>4126</v>
      </c>
      <c r="K460" s="23" t="s">
        <v>1085</v>
      </c>
      <c r="L460" s="24" t="s">
        <v>4127</v>
      </c>
      <c r="M460" s="24" t="s">
        <v>4128</v>
      </c>
      <c r="N460" s="23" t="s">
        <v>4129</v>
      </c>
      <c r="O460" s="24" t="s">
        <v>4130</v>
      </c>
      <c r="P460" s="24" t="s">
        <v>4115</v>
      </c>
      <c r="Q460" s="24" t="s">
        <v>4131</v>
      </c>
      <c r="R460" s="27" t="s">
        <v>4132</v>
      </c>
      <c r="S460" s="24" t="s">
        <v>4133</v>
      </c>
      <c r="T460" s="24" t="str">
        <f aca="false">"["&amp;안내!$C$5&amp;" "&amp;F460&amp;"] "&amp;L460&amp;" | "&amp;J460</f>
        <v>[1분 성경 구약 #475] 우리를 돌이키소서 | 애 4:1-5:22</v>
      </c>
      <c r="U460" s="26" t="n">
        <f aca="false">IF(D460="구약",IF(C460=1,안내!$C$9,안내!$C$10)+AD460-1,IF(C460=1,안내!$C$9,안내!$C$10)+7*INT((AD460-1)/4)+CHOOSE(MOD(AD460-1,4)+1,0,2,4,5))</f>
        <v>46872</v>
      </c>
      <c r="V460" s="23" t="str">
        <f aca="false">CHOOSE(WEEKDAY(U460,2),"월","화","수","목","금","토","일")</f>
        <v>토</v>
      </c>
      <c r="W460" s="24" t="str">
        <f aca="false">IFERROR(IF(INDEX($C$2:$C$799,MATCH(D460&amp;"#"&amp;(E460+1),$AC$2:$AC$799,0))=C460,"다음 편: ","시즌1 완결 · 시즌2 첫 편: ")&amp;INDEX($L$2:$L$799,MATCH(D460&amp;"#"&amp;(E460+1),$AC$2:$AC$799,0)),"구약 트랙 완결")</f>
        <v>다음 편: 그발 강가의 환상</v>
      </c>
      <c r="X460" s="23" t="s">
        <v>130</v>
      </c>
      <c r="Y460" s="23" t="s">
        <v>130</v>
      </c>
      <c r="Z460" s="23" t="s">
        <v>130</v>
      </c>
      <c r="AA460" s="23" t="s">
        <v>130</v>
      </c>
      <c r="AB460" s="24"/>
      <c r="AC460" s="23" t="str">
        <f aca="false">D460&amp;"#"&amp;E460</f>
        <v>구약#475</v>
      </c>
      <c r="AD460" s="23" t="n">
        <f aca="false">COUNTIFS($C$2:C460,C460,$D$2:D460,D460)</f>
        <v>293</v>
      </c>
    </row>
    <row r="461" customFormat="false" ht="26.85" hidden="false" customHeight="false" outlineLevel="0" collapsed="false">
      <c r="A461" s="21" t="n">
        <v>460</v>
      </c>
      <c r="B461" s="18" t="s">
        <v>4134</v>
      </c>
      <c r="C461" s="23" t="n">
        <v>2</v>
      </c>
      <c r="D461" s="23" t="s">
        <v>116</v>
      </c>
      <c r="E461" s="23" t="n">
        <f aca="false">IF(C461=1,COUNTIFS($C$2:C461,1,$D$2:D461,D461),COUNTIFS($C$2:$C$799,1,$D$2:$D$799,D461)+COUNTIFS($C$2:C461,2,$D$2:D461,D461))</f>
        <v>476</v>
      </c>
      <c r="F461" s="23" t="str">
        <f aca="false">D461&amp;" #"&amp;TEXT(E461,"000")</f>
        <v>구약 #476</v>
      </c>
      <c r="G461" s="18" t="s">
        <v>4135</v>
      </c>
      <c r="H461" s="18" t="s">
        <v>4136</v>
      </c>
      <c r="I461" s="21" t="s">
        <v>4137</v>
      </c>
      <c r="J461" s="22" t="s">
        <v>4138</v>
      </c>
      <c r="K461" s="23" t="s">
        <v>1085</v>
      </c>
      <c r="L461" s="24" t="s">
        <v>4139</v>
      </c>
      <c r="M461" s="24" t="s">
        <v>4140</v>
      </c>
      <c r="N461" s="23" t="s">
        <v>4141</v>
      </c>
      <c r="O461" s="24" t="s">
        <v>4142</v>
      </c>
      <c r="P461" s="24" t="s">
        <v>4143</v>
      </c>
      <c r="Q461" s="24" t="s">
        <v>4144</v>
      </c>
      <c r="R461" s="25" t="s">
        <v>4145</v>
      </c>
      <c r="S461" s="24" t="s">
        <v>4133</v>
      </c>
      <c r="T461" s="24" t="str">
        <f aca="false">"["&amp;안내!$C$5&amp;" "&amp;F461&amp;"] "&amp;L461&amp;" | "&amp;J461</f>
        <v>[1분 성경 구약 #476] 그발 강가의 환상 | 겔 1:1-28</v>
      </c>
      <c r="U461" s="26" t="n">
        <f aca="false">IF(D461="구약",IF(C461=1,안내!$C$9,안내!$C$10)+AD461-1,IF(C461=1,안내!$C$9,안내!$C$10)+7*INT((AD461-1)/4)+CHOOSE(MOD(AD461-1,4)+1,0,2,4,5))</f>
        <v>46873</v>
      </c>
      <c r="V461" s="23" t="str">
        <f aca="false">CHOOSE(WEEKDAY(U461,2),"월","화","수","목","금","토","일")</f>
        <v>일</v>
      </c>
      <c r="W461" s="24" t="str">
        <f aca="false">IFERROR(IF(INDEX($C$2:$C$799,MATCH(D461&amp;"#"&amp;(E461+1),$AC$2:$AC$799,0))=C461,"다음 편: ","시즌1 완결 · 시즌2 첫 편: ")&amp;INDEX($L$2:$L$799,MATCH(D461&amp;"#"&amp;(E461+1),$AC$2:$AC$799,0)),"구약 트랙 완결")</f>
        <v>다음 편: 두루마리를 먹다</v>
      </c>
      <c r="X461" s="23" t="s">
        <v>130</v>
      </c>
      <c r="Y461" s="23" t="s">
        <v>130</v>
      </c>
      <c r="Z461" s="23" t="s">
        <v>130</v>
      </c>
      <c r="AA461" s="23" t="s">
        <v>130</v>
      </c>
      <c r="AB461" s="24"/>
      <c r="AC461" s="23" t="str">
        <f aca="false">D461&amp;"#"&amp;E461</f>
        <v>구약#476</v>
      </c>
      <c r="AD461" s="23" t="n">
        <f aca="false">COUNTIFS($C$2:C461,C461,$D$2:D461,D461)</f>
        <v>294</v>
      </c>
    </row>
    <row r="462" customFormat="false" ht="26.85" hidden="false" customHeight="false" outlineLevel="0" collapsed="false">
      <c r="A462" s="21" t="n">
        <v>461</v>
      </c>
      <c r="B462" s="18" t="s">
        <v>4146</v>
      </c>
      <c r="C462" s="23" t="n">
        <v>2</v>
      </c>
      <c r="D462" s="23" t="s">
        <v>116</v>
      </c>
      <c r="E462" s="23" t="n">
        <f aca="false">IF(C462=1,COUNTIFS($C$2:C462,1,$D$2:D462,D462),COUNTIFS($C$2:$C$799,1,$D$2:$D$799,D462)+COUNTIFS($C$2:C462,2,$D$2:D462,D462))</f>
        <v>477</v>
      </c>
      <c r="F462" s="23" t="str">
        <f aca="false">D462&amp;" #"&amp;TEXT(E462,"000")</f>
        <v>구약 #477</v>
      </c>
      <c r="G462" s="18" t="s">
        <v>4135</v>
      </c>
      <c r="H462" s="18" t="s">
        <v>4136</v>
      </c>
      <c r="I462" s="21" t="s">
        <v>4137</v>
      </c>
      <c r="J462" s="22" t="s">
        <v>4147</v>
      </c>
      <c r="K462" s="23" t="s">
        <v>1085</v>
      </c>
      <c r="L462" s="24" t="s">
        <v>4148</v>
      </c>
      <c r="M462" s="24" t="s">
        <v>4149</v>
      </c>
      <c r="N462" s="23" t="s">
        <v>4150</v>
      </c>
      <c r="O462" s="24" t="s">
        <v>4151</v>
      </c>
      <c r="P462" s="24" t="s">
        <v>4152</v>
      </c>
      <c r="Q462" s="24" t="s">
        <v>4153</v>
      </c>
      <c r="R462" s="24"/>
      <c r="S462" s="24" t="s">
        <v>4133</v>
      </c>
      <c r="T462" s="24" t="str">
        <f aca="false">"["&amp;안내!$C$5&amp;" "&amp;F462&amp;"] "&amp;L462&amp;" | "&amp;J462</f>
        <v>[1분 성경 구약 #477] 두루마리를 먹다 | 겔 2:1-3:27</v>
      </c>
      <c r="U462" s="26" t="n">
        <f aca="false">IF(D462="구약",IF(C462=1,안내!$C$9,안내!$C$10)+AD462-1,IF(C462=1,안내!$C$9,안내!$C$10)+7*INT((AD462-1)/4)+CHOOSE(MOD(AD462-1,4)+1,0,2,4,5))</f>
        <v>46874</v>
      </c>
      <c r="V462" s="23" t="str">
        <f aca="false">CHOOSE(WEEKDAY(U462,2),"월","화","수","목","금","토","일")</f>
        <v>월</v>
      </c>
      <c r="W462" s="24" t="str">
        <f aca="false">IFERROR(IF(INDEX($C$2:$C$799,MATCH(D462&amp;"#"&amp;(E462+1),$AC$2:$AC$799,0))=C462,"다음 편: ","시즌1 완결 · 시즌2 첫 편: ")&amp;INDEX($L$2:$L$799,MATCH(D462&amp;"#"&amp;(E462+1),$AC$2:$AC$799,0)),"구약 트랙 완결")</f>
        <v>다음 편: 390일 동안 누운 선지자</v>
      </c>
      <c r="X462" s="23" t="s">
        <v>130</v>
      </c>
      <c r="Y462" s="23" t="s">
        <v>130</v>
      </c>
      <c r="Z462" s="23" t="s">
        <v>130</v>
      </c>
      <c r="AA462" s="23" t="s">
        <v>130</v>
      </c>
      <c r="AB462" s="24"/>
      <c r="AC462" s="23" t="str">
        <f aca="false">D462&amp;"#"&amp;E462</f>
        <v>구약#477</v>
      </c>
      <c r="AD462" s="23" t="n">
        <f aca="false">COUNTIFS($C$2:C462,C462,$D$2:D462,D462)</f>
        <v>295</v>
      </c>
    </row>
    <row r="463" customFormat="false" ht="25.35" hidden="false" customHeight="false" outlineLevel="0" collapsed="false">
      <c r="A463" s="21" t="n">
        <v>462</v>
      </c>
      <c r="B463" s="18" t="s">
        <v>4154</v>
      </c>
      <c r="C463" s="23" t="n">
        <v>2</v>
      </c>
      <c r="D463" s="23" t="s">
        <v>116</v>
      </c>
      <c r="E463" s="23" t="n">
        <f aca="false">IF(C463=1,COUNTIFS($C$2:C463,1,$D$2:D463,D463),COUNTIFS($C$2:$C$799,1,$D$2:$D$799,D463)+COUNTIFS($C$2:C463,2,$D$2:D463,D463))</f>
        <v>478</v>
      </c>
      <c r="F463" s="23" t="str">
        <f aca="false">D463&amp;" #"&amp;TEXT(E463,"000")</f>
        <v>구약 #478</v>
      </c>
      <c r="G463" s="18" t="s">
        <v>4135</v>
      </c>
      <c r="H463" s="18" t="s">
        <v>4136</v>
      </c>
      <c r="I463" s="21" t="s">
        <v>4137</v>
      </c>
      <c r="J463" s="22" t="s">
        <v>4155</v>
      </c>
      <c r="K463" s="23" t="s">
        <v>1085</v>
      </c>
      <c r="L463" s="29" t="s">
        <v>4156</v>
      </c>
      <c r="M463" s="24" t="s">
        <v>4157</v>
      </c>
      <c r="N463" s="23" t="s">
        <v>4158</v>
      </c>
      <c r="O463" s="24" t="s">
        <v>4159</v>
      </c>
      <c r="P463" s="24" t="s">
        <v>4137</v>
      </c>
      <c r="Q463" s="24" t="s">
        <v>4160</v>
      </c>
      <c r="R463" s="24"/>
      <c r="S463" s="24" t="s">
        <v>4133</v>
      </c>
      <c r="T463" s="24" t="str">
        <f aca="false">"["&amp;안내!$C$5&amp;" "&amp;F463&amp;"] "&amp;L463&amp;" | "&amp;J463</f>
        <v>[1분 성경 구약 #478] 390일 동안 누운 선지자 | 겔 4:1-7:27</v>
      </c>
      <c r="U463" s="26" t="n">
        <f aca="false">IF(D463="구약",IF(C463=1,안내!$C$9,안내!$C$10)+AD463-1,IF(C463=1,안내!$C$9,안내!$C$10)+7*INT((AD463-1)/4)+CHOOSE(MOD(AD463-1,4)+1,0,2,4,5))</f>
        <v>46875</v>
      </c>
      <c r="V463" s="23" t="str">
        <f aca="false">CHOOSE(WEEKDAY(U463,2),"월","화","수","목","금","토","일")</f>
        <v>화</v>
      </c>
      <c r="W463" s="24" t="str">
        <f aca="false">IFERROR(IF(INDEX($C$2:$C$799,MATCH(D463&amp;"#"&amp;(E463+1),$AC$2:$AC$799,0))=C463,"다음 편: ","시즌1 완결 · 시즌2 첫 편: ")&amp;INDEX($L$2:$L$799,MATCH(D463&amp;"#"&amp;(E463+1),$AC$2:$AC$799,0)),"구약 트랙 완결")</f>
        <v>다음 편: 성전을 떠나는 영광</v>
      </c>
      <c r="X463" s="23" t="s">
        <v>130</v>
      </c>
      <c r="Y463" s="23" t="s">
        <v>130</v>
      </c>
      <c r="Z463" s="23" t="s">
        <v>130</v>
      </c>
      <c r="AA463" s="23" t="s">
        <v>130</v>
      </c>
      <c r="AB463" s="24"/>
      <c r="AC463" s="23" t="str">
        <f aca="false">D463&amp;"#"&amp;E463</f>
        <v>구약#478</v>
      </c>
      <c r="AD463" s="23" t="n">
        <f aca="false">COUNTIFS($C$2:C463,C463,$D$2:D463,D463)</f>
        <v>296</v>
      </c>
    </row>
    <row r="464" customFormat="false" ht="26.85" hidden="false" customHeight="false" outlineLevel="0" collapsed="false">
      <c r="A464" s="21" t="n">
        <v>463</v>
      </c>
      <c r="B464" s="18" t="s">
        <v>4161</v>
      </c>
      <c r="C464" s="23" t="n">
        <v>2</v>
      </c>
      <c r="D464" s="23" t="s">
        <v>116</v>
      </c>
      <c r="E464" s="23" t="n">
        <f aca="false">IF(C464=1,COUNTIFS($C$2:C464,1,$D$2:D464,D464),COUNTIFS($C$2:$C$799,1,$D$2:$D$799,D464)+COUNTIFS($C$2:C464,2,$D$2:D464,D464))</f>
        <v>479</v>
      </c>
      <c r="F464" s="23" t="str">
        <f aca="false">D464&amp;" #"&amp;TEXT(E464,"000")</f>
        <v>구약 #479</v>
      </c>
      <c r="G464" s="18" t="s">
        <v>4135</v>
      </c>
      <c r="H464" s="18" t="s">
        <v>4136</v>
      </c>
      <c r="I464" s="21" t="s">
        <v>4137</v>
      </c>
      <c r="J464" s="22" t="s">
        <v>4162</v>
      </c>
      <c r="K464" s="23" t="s">
        <v>1085</v>
      </c>
      <c r="L464" s="24" t="s">
        <v>4163</v>
      </c>
      <c r="M464" s="24" t="s">
        <v>4164</v>
      </c>
      <c r="N464" s="23" t="s">
        <v>4165</v>
      </c>
      <c r="O464" s="24" t="s">
        <v>4166</v>
      </c>
      <c r="P464" s="24" t="s">
        <v>4167</v>
      </c>
      <c r="Q464" s="24" t="s">
        <v>4168</v>
      </c>
      <c r="R464" s="25" t="s">
        <v>4169</v>
      </c>
      <c r="S464" s="24" t="s">
        <v>4133</v>
      </c>
      <c r="T464" s="24" t="str">
        <f aca="false">"["&amp;안내!$C$5&amp;" "&amp;F464&amp;"] "&amp;L464&amp;" | "&amp;J464</f>
        <v>[1분 성경 구약 #479] 성전을 떠나는 영광 | 겔 8:1-11:25</v>
      </c>
      <c r="U464" s="26" t="n">
        <f aca="false">IF(D464="구약",IF(C464=1,안내!$C$9,안내!$C$10)+AD464-1,IF(C464=1,안내!$C$9,안내!$C$10)+7*INT((AD464-1)/4)+CHOOSE(MOD(AD464-1,4)+1,0,2,4,5))</f>
        <v>46876</v>
      </c>
      <c r="V464" s="23" t="str">
        <f aca="false">CHOOSE(WEEKDAY(U464,2),"월","화","수","목","금","토","일")</f>
        <v>수</v>
      </c>
      <c r="W464" s="24" t="str">
        <f aca="false">IFERROR(IF(INDEX($C$2:$C$799,MATCH(D464&amp;"#"&amp;(E464+1),$AC$2:$AC$799,0))=C464,"다음 편: ","시즌1 완결 · 시즌2 첫 편: ")&amp;INDEX($L$2:$L$799,MATCH(D464&amp;"#"&amp;(E464+1),$AC$2:$AC$799,0)),"구약 트랙 완결")</f>
        <v>다음 편: 낮은 나무를 높이시는 하나님</v>
      </c>
      <c r="X464" s="23" t="s">
        <v>130</v>
      </c>
      <c r="Y464" s="23" t="s">
        <v>130</v>
      </c>
      <c r="Z464" s="23" t="s">
        <v>130</v>
      </c>
      <c r="AA464" s="23" t="s">
        <v>130</v>
      </c>
      <c r="AB464" s="24"/>
      <c r="AC464" s="23" t="str">
        <f aca="false">D464&amp;"#"&amp;E464</f>
        <v>구약#479</v>
      </c>
      <c r="AD464" s="23" t="n">
        <f aca="false">COUNTIFS($C$2:C464,C464,$D$2:D464,D464)</f>
        <v>297</v>
      </c>
    </row>
    <row r="465" customFormat="false" ht="26.85" hidden="false" customHeight="false" outlineLevel="0" collapsed="false">
      <c r="A465" s="21" t="n">
        <v>464</v>
      </c>
      <c r="B465" s="18" t="s">
        <v>4170</v>
      </c>
      <c r="C465" s="23" t="n">
        <v>2</v>
      </c>
      <c r="D465" s="23" t="s">
        <v>116</v>
      </c>
      <c r="E465" s="23" t="n">
        <f aca="false">IF(C465=1,COUNTIFS($C$2:C465,1,$D$2:D465,D465),COUNTIFS($C$2:$C$799,1,$D$2:$D$799,D465)+COUNTIFS($C$2:C465,2,$D$2:D465,D465))</f>
        <v>480</v>
      </c>
      <c r="F465" s="23" t="str">
        <f aca="false">D465&amp;" #"&amp;TEXT(E465,"000")</f>
        <v>구약 #480</v>
      </c>
      <c r="G465" s="18" t="s">
        <v>4135</v>
      </c>
      <c r="H465" s="18" t="s">
        <v>4136</v>
      </c>
      <c r="I465" s="21" t="s">
        <v>4137</v>
      </c>
      <c r="J465" s="22" t="s">
        <v>4171</v>
      </c>
      <c r="K465" s="23" t="s">
        <v>1085</v>
      </c>
      <c r="L465" s="24" t="s">
        <v>4172</v>
      </c>
      <c r="M465" s="24" t="s">
        <v>4173</v>
      </c>
      <c r="N465" s="23" t="s">
        <v>4174</v>
      </c>
      <c r="O465" s="24" t="s">
        <v>4175</v>
      </c>
      <c r="P465" s="24" t="s">
        <v>4137</v>
      </c>
      <c r="Q465" s="24" t="s">
        <v>4176</v>
      </c>
      <c r="R465" s="24"/>
      <c r="S465" s="24" t="s">
        <v>4133</v>
      </c>
      <c r="T465" s="24" t="str">
        <f aca="false">"["&amp;안내!$C$5&amp;" "&amp;F465&amp;"] "&amp;L465&amp;" | "&amp;J465</f>
        <v>[1분 성경 구약 #480] 낮은 나무를 높이시는 하나님 | 겔 12:1-17:24</v>
      </c>
      <c r="U465" s="26" t="n">
        <f aca="false">IF(D465="구약",IF(C465=1,안내!$C$9,안내!$C$10)+AD465-1,IF(C465=1,안내!$C$9,안내!$C$10)+7*INT((AD465-1)/4)+CHOOSE(MOD(AD465-1,4)+1,0,2,4,5))</f>
        <v>46877</v>
      </c>
      <c r="V465" s="23" t="str">
        <f aca="false">CHOOSE(WEEKDAY(U465,2),"월","화","수","목","금","토","일")</f>
        <v>목</v>
      </c>
      <c r="W465" s="24" t="str">
        <f aca="false">IFERROR(IF(INDEX($C$2:$C$799,MATCH(D465&amp;"#"&amp;(E465+1),$AC$2:$AC$799,0))=C465,"다음 편: ","시즌1 완결 · 시즌2 첫 편: ")&amp;INDEX($L$2:$L$799,MATCH(D465&amp;"#"&amp;(E465+1),$AC$2:$AC$799,0)),"구약 트랙 완결")</f>
        <v>다음 편: 각자의 책임</v>
      </c>
      <c r="X465" s="23" t="s">
        <v>130</v>
      </c>
      <c r="Y465" s="23" t="s">
        <v>130</v>
      </c>
      <c r="Z465" s="23" t="s">
        <v>130</v>
      </c>
      <c r="AA465" s="23" t="s">
        <v>130</v>
      </c>
      <c r="AB465" s="24"/>
      <c r="AC465" s="23" t="str">
        <f aca="false">D465&amp;"#"&amp;E465</f>
        <v>구약#480</v>
      </c>
      <c r="AD465" s="23" t="n">
        <f aca="false">COUNTIFS($C$2:C465,C465,$D$2:D465,D465)</f>
        <v>298</v>
      </c>
    </row>
    <row r="466" customFormat="false" ht="26.85" hidden="false" customHeight="false" outlineLevel="0" collapsed="false">
      <c r="A466" s="21" t="n">
        <v>465</v>
      </c>
      <c r="B466" s="18" t="s">
        <v>4177</v>
      </c>
      <c r="C466" s="23" t="n">
        <v>2</v>
      </c>
      <c r="D466" s="23" t="s">
        <v>116</v>
      </c>
      <c r="E466" s="23" t="n">
        <f aca="false">IF(C466=1,COUNTIFS($C$2:C466,1,$D$2:D466,D466),COUNTIFS($C$2:$C$799,1,$D$2:$D$799,D466)+COUNTIFS($C$2:C466,2,$D$2:D466,D466))</f>
        <v>481</v>
      </c>
      <c r="F466" s="23" t="str">
        <f aca="false">D466&amp;" #"&amp;TEXT(E466,"000")</f>
        <v>구약 #481</v>
      </c>
      <c r="G466" s="18" t="s">
        <v>4135</v>
      </c>
      <c r="H466" s="18" t="s">
        <v>4136</v>
      </c>
      <c r="I466" s="21" t="s">
        <v>4137</v>
      </c>
      <c r="J466" s="22" t="s">
        <v>4178</v>
      </c>
      <c r="K466" s="23" t="s">
        <v>1085</v>
      </c>
      <c r="L466" s="24" t="s">
        <v>4179</v>
      </c>
      <c r="M466" s="24" t="s">
        <v>4180</v>
      </c>
      <c r="N466" s="23" t="s">
        <v>4181</v>
      </c>
      <c r="O466" s="24" t="s">
        <v>4182</v>
      </c>
      <c r="P466" s="24" t="s">
        <v>4137</v>
      </c>
      <c r="Q466" s="24" t="s">
        <v>3715</v>
      </c>
      <c r="R466" s="24"/>
      <c r="S466" s="24" t="s">
        <v>4133</v>
      </c>
      <c r="T466" s="24" t="str">
        <f aca="false">"["&amp;안내!$C$5&amp;" "&amp;F466&amp;"] "&amp;L466&amp;" | "&amp;J466</f>
        <v>[1분 성경 구약 #481] 각자의 책임 | 겔 18:1-32</v>
      </c>
      <c r="U466" s="26" t="n">
        <f aca="false">IF(D466="구약",IF(C466=1,안내!$C$9,안내!$C$10)+AD466-1,IF(C466=1,안내!$C$9,안내!$C$10)+7*INT((AD466-1)/4)+CHOOSE(MOD(AD466-1,4)+1,0,2,4,5))</f>
        <v>46878</v>
      </c>
      <c r="V466" s="23" t="str">
        <f aca="false">CHOOSE(WEEKDAY(U466,2),"월","화","수","목","금","토","일")</f>
        <v>금</v>
      </c>
      <c r="W466" s="24" t="str">
        <f aca="false">IFERROR(IF(INDEX($C$2:$C$799,MATCH(D466&amp;"#"&amp;(E466+1),$AC$2:$AC$799,0))=C466,"다음 편: ","시즌1 완결 · 시즌2 첫 편: ")&amp;INDEX($L$2:$L$799,MATCH(D466&amp;"#"&amp;(E466+1),$AC$2:$AC$799,0)),"구약 트랙 완결")</f>
        <v>다음 편: 아내를 잃은 선지자</v>
      </c>
      <c r="X466" s="23" t="s">
        <v>130</v>
      </c>
      <c r="Y466" s="23" t="s">
        <v>130</v>
      </c>
      <c r="Z466" s="23" t="s">
        <v>130</v>
      </c>
      <c r="AA466" s="23" t="s">
        <v>130</v>
      </c>
      <c r="AB466" s="24"/>
      <c r="AC466" s="23" t="str">
        <f aca="false">D466&amp;"#"&amp;E466</f>
        <v>구약#481</v>
      </c>
      <c r="AD466" s="23" t="n">
        <f aca="false">COUNTIFS($C$2:C466,C466,$D$2:D466,D466)</f>
        <v>299</v>
      </c>
    </row>
    <row r="467" customFormat="false" ht="25.35" hidden="false" customHeight="false" outlineLevel="0" collapsed="false">
      <c r="A467" s="21" t="n">
        <v>466</v>
      </c>
      <c r="B467" s="18" t="s">
        <v>4183</v>
      </c>
      <c r="C467" s="23" t="n">
        <v>2</v>
      </c>
      <c r="D467" s="23" t="s">
        <v>116</v>
      </c>
      <c r="E467" s="23" t="n">
        <f aca="false">IF(C467=1,COUNTIFS($C$2:C467,1,$D$2:D467,D467),COUNTIFS($C$2:$C$799,1,$D$2:$D$799,D467)+COUNTIFS($C$2:C467,2,$D$2:D467,D467))</f>
        <v>482</v>
      </c>
      <c r="F467" s="23" t="str">
        <f aca="false">D467&amp;" #"&amp;TEXT(E467,"000")</f>
        <v>구약 #482</v>
      </c>
      <c r="G467" s="18" t="s">
        <v>4135</v>
      </c>
      <c r="H467" s="18" t="s">
        <v>4136</v>
      </c>
      <c r="I467" s="21" t="s">
        <v>4137</v>
      </c>
      <c r="J467" s="22" t="s">
        <v>4184</v>
      </c>
      <c r="K467" s="23" t="s">
        <v>1085</v>
      </c>
      <c r="L467" s="24" t="s">
        <v>4185</v>
      </c>
      <c r="M467" s="24" t="s">
        <v>4186</v>
      </c>
      <c r="N467" s="23" t="s">
        <v>4187</v>
      </c>
      <c r="O467" s="24" t="s">
        <v>4188</v>
      </c>
      <c r="P467" s="24" t="s">
        <v>4137</v>
      </c>
      <c r="Q467" s="24" t="s">
        <v>4189</v>
      </c>
      <c r="R467" s="24"/>
      <c r="S467" s="24" t="s">
        <v>4133</v>
      </c>
      <c r="T467" s="24" t="str">
        <f aca="false">"["&amp;안내!$C$5&amp;" "&amp;F467&amp;"] "&amp;L467&amp;" | "&amp;J467</f>
        <v>[1분 성경 구약 #482] 아내를 잃은 선지자 | 겔 19:1-24:27</v>
      </c>
      <c r="U467" s="26" t="n">
        <f aca="false">IF(D467="구약",IF(C467=1,안내!$C$9,안내!$C$10)+AD467-1,IF(C467=1,안내!$C$9,안내!$C$10)+7*INT((AD467-1)/4)+CHOOSE(MOD(AD467-1,4)+1,0,2,4,5))</f>
        <v>46879</v>
      </c>
      <c r="V467" s="23" t="str">
        <f aca="false">CHOOSE(WEEKDAY(U467,2),"월","화","수","목","금","토","일")</f>
        <v>토</v>
      </c>
      <c r="W467" s="24" t="str">
        <f aca="false">IFERROR(IF(INDEX($C$2:$C$799,MATCH(D467&amp;"#"&amp;(E467+1),$AC$2:$AC$799,0))=C467,"다음 편: ","시즌1 완결 · 시즌2 첫 편: ")&amp;INDEX($L$2:$L$799,MATCH(D467&amp;"#"&amp;(E467+1),$AC$2:$AC$799,0)),"구약 트랙 완결")</f>
        <v>다음 편: 열방을 향한 심판</v>
      </c>
      <c r="X467" s="23" t="s">
        <v>130</v>
      </c>
      <c r="Y467" s="23" t="s">
        <v>130</v>
      </c>
      <c r="Z467" s="23" t="s">
        <v>130</v>
      </c>
      <c r="AA467" s="23" t="s">
        <v>130</v>
      </c>
      <c r="AB467" s="24"/>
      <c r="AC467" s="23" t="str">
        <f aca="false">D467&amp;"#"&amp;E467</f>
        <v>구약#482</v>
      </c>
      <c r="AD467" s="23" t="n">
        <f aca="false">COUNTIFS($C$2:C467,C467,$D$2:D467,D467)</f>
        <v>300</v>
      </c>
    </row>
    <row r="468" customFormat="false" ht="26.85" hidden="false" customHeight="false" outlineLevel="0" collapsed="false">
      <c r="A468" s="21" t="n">
        <v>467</v>
      </c>
      <c r="B468" s="18" t="s">
        <v>4190</v>
      </c>
      <c r="C468" s="23" t="n">
        <v>2</v>
      </c>
      <c r="D468" s="23" t="s">
        <v>116</v>
      </c>
      <c r="E468" s="23" t="n">
        <f aca="false">IF(C468=1,COUNTIFS($C$2:C468,1,$D$2:D468,D468),COUNTIFS($C$2:$C$799,1,$D$2:$D$799,D468)+COUNTIFS($C$2:C468,2,$D$2:D468,D468))</f>
        <v>483</v>
      </c>
      <c r="F468" s="23" t="str">
        <f aca="false">D468&amp;" #"&amp;TEXT(E468,"000")</f>
        <v>구약 #483</v>
      </c>
      <c r="G468" s="18" t="s">
        <v>4135</v>
      </c>
      <c r="H468" s="18" t="s">
        <v>4136</v>
      </c>
      <c r="I468" s="21" t="s">
        <v>4137</v>
      </c>
      <c r="J468" s="22" t="s">
        <v>4191</v>
      </c>
      <c r="K468" s="23" t="s">
        <v>1085</v>
      </c>
      <c r="L468" s="24" t="s">
        <v>4192</v>
      </c>
      <c r="M468" s="24" t="s">
        <v>4193</v>
      </c>
      <c r="N468" s="23" t="s">
        <v>4194</v>
      </c>
      <c r="O468" s="24" t="s">
        <v>4195</v>
      </c>
      <c r="P468" s="24" t="s">
        <v>4137</v>
      </c>
      <c r="Q468" s="24" t="s">
        <v>4196</v>
      </c>
      <c r="R468" s="27" t="s">
        <v>4197</v>
      </c>
      <c r="S468" s="24" t="s">
        <v>4133</v>
      </c>
      <c r="T468" s="24" t="str">
        <f aca="false">"["&amp;안내!$C$5&amp;" "&amp;F468&amp;"] "&amp;L468&amp;" | "&amp;J468</f>
        <v>[1분 성경 구약 #483] 열방을 향한 심판 | 겔 25:1-32:32</v>
      </c>
      <c r="U468" s="26" t="n">
        <f aca="false">IF(D468="구약",IF(C468=1,안내!$C$9,안내!$C$10)+AD468-1,IF(C468=1,안내!$C$9,안내!$C$10)+7*INT((AD468-1)/4)+CHOOSE(MOD(AD468-1,4)+1,0,2,4,5))</f>
        <v>46880</v>
      </c>
      <c r="V468" s="23" t="str">
        <f aca="false">CHOOSE(WEEKDAY(U468,2),"월","화","수","목","금","토","일")</f>
        <v>일</v>
      </c>
      <c r="W468" s="24" t="str">
        <f aca="false">IFERROR(IF(INDEX($C$2:$C$799,MATCH(D468&amp;"#"&amp;(E468+1),$AC$2:$AC$799,0))=C468,"다음 편: ","시즌1 완결 · 시즌2 첫 편: ")&amp;INDEX($L$2:$L$799,MATCH(D468&amp;"#"&amp;(E468+1),$AC$2:$AC$799,0)),"구약 트랙 완결")</f>
        <v>다음 편: 파수꾼의 책임</v>
      </c>
      <c r="X468" s="23" t="s">
        <v>130</v>
      </c>
      <c r="Y468" s="23" t="s">
        <v>130</v>
      </c>
      <c r="Z468" s="23" t="s">
        <v>130</v>
      </c>
      <c r="AA468" s="23" t="s">
        <v>130</v>
      </c>
      <c r="AB468" s="24"/>
      <c r="AC468" s="23" t="str">
        <f aca="false">D468&amp;"#"&amp;E468</f>
        <v>구약#483</v>
      </c>
      <c r="AD468" s="23" t="n">
        <f aca="false">COUNTIFS($C$2:C468,C468,$D$2:D468,D468)</f>
        <v>301</v>
      </c>
    </row>
    <row r="469" customFormat="false" ht="26.85" hidden="false" customHeight="false" outlineLevel="0" collapsed="false">
      <c r="A469" s="21" t="n">
        <v>468</v>
      </c>
      <c r="B469" s="18" t="s">
        <v>4198</v>
      </c>
      <c r="C469" s="23" t="n">
        <v>2</v>
      </c>
      <c r="D469" s="23" t="s">
        <v>116</v>
      </c>
      <c r="E469" s="23" t="n">
        <f aca="false">IF(C469=1,COUNTIFS($C$2:C469,1,$D$2:D469,D469),COUNTIFS($C$2:$C$799,1,$D$2:$D$799,D469)+COUNTIFS($C$2:C469,2,$D$2:D469,D469))</f>
        <v>484</v>
      </c>
      <c r="F469" s="23" t="str">
        <f aca="false">D469&amp;" #"&amp;TEXT(E469,"000")</f>
        <v>구약 #484</v>
      </c>
      <c r="G469" s="18" t="s">
        <v>4135</v>
      </c>
      <c r="H469" s="18" t="s">
        <v>4136</v>
      </c>
      <c r="I469" s="21" t="s">
        <v>4137</v>
      </c>
      <c r="J469" s="22" t="s">
        <v>4199</v>
      </c>
      <c r="K469" s="23" t="s">
        <v>1085</v>
      </c>
      <c r="L469" s="24" t="s">
        <v>4200</v>
      </c>
      <c r="M469" s="24" t="s">
        <v>4201</v>
      </c>
      <c r="N469" s="23" t="s">
        <v>4202</v>
      </c>
      <c r="O469" s="24" t="s">
        <v>4203</v>
      </c>
      <c r="P469" s="24" t="s">
        <v>4137</v>
      </c>
      <c r="Q469" s="24" t="s">
        <v>4204</v>
      </c>
      <c r="R469" s="24"/>
      <c r="S469" s="24" t="s">
        <v>4133</v>
      </c>
      <c r="T469" s="24" t="str">
        <f aca="false">"["&amp;안내!$C$5&amp;" "&amp;F469&amp;"] "&amp;L469&amp;" | "&amp;J469</f>
        <v>[1분 성경 구약 #484] 파수꾼의 책임 | 겔 33:1-33</v>
      </c>
      <c r="U469" s="26" t="n">
        <f aca="false">IF(D469="구약",IF(C469=1,안내!$C$9,안내!$C$10)+AD469-1,IF(C469=1,안내!$C$9,안내!$C$10)+7*INT((AD469-1)/4)+CHOOSE(MOD(AD469-1,4)+1,0,2,4,5))</f>
        <v>46881</v>
      </c>
      <c r="V469" s="23" t="str">
        <f aca="false">CHOOSE(WEEKDAY(U469,2),"월","화","수","목","금","토","일")</f>
        <v>월</v>
      </c>
      <c r="W469" s="24" t="str">
        <f aca="false">IFERROR(IF(INDEX($C$2:$C$799,MATCH(D469&amp;"#"&amp;(E469+1),$AC$2:$AC$799,0))=C469,"다음 편: ","시즌1 완결 · 시즌2 첫 편: ")&amp;INDEX($L$2:$L$799,MATCH(D469&amp;"#"&amp;(E469+1),$AC$2:$AC$799,0)),"구약 트랙 완결")</f>
        <v>다음 편: 참 목자</v>
      </c>
      <c r="X469" s="23" t="s">
        <v>130</v>
      </c>
      <c r="Y469" s="23" t="s">
        <v>130</v>
      </c>
      <c r="Z469" s="23" t="s">
        <v>130</v>
      </c>
      <c r="AA469" s="23" t="s">
        <v>130</v>
      </c>
      <c r="AB469" s="24"/>
      <c r="AC469" s="23" t="str">
        <f aca="false">D469&amp;"#"&amp;E469</f>
        <v>구약#484</v>
      </c>
      <c r="AD469" s="23" t="n">
        <f aca="false">COUNTIFS($C$2:C469,C469,$D$2:D469,D469)</f>
        <v>302</v>
      </c>
    </row>
    <row r="470" customFormat="false" ht="26.85" hidden="false" customHeight="false" outlineLevel="0" collapsed="false">
      <c r="A470" s="21" t="n">
        <v>469</v>
      </c>
      <c r="B470" s="18" t="s">
        <v>4205</v>
      </c>
      <c r="C470" s="23" t="n">
        <v>2</v>
      </c>
      <c r="D470" s="23" t="s">
        <v>116</v>
      </c>
      <c r="E470" s="23" t="n">
        <f aca="false">IF(C470=1,COUNTIFS($C$2:C470,1,$D$2:D470,D470),COUNTIFS($C$2:$C$799,1,$D$2:$D$799,D470)+COUNTIFS($C$2:C470,2,$D$2:D470,D470))</f>
        <v>485</v>
      </c>
      <c r="F470" s="23" t="str">
        <f aca="false">D470&amp;" #"&amp;TEXT(E470,"000")</f>
        <v>구약 #485</v>
      </c>
      <c r="G470" s="18" t="s">
        <v>4135</v>
      </c>
      <c r="H470" s="18" t="s">
        <v>4136</v>
      </c>
      <c r="I470" s="21" t="s">
        <v>4137</v>
      </c>
      <c r="J470" s="22" t="s">
        <v>4206</v>
      </c>
      <c r="K470" s="23" t="s">
        <v>1085</v>
      </c>
      <c r="L470" s="24" t="s">
        <v>4207</v>
      </c>
      <c r="M470" s="24" t="s">
        <v>4208</v>
      </c>
      <c r="N470" s="23" t="s">
        <v>4209</v>
      </c>
      <c r="O470" s="24" t="s">
        <v>4210</v>
      </c>
      <c r="P470" s="24" t="s">
        <v>4137</v>
      </c>
      <c r="Q470" s="24" t="s">
        <v>4211</v>
      </c>
      <c r="R470" s="25" t="s">
        <v>4212</v>
      </c>
      <c r="S470" s="24" t="s">
        <v>4133</v>
      </c>
      <c r="T470" s="24" t="str">
        <f aca="false">"["&amp;안내!$C$5&amp;" "&amp;F470&amp;"] "&amp;L470&amp;" | "&amp;J470</f>
        <v>[1분 성경 구약 #485] 참 목자 | 겔 34:1-35:15</v>
      </c>
      <c r="U470" s="26" t="n">
        <f aca="false">IF(D470="구약",IF(C470=1,안내!$C$9,안내!$C$10)+AD470-1,IF(C470=1,안내!$C$9,안내!$C$10)+7*INT((AD470-1)/4)+CHOOSE(MOD(AD470-1,4)+1,0,2,4,5))</f>
        <v>46882</v>
      </c>
      <c r="V470" s="23" t="str">
        <f aca="false">CHOOSE(WEEKDAY(U470,2),"월","화","수","목","금","토","일")</f>
        <v>화</v>
      </c>
      <c r="W470" s="24" t="str">
        <f aca="false">IFERROR(IF(INDEX($C$2:$C$799,MATCH(D470&amp;"#"&amp;(E470+1),$AC$2:$AC$799,0))=C470,"다음 편: ","시즌1 완결 · 시즌2 첫 편: ")&amp;INDEX($L$2:$L$799,MATCH(D470&amp;"#"&amp;(E470+1),$AC$2:$AC$799,0)),"구약 트랙 완결")</f>
        <v>다음 편: 새 마음</v>
      </c>
      <c r="X470" s="23" t="s">
        <v>130</v>
      </c>
      <c r="Y470" s="23" t="s">
        <v>130</v>
      </c>
      <c r="Z470" s="23" t="s">
        <v>130</v>
      </c>
      <c r="AA470" s="23" t="s">
        <v>130</v>
      </c>
      <c r="AB470" s="24"/>
      <c r="AC470" s="23" t="str">
        <f aca="false">D470&amp;"#"&amp;E470</f>
        <v>구약#485</v>
      </c>
      <c r="AD470" s="23" t="n">
        <f aca="false">COUNTIFS($C$2:C470,C470,$D$2:D470,D470)</f>
        <v>303</v>
      </c>
    </row>
    <row r="471" customFormat="false" ht="15" hidden="false" customHeight="false" outlineLevel="0" collapsed="false">
      <c r="A471" s="21" t="n">
        <v>470</v>
      </c>
      <c r="B471" s="18" t="s">
        <v>4213</v>
      </c>
      <c r="C471" s="23" t="n">
        <v>2</v>
      </c>
      <c r="D471" s="23" t="s">
        <v>116</v>
      </c>
      <c r="E471" s="23" t="n">
        <f aca="false">IF(C471=1,COUNTIFS($C$2:C471,1,$D$2:D471,D471),COUNTIFS($C$2:$C$799,1,$D$2:$D$799,D471)+COUNTIFS($C$2:C471,2,$D$2:D471,D471))</f>
        <v>486</v>
      </c>
      <c r="F471" s="23" t="str">
        <f aca="false">D471&amp;" #"&amp;TEXT(E471,"000")</f>
        <v>구약 #486</v>
      </c>
      <c r="G471" s="18" t="s">
        <v>4135</v>
      </c>
      <c r="H471" s="18" t="s">
        <v>4136</v>
      </c>
      <c r="I471" s="21" t="s">
        <v>4137</v>
      </c>
      <c r="J471" s="22" t="s">
        <v>4214</v>
      </c>
      <c r="K471" s="23" t="s">
        <v>1085</v>
      </c>
      <c r="L471" s="24" t="s">
        <v>4215</v>
      </c>
      <c r="M471" s="24" t="s">
        <v>4216</v>
      </c>
      <c r="N471" s="23" t="s">
        <v>4217</v>
      </c>
      <c r="O471" s="24" t="s">
        <v>4218</v>
      </c>
      <c r="P471" s="24" t="s">
        <v>4137</v>
      </c>
      <c r="Q471" s="24" t="s">
        <v>4219</v>
      </c>
      <c r="R471" s="25" t="s">
        <v>4220</v>
      </c>
      <c r="S471" s="24" t="s">
        <v>4133</v>
      </c>
      <c r="T471" s="24" t="str">
        <f aca="false">"["&amp;안내!$C$5&amp;" "&amp;F471&amp;"] "&amp;L471&amp;" | "&amp;J471</f>
        <v>[1분 성경 구약 #486] 새 마음 | 겔 36:1-38</v>
      </c>
      <c r="U471" s="26" t="n">
        <f aca="false">IF(D471="구약",IF(C471=1,안내!$C$9,안내!$C$10)+AD471-1,IF(C471=1,안내!$C$9,안내!$C$10)+7*INT((AD471-1)/4)+CHOOSE(MOD(AD471-1,4)+1,0,2,4,5))</f>
        <v>46883</v>
      </c>
      <c r="V471" s="23" t="str">
        <f aca="false">CHOOSE(WEEKDAY(U471,2),"월","화","수","목","금","토","일")</f>
        <v>수</v>
      </c>
      <c r="W471" s="24" t="str">
        <f aca="false">IFERROR(IF(INDEX($C$2:$C$799,MATCH(D471&amp;"#"&amp;(E471+1),$AC$2:$AC$799,0))=C471,"다음 편: ","시즌1 완결 · 시즌2 첫 편: ")&amp;INDEX($L$2:$L$799,MATCH(D471&amp;"#"&amp;(E471+1),$AC$2:$AC$799,0)),"구약 트랙 완결")</f>
        <v>다음 편: 두 막대기와 곡</v>
      </c>
      <c r="X471" s="23" t="s">
        <v>130</v>
      </c>
      <c r="Y471" s="23" t="s">
        <v>130</v>
      </c>
      <c r="Z471" s="23" t="s">
        <v>130</v>
      </c>
      <c r="AA471" s="23" t="s">
        <v>130</v>
      </c>
      <c r="AB471" s="24"/>
      <c r="AC471" s="23" t="str">
        <f aca="false">D471&amp;"#"&amp;E471</f>
        <v>구약#486</v>
      </c>
      <c r="AD471" s="23" t="n">
        <f aca="false">COUNTIFS($C$2:C471,C471,$D$2:D471,D471)</f>
        <v>304</v>
      </c>
    </row>
    <row r="472" customFormat="false" ht="52.2" hidden="false" customHeight="false" outlineLevel="0" collapsed="false">
      <c r="A472" s="21" t="n">
        <v>471</v>
      </c>
      <c r="B472" s="18" t="s">
        <v>4221</v>
      </c>
      <c r="C472" s="20" t="n">
        <v>1</v>
      </c>
      <c r="D472" s="20" t="s">
        <v>116</v>
      </c>
      <c r="E472" s="20" t="n">
        <f aca="false">IF(C472=1,COUNTIFS($C$2:C472,1,$D$2:D472,D472),COUNTIFS($C$2:$C$799,1,$D$2:$D$799,D472)+COUNTIFS($C$2:C472,2,$D$2:D472,D472))</f>
        <v>167</v>
      </c>
      <c r="F472" s="20" t="str">
        <f aca="false">D472&amp;" #"&amp;TEXT(E472,"000")</f>
        <v>구약 #167</v>
      </c>
      <c r="G472" s="18" t="s">
        <v>4135</v>
      </c>
      <c r="H472" s="18" t="s">
        <v>4047</v>
      </c>
      <c r="I472" s="21" t="s">
        <v>4137</v>
      </c>
      <c r="J472" s="22" t="s">
        <v>4222</v>
      </c>
      <c r="K472" s="23" t="s">
        <v>1085</v>
      </c>
      <c r="L472" s="24" t="s">
        <v>4223</v>
      </c>
      <c r="M472" s="24" t="s">
        <v>4224</v>
      </c>
      <c r="N472" s="23" t="s">
        <v>4225</v>
      </c>
      <c r="O472" s="24" t="s">
        <v>4226</v>
      </c>
      <c r="P472" s="24" t="s">
        <v>4152</v>
      </c>
      <c r="Q472" s="24" t="s">
        <v>4227</v>
      </c>
      <c r="R472" s="25" t="s">
        <v>4228</v>
      </c>
      <c r="S472" s="28" t="s">
        <v>4229</v>
      </c>
      <c r="T472" s="24" t="str">
        <f aca="false">"["&amp;안내!$C$5&amp;" "&amp;F472&amp;"] "&amp;L472&amp;" | "&amp;J472</f>
        <v>[1분 성경 구약 #167] 마른 뼈 골짜기 | 겔 37:1-14</v>
      </c>
      <c r="U472" s="26" t="n">
        <f aca="false">IF(D472="구약",IF(C472=1,안내!$C$9,안내!$C$10)+AD472-1,IF(C472=1,안내!$C$9,안내!$C$10)+7*INT((AD472-1)/4)+CHOOSE(MOD(AD472-1,4)+1,0,2,4,5))</f>
        <v>46557</v>
      </c>
      <c r="V472" s="23" t="str">
        <f aca="false">CHOOSE(WEEKDAY(U472,2),"월","화","수","목","금","토","일")</f>
        <v>토</v>
      </c>
      <c r="W472" s="24" t="str">
        <f aca="false">IFERROR(IF(INDEX($C$2:$C$799,MATCH(D472&amp;"#"&amp;(E472+1),$AC$2:$AC$799,0))=C472,"다음 편: ","시즌1 완결 · 시즌2 첫 편: ")&amp;INDEX($L$2:$L$799,MATCH(D472&amp;"#"&amp;(E472+1),$AC$2:$AC$799,0)),"구약 트랙 완결")</f>
        <v>다음 편: 뜻을 정한 다니엘</v>
      </c>
      <c r="X472" s="23" t="s">
        <v>130</v>
      </c>
      <c r="Y472" s="23" t="s">
        <v>130</v>
      </c>
      <c r="Z472" s="23" t="s">
        <v>130</v>
      </c>
      <c r="AA472" s="23" t="s">
        <v>130</v>
      </c>
      <c r="AB472" s="24"/>
      <c r="AC472" s="23" t="str">
        <f aca="false">D472&amp;"#"&amp;E472</f>
        <v>구약#167</v>
      </c>
      <c r="AD472" s="23" t="n">
        <f aca="false">COUNTIFS($C$2:C472,C472,$D$2:D472,D472)</f>
        <v>167</v>
      </c>
    </row>
    <row r="473" customFormat="false" ht="26.85" hidden="false" customHeight="false" outlineLevel="0" collapsed="false">
      <c r="A473" s="21" t="n">
        <v>472</v>
      </c>
      <c r="B473" s="18" t="s">
        <v>4230</v>
      </c>
      <c r="C473" s="23" t="n">
        <v>2</v>
      </c>
      <c r="D473" s="23" t="s">
        <v>116</v>
      </c>
      <c r="E473" s="23" t="n">
        <f aca="false">IF(C473=1,COUNTIFS($C$2:C473,1,$D$2:D473,D473),COUNTIFS($C$2:$C$799,1,$D$2:$D$799,D473)+COUNTIFS($C$2:C473,2,$D$2:D473,D473))</f>
        <v>487</v>
      </c>
      <c r="F473" s="23" t="str">
        <f aca="false">D473&amp;" #"&amp;TEXT(E473,"000")</f>
        <v>구약 #487</v>
      </c>
      <c r="G473" s="18" t="s">
        <v>4135</v>
      </c>
      <c r="H473" s="18" t="s">
        <v>4136</v>
      </c>
      <c r="I473" s="21" t="s">
        <v>4137</v>
      </c>
      <c r="J473" s="22" t="s">
        <v>4231</v>
      </c>
      <c r="K473" s="23" t="s">
        <v>1085</v>
      </c>
      <c r="L473" s="24" t="s">
        <v>4232</v>
      </c>
      <c r="M473" s="24" t="s">
        <v>4233</v>
      </c>
      <c r="N473" s="23" t="s">
        <v>4234</v>
      </c>
      <c r="O473" s="24" t="s">
        <v>4235</v>
      </c>
      <c r="P473" s="24" t="s">
        <v>4137</v>
      </c>
      <c r="Q473" s="24" t="s">
        <v>4236</v>
      </c>
      <c r="R473" s="25" t="s">
        <v>4237</v>
      </c>
      <c r="S473" s="24" t="s">
        <v>4238</v>
      </c>
      <c r="T473" s="24" t="str">
        <f aca="false">"["&amp;안내!$C$5&amp;" "&amp;F473&amp;"] "&amp;L473&amp;" | "&amp;J473</f>
        <v>[1분 성경 구약 #487] 두 막대기와 곡 | 겔 37:15-39:29</v>
      </c>
      <c r="U473" s="26" t="n">
        <f aca="false">IF(D473="구약",IF(C473=1,안내!$C$9,안내!$C$10)+AD473-1,IF(C473=1,안내!$C$9,안내!$C$10)+7*INT((AD473-1)/4)+CHOOSE(MOD(AD473-1,4)+1,0,2,4,5))</f>
        <v>46884</v>
      </c>
      <c r="V473" s="23" t="str">
        <f aca="false">CHOOSE(WEEKDAY(U473,2),"월","화","수","목","금","토","일")</f>
        <v>목</v>
      </c>
      <c r="W473" s="24" t="str">
        <f aca="false">IFERROR(IF(INDEX($C$2:$C$799,MATCH(D473&amp;"#"&amp;(E473+1),$AC$2:$AC$799,0))=C473,"다음 편: ","시즌1 완결 · 시즌2 첫 편: ")&amp;INDEX($L$2:$L$799,MATCH(D473&amp;"#"&amp;(E473+1),$AC$2:$AC$799,0)),"구약 트랙 완결")</f>
        <v>다음 편: 생명수 강</v>
      </c>
      <c r="X473" s="23" t="s">
        <v>130</v>
      </c>
      <c r="Y473" s="23" t="s">
        <v>130</v>
      </c>
      <c r="Z473" s="23" t="s">
        <v>130</v>
      </c>
      <c r="AA473" s="23" t="s">
        <v>130</v>
      </c>
      <c r="AB473" s="24"/>
      <c r="AC473" s="23" t="str">
        <f aca="false">D473&amp;"#"&amp;E473</f>
        <v>구약#487</v>
      </c>
      <c r="AD473" s="23" t="n">
        <f aca="false">COUNTIFS($C$2:C473,C473,$D$2:D473,D473)</f>
        <v>305</v>
      </c>
    </row>
    <row r="474" customFormat="false" ht="26.85" hidden="false" customHeight="false" outlineLevel="0" collapsed="false">
      <c r="A474" s="21" t="n">
        <v>473</v>
      </c>
      <c r="B474" s="18" t="s">
        <v>4239</v>
      </c>
      <c r="C474" s="23" t="n">
        <v>2</v>
      </c>
      <c r="D474" s="23" t="s">
        <v>116</v>
      </c>
      <c r="E474" s="23" t="n">
        <f aca="false">IF(C474=1,COUNTIFS($C$2:C474,1,$D$2:D474,D474),COUNTIFS($C$2:$C$799,1,$D$2:$D$799,D474)+COUNTIFS($C$2:C474,2,$D$2:D474,D474))</f>
        <v>488</v>
      </c>
      <c r="F474" s="23" t="str">
        <f aca="false">D474&amp;" #"&amp;TEXT(E474,"000")</f>
        <v>구약 #488</v>
      </c>
      <c r="G474" s="18" t="s">
        <v>4135</v>
      </c>
      <c r="H474" s="18" t="s">
        <v>4136</v>
      </c>
      <c r="I474" s="21" t="s">
        <v>4137</v>
      </c>
      <c r="J474" s="22" t="s">
        <v>4240</v>
      </c>
      <c r="K474" s="23" t="s">
        <v>1085</v>
      </c>
      <c r="L474" s="24" t="s">
        <v>4241</v>
      </c>
      <c r="M474" s="24" t="s">
        <v>4242</v>
      </c>
      <c r="N474" s="23" t="s">
        <v>4243</v>
      </c>
      <c r="O474" s="24" t="s">
        <v>4244</v>
      </c>
      <c r="P474" s="24" t="s">
        <v>4245</v>
      </c>
      <c r="Q474" s="24" t="s">
        <v>4246</v>
      </c>
      <c r="R474" s="25" t="s">
        <v>4247</v>
      </c>
      <c r="S474" s="24" t="s">
        <v>4238</v>
      </c>
      <c r="T474" s="24" t="str">
        <f aca="false">"["&amp;안내!$C$5&amp;" "&amp;F474&amp;"] "&amp;L474&amp;" | "&amp;J474</f>
        <v>[1분 성경 구약 #488] 생명수 강 | 겔 40:1-48:35</v>
      </c>
      <c r="U474" s="26" t="n">
        <f aca="false">IF(D474="구약",IF(C474=1,안내!$C$9,안내!$C$10)+AD474-1,IF(C474=1,안내!$C$9,안내!$C$10)+7*INT((AD474-1)/4)+CHOOSE(MOD(AD474-1,4)+1,0,2,4,5))</f>
        <v>46885</v>
      </c>
      <c r="V474" s="23" t="str">
        <f aca="false">CHOOSE(WEEKDAY(U474,2),"월","화","수","목","금","토","일")</f>
        <v>금</v>
      </c>
      <c r="W474" s="24" t="str">
        <f aca="false">IFERROR(IF(INDEX($C$2:$C$799,MATCH(D474&amp;"#"&amp;(E474+1),$AC$2:$AC$799,0))=C474,"다음 편: ","시즌1 완결 · 시즌2 첫 편: ")&amp;INDEX($L$2:$L$799,MATCH(D474&amp;"#"&amp;(E474+1),$AC$2:$AC$799,0)),"구약 트랙 완결")</f>
        <v>다음 편: 아무도 풀 수 없는 꿈</v>
      </c>
      <c r="X474" s="23" t="s">
        <v>130</v>
      </c>
      <c r="Y474" s="23" t="s">
        <v>130</v>
      </c>
      <c r="Z474" s="23" t="s">
        <v>130</v>
      </c>
      <c r="AA474" s="23" t="s">
        <v>130</v>
      </c>
      <c r="AB474" s="24"/>
      <c r="AC474" s="23" t="str">
        <f aca="false">D474&amp;"#"&amp;E474</f>
        <v>구약#488</v>
      </c>
      <c r="AD474" s="23" t="n">
        <f aca="false">COUNTIFS($C$2:C474,C474,$D$2:D474,D474)</f>
        <v>306</v>
      </c>
    </row>
    <row r="475" customFormat="false" ht="39.55" hidden="false" customHeight="false" outlineLevel="0" collapsed="false">
      <c r="A475" s="21" t="n">
        <v>474</v>
      </c>
      <c r="B475" s="18" t="s">
        <v>4248</v>
      </c>
      <c r="C475" s="20" t="n">
        <v>1</v>
      </c>
      <c r="D475" s="20" t="s">
        <v>116</v>
      </c>
      <c r="E475" s="20" t="n">
        <f aca="false">IF(C475=1,COUNTIFS($C$2:C475,1,$D$2:D475,D475),COUNTIFS($C$2:$C$799,1,$D$2:$D$799,D475)+COUNTIFS($C$2:C475,2,$D$2:D475,D475))</f>
        <v>168</v>
      </c>
      <c r="F475" s="20" t="str">
        <f aca="false">D475&amp;" #"&amp;TEXT(E475,"000")</f>
        <v>구약 #168</v>
      </c>
      <c r="G475" s="18" t="s">
        <v>4249</v>
      </c>
      <c r="H475" s="18" t="s">
        <v>4047</v>
      </c>
      <c r="I475" s="21" t="s">
        <v>4250</v>
      </c>
      <c r="J475" s="22" t="s">
        <v>4251</v>
      </c>
      <c r="K475" s="23" t="s">
        <v>121</v>
      </c>
      <c r="L475" s="24" t="s">
        <v>4252</v>
      </c>
      <c r="M475" s="24" t="s">
        <v>4253</v>
      </c>
      <c r="N475" s="23" t="s">
        <v>4254</v>
      </c>
      <c r="O475" s="24" t="s">
        <v>4255</v>
      </c>
      <c r="P475" s="24" t="s">
        <v>4256</v>
      </c>
      <c r="Q475" s="24" t="s">
        <v>4257</v>
      </c>
      <c r="R475" s="24"/>
      <c r="S475" s="28" t="s">
        <v>4258</v>
      </c>
      <c r="T475" s="24" t="str">
        <f aca="false">"["&amp;안내!$C$5&amp;" "&amp;F475&amp;"] "&amp;L475&amp;" | "&amp;J475</f>
        <v>[1분 성경 구약 #168] 뜻을 정한 다니엘 | 단 1:1-21</v>
      </c>
      <c r="U475" s="26" t="n">
        <f aca="false">IF(D475="구약",IF(C475=1,안내!$C$9,안내!$C$10)+AD475-1,IF(C475=1,안내!$C$9,안내!$C$10)+7*INT((AD475-1)/4)+CHOOSE(MOD(AD475-1,4)+1,0,2,4,5))</f>
        <v>46558</v>
      </c>
      <c r="V475" s="23" t="str">
        <f aca="false">CHOOSE(WEEKDAY(U475,2),"월","화","수","목","금","토","일")</f>
        <v>일</v>
      </c>
      <c r="W475" s="24" t="str">
        <f aca="false">IFERROR(IF(INDEX($C$2:$C$799,MATCH(D475&amp;"#"&amp;(E475+1),$AC$2:$AC$799,0))=C475,"다음 편: ","시즌1 완결 · 시즌2 첫 편: ")&amp;INDEX($L$2:$L$799,MATCH(D475&amp;"#"&amp;(E475+1),$AC$2:$AC$799,0)),"구약 트랙 완결")</f>
        <v>다음 편: 그리 아니하실지라도</v>
      </c>
      <c r="X475" s="23" t="s">
        <v>130</v>
      </c>
      <c r="Y475" s="23" t="s">
        <v>130</v>
      </c>
      <c r="Z475" s="23" t="s">
        <v>130</v>
      </c>
      <c r="AA475" s="23" t="s">
        <v>130</v>
      </c>
      <c r="AB475" s="24"/>
      <c r="AC475" s="23" t="str">
        <f aca="false">D475&amp;"#"&amp;E475</f>
        <v>구약#168</v>
      </c>
      <c r="AD475" s="23" t="n">
        <f aca="false">COUNTIFS($C$2:C475,C475,$D$2:D475,D475)</f>
        <v>168</v>
      </c>
    </row>
    <row r="476" customFormat="false" ht="26.85" hidden="false" customHeight="false" outlineLevel="0" collapsed="false">
      <c r="A476" s="21" t="n">
        <v>475</v>
      </c>
      <c r="B476" s="18" t="s">
        <v>4259</v>
      </c>
      <c r="C476" s="23" t="n">
        <v>2</v>
      </c>
      <c r="D476" s="23" t="s">
        <v>116</v>
      </c>
      <c r="E476" s="23" t="n">
        <f aca="false">IF(C476=1,COUNTIFS($C$2:C476,1,$D$2:D476,D476),COUNTIFS($C$2:$C$799,1,$D$2:$D$799,D476)+COUNTIFS($C$2:C476,2,$D$2:D476,D476))</f>
        <v>489</v>
      </c>
      <c r="F476" s="23" t="str">
        <f aca="false">D476&amp;" #"&amp;TEXT(E476,"000")</f>
        <v>구약 #489</v>
      </c>
      <c r="G476" s="18" t="s">
        <v>4249</v>
      </c>
      <c r="H476" s="18" t="s">
        <v>4260</v>
      </c>
      <c r="I476" s="21" t="s">
        <v>4250</v>
      </c>
      <c r="J476" s="22" t="s">
        <v>4261</v>
      </c>
      <c r="K476" s="23" t="s">
        <v>121</v>
      </c>
      <c r="L476" s="24" t="s">
        <v>4262</v>
      </c>
      <c r="M476" s="24" t="s">
        <v>4263</v>
      </c>
      <c r="N476" s="23" t="s">
        <v>4264</v>
      </c>
      <c r="O476" s="24" t="s">
        <v>4265</v>
      </c>
      <c r="P476" s="24" t="s">
        <v>4266</v>
      </c>
      <c r="Q476" s="24" t="s">
        <v>4257</v>
      </c>
      <c r="R476" s="24"/>
      <c r="S476" s="24" t="s">
        <v>4267</v>
      </c>
      <c r="T476" s="24" t="str">
        <f aca="false">"["&amp;안내!$C$5&amp;" "&amp;F476&amp;"] "&amp;L476&amp;" | "&amp;J476</f>
        <v>[1분 성경 구약 #489] 아무도 풀 수 없는 꿈 | 단 2:1-30</v>
      </c>
      <c r="U476" s="26" t="n">
        <f aca="false">IF(D476="구약",IF(C476=1,안내!$C$9,안내!$C$10)+AD476-1,IF(C476=1,안내!$C$9,안내!$C$10)+7*INT((AD476-1)/4)+CHOOSE(MOD(AD476-1,4)+1,0,2,4,5))</f>
        <v>46886</v>
      </c>
      <c r="V476" s="23" t="str">
        <f aca="false">CHOOSE(WEEKDAY(U476,2),"월","화","수","목","금","토","일")</f>
        <v>토</v>
      </c>
      <c r="W476" s="24" t="str">
        <f aca="false">IFERROR(IF(INDEX($C$2:$C$799,MATCH(D476&amp;"#"&amp;(E476+1),$AC$2:$AC$799,0))=C476,"다음 편: ","시즌1 완결 · 시즌2 첫 편: ")&amp;INDEX($L$2:$L$799,MATCH(D476&amp;"#"&amp;(E476+1),$AC$2:$AC$799,0)),"구약 트랙 완결")</f>
        <v>다음 편: 거대한 신상과 뜨인 돌</v>
      </c>
      <c r="X476" s="23" t="s">
        <v>130</v>
      </c>
      <c r="Y476" s="23" t="s">
        <v>130</v>
      </c>
      <c r="Z476" s="23" t="s">
        <v>130</v>
      </c>
      <c r="AA476" s="23" t="s">
        <v>130</v>
      </c>
      <c r="AB476" s="24"/>
      <c r="AC476" s="23" t="str">
        <f aca="false">D476&amp;"#"&amp;E476</f>
        <v>구약#489</v>
      </c>
      <c r="AD476" s="23" t="n">
        <f aca="false">COUNTIFS($C$2:C476,C476,$D$2:D476,D476)</f>
        <v>307</v>
      </c>
    </row>
    <row r="477" customFormat="false" ht="26.85" hidden="false" customHeight="false" outlineLevel="0" collapsed="false">
      <c r="A477" s="21" t="n">
        <v>476</v>
      </c>
      <c r="B477" s="18" t="s">
        <v>4268</v>
      </c>
      <c r="C477" s="23" t="n">
        <v>2</v>
      </c>
      <c r="D477" s="23" t="s">
        <v>116</v>
      </c>
      <c r="E477" s="23" t="n">
        <f aca="false">IF(C477=1,COUNTIFS($C$2:C477,1,$D$2:D477,D477),COUNTIFS($C$2:$C$799,1,$D$2:$D$799,D477)+COUNTIFS($C$2:C477,2,$D$2:D477,D477))</f>
        <v>490</v>
      </c>
      <c r="F477" s="23" t="str">
        <f aca="false">D477&amp;" #"&amp;TEXT(E477,"000")</f>
        <v>구약 #490</v>
      </c>
      <c r="G477" s="18" t="s">
        <v>4249</v>
      </c>
      <c r="H477" s="18" t="s">
        <v>4260</v>
      </c>
      <c r="I477" s="21" t="s">
        <v>4250</v>
      </c>
      <c r="J477" s="22" t="s">
        <v>4269</v>
      </c>
      <c r="K477" s="23" t="s">
        <v>121</v>
      </c>
      <c r="L477" s="24" t="s">
        <v>4270</v>
      </c>
      <c r="M477" s="24" t="s">
        <v>4271</v>
      </c>
      <c r="N477" s="23" t="s">
        <v>4272</v>
      </c>
      <c r="O477" s="24" t="s">
        <v>4273</v>
      </c>
      <c r="P477" s="24" t="s">
        <v>4266</v>
      </c>
      <c r="Q477" s="24" t="s">
        <v>4274</v>
      </c>
      <c r="R477" s="25" t="s">
        <v>4275</v>
      </c>
      <c r="S477" s="24" t="s">
        <v>4267</v>
      </c>
      <c r="T477" s="24" t="str">
        <f aca="false">"["&amp;안내!$C$5&amp;" "&amp;F477&amp;"] "&amp;L477&amp;" | "&amp;J477</f>
        <v>[1분 성경 구약 #490] 거대한 신상과 뜨인 돌 | 단 2:31-49</v>
      </c>
      <c r="U477" s="26" t="n">
        <f aca="false">IF(D477="구약",IF(C477=1,안내!$C$9,안내!$C$10)+AD477-1,IF(C477=1,안내!$C$9,안내!$C$10)+7*INT((AD477-1)/4)+CHOOSE(MOD(AD477-1,4)+1,0,2,4,5))</f>
        <v>46887</v>
      </c>
      <c r="V477" s="23" t="str">
        <f aca="false">CHOOSE(WEEKDAY(U477,2),"월","화","수","목","금","토","일")</f>
        <v>일</v>
      </c>
      <c r="W477" s="24" t="str">
        <f aca="false">IFERROR(IF(INDEX($C$2:$C$799,MATCH(D477&amp;"#"&amp;(E477+1),$AC$2:$AC$799,0))=C477,"다음 편: ","시즌1 완결 · 시즌2 첫 편: ")&amp;INDEX($L$2:$L$799,MATCH(D477&amp;"#"&amp;(E477+1),$AC$2:$AC$799,0)),"구약 트랙 완결")</f>
        <v>다음 편: 네 짐승과 인자 같은 이</v>
      </c>
      <c r="X477" s="23" t="s">
        <v>130</v>
      </c>
      <c r="Y477" s="23" t="s">
        <v>130</v>
      </c>
      <c r="Z477" s="23" t="s">
        <v>130</v>
      </c>
      <c r="AA477" s="23" t="s">
        <v>130</v>
      </c>
      <c r="AB477" s="24"/>
      <c r="AC477" s="23" t="str">
        <f aca="false">D477&amp;"#"&amp;E477</f>
        <v>구약#490</v>
      </c>
      <c r="AD477" s="23" t="n">
        <f aca="false">COUNTIFS($C$2:C477,C477,$D$2:D477,D477)</f>
        <v>308</v>
      </c>
    </row>
    <row r="478" customFormat="false" ht="39.55" hidden="false" customHeight="false" outlineLevel="0" collapsed="false">
      <c r="A478" s="21" t="n">
        <v>477</v>
      </c>
      <c r="B478" s="18" t="s">
        <v>4276</v>
      </c>
      <c r="C478" s="20" t="n">
        <v>1</v>
      </c>
      <c r="D478" s="20" t="s">
        <v>116</v>
      </c>
      <c r="E478" s="20" t="n">
        <f aca="false">IF(C478=1,COUNTIFS($C$2:C478,1,$D$2:D478,D478),COUNTIFS($C$2:$C$799,1,$D$2:$D$799,D478)+COUNTIFS($C$2:C478,2,$D$2:D478,D478))</f>
        <v>169</v>
      </c>
      <c r="F478" s="20" t="str">
        <f aca="false">D478&amp;" #"&amp;TEXT(E478,"000")</f>
        <v>구약 #169</v>
      </c>
      <c r="G478" s="18" t="s">
        <v>4249</v>
      </c>
      <c r="H478" s="18" t="s">
        <v>4047</v>
      </c>
      <c r="I478" s="21" t="s">
        <v>4250</v>
      </c>
      <c r="J478" s="22" t="s">
        <v>4277</v>
      </c>
      <c r="K478" s="23" t="s">
        <v>121</v>
      </c>
      <c r="L478" s="24" t="s">
        <v>4278</v>
      </c>
      <c r="M478" s="24" t="s">
        <v>4279</v>
      </c>
      <c r="N478" s="23" t="s">
        <v>4280</v>
      </c>
      <c r="O478" s="24" t="s">
        <v>4281</v>
      </c>
      <c r="P478" s="24" t="s">
        <v>4282</v>
      </c>
      <c r="Q478" s="24" t="s">
        <v>4283</v>
      </c>
      <c r="R478" s="24"/>
      <c r="S478" s="28" t="s">
        <v>4284</v>
      </c>
      <c r="T478" s="24" t="str">
        <f aca="false">"["&amp;안내!$C$5&amp;" "&amp;F478&amp;"] "&amp;L478&amp;" | "&amp;J478</f>
        <v>[1분 성경 구약 #169] 그리 아니하실지라도 | 단 3:1-18</v>
      </c>
      <c r="U478" s="26" t="n">
        <f aca="false">IF(D478="구약",IF(C478=1,안내!$C$9,안내!$C$10)+AD478-1,IF(C478=1,안내!$C$9,안내!$C$10)+7*INT((AD478-1)/4)+CHOOSE(MOD(AD478-1,4)+1,0,2,4,5))</f>
        <v>46559</v>
      </c>
      <c r="V478" s="23" t="str">
        <f aca="false">CHOOSE(WEEKDAY(U478,2),"월","화","수","목","금","토","일")</f>
        <v>월</v>
      </c>
      <c r="W478" s="24" t="str">
        <f aca="false">IFERROR(IF(INDEX($C$2:$C$799,MATCH(D478&amp;"#"&amp;(E478+1),$AC$2:$AC$799,0))=C478,"다음 편: ","시즌1 완결 · 시즌2 첫 편: ")&amp;INDEX($L$2:$L$799,MATCH(D478&amp;"#"&amp;(E478+1),$AC$2:$AC$799,0)),"구약 트랙 완결")</f>
        <v>다음 편: 풀무불 속 네 번째 사람</v>
      </c>
      <c r="X478" s="23" t="s">
        <v>130</v>
      </c>
      <c r="Y478" s="23" t="s">
        <v>130</v>
      </c>
      <c r="Z478" s="23" t="s">
        <v>130</v>
      </c>
      <c r="AA478" s="23" t="s">
        <v>130</v>
      </c>
      <c r="AB478" s="24"/>
      <c r="AC478" s="23" t="str">
        <f aca="false">D478&amp;"#"&amp;E478</f>
        <v>구약#169</v>
      </c>
      <c r="AD478" s="23" t="n">
        <f aca="false">COUNTIFS($C$2:C478,C478,$D$2:D478,D478)</f>
        <v>169</v>
      </c>
    </row>
    <row r="479" customFormat="false" ht="26.85" hidden="false" customHeight="false" outlineLevel="0" collapsed="false">
      <c r="A479" s="21" t="n">
        <v>478</v>
      </c>
      <c r="B479" s="18" t="s">
        <v>4285</v>
      </c>
      <c r="C479" s="20" t="n">
        <v>1</v>
      </c>
      <c r="D479" s="20" t="s">
        <v>116</v>
      </c>
      <c r="E479" s="20" t="n">
        <f aca="false">IF(C479=1,COUNTIFS($C$2:C479,1,$D$2:D479,D479),COUNTIFS($C$2:$C$799,1,$D$2:$D$799,D479)+COUNTIFS($C$2:C479,2,$D$2:D479,D479))</f>
        <v>170</v>
      </c>
      <c r="F479" s="20" t="str">
        <f aca="false">D479&amp;" #"&amp;TEXT(E479,"000")</f>
        <v>구약 #170</v>
      </c>
      <c r="G479" s="18" t="s">
        <v>4249</v>
      </c>
      <c r="H479" s="18" t="s">
        <v>4047</v>
      </c>
      <c r="I479" s="21" t="s">
        <v>4250</v>
      </c>
      <c r="J479" s="22" t="s">
        <v>4286</v>
      </c>
      <c r="K479" s="23" t="s">
        <v>121</v>
      </c>
      <c r="L479" s="24" t="s">
        <v>4287</v>
      </c>
      <c r="M479" s="24" t="s">
        <v>4288</v>
      </c>
      <c r="N479" s="23" t="s">
        <v>4289</v>
      </c>
      <c r="O479" s="24" t="s">
        <v>4290</v>
      </c>
      <c r="P479" s="24" t="s">
        <v>4291</v>
      </c>
      <c r="Q479" s="24" t="s">
        <v>4292</v>
      </c>
      <c r="R479" s="25" t="s">
        <v>4293</v>
      </c>
      <c r="S479" s="24" t="s">
        <v>129</v>
      </c>
      <c r="T479" s="24" t="str">
        <f aca="false">"["&amp;안내!$C$5&amp;" "&amp;F479&amp;"] "&amp;L479&amp;" | "&amp;J479</f>
        <v>[1분 성경 구약 #170] 풀무불 속 네 번째 사람 | 단 3:19-30</v>
      </c>
      <c r="U479" s="26" t="n">
        <f aca="false">IF(D479="구약",IF(C479=1,안내!$C$9,안내!$C$10)+AD479-1,IF(C479=1,안내!$C$9,안내!$C$10)+7*INT((AD479-1)/4)+CHOOSE(MOD(AD479-1,4)+1,0,2,4,5))</f>
        <v>46560</v>
      </c>
      <c r="V479" s="23" t="str">
        <f aca="false">CHOOSE(WEEKDAY(U479,2),"월","화","수","목","금","토","일")</f>
        <v>화</v>
      </c>
      <c r="W479" s="24" t="str">
        <f aca="false">IFERROR(IF(INDEX($C$2:$C$799,MATCH(D479&amp;"#"&amp;(E479+1),$AC$2:$AC$799,0))=C479,"다음 편: ","시즌1 완결 · 시즌2 첫 편: ")&amp;INDEX($L$2:$L$799,MATCH(D479&amp;"#"&amp;(E479+1),$AC$2:$AC$799,0)),"구약 트랙 완결")</f>
        <v>다음 편: 짐승처럼 된 왕</v>
      </c>
      <c r="X479" s="23" t="s">
        <v>130</v>
      </c>
      <c r="Y479" s="23" t="s">
        <v>130</v>
      </c>
      <c r="Z479" s="23" t="s">
        <v>130</v>
      </c>
      <c r="AA479" s="23" t="s">
        <v>130</v>
      </c>
      <c r="AB479" s="24"/>
      <c r="AC479" s="23" t="str">
        <f aca="false">D479&amp;"#"&amp;E479</f>
        <v>구약#170</v>
      </c>
      <c r="AD479" s="23" t="n">
        <f aca="false">COUNTIFS($C$2:C479,C479,$D$2:D479,D479)</f>
        <v>170</v>
      </c>
    </row>
    <row r="480" customFormat="false" ht="26.85" hidden="false" customHeight="false" outlineLevel="0" collapsed="false">
      <c r="A480" s="21" t="n">
        <v>479</v>
      </c>
      <c r="B480" s="18" t="s">
        <v>4294</v>
      </c>
      <c r="C480" s="20" t="n">
        <v>1</v>
      </c>
      <c r="D480" s="20" t="s">
        <v>116</v>
      </c>
      <c r="E480" s="20" t="n">
        <f aca="false">IF(C480=1,COUNTIFS($C$2:C480,1,$D$2:D480,D480),COUNTIFS($C$2:$C$799,1,$D$2:$D$799,D480)+COUNTIFS($C$2:C480,2,$D$2:D480,D480))</f>
        <v>171</v>
      </c>
      <c r="F480" s="20" t="str">
        <f aca="false">D480&amp;" #"&amp;TEXT(E480,"000")</f>
        <v>구약 #171</v>
      </c>
      <c r="G480" s="18" t="s">
        <v>4249</v>
      </c>
      <c r="H480" s="18" t="s">
        <v>4047</v>
      </c>
      <c r="I480" s="21" t="s">
        <v>4250</v>
      </c>
      <c r="J480" s="22" t="s">
        <v>4295</v>
      </c>
      <c r="K480" s="23" t="s">
        <v>121</v>
      </c>
      <c r="L480" s="24" t="s">
        <v>4296</v>
      </c>
      <c r="M480" s="24" t="s">
        <v>4297</v>
      </c>
      <c r="N480" s="23" t="s">
        <v>4298</v>
      </c>
      <c r="O480" s="24" t="s">
        <v>4299</v>
      </c>
      <c r="P480" s="24" t="s">
        <v>4266</v>
      </c>
      <c r="Q480" s="24" t="s">
        <v>4300</v>
      </c>
      <c r="R480" s="24"/>
      <c r="S480" s="24" t="s">
        <v>129</v>
      </c>
      <c r="T480" s="24" t="str">
        <f aca="false">"["&amp;안내!$C$5&amp;" "&amp;F480&amp;"] "&amp;L480&amp;" | "&amp;J480</f>
        <v>[1분 성경 구약 #171] 짐승처럼 된 왕 | 단 4:1-37</v>
      </c>
      <c r="U480" s="26" t="n">
        <f aca="false">IF(D480="구약",IF(C480=1,안내!$C$9,안내!$C$10)+AD480-1,IF(C480=1,안내!$C$9,안내!$C$10)+7*INT((AD480-1)/4)+CHOOSE(MOD(AD480-1,4)+1,0,2,4,5))</f>
        <v>46561</v>
      </c>
      <c r="V480" s="23" t="str">
        <f aca="false">CHOOSE(WEEKDAY(U480,2),"월","화","수","목","금","토","일")</f>
        <v>수</v>
      </c>
      <c r="W480" s="24" t="str">
        <f aca="false">IFERROR(IF(INDEX($C$2:$C$799,MATCH(D480&amp;"#"&amp;(E480+1),$AC$2:$AC$799,0))=C480,"다음 편: ","시즌1 완결 · 시즌2 첫 편: ")&amp;INDEX($L$2:$L$799,MATCH(D480&amp;"#"&amp;(E480+1),$AC$2:$AC$799,0)),"구약 트랙 완결")</f>
        <v>다음 편: 벽에 나타난 손가락</v>
      </c>
      <c r="X480" s="23" t="s">
        <v>130</v>
      </c>
      <c r="Y480" s="23" t="s">
        <v>130</v>
      </c>
      <c r="Z480" s="23" t="s">
        <v>130</v>
      </c>
      <c r="AA480" s="23" t="s">
        <v>130</v>
      </c>
      <c r="AB480" s="24"/>
      <c r="AC480" s="23" t="str">
        <f aca="false">D480&amp;"#"&amp;E480</f>
        <v>구약#171</v>
      </c>
      <c r="AD480" s="23" t="n">
        <f aca="false">COUNTIFS($C$2:C480,C480,$D$2:D480,D480)</f>
        <v>171</v>
      </c>
    </row>
    <row r="481" customFormat="false" ht="26.85" hidden="false" customHeight="false" outlineLevel="0" collapsed="false">
      <c r="A481" s="21" t="n">
        <v>480</v>
      </c>
      <c r="B481" s="18" t="s">
        <v>4301</v>
      </c>
      <c r="C481" s="20" t="n">
        <v>1</v>
      </c>
      <c r="D481" s="20" t="s">
        <v>116</v>
      </c>
      <c r="E481" s="20" t="n">
        <f aca="false">IF(C481=1,COUNTIFS($C$2:C481,1,$D$2:D481,D481),COUNTIFS($C$2:$C$799,1,$D$2:$D$799,D481)+COUNTIFS($C$2:C481,2,$D$2:D481,D481))</f>
        <v>172</v>
      </c>
      <c r="F481" s="20" t="str">
        <f aca="false">D481&amp;" #"&amp;TEXT(E481,"000")</f>
        <v>구약 #172</v>
      </c>
      <c r="G481" s="18" t="s">
        <v>4249</v>
      </c>
      <c r="H481" s="18" t="s">
        <v>4047</v>
      </c>
      <c r="I481" s="21" t="s">
        <v>4250</v>
      </c>
      <c r="J481" s="22" t="s">
        <v>4302</v>
      </c>
      <c r="K481" s="23" t="s">
        <v>121</v>
      </c>
      <c r="L481" s="24" t="s">
        <v>4303</v>
      </c>
      <c r="M481" s="24" t="s">
        <v>4304</v>
      </c>
      <c r="N481" s="23" t="s">
        <v>4305</v>
      </c>
      <c r="O481" s="24" t="s">
        <v>4306</v>
      </c>
      <c r="P481" s="24" t="s">
        <v>4307</v>
      </c>
      <c r="Q481" s="24" t="s">
        <v>4308</v>
      </c>
      <c r="R481" s="24"/>
      <c r="S481" s="24" t="s">
        <v>129</v>
      </c>
      <c r="T481" s="24" t="str">
        <f aca="false">"["&amp;안내!$C$5&amp;" "&amp;F481&amp;"] "&amp;L481&amp;" | "&amp;J481</f>
        <v>[1분 성경 구약 #172] 벽에 나타난 손가락 | 단 5:1-31</v>
      </c>
      <c r="U481" s="26" t="n">
        <f aca="false">IF(D481="구약",IF(C481=1,안내!$C$9,안내!$C$10)+AD481-1,IF(C481=1,안내!$C$9,안내!$C$10)+7*INT((AD481-1)/4)+CHOOSE(MOD(AD481-1,4)+1,0,2,4,5))</f>
        <v>46562</v>
      </c>
      <c r="V481" s="23" t="str">
        <f aca="false">CHOOSE(WEEKDAY(U481,2),"월","화","수","목","금","토","일")</f>
        <v>목</v>
      </c>
      <c r="W481" s="24" t="str">
        <f aca="false">IFERROR(IF(INDEX($C$2:$C$799,MATCH(D481&amp;"#"&amp;(E481+1),$AC$2:$AC$799,0))=C481,"다음 편: ","시즌1 완결 · 시즌2 첫 편: ")&amp;INDEX($L$2:$L$799,MATCH(D481&amp;"#"&amp;(E481+1),$AC$2:$AC$799,0)),"구약 트랙 완결")</f>
        <v>다음 편: 하루 세 번 기도</v>
      </c>
      <c r="X481" s="23" t="s">
        <v>130</v>
      </c>
      <c r="Y481" s="23" t="s">
        <v>130</v>
      </c>
      <c r="Z481" s="23" t="s">
        <v>130</v>
      </c>
      <c r="AA481" s="23" t="s">
        <v>130</v>
      </c>
      <c r="AB481" s="24"/>
      <c r="AC481" s="23" t="str">
        <f aca="false">D481&amp;"#"&amp;E481</f>
        <v>구약#172</v>
      </c>
      <c r="AD481" s="23" t="n">
        <f aca="false">COUNTIFS($C$2:C481,C481,$D$2:D481,D481)</f>
        <v>172</v>
      </c>
    </row>
    <row r="482" customFormat="false" ht="15" hidden="false" customHeight="false" outlineLevel="0" collapsed="false">
      <c r="A482" s="21" t="n">
        <v>481</v>
      </c>
      <c r="B482" s="18" t="s">
        <v>4309</v>
      </c>
      <c r="C482" s="20" t="n">
        <v>1</v>
      </c>
      <c r="D482" s="20" t="s">
        <v>116</v>
      </c>
      <c r="E482" s="20" t="n">
        <f aca="false">IF(C482=1,COUNTIFS($C$2:C482,1,$D$2:D482,D482),COUNTIFS($C$2:$C$799,1,$D$2:$D$799,D482)+COUNTIFS($C$2:C482,2,$D$2:D482,D482))</f>
        <v>173</v>
      </c>
      <c r="F482" s="20" t="str">
        <f aca="false">D482&amp;" #"&amp;TEXT(E482,"000")</f>
        <v>구약 #173</v>
      </c>
      <c r="G482" s="18" t="s">
        <v>4249</v>
      </c>
      <c r="H482" s="18" t="s">
        <v>4047</v>
      </c>
      <c r="I482" s="21" t="s">
        <v>4250</v>
      </c>
      <c r="J482" s="22" t="s">
        <v>4310</v>
      </c>
      <c r="K482" s="23" t="s">
        <v>121</v>
      </c>
      <c r="L482" s="24" t="s">
        <v>4311</v>
      </c>
      <c r="M482" s="24" t="s">
        <v>4312</v>
      </c>
      <c r="N482" s="23" t="s">
        <v>4313</v>
      </c>
      <c r="O482" s="24" t="s">
        <v>4314</v>
      </c>
      <c r="P482" s="24" t="s">
        <v>4315</v>
      </c>
      <c r="Q482" s="24" t="s">
        <v>4316</v>
      </c>
      <c r="R482" s="24"/>
      <c r="S482" s="24" t="s">
        <v>129</v>
      </c>
      <c r="T482" s="24" t="str">
        <f aca="false">"["&amp;안내!$C$5&amp;" "&amp;F482&amp;"] "&amp;L482&amp;" | "&amp;J482</f>
        <v>[1분 성경 구약 #173] 하루 세 번 기도 | 단 6:1-15</v>
      </c>
      <c r="U482" s="26" t="n">
        <f aca="false">IF(D482="구약",IF(C482=1,안내!$C$9,안내!$C$10)+AD482-1,IF(C482=1,안내!$C$9,안내!$C$10)+7*INT((AD482-1)/4)+CHOOSE(MOD(AD482-1,4)+1,0,2,4,5))</f>
        <v>46563</v>
      </c>
      <c r="V482" s="23" t="str">
        <f aca="false">CHOOSE(WEEKDAY(U482,2),"월","화","수","목","금","토","일")</f>
        <v>금</v>
      </c>
      <c r="W482" s="24" t="str">
        <f aca="false">IFERROR(IF(INDEX($C$2:$C$799,MATCH(D482&amp;"#"&amp;(E482+1),$AC$2:$AC$799,0))=C482,"다음 편: ","시즌1 완결 · 시즌2 첫 편: ")&amp;INDEX($L$2:$L$799,MATCH(D482&amp;"#"&amp;(E482+1),$AC$2:$AC$799,0)),"구약 트랙 완결")</f>
        <v>다음 편: 사자 굴</v>
      </c>
      <c r="X482" s="23" t="s">
        <v>130</v>
      </c>
      <c r="Y482" s="23" t="s">
        <v>130</v>
      </c>
      <c r="Z482" s="23" t="s">
        <v>130</v>
      </c>
      <c r="AA482" s="23" t="s">
        <v>130</v>
      </c>
      <c r="AB482" s="24"/>
      <c r="AC482" s="23" t="str">
        <f aca="false">D482&amp;"#"&amp;E482</f>
        <v>구약#173</v>
      </c>
      <c r="AD482" s="23" t="n">
        <f aca="false">COUNTIFS($C$2:C482,C482,$D$2:D482,D482)</f>
        <v>173</v>
      </c>
    </row>
    <row r="483" customFormat="false" ht="15" hidden="false" customHeight="false" outlineLevel="0" collapsed="false">
      <c r="A483" s="21" t="n">
        <v>482</v>
      </c>
      <c r="B483" s="18" t="s">
        <v>4317</v>
      </c>
      <c r="C483" s="20" t="n">
        <v>1</v>
      </c>
      <c r="D483" s="20" t="s">
        <v>116</v>
      </c>
      <c r="E483" s="20" t="n">
        <f aca="false">IF(C483=1,COUNTIFS($C$2:C483,1,$D$2:D483,D483),COUNTIFS($C$2:$C$799,1,$D$2:$D$799,D483)+COUNTIFS($C$2:C483,2,$D$2:D483,D483))</f>
        <v>174</v>
      </c>
      <c r="F483" s="20" t="str">
        <f aca="false">D483&amp;" #"&amp;TEXT(E483,"000")</f>
        <v>구약 #174</v>
      </c>
      <c r="G483" s="18" t="s">
        <v>4249</v>
      </c>
      <c r="H483" s="18" t="s">
        <v>4047</v>
      </c>
      <c r="I483" s="21" t="s">
        <v>4250</v>
      </c>
      <c r="J483" s="22" t="s">
        <v>4318</v>
      </c>
      <c r="K483" s="23" t="s">
        <v>121</v>
      </c>
      <c r="L483" s="24" t="s">
        <v>4319</v>
      </c>
      <c r="M483" s="24" t="s">
        <v>4320</v>
      </c>
      <c r="N483" s="23" t="s">
        <v>4321</v>
      </c>
      <c r="O483" s="24" t="s">
        <v>4322</v>
      </c>
      <c r="P483" s="24" t="s">
        <v>4323</v>
      </c>
      <c r="Q483" s="24" t="s">
        <v>4319</v>
      </c>
      <c r="R483" s="25" t="s">
        <v>4324</v>
      </c>
      <c r="S483" s="24" t="s">
        <v>129</v>
      </c>
      <c r="T483" s="24" t="str">
        <f aca="false">"["&amp;안내!$C$5&amp;" "&amp;F483&amp;"] "&amp;L483&amp;" | "&amp;J483</f>
        <v>[1분 성경 구약 #174] 사자 굴 | 단 6:16-28</v>
      </c>
      <c r="U483" s="26" t="n">
        <f aca="false">IF(D483="구약",IF(C483=1,안내!$C$9,안내!$C$10)+AD483-1,IF(C483=1,안내!$C$9,안내!$C$10)+7*INT((AD483-1)/4)+CHOOSE(MOD(AD483-1,4)+1,0,2,4,5))</f>
        <v>46564</v>
      </c>
      <c r="V483" s="23" t="str">
        <f aca="false">CHOOSE(WEEKDAY(U483,2),"월","화","수","목","금","토","일")</f>
        <v>토</v>
      </c>
      <c r="W483" s="24" t="str">
        <f aca="false">IFERROR(IF(INDEX($C$2:$C$799,MATCH(D483&amp;"#"&amp;(E483+1),$AC$2:$AC$799,0))=C483,"다음 편: ","시즌1 완결 · 시즌2 첫 편: ")&amp;INDEX($L$2:$L$799,MATCH(D483&amp;"#"&amp;(E483+1),$AC$2:$AC$799,0)),"구약 트랙 완결")</f>
        <v>다음 편: 반대로 간 선지자</v>
      </c>
      <c r="X483" s="23" t="s">
        <v>130</v>
      </c>
      <c r="Y483" s="23" t="s">
        <v>130</v>
      </c>
      <c r="Z483" s="23" t="s">
        <v>130</v>
      </c>
      <c r="AA483" s="23" t="s">
        <v>130</v>
      </c>
      <c r="AB483" s="24"/>
      <c r="AC483" s="23" t="str">
        <f aca="false">D483&amp;"#"&amp;E483</f>
        <v>구약#174</v>
      </c>
      <c r="AD483" s="23" t="n">
        <f aca="false">COUNTIFS($C$2:C483,C483,$D$2:D483,D483)</f>
        <v>174</v>
      </c>
    </row>
    <row r="484" customFormat="false" ht="39.55" hidden="false" customHeight="false" outlineLevel="0" collapsed="false">
      <c r="A484" s="21" t="n">
        <v>483</v>
      </c>
      <c r="B484" s="18" t="s">
        <v>4325</v>
      </c>
      <c r="C484" s="23" t="n">
        <v>2</v>
      </c>
      <c r="D484" s="23" t="s">
        <v>116</v>
      </c>
      <c r="E484" s="23" t="n">
        <f aca="false">IF(C484=1,COUNTIFS($C$2:C484,1,$D$2:D484,D484),COUNTIFS($C$2:$C$799,1,$D$2:$D$799,D484)+COUNTIFS($C$2:C484,2,$D$2:D484,D484))</f>
        <v>491</v>
      </c>
      <c r="F484" s="23" t="str">
        <f aca="false">D484&amp;" #"&amp;TEXT(E484,"000")</f>
        <v>구약 #491</v>
      </c>
      <c r="G484" s="18" t="s">
        <v>4249</v>
      </c>
      <c r="H484" s="18" t="s">
        <v>4260</v>
      </c>
      <c r="I484" s="21" t="s">
        <v>4250</v>
      </c>
      <c r="J484" s="22" t="s">
        <v>4326</v>
      </c>
      <c r="K484" s="23" t="s">
        <v>1085</v>
      </c>
      <c r="L484" s="24" t="s">
        <v>4327</v>
      </c>
      <c r="M484" s="24" t="s">
        <v>4328</v>
      </c>
      <c r="N484" s="23" t="s">
        <v>4329</v>
      </c>
      <c r="O484" s="24" t="s">
        <v>4330</v>
      </c>
      <c r="P484" s="24" t="s">
        <v>4331</v>
      </c>
      <c r="Q484" s="24" t="s">
        <v>4332</v>
      </c>
      <c r="R484" s="25" t="s">
        <v>4333</v>
      </c>
      <c r="S484" s="24" t="s">
        <v>4334</v>
      </c>
      <c r="T484" s="24" t="str">
        <f aca="false">"["&amp;안내!$C$5&amp;" "&amp;F484&amp;"] "&amp;L484&amp;" | "&amp;J484</f>
        <v>[1분 성경 구약 #491] 네 짐승과 인자 같은 이 | 단 7:1-28</v>
      </c>
      <c r="U484" s="26" t="n">
        <f aca="false">IF(D484="구약",IF(C484=1,안내!$C$9,안내!$C$10)+AD484-1,IF(C484=1,안내!$C$9,안내!$C$10)+7*INT((AD484-1)/4)+CHOOSE(MOD(AD484-1,4)+1,0,2,4,5))</f>
        <v>46888</v>
      </c>
      <c r="V484" s="23" t="str">
        <f aca="false">CHOOSE(WEEKDAY(U484,2),"월","화","수","목","금","토","일")</f>
        <v>월</v>
      </c>
      <c r="W484" s="24" t="str">
        <f aca="false">IFERROR(IF(INDEX($C$2:$C$799,MATCH(D484&amp;"#"&amp;(E484+1),$AC$2:$AC$799,0))=C484,"다음 편: ","시즌1 완결 · 시즌2 첫 편: ")&amp;INDEX($L$2:$L$799,MATCH(D484&amp;"#"&amp;(E484+1),$AC$2:$AC$799,0)),"구약 트랙 완결")</f>
        <v>다음 편: 숫양과 숫염소</v>
      </c>
      <c r="X484" s="23" t="s">
        <v>130</v>
      </c>
      <c r="Y484" s="23" t="s">
        <v>130</v>
      </c>
      <c r="Z484" s="23" t="s">
        <v>130</v>
      </c>
      <c r="AA484" s="23" t="s">
        <v>130</v>
      </c>
      <c r="AB484" s="24"/>
      <c r="AC484" s="23" t="str">
        <f aca="false">D484&amp;"#"&amp;E484</f>
        <v>구약#491</v>
      </c>
      <c r="AD484" s="23" t="n">
        <f aca="false">COUNTIFS($C$2:C484,C484,$D$2:D484,D484)</f>
        <v>309</v>
      </c>
    </row>
    <row r="485" customFormat="false" ht="15" hidden="false" customHeight="false" outlineLevel="0" collapsed="false">
      <c r="A485" s="21" t="n">
        <v>484</v>
      </c>
      <c r="B485" s="18" t="s">
        <v>4335</v>
      </c>
      <c r="C485" s="23" t="n">
        <v>2</v>
      </c>
      <c r="D485" s="23" t="s">
        <v>116</v>
      </c>
      <c r="E485" s="23" t="n">
        <f aca="false">IF(C485=1,COUNTIFS($C$2:C485,1,$D$2:D485,D485),COUNTIFS($C$2:$C$799,1,$D$2:$D$799,D485)+COUNTIFS($C$2:C485,2,$D$2:D485,D485))</f>
        <v>492</v>
      </c>
      <c r="F485" s="23" t="str">
        <f aca="false">D485&amp;" #"&amp;TEXT(E485,"000")</f>
        <v>구약 #492</v>
      </c>
      <c r="G485" s="18" t="s">
        <v>4249</v>
      </c>
      <c r="H485" s="18" t="s">
        <v>4260</v>
      </c>
      <c r="I485" s="21" t="s">
        <v>4250</v>
      </c>
      <c r="J485" s="22" t="s">
        <v>4336</v>
      </c>
      <c r="K485" s="23" t="s">
        <v>1085</v>
      </c>
      <c r="L485" s="24" t="s">
        <v>4337</v>
      </c>
      <c r="M485" s="24" t="s">
        <v>4338</v>
      </c>
      <c r="N485" s="23" t="s">
        <v>4339</v>
      </c>
      <c r="O485" s="24" t="s">
        <v>4340</v>
      </c>
      <c r="P485" s="24" t="s">
        <v>4341</v>
      </c>
      <c r="Q485" s="24" t="s">
        <v>4342</v>
      </c>
      <c r="R485" s="25" t="s">
        <v>4343</v>
      </c>
      <c r="S485" s="24" t="s">
        <v>4334</v>
      </c>
      <c r="T485" s="24" t="str">
        <f aca="false">"["&amp;안내!$C$5&amp;" "&amp;F485&amp;"] "&amp;L485&amp;" | "&amp;J485</f>
        <v>[1분 성경 구약 #492] 숫양과 숫염소 | 단 8:1-27</v>
      </c>
      <c r="U485" s="26" t="n">
        <f aca="false">IF(D485="구약",IF(C485=1,안내!$C$9,안내!$C$10)+AD485-1,IF(C485=1,안내!$C$9,안내!$C$10)+7*INT((AD485-1)/4)+CHOOSE(MOD(AD485-1,4)+1,0,2,4,5))</f>
        <v>46889</v>
      </c>
      <c r="V485" s="23" t="str">
        <f aca="false">CHOOSE(WEEKDAY(U485,2),"월","화","수","목","금","토","일")</f>
        <v>화</v>
      </c>
      <c r="W485" s="24" t="str">
        <f aca="false">IFERROR(IF(INDEX($C$2:$C$799,MATCH(D485&amp;"#"&amp;(E485+1),$AC$2:$AC$799,0))=C485,"다음 편: ","시즌1 완결 · 시즌2 첫 편: ")&amp;INDEX($L$2:$L$799,MATCH(D485&amp;"#"&amp;(E485+1),$AC$2:$AC$799,0)),"구약 트랙 완결")</f>
        <v>다음 편: 다니엘의 회개 기도</v>
      </c>
      <c r="X485" s="23" t="s">
        <v>130</v>
      </c>
      <c r="Y485" s="23" t="s">
        <v>130</v>
      </c>
      <c r="Z485" s="23" t="s">
        <v>130</v>
      </c>
      <c r="AA485" s="23" t="s">
        <v>130</v>
      </c>
      <c r="AB485" s="24"/>
      <c r="AC485" s="23" t="str">
        <f aca="false">D485&amp;"#"&amp;E485</f>
        <v>구약#492</v>
      </c>
      <c r="AD485" s="23" t="n">
        <f aca="false">COUNTIFS($C$2:C485,C485,$D$2:D485,D485)</f>
        <v>310</v>
      </c>
    </row>
    <row r="486" customFormat="false" ht="26.85" hidden="false" customHeight="false" outlineLevel="0" collapsed="false">
      <c r="A486" s="21" t="n">
        <v>485</v>
      </c>
      <c r="B486" s="18" t="s">
        <v>4344</v>
      </c>
      <c r="C486" s="23" t="n">
        <v>2</v>
      </c>
      <c r="D486" s="23" t="s">
        <v>116</v>
      </c>
      <c r="E486" s="23" t="n">
        <f aca="false">IF(C486=1,COUNTIFS($C$2:C486,1,$D$2:D486,D486),COUNTIFS($C$2:$C$799,1,$D$2:$D$799,D486)+COUNTIFS($C$2:C486,2,$D$2:D486,D486))</f>
        <v>493</v>
      </c>
      <c r="F486" s="23" t="str">
        <f aca="false">D486&amp;" #"&amp;TEXT(E486,"000")</f>
        <v>구약 #493</v>
      </c>
      <c r="G486" s="18" t="s">
        <v>4249</v>
      </c>
      <c r="H486" s="18" t="s">
        <v>4260</v>
      </c>
      <c r="I486" s="21" t="s">
        <v>4250</v>
      </c>
      <c r="J486" s="22" t="s">
        <v>4345</v>
      </c>
      <c r="K486" s="23" t="s">
        <v>121</v>
      </c>
      <c r="L486" s="24" t="s">
        <v>4346</v>
      </c>
      <c r="M486" s="24" t="s">
        <v>4347</v>
      </c>
      <c r="N486" s="23" t="s">
        <v>4348</v>
      </c>
      <c r="O486" s="24" t="s">
        <v>4349</v>
      </c>
      <c r="P486" s="24" t="s">
        <v>4341</v>
      </c>
      <c r="Q486" s="24" t="s">
        <v>4350</v>
      </c>
      <c r="R486" s="27" t="s">
        <v>4351</v>
      </c>
      <c r="S486" s="24" t="s">
        <v>4334</v>
      </c>
      <c r="T486" s="24" t="str">
        <f aca="false">"["&amp;안내!$C$5&amp;" "&amp;F486&amp;"] "&amp;L486&amp;" | "&amp;J486</f>
        <v>[1분 성경 구약 #493] 다니엘의 회개 기도 | 단 9:1-27</v>
      </c>
      <c r="U486" s="26" t="n">
        <f aca="false">IF(D486="구약",IF(C486=1,안내!$C$9,안내!$C$10)+AD486-1,IF(C486=1,안내!$C$9,안내!$C$10)+7*INT((AD486-1)/4)+CHOOSE(MOD(AD486-1,4)+1,0,2,4,5))</f>
        <v>46890</v>
      </c>
      <c r="V486" s="23" t="str">
        <f aca="false">CHOOSE(WEEKDAY(U486,2),"월","화","수","목","금","토","일")</f>
        <v>수</v>
      </c>
      <c r="W486" s="24" t="str">
        <f aca="false">IFERROR(IF(INDEX($C$2:$C$799,MATCH(D486&amp;"#"&amp;(E486+1),$AC$2:$AC$799,0))=C486,"다음 편: ","시즌1 완결 · 시즌2 첫 편: ")&amp;INDEX($L$2:$L$799,MATCH(D486&amp;"#"&amp;(E486+1),$AC$2:$AC$799,0)),"구약 트랙 완결")</f>
        <v>다음 편: 별처럼 빛나리라</v>
      </c>
      <c r="X486" s="23" t="s">
        <v>130</v>
      </c>
      <c r="Y486" s="23" t="s">
        <v>130</v>
      </c>
      <c r="Z486" s="23" t="s">
        <v>130</v>
      </c>
      <c r="AA486" s="23" t="s">
        <v>130</v>
      </c>
      <c r="AB486" s="24"/>
      <c r="AC486" s="23" t="str">
        <f aca="false">D486&amp;"#"&amp;E486</f>
        <v>구약#493</v>
      </c>
      <c r="AD486" s="23" t="n">
        <f aca="false">COUNTIFS($C$2:C486,C486,$D$2:D486,D486)</f>
        <v>311</v>
      </c>
    </row>
    <row r="487" customFormat="false" ht="26.85" hidden="false" customHeight="false" outlineLevel="0" collapsed="false">
      <c r="A487" s="21" t="n">
        <v>486</v>
      </c>
      <c r="B487" s="18" t="s">
        <v>4352</v>
      </c>
      <c r="C487" s="23" t="n">
        <v>2</v>
      </c>
      <c r="D487" s="23" t="s">
        <v>116</v>
      </c>
      <c r="E487" s="23" t="n">
        <f aca="false">IF(C487=1,COUNTIFS($C$2:C487,1,$D$2:D487,D487),COUNTIFS($C$2:$C$799,1,$D$2:$D$799,D487)+COUNTIFS($C$2:C487,2,$D$2:D487,D487))</f>
        <v>494</v>
      </c>
      <c r="F487" s="23" t="str">
        <f aca="false">D487&amp;" #"&amp;TEXT(E487,"000")</f>
        <v>구약 #494</v>
      </c>
      <c r="G487" s="18" t="s">
        <v>4249</v>
      </c>
      <c r="H487" s="18" t="s">
        <v>4260</v>
      </c>
      <c r="I487" s="21" t="s">
        <v>4250</v>
      </c>
      <c r="J487" s="22" t="s">
        <v>4353</v>
      </c>
      <c r="K487" s="23" t="s">
        <v>1085</v>
      </c>
      <c r="L487" s="24" t="s">
        <v>4354</v>
      </c>
      <c r="M487" s="24" t="s">
        <v>4355</v>
      </c>
      <c r="N487" s="23" t="s">
        <v>4356</v>
      </c>
      <c r="O487" s="24" t="s">
        <v>4357</v>
      </c>
      <c r="P487" s="24" t="s">
        <v>4358</v>
      </c>
      <c r="Q487" s="24" t="s">
        <v>4359</v>
      </c>
      <c r="R487" s="25" t="s">
        <v>4360</v>
      </c>
      <c r="S487" s="24" t="s">
        <v>4334</v>
      </c>
      <c r="T487" s="24" t="str">
        <f aca="false">"["&amp;안내!$C$5&amp;" "&amp;F487&amp;"] "&amp;L487&amp;" | "&amp;J487</f>
        <v>[1분 성경 구약 #494] 별처럼 빛나리라 | 단 10:1-12:13</v>
      </c>
      <c r="U487" s="26" t="n">
        <f aca="false">IF(D487="구약",IF(C487=1,안내!$C$9,안내!$C$10)+AD487-1,IF(C487=1,안내!$C$9,안내!$C$10)+7*INT((AD487-1)/4)+CHOOSE(MOD(AD487-1,4)+1,0,2,4,5))</f>
        <v>46891</v>
      </c>
      <c r="V487" s="23" t="str">
        <f aca="false">CHOOSE(WEEKDAY(U487,2),"월","화","수","목","금","토","일")</f>
        <v>목</v>
      </c>
      <c r="W487" s="24" t="str">
        <f aca="false">IFERROR(IF(INDEX($C$2:$C$799,MATCH(D487&amp;"#"&amp;(E487+1),$AC$2:$AC$799,0))=C487,"다음 편: ","시즌1 완결 · 시즌2 첫 편: ")&amp;INDEX($L$2:$L$799,MATCH(D487&amp;"#"&amp;(E487+1),$AC$2:$AC$799,0)),"구약 트랙 완결")</f>
        <v>다음 편: 돌아오지 않는 아내</v>
      </c>
      <c r="X487" s="23" t="s">
        <v>130</v>
      </c>
      <c r="Y487" s="23" t="s">
        <v>130</v>
      </c>
      <c r="Z487" s="23" t="s">
        <v>130</v>
      </c>
      <c r="AA487" s="23" t="s">
        <v>130</v>
      </c>
      <c r="AB487" s="24"/>
      <c r="AC487" s="23" t="str">
        <f aca="false">D487&amp;"#"&amp;E487</f>
        <v>구약#494</v>
      </c>
      <c r="AD487" s="23" t="n">
        <f aca="false">COUNTIFS($C$2:C487,C487,$D$2:D487,D487)</f>
        <v>312</v>
      </c>
    </row>
    <row r="488" customFormat="false" ht="26.85" hidden="false" customHeight="false" outlineLevel="0" collapsed="false">
      <c r="A488" s="21" t="n">
        <v>487</v>
      </c>
      <c r="B488" s="18" t="s">
        <v>4361</v>
      </c>
      <c r="C488" s="23" t="n">
        <v>2</v>
      </c>
      <c r="D488" s="23" t="s">
        <v>116</v>
      </c>
      <c r="E488" s="23" t="n">
        <f aca="false">IF(C488=1,COUNTIFS($C$2:C488,1,$D$2:D488,D488),COUNTIFS($C$2:$C$799,1,$D$2:$D$799,D488)+COUNTIFS($C$2:C488,2,$D$2:D488,D488))</f>
        <v>495</v>
      </c>
      <c r="F488" s="23" t="str">
        <f aca="false">D488&amp;" #"&amp;TEXT(E488,"000")</f>
        <v>구약 #495</v>
      </c>
      <c r="G488" s="18" t="s">
        <v>4362</v>
      </c>
      <c r="H488" s="18" t="s">
        <v>4260</v>
      </c>
      <c r="I488" s="21" t="s">
        <v>4363</v>
      </c>
      <c r="J488" s="22" t="s">
        <v>4364</v>
      </c>
      <c r="K488" s="23" t="s">
        <v>1085</v>
      </c>
      <c r="L488" s="24" t="s">
        <v>4365</v>
      </c>
      <c r="M488" s="24" t="s">
        <v>4366</v>
      </c>
      <c r="N488" s="23" t="s">
        <v>4367</v>
      </c>
      <c r="O488" s="24" t="s">
        <v>4368</v>
      </c>
      <c r="P488" s="24" t="s">
        <v>4369</v>
      </c>
      <c r="Q488" s="24" t="s">
        <v>4370</v>
      </c>
      <c r="R488" s="25" t="s">
        <v>4371</v>
      </c>
      <c r="S488" s="24" t="s">
        <v>4334</v>
      </c>
      <c r="T488" s="24" t="str">
        <f aca="false">"["&amp;안내!$C$5&amp;" "&amp;F488&amp;"] "&amp;L488&amp;" | "&amp;J488</f>
        <v>[1분 성경 구약 #495] 돌아오지 않는 아내 | 호 1:1-2:23</v>
      </c>
      <c r="U488" s="26" t="n">
        <f aca="false">IF(D488="구약",IF(C488=1,안내!$C$9,안내!$C$10)+AD488-1,IF(C488=1,안내!$C$9,안내!$C$10)+7*INT((AD488-1)/4)+CHOOSE(MOD(AD488-1,4)+1,0,2,4,5))</f>
        <v>46892</v>
      </c>
      <c r="V488" s="23" t="str">
        <f aca="false">CHOOSE(WEEKDAY(U488,2),"월","화","수","목","금","토","일")</f>
        <v>금</v>
      </c>
      <c r="W488" s="24" t="str">
        <f aca="false">IFERROR(IF(INDEX($C$2:$C$799,MATCH(D488&amp;"#"&amp;(E488+1),$AC$2:$AC$799,0))=C488,"다음 편: ","시즌1 완결 · 시즌2 첫 편: ")&amp;INDEX($L$2:$L$799,MATCH(D488&amp;"#"&amp;(E488+1),$AC$2:$AC$799,0)),"구약 트랙 완결")</f>
        <v>다음 편: 다시 사 오다</v>
      </c>
      <c r="X488" s="23" t="s">
        <v>130</v>
      </c>
      <c r="Y488" s="23" t="s">
        <v>130</v>
      </c>
      <c r="Z488" s="23" t="s">
        <v>130</v>
      </c>
      <c r="AA488" s="23" t="s">
        <v>130</v>
      </c>
      <c r="AB488" s="24"/>
      <c r="AC488" s="23" t="str">
        <f aca="false">D488&amp;"#"&amp;E488</f>
        <v>구약#495</v>
      </c>
      <c r="AD488" s="23" t="n">
        <f aca="false">COUNTIFS($C$2:C488,C488,$D$2:D488,D488)</f>
        <v>313</v>
      </c>
    </row>
    <row r="489" customFormat="false" ht="26.85" hidden="false" customHeight="false" outlineLevel="0" collapsed="false">
      <c r="A489" s="21" t="n">
        <v>488</v>
      </c>
      <c r="B489" s="18" t="s">
        <v>4372</v>
      </c>
      <c r="C489" s="23" t="n">
        <v>2</v>
      </c>
      <c r="D489" s="23" t="s">
        <v>116</v>
      </c>
      <c r="E489" s="23" t="n">
        <f aca="false">IF(C489=1,COUNTIFS($C$2:C489,1,$D$2:D489,D489),COUNTIFS($C$2:$C$799,1,$D$2:$D$799,D489)+COUNTIFS($C$2:C489,2,$D$2:D489,D489))</f>
        <v>496</v>
      </c>
      <c r="F489" s="23" t="str">
        <f aca="false">D489&amp;" #"&amp;TEXT(E489,"000")</f>
        <v>구약 #496</v>
      </c>
      <c r="G489" s="18" t="s">
        <v>4362</v>
      </c>
      <c r="H489" s="18" t="s">
        <v>4260</v>
      </c>
      <c r="I489" s="21" t="s">
        <v>4363</v>
      </c>
      <c r="J489" s="22" t="s">
        <v>4373</v>
      </c>
      <c r="K489" s="23" t="s">
        <v>1085</v>
      </c>
      <c r="L489" s="24" t="s">
        <v>4374</v>
      </c>
      <c r="M489" s="24" t="s">
        <v>4375</v>
      </c>
      <c r="N489" s="23" t="s">
        <v>4376</v>
      </c>
      <c r="O489" s="24" t="s">
        <v>4377</v>
      </c>
      <c r="P489" s="24" t="s">
        <v>4369</v>
      </c>
      <c r="Q489" s="24" t="s">
        <v>4378</v>
      </c>
      <c r="R489" s="24"/>
      <c r="S489" s="24" t="s">
        <v>4334</v>
      </c>
      <c r="T489" s="24" t="str">
        <f aca="false">"["&amp;안내!$C$5&amp;" "&amp;F489&amp;"] "&amp;L489&amp;" | "&amp;J489</f>
        <v>[1분 성경 구약 #496] 다시 사 오다 | 호 3:1-5</v>
      </c>
      <c r="U489" s="26" t="n">
        <f aca="false">IF(D489="구약",IF(C489=1,안내!$C$9,안내!$C$10)+AD489-1,IF(C489=1,안내!$C$9,안내!$C$10)+7*INT((AD489-1)/4)+CHOOSE(MOD(AD489-1,4)+1,0,2,4,5))</f>
        <v>46893</v>
      </c>
      <c r="V489" s="23" t="str">
        <f aca="false">CHOOSE(WEEKDAY(U489,2),"월","화","수","목","금","토","일")</f>
        <v>토</v>
      </c>
      <c r="W489" s="24" t="str">
        <f aca="false">IFERROR(IF(INDEX($C$2:$C$799,MATCH(D489&amp;"#"&amp;(E489+1),$AC$2:$AC$799,0))=C489,"다음 편: ","시즌1 완결 · 시즌2 첫 편: ")&amp;INDEX($L$2:$L$799,MATCH(D489&amp;"#"&amp;(E489+1),$AC$2:$AC$799,0)),"구약 트랙 완결")</f>
        <v>다음 편: 여호와를 알자</v>
      </c>
      <c r="X489" s="23" t="s">
        <v>130</v>
      </c>
      <c r="Y489" s="23" t="s">
        <v>130</v>
      </c>
      <c r="Z489" s="23" t="s">
        <v>130</v>
      </c>
      <c r="AA489" s="23" t="s">
        <v>130</v>
      </c>
      <c r="AB489" s="24"/>
      <c r="AC489" s="23" t="str">
        <f aca="false">D489&amp;"#"&amp;E489</f>
        <v>구약#496</v>
      </c>
      <c r="AD489" s="23" t="n">
        <f aca="false">COUNTIFS($C$2:C489,C489,$D$2:D489,D489)</f>
        <v>314</v>
      </c>
    </row>
    <row r="490" customFormat="false" ht="26.85" hidden="false" customHeight="false" outlineLevel="0" collapsed="false">
      <c r="A490" s="21" t="n">
        <v>489</v>
      </c>
      <c r="B490" s="18" t="s">
        <v>4379</v>
      </c>
      <c r="C490" s="23" t="n">
        <v>2</v>
      </c>
      <c r="D490" s="23" t="s">
        <v>116</v>
      </c>
      <c r="E490" s="23" t="n">
        <f aca="false">IF(C490=1,COUNTIFS($C$2:C490,1,$D$2:D490,D490),COUNTIFS($C$2:$C$799,1,$D$2:$D$799,D490)+COUNTIFS($C$2:C490,2,$D$2:D490,D490))</f>
        <v>497</v>
      </c>
      <c r="F490" s="23" t="str">
        <f aca="false">D490&amp;" #"&amp;TEXT(E490,"000")</f>
        <v>구약 #497</v>
      </c>
      <c r="G490" s="18" t="s">
        <v>4362</v>
      </c>
      <c r="H490" s="18" t="s">
        <v>4380</v>
      </c>
      <c r="I490" s="21" t="s">
        <v>4363</v>
      </c>
      <c r="J490" s="22" t="s">
        <v>4381</v>
      </c>
      <c r="K490" s="23" t="s">
        <v>1085</v>
      </c>
      <c r="L490" s="24" t="s">
        <v>4382</v>
      </c>
      <c r="M490" s="24" t="s">
        <v>4383</v>
      </c>
      <c r="N490" s="23" t="s">
        <v>4384</v>
      </c>
      <c r="O490" s="24" t="s">
        <v>4385</v>
      </c>
      <c r="P490" s="24" t="s">
        <v>4363</v>
      </c>
      <c r="Q490" s="24" t="s">
        <v>4386</v>
      </c>
      <c r="R490" s="24"/>
      <c r="S490" s="24" t="s">
        <v>4334</v>
      </c>
      <c r="T490" s="24" t="str">
        <f aca="false">"["&amp;안내!$C$5&amp;" "&amp;F490&amp;"] "&amp;L490&amp;" | "&amp;J490</f>
        <v>[1분 성경 구약 #497] 여호와를 알자 | 호 4:1-10:15</v>
      </c>
      <c r="U490" s="26" t="n">
        <f aca="false">IF(D490="구약",IF(C490=1,안내!$C$9,안내!$C$10)+AD490-1,IF(C490=1,안내!$C$9,안내!$C$10)+7*INT((AD490-1)/4)+CHOOSE(MOD(AD490-1,4)+1,0,2,4,5))</f>
        <v>46894</v>
      </c>
      <c r="V490" s="23" t="str">
        <f aca="false">CHOOSE(WEEKDAY(U490,2),"월","화","수","목","금","토","일")</f>
        <v>일</v>
      </c>
      <c r="W490" s="24" t="str">
        <f aca="false">IFERROR(IF(INDEX($C$2:$C$799,MATCH(D490&amp;"#"&amp;(E490+1),$AC$2:$AC$799,0))=C490,"다음 편: ","시즌1 완결 · 시즌2 첫 편: ")&amp;INDEX($L$2:$L$799,MATCH(D490&amp;"#"&amp;(E490+1),$AC$2:$AC$799,0)),"구약 트랙 완결")</f>
        <v>다음 편: 내가 어찌 너를 놓겠느냐</v>
      </c>
      <c r="X490" s="23" t="s">
        <v>130</v>
      </c>
      <c r="Y490" s="23" t="s">
        <v>130</v>
      </c>
      <c r="Z490" s="23" t="s">
        <v>130</v>
      </c>
      <c r="AA490" s="23" t="s">
        <v>130</v>
      </c>
      <c r="AB490" s="24"/>
      <c r="AC490" s="23" t="str">
        <f aca="false">D490&amp;"#"&amp;E490</f>
        <v>구약#497</v>
      </c>
      <c r="AD490" s="23" t="n">
        <f aca="false">COUNTIFS($C$2:C490,C490,$D$2:D490,D490)</f>
        <v>315</v>
      </c>
    </row>
    <row r="491" customFormat="false" ht="26.85" hidden="false" customHeight="false" outlineLevel="0" collapsed="false">
      <c r="A491" s="21" t="n">
        <v>490</v>
      </c>
      <c r="B491" s="18" t="s">
        <v>4387</v>
      </c>
      <c r="C491" s="23" t="n">
        <v>2</v>
      </c>
      <c r="D491" s="23" t="s">
        <v>116</v>
      </c>
      <c r="E491" s="23" t="n">
        <f aca="false">IF(C491=1,COUNTIFS($C$2:C491,1,$D$2:D491,D491),COUNTIFS($C$2:$C$799,1,$D$2:$D$799,D491)+COUNTIFS($C$2:C491,2,$D$2:D491,D491))</f>
        <v>498</v>
      </c>
      <c r="F491" s="23" t="str">
        <f aca="false">D491&amp;" #"&amp;TEXT(E491,"000")</f>
        <v>구약 #498</v>
      </c>
      <c r="G491" s="18" t="s">
        <v>4362</v>
      </c>
      <c r="H491" s="18" t="s">
        <v>4380</v>
      </c>
      <c r="I491" s="21" t="s">
        <v>4363</v>
      </c>
      <c r="J491" s="22" t="s">
        <v>4388</v>
      </c>
      <c r="K491" s="23" t="s">
        <v>1085</v>
      </c>
      <c r="L491" s="24" t="s">
        <v>4389</v>
      </c>
      <c r="M491" s="24" t="s">
        <v>4390</v>
      </c>
      <c r="N491" s="23" t="s">
        <v>4391</v>
      </c>
      <c r="O491" s="24" t="s">
        <v>4392</v>
      </c>
      <c r="P491" s="24" t="s">
        <v>4363</v>
      </c>
      <c r="Q491" s="24" t="s">
        <v>4393</v>
      </c>
      <c r="R491" s="24"/>
      <c r="S491" s="24" t="s">
        <v>4334</v>
      </c>
      <c r="T491" s="24" t="str">
        <f aca="false">"["&amp;안내!$C$5&amp;" "&amp;F491&amp;"] "&amp;L491&amp;" | "&amp;J491</f>
        <v>[1분 성경 구약 #498] 내가 어찌 너를 놓겠느냐 | 호 11:1-14:9</v>
      </c>
      <c r="U491" s="26" t="n">
        <f aca="false">IF(D491="구약",IF(C491=1,안내!$C$9,안내!$C$10)+AD491-1,IF(C491=1,안내!$C$9,안내!$C$10)+7*INT((AD491-1)/4)+CHOOSE(MOD(AD491-1,4)+1,0,2,4,5))</f>
        <v>46895</v>
      </c>
      <c r="V491" s="23" t="str">
        <f aca="false">CHOOSE(WEEKDAY(U491,2),"월","화","수","목","금","토","일")</f>
        <v>월</v>
      </c>
      <c r="W491" s="24" t="str">
        <f aca="false">IFERROR(IF(INDEX($C$2:$C$799,MATCH(D491&amp;"#"&amp;(E491+1),$AC$2:$AC$799,0))=C491,"다음 편: ","시즌1 완결 · 시즌2 첫 편: ")&amp;INDEX($L$2:$L$799,MATCH(D491&amp;"#"&amp;(E491+1),$AC$2:$AC$799,0)),"구약 트랙 완결")</f>
        <v>다음 편: 메뚜기 군대</v>
      </c>
      <c r="X491" s="23" t="s">
        <v>130</v>
      </c>
      <c r="Y491" s="23" t="s">
        <v>130</v>
      </c>
      <c r="Z491" s="23" t="s">
        <v>130</v>
      </c>
      <c r="AA491" s="23" t="s">
        <v>130</v>
      </c>
      <c r="AB491" s="24"/>
      <c r="AC491" s="23" t="str">
        <f aca="false">D491&amp;"#"&amp;E491</f>
        <v>구약#498</v>
      </c>
      <c r="AD491" s="23" t="n">
        <f aca="false">COUNTIFS($C$2:C491,C491,$D$2:D491,D491)</f>
        <v>316</v>
      </c>
    </row>
    <row r="492" customFormat="false" ht="15" hidden="false" customHeight="false" outlineLevel="0" collapsed="false">
      <c r="A492" s="21" t="n">
        <v>491</v>
      </c>
      <c r="B492" s="18" t="s">
        <v>4394</v>
      </c>
      <c r="C492" s="23" t="n">
        <v>2</v>
      </c>
      <c r="D492" s="23" t="s">
        <v>116</v>
      </c>
      <c r="E492" s="23" t="n">
        <f aca="false">IF(C492=1,COUNTIFS($C$2:C492,1,$D$2:D492,D492),COUNTIFS($C$2:$C$799,1,$D$2:$D$799,D492)+COUNTIFS($C$2:C492,2,$D$2:D492,D492))</f>
        <v>499</v>
      </c>
      <c r="F492" s="23" t="str">
        <f aca="false">D492&amp;" #"&amp;TEXT(E492,"000")</f>
        <v>구약 #499</v>
      </c>
      <c r="G492" s="18" t="s">
        <v>4362</v>
      </c>
      <c r="H492" s="18" t="s">
        <v>4380</v>
      </c>
      <c r="I492" s="21" t="s">
        <v>4395</v>
      </c>
      <c r="J492" s="22" t="s">
        <v>4396</v>
      </c>
      <c r="K492" s="23" t="s">
        <v>1085</v>
      </c>
      <c r="L492" s="24" t="s">
        <v>4397</v>
      </c>
      <c r="M492" s="24" t="s">
        <v>4398</v>
      </c>
      <c r="N492" s="23" t="s">
        <v>4399</v>
      </c>
      <c r="O492" s="24" t="s">
        <v>4400</v>
      </c>
      <c r="P492" s="24" t="s">
        <v>4395</v>
      </c>
      <c r="Q492" s="24" t="s">
        <v>4401</v>
      </c>
      <c r="R492" s="24"/>
      <c r="S492" s="24" t="s">
        <v>4334</v>
      </c>
      <c r="T492" s="24" t="str">
        <f aca="false">"["&amp;안내!$C$5&amp;" "&amp;F492&amp;"] "&amp;L492&amp;" | "&amp;J492</f>
        <v>[1분 성경 구약 #499] 메뚜기 군대 | 욜 1:1-2:17</v>
      </c>
      <c r="U492" s="26" t="n">
        <f aca="false">IF(D492="구약",IF(C492=1,안내!$C$9,안내!$C$10)+AD492-1,IF(C492=1,안내!$C$9,안내!$C$10)+7*INT((AD492-1)/4)+CHOOSE(MOD(AD492-1,4)+1,0,2,4,5))</f>
        <v>46896</v>
      </c>
      <c r="V492" s="23" t="str">
        <f aca="false">CHOOSE(WEEKDAY(U492,2),"월","화","수","목","금","토","일")</f>
        <v>화</v>
      </c>
      <c r="W492" s="24" t="str">
        <f aca="false">IFERROR(IF(INDEX($C$2:$C$799,MATCH(D492&amp;"#"&amp;(E492+1),$AC$2:$AC$799,0))=C492,"다음 편: ","시즌1 완결 · 시즌2 첫 편: ")&amp;INDEX($L$2:$L$799,MATCH(D492&amp;"#"&amp;(E492+1),$AC$2:$AC$799,0)),"구약 트랙 완결")</f>
        <v>다음 편: 내 영을 부어 주리라</v>
      </c>
      <c r="X492" s="23" t="s">
        <v>130</v>
      </c>
      <c r="Y492" s="23" t="s">
        <v>130</v>
      </c>
      <c r="Z492" s="23" t="s">
        <v>130</v>
      </c>
      <c r="AA492" s="23" t="s">
        <v>130</v>
      </c>
      <c r="AB492" s="24"/>
      <c r="AC492" s="23" t="str">
        <f aca="false">D492&amp;"#"&amp;E492</f>
        <v>구약#499</v>
      </c>
      <c r="AD492" s="23" t="n">
        <f aca="false">COUNTIFS($C$2:C492,C492,$D$2:D492,D492)</f>
        <v>317</v>
      </c>
    </row>
    <row r="493" customFormat="false" ht="26.85" hidden="false" customHeight="false" outlineLevel="0" collapsed="false">
      <c r="A493" s="21" t="n">
        <v>492</v>
      </c>
      <c r="B493" s="18" t="s">
        <v>4402</v>
      </c>
      <c r="C493" s="23" t="n">
        <v>2</v>
      </c>
      <c r="D493" s="23" t="s">
        <v>116</v>
      </c>
      <c r="E493" s="23" t="n">
        <f aca="false">IF(C493=1,COUNTIFS($C$2:C493,1,$D$2:D493,D493),COUNTIFS($C$2:$C$799,1,$D$2:$D$799,D493)+COUNTIFS($C$2:C493,2,$D$2:D493,D493))</f>
        <v>500</v>
      </c>
      <c r="F493" s="23" t="str">
        <f aca="false">D493&amp;" #"&amp;TEXT(E493,"000")</f>
        <v>구약 #500</v>
      </c>
      <c r="G493" s="18" t="s">
        <v>4362</v>
      </c>
      <c r="H493" s="18" t="s">
        <v>4380</v>
      </c>
      <c r="I493" s="21" t="s">
        <v>4395</v>
      </c>
      <c r="J493" s="22" t="s">
        <v>4403</v>
      </c>
      <c r="K493" s="23" t="s">
        <v>1085</v>
      </c>
      <c r="L493" s="24" t="s">
        <v>4404</v>
      </c>
      <c r="M493" s="24" t="s">
        <v>4405</v>
      </c>
      <c r="N493" s="23" t="s">
        <v>4406</v>
      </c>
      <c r="O493" s="24" t="s">
        <v>4407</v>
      </c>
      <c r="P493" s="24" t="s">
        <v>4395</v>
      </c>
      <c r="Q493" s="24" t="s">
        <v>4408</v>
      </c>
      <c r="R493" s="25" t="s">
        <v>4409</v>
      </c>
      <c r="S493" s="24" t="s">
        <v>4334</v>
      </c>
      <c r="T493" s="24" t="str">
        <f aca="false">"["&amp;안내!$C$5&amp;" "&amp;F493&amp;"] "&amp;L493&amp;" | "&amp;J493</f>
        <v>[1분 성경 구약 #500] 내 영을 부어 주리라 | 욜 2:18-32</v>
      </c>
      <c r="U493" s="26" t="n">
        <f aca="false">IF(D493="구약",IF(C493=1,안내!$C$9,안내!$C$10)+AD493-1,IF(C493=1,안내!$C$9,안내!$C$10)+7*INT((AD493-1)/4)+CHOOSE(MOD(AD493-1,4)+1,0,2,4,5))</f>
        <v>46897</v>
      </c>
      <c r="V493" s="23" t="str">
        <f aca="false">CHOOSE(WEEKDAY(U493,2),"월","화","수","목","금","토","일")</f>
        <v>수</v>
      </c>
      <c r="W493" s="24" t="str">
        <f aca="false">IFERROR(IF(INDEX($C$2:$C$799,MATCH(D493&amp;"#"&amp;(E493+1),$AC$2:$AC$799,0))=C493,"다음 편: ","시즌1 완결 · 시즌2 첫 편: ")&amp;INDEX($L$2:$L$799,MATCH(D493&amp;"#"&amp;(E493+1),$AC$2:$AC$799,0)),"구약 트랙 완결")</f>
        <v>다음 편: 판결의 골짜기</v>
      </c>
      <c r="X493" s="23" t="s">
        <v>130</v>
      </c>
      <c r="Y493" s="23" t="s">
        <v>130</v>
      </c>
      <c r="Z493" s="23" t="s">
        <v>130</v>
      </c>
      <c r="AA493" s="23" t="s">
        <v>130</v>
      </c>
      <c r="AB493" s="24"/>
      <c r="AC493" s="23" t="str">
        <f aca="false">D493&amp;"#"&amp;E493</f>
        <v>구약#500</v>
      </c>
      <c r="AD493" s="23" t="n">
        <f aca="false">COUNTIFS($C$2:C493,C493,$D$2:D493,D493)</f>
        <v>318</v>
      </c>
    </row>
    <row r="494" customFormat="false" ht="15" hidden="false" customHeight="false" outlineLevel="0" collapsed="false">
      <c r="A494" s="21" t="n">
        <v>493</v>
      </c>
      <c r="B494" s="18" t="s">
        <v>4410</v>
      </c>
      <c r="C494" s="23" t="n">
        <v>2</v>
      </c>
      <c r="D494" s="23" t="s">
        <v>116</v>
      </c>
      <c r="E494" s="23" t="n">
        <f aca="false">IF(C494=1,COUNTIFS($C$2:C494,1,$D$2:D494,D494),COUNTIFS($C$2:$C$799,1,$D$2:$D$799,D494)+COUNTIFS($C$2:C494,2,$D$2:D494,D494))</f>
        <v>501</v>
      </c>
      <c r="F494" s="23" t="str">
        <f aca="false">D494&amp;" #"&amp;TEXT(E494,"000")</f>
        <v>구약 #501</v>
      </c>
      <c r="G494" s="18" t="s">
        <v>4362</v>
      </c>
      <c r="H494" s="18" t="s">
        <v>4380</v>
      </c>
      <c r="I494" s="21" t="s">
        <v>4395</v>
      </c>
      <c r="J494" s="22" t="s">
        <v>4411</v>
      </c>
      <c r="K494" s="23" t="s">
        <v>1085</v>
      </c>
      <c r="L494" s="24" t="s">
        <v>4412</v>
      </c>
      <c r="M494" s="24" t="s">
        <v>4413</v>
      </c>
      <c r="N494" s="23" t="s">
        <v>4414</v>
      </c>
      <c r="O494" s="24" t="s">
        <v>4415</v>
      </c>
      <c r="P494" s="24" t="s">
        <v>4395</v>
      </c>
      <c r="Q494" s="24" t="s">
        <v>4416</v>
      </c>
      <c r="R494" s="24"/>
      <c r="S494" s="24" t="s">
        <v>4334</v>
      </c>
      <c r="T494" s="24" t="str">
        <f aca="false">"["&amp;안내!$C$5&amp;" "&amp;F494&amp;"] "&amp;L494&amp;" | "&amp;J494</f>
        <v>[1분 성경 구약 #501] 판결의 골짜기 | 욜 3:1-21</v>
      </c>
      <c r="U494" s="26" t="n">
        <f aca="false">IF(D494="구약",IF(C494=1,안내!$C$9,안내!$C$10)+AD494-1,IF(C494=1,안내!$C$9,안내!$C$10)+7*INT((AD494-1)/4)+CHOOSE(MOD(AD494-1,4)+1,0,2,4,5))</f>
        <v>46898</v>
      </c>
      <c r="V494" s="23" t="str">
        <f aca="false">CHOOSE(WEEKDAY(U494,2),"월","화","수","목","금","토","일")</f>
        <v>목</v>
      </c>
      <c r="W494" s="24" t="str">
        <f aca="false">IFERROR(IF(INDEX($C$2:$C$799,MATCH(D494&amp;"#"&amp;(E494+1),$AC$2:$AC$799,0))=C494,"다음 편: ","시즌1 완결 · 시즌2 첫 편: ")&amp;INDEX($L$2:$L$799,MATCH(D494&amp;"#"&amp;(E494+1),$AC$2:$AC$799,0)),"구약 트랙 완결")</f>
        <v>다음 편: 사자가 부르짖을 때</v>
      </c>
      <c r="X494" s="23" t="s">
        <v>130</v>
      </c>
      <c r="Y494" s="23" t="s">
        <v>130</v>
      </c>
      <c r="Z494" s="23" t="s">
        <v>130</v>
      </c>
      <c r="AA494" s="23" t="s">
        <v>130</v>
      </c>
      <c r="AB494" s="24"/>
      <c r="AC494" s="23" t="str">
        <f aca="false">D494&amp;"#"&amp;E494</f>
        <v>구약#501</v>
      </c>
      <c r="AD494" s="23" t="n">
        <f aca="false">COUNTIFS($C$2:C494,C494,$D$2:D494,D494)</f>
        <v>319</v>
      </c>
    </row>
    <row r="495" customFormat="false" ht="25.35" hidden="false" customHeight="false" outlineLevel="0" collapsed="false">
      <c r="A495" s="21" t="n">
        <v>494</v>
      </c>
      <c r="B495" s="18" t="s">
        <v>4417</v>
      </c>
      <c r="C495" s="23" t="n">
        <v>2</v>
      </c>
      <c r="D495" s="23" t="s">
        <v>116</v>
      </c>
      <c r="E495" s="23" t="n">
        <f aca="false">IF(C495=1,COUNTIFS($C$2:C495,1,$D$2:D495,D495),COUNTIFS($C$2:$C$799,1,$D$2:$D$799,D495)+COUNTIFS($C$2:C495,2,$D$2:D495,D495))</f>
        <v>502</v>
      </c>
      <c r="F495" s="23" t="str">
        <f aca="false">D495&amp;" #"&amp;TEXT(E495,"000")</f>
        <v>구약 #502</v>
      </c>
      <c r="G495" s="18" t="s">
        <v>4362</v>
      </c>
      <c r="H495" s="18" t="s">
        <v>4380</v>
      </c>
      <c r="I495" s="21" t="s">
        <v>4418</v>
      </c>
      <c r="J495" s="22" t="s">
        <v>4419</v>
      </c>
      <c r="K495" s="23" t="s">
        <v>1085</v>
      </c>
      <c r="L495" s="24" t="s">
        <v>4420</v>
      </c>
      <c r="M495" s="24" t="s">
        <v>4421</v>
      </c>
      <c r="N495" s="23" t="s">
        <v>4422</v>
      </c>
      <c r="O495" s="24" t="s">
        <v>4423</v>
      </c>
      <c r="P495" s="24" t="s">
        <v>4418</v>
      </c>
      <c r="Q495" s="24" t="s">
        <v>4424</v>
      </c>
      <c r="R495" s="24"/>
      <c r="S495" s="24" t="s">
        <v>4334</v>
      </c>
      <c r="T495" s="24" t="str">
        <f aca="false">"["&amp;안내!$C$5&amp;" "&amp;F495&amp;"] "&amp;L495&amp;" | "&amp;J495</f>
        <v>[1분 성경 구약 #502] 사자가 부르짖을 때 | 암 1:1-2:16</v>
      </c>
      <c r="U495" s="26" t="n">
        <f aca="false">IF(D495="구약",IF(C495=1,안내!$C$9,안내!$C$10)+AD495-1,IF(C495=1,안내!$C$9,안내!$C$10)+7*INT((AD495-1)/4)+CHOOSE(MOD(AD495-1,4)+1,0,2,4,5))</f>
        <v>46899</v>
      </c>
      <c r="V495" s="23" t="str">
        <f aca="false">CHOOSE(WEEKDAY(U495,2),"월","화","수","목","금","토","일")</f>
        <v>금</v>
      </c>
      <c r="W495" s="24" t="str">
        <f aca="false">IFERROR(IF(INDEX($C$2:$C$799,MATCH(D495&amp;"#"&amp;(E495+1),$AC$2:$AC$799,0))=C495,"다음 편: ","시즌1 완결 · 시즌2 첫 편: ")&amp;INDEX($L$2:$L$799,MATCH(D495&amp;"#"&amp;(E495+1),$AC$2:$AC$799,0)),"구약 트랙 완결")</f>
        <v>다음 편: 정의를 물같이</v>
      </c>
      <c r="X495" s="23" t="s">
        <v>130</v>
      </c>
      <c r="Y495" s="23" t="s">
        <v>130</v>
      </c>
      <c r="Z495" s="23" t="s">
        <v>130</v>
      </c>
      <c r="AA495" s="23" t="s">
        <v>130</v>
      </c>
      <c r="AB495" s="24"/>
      <c r="AC495" s="23" t="str">
        <f aca="false">D495&amp;"#"&amp;E495</f>
        <v>구약#502</v>
      </c>
      <c r="AD495" s="23" t="n">
        <f aca="false">COUNTIFS($C$2:C495,C495,$D$2:D495,D495)</f>
        <v>320</v>
      </c>
    </row>
    <row r="496" customFormat="false" ht="15" hidden="false" customHeight="false" outlineLevel="0" collapsed="false">
      <c r="A496" s="21" t="n">
        <v>495</v>
      </c>
      <c r="B496" s="18" t="s">
        <v>4425</v>
      </c>
      <c r="C496" s="23" t="n">
        <v>2</v>
      </c>
      <c r="D496" s="23" t="s">
        <v>116</v>
      </c>
      <c r="E496" s="23" t="n">
        <f aca="false">IF(C496=1,COUNTIFS($C$2:C496,1,$D$2:D496,D496),COUNTIFS($C$2:$C$799,1,$D$2:$D$799,D496)+COUNTIFS($C$2:C496,2,$D$2:D496,D496))</f>
        <v>503</v>
      </c>
      <c r="F496" s="23" t="str">
        <f aca="false">D496&amp;" #"&amp;TEXT(E496,"000")</f>
        <v>구약 #503</v>
      </c>
      <c r="G496" s="18" t="s">
        <v>4362</v>
      </c>
      <c r="H496" s="18" t="s">
        <v>4380</v>
      </c>
      <c r="I496" s="21" t="s">
        <v>4418</v>
      </c>
      <c r="J496" s="22" t="s">
        <v>4426</v>
      </c>
      <c r="K496" s="23" t="s">
        <v>1085</v>
      </c>
      <c r="L496" s="24" t="s">
        <v>4427</v>
      </c>
      <c r="M496" s="24" t="s">
        <v>4428</v>
      </c>
      <c r="N496" s="23" t="s">
        <v>4429</v>
      </c>
      <c r="O496" s="24" t="s">
        <v>4430</v>
      </c>
      <c r="P496" s="24" t="s">
        <v>4418</v>
      </c>
      <c r="Q496" s="24" t="s">
        <v>4431</v>
      </c>
      <c r="R496" s="24"/>
      <c r="S496" s="24" t="s">
        <v>4334</v>
      </c>
      <c r="T496" s="24" t="str">
        <f aca="false">"["&amp;안내!$C$5&amp;" "&amp;F496&amp;"] "&amp;L496&amp;" | "&amp;J496</f>
        <v>[1분 성경 구약 #503] 정의를 물같이 | 암 3:1-6:14</v>
      </c>
      <c r="U496" s="26" t="n">
        <f aca="false">IF(D496="구약",IF(C496=1,안내!$C$9,안내!$C$10)+AD496-1,IF(C496=1,안내!$C$9,안내!$C$10)+7*INT((AD496-1)/4)+CHOOSE(MOD(AD496-1,4)+1,0,2,4,5))</f>
        <v>46900</v>
      </c>
      <c r="V496" s="23" t="str">
        <f aca="false">CHOOSE(WEEKDAY(U496,2),"월","화","수","목","금","토","일")</f>
        <v>토</v>
      </c>
      <c r="W496" s="24" t="str">
        <f aca="false">IFERROR(IF(INDEX($C$2:$C$799,MATCH(D496&amp;"#"&amp;(E496+1),$AC$2:$AC$799,0))=C496,"다음 편: ","시즌1 완결 · 시즌2 첫 편: ")&amp;INDEX($L$2:$L$799,MATCH(D496&amp;"#"&amp;(E496+1),$AC$2:$AC$799,0)),"구약 트랙 완결")</f>
        <v>다음 편: 다림줄</v>
      </c>
      <c r="X496" s="23" t="s">
        <v>130</v>
      </c>
      <c r="Y496" s="23" t="s">
        <v>130</v>
      </c>
      <c r="Z496" s="23" t="s">
        <v>130</v>
      </c>
      <c r="AA496" s="23" t="s">
        <v>130</v>
      </c>
      <c r="AB496" s="24"/>
      <c r="AC496" s="23" t="str">
        <f aca="false">D496&amp;"#"&amp;E496</f>
        <v>구약#503</v>
      </c>
      <c r="AD496" s="23" t="n">
        <f aca="false">COUNTIFS($C$2:C496,C496,$D$2:D496,D496)</f>
        <v>321</v>
      </c>
    </row>
    <row r="497" customFormat="false" ht="15" hidden="false" customHeight="false" outlineLevel="0" collapsed="false">
      <c r="A497" s="21" t="n">
        <v>496</v>
      </c>
      <c r="B497" s="18" t="s">
        <v>4432</v>
      </c>
      <c r="C497" s="23" t="n">
        <v>2</v>
      </c>
      <c r="D497" s="23" t="s">
        <v>116</v>
      </c>
      <c r="E497" s="23" t="n">
        <f aca="false">IF(C497=1,COUNTIFS($C$2:C497,1,$D$2:D497,D497),COUNTIFS($C$2:$C$799,1,$D$2:$D$799,D497)+COUNTIFS($C$2:C497,2,$D$2:D497,D497))</f>
        <v>504</v>
      </c>
      <c r="F497" s="23" t="str">
        <f aca="false">D497&amp;" #"&amp;TEXT(E497,"000")</f>
        <v>구약 #504</v>
      </c>
      <c r="G497" s="18" t="s">
        <v>4362</v>
      </c>
      <c r="H497" s="18" t="s">
        <v>4380</v>
      </c>
      <c r="I497" s="21" t="s">
        <v>4418</v>
      </c>
      <c r="J497" s="22" t="s">
        <v>4433</v>
      </c>
      <c r="K497" s="23" t="s">
        <v>1085</v>
      </c>
      <c r="L497" s="24" t="s">
        <v>4434</v>
      </c>
      <c r="M497" s="24" t="s">
        <v>4435</v>
      </c>
      <c r="N497" s="23" t="s">
        <v>4436</v>
      </c>
      <c r="O497" s="24" t="s">
        <v>4437</v>
      </c>
      <c r="P497" s="24" t="s">
        <v>4438</v>
      </c>
      <c r="Q497" s="24" t="s">
        <v>4439</v>
      </c>
      <c r="R497" s="24"/>
      <c r="S497" s="24" t="s">
        <v>4334</v>
      </c>
      <c r="T497" s="24" t="str">
        <f aca="false">"["&amp;안내!$C$5&amp;" "&amp;F497&amp;"] "&amp;L497&amp;" | "&amp;J497</f>
        <v>[1분 성경 구약 #504] 다림줄 | 암 7:1-17</v>
      </c>
      <c r="U497" s="26" t="n">
        <f aca="false">IF(D497="구약",IF(C497=1,안내!$C$9,안내!$C$10)+AD497-1,IF(C497=1,안내!$C$9,안내!$C$10)+7*INT((AD497-1)/4)+CHOOSE(MOD(AD497-1,4)+1,0,2,4,5))</f>
        <v>46901</v>
      </c>
      <c r="V497" s="23" t="str">
        <f aca="false">CHOOSE(WEEKDAY(U497,2),"월","화","수","목","금","토","일")</f>
        <v>일</v>
      </c>
      <c r="W497" s="24" t="str">
        <f aca="false">IFERROR(IF(INDEX($C$2:$C$799,MATCH(D497&amp;"#"&amp;(E497+1),$AC$2:$AC$799,0))=C497,"다음 편: ","시즌1 완결 · 시즌2 첫 편: ")&amp;INDEX($L$2:$L$799,MATCH(D497&amp;"#"&amp;(E497+1),$AC$2:$AC$799,0)),"구약 트랙 완결")</f>
        <v>다음 편: 말씀의 기근</v>
      </c>
      <c r="X497" s="23" t="s">
        <v>130</v>
      </c>
      <c r="Y497" s="23" t="s">
        <v>130</v>
      </c>
      <c r="Z497" s="23" t="s">
        <v>130</v>
      </c>
      <c r="AA497" s="23" t="s">
        <v>130</v>
      </c>
      <c r="AB497" s="24"/>
      <c r="AC497" s="23" t="str">
        <f aca="false">D497&amp;"#"&amp;E497</f>
        <v>구약#504</v>
      </c>
      <c r="AD497" s="23" t="n">
        <f aca="false">COUNTIFS($C$2:C497,C497,$D$2:D497,D497)</f>
        <v>322</v>
      </c>
    </row>
    <row r="498" customFormat="false" ht="26.85" hidden="false" customHeight="false" outlineLevel="0" collapsed="false">
      <c r="A498" s="21" t="n">
        <v>497</v>
      </c>
      <c r="B498" s="18" t="s">
        <v>4440</v>
      </c>
      <c r="C498" s="23" t="n">
        <v>2</v>
      </c>
      <c r="D498" s="23" t="s">
        <v>116</v>
      </c>
      <c r="E498" s="23" t="n">
        <f aca="false">IF(C498=1,COUNTIFS($C$2:C498,1,$D$2:D498,D498),COUNTIFS($C$2:$C$799,1,$D$2:$D$799,D498)+COUNTIFS($C$2:C498,2,$D$2:D498,D498))</f>
        <v>505</v>
      </c>
      <c r="F498" s="23" t="str">
        <f aca="false">D498&amp;" #"&amp;TEXT(E498,"000")</f>
        <v>구약 #505</v>
      </c>
      <c r="G498" s="18" t="s">
        <v>4362</v>
      </c>
      <c r="H498" s="18" t="s">
        <v>4380</v>
      </c>
      <c r="I498" s="21" t="s">
        <v>4418</v>
      </c>
      <c r="J498" s="22" t="s">
        <v>4441</v>
      </c>
      <c r="K498" s="23" t="s">
        <v>1085</v>
      </c>
      <c r="L498" s="24" t="s">
        <v>4442</v>
      </c>
      <c r="M498" s="24" t="s">
        <v>4443</v>
      </c>
      <c r="N498" s="23" t="s">
        <v>4444</v>
      </c>
      <c r="O498" s="24" t="s">
        <v>4445</v>
      </c>
      <c r="P498" s="24" t="s">
        <v>4418</v>
      </c>
      <c r="Q498" s="24" t="s">
        <v>4446</v>
      </c>
      <c r="R498" s="24"/>
      <c r="S498" s="24" t="s">
        <v>4334</v>
      </c>
      <c r="T498" s="24" t="str">
        <f aca="false">"["&amp;안내!$C$5&amp;" "&amp;F498&amp;"] "&amp;L498&amp;" | "&amp;J498</f>
        <v>[1분 성경 구약 #505] 말씀의 기근 | 암 8:1-9:15</v>
      </c>
      <c r="U498" s="26" t="n">
        <f aca="false">IF(D498="구약",IF(C498=1,안내!$C$9,안내!$C$10)+AD498-1,IF(C498=1,안내!$C$9,안내!$C$10)+7*INT((AD498-1)/4)+CHOOSE(MOD(AD498-1,4)+1,0,2,4,5))</f>
        <v>46902</v>
      </c>
      <c r="V498" s="23" t="str">
        <f aca="false">CHOOSE(WEEKDAY(U498,2),"월","화","수","목","금","토","일")</f>
        <v>월</v>
      </c>
      <c r="W498" s="24" t="str">
        <f aca="false">IFERROR(IF(INDEX($C$2:$C$799,MATCH(D498&amp;"#"&amp;(E498+1),$AC$2:$AC$799,0))=C498,"다음 편: ","시즌1 완결 · 시즌2 첫 편: ")&amp;INDEX($L$2:$L$799,MATCH(D498&amp;"#"&amp;(E498+1),$AC$2:$AC$799,0)),"구약 트랙 완결")</f>
        <v>다음 편: 독수리처럼 높아도</v>
      </c>
      <c r="X498" s="23" t="s">
        <v>130</v>
      </c>
      <c r="Y498" s="23" t="s">
        <v>130</v>
      </c>
      <c r="Z498" s="23" t="s">
        <v>130</v>
      </c>
      <c r="AA498" s="23" t="s">
        <v>130</v>
      </c>
      <c r="AB498" s="24"/>
      <c r="AC498" s="23" t="str">
        <f aca="false">D498&amp;"#"&amp;E498</f>
        <v>구약#505</v>
      </c>
      <c r="AD498" s="23" t="n">
        <f aca="false">COUNTIFS($C$2:C498,C498,$D$2:D498,D498)</f>
        <v>323</v>
      </c>
    </row>
    <row r="499" customFormat="false" ht="26.85" hidden="false" customHeight="false" outlineLevel="0" collapsed="false">
      <c r="A499" s="21" t="n">
        <v>498</v>
      </c>
      <c r="B499" s="18" t="s">
        <v>4447</v>
      </c>
      <c r="C499" s="23" t="n">
        <v>2</v>
      </c>
      <c r="D499" s="23" t="s">
        <v>116</v>
      </c>
      <c r="E499" s="23" t="n">
        <f aca="false">IF(C499=1,COUNTIFS($C$2:C499,1,$D$2:D499,D499),COUNTIFS($C$2:$C$799,1,$D$2:$D$799,D499)+COUNTIFS($C$2:C499,2,$D$2:D499,D499))</f>
        <v>506</v>
      </c>
      <c r="F499" s="23" t="str">
        <f aca="false">D499&amp;" #"&amp;TEXT(E499,"000")</f>
        <v>구약 #506</v>
      </c>
      <c r="G499" s="18" t="s">
        <v>4448</v>
      </c>
      <c r="H499" s="18" t="s">
        <v>4449</v>
      </c>
      <c r="I499" s="21" t="s">
        <v>4450</v>
      </c>
      <c r="J499" s="22" t="s">
        <v>4451</v>
      </c>
      <c r="K499" s="23" t="s">
        <v>1085</v>
      </c>
      <c r="L499" s="24" t="s">
        <v>4452</v>
      </c>
      <c r="M499" s="24" t="s">
        <v>4453</v>
      </c>
      <c r="N499" s="23" t="s">
        <v>4454</v>
      </c>
      <c r="O499" s="24" t="s">
        <v>4455</v>
      </c>
      <c r="P499" s="24" t="s">
        <v>4450</v>
      </c>
      <c r="Q499" s="24" t="s">
        <v>4456</v>
      </c>
      <c r="R499" s="24"/>
      <c r="S499" s="24" t="s">
        <v>4334</v>
      </c>
      <c r="T499" s="24" t="str">
        <f aca="false">"["&amp;안내!$C$5&amp;" "&amp;F499&amp;"] "&amp;L499&amp;" | "&amp;J499</f>
        <v>[1분 성경 구약 #506] 독수리처럼 높아도 | 옵 1:1-21</v>
      </c>
      <c r="U499" s="26" t="n">
        <f aca="false">IF(D499="구약",IF(C499=1,안내!$C$9,안내!$C$10)+AD499-1,IF(C499=1,안내!$C$9,안내!$C$10)+7*INT((AD499-1)/4)+CHOOSE(MOD(AD499-1,4)+1,0,2,4,5))</f>
        <v>46903</v>
      </c>
      <c r="V499" s="23" t="str">
        <f aca="false">CHOOSE(WEEKDAY(U499,2),"월","화","수","목","금","토","일")</f>
        <v>화</v>
      </c>
      <c r="W499" s="24" t="str">
        <f aca="false">IFERROR(IF(INDEX($C$2:$C$799,MATCH(D499&amp;"#"&amp;(E499+1),$AC$2:$AC$799,0))=C499,"다음 편: ","시즌1 완결 · 시즌2 첫 편: ")&amp;INDEX($L$2:$L$799,MATCH(D499&amp;"#"&amp;(E499+1),$AC$2:$AC$799,0)),"구약 트랙 완결")</f>
        <v>다음 편: 권력자들을 향한 외침</v>
      </c>
      <c r="X499" s="23" t="s">
        <v>130</v>
      </c>
      <c r="Y499" s="23" t="s">
        <v>130</v>
      </c>
      <c r="Z499" s="23" t="s">
        <v>130</v>
      </c>
      <c r="AA499" s="23" t="s">
        <v>130</v>
      </c>
      <c r="AB499" s="24"/>
      <c r="AC499" s="23" t="str">
        <f aca="false">D499&amp;"#"&amp;E499</f>
        <v>구약#506</v>
      </c>
      <c r="AD499" s="23" t="n">
        <f aca="false">COUNTIFS($C$2:C499,C499,$D$2:D499,D499)</f>
        <v>324</v>
      </c>
    </row>
    <row r="500" customFormat="false" ht="52.2" hidden="false" customHeight="false" outlineLevel="0" collapsed="false">
      <c r="A500" s="21" t="n">
        <v>499</v>
      </c>
      <c r="B500" s="18" t="s">
        <v>4457</v>
      </c>
      <c r="C500" s="20" t="n">
        <v>1</v>
      </c>
      <c r="D500" s="20" t="s">
        <v>116</v>
      </c>
      <c r="E500" s="20" t="n">
        <f aca="false">IF(C500=1,COUNTIFS($C$2:C500,1,$D$2:D500,D500),COUNTIFS($C$2:$C$799,1,$D$2:$D$799,D500)+COUNTIFS($C$2:C500,2,$D$2:D500,D500))</f>
        <v>175</v>
      </c>
      <c r="F500" s="20" t="str">
        <f aca="false">D500&amp;" #"&amp;TEXT(E500,"000")</f>
        <v>구약 #175</v>
      </c>
      <c r="G500" s="18" t="s">
        <v>4448</v>
      </c>
      <c r="H500" s="18" t="s">
        <v>4458</v>
      </c>
      <c r="I500" s="21" t="s">
        <v>4459</v>
      </c>
      <c r="J500" s="22" t="s">
        <v>4460</v>
      </c>
      <c r="K500" s="23" t="s">
        <v>121</v>
      </c>
      <c r="L500" s="24" t="s">
        <v>4461</v>
      </c>
      <c r="M500" s="24" t="s">
        <v>4462</v>
      </c>
      <c r="N500" s="23" t="s">
        <v>4463</v>
      </c>
      <c r="O500" s="24" t="s">
        <v>4464</v>
      </c>
      <c r="P500" s="24" t="s">
        <v>4459</v>
      </c>
      <c r="Q500" s="24" t="s">
        <v>4465</v>
      </c>
      <c r="R500" s="24"/>
      <c r="S500" s="28" t="s">
        <v>4466</v>
      </c>
      <c r="T500" s="24" t="str">
        <f aca="false">"["&amp;안내!$C$5&amp;" "&amp;F500&amp;"] "&amp;L500&amp;" | "&amp;J500</f>
        <v>[1분 성경 구약 #175] 반대로 간 선지자 | 욘 1:1-3</v>
      </c>
      <c r="U500" s="26" t="n">
        <f aca="false">IF(D500="구약",IF(C500=1,안내!$C$9,안내!$C$10)+AD500-1,IF(C500=1,안내!$C$9,안내!$C$10)+7*INT((AD500-1)/4)+CHOOSE(MOD(AD500-1,4)+1,0,2,4,5))</f>
        <v>46565</v>
      </c>
      <c r="V500" s="23" t="str">
        <f aca="false">CHOOSE(WEEKDAY(U500,2),"월","화","수","목","금","토","일")</f>
        <v>일</v>
      </c>
      <c r="W500" s="24" t="str">
        <f aca="false">IFERROR(IF(INDEX($C$2:$C$799,MATCH(D500&amp;"#"&amp;(E500+1),$AC$2:$AC$799,0))=C500,"다음 편: ","시즌1 완결 · 시즌2 첫 편: ")&amp;INDEX($L$2:$L$799,MATCH(D500&amp;"#"&amp;(E500+1),$AC$2:$AC$799,0)),"구약 트랙 완결")</f>
        <v>다음 편: 폭풍과 큰 물고기</v>
      </c>
      <c r="X500" s="23" t="s">
        <v>130</v>
      </c>
      <c r="Y500" s="23" t="s">
        <v>130</v>
      </c>
      <c r="Z500" s="23" t="s">
        <v>130</v>
      </c>
      <c r="AA500" s="23" t="s">
        <v>130</v>
      </c>
      <c r="AB500" s="24"/>
      <c r="AC500" s="23" t="str">
        <f aca="false">D500&amp;"#"&amp;E500</f>
        <v>구약#175</v>
      </c>
      <c r="AD500" s="23" t="n">
        <f aca="false">COUNTIFS($C$2:C500,C500,$D$2:D500,D500)</f>
        <v>175</v>
      </c>
    </row>
    <row r="501" customFormat="false" ht="15" hidden="false" customHeight="false" outlineLevel="0" collapsed="false">
      <c r="A501" s="21" t="n">
        <v>500</v>
      </c>
      <c r="B501" s="18" t="s">
        <v>4467</v>
      </c>
      <c r="C501" s="20" t="n">
        <v>1</v>
      </c>
      <c r="D501" s="20" t="s">
        <v>116</v>
      </c>
      <c r="E501" s="20" t="n">
        <f aca="false">IF(C501=1,COUNTIFS($C$2:C501,1,$D$2:D501,D501),COUNTIFS($C$2:$C$799,1,$D$2:$D$799,D501)+COUNTIFS($C$2:C501,2,$D$2:D501,D501))</f>
        <v>176</v>
      </c>
      <c r="F501" s="20" t="str">
        <f aca="false">D501&amp;" #"&amp;TEXT(E501,"000")</f>
        <v>구약 #176</v>
      </c>
      <c r="G501" s="18" t="s">
        <v>4448</v>
      </c>
      <c r="H501" s="18" t="s">
        <v>4458</v>
      </c>
      <c r="I501" s="21" t="s">
        <v>4459</v>
      </c>
      <c r="J501" s="22" t="s">
        <v>4468</v>
      </c>
      <c r="K501" s="23" t="s">
        <v>121</v>
      </c>
      <c r="L501" s="24" t="s">
        <v>4469</v>
      </c>
      <c r="M501" s="24" t="s">
        <v>4470</v>
      </c>
      <c r="N501" s="23" t="s">
        <v>4471</v>
      </c>
      <c r="O501" s="24" t="s">
        <v>4472</v>
      </c>
      <c r="P501" s="24" t="s">
        <v>4473</v>
      </c>
      <c r="Q501" s="24" t="s">
        <v>4474</v>
      </c>
      <c r="R501" s="24"/>
      <c r="S501" s="24" t="s">
        <v>129</v>
      </c>
      <c r="T501" s="24" t="str">
        <f aca="false">"["&amp;안내!$C$5&amp;" "&amp;F501&amp;"] "&amp;L501&amp;" | "&amp;J501</f>
        <v>[1분 성경 구약 #176] 폭풍과 큰 물고기 | 욘 1:4-17</v>
      </c>
      <c r="U501" s="26" t="n">
        <f aca="false">IF(D501="구약",IF(C501=1,안내!$C$9,안내!$C$10)+AD501-1,IF(C501=1,안내!$C$9,안내!$C$10)+7*INT((AD501-1)/4)+CHOOSE(MOD(AD501-1,4)+1,0,2,4,5))</f>
        <v>46566</v>
      </c>
      <c r="V501" s="23" t="str">
        <f aca="false">CHOOSE(WEEKDAY(U501,2),"월","화","수","목","금","토","일")</f>
        <v>월</v>
      </c>
      <c r="W501" s="24" t="str">
        <f aca="false">IFERROR(IF(INDEX($C$2:$C$799,MATCH(D501&amp;"#"&amp;(E501+1),$AC$2:$AC$799,0))=C501,"다음 편: ","시즌1 완결 · 시즌2 첫 편: ")&amp;INDEX($L$2:$L$799,MATCH(D501&amp;"#"&amp;(E501+1),$AC$2:$AC$799,0)),"구약 트랙 완결")</f>
        <v>다음 편: 물고기 배 속의 기도</v>
      </c>
      <c r="X501" s="23" t="s">
        <v>130</v>
      </c>
      <c r="Y501" s="23" t="s">
        <v>130</v>
      </c>
      <c r="Z501" s="23" t="s">
        <v>130</v>
      </c>
      <c r="AA501" s="23" t="s">
        <v>130</v>
      </c>
      <c r="AB501" s="24"/>
      <c r="AC501" s="23" t="str">
        <f aca="false">D501&amp;"#"&amp;E501</f>
        <v>구약#176</v>
      </c>
      <c r="AD501" s="23" t="n">
        <f aca="false">COUNTIFS($C$2:C501,C501,$D$2:D501,D501)</f>
        <v>176</v>
      </c>
    </row>
    <row r="502" customFormat="false" ht="25.35" hidden="false" customHeight="false" outlineLevel="0" collapsed="false">
      <c r="A502" s="21" t="n">
        <v>501</v>
      </c>
      <c r="B502" s="18" t="s">
        <v>4475</v>
      </c>
      <c r="C502" s="20" t="n">
        <v>1</v>
      </c>
      <c r="D502" s="20" t="s">
        <v>116</v>
      </c>
      <c r="E502" s="20" t="n">
        <f aca="false">IF(C502=1,COUNTIFS($C$2:C502,1,$D$2:D502,D502),COUNTIFS($C$2:$C$799,1,$D$2:$D$799,D502)+COUNTIFS($C$2:C502,2,$D$2:D502,D502))</f>
        <v>177</v>
      </c>
      <c r="F502" s="20" t="str">
        <f aca="false">D502&amp;" #"&amp;TEXT(E502,"000")</f>
        <v>구약 #177</v>
      </c>
      <c r="G502" s="18" t="s">
        <v>4448</v>
      </c>
      <c r="H502" s="18" t="s">
        <v>4458</v>
      </c>
      <c r="I502" s="21" t="s">
        <v>4459</v>
      </c>
      <c r="J502" s="22" t="s">
        <v>4476</v>
      </c>
      <c r="K502" s="23" t="s">
        <v>121</v>
      </c>
      <c r="L502" s="24" t="s">
        <v>4477</v>
      </c>
      <c r="M502" s="24" t="s">
        <v>4478</v>
      </c>
      <c r="N502" s="23" t="s">
        <v>4479</v>
      </c>
      <c r="O502" s="24" t="s">
        <v>4480</v>
      </c>
      <c r="P502" s="24" t="s">
        <v>4459</v>
      </c>
      <c r="Q502" s="24" t="s">
        <v>4481</v>
      </c>
      <c r="R502" s="25" t="s">
        <v>4482</v>
      </c>
      <c r="S502" s="24" t="s">
        <v>129</v>
      </c>
      <c r="T502" s="24" t="str">
        <f aca="false">"["&amp;안내!$C$5&amp;" "&amp;F502&amp;"] "&amp;L502&amp;" | "&amp;J502</f>
        <v>[1분 성경 구약 #177] 물고기 배 속의 기도 | 욘 2:1-10</v>
      </c>
      <c r="U502" s="26" t="n">
        <f aca="false">IF(D502="구약",IF(C502=1,안내!$C$9,안내!$C$10)+AD502-1,IF(C502=1,안내!$C$9,안내!$C$10)+7*INT((AD502-1)/4)+CHOOSE(MOD(AD502-1,4)+1,0,2,4,5))</f>
        <v>46567</v>
      </c>
      <c r="V502" s="23" t="str">
        <f aca="false">CHOOSE(WEEKDAY(U502,2),"월","화","수","목","금","토","일")</f>
        <v>화</v>
      </c>
      <c r="W502" s="24" t="str">
        <f aca="false">IFERROR(IF(INDEX($C$2:$C$799,MATCH(D502&amp;"#"&amp;(E502+1),$AC$2:$AC$799,0))=C502,"다음 편: ","시즌1 완결 · 시즌2 첫 편: ")&amp;INDEX($L$2:$L$799,MATCH(D502&amp;"#"&amp;(E502+1),$AC$2:$AC$799,0)),"구약 트랙 완결")</f>
        <v>다음 편: 니느웨의 회개</v>
      </c>
      <c r="X502" s="23" t="s">
        <v>130</v>
      </c>
      <c r="Y502" s="23" t="s">
        <v>130</v>
      </c>
      <c r="Z502" s="23" t="s">
        <v>130</v>
      </c>
      <c r="AA502" s="23" t="s">
        <v>130</v>
      </c>
      <c r="AB502" s="24"/>
      <c r="AC502" s="23" t="str">
        <f aca="false">D502&amp;"#"&amp;E502</f>
        <v>구약#177</v>
      </c>
      <c r="AD502" s="23" t="n">
        <f aca="false">COUNTIFS($C$2:C502,C502,$D$2:D502,D502)</f>
        <v>177</v>
      </c>
    </row>
    <row r="503" customFormat="false" ht="26.85" hidden="false" customHeight="false" outlineLevel="0" collapsed="false">
      <c r="A503" s="21" t="n">
        <v>502</v>
      </c>
      <c r="B503" s="18" t="s">
        <v>4483</v>
      </c>
      <c r="C503" s="20" t="n">
        <v>1</v>
      </c>
      <c r="D503" s="20" t="s">
        <v>116</v>
      </c>
      <c r="E503" s="20" t="n">
        <f aca="false">IF(C503=1,COUNTIFS($C$2:C503,1,$D$2:D503,D503),COUNTIFS($C$2:$C$799,1,$D$2:$D$799,D503)+COUNTIFS($C$2:C503,2,$D$2:D503,D503))</f>
        <v>178</v>
      </c>
      <c r="F503" s="20" t="str">
        <f aca="false">D503&amp;" #"&amp;TEXT(E503,"000")</f>
        <v>구약 #178</v>
      </c>
      <c r="G503" s="18" t="s">
        <v>4448</v>
      </c>
      <c r="H503" s="18" t="s">
        <v>4458</v>
      </c>
      <c r="I503" s="21" t="s">
        <v>4459</v>
      </c>
      <c r="J503" s="22" t="s">
        <v>4484</v>
      </c>
      <c r="K503" s="23" t="s">
        <v>121</v>
      </c>
      <c r="L503" s="24" t="s">
        <v>4485</v>
      </c>
      <c r="M503" s="29" t="s">
        <v>4486</v>
      </c>
      <c r="N503" s="23" t="s">
        <v>4487</v>
      </c>
      <c r="O503" s="24" t="s">
        <v>4488</v>
      </c>
      <c r="P503" s="24" t="s">
        <v>4489</v>
      </c>
      <c r="Q503" s="24" t="s">
        <v>4490</v>
      </c>
      <c r="R503" s="25" t="s">
        <v>4491</v>
      </c>
      <c r="S503" s="24" t="s">
        <v>129</v>
      </c>
      <c r="T503" s="24" t="str">
        <f aca="false">"["&amp;안내!$C$5&amp;" "&amp;F503&amp;"] "&amp;L503&amp;" | "&amp;J503</f>
        <v>[1분 성경 구약 #178] 니느웨의 회개 | 욘 3:1-10</v>
      </c>
      <c r="U503" s="26" t="n">
        <f aca="false">IF(D503="구약",IF(C503=1,안내!$C$9,안내!$C$10)+AD503-1,IF(C503=1,안내!$C$9,안내!$C$10)+7*INT((AD503-1)/4)+CHOOSE(MOD(AD503-1,4)+1,0,2,4,5))</f>
        <v>46568</v>
      </c>
      <c r="V503" s="23" t="str">
        <f aca="false">CHOOSE(WEEKDAY(U503,2),"월","화","수","목","금","토","일")</f>
        <v>수</v>
      </c>
      <c r="W503" s="24" t="str">
        <f aca="false">IFERROR(IF(INDEX($C$2:$C$799,MATCH(D503&amp;"#"&amp;(E503+1),$AC$2:$AC$799,0))=C503,"다음 편: ","시즌1 완결 · 시즌2 첫 편: ")&amp;INDEX($L$2:$L$799,MATCH(D503&amp;"#"&amp;(E503+1),$AC$2:$AC$799,0)),"구약 트랙 완결")</f>
        <v>다음 편: 박넝쿨</v>
      </c>
      <c r="X503" s="23" t="s">
        <v>130</v>
      </c>
      <c r="Y503" s="23" t="s">
        <v>130</v>
      </c>
      <c r="Z503" s="23" t="s">
        <v>130</v>
      </c>
      <c r="AA503" s="23" t="s">
        <v>130</v>
      </c>
      <c r="AB503" s="24"/>
      <c r="AC503" s="23" t="str">
        <f aca="false">D503&amp;"#"&amp;E503</f>
        <v>구약#178</v>
      </c>
      <c r="AD503" s="23" t="n">
        <f aca="false">COUNTIFS($C$2:C503,C503,$D$2:D503,D503)</f>
        <v>178</v>
      </c>
    </row>
    <row r="504" customFormat="false" ht="26.85" hidden="false" customHeight="false" outlineLevel="0" collapsed="false">
      <c r="A504" s="21" t="n">
        <v>503</v>
      </c>
      <c r="B504" s="18" t="s">
        <v>4492</v>
      </c>
      <c r="C504" s="20" t="n">
        <v>1</v>
      </c>
      <c r="D504" s="20" t="s">
        <v>116</v>
      </c>
      <c r="E504" s="20" t="n">
        <f aca="false">IF(C504=1,COUNTIFS($C$2:C504,1,$D$2:D504,D504),COUNTIFS($C$2:$C$799,1,$D$2:$D$799,D504)+COUNTIFS($C$2:C504,2,$D$2:D504,D504))</f>
        <v>179</v>
      </c>
      <c r="F504" s="20" t="str">
        <f aca="false">D504&amp;" #"&amp;TEXT(E504,"000")</f>
        <v>구약 #179</v>
      </c>
      <c r="G504" s="18" t="s">
        <v>4448</v>
      </c>
      <c r="H504" s="18" t="s">
        <v>4458</v>
      </c>
      <c r="I504" s="21" t="s">
        <v>4459</v>
      </c>
      <c r="J504" s="22" t="s">
        <v>4493</v>
      </c>
      <c r="K504" s="23" t="s">
        <v>121</v>
      </c>
      <c r="L504" s="24" t="s">
        <v>4494</v>
      </c>
      <c r="M504" s="24" t="s">
        <v>4495</v>
      </c>
      <c r="N504" s="23" t="s">
        <v>4496</v>
      </c>
      <c r="O504" s="24" t="s">
        <v>4497</v>
      </c>
      <c r="P504" s="24" t="s">
        <v>4498</v>
      </c>
      <c r="Q504" s="24" t="s">
        <v>4499</v>
      </c>
      <c r="R504" s="24"/>
      <c r="S504" s="24" t="s">
        <v>129</v>
      </c>
      <c r="T504" s="24" t="str">
        <f aca="false">"["&amp;안내!$C$5&amp;" "&amp;F504&amp;"] "&amp;L504&amp;" | "&amp;J504</f>
        <v>[1분 성경 구약 #179] 박넝쿨 | 욘 4:1-11</v>
      </c>
      <c r="U504" s="26" t="n">
        <f aca="false">IF(D504="구약",IF(C504=1,안내!$C$9,안내!$C$10)+AD504-1,IF(C504=1,안내!$C$9,안내!$C$10)+7*INT((AD504-1)/4)+CHOOSE(MOD(AD504-1,4)+1,0,2,4,5))</f>
        <v>46569</v>
      </c>
      <c r="V504" s="23" t="str">
        <f aca="false">CHOOSE(WEEKDAY(U504,2),"월","화","수","목","금","토","일")</f>
        <v>목</v>
      </c>
      <c r="W504" s="24" t="str">
        <f aca="false">IFERROR(IF(INDEX($C$2:$C$799,MATCH(D504&amp;"#"&amp;(E504+1),$AC$2:$AC$799,0))=C504,"다음 편: ","시즌1 완결 · 시즌2 첫 편: ")&amp;INDEX($L$2:$L$799,MATCH(D504&amp;"#"&amp;(E504+1),$AC$2:$AC$799,0)),"구약 트랙 완결")</f>
        <v>다음 편: 베들레헴 에브라다</v>
      </c>
      <c r="X504" s="23" t="s">
        <v>130</v>
      </c>
      <c r="Y504" s="23" t="s">
        <v>130</v>
      </c>
      <c r="Z504" s="23" t="s">
        <v>130</v>
      </c>
      <c r="AA504" s="23" t="s">
        <v>130</v>
      </c>
      <c r="AB504" s="24"/>
      <c r="AC504" s="23" t="str">
        <f aca="false">D504&amp;"#"&amp;E504</f>
        <v>구약#179</v>
      </c>
      <c r="AD504" s="23" t="n">
        <f aca="false">COUNTIFS($C$2:C504,C504,$D$2:D504,D504)</f>
        <v>179</v>
      </c>
    </row>
    <row r="505" customFormat="false" ht="25.35" hidden="false" customHeight="false" outlineLevel="0" collapsed="false">
      <c r="A505" s="21" t="n">
        <v>504</v>
      </c>
      <c r="B505" s="18" t="s">
        <v>4500</v>
      </c>
      <c r="C505" s="23" t="n">
        <v>2</v>
      </c>
      <c r="D505" s="23" t="s">
        <v>116</v>
      </c>
      <c r="E505" s="23" t="n">
        <f aca="false">IF(C505=1,COUNTIFS($C$2:C505,1,$D$2:D505,D505),COUNTIFS($C$2:$C$799,1,$D$2:$D$799,D505)+COUNTIFS($C$2:C505,2,$D$2:D505,D505))</f>
        <v>507</v>
      </c>
      <c r="F505" s="23" t="str">
        <f aca="false">D505&amp;" #"&amp;TEXT(E505,"000")</f>
        <v>구약 #507</v>
      </c>
      <c r="G505" s="18" t="s">
        <v>4448</v>
      </c>
      <c r="H505" s="18" t="s">
        <v>4449</v>
      </c>
      <c r="I505" s="21" t="s">
        <v>4501</v>
      </c>
      <c r="J505" s="22" t="s">
        <v>4502</v>
      </c>
      <c r="K505" s="23" t="s">
        <v>1085</v>
      </c>
      <c r="L505" s="24" t="s">
        <v>4503</v>
      </c>
      <c r="M505" s="24" t="s">
        <v>4504</v>
      </c>
      <c r="N505" s="23" t="s">
        <v>4505</v>
      </c>
      <c r="O505" s="24" t="s">
        <v>4506</v>
      </c>
      <c r="P505" s="24" t="s">
        <v>4501</v>
      </c>
      <c r="Q505" s="24" t="s">
        <v>4507</v>
      </c>
      <c r="R505" s="24"/>
      <c r="S505" s="24" t="s">
        <v>4508</v>
      </c>
      <c r="T505" s="24" t="str">
        <f aca="false">"["&amp;안내!$C$5&amp;" "&amp;F505&amp;"] "&amp;L505&amp;" | "&amp;J505</f>
        <v>[1분 성경 구약 #507] 권력자들을 향한 외침 | 미 1:1-3:12</v>
      </c>
      <c r="U505" s="26" t="n">
        <f aca="false">IF(D505="구약",IF(C505=1,안내!$C$9,안내!$C$10)+AD505-1,IF(C505=1,안내!$C$9,안내!$C$10)+7*INT((AD505-1)/4)+CHOOSE(MOD(AD505-1,4)+1,0,2,4,5))</f>
        <v>46904</v>
      </c>
      <c r="V505" s="23" t="str">
        <f aca="false">CHOOSE(WEEKDAY(U505,2),"월","화","수","목","금","토","일")</f>
        <v>수</v>
      </c>
      <c r="W505" s="24" t="str">
        <f aca="false">IFERROR(IF(INDEX($C$2:$C$799,MATCH(D505&amp;"#"&amp;(E505+1),$AC$2:$AC$799,0))=C505,"다음 편: ","시즌1 완결 · 시즌2 첫 편: ")&amp;INDEX($L$2:$L$799,MATCH(D505&amp;"#"&amp;(E505+1),$AC$2:$AC$799,0)),"구약 트랙 완결")</f>
        <v>다음 편: 오직 정의와 인자</v>
      </c>
      <c r="X505" s="23" t="s">
        <v>130</v>
      </c>
      <c r="Y505" s="23" t="s">
        <v>130</v>
      </c>
      <c r="Z505" s="23" t="s">
        <v>130</v>
      </c>
      <c r="AA505" s="23" t="s">
        <v>130</v>
      </c>
      <c r="AB505" s="24"/>
      <c r="AC505" s="23" t="str">
        <f aca="false">D505&amp;"#"&amp;E505</f>
        <v>구약#507</v>
      </c>
      <c r="AD505" s="23" t="n">
        <f aca="false">COUNTIFS($C$2:C505,C505,$D$2:D505,D505)</f>
        <v>325</v>
      </c>
    </row>
    <row r="506" customFormat="false" ht="39.55" hidden="false" customHeight="false" outlineLevel="0" collapsed="false">
      <c r="A506" s="21" t="n">
        <v>505</v>
      </c>
      <c r="B506" s="18" t="s">
        <v>4509</v>
      </c>
      <c r="C506" s="20" t="n">
        <v>1</v>
      </c>
      <c r="D506" s="20" t="s">
        <v>116</v>
      </c>
      <c r="E506" s="20" t="n">
        <f aca="false">IF(C506=1,COUNTIFS($C$2:C506,1,$D$2:D506,D506),COUNTIFS($C$2:$C$799,1,$D$2:$D$799,D506)+COUNTIFS($C$2:C506,2,$D$2:D506,D506))</f>
        <v>180</v>
      </c>
      <c r="F506" s="20" t="str">
        <f aca="false">D506&amp;" #"&amp;TEXT(E506,"000")</f>
        <v>구약 #180</v>
      </c>
      <c r="G506" s="18" t="s">
        <v>4448</v>
      </c>
      <c r="H506" s="18" t="s">
        <v>4458</v>
      </c>
      <c r="I506" s="21" t="s">
        <v>4501</v>
      </c>
      <c r="J506" s="22" t="s">
        <v>4510</v>
      </c>
      <c r="K506" s="23" t="s">
        <v>1085</v>
      </c>
      <c r="L506" s="24" t="s">
        <v>4511</v>
      </c>
      <c r="M506" s="29" t="s">
        <v>4512</v>
      </c>
      <c r="N506" s="23" t="s">
        <v>4513</v>
      </c>
      <c r="O506" s="24" t="s">
        <v>4514</v>
      </c>
      <c r="P506" s="24" t="s">
        <v>4501</v>
      </c>
      <c r="Q506" s="24" t="s">
        <v>1959</v>
      </c>
      <c r="R506" s="25" t="s">
        <v>4515</v>
      </c>
      <c r="S506" s="28" t="s">
        <v>4516</v>
      </c>
      <c r="T506" s="24" t="str">
        <f aca="false">"["&amp;안내!$C$5&amp;" "&amp;F506&amp;"] "&amp;L506&amp;" | "&amp;J506</f>
        <v>[1분 성경 구약 #180] 베들레헴 에브라다 | 미 4:1-5:15</v>
      </c>
      <c r="U506" s="26" t="n">
        <f aca="false">IF(D506="구약",IF(C506=1,안내!$C$9,안내!$C$10)+AD506-1,IF(C506=1,안내!$C$9,안내!$C$10)+7*INT((AD506-1)/4)+CHOOSE(MOD(AD506-1,4)+1,0,2,4,5))</f>
        <v>46570</v>
      </c>
      <c r="V506" s="23" t="str">
        <f aca="false">CHOOSE(WEEKDAY(U506,2),"월","화","수","목","금","토","일")</f>
        <v>금</v>
      </c>
      <c r="W506" s="24" t="str">
        <f aca="false">IFERROR(IF(INDEX($C$2:$C$799,MATCH(D506&amp;"#"&amp;(E506+1),$AC$2:$AC$799,0))=C506,"다음 편: ","시즌1 완결 · 시즌2 첫 편: ")&amp;INDEX($L$2:$L$799,MATCH(D506&amp;"#"&amp;(E506+1),$AC$2:$AC$799,0)),"구약 트랙 완결")</f>
        <v>다음 편: 의인은 믿음으로</v>
      </c>
      <c r="X506" s="23" t="s">
        <v>130</v>
      </c>
      <c r="Y506" s="23" t="s">
        <v>130</v>
      </c>
      <c r="Z506" s="23" t="s">
        <v>130</v>
      </c>
      <c r="AA506" s="23" t="s">
        <v>130</v>
      </c>
      <c r="AB506" s="24"/>
      <c r="AC506" s="23" t="str">
        <f aca="false">D506&amp;"#"&amp;E506</f>
        <v>구약#180</v>
      </c>
      <c r="AD506" s="23" t="n">
        <f aca="false">COUNTIFS($C$2:C506,C506,$D$2:D506,D506)</f>
        <v>180</v>
      </c>
    </row>
    <row r="507" customFormat="false" ht="26.85" hidden="false" customHeight="false" outlineLevel="0" collapsed="false">
      <c r="A507" s="21" t="n">
        <v>506</v>
      </c>
      <c r="B507" s="18" t="s">
        <v>4517</v>
      </c>
      <c r="C507" s="23" t="n">
        <v>2</v>
      </c>
      <c r="D507" s="23" t="s">
        <v>116</v>
      </c>
      <c r="E507" s="23" t="n">
        <f aca="false">IF(C507=1,COUNTIFS($C$2:C507,1,$D$2:D507,D507),COUNTIFS($C$2:$C$799,1,$D$2:$D$799,D507)+COUNTIFS($C$2:C507,2,$D$2:D507,D507))</f>
        <v>508</v>
      </c>
      <c r="F507" s="23" t="str">
        <f aca="false">D507&amp;" #"&amp;TEXT(E507,"000")</f>
        <v>구약 #508</v>
      </c>
      <c r="G507" s="18" t="s">
        <v>4448</v>
      </c>
      <c r="H507" s="18" t="s">
        <v>4449</v>
      </c>
      <c r="I507" s="21" t="s">
        <v>4501</v>
      </c>
      <c r="J507" s="22" t="s">
        <v>4518</v>
      </c>
      <c r="K507" s="23" t="s">
        <v>1085</v>
      </c>
      <c r="L507" s="24" t="s">
        <v>4519</v>
      </c>
      <c r="M507" s="24" t="s">
        <v>4520</v>
      </c>
      <c r="N507" s="23" t="s">
        <v>4521</v>
      </c>
      <c r="O507" s="24" t="s">
        <v>4522</v>
      </c>
      <c r="P507" s="24" t="s">
        <v>4501</v>
      </c>
      <c r="Q507" s="24" t="s">
        <v>4523</v>
      </c>
      <c r="R507" s="27" t="s">
        <v>4524</v>
      </c>
      <c r="S507" s="24" t="s">
        <v>4525</v>
      </c>
      <c r="T507" s="24" t="str">
        <f aca="false">"["&amp;안내!$C$5&amp;" "&amp;F507&amp;"] "&amp;L507&amp;" | "&amp;J507</f>
        <v>[1분 성경 구약 #508] 오직 정의와 인자 | 미 6:1-7:20</v>
      </c>
      <c r="U507" s="26" t="n">
        <f aca="false">IF(D507="구약",IF(C507=1,안내!$C$9,안내!$C$10)+AD507-1,IF(C507=1,안내!$C$9,안내!$C$10)+7*INT((AD507-1)/4)+CHOOSE(MOD(AD507-1,4)+1,0,2,4,5))</f>
        <v>46905</v>
      </c>
      <c r="V507" s="23" t="str">
        <f aca="false">CHOOSE(WEEKDAY(U507,2),"월","화","수","목","금","토","일")</f>
        <v>목</v>
      </c>
      <c r="W507" s="24" t="str">
        <f aca="false">IFERROR(IF(INDEX($C$2:$C$799,MATCH(D507&amp;"#"&amp;(E507+1),$AC$2:$AC$799,0))=C507,"다음 편: ","시즌1 완결 · 시즌2 첫 편: ")&amp;INDEX($L$2:$L$799,MATCH(D507&amp;"#"&amp;(E507+1),$AC$2:$AC$799,0)),"구약 트랙 완결")</f>
        <v>다음 편: 니느웨의 멸망</v>
      </c>
      <c r="X507" s="23" t="s">
        <v>130</v>
      </c>
      <c r="Y507" s="23" t="s">
        <v>130</v>
      </c>
      <c r="Z507" s="23" t="s">
        <v>130</v>
      </c>
      <c r="AA507" s="23" t="s">
        <v>130</v>
      </c>
      <c r="AB507" s="24"/>
      <c r="AC507" s="23" t="str">
        <f aca="false">D507&amp;"#"&amp;E507</f>
        <v>구약#508</v>
      </c>
      <c r="AD507" s="23" t="n">
        <f aca="false">COUNTIFS($C$2:C507,C507,$D$2:D507,D507)</f>
        <v>326</v>
      </c>
    </row>
    <row r="508" customFormat="false" ht="26.85" hidden="false" customHeight="false" outlineLevel="0" collapsed="false">
      <c r="A508" s="21" t="n">
        <v>507</v>
      </c>
      <c r="B508" s="18" t="s">
        <v>4526</v>
      </c>
      <c r="C508" s="23" t="n">
        <v>2</v>
      </c>
      <c r="D508" s="23" t="s">
        <v>116</v>
      </c>
      <c r="E508" s="23" t="n">
        <f aca="false">IF(C508=1,COUNTIFS($C$2:C508,1,$D$2:D508,D508),COUNTIFS($C$2:$C$799,1,$D$2:$D$799,D508)+COUNTIFS($C$2:C508,2,$D$2:D508,D508))</f>
        <v>509</v>
      </c>
      <c r="F508" s="23" t="str">
        <f aca="false">D508&amp;" #"&amp;TEXT(E508,"000")</f>
        <v>구약 #509</v>
      </c>
      <c r="G508" s="18" t="s">
        <v>4448</v>
      </c>
      <c r="H508" s="18" t="s">
        <v>4449</v>
      </c>
      <c r="I508" s="21" t="s">
        <v>4527</v>
      </c>
      <c r="J508" s="22" t="s">
        <v>4528</v>
      </c>
      <c r="K508" s="23" t="s">
        <v>1085</v>
      </c>
      <c r="L508" s="24" t="s">
        <v>4529</v>
      </c>
      <c r="M508" s="24" t="s">
        <v>4530</v>
      </c>
      <c r="N508" s="23" t="s">
        <v>4531</v>
      </c>
      <c r="O508" s="24" t="s">
        <v>4532</v>
      </c>
      <c r="P508" s="24" t="s">
        <v>4527</v>
      </c>
      <c r="Q508" s="24" t="s">
        <v>4533</v>
      </c>
      <c r="R508" s="25" t="s">
        <v>4534</v>
      </c>
      <c r="S508" s="24" t="s">
        <v>4525</v>
      </c>
      <c r="T508" s="24" t="str">
        <f aca="false">"["&amp;안내!$C$5&amp;" "&amp;F508&amp;"] "&amp;L508&amp;" | "&amp;J508</f>
        <v>[1분 성경 구약 #509] 니느웨의 멸망 | 나 1:1-3:19</v>
      </c>
      <c r="U508" s="26" t="n">
        <f aca="false">IF(D508="구약",IF(C508=1,안내!$C$9,안내!$C$10)+AD508-1,IF(C508=1,안내!$C$9,안내!$C$10)+7*INT((AD508-1)/4)+CHOOSE(MOD(AD508-1,4)+1,0,2,4,5))</f>
        <v>46906</v>
      </c>
      <c r="V508" s="23" t="str">
        <f aca="false">CHOOSE(WEEKDAY(U508,2),"월","화","수","목","금","토","일")</f>
        <v>금</v>
      </c>
      <c r="W508" s="24" t="str">
        <f aca="false">IFERROR(IF(INDEX($C$2:$C$799,MATCH(D508&amp;"#"&amp;(E508+1),$AC$2:$AC$799,0))=C508,"다음 편: ","시즌1 완결 · 시즌2 첫 편: ")&amp;INDEX($L$2:$L$799,MATCH(D508&amp;"#"&amp;(E508+1),$AC$2:$AC$799,0)),"구약 트랙 완결")</f>
        <v>다음 편: 어찌하여</v>
      </c>
      <c r="X508" s="23" t="s">
        <v>130</v>
      </c>
      <c r="Y508" s="23" t="s">
        <v>130</v>
      </c>
      <c r="Z508" s="23" t="s">
        <v>130</v>
      </c>
      <c r="AA508" s="23" t="s">
        <v>130</v>
      </c>
      <c r="AB508" s="24"/>
      <c r="AC508" s="23" t="str">
        <f aca="false">D508&amp;"#"&amp;E508</f>
        <v>구약#509</v>
      </c>
      <c r="AD508" s="23" t="n">
        <f aca="false">COUNTIFS($C$2:C508,C508,$D$2:D508,D508)</f>
        <v>327</v>
      </c>
    </row>
    <row r="509" customFormat="false" ht="26.85" hidden="false" customHeight="false" outlineLevel="0" collapsed="false">
      <c r="A509" s="21" t="n">
        <v>508</v>
      </c>
      <c r="B509" s="18" t="s">
        <v>4535</v>
      </c>
      <c r="C509" s="23" t="n">
        <v>2</v>
      </c>
      <c r="D509" s="23" t="s">
        <v>116</v>
      </c>
      <c r="E509" s="23" t="n">
        <f aca="false">IF(C509=1,COUNTIFS($C$2:C509,1,$D$2:D509,D509),COUNTIFS($C$2:$C$799,1,$D$2:$D$799,D509)+COUNTIFS($C$2:C509,2,$D$2:D509,D509))</f>
        <v>510</v>
      </c>
      <c r="F509" s="23" t="str">
        <f aca="false">D509&amp;" #"&amp;TEXT(E509,"000")</f>
        <v>구약 #510</v>
      </c>
      <c r="G509" s="18" t="s">
        <v>4536</v>
      </c>
      <c r="H509" s="18" t="s">
        <v>4449</v>
      </c>
      <c r="I509" s="21" t="s">
        <v>4537</v>
      </c>
      <c r="J509" s="22" t="s">
        <v>4538</v>
      </c>
      <c r="K509" s="23" t="s">
        <v>1085</v>
      </c>
      <c r="L509" s="24" t="s">
        <v>4539</v>
      </c>
      <c r="M509" s="24" t="s">
        <v>4540</v>
      </c>
      <c r="N509" s="23" t="s">
        <v>4541</v>
      </c>
      <c r="O509" s="24" t="s">
        <v>4542</v>
      </c>
      <c r="P509" s="24" t="s">
        <v>4537</v>
      </c>
      <c r="Q509" s="24" t="s">
        <v>4543</v>
      </c>
      <c r="R509" s="24"/>
      <c r="S509" s="24" t="s">
        <v>4525</v>
      </c>
      <c r="T509" s="24" t="str">
        <f aca="false">"["&amp;안내!$C$5&amp;" "&amp;F509&amp;"] "&amp;L509&amp;" | "&amp;J509</f>
        <v>[1분 성경 구약 #510] 어찌하여 | 합 1:1-2:1</v>
      </c>
      <c r="U509" s="26" t="n">
        <f aca="false">IF(D509="구약",IF(C509=1,안내!$C$9,안내!$C$10)+AD509-1,IF(C509=1,안내!$C$9,안내!$C$10)+7*INT((AD509-1)/4)+CHOOSE(MOD(AD509-1,4)+1,0,2,4,5))</f>
        <v>46907</v>
      </c>
      <c r="V509" s="23" t="str">
        <f aca="false">CHOOSE(WEEKDAY(U509,2),"월","화","수","목","금","토","일")</f>
        <v>토</v>
      </c>
      <c r="W509" s="24" t="str">
        <f aca="false">IFERROR(IF(INDEX($C$2:$C$799,MATCH(D509&amp;"#"&amp;(E509+1),$AC$2:$AC$799,0))=C509,"다음 편: ","시즌1 완결 · 시즌2 첫 편: ")&amp;INDEX($L$2:$L$799,MATCH(D509&amp;"#"&amp;(E509+1),$AC$2:$AC$799,0)),"구약 트랙 완결")</f>
        <v>다음 편: 무화과나무 잎이 없어도</v>
      </c>
      <c r="X509" s="23" t="s">
        <v>130</v>
      </c>
      <c r="Y509" s="23" t="s">
        <v>130</v>
      </c>
      <c r="Z509" s="23" t="s">
        <v>130</v>
      </c>
      <c r="AA509" s="23" t="s">
        <v>130</v>
      </c>
      <c r="AB509" s="24"/>
      <c r="AC509" s="23" t="str">
        <f aca="false">D509&amp;"#"&amp;E509</f>
        <v>구약#510</v>
      </c>
      <c r="AD509" s="23" t="n">
        <f aca="false">COUNTIFS($C$2:C509,C509,$D$2:D509,D509)</f>
        <v>328</v>
      </c>
    </row>
    <row r="510" customFormat="false" ht="39.55" hidden="false" customHeight="false" outlineLevel="0" collapsed="false">
      <c r="A510" s="21" t="n">
        <v>509</v>
      </c>
      <c r="B510" s="18" t="s">
        <v>4544</v>
      </c>
      <c r="C510" s="20" t="n">
        <v>1</v>
      </c>
      <c r="D510" s="20" t="s">
        <v>116</v>
      </c>
      <c r="E510" s="20" t="n">
        <f aca="false">IF(C510=1,COUNTIFS($C$2:C510,1,$D$2:D510,D510),COUNTIFS($C$2:$C$799,1,$D$2:$D$799,D510)+COUNTIFS($C$2:C510,2,$D$2:D510,D510))</f>
        <v>181</v>
      </c>
      <c r="F510" s="20" t="str">
        <f aca="false">D510&amp;" #"&amp;TEXT(E510,"000")</f>
        <v>구약 #181</v>
      </c>
      <c r="G510" s="18" t="s">
        <v>4536</v>
      </c>
      <c r="H510" s="18" t="s">
        <v>4458</v>
      </c>
      <c r="I510" s="21" t="s">
        <v>4537</v>
      </c>
      <c r="J510" s="22" t="s">
        <v>4545</v>
      </c>
      <c r="K510" s="23" t="s">
        <v>1085</v>
      </c>
      <c r="L510" s="24" t="s">
        <v>4546</v>
      </c>
      <c r="M510" s="24" t="s">
        <v>4547</v>
      </c>
      <c r="N510" s="23" t="s">
        <v>4548</v>
      </c>
      <c r="O510" s="24" t="s">
        <v>4549</v>
      </c>
      <c r="P510" s="24" t="s">
        <v>4537</v>
      </c>
      <c r="Q510" s="24" t="s">
        <v>4550</v>
      </c>
      <c r="R510" s="25" t="s">
        <v>4551</v>
      </c>
      <c r="S510" s="28" t="s">
        <v>4552</v>
      </c>
      <c r="T510" s="24" t="str">
        <f aca="false">"["&amp;안내!$C$5&amp;" "&amp;F510&amp;"] "&amp;L510&amp;" | "&amp;J510</f>
        <v>[1분 성경 구약 #181] 의인은 믿음으로 | 합 2:2-20</v>
      </c>
      <c r="U510" s="26" t="n">
        <f aca="false">IF(D510="구약",IF(C510=1,안내!$C$9,안내!$C$10)+AD510-1,IF(C510=1,안내!$C$9,안내!$C$10)+7*INT((AD510-1)/4)+CHOOSE(MOD(AD510-1,4)+1,0,2,4,5))</f>
        <v>46571</v>
      </c>
      <c r="V510" s="23" t="str">
        <f aca="false">CHOOSE(WEEKDAY(U510,2),"월","화","수","목","금","토","일")</f>
        <v>토</v>
      </c>
      <c r="W510" s="24" t="str">
        <f aca="false">IFERROR(IF(INDEX($C$2:$C$799,MATCH(D510&amp;"#"&amp;(E510+1),$AC$2:$AC$799,0))=C510,"다음 편: ","시즌1 완결 · 시즌2 첫 편: ")&amp;INDEX($L$2:$L$799,MATCH(D510&amp;"#"&amp;(E510+1),$AC$2:$AC$799,0)),"구약 트랙 완결")</f>
        <v>다음 편: 의로운 해가 떠오르리라</v>
      </c>
      <c r="X510" s="23" t="s">
        <v>130</v>
      </c>
      <c r="Y510" s="23" t="s">
        <v>130</v>
      </c>
      <c r="Z510" s="23" t="s">
        <v>130</v>
      </c>
      <c r="AA510" s="23" t="s">
        <v>130</v>
      </c>
      <c r="AB510" s="24"/>
      <c r="AC510" s="23" t="str">
        <f aca="false">D510&amp;"#"&amp;E510</f>
        <v>구약#181</v>
      </c>
      <c r="AD510" s="23" t="n">
        <f aca="false">COUNTIFS($C$2:C510,C510,$D$2:D510,D510)</f>
        <v>181</v>
      </c>
    </row>
    <row r="511" customFormat="false" ht="26.85" hidden="false" customHeight="false" outlineLevel="0" collapsed="false">
      <c r="A511" s="21" t="n">
        <v>510</v>
      </c>
      <c r="B511" s="18" t="s">
        <v>4553</v>
      </c>
      <c r="C511" s="23" t="n">
        <v>2</v>
      </c>
      <c r="D511" s="23" t="s">
        <v>116</v>
      </c>
      <c r="E511" s="23" t="n">
        <f aca="false">IF(C511=1,COUNTIFS($C$2:C511,1,$D$2:D511,D511),COUNTIFS($C$2:$C$799,1,$D$2:$D$799,D511)+COUNTIFS($C$2:C511,2,$D$2:D511,D511))</f>
        <v>511</v>
      </c>
      <c r="F511" s="23" t="str">
        <f aca="false">D511&amp;" #"&amp;TEXT(E511,"000")</f>
        <v>구약 #511</v>
      </c>
      <c r="G511" s="18" t="s">
        <v>4536</v>
      </c>
      <c r="H511" s="18" t="s">
        <v>4449</v>
      </c>
      <c r="I511" s="21" t="s">
        <v>4537</v>
      </c>
      <c r="J511" s="22" t="s">
        <v>4554</v>
      </c>
      <c r="K511" s="23" t="s">
        <v>1085</v>
      </c>
      <c r="L511" s="24" t="s">
        <v>4555</v>
      </c>
      <c r="M511" s="24" t="s">
        <v>4556</v>
      </c>
      <c r="N511" s="23" t="s">
        <v>4557</v>
      </c>
      <c r="O511" s="24" t="s">
        <v>4558</v>
      </c>
      <c r="P511" s="24" t="s">
        <v>4537</v>
      </c>
      <c r="Q511" s="24" t="s">
        <v>4559</v>
      </c>
      <c r="R511" s="24"/>
      <c r="S511" s="24" t="s">
        <v>4560</v>
      </c>
      <c r="T511" s="24" t="str">
        <f aca="false">"["&amp;안내!$C$5&amp;" "&amp;F511&amp;"] "&amp;L511&amp;" | "&amp;J511</f>
        <v>[1분 성경 구약 #511] 무화과나무 잎이 없어도 | 합 3:1-19</v>
      </c>
      <c r="U511" s="26" t="n">
        <f aca="false">IF(D511="구약",IF(C511=1,안내!$C$9,안내!$C$10)+AD511-1,IF(C511=1,안내!$C$9,안내!$C$10)+7*INT((AD511-1)/4)+CHOOSE(MOD(AD511-1,4)+1,0,2,4,5))</f>
        <v>46908</v>
      </c>
      <c r="V511" s="23" t="str">
        <f aca="false">CHOOSE(WEEKDAY(U511,2),"월","화","수","목","금","토","일")</f>
        <v>일</v>
      </c>
      <c r="W511" s="24" t="str">
        <f aca="false">IFERROR(IF(INDEX($C$2:$C$799,MATCH(D511&amp;"#"&amp;(E511+1),$AC$2:$AC$799,0))=C511,"다음 편: ","시즌1 완결 · 시즌2 첫 편: ")&amp;INDEX($L$2:$L$799,MATCH(D511&amp;"#"&amp;(E511+1),$AC$2:$AC$799,0)),"구약 트랙 완결")</f>
        <v>다음 편: 여호와의 날</v>
      </c>
      <c r="X511" s="23" t="s">
        <v>130</v>
      </c>
      <c r="Y511" s="23" t="s">
        <v>130</v>
      </c>
      <c r="Z511" s="23" t="s">
        <v>130</v>
      </c>
      <c r="AA511" s="23" t="s">
        <v>130</v>
      </c>
      <c r="AB511" s="24"/>
      <c r="AC511" s="23" t="str">
        <f aca="false">D511&amp;"#"&amp;E511</f>
        <v>구약#511</v>
      </c>
      <c r="AD511" s="23" t="n">
        <f aca="false">COUNTIFS($C$2:C511,C511,$D$2:D511,D511)</f>
        <v>329</v>
      </c>
    </row>
    <row r="512" customFormat="false" ht="26.85" hidden="false" customHeight="false" outlineLevel="0" collapsed="false">
      <c r="A512" s="21" t="n">
        <v>511</v>
      </c>
      <c r="B512" s="18" t="s">
        <v>4561</v>
      </c>
      <c r="C512" s="23" t="n">
        <v>2</v>
      </c>
      <c r="D512" s="23" t="s">
        <v>116</v>
      </c>
      <c r="E512" s="23" t="n">
        <f aca="false">IF(C512=1,COUNTIFS($C$2:C512,1,$D$2:D512,D512),COUNTIFS($C$2:$C$799,1,$D$2:$D$799,D512)+COUNTIFS($C$2:C512,2,$D$2:D512,D512))</f>
        <v>512</v>
      </c>
      <c r="F512" s="23" t="str">
        <f aca="false">D512&amp;" #"&amp;TEXT(E512,"000")</f>
        <v>구약 #512</v>
      </c>
      <c r="G512" s="18" t="s">
        <v>4536</v>
      </c>
      <c r="H512" s="18" t="s">
        <v>4449</v>
      </c>
      <c r="I512" s="21" t="s">
        <v>4562</v>
      </c>
      <c r="J512" s="22" t="s">
        <v>4563</v>
      </c>
      <c r="K512" s="23" t="s">
        <v>1085</v>
      </c>
      <c r="L512" s="24" t="s">
        <v>4564</v>
      </c>
      <c r="M512" s="24" t="s">
        <v>4565</v>
      </c>
      <c r="N512" s="23" t="s">
        <v>4566</v>
      </c>
      <c r="O512" s="24" t="s">
        <v>4567</v>
      </c>
      <c r="P512" s="24" t="s">
        <v>4562</v>
      </c>
      <c r="Q512" s="24" t="s">
        <v>2330</v>
      </c>
      <c r="R512" s="25" t="s">
        <v>4568</v>
      </c>
      <c r="S512" s="24" t="s">
        <v>4560</v>
      </c>
      <c r="T512" s="24" t="str">
        <f aca="false">"["&amp;안내!$C$5&amp;" "&amp;F512&amp;"] "&amp;L512&amp;" | "&amp;J512</f>
        <v>[1분 성경 구약 #512] 여호와의 날 | 습 1:1-2:15</v>
      </c>
      <c r="U512" s="26" t="n">
        <f aca="false">IF(D512="구약",IF(C512=1,안내!$C$9,안내!$C$10)+AD512-1,IF(C512=1,안내!$C$9,안내!$C$10)+7*INT((AD512-1)/4)+CHOOSE(MOD(AD512-1,4)+1,0,2,4,5))</f>
        <v>46909</v>
      </c>
      <c r="V512" s="23" t="str">
        <f aca="false">CHOOSE(WEEKDAY(U512,2),"월","화","수","목","금","토","일")</f>
        <v>월</v>
      </c>
      <c r="W512" s="24" t="str">
        <f aca="false">IFERROR(IF(INDEX($C$2:$C$799,MATCH(D512&amp;"#"&amp;(E512+1),$AC$2:$AC$799,0))=C512,"다음 편: ","시즌1 완결 · 시즌2 첫 편: ")&amp;INDEX($L$2:$L$799,MATCH(D512&amp;"#"&amp;(E512+1),$AC$2:$AC$799,0)),"구약 트랙 완결")</f>
        <v>다음 편: 너로 말미암아 기뻐하시리라</v>
      </c>
      <c r="X512" s="23" t="s">
        <v>130</v>
      </c>
      <c r="Y512" s="23" t="s">
        <v>130</v>
      </c>
      <c r="Z512" s="23" t="s">
        <v>130</v>
      </c>
      <c r="AA512" s="23" t="s">
        <v>130</v>
      </c>
      <c r="AB512" s="24"/>
      <c r="AC512" s="23" t="str">
        <f aca="false">D512&amp;"#"&amp;E512</f>
        <v>구약#512</v>
      </c>
      <c r="AD512" s="23" t="n">
        <f aca="false">COUNTIFS($C$2:C512,C512,$D$2:D512,D512)</f>
        <v>330</v>
      </c>
    </row>
    <row r="513" customFormat="false" ht="26.85" hidden="false" customHeight="false" outlineLevel="0" collapsed="false">
      <c r="A513" s="21" t="n">
        <v>512</v>
      </c>
      <c r="B513" s="18" t="s">
        <v>4569</v>
      </c>
      <c r="C513" s="23" t="n">
        <v>2</v>
      </c>
      <c r="D513" s="23" t="s">
        <v>116</v>
      </c>
      <c r="E513" s="23" t="n">
        <f aca="false">IF(C513=1,COUNTIFS($C$2:C513,1,$D$2:D513,D513),COUNTIFS($C$2:$C$799,1,$D$2:$D$799,D513)+COUNTIFS($C$2:C513,2,$D$2:D513,D513))</f>
        <v>513</v>
      </c>
      <c r="F513" s="23" t="str">
        <f aca="false">D513&amp;" #"&amp;TEXT(E513,"000")</f>
        <v>구약 #513</v>
      </c>
      <c r="G513" s="18" t="s">
        <v>4536</v>
      </c>
      <c r="H513" s="18" t="s">
        <v>4449</v>
      </c>
      <c r="I513" s="21" t="s">
        <v>4562</v>
      </c>
      <c r="J513" s="22" t="s">
        <v>4570</v>
      </c>
      <c r="K513" s="23" t="s">
        <v>1085</v>
      </c>
      <c r="L513" s="24" t="s">
        <v>4571</v>
      </c>
      <c r="M513" s="24" t="s">
        <v>4572</v>
      </c>
      <c r="N513" s="23" t="s">
        <v>4573</v>
      </c>
      <c r="O513" s="24" t="s">
        <v>4574</v>
      </c>
      <c r="P513" s="24" t="s">
        <v>4562</v>
      </c>
      <c r="Q513" s="24" t="s">
        <v>4575</v>
      </c>
      <c r="R513" s="24"/>
      <c r="S513" s="24" t="s">
        <v>4560</v>
      </c>
      <c r="T513" s="24" t="str">
        <f aca="false">"["&amp;안내!$C$5&amp;" "&amp;F513&amp;"] "&amp;L513&amp;" | "&amp;J513</f>
        <v>[1분 성경 구약 #513] 너로 말미암아 기뻐하시리라 | 습 3:1-20</v>
      </c>
      <c r="U513" s="26" t="n">
        <f aca="false">IF(D513="구약",IF(C513=1,안내!$C$9,안내!$C$10)+AD513-1,IF(C513=1,안내!$C$9,안내!$C$10)+7*INT((AD513-1)/4)+CHOOSE(MOD(AD513-1,4)+1,0,2,4,5))</f>
        <v>46910</v>
      </c>
      <c r="V513" s="23" t="str">
        <f aca="false">CHOOSE(WEEKDAY(U513,2),"월","화","수","목","금","토","일")</f>
        <v>화</v>
      </c>
      <c r="W513" s="24" t="str">
        <f aca="false">IFERROR(IF(INDEX($C$2:$C$799,MATCH(D513&amp;"#"&amp;(E513+1),$AC$2:$AC$799,0))=C513,"다음 편: ","시즌1 완결 · 시즌2 첫 편: ")&amp;INDEX($L$2:$L$799,MATCH(D513&amp;"#"&amp;(E513+1),$AC$2:$AC$799,0)),"구약 트랙 완결")</f>
        <v>다음 편: 너희 집은 판벽한 집</v>
      </c>
      <c r="X513" s="23" t="s">
        <v>130</v>
      </c>
      <c r="Y513" s="23" t="s">
        <v>130</v>
      </c>
      <c r="Z513" s="23" t="s">
        <v>130</v>
      </c>
      <c r="AA513" s="23" t="s">
        <v>130</v>
      </c>
      <c r="AB513" s="24"/>
      <c r="AC513" s="23" t="str">
        <f aca="false">D513&amp;"#"&amp;E513</f>
        <v>구약#513</v>
      </c>
      <c r="AD513" s="23" t="n">
        <f aca="false">COUNTIFS($C$2:C513,C513,$D$2:D513,D513)</f>
        <v>331</v>
      </c>
    </row>
    <row r="514" customFormat="false" ht="26.85" hidden="false" customHeight="false" outlineLevel="0" collapsed="false">
      <c r="A514" s="21" t="n">
        <v>513</v>
      </c>
      <c r="B514" s="18" t="s">
        <v>4576</v>
      </c>
      <c r="C514" s="23" t="n">
        <v>2</v>
      </c>
      <c r="D514" s="23" t="s">
        <v>116</v>
      </c>
      <c r="E514" s="23" t="n">
        <f aca="false">IF(C514=1,COUNTIFS($C$2:C514,1,$D$2:D514,D514),COUNTIFS($C$2:$C$799,1,$D$2:$D$799,D514)+COUNTIFS($C$2:C514,2,$D$2:D514,D514))</f>
        <v>514</v>
      </c>
      <c r="F514" s="23" t="str">
        <f aca="false">D514&amp;" #"&amp;TEXT(E514,"000")</f>
        <v>구약 #514</v>
      </c>
      <c r="G514" s="18" t="s">
        <v>4536</v>
      </c>
      <c r="H514" s="18" t="s">
        <v>4577</v>
      </c>
      <c r="I514" s="21" t="s">
        <v>4578</v>
      </c>
      <c r="J514" s="22" t="s">
        <v>4579</v>
      </c>
      <c r="K514" s="23" t="s">
        <v>1085</v>
      </c>
      <c r="L514" s="24" t="s">
        <v>4580</v>
      </c>
      <c r="M514" s="24" t="s">
        <v>4581</v>
      </c>
      <c r="N514" s="23" t="s">
        <v>4582</v>
      </c>
      <c r="O514" s="24" t="s">
        <v>4583</v>
      </c>
      <c r="P514" s="24" t="s">
        <v>4584</v>
      </c>
      <c r="Q514" s="24" t="s">
        <v>4585</v>
      </c>
      <c r="R514" s="24"/>
      <c r="S514" s="24" t="s">
        <v>4560</v>
      </c>
      <c r="T514" s="24" t="str">
        <f aca="false">"["&amp;안내!$C$5&amp;" "&amp;F514&amp;"] "&amp;L514&amp;" | "&amp;J514</f>
        <v>[1분 성경 구약 #514] 너희 집은 판벽한 집 | 학 1:1-15</v>
      </c>
      <c r="U514" s="26" t="n">
        <f aca="false">IF(D514="구약",IF(C514=1,안내!$C$9,안내!$C$10)+AD514-1,IF(C514=1,안내!$C$9,안내!$C$10)+7*INT((AD514-1)/4)+CHOOSE(MOD(AD514-1,4)+1,0,2,4,5))</f>
        <v>46911</v>
      </c>
      <c r="V514" s="23" t="str">
        <f aca="false">CHOOSE(WEEKDAY(U514,2),"월","화","수","목","금","토","일")</f>
        <v>수</v>
      </c>
      <c r="W514" s="24" t="str">
        <f aca="false">IFERROR(IF(INDEX($C$2:$C$799,MATCH(D514&amp;"#"&amp;(E514+1),$AC$2:$AC$799,0))=C514,"다음 편: ","시즌1 완결 · 시즌2 첫 편: ")&amp;INDEX($L$2:$L$799,MATCH(D514&amp;"#"&amp;(E514+1),$AC$2:$AC$799,0)),"구약 트랙 완결")</f>
        <v>다음 편: 나중 영광이 더 크리라</v>
      </c>
      <c r="X514" s="23" t="s">
        <v>130</v>
      </c>
      <c r="Y514" s="23" t="s">
        <v>130</v>
      </c>
      <c r="Z514" s="23" t="s">
        <v>130</v>
      </c>
      <c r="AA514" s="23" t="s">
        <v>130</v>
      </c>
      <c r="AB514" s="24"/>
      <c r="AC514" s="23" t="str">
        <f aca="false">D514&amp;"#"&amp;E514</f>
        <v>구약#514</v>
      </c>
      <c r="AD514" s="23" t="n">
        <f aca="false">COUNTIFS($C$2:C514,C514,$D$2:D514,D514)</f>
        <v>332</v>
      </c>
    </row>
    <row r="515" customFormat="false" ht="26.85" hidden="false" customHeight="false" outlineLevel="0" collapsed="false">
      <c r="A515" s="21" t="n">
        <v>514</v>
      </c>
      <c r="B515" s="18" t="s">
        <v>4586</v>
      </c>
      <c r="C515" s="23" t="n">
        <v>2</v>
      </c>
      <c r="D515" s="23" t="s">
        <v>116</v>
      </c>
      <c r="E515" s="23" t="n">
        <f aca="false">IF(C515=1,COUNTIFS($C$2:C515,1,$D$2:D515,D515),COUNTIFS($C$2:$C$799,1,$D$2:$D$799,D515)+COUNTIFS($C$2:C515,2,$D$2:D515,D515))</f>
        <v>515</v>
      </c>
      <c r="F515" s="23" t="str">
        <f aca="false">D515&amp;" #"&amp;TEXT(E515,"000")</f>
        <v>구약 #515</v>
      </c>
      <c r="G515" s="18" t="s">
        <v>4536</v>
      </c>
      <c r="H515" s="18" t="s">
        <v>4577</v>
      </c>
      <c r="I515" s="21" t="s">
        <v>4578</v>
      </c>
      <c r="J515" s="22" t="s">
        <v>4587</v>
      </c>
      <c r="K515" s="23" t="s">
        <v>1085</v>
      </c>
      <c r="L515" s="24" t="s">
        <v>4588</v>
      </c>
      <c r="M515" s="24" t="s">
        <v>4589</v>
      </c>
      <c r="N515" s="23" t="s">
        <v>4590</v>
      </c>
      <c r="O515" s="24" t="s">
        <v>4591</v>
      </c>
      <c r="P515" s="24" t="s">
        <v>4592</v>
      </c>
      <c r="Q515" s="24" t="s">
        <v>4593</v>
      </c>
      <c r="R515" s="24"/>
      <c r="S515" s="24" t="s">
        <v>4560</v>
      </c>
      <c r="T515" s="24" t="str">
        <f aca="false">"["&amp;안내!$C$5&amp;" "&amp;F515&amp;"] "&amp;L515&amp;" | "&amp;J515</f>
        <v>[1분 성경 구약 #515] 나중 영광이 더 크리라 | 학 2:1-23</v>
      </c>
      <c r="U515" s="26" t="n">
        <f aca="false">IF(D515="구약",IF(C515=1,안내!$C$9,안내!$C$10)+AD515-1,IF(C515=1,안내!$C$9,안내!$C$10)+7*INT((AD515-1)/4)+CHOOSE(MOD(AD515-1,4)+1,0,2,4,5))</f>
        <v>46912</v>
      </c>
      <c r="V515" s="23" t="str">
        <f aca="false">CHOOSE(WEEKDAY(U515,2),"월","화","수","목","금","토","일")</f>
        <v>목</v>
      </c>
      <c r="W515" s="24" t="str">
        <f aca="false">IFERROR(IF(INDEX($C$2:$C$799,MATCH(D515&amp;"#"&amp;(E515+1),$AC$2:$AC$799,0))=C515,"다음 편: ","시즌1 완결 · 시즌2 첫 편: ")&amp;INDEX($L$2:$L$799,MATCH(D515&amp;"#"&amp;(E515+1),$AC$2:$AC$799,0)),"구약 트랙 완결")</f>
        <v>다음 편: 힘으로 되지 아니하며</v>
      </c>
      <c r="X515" s="23" t="s">
        <v>130</v>
      </c>
      <c r="Y515" s="23" t="s">
        <v>130</v>
      </c>
      <c r="Z515" s="23" t="s">
        <v>130</v>
      </c>
      <c r="AA515" s="23" t="s">
        <v>130</v>
      </c>
      <c r="AB515" s="24"/>
      <c r="AC515" s="23" t="str">
        <f aca="false">D515&amp;"#"&amp;E515</f>
        <v>구약#515</v>
      </c>
      <c r="AD515" s="23" t="n">
        <f aca="false">COUNTIFS($C$2:C515,C515,$D$2:D515,D515)</f>
        <v>333</v>
      </c>
    </row>
    <row r="516" customFormat="false" ht="25.35" hidden="false" customHeight="false" outlineLevel="0" collapsed="false">
      <c r="A516" s="21" t="n">
        <v>515</v>
      </c>
      <c r="B516" s="18" t="s">
        <v>4594</v>
      </c>
      <c r="C516" s="23" t="n">
        <v>2</v>
      </c>
      <c r="D516" s="23" t="s">
        <v>116</v>
      </c>
      <c r="E516" s="23" t="n">
        <f aca="false">IF(C516=1,COUNTIFS($C$2:C516,1,$D$2:D516,D516),COUNTIFS($C$2:$C$799,1,$D$2:$D$799,D516)+COUNTIFS($C$2:C516,2,$D$2:D516,D516))</f>
        <v>516</v>
      </c>
      <c r="F516" s="23" t="str">
        <f aca="false">D516&amp;" #"&amp;TEXT(E516,"000")</f>
        <v>구약 #516</v>
      </c>
      <c r="G516" s="18" t="s">
        <v>4536</v>
      </c>
      <c r="H516" s="18" t="s">
        <v>4577</v>
      </c>
      <c r="I516" s="21" t="s">
        <v>4595</v>
      </c>
      <c r="J516" s="22" t="s">
        <v>4596</v>
      </c>
      <c r="K516" s="23" t="s">
        <v>1085</v>
      </c>
      <c r="L516" s="24" t="s">
        <v>4597</v>
      </c>
      <c r="M516" s="24" t="s">
        <v>4598</v>
      </c>
      <c r="N516" s="23" t="s">
        <v>4599</v>
      </c>
      <c r="O516" s="24" t="s">
        <v>4600</v>
      </c>
      <c r="P516" s="24" t="s">
        <v>4601</v>
      </c>
      <c r="Q516" s="24" t="s">
        <v>4602</v>
      </c>
      <c r="R516" s="25" t="s">
        <v>4603</v>
      </c>
      <c r="S516" s="24" t="s">
        <v>4560</v>
      </c>
      <c r="T516" s="24" t="str">
        <f aca="false">"["&amp;안내!$C$5&amp;" "&amp;F516&amp;"] "&amp;L516&amp;" | "&amp;J516</f>
        <v>[1분 성경 구약 #516] 힘으로 되지 아니하며 | 슥 1:1-6:15</v>
      </c>
      <c r="U516" s="26" t="n">
        <f aca="false">IF(D516="구약",IF(C516=1,안내!$C$9,안내!$C$10)+AD516-1,IF(C516=1,안내!$C$9,안내!$C$10)+7*INT((AD516-1)/4)+CHOOSE(MOD(AD516-1,4)+1,0,2,4,5))</f>
        <v>46913</v>
      </c>
      <c r="V516" s="23" t="str">
        <f aca="false">CHOOSE(WEEKDAY(U516,2),"월","화","수","목","금","토","일")</f>
        <v>금</v>
      </c>
      <c r="W516" s="24" t="str">
        <f aca="false">IFERROR(IF(INDEX($C$2:$C$799,MATCH(D516&amp;"#"&amp;(E516+1),$AC$2:$AC$799,0))=C516,"다음 편: ","시즌1 완결 · 시즌2 첫 편: ")&amp;INDEX($L$2:$L$799,MATCH(D516&amp;"#"&amp;(E516+1),$AC$2:$AC$799,0)),"구약 트랙 완결")</f>
        <v>다음 편: 금식보다 중요한 것</v>
      </c>
      <c r="X516" s="23" t="s">
        <v>130</v>
      </c>
      <c r="Y516" s="23" t="s">
        <v>130</v>
      </c>
      <c r="Z516" s="23" t="s">
        <v>130</v>
      </c>
      <c r="AA516" s="23" t="s">
        <v>130</v>
      </c>
      <c r="AB516" s="24"/>
      <c r="AC516" s="23" t="str">
        <f aca="false">D516&amp;"#"&amp;E516</f>
        <v>구약#516</v>
      </c>
      <c r="AD516" s="23" t="n">
        <f aca="false">COUNTIFS($C$2:C516,C516,$D$2:D516,D516)</f>
        <v>334</v>
      </c>
    </row>
    <row r="517" customFormat="false" ht="26.85" hidden="false" customHeight="false" outlineLevel="0" collapsed="false">
      <c r="A517" s="21" t="n">
        <v>516</v>
      </c>
      <c r="B517" s="18" t="s">
        <v>4604</v>
      </c>
      <c r="C517" s="23" t="n">
        <v>2</v>
      </c>
      <c r="D517" s="23" t="s">
        <v>116</v>
      </c>
      <c r="E517" s="23" t="n">
        <f aca="false">IF(C517=1,COUNTIFS($C$2:C517,1,$D$2:D517,D517),COUNTIFS($C$2:$C$799,1,$D$2:$D$799,D517)+COUNTIFS($C$2:C517,2,$D$2:D517,D517))</f>
        <v>517</v>
      </c>
      <c r="F517" s="23" t="str">
        <f aca="false">D517&amp;" #"&amp;TEXT(E517,"000")</f>
        <v>구약 #517</v>
      </c>
      <c r="G517" s="18" t="s">
        <v>4536</v>
      </c>
      <c r="H517" s="18" t="s">
        <v>4577</v>
      </c>
      <c r="I517" s="21" t="s">
        <v>4595</v>
      </c>
      <c r="J517" s="22" t="s">
        <v>4605</v>
      </c>
      <c r="K517" s="23" t="s">
        <v>1085</v>
      </c>
      <c r="L517" s="24" t="s">
        <v>4606</v>
      </c>
      <c r="M517" s="24" t="s">
        <v>4607</v>
      </c>
      <c r="N517" s="23" t="s">
        <v>4608</v>
      </c>
      <c r="O517" s="24" t="s">
        <v>4609</v>
      </c>
      <c r="P517" s="24" t="s">
        <v>4610</v>
      </c>
      <c r="Q517" s="24" t="s">
        <v>4611</v>
      </c>
      <c r="R517" s="24"/>
      <c r="S517" s="24" t="s">
        <v>4560</v>
      </c>
      <c r="T517" s="24" t="str">
        <f aca="false">"["&amp;안내!$C$5&amp;" "&amp;F517&amp;"] "&amp;L517&amp;" | "&amp;J517</f>
        <v>[1분 성경 구약 #517] 금식보다 중요한 것 | 슥 7:1-8:23</v>
      </c>
      <c r="U517" s="26" t="n">
        <f aca="false">IF(D517="구약",IF(C517=1,안내!$C$9,안내!$C$10)+AD517-1,IF(C517=1,안내!$C$9,안내!$C$10)+7*INT((AD517-1)/4)+CHOOSE(MOD(AD517-1,4)+1,0,2,4,5))</f>
        <v>46914</v>
      </c>
      <c r="V517" s="23" t="str">
        <f aca="false">CHOOSE(WEEKDAY(U517,2),"월","화","수","목","금","토","일")</f>
        <v>토</v>
      </c>
      <c r="W517" s="24" t="str">
        <f aca="false">IFERROR(IF(INDEX($C$2:$C$799,MATCH(D517&amp;"#"&amp;(E517+1),$AC$2:$AC$799,0))=C517,"다음 편: ","시즌1 완결 · 시즌2 첫 편: ")&amp;INDEX($L$2:$L$799,MATCH(D517&amp;"#"&amp;(E517+1),$AC$2:$AC$799,0)),"구약 트랙 완결")</f>
        <v>다음 편: 나귀 타고 오시는 왕</v>
      </c>
      <c r="X517" s="23" t="s">
        <v>130</v>
      </c>
      <c r="Y517" s="23" t="s">
        <v>130</v>
      </c>
      <c r="Z517" s="23" t="s">
        <v>130</v>
      </c>
      <c r="AA517" s="23" t="s">
        <v>130</v>
      </c>
      <c r="AB517" s="24"/>
      <c r="AC517" s="23" t="str">
        <f aca="false">D517&amp;"#"&amp;E517</f>
        <v>구약#517</v>
      </c>
      <c r="AD517" s="23" t="n">
        <f aca="false">COUNTIFS($C$2:C517,C517,$D$2:D517,D517)</f>
        <v>335</v>
      </c>
    </row>
    <row r="518" customFormat="false" ht="26.85" hidden="false" customHeight="false" outlineLevel="0" collapsed="false">
      <c r="A518" s="21" t="n">
        <v>517</v>
      </c>
      <c r="B518" s="18" t="s">
        <v>4612</v>
      </c>
      <c r="C518" s="23" t="n">
        <v>2</v>
      </c>
      <c r="D518" s="23" t="s">
        <v>116</v>
      </c>
      <c r="E518" s="23" t="n">
        <f aca="false">IF(C518=1,COUNTIFS($C$2:C518,1,$D$2:D518,D518),COUNTIFS($C$2:$C$799,1,$D$2:$D$799,D518)+COUNTIFS($C$2:C518,2,$D$2:D518,D518))</f>
        <v>518</v>
      </c>
      <c r="F518" s="23" t="str">
        <f aca="false">D518&amp;" #"&amp;TEXT(E518,"000")</f>
        <v>구약 #518</v>
      </c>
      <c r="G518" s="18" t="s">
        <v>4536</v>
      </c>
      <c r="H518" s="18" t="s">
        <v>4577</v>
      </c>
      <c r="I518" s="21" t="s">
        <v>4595</v>
      </c>
      <c r="J518" s="22" t="s">
        <v>4613</v>
      </c>
      <c r="K518" s="23" t="s">
        <v>1085</v>
      </c>
      <c r="L518" s="24" t="s">
        <v>4614</v>
      </c>
      <c r="M518" s="24" t="s">
        <v>4615</v>
      </c>
      <c r="N518" s="23" t="s">
        <v>4616</v>
      </c>
      <c r="O518" s="24" t="s">
        <v>4617</v>
      </c>
      <c r="P518" s="24" t="s">
        <v>4595</v>
      </c>
      <c r="Q518" s="24" t="s">
        <v>4618</v>
      </c>
      <c r="R518" s="25" t="s">
        <v>4619</v>
      </c>
      <c r="S518" s="24" t="s">
        <v>4560</v>
      </c>
      <c r="T518" s="24" t="str">
        <f aca="false">"["&amp;안내!$C$5&amp;" "&amp;F518&amp;"] "&amp;L518&amp;" | "&amp;J518</f>
        <v>[1분 성경 구약 #518] 나귀 타고 오시는 왕 | 슥 9:1-11:17</v>
      </c>
      <c r="U518" s="26" t="n">
        <f aca="false">IF(D518="구약",IF(C518=1,안내!$C$9,안내!$C$10)+AD518-1,IF(C518=1,안내!$C$9,안내!$C$10)+7*INT((AD518-1)/4)+CHOOSE(MOD(AD518-1,4)+1,0,2,4,5))</f>
        <v>46915</v>
      </c>
      <c r="V518" s="23" t="str">
        <f aca="false">CHOOSE(WEEKDAY(U518,2),"월","화","수","목","금","토","일")</f>
        <v>일</v>
      </c>
      <c r="W518" s="24" t="str">
        <f aca="false">IFERROR(IF(INDEX($C$2:$C$799,MATCH(D518&amp;"#"&amp;(E518+1),$AC$2:$AC$799,0))=C518,"다음 편: ","시즌1 완결 · 시즌2 첫 편: ")&amp;INDEX($L$2:$L$799,MATCH(D518&amp;"#"&amp;(E518+1),$AC$2:$AC$799,0)),"구약 트랙 완결")</f>
        <v>다음 편: 그 찌른 바를 바라보고</v>
      </c>
      <c r="X518" s="23" t="s">
        <v>130</v>
      </c>
      <c r="Y518" s="23" t="s">
        <v>130</v>
      </c>
      <c r="Z518" s="23" t="s">
        <v>130</v>
      </c>
      <c r="AA518" s="23" t="s">
        <v>130</v>
      </c>
      <c r="AB518" s="24"/>
      <c r="AC518" s="23" t="str">
        <f aca="false">D518&amp;"#"&amp;E518</f>
        <v>구약#518</v>
      </c>
      <c r="AD518" s="23" t="n">
        <f aca="false">COUNTIFS($C$2:C518,C518,$D$2:D518,D518)</f>
        <v>336</v>
      </c>
    </row>
    <row r="519" customFormat="false" ht="26.85" hidden="false" customHeight="false" outlineLevel="0" collapsed="false">
      <c r="A519" s="21" t="n">
        <v>518</v>
      </c>
      <c r="B519" s="18" t="s">
        <v>4620</v>
      </c>
      <c r="C519" s="23" t="n">
        <v>2</v>
      </c>
      <c r="D519" s="23" t="s">
        <v>116</v>
      </c>
      <c r="E519" s="23" t="n">
        <f aca="false">IF(C519=1,COUNTIFS($C$2:C519,1,$D$2:D519,D519),COUNTIFS($C$2:$C$799,1,$D$2:$D$799,D519)+COUNTIFS($C$2:C519,2,$D$2:D519,D519))</f>
        <v>519</v>
      </c>
      <c r="F519" s="23" t="str">
        <f aca="false">D519&amp;" #"&amp;TEXT(E519,"000")</f>
        <v>구약 #519</v>
      </c>
      <c r="G519" s="18" t="s">
        <v>4536</v>
      </c>
      <c r="H519" s="18" t="s">
        <v>4577</v>
      </c>
      <c r="I519" s="21" t="s">
        <v>4595</v>
      </c>
      <c r="J519" s="22" t="s">
        <v>4621</v>
      </c>
      <c r="K519" s="23" t="s">
        <v>1085</v>
      </c>
      <c r="L519" s="24" t="s">
        <v>4622</v>
      </c>
      <c r="M519" s="24" t="s">
        <v>4623</v>
      </c>
      <c r="N519" s="23" t="s">
        <v>4624</v>
      </c>
      <c r="O519" s="24" t="s">
        <v>4625</v>
      </c>
      <c r="P519" s="24" t="s">
        <v>4595</v>
      </c>
      <c r="Q519" s="24" t="s">
        <v>4626</v>
      </c>
      <c r="R519" s="25" t="s">
        <v>4627</v>
      </c>
      <c r="S519" s="24" t="s">
        <v>4560</v>
      </c>
      <c r="T519" s="24" t="str">
        <f aca="false">"["&amp;안내!$C$5&amp;" "&amp;F519&amp;"] "&amp;L519&amp;" | "&amp;J519</f>
        <v>[1분 성경 구약 #519] 그 찌른 바를 바라보고 | 슥 12:1-14:21</v>
      </c>
      <c r="U519" s="26" t="n">
        <f aca="false">IF(D519="구약",IF(C519=1,안내!$C$9,안내!$C$10)+AD519-1,IF(C519=1,안내!$C$9,안내!$C$10)+7*INT((AD519-1)/4)+CHOOSE(MOD(AD519-1,4)+1,0,2,4,5))</f>
        <v>46916</v>
      </c>
      <c r="V519" s="23" t="str">
        <f aca="false">CHOOSE(WEEKDAY(U519,2),"월","화","수","목","금","토","일")</f>
        <v>월</v>
      </c>
      <c r="W519" s="24" t="str">
        <f aca="false">IFERROR(IF(INDEX($C$2:$C$799,MATCH(D519&amp;"#"&amp;(E519+1),$AC$2:$AC$799,0))=C519,"다음 편: ","시즌1 완결 · 시즌2 첫 편: ")&amp;INDEX($L$2:$L$799,MATCH(D519&amp;"#"&amp;(E519+1),$AC$2:$AC$799,0)),"구약 트랙 완결")</f>
        <v>다음 편: 내가 너희를 사랑하였노라</v>
      </c>
      <c r="X519" s="23" t="s">
        <v>130</v>
      </c>
      <c r="Y519" s="23" t="s">
        <v>130</v>
      </c>
      <c r="Z519" s="23" t="s">
        <v>130</v>
      </c>
      <c r="AA519" s="23" t="s">
        <v>130</v>
      </c>
      <c r="AB519" s="24"/>
      <c r="AC519" s="23" t="str">
        <f aca="false">D519&amp;"#"&amp;E519</f>
        <v>구약#519</v>
      </c>
      <c r="AD519" s="23" t="n">
        <f aca="false">COUNTIFS($C$2:C519,C519,$D$2:D519,D519)</f>
        <v>337</v>
      </c>
    </row>
    <row r="520" customFormat="false" ht="26.85" hidden="false" customHeight="false" outlineLevel="0" collapsed="false">
      <c r="A520" s="21" t="n">
        <v>519</v>
      </c>
      <c r="B520" s="18" t="s">
        <v>4628</v>
      </c>
      <c r="C520" s="23" t="n">
        <v>2</v>
      </c>
      <c r="D520" s="23" t="s">
        <v>116</v>
      </c>
      <c r="E520" s="23" t="n">
        <f aca="false">IF(C520=1,COUNTIFS($C$2:C520,1,$D$2:D520,D520),COUNTIFS($C$2:$C$799,1,$D$2:$D$799,D520)+COUNTIFS($C$2:C520,2,$D$2:D520,D520))</f>
        <v>520</v>
      </c>
      <c r="F520" s="23" t="str">
        <f aca="false">D520&amp;" #"&amp;TEXT(E520,"000")</f>
        <v>구약 #520</v>
      </c>
      <c r="G520" s="18" t="s">
        <v>4536</v>
      </c>
      <c r="H520" s="18" t="s">
        <v>4577</v>
      </c>
      <c r="I520" s="21" t="s">
        <v>4629</v>
      </c>
      <c r="J520" s="22" t="s">
        <v>4630</v>
      </c>
      <c r="K520" s="23" t="s">
        <v>1085</v>
      </c>
      <c r="L520" s="24" t="s">
        <v>4631</v>
      </c>
      <c r="M520" s="24" t="s">
        <v>4632</v>
      </c>
      <c r="N520" s="23" t="s">
        <v>4633</v>
      </c>
      <c r="O520" s="24" t="s">
        <v>4634</v>
      </c>
      <c r="P520" s="24" t="s">
        <v>4635</v>
      </c>
      <c r="Q520" s="24" t="s">
        <v>4636</v>
      </c>
      <c r="R520" s="24"/>
      <c r="S520" s="24" t="s">
        <v>4560</v>
      </c>
      <c r="T520" s="24" t="str">
        <f aca="false">"["&amp;안내!$C$5&amp;" "&amp;F520&amp;"] "&amp;L520&amp;" | "&amp;J520</f>
        <v>[1분 성경 구약 #520] 내가 너희를 사랑하였노라 | 말 1:1-2:17</v>
      </c>
      <c r="U520" s="26" t="n">
        <f aca="false">IF(D520="구약",IF(C520=1,안내!$C$9,안내!$C$10)+AD520-1,IF(C520=1,안내!$C$9,안내!$C$10)+7*INT((AD520-1)/4)+CHOOSE(MOD(AD520-1,4)+1,0,2,4,5))</f>
        <v>46917</v>
      </c>
      <c r="V520" s="23" t="str">
        <f aca="false">CHOOSE(WEEKDAY(U520,2),"월","화","수","목","금","토","일")</f>
        <v>화</v>
      </c>
      <c r="W520" s="24" t="str">
        <f aca="false">IFERROR(IF(INDEX($C$2:$C$799,MATCH(D520&amp;"#"&amp;(E520+1),$AC$2:$AC$799,0))=C520,"다음 편: ","시즌1 완결 · 시즌2 첫 편: ")&amp;INDEX($L$2:$L$799,MATCH(D520&amp;"#"&amp;(E520+1),$AC$2:$AC$799,0)),"구약 트랙 완결")</f>
        <v>다음 편: 기념책</v>
      </c>
      <c r="X520" s="23" t="s">
        <v>130</v>
      </c>
      <c r="Y520" s="23" t="s">
        <v>130</v>
      </c>
      <c r="Z520" s="23" t="s">
        <v>130</v>
      </c>
      <c r="AA520" s="23" t="s">
        <v>130</v>
      </c>
      <c r="AB520" s="24"/>
      <c r="AC520" s="23" t="str">
        <f aca="false">D520&amp;"#"&amp;E520</f>
        <v>구약#520</v>
      </c>
      <c r="AD520" s="23" t="n">
        <f aca="false">COUNTIFS($C$2:C520,C520,$D$2:D520,D520)</f>
        <v>338</v>
      </c>
    </row>
    <row r="521" customFormat="false" ht="26.85" hidden="false" customHeight="false" outlineLevel="0" collapsed="false">
      <c r="A521" s="21" t="n">
        <v>520</v>
      </c>
      <c r="B521" s="18" t="s">
        <v>4637</v>
      </c>
      <c r="C521" s="23" t="n">
        <v>2</v>
      </c>
      <c r="D521" s="23" t="s">
        <v>116</v>
      </c>
      <c r="E521" s="23" t="n">
        <f aca="false">IF(C521=1,COUNTIFS($C$2:C521,1,$D$2:D521,D521),COUNTIFS($C$2:$C$799,1,$D$2:$D$799,D521)+COUNTIFS($C$2:C521,2,$D$2:D521,D521))</f>
        <v>521</v>
      </c>
      <c r="F521" s="23" t="str">
        <f aca="false">D521&amp;" #"&amp;TEXT(E521,"000")</f>
        <v>구약 #521</v>
      </c>
      <c r="G521" s="18" t="s">
        <v>4536</v>
      </c>
      <c r="H521" s="18" t="s">
        <v>4577</v>
      </c>
      <c r="I521" s="21" t="s">
        <v>4629</v>
      </c>
      <c r="J521" s="22" t="s">
        <v>4638</v>
      </c>
      <c r="K521" s="23" t="s">
        <v>1085</v>
      </c>
      <c r="L521" s="24" t="s">
        <v>4639</v>
      </c>
      <c r="M521" s="24" t="s">
        <v>4640</v>
      </c>
      <c r="N521" s="23" t="s">
        <v>4641</v>
      </c>
      <c r="O521" s="24" t="s">
        <v>4642</v>
      </c>
      <c r="P521" s="24" t="s">
        <v>4643</v>
      </c>
      <c r="Q521" s="24" t="s">
        <v>4644</v>
      </c>
      <c r="R521" s="27" t="s">
        <v>4645</v>
      </c>
      <c r="S521" s="24" t="s">
        <v>4560</v>
      </c>
      <c r="T521" s="24" t="str">
        <f aca="false">"["&amp;안내!$C$5&amp;" "&amp;F521&amp;"] "&amp;L521&amp;" | "&amp;J521</f>
        <v>[1분 성경 구약 #521] 기념책 | 말 3:1-18</v>
      </c>
      <c r="U521" s="26" t="n">
        <f aca="false">IF(D521="구약",IF(C521=1,안내!$C$9,안내!$C$10)+AD521-1,IF(C521=1,안내!$C$9,안내!$C$10)+7*INT((AD521-1)/4)+CHOOSE(MOD(AD521-1,4)+1,0,2,4,5))</f>
        <v>46918</v>
      </c>
      <c r="V521" s="23" t="str">
        <f aca="false">CHOOSE(WEEKDAY(U521,2),"월","화","수","목","금","토","일")</f>
        <v>수</v>
      </c>
      <c r="W521" s="24" t="str">
        <f aca="false">IFERROR(IF(INDEX($C$2:$C$799,MATCH(D521&amp;"#"&amp;(E521+1),$AC$2:$AC$799,0))=C521,"다음 편: ","시즌1 완결 · 시즌2 첫 편: ")&amp;INDEX($L$2:$L$799,MATCH(D521&amp;"#"&amp;(E521+1),$AC$2:$AC$799,0)),"구약 트랙 완결")</f>
        <v>구약 트랙 완결</v>
      </c>
      <c r="X521" s="23" t="s">
        <v>130</v>
      </c>
      <c r="Y521" s="23" t="s">
        <v>130</v>
      </c>
      <c r="Z521" s="23" t="s">
        <v>130</v>
      </c>
      <c r="AA521" s="23" t="s">
        <v>130</v>
      </c>
      <c r="AB521" s="24"/>
      <c r="AC521" s="23" t="str">
        <f aca="false">D521&amp;"#"&amp;E521</f>
        <v>구약#521</v>
      </c>
      <c r="AD521" s="23" t="n">
        <f aca="false">COUNTIFS($C$2:C521,C521,$D$2:D521,D521)</f>
        <v>339</v>
      </c>
    </row>
    <row r="522" customFormat="false" ht="52.2" hidden="false" customHeight="false" outlineLevel="0" collapsed="false">
      <c r="A522" s="21" t="n">
        <v>521</v>
      </c>
      <c r="B522" s="18" t="s">
        <v>4646</v>
      </c>
      <c r="C522" s="20" t="n">
        <v>1</v>
      </c>
      <c r="D522" s="20" t="s">
        <v>116</v>
      </c>
      <c r="E522" s="20" t="n">
        <f aca="false">IF(C522=1,COUNTIFS($C$2:C522,1,$D$2:D522,D522),COUNTIFS($C$2:$C$799,1,$D$2:$D$799,D522)+COUNTIFS($C$2:C522,2,$D$2:D522,D522))</f>
        <v>182</v>
      </c>
      <c r="F522" s="20" t="str">
        <f aca="false">D522&amp;" #"&amp;TEXT(E522,"000")</f>
        <v>구약 #182</v>
      </c>
      <c r="G522" s="18" t="s">
        <v>4536</v>
      </c>
      <c r="H522" s="18" t="s">
        <v>4458</v>
      </c>
      <c r="I522" s="21" t="s">
        <v>4629</v>
      </c>
      <c r="J522" s="22" t="s">
        <v>4647</v>
      </c>
      <c r="K522" s="23" t="s">
        <v>1085</v>
      </c>
      <c r="L522" s="24" t="s">
        <v>4648</v>
      </c>
      <c r="M522" s="24" t="s">
        <v>4649</v>
      </c>
      <c r="N522" s="23" t="s">
        <v>4650</v>
      </c>
      <c r="O522" s="24" t="s">
        <v>4651</v>
      </c>
      <c r="P522" s="24" t="s">
        <v>4629</v>
      </c>
      <c r="Q522" s="24" t="s">
        <v>4652</v>
      </c>
      <c r="R522" s="25" t="s">
        <v>4653</v>
      </c>
      <c r="S522" s="28" t="s">
        <v>4654</v>
      </c>
      <c r="T522" s="24" t="str">
        <f aca="false">"["&amp;안내!$C$5&amp;" "&amp;F522&amp;"] "&amp;L522&amp;" | "&amp;J522</f>
        <v>[1분 성경 구약 #182] 의로운 해가 떠오르리라 | 말 4:1-6</v>
      </c>
      <c r="U522" s="26" t="n">
        <f aca="false">IF(D522="구약",IF(C522=1,안내!$C$9,안내!$C$10)+AD522-1,IF(C522=1,안내!$C$9,안내!$C$10)+7*INT((AD522-1)/4)+CHOOSE(MOD(AD522-1,4)+1,0,2,4,5))</f>
        <v>46572</v>
      </c>
      <c r="V522" s="23" t="str">
        <f aca="false">CHOOSE(WEEKDAY(U522,2),"월","화","수","목","금","토","일")</f>
        <v>일</v>
      </c>
      <c r="W522" s="24" t="str">
        <f aca="false">IFERROR(IF(INDEX($C$2:$C$799,MATCH(D522&amp;"#"&amp;(E522+1),$AC$2:$AC$799,0))=C522,"다음 편: ","시즌1 완결 · 시즌2 첫 편: ")&amp;INDEX($L$2:$L$799,MATCH(D522&amp;"#"&amp;(E522+1),$AC$2:$AC$799,0)),"구약 트랙 완결")</f>
        <v>시즌1 완결 · 시즌2 첫 편: 네 아우가 어디 있느냐</v>
      </c>
      <c r="X522" s="23" t="s">
        <v>130</v>
      </c>
      <c r="Y522" s="23" t="s">
        <v>130</v>
      </c>
      <c r="Z522" s="23" t="s">
        <v>130</v>
      </c>
      <c r="AA522" s="23" t="s">
        <v>130</v>
      </c>
      <c r="AB522" s="24"/>
      <c r="AC522" s="23" t="str">
        <f aca="false">D522&amp;"#"&amp;E522</f>
        <v>구약#182</v>
      </c>
      <c r="AD522" s="23" t="n">
        <f aca="false">COUNTIFS($C$2:C522,C522,$D$2:D522,D522)</f>
        <v>182</v>
      </c>
    </row>
    <row r="523" customFormat="false" ht="26.85" hidden="false" customHeight="false" outlineLevel="0" collapsed="false">
      <c r="A523" s="23" t="n">
        <v>522</v>
      </c>
      <c r="B523" s="30" t="s">
        <v>4655</v>
      </c>
      <c r="C523" s="23" t="n">
        <v>2</v>
      </c>
      <c r="D523" s="23" t="s">
        <v>4656</v>
      </c>
      <c r="E523" s="23" t="n">
        <f aca="false">IF(C523=1,COUNTIFS($C$2:C523,1,$D$2:D523,D523),COUNTIFS($C$2:$C$799,1,$D$2:$D$799,D523)+COUNTIFS($C$2:C523,2,$D$2:D523,D523))</f>
        <v>105</v>
      </c>
      <c r="F523" s="23" t="str">
        <f aca="false">D523&amp;" #"&amp;TEXT(E523,"000")</f>
        <v>신약 #105</v>
      </c>
      <c r="G523" s="30" t="s">
        <v>4657</v>
      </c>
      <c r="H523" s="30" t="s">
        <v>4658</v>
      </c>
      <c r="I523" s="23" t="s">
        <v>4659</v>
      </c>
      <c r="J523" s="24" t="s">
        <v>4660</v>
      </c>
      <c r="K523" s="23" t="s">
        <v>121</v>
      </c>
      <c r="L523" s="24" t="s">
        <v>4661</v>
      </c>
      <c r="M523" s="24" t="s">
        <v>4662</v>
      </c>
      <c r="N523" s="23" t="s">
        <v>4663</v>
      </c>
      <c r="O523" s="24" t="s">
        <v>4664</v>
      </c>
      <c r="P523" s="24" t="s">
        <v>4665</v>
      </c>
      <c r="Q523" s="24" t="s">
        <v>243</v>
      </c>
      <c r="R523" s="24"/>
      <c r="S523" s="24" t="s">
        <v>4666</v>
      </c>
      <c r="T523" s="24" t="str">
        <f aca="false">"["&amp;안내!$C$5&amp;" "&amp;F523&amp;"] "&amp;L523&amp;" | "&amp;J523</f>
        <v>[1분 성경 신약 #105] 예수님의 족보 | 마 1:1-17</v>
      </c>
      <c r="U523" s="26" t="n">
        <f aca="false">IF(D523="구약",IF(C523=1,안내!$C$9,안내!$C$10)+AD523-1,IF(C523=1,안내!$C$9,안내!$C$10)+7*INT((AD523-1)/4)+CHOOSE(MOD(AD523-1,4)+1,0,2,4,5))</f>
        <v>46580</v>
      </c>
      <c r="V523" s="23" t="str">
        <f aca="false">CHOOSE(WEEKDAY(U523,2),"월","화","수","목","금","토","일")</f>
        <v>월</v>
      </c>
      <c r="W523" s="24" t="str">
        <f aca="false">IFERROR(IF(INDEX($C$2:$C$799,MATCH(D523&amp;"#"&amp;(E523+1),$AC$2:$AC$799,0))=C523,"다음 편: ","시즌1 완결 · 시즌2 첫 편: ")&amp;INDEX($L$2:$L$799,MATCH(D523&amp;"#"&amp;(E523+1),$AC$2:$AC$799,0)),"신약 트랙 완결")</f>
        <v>다음 편: 애굽으로 피하다</v>
      </c>
      <c r="X523" s="23" t="s">
        <v>130</v>
      </c>
      <c r="Y523" s="23" t="s">
        <v>130</v>
      </c>
      <c r="Z523" s="23" t="s">
        <v>130</v>
      </c>
      <c r="AA523" s="23" t="s">
        <v>130</v>
      </c>
      <c r="AB523" s="24"/>
      <c r="AC523" s="23" t="str">
        <f aca="false">D523&amp;"#"&amp;E523</f>
        <v>신약#105</v>
      </c>
      <c r="AD523" s="23" t="n">
        <f aca="false">COUNTIFS($C$2:C523,C523,$D$2:D523,D523)</f>
        <v>1</v>
      </c>
    </row>
    <row r="524" customFormat="false" ht="26.85" hidden="false" customHeight="false" outlineLevel="0" collapsed="false">
      <c r="A524" s="23" t="n">
        <v>523</v>
      </c>
      <c r="B524" s="30" t="s">
        <v>4667</v>
      </c>
      <c r="C524" s="20" t="n">
        <v>1</v>
      </c>
      <c r="D524" s="20" t="s">
        <v>4656</v>
      </c>
      <c r="E524" s="20" t="n">
        <f aca="false">IF(C524=1,COUNTIFS($C$2:C524,1,$D$2:D524,D524),COUNTIFS($C$2:$C$799,1,$D$2:$D$799,D524)+COUNTIFS($C$2:C524,2,$D$2:D524,D524))</f>
        <v>1</v>
      </c>
      <c r="F524" s="20" t="str">
        <f aca="false">D524&amp;" #"&amp;TEXT(E524,"000")</f>
        <v>신약 #001</v>
      </c>
      <c r="G524" s="30" t="s">
        <v>4657</v>
      </c>
      <c r="H524" s="30" t="s">
        <v>4668</v>
      </c>
      <c r="I524" s="23" t="s">
        <v>4659</v>
      </c>
      <c r="J524" s="24" t="s">
        <v>4669</v>
      </c>
      <c r="K524" s="23" t="s">
        <v>121</v>
      </c>
      <c r="L524" s="24" t="s">
        <v>4670</v>
      </c>
      <c r="M524" s="24" t="s">
        <v>4671</v>
      </c>
      <c r="N524" s="23" t="s">
        <v>4672</v>
      </c>
      <c r="O524" s="24" t="s">
        <v>4673</v>
      </c>
      <c r="P524" s="24" t="s">
        <v>4674</v>
      </c>
      <c r="Q524" s="24" t="s">
        <v>4675</v>
      </c>
      <c r="R524" s="25" t="s">
        <v>4676</v>
      </c>
      <c r="S524" s="28" t="s">
        <v>4677</v>
      </c>
      <c r="T524" s="24" t="str">
        <f aca="false">"["&amp;안내!$C$5&amp;" "&amp;F524&amp;"] "&amp;L524&amp;" | "&amp;J524</f>
        <v>[1분 성경 신약 #001] 요셉의 꿈 | 마 1:18-25</v>
      </c>
      <c r="U524" s="26" t="n">
        <f aca="false">IF(D524="구약",IF(C524=1,안내!$C$9,안내!$C$10)+AD524-1,IF(C524=1,안내!$C$9,안내!$C$10)+7*INT((AD524-1)/4)+CHOOSE(MOD(AD524-1,4)+1,0,2,4,5))</f>
        <v>46391</v>
      </c>
      <c r="V524" s="23" t="str">
        <f aca="false">CHOOSE(WEEKDAY(U524,2),"월","화","수","목","금","토","일")</f>
        <v>월</v>
      </c>
      <c r="W524" s="24" t="str">
        <f aca="false">IFERROR(IF(INDEX($C$2:$C$799,MATCH(D524&amp;"#"&amp;(E524+1),$AC$2:$AC$799,0))=C524,"다음 편: ","시즌1 완결 · 시즌2 첫 편: ")&amp;INDEX($L$2:$L$799,MATCH(D524&amp;"#"&amp;(E524+1),$AC$2:$AC$799,0)),"신약 트랙 완결")</f>
        <v>다음 편: 별을 따라온 사람들</v>
      </c>
      <c r="X524" s="23" t="s">
        <v>130</v>
      </c>
      <c r="Y524" s="23" t="s">
        <v>130</v>
      </c>
      <c r="Z524" s="23" t="s">
        <v>130</v>
      </c>
      <c r="AA524" s="23" t="s">
        <v>130</v>
      </c>
      <c r="AB524" s="24"/>
      <c r="AC524" s="23" t="str">
        <f aca="false">D524&amp;"#"&amp;E524</f>
        <v>신약#1</v>
      </c>
      <c r="AD524" s="23" t="n">
        <f aca="false">COUNTIFS($C$2:C524,C524,$D$2:D524,D524)</f>
        <v>1</v>
      </c>
    </row>
    <row r="525" customFormat="false" ht="26.85" hidden="false" customHeight="false" outlineLevel="0" collapsed="false">
      <c r="A525" s="23" t="n">
        <v>524</v>
      </c>
      <c r="B525" s="30" t="s">
        <v>4678</v>
      </c>
      <c r="C525" s="20" t="n">
        <v>1</v>
      </c>
      <c r="D525" s="20" t="s">
        <v>4656</v>
      </c>
      <c r="E525" s="20" t="n">
        <f aca="false">IF(C525=1,COUNTIFS($C$2:C525,1,$D$2:D525,D525),COUNTIFS($C$2:$C$799,1,$D$2:$D$799,D525)+COUNTIFS($C$2:C525,2,$D$2:D525,D525))</f>
        <v>2</v>
      </c>
      <c r="F525" s="20" t="str">
        <f aca="false">D525&amp;" #"&amp;TEXT(E525,"000")</f>
        <v>신약 #002</v>
      </c>
      <c r="G525" s="30" t="s">
        <v>4657</v>
      </c>
      <c r="H525" s="30" t="s">
        <v>4668</v>
      </c>
      <c r="I525" s="23" t="s">
        <v>4659</v>
      </c>
      <c r="J525" s="24" t="s">
        <v>4679</v>
      </c>
      <c r="K525" s="23" t="s">
        <v>121</v>
      </c>
      <c r="L525" s="24" t="s">
        <v>4680</v>
      </c>
      <c r="M525" s="24" t="s">
        <v>4681</v>
      </c>
      <c r="N525" s="23" t="s">
        <v>4682</v>
      </c>
      <c r="O525" s="24" t="s">
        <v>4683</v>
      </c>
      <c r="P525" s="24" t="s">
        <v>4684</v>
      </c>
      <c r="Q525" s="24" t="s">
        <v>4685</v>
      </c>
      <c r="R525" s="25" t="s">
        <v>4686</v>
      </c>
      <c r="S525" s="24" t="s">
        <v>129</v>
      </c>
      <c r="T525" s="24" t="str">
        <f aca="false">"["&amp;안내!$C$5&amp;" "&amp;F525&amp;"] "&amp;L525&amp;" | "&amp;J525</f>
        <v>[1분 성경 신약 #002] 별을 따라온 사람들 | 마 2:1-12</v>
      </c>
      <c r="U525" s="26" t="n">
        <f aca="false">IF(D525="구약",IF(C525=1,안내!$C$9,안내!$C$10)+AD525-1,IF(C525=1,안내!$C$9,안내!$C$10)+7*INT((AD525-1)/4)+CHOOSE(MOD(AD525-1,4)+1,0,2,4,5))</f>
        <v>46393</v>
      </c>
      <c r="V525" s="23" t="str">
        <f aca="false">CHOOSE(WEEKDAY(U525,2),"월","화","수","목","금","토","일")</f>
        <v>수</v>
      </c>
      <c r="W525" s="24" t="str">
        <f aca="false">IFERROR(IF(INDEX($C$2:$C$799,MATCH(D525&amp;"#"&amp;(E525+1),$AC$2:$AC$799,0))=C525,"다음 편: ","시즌1 완결 · 시즌2 첫 편: ")&amp;INDEX($L$2:$L$799,MATCH(D525&amp;"#"&amp;(E525+1),$AC$2:$AC$799,0)),"신약 트랙 완결")</f>
        <v>다음 편: 광야의 외침</v>
      </c>
      <c r="X525" s="23" t="s">
        <v>130</v>
      </c>
      <c r="Y525" s="23" t="s">
        <v>130</v>
      </c>
      <c r="Z525" s="23" t="s">
        <v>130</v>
      </c>
      <c r="AA525" s="23" t="s">
        <v>130</v>
      </c>
      <c r="AB525" s="24"/>
      <c r="AC525" s="23" t="str">
        <f aca="false">D525&amp;"#"&amp;E525</f>
        <v>신약#2</v>
      </c>
      <c r="AD525" s="23" t="n">
        <f aca="false">COUNTIFS($C$2:C525,C525,$D$2:D525,D525)</f>
        <v>2</v>
      </c>
    </row>
    <row r="526" customFormat="false" ht="26.85" hidden="false" customHeight="false" outlineLevel="0" collapsed="false">
      <c r="A526" s="23" t="n">
        <v>525</v>
      </c>
      <c r="B526" s="30" t="s">
        <v>4687</v>
      </c>
      <c r="C526" s="23" t="n">
        <v>2</v>
      </c>
      <c r="D526" s="23" t="s">
        <v>4656</v>
      </c>
      <c r="E526" s="23" t="n">
        <f aca="false">IF(C526=1,COUNTIFS($C$2:C526,1,$D$2:D526,D526),COUNTIFS($C$2:$C$799,1,$D$2:$D$799,D526)+COUNTIFS($C$2:C526,2,$D$2:D526,D526))</f>
        <v>106</v>
      </c>
      <c r="F526" s="23" t="str">
        <f aca="false">D526&amp;" #"&amp;TEXT(E526,"000")</f>
        <v>신약 #106</v>
      </c>
      <c r="G526" s="30" t="s">
        <v>4657</v>
      </c>
      <c r="H526" s="30" t="s">
        <v>4658</v>
      </c>
      <c r="I526" s="23" t="s">
        <v>4659</v>
      </c>
      <c r="J526" s="24" t="s">
        <v>4688</v>
      </c>
      <c r="K526" s="23" t="s">
        <v>121</v>
      </c>
      <c r="L526" s="24" t="s">
        <v>4689</v>
      </c>
      <c r="M526" s="24" t="s">
        <v>4690</v>
      </c>
      <c r="N526" s="23" t="s">
        <v>4691</v>
      </c>
      <c r="O526" s="24" t="s">
        <v>4692</v>
      </c>
      <c r="P526" s="24" t="s">
        <v>4693</v>
      </c>
      <c r="Q526" s="24" t="s">
        <v>4694</v>
      </c>
      <c r="R526" s="25" t="s">
        <v>4695</v>
      </c>
      <c r="S526" s="24" t="s">
        <v>4696</v>
      </c>
      <c r="T526" s="24" t="str">
        <f aca="false">"["&amp;안내!$C$5&amp;" "&amp;F526&amp;"] "&amp;L526&amp;" | "&amp;J526</f>
        <v>[1분 성경 신약 #106] 애굽으로 피하다 | 마 2:13-23</v>
      </c>
      <c r="U526" s="26" t="n">
        <f aca="false">IF(D526="구약",IF(C526=1,안내!$C$9,안내!$C$10)+AD526-1,IF(C526=1,안내!$C$9,안내!$C$10)+7*INT((AD526-1)/4)+CHOOSE(MOD(AD526-1,4)+1,0,2,4,5))</f>
        <v>46582</v>
      </c>
      <c r="V526" s="23" t="str">
        <f aca="false">CHOOSE(WEEKDAY(U526,2),"월","화","수","목","금","토","일")</f>
        <v>수</v>
      </c>
      <c r="W526" s="24" t="str">
        <f aca="false">IFERROR(IF(INDEX($C$2:$C$799,MATCH(D526&amp;"#"&amp;(E526+1),$AC$2:$AC$799,0))=C526,"다음 편: ","시즌1 완결 · 시즌2 첫 편: ")&amp;INDEX($L$2:$L$799,MATCH(D526&amp;"#"&amp;(E526+1),$AC$2:$AC$799,0)),"신약 트랙 완결")</f>
        <v>다음 편: 율법을 완전하게</v>
      </c>
      <c r="X526" s="23" t="s">
        <v>130</v>
      </c>
      <c r="Y526" s="23" t="s">
        <v>130</v>
      </c>
      <c r="Z526" s="23" t="s">
        <v>130</v>
      </c>
      <c r="AA526" s="23" t="s">
        <v>130</v>
      </c>
      <c r="AB526" s="24"/>
      <c r="AC526" s="23" t="str">
        <f aca="false">D526&amp;"#"&amp;E526</f>
        <v>신약#106</v>
      </c>
      <c r="AD526" s="23" t="n">
        <f aca="false">COUNTIFS($C$2:C526,C526,$D$2:D526,D526)</f>
        <v>2</v>
      </c>
    </row>
    <row r="527" customFormat="false" ht="26.85" hidden="false" customHeight="false" outlineLevel="0" collapsed="false">
      <c r="A527" s="23" t="n">
        <v>526</v>
      </c>
      <c r="B527" s="30" t="s">
        <v>4697</v>
      </c>
      <c r="C527" s="20" t="n">
        <v>1</v>
      </c>
      <c r="D527" s="20" t="s">
        <v>4656</v>
      </c>
      <c r="E527" s="20" t="n">
        <f aca="false">IF(C527=1,COUNTIFS($C$2:C527,1,$D$2:D527,D527),COUNTIFS($C$2:$C$799,1,$D$2:$D$799,D527)+COUNTIFS($C$2:C527,2,$D$2:D527,D527))</f>
        <v>3</v>
      </c>
      <c r="F527" s="20" t="str">
        <f aca="false">D527&amp;" #"&amp;TEXT(E527,"000")</f>
        <v>신약 #003</v>
      </c>
      <c r="G527" s="30" t="s">
        <v>4657</v>
      </c>
      <c r="H527" s="30" t="s">
        <v>4668</v>
      </c>
      <c r="I527" s="23" t="s">
        <v>4659</v>
      </c>
      <c r="J527" s="24" t="s">
        <v>4698</v>
      </c>
      <c r="K527" s="23" t="s">
        <v>121</v>
      </c>
      <c r="L527" s="24" t="s">
        <v>4699</v>
      </c>
      <c r="M527" s="24" t="s">
        <v>4700</v>
      </c>
      <c r="N527" s="23" t="s">
        <v>4701</v>
      </c>
      <c r="O527" s="24" t="s">
        <v>4702</v>
      </c>
      <c r="P527" s="24" t="s">
        <v>4703</v>
      </c>
      <c r="Q527" s="24" t="s">
        <v>4704</v>
      </c>
      <c r="R527" s="24"/>
      <c r="S527" s="28" t="s">
        <v>4705</v>
      </c>
      <c r="T527" s="24" t="str">
        <f aca="false">"["&amp;안내!$C$5&amp;" "&amp;F527&amp;"] "&amp;L527&amp;" | "&amp;J527</f>
        <v>[1분 성경 신약 #003] 광야의 외침 | 마 3:1-12</v>
      </c>
      <c r="U527" s="26" t="n">
        <f aca="false">IF(D527="구약",IF(C527=1,안내!$C$9,안내!$C$10)+AD527-1,IF(C527=1,안내!$C$9,안내!$C$10)+7*INT((AD527-1)/4)+CHOOSE(MOD(AD527-1,4)+1,0,2,4,5))</f>
        <v>46395</v>
      </c>
      <c r="V527" s="23" t="str">
        <f aca="false">CHOOSE(WEEKDAY(U527,2),"월","화","수","목","금","토","일")</f>
        <v>금</v>
      </c>
      <c r="W527" s="24" t="str">
        <f aca="false">IFERROR(IF(INDEX($C$2:$C$799,MATCH(D527&amp;"#"&amp;(E527+1),$AC$2:$AC$799,0))=C527,"다음 편: ","시즌1 완결 · 시즌2 첫 편: ")&amp;INDEX($L$2:$L$799,MATCH(D527&amp;"#"&amp;(E527+1),$AC$2:$AC$799,0)),"신약 트랙 완결")</f>
        <v>다음 편: 하늘이 열리다</v>
      </c>
      <c r="X527" s="23" t="s">
        <v>130</v>
      </c>
      <c r="Y527" s="23" t="s">
        <v>130</v>
      </c>
      <c r="Z527" s="23" t="s">
        <v>130</v>
      </c>
      <c r="AA527" s="23" t="s">
        <v>130</v>
      </c>
      <c r="AB527" s="24"/>
      <c r="AC527" s="23" t="str">
        <f aca="false">D527&amp;"#"&amp;E527</f>
        <v>신약#3</v>
      </c>
      <c r="AD527" s="23" t="n">
        <f aca="false">COUNTIFS($C$2:C527,C527,$D$2:D527,D527)</f>
        <v>3</v>
      </c>
    </row>
    <row r="528" customFormat="false" ht="26.85" hidden="false" customHeight="false" outlineLevel="0" collapsed="false">
      <c r="A528" s="23" t="n">
        <v>527</v>
      </c>
      <c r="B528" s="30" t="s">
        <v>4706</v>
      </c>
      <c r="C528" s="20" t="n">
        <v>1</v>
      </c>
      <c r="D528" s="20" t="s">
        <v>4656</v>
      </c>
      <c r="E528" s="20" t="n">
        <f aca="false">IF(C528=1,COUNTIFS($C$2:C528,1,$D$2:D528,D528),COUNTIFS($C$2:$C$799,1,$D$2:$D$799,D528)+COUNTIFS($C$2:C528,2,$D$2:D528,D528))</f>
        <v>4</v>
      </c>
      <c r="F528" s="20" t="str">
        <f aca="false">D528&amp;" #"&amp;TEXT(E528,"000")</f>
        <v>신약 #004</v>
      </c>
      <c r="G528" s="30" t="s">
        <v>4657</v>
      </c>
      <c r="H528" s="30" t="s">
        <v>4668</v>
      </c>
      <c r="I528" s="23" t="s">
        <v>4659</v>
      </c>
      <c r="J528" s="24" t="s">
        <v>4707</v>
      </c>
      <c r="K528" s="23" t="s">
        <v>121</v>
      </c>
      <c r="L528" s="24" t="s">
        <v>4708</v>
      </c>
      <c r="M528" s="24" t="s">
        <v>4709</v>
      </c>
      <c r="N528" s="23" t="s">
        <v>4710</v>
      </c>
      <c r="O528" s="24" t="s">
        <v>4711</v>
      </c>
      <c r="P528" s="24" t="s">
        <v>4712</v>
      </c>
      <c r="Q528" s="24" t="s">
        <v>4713</v>
      </c>
      <c r="R528" s="25" t="s">
        <v>4714</v>
      </c>
      <c r="S528" s="24" t="s">
        <v>129</v>
      </c>
      <c r="T528" s="24" t="str">
        <f aca="false">"["&amp;안내!$C$5&amp;" "&amp;F528&amp;"] "&amp;L528&amp;" | "&amp;J528</f>
        <v>[1분 성경 신약 #004] 하늘이 열리다 | 마 3:13-17</v>
      </c>
      <c r="U528" s="26" t="n">
        <f aca="false">IF(D528="구약",IF(C528=1,안내!$C$9,안내!$C$10)+AD528-1,IF(C528=1,안내!$C$9,안내!$C$10)+7*INT((AD528-1)/4)+CHOOSE(MOD(AD528-1,4)+1,0,2,4,5))</f>
        <v>46396</v>
      </c>
      <c r="V528" s="23" t="str">
        <f aca="false">CHOOSE(WEEKDAY(U528,2),"월","화","수","목","금","토","일")</f>
        <v>토</v>
      </c>
      <c r="W528" s="24" t="str">
        <f aca="false">IFERROR(IF(INDEX($C$2:$C$799,MATCH(D528&amp;"#"&amp;(E528+1),$AC$2:$AC$799,0))=C528,"다음 편: ","시즌1 완결 · 시즌2 첫 편: ")&amp;INDEX($L$2:$L$799,MATCH(D528&amp;"#"&amp;(E528+1),$AC$2:$AC$799,0)),"신약 트랙 완결")</f>
        <v>다음 편: 광야의 시험</v>
      </c>
      <c r="X528" s="23" t="s">
        <v>130</v>
      </c>
      <c r="Y528" s="23" t="s">
        <v>130</v>
      </c>
      <c r="Z528" s="23" t="s">
        <v>130</v>
      </c>
      <c r="AA528" s="23" t="s">
        <v>130</v>
      </c>
      <c r="AB528" s="24"/>
      <c r="AC528" s="23" t="str">
        <f aca="false">D528&amp;"#"&amp;E528</f>
        <v>신약#4</v>
      </c>
      <c r="AD528" s="23" t="n">
        <f aca="false">COUNTIFS($C$2:C528,C528,$D$2:D528,D528)</f>
        <v>4</v>
      </c>
    </row>
    <row r="529" customFormat="false" ht="26.85" hidden="false" customHeight="false" outlineLevel="0" collapsed="false">
      <c r="A529" s="23" t="n">
        <v>528</v>
      </c>
      <c r="B529" s="30" t="s">
        <v>4715</v>
      </c>
      <c r="C529" s="20" t="n">
        <v>1</v>
      </c>
      <c r="D529" s="20" t="s">
        <v>4656</v>
      </c>
      <c r="E529" s="20" t="n">
        <f aca="false">IF(C529=1,COUNTIFS($C$2:C529,1,$D$2:D529,D529),COUNTIFS($C$2:$C$799,1,$D$2:$D$799,D529)+COUNTIFS($C$2:C529,2,$D$2:D529,D529))</f>
        <v>5</v>
      </c>
      <c r="F529" s="20" t="str">
        <f aca="false">D529&amp;" #"&amp;TEXT(E529,"000")</f>
        <v>신약 #005</v>
      </c>
      <c r="G529" s="30" t="s">
        <v>4657</v>
      </c>
      <c r="H529" s="30" t="s">
        <v>4668</v>
      </c>
      <c r="I529" s="23" t="s">
        <v>4659</v>
      </c>
      <c r="J529" s="24" t="s">
        <v>4716</v>
      </c>
      <c r="K529" s="23" t="s">
        <v>121</v>
      </c>
      <c r="L529" s="24" t="s">
        <v>4717</v>
      </c>
      <c r="M529" s="29" t="s">
        <v>4718</v>
      </c>
      <c r="N529" s="23" t="s">
        <v>4719</v>
      </c>
      <c r="O529" s="24" t="s">
        <v>4720</v>
      </c>
      <c r="P529" s="24" t="s">
        <v>4721</v>
      </c>
      <c r="Q529" s="24" t="s">
        <v>4722</v>
      </c>
      <c r="R529" s="25" t="s">
        <v>4723</v>
      </c>
      <c r="S529" s="24" t="s">
        <v>129</v>
      </c>
      <c r="T529" s="24" t="str">
        <f aca="false">"["&amp;안내!$C$5&amp;" "&amp;F529&amp;"] "&amp;L529&amp;" | "&amp;J529</f>
        <v>[1분 성경 신약 #005] 광야의 시험 | 마 4:1-11</v>
      </c>
      <c r="U529" s="26" t="n">
        <f aca="false">IF(D529="구약",IF(C529=1,안내!$C$9,안내!$C$10)+AD529-1,IF(C529=1,안내!$C$9,안내!$C$10)+7*INT((AD529-1)/4)+CHOOSE(MOD(AD529-1,4)+1,0,2,4,5))</f>
        <v>46398</v>
      </c>
      <c r="V529" s="23" t="str">
        <f aca="false">CHOOSE(WEEKDAY(U529,2),"월","화","수","목","금","토","일")</f>
        <v>월</v>
      </c>
      <c r="W529" s="24" t="str">
        <f aca="false">IFERROR(IF(INDEX($C$2:$C$799,MATCH(D529&amp;"#"&amp;(E529+1),$AC$2:$AC$799,0))=C529,"다음 편: ","시즌1 완결 · 시즌2 첫 편: ")&amp;INDEX($L$2:$L$799,MATCH(D529&amp;"#"&amp;(E529+1),$AC$2:$AC$799,0)),"신약 트랙 완결")</f>
        <v>다음 편: 사람을 낚는 어부</v>
      </c>
      <c r="X529" s="23" t="s">
        <v>130</v>
      </c>
      <c r="Y529" s="23" t="s">
        <v>130</v>
      </c>
      <c r="Z529" s="23" t="s">
        <v>130</v>
      </c>
      <c r="AA529" s="23" t="s">
        <v>130</v>
      </c>
      <c r="AB529" s="24"/>
      <c r="AC529" s="23" t="str">
        <f aca="false">D529&amp;"#"&amp;E529</f>
        <v>신약#5</v>
      </c>
      <c r="AD529" s="23" t="n">
        <f aca="false">COUNTIFS($C$2:C529,C529,$D$2:D529,D529)</f>
        <v>5</v>
      </c>
    </row>
    <row r="530" customFormat="false" ht="26.85" hidden="false" customHeight="false" outlineLevel="0" collapsed="false">
      <c r="A530" s="23" t="n">
        <v>529</v>
      </c>
      <c r="B530" s="30" t="s">
        <v>4724</v>
      </c>
      <c r="C530" s="20" t="n">
        <v>1</v>
      </c>
      <c r="D530" s="20" t="s">
        <v>4656</v>
      </c>
      <c r="E530" s="20" t="n">
        <f aca="false">IF(C530=1,COUNTIFS($C$2:C530,1,$D$2:D530,D530),COUNTIFS($C$2:$C$799,1,$D$2:$D$799,D530)+COUNTIFS($C$2:C530,2,$D$2:D530,D530))</f>
        <v>6</v>
      </c>
      <c r="F530" s="20" t="str">
        <f aca="false">D530&amp;" #"&amp;TEXT(E530,"000")</f>
        <v>신약 #006</v>
      </c>
      <c r="G530" s="30" t="s">
        <v>4657</v>
      </c>
      <c r="H530" s="30" t="s">
        <v>4668</v>
      </c>
      <c r="I530" s="23" t="s">
        <v>4659</v>
      </c>
      <c r="J530" s="24" t="s">
        <v>4725</v>
      </c>
      <c r="K530" s="23" t="s">
        <v>121</v>
      </c>
      <c r="L530" s="24" t="s">
        <v>4726</v>
      </c>
      <c r="M530" s="24" t="s">
        <v>4727</v>
      </c>
      <c r="N530" s="23" t="s">
        <v>4728</v>
      </c>
      <c r="O530" s="24" t="s">
        <v>4729</v>
      </c>
      <c r="P530" s="24" t="s">
        <v>4730</v>
      </c>
      <c r="Q530" s="24" t="s">
        <v>4731</v>
      </c>
      <c r="R530" s="24"/>
      <c r="S530" s="24" t="s">
        <v>129</v>
      </c>
      <c r="T530" s="24" t="str">
        <f aca="false">"["&amp;안내!$C$5&amp;" "&amp;F530&amp;"] "&amp;L530&amp;" | "&amp;J530</f>
        <v>[1분 성경 신약 #006] 사람을 낚는 어부 | 마 4:12-25</v>
      </c>
      <c r="U530" s="26" t="n">
        <f aca="false">IF(D530="구약",IF(C530=1,안내!$C$9,안내!$C$10)+AD530-1,IF(C530=1,안내!$C$9,안내!$C$10)+7*INT((AD530-1)/4)+CHOOSE(MOD(AD530-1,4)+1,0,2,4,5))</f>
        <v>46400</v>
      </c>
      <c r="V530" s="23" t="str">
        <f aca="false">CHOOSE(WEEKDAY(U530,2),"월","화","수","목","금","토","일")</f>
        <v>수</v>
      </c>
      <c r="W530" s="24" t="str">
        <f aca="false">IFERROR(IF(INDEX($C$2:$C$799,MATCH(D530&amp;"#"&amp;(E530+1),$AC$2:$AC$799,0))=C530,"다음 편: ","시즌1 완결 · 시즌2 첫 편: ")&amp;INDEX($L$2:$L$799,MATCH(D530&amp;"#"&amp;(E530+1),$AC$2:$AC$799,0)),"신약 트랙 완결")</f>
        <v>다음 편: 팔복</v>
      </c>
      <c r="X530" s="23" t="s">
        <v>130</v>
      </c>
      <c r="Y530" s="23" t="s">
        <v>130</v>
      </c>
      <c r="Z530" s="23" t="s">
        <v>130</v>
      </c>
      <c r="AA530" s="23" t="s">
        <v>130</v>
      </c>
      <c r="AB530" s="24"/>
      <c r="AC530" s="23" t="str">
        <f aca="false">D530&amp;"#"&amp;E530</f>
        <v>신약#6</v>
      </c>
      <c r="AD530" s="23" t="n">
        <f aca="false">COUNTIFS($C$2:C530,C530,$D$2:D530,D530)</f>
        <v>6</v>
      </c>
    </row>
    <row r="531" customFormat="false" ht="15" hidden="false" customHeight="false" outlineLevel="0" collapsed="false">
      <c r="A531" s="23" t="n">
        <v>530</v>
      </c>
      <c r="B531" s="30" t="s">
        <v>4732</v>
      </c>
      <c r="C531" s="20" t="n">
        <v>1</v>
      </c>
      <c r="D531" s="20" t="s">
        <v>4656</v>
      </c>
      <c r="E531" s="20" t="n">
        <f aca="false">IF(C531=1,COUNTIFS($C$2:C531,1,$D$2:D531,D531),COUNTIFS($C$2:$C$799,1,$D$2:$D$799,D531)+COUNTIFS($C$2:C531,2,$D$2:D531,D531))</f>
        <v>7</v>
      </c>
      <c r="F531" s="20" t="str">
        <f aca="false">D531&amp;" #"&amp;TEXT(E531,"000")</f>
        <v>신약 #007</v>
      </c>
      <c r="G531" s="30" t="s">
        <v>4733</v>
      </c>
      <c r="H531" s="30" t="s">
        <v>4668</v>
      </c>
      <c r="I531" s="23" t="s">
        <v>4659</v>
      </c>
      <c r="J531" s="24" t="s">
        <v>4734</v>
      </c>
      <c r="K531" s="23" t="s">
        <v>1085</v>
      </c>
      <c r="L531" s="24" t="s">
        <v>4735</v>
      </c>
      <c r="M531" s="24" t="s">
        <v>4736</v>
      </c>
      <c r="N531" s="23" t="s">
        <v>4737</v>
      </c>
      <c r="O531" s="24" t="s">
        <v>4738</v>
      </c>
      <c r="P531" s="24" t="s">
        <v>4739</v>
      </c>
      <c r="Q531" s="24" t="s">
        <v>4740</v>
      </c>
      <c r="R531" s="24"/>
      <c r="S531" s="24" t="s">
        <v>129</v>
      </c>
      <c r="T531" s="24" t="str">
        <f aca="false">"["&amp;안내!$C$5&amp;" "&amp;F531&amp;"] "&amp;L531&amp;" | "&amp;J531</f>
        <v>[1분 성경 신약 #007] 팔복 | 마 5:1-12</v>
      </c>
      <c r="U531" s="26" t="n">
        <f aca="false">IF(D531="구약",IF(C531=1,안내!$C$9,안내!$C$10)+AD531-1,IF(C531=1,안내!$C$9,안내!$C$10)+7*INT((AD531-1)/4)+CHOOSE(MOD(AD531-1,4)+1,0,2,4,5))</f>
        <v>46402</v>
      </c>
      <c r="V531" s="23" t="str">
        <f aca="false">CHOOSE(WEEKDAY(U531,2),"월","화","수","목","금","토","일")</f>
        <v>금</v>
      </c>
      <c r="W531" s="24" t="str">
        <f aca="false">IFERROR(IF(INDEX($C$2:$C$799,MATCH(D531&amp;"#"&amp;(E531+1),$AC$2:$AC$799,0))=C531,"다음 편: ","시즌1 완결 · 시즌2 첫 편: ")&amp;INDEX($L$2:$L$799,MATCH(D531&amp;"#"&amp;(E531+1),$AC$2:$AC$799,0)),"신약 트랙 완결")</f>
        <v>다음 편: 소금과 빛</v>
      </c>
      <c r="X531" s="23" t="s">
        <v>130</v>
      </c>
      <c r="Y531" s="23" t="s">
        <v>130</v>
      </c>
      <c r="Z531" s="23" t="s">
        <v>130</v>
      </c>
      <c r="AA531" s="23" t="s">
        <v>130</v>
      </c>
      <c r="AB531" s="24"/>
      <c r="AC531" s="23" t="str">
        <f aca="false">D531&amp;"#"&amp;E531</f>
        <v>신약#7</v>
      </c>
      <c r="AD531" s="23" t="n">
        <f aca="false">COUNTIFS($C$2:C531,C531,$D$2:D531,D531)</f>
        <v>7</v>
      </c>
    </row>
    <row r="532" customFormat="false" ht="15" hidden="false" customHeight="false" outlineLevel="0" collapsed="false">
      <c r="A532" s="23" t="n">
        <v>531</v>
      </c>
      <c r="B532" s="30" t="s">
        <v>4741</v>
      </c>
      <c r="C532" s="20" t="n">
        <v>1</v>
      </c>
      <c r="D532" s="20" t="s">
        <v>4656</v>
      </c>
      <c r="E532" s="20" t="n">
        <f aca="false">IF(C532=1,COUNTIFS($C$2:C532,1,$D$2:D532,D532),COUNTIFS($C$2:$C$799,1,$D$2:$D$799,D532)+COUNTIFS($C$2:C532,2,$D$2:D532,D532))</f>
        <v>8</v>
      </c>
      <c r="F532" s="20" t="str">
        <f aca="false">D532&amp;" #"&amp;TEXT(E532,"000")</f>
        <v>신약 #008</v>
      </c>
      <c r="G532" s="30" t="s">
        <v>4733</v>
      </c>
      <c r="H532" s="30" t="s">
        <v>4668</v>
      </c>
      <c r="I532" s="23" t="s">
        <v>4659</v>
      </c>
      <c r="J532" s="24" t="s">
        <v>4742</v>
      </c>
      <c r="K532" s="23" t="s">
        <v>1085</v>
      </c>
      <c r="L532" s="24" t="s">
        <v>4743</v>
      </c>
      <c r="M532" s="24" t="s">
        <v>4744</v>
      </c>
      <c r="N532" s="23" t="s">
        <v>4745</v>
      </c>
      <c r="O532" s="24" t="s">
        <v>4746</v>
      </c>
      <c r="P532" s="24" t="s">
        <v>4747</v>
      </c>
      <c r="Q532" s="24" t="s">
        <v>4748</v>
      </c>
      <c r="R532" s="24"/>
      <c r="S532" s="24" t="s">
        <v>129</v>
      </c>
      <c r="T532" s="24" t="str">
        <f aca="false">"["&amp;안내!$C$5&amp;" "&amp;F532&amp;"] "&amp;L532&amp;" | "&amp;J532</f>
        <v>[1분 성경 신약 #008] 소금과 빛 | 마 5:13-16</v>
      </c>
      <c r="U532" s="26" t="n">
        <f aca="false">IF(D532="구약",IF(C532=1,안내!$C$9,안내!$C$10)+AD532-1,IF(C532=1,안내!$C$9,안내!$C$10)+7*INT((AD532-1)/4)+CHOOSE(MOD(AD532-1,4)+1,0,2,4,5))</f>
        <v>46403</v>
      </c>
      <c r="V532" s="23" t="str">
        <f aca="false">CHOOSE(WEEKDAY(U532,2),"월","화","수","목","금","토","일")</f>
        <v>토</v>
      </c>
      <c r="W532" s="24" t="str">
        <f aca="false">IFERROR(IF(INDEX($C$2:$C$799,MATCH(D532&amp;"#"&amp;(E532+1),$AC$2:$AC$799,0))=C532,"다음 편: ","시즌1 완결 · 시즌2 첫 편: ")&amp;INDEX($L$2:$L$799,MATCH(D532&amp;"#"&amp;(E532+1),$AC$2:$AC$799,0)),"신약 트랙 완결")</f>
        <v>다음 편: 주기도문</v>
      </c>
      <c r="X532" s="23" t="s">
        <v>130</v>
      </c>
      <c r="Y532" s="23" t="s">
        <v>130</v>
      </c>
      <c r="Z532" s="23" t="s">
        <v>130</v>
      </c>
      <c r="AA532" s="23" t="s">
        <v>130</v>
      </c>
      <c r="AB532" s="24"/>
      <c r="AC532" s="23" t="str">
        <f aca="false">D532&amp;"#"&amp;E532</f>
        <v>신약#8</v>
      </c>
      <c r="AD532" s="23" t="n">
        <f aca="false">COUNTIFS($C$2:C532,C532,$D$2:D532,D532)</f>
        <v>8</v>
      </c>
    </row>
    <row r="533" customFormat="false" ht="25.35" hidden="false" customHeight="false" outlineLevel="0" collapsed="false">
      <c r="A533" s="23" t="n">
        <v>532</v>
      </c>
      <c r="B533" s="30" t="s">
        <v>4749</v>
      </c>
      <c r="C533" s="23" t="n">
        <v>2</v>
      </c>
      <c r="D533" s="23" t="s">
        <v>4656</v>
      </c>
      <c r="E533" s="23" t="n">
        <f aca="false">IF(C533=1,COUNTIFS($C$2:C533,1,$D$2:D533,D533),COUNTIFS($C$2:$C$799,1,$D$2:$D$799,D533)+COUNTIFS($C$2:C533,2,$D$2:D533,D533))</f>
        <v>107</v>
      </c>
      <c r="F533" s="23" t="str">
        <f aca="false">D533&amp;" #"&amp;TEXT(E533,"000")</f>
        <v>신약 #107</v>
      </c>
      <c r="G533" s="30" t="s">
        <v>4733</v>
      </c>
      <c r="H533" s="30" t="s">
        <v>4658</v>
      </c>
      <c r="I533" s="23" t="s">
        <v>4659</v>
      </c>
      <c r="J533" s="24" t="s">
        <v>4750</v>
      </c>
      <c r="K533" s="23" t="s">
        <v>1085</v>
      </c>
      <c r="L533" s="24" t="s">
        <v>4751</v>
      </c>
      <c r="M533" s="24" t="s">
        <v>4752</v>
      </c>
      <c r="N533" s="23" t="s">
        <v>4753</v>
      </c>
      <c r="O533" s="24" t="s">
        <v>4754</v>
      </c>
      <c r="P533" s="24" t="s">
        <v>4747</v>
      </c>
      <c r="Q533" s="24" t="s">
        <v>4740</v>
      </c>
      <c r="R533" s="24"/>
      <c r="S533" s="24" t="s">
        <v>4755</v>
      </c>
      <c r="T533" s="24" t="str">
        <f aca="false">"["&amp;안내!$C$5&amp;" "&amp;F533&amp;"] "&amp;L533&amp;" | "&amp;J533</f>
        <v>[1분 성경 신약 #107] 율법을 완전하게 | 마 5:17-26</v>
      </c>
      <c r="U533" s="26" t="n">
        <f aca="false">IF(D533="구약",IF(C533=1,안내!$C$9,안내!$C$10)+AD533-1,IF(C533=1,안내!$C$9,안내!$C$10)+7*INT((AD533-1)/4)+CHOOSE(MOD(AD533-1,4)+1,0,2,4,5))</f>
        <v>46584</v>
      </c>
      <c r="V533" s="23" t="str">
        <f aca="false">CHOOSE(WEEKDAY(U533,2),"월","화","수","목","금","토","일")</f>
        <v>금</v>
      </c>
      <c r="W533" s="24" t="str">
        <f aca="false">IFERROR(IF(INDEX($C$2:$C$799,MATCH(D533&amp;"#"&amp;(E533+1),$AC$2:$AC$799,0))=C533,"다음 편: ","시즌1 완결 · 시즌2 첫 편: ")&amp;INDEX($L$2:$L$799,MATCH(D533&amp;"#"&amp;(E533+1),$AC$2:$AC$799,0)),"신약 트랙 완결")</f>
        <v>다음 편: 원수를 사랑하라</v>
      </c>
      <c r="X533" s="23" t="s">
        <v>130</v>
      </c>
      <c r="Y533" s="23" t="s">
        <v>130</v>
      </c>
      <c r="Z533" s="23" t="s">
        <v>130</v>
      </c>
      <c r="AA533" s="23" t="s">
        <v>130</v>
      </c>
      <c r="AB533" s="24"/>
      <c r="AC533" s="23" t="str">
        <f aca="false">D533&amp;"#"&amp;E533</f>
        <v>신약#107</v>
      </c>
      <c r="AD533" s="23" t="n">
        <f aca="false">COUNTIFS($C$2:C533,C533,$D$2:D533,D533)</f>
        <v>3</v>
      </c>
    </row>
    <row r="534" customFormat="false" ht="26.85" hidden="false" customHeight="false" outlineLevel="0" collapsed="false">
      <c r="A534" s="23" t="n">
        <v>533</v>
      </c>
      <c r="B534" s="30" t="s">
        <v>4756</v>
      </c>
      <c r="C534" s="23" t="n">
        <v>2</v>
      </c>
      <c r="D534" s="23" t="s">
        <v>4656</v>
      </c>
      <c r="E534" s="23" t="n">
        <f aca="false">IF(C534=1,COUNTIFS($C$2:C534,1,$D$2:D534,D534),COUNTIFS($C$2:$C$799,1,$D$2:$D$799,D534)+COUNTIFS($C$2:C534,2,$D$2:D534,D534))</f>
        <v>108</v>
      </c>
      <c r="F534" s="23" t="str">
        <f aca="false">D534&amp;" #"&amp;TEXT(E534,"000")</f>
        <v>신약 #108</v>
      </c>
      <c r="G534" s="30" t="s">
        <v>4733</v>
      </c>
      <c r="H534" s="30" t="s">
        <v>4658</v>
      </c>
      <c r="I534" s="23" t="s">
        <v>4659</v>
      </c>
      <c r="J534" s="24" t="s">
        <v>4757</v>
      </c>
      <c r="K534" s="23" t="s">
        <v>1085</v>
      </c>
      <c r="L534" s="24" t="s">
        <v>4758</v>
      </c>
      <c r="M534" s="24" t="s">
        <v>4759</v>
      </c>
      <c r="N534" s="23" t="s">
        <v>4760</v>
      </c>
      <c r="O534" s="24" t="s">
        <v>4761</v>
      </c>
      <c r="P534" s="24" t="s">
        <v>4747</v>
      </c>
      <c r="Q534" s="24" t="s">
        <v>4740</v>
      </c>
      <c r="R534" s="24"/>
      <c r="S534" s="24" t="s">
        <v>4755</v>
      </c>
      <c r="T534" s="24" t="str">
        <f aca="false">"["&amp;안내!$C$5&amp;" "&amp;F534&amp;"] "&amp;L534&amp;" | "&amp;J534</f>
        <v>[1분 성경 신약 #108] 원수를 사랑하라 | 마 5:27-48</v>
      </c>
      <c r="U534" s="26" t="n">
        <f aca="false">IF(D534="구약",IF(C534=1,안내!$C$9,안내!$C$10)+AD534-1,IF(C534=1,안내!$C$9,안내!$C$10)+7*INT((AD534-1)/4)+CHOOSE(MOD(AD534-1,4)+1,0,2,4,5))</f>
        <v>46585</v>
      </c>
      <c r="V534" s="23" t="str">
        <f aca="false">CHOOSE(WEEKDAY(U534,2),"월","화","수","목","금","토","일")</f>
        <v>토</v>
      </c>
      <c r="W534" s="24" t="str">
        <f aca="false">IFERROR(IF(INDEX($C$2:$C$799,MATCH(D534&amp;"#"&amp;(E534+1),$AC$2:$AC$799,0))=C534,"다음 편: ","시즌1 완결 · 시즌2 첫 편: ")&amp;INDEX($L$2:$L$799,MATCH(D534&amp;"#"&amp;(E534+1),$AC$2:$AC$799,0)),"신약 트랙 완결")</f>
        <v>다음 편: 구하라 찾으라 두드리라</v>
      </c>
      <c r="X534" s="23" t="s">
        <v>130</v>
      </c>
      <c r="Y534" s="23" t="s">
        <v>130</v>
      </c>
      <c r="Z534" s="23" t="s">
        <v>130</v>
      </c>
      <c r="AA534" s="23" t="s">
        <v>130</v>
      </c>
      <c r="AB534" s="24"/>
      <c r="AC534" s="23" t="str">
        <f aca="false">D534&amp;"#"&amp;E534</f>
        <v>신약#108</v>
      </c>
      <c r="AD534" s="23" t="n">
        <f aca="false">COUNTIFS($C$2:C534,C534,$D$2:D534,D534)</f>
        <v>4</v>
      </c>
    </row>
    <row r="535" customFormat="false" ht="39.55" hidden="false" customHeight="false" outlineLevel="0" collapsed="false">
      <c r="A535" s="23" t="n">
        <v>534</v>
      </c>
      <c r="B535" s="30" t="s">
        <v>4762</v>
      </c>
      <c r="C535" s="20" t="n">
        <v>1</v>
      </c>
      <c r="D535" s="20" t="s">
        <v>4656</v>
      </c>
      <c r="E535" s="20" t="n">
        <f aca="false">IF(C535=1,COUNTIFS($C$2:C535,1,$D$2:D535,D535),COUNTIFS($C$2:$C$799,1,$D$2:$D$799,D535)+COUNTIFS($C$2:C535,2,$D$2:D535,D535))</f>
        <v>9</v>
      </c>
      <c r="F535" s="20" t="str">
        <f aca="false">D535&amp;" #"&amp;TEXT(E535,"000")</f>
        <v>신약 #009</v>
      </c>
      <c r="G535" s="30" t="s">
        <v>4733</v>
      </c>
      <c r="H535" s="30" t="s">
        <v>4668</v>
      </c>
      <c r="I535" s="23" t="s">
        <v>4659</v>
      </c>
      <c r="J535" s="24" t="s">
        <v>4763</v>
      </c>
      <c r="K535" s="23" t="s">
        <v>1085</v>
      </c>
      <c r="L535" s="24" t="s">
        <v>4764</v>
      </c>
      <c r="M535" s="24" t="s">
        <v>4765</v>
      </c>
      <c r="N535" s="23" t="s">
        <v>4766</v>
      </c>
      <c r="O535" s="24" t="s">
        <v>4767</v>
      </c>
      <c r="P535" s="24" t="s">
        <v>4768</v>
      </c>
      <c r="Q535" s="24" t="s">
        <v>4769</v>
      </c>
      <c r="R535" s="24"/>
      <c r="S535" s="28" t="s">
        <v>4770</v>
      </c>
      <c r="T535" s="24" t="str">
        <f aca="false">"["&amp;안내!$C$5&amp;" "&amp;F535&amp;"] "&amp;L535&amp;" | "&amp;J535</f>
        <v>[1분 성경 신약 #009] 주기도문 | 마 6:1-15</v>
      </c>
      <c r="U535" s="26" t="n">
        <f aca="false">IF(D535="구약",IF(C535=1,안내!$C$9,안내!$C$10)+AD535-1,IF(C535=1,안내!$C$9,안내!$C$10)+7*INT((AD535-1)/4)+CHOOSE(MOD(AD535-1,4)+1,0,2,4,5))</f>
        <v>46405</v>
      </c>
      <c r="V535" s="23" t="str">
        <f aca="false">CHOOSE(WEEKDAY(U535,2),"월","화","수","목","금","토","일")</f>
        <v>월</v>
      </c>
      <c r="W535" s="24" t="str">
        <f aca="false">IFERROR(IF(INDEX($C$2:$C$799,MATCH(D535&amp;"#"&amp;(E535+1),$AC$2:$AC$799,0))=C535,"다음 편: ","시즌1 완결 · 시즌2 첫 편: ")&amp;INDEX($L$2:$L$799,MATCH(D535&amp;"#"&amp;(E535+1),$AC$2:$AC$799,0)),"신약 트랙 완결")</f>
        <v>다음 편: 먼저 그의 나라를</v>
      </c>
      <c r="X535" s="23" t="s">
        <v>130</v>
      </c>
      <c r="Y535" s="23" t="s">
        <v>130</v>
      </c>
      <c r="Z535" s="23" t="s">
        <v>130</v>
      </c>
      <c r="AA535" s="23" t="s">
        <v>130</v>
      </c>
      <c r="AB535" s="24"/>
      <c r="AC535" s="23" t="str">
        <f aca="false">D535&amp;"#"&amp;E535</f>
        <v>신약#9</v>
      </c>
      <c r="AD535" s="23" t="n">
        <f aca="false">COUNTIFS($C$2:C535,C535,$D$2:D535,D535)</f>
        <v>9</v>
      </c>
    </row>
    <row r="536" customFormat="false" ht="25.35" hidden="false" customHeight="false" outlineLevel="0" collapsed="false">
      <c r="A536" s="23" t="n">
        <v>535</v>
      </c>
      <c r="B536" s="30" t="s">
        <v>4771</v>
      </c>
      <c r="C536" s="20" t="n">
        <v>1</v>
      </c>
      <c r="D536" s="20" t="s">
        <v>4656</v>
      </c>
      <c r="E536" s="20" t="n">
        <f aca="false">IF(C536=1,COUNTIFS($C$2:C536,1,$D$2:D536,D536),COUNTIFS($C$2:$C$799,1,$D$2:$D$799,D536)+COUNTIFS($C$2:C536,2,$D$2:D536,D536))</f>
        <v>10</v>
      </c>
      <c r="F536" s="20" t="str">
        <f aca="false">D536&amp;" #"&amp;TEXT(E536,"000")</f>
        <v>신약 #010</v>
      </c>
      <c r="G536" s="30" t="s">
        <v>4733</v>
      </c>
      <c r="H536" s="30" t="s">
        <v>4668</v>
      </c>
      <c r="I536" s="23" t="s">
        <v>4659</v>
      </c>
      <c r="J536" s="24" t="s">
        <v>4772</v>
      </c>
      <c r="K536" s="23" t="s">
        <v>1085</v>
      </c>
      <c r="L536" s="24" t="s">
        <v>4773</v>
      </c>
      <c r="M536" s="24" t="s">
        <v>4774</v>
      </c>
      <c r="N536" s="23" t="s">
        <v>4775</v>
      </c>
      <c r="O536" s="24" t="s">
        <v>4776</v>
      </c>
      <c r="P536" s="24" t="s">
        <v>4747</v>
      </c>
      <c r="Q536" s="24" t="s">
        <v>4777</v>
      </c>
      <c r="R536" s="24"/>
      <c r="S536" s="24" t="s">
        <v>129</v>
      </c>
      <c r="T536" s="24" t="str">
        <f aca="false">"["&amp;안내!$C$5&amp;" "&amp;F536&amp;"] "&amp;L536&amp;" | "&amp;J536</f>
        <v>[1분 성경 신약 #010] 먼저 그의 나라를 | 마 6:16-34</v>
      </c>
      <c r="U536" s="26" t="n">
        <f aca="false">IF(D536="구약",IF(C536=1,안내!$C$9,안내!$C$10)+AD536-1,IF(C536=1,안내!$C$9,안내!$C$10)+7*INT((AD536-1)/4)+CHOOSE(MOD(AD536-1,4)+1,0,2,4,5))</f>
        <v>46407</v>
      </c>
      <c r="V536" s="23" t="str">
        <f aca="false">CHOOSE(WEEKDAY(U536,2),"월","화","수","목","금","토","일")</f>
        <v>수</v>
      </c>
      <c r="W536" s="24" t="str">
        <f aca="false">IFERROR(IF(INDEX($C$2:$C$799,MATCH(D536&amp;"#"&amp;(E536+1),$AC$2:$AC$799,0))=C536,"다음 편: ","시즌1 완결 · 시즌2 첫 편: ")&amp;INDEX($L$2:$L$799,MATCH(D536&amp;"#"&amp;(E536+1),$AC$2:$AC$799,0)),"신약 트랙 완결")</f>
        <v>다음 편: 반석 위의 집</v>
      </c>
      <c r="X536" s="23" t="s">
        <v>130</v>
      </c>
      <c r="Y536" s="23" t="s">
        <v>130</v>
      </c>
      <c r="Z536" s="23" t="s">
        <v>130</v>
      </c>
      <c r="AA536" s="23" t="s">
        <v>130</v>
      </c>
      <c r="AB536" s="24"/>
      <c r="AC536" s="23" t="str">
        <f aca="false">D536&amp;"#"&amp;E536</f>
        <v>신약#10</v>
      </c>
      <c r="AD536" s="23" t="n">
        <f aca="false">COUNTIFS($C$2:C536,C536,$D$2:D536,D536)</f>
        <v>10</v>
      </c>
    </row>
    <row r="537" customFormat="false" ht="25.35" hidden="false" customHeight="false" outlineLevel="0" collapsed="false">
      <c r="A537" s="23" t="n">
        <v>536</v>
      </c>
      <c r="B537" s="30" t="s">
        <v>4778</v>
      </c>
      <c r="C537" s="23" t="n">
        <v>2</v>
      </c>
      <c r="D537" s="23" t="s">
        <v>4656</v>
      </c>
      <c r="E537" s="23" t="n">
        <f aca="false">IF(C537=1,COUNTIFS($C$2:C537,1,$D$2:D537,D537),COUNTIFS($C$2:$C$799,1,$D$2:$D$799,D537)+COUNTIFS($C$2:C537,2,$D$2:D537,D537))</f>
        <v>109</v>
      </c>
      <c r="F537" s="23" t="str">
        <f aca="false">D537&amp;" #"&amp;TEXT(E537,"000")</f>
        <v>신약 #109</v>
      </c>
      <c r="G537" s="30" t="s">
        <v>4733</v>
      </c>
      <c r="H537" s="30" t="s">
        <v>4658</v>
      </c>
      <c r="I537" s="23" t="s">
        <v>4659</v>
      </c>
      <c r="J537" s="24" t="s">
        <v>4779</v>
      </c>
      <c r="K537" s="23" t="s">
        <v>1085</v>
      </c>
      <c r="L537" s="24" t="s">
        <v>4780</v>
      </c>
      <c r="M537" s="24" t="s">
        <v>4781</v>
      </c>
      <c r="N537" s="23" t="s">
        <v>4782</v>
      </c>
      <c r="O537" s="24" t="s">
        <v>4783</v>
      </c>
      <c r="P537" s="24" t="s">
        <v>4747</v>
      </c>
      <c r="Q537" s="24" t="s">
        <v>4784</v>
      </c>
      <c r="R537" s="24"/>
      <c r="S537" s="24" t="s">
        <v>4785</v>
      </c>
      <c r="T537" s="24" t="str">
        <f aca="false">"["&amp;안내!$C$5&amp;" "&amp;F537&amp;"] "&amp;L537&amp;" | "&amp;J537</f>
        <v>[1분 성경 신약 #109] 구하라 찾으라 두드리라 | 마 7:1-12</v>
      </c>
      <c r="U537" s="26" t="n">
        <f aca="false">IF(D537="구약",IF(C537=1,안내!$C$9,안내!$C$10)+AD537-1,IF(C537=1,안내!$C$9,안내!$C$10)+7*INT((AD537-1)/4)+CHOOSE(MOD(AD537-1,4)+1,0,2,4,5))</f>
        <v>46587</v>
      </c>
      <c r="V537" s="23" t="str">
        <f aca="false">CHOOSE(WEEKDAY(U537,2),"월","화","수","목","금","토","일")</f>
        <v>월</v>
      </c>
      <c r="W537" s="24" t="str">
        <f aca="false">IFERROR(IF(INDEX($C$2:$C$799,MATCH(D537&amp;"#"&amp;(E537+1),$AC$2:$AC$799,0))=C537,"다음 편: ","시즌1 완결 · 시즌2 첫 편: ")&amp;INDEX($L$2:$L$799,MATCH(D537&amp;"#"&amp;(E537+1),$AC$2:$AC$799,0)),"신약 트랙 완결")</f>
        <v>다음 편: 죄를 사하는 권세</v>
      </c>
      <c r="X537" s="23" t="s">
        <v>130</v>
      </c>
      <c r="Y537" s="23" t="s">
        <v>130</v>
      </c>
      <c r="Z537" s="23" t="s">
        <v>130</v>
      </c>
      <c r="AA537" s="23" t="s">
        <v>130</v>
      </c>
      <c r="AB537" s="24"/>
      <c r="AC537" s="23" t="str">
        <f aca="false">D537&amp;"#"&amp;E537</f>
        <v>신약#109</v>
      </c>
      <c r="AD537" s="23" t="n">
        <f aca="false">COUNTIFS($C$2:C537,C537,$D$2:D537,D537)</f>
        <v>5</v>
      </c>
    </row>
    <row r="538" customFormat="false" ht="26.85" hidden="false" customHeight="false" outlineLevel="0" collapsed="false">
      <c r="A538" s="23" t="n">
        <v>537</v>
      </c>
      <c r="B538" s="30" t="s">
        <v>4786</v>
      </c>
      <c r="C538" s="20" t="n">
        <v>1</v>
      </c>
      <c r="D538" s="20" t="s">
        <v>4656</v>
      </c>
      <c r="E538" s="20" t="n">
        <f aca="false">IF(C538=1,COUNTIFS($C$2:C538,1,$D$2:D538,D538),COUNTIFS($C$2:$C$799,1,$D$2:$D$799,D538)+COUNTIFS($C$2:C538,2,$D$2:D538,D538))</f>
        <v>11</v>
      </c>
      <c r="F538" s="20" t="str">
        <f aca="false">D538&amp;" #"&amp;TEXT(E538,"000")</f>
        <v>신약 #011</v>
      </c>
      <c r="G538" s="30" t="s">
        <v>4733</v>
      </c>
      <c r="H538" s="30" t="s">
        <v>4668</v>
      </c>
      <c r="I538" s="23" t="s">
        <v>4659</v>
      </c>
      <c r="J538" s="24" t="s">
        <v>4787</v>
      </c>
      <c r="K538" s="23" t="s">
        <v>1085</v>
      </c>
      <c r="L538" s="24" t="s">
        <v>4788</v>
      </c>
      <c r="M538" s="24" t="s">
        <v>4789</v>
      </c>
      <c r="N538" s="23" t="s">
        <v>4790</v>
      </c>
      <c r="O538" s="24" t="s">
        <v>4791</v>
      </c>
      <c r="P538" s="24" t="s">
        <v>4747</v>
      </c>
      <c r="Q538" s="24" t="s">
        <v>4792</v>
      </c>
      <c r="R538" s="24"/>
      <c r="S538" s="28" t="s">
        <v>4793</v>
      </c>
      <c r="T538" s="24" t="str">
        <f aca="false">"["&amp;안내!$C$5&amp;" "&amp;F538&amp;"] "&amp;L538&amp;" | "&amp;J538</f>
        <v>[1분 성경 신약 #011] 반석 위의 집 | 마 7:13-29</v>
      </c>
      <c r="U538" s="26" t="n">
        <f aca="false">IF(D538="구약",IF(C538=1,안내!$C$9,안내!$C$10)+AD538-1,IF(C538=1,안내!$C$9,안내!$C$10)+7*INT((AD538-1)/4)+CHOOSE(MOD(AD538-1,4)+1,0,2,4,5))</f>
        <v>46409</v>
      </c>
      <c r="V538" s="23" t="str">
        <f aca="false">CHOOSE(WEEKDAY(U538,2),"월","화","수","목","금","토","일")</f>
        <v>금</v>
      </c>
      <c r="W538" s="24" t="str">
        <f aca="false">IFERROR(IF(INDEX($C$2:$C$799,MATCH(D538&amp;"#"&amp;(E538+1),$AC$2:$AC$799,0))=C538,"다음 편: ","시즌1 완결 · 시즌2 첫 편: ")&amp;INDEX($L$2:$L$799,MATCH(D538&amp;"#"&amp;(E538+1),$AC$2:$AC$799,0)),"신약 트랙 완결")</f>
        <v>다음 편: 원하시면 깨끗하게</v>
      </c>
      <c r="X538" s="23" t="s">
        <v>130</v>
      </c>
      <c r="Y538" s="23" t="s">
        <v>130</v>
      </c>
      <c r="Z538" s="23" t="s">
        <v>130</v>
      </c>
      <c r="AA538" s="23" t="s">
        <v>130</v>
      </c>
      <c r="AB538" s="24"/>
      <c r="AC538" s="23" t="str">
        <f aca="false">D538&amp;"#"&amp;E538</f>
        <v>신약#11</v>
      </c>
      <c r="AD538" s="23" t="n">
        <f aca="false">COUNTIFS($C$2:C538,C538,$D$2:D538,D538)</f>
        <v>11</v>
      </c>
    </row>
    <row r="539" customFormat="false" ht="26.85" hidden="false" customHeight="false" outlineLevel="0" collapsed="false">
      <c r="A539" s="23" t="n">
        <v>538</v>
      </c>
      <c r="B539" s="30" t="s">
        <v>4794</v>
      </c>
      <c r="C539" s="20" t="n">
        <v>1</v>
      </c>
      <c r="D539" s="20" t="s">
        <v>4656</v>
      </c>
      <c r="E539" s="20" t="n">
        <f aca="false">IF(C539=1,COUNTIFS($C$2:C539,1,$D$2:D539,D539),COUNTIFS($C$2:$C$799,1,$D$2:$D$799,D539)+COUNTIFS($C$2:C539,2,$D$2:D539,D539))</f>
        <v>12</v>
      </c>
      <c r="F539" s="20" t="str">
        <f aca="false">D539&amp;" #"&amp;TEXT(E539,"000")</f>
        <v>신약 #012</v>
      </c>
      <c r="G539" s="30" t="s">
        <v>4795</v>
      </c>
      <c r="H539" s="30" t="s">
        <v>4796</v>
      </c>
      <c r="I539" s="23" t="s">
        <v>4659</v>
      </c>
      <c r="J539" s="24" t="s">
        <v>4797</v>
      </c>
      <c r="K539" s="23" t="s">
        <v>121</v>
      </c>
      <c r="L539" s="24" t="s">
        <v>4798</v>
      </c>
      <c r="M539" s="24" t="s">
        <v>4799</v>
      </c>
      <c r="N539" s="23" t="s">
        <v>4800</v>
      </c>
      <c r="O539" s="24" t="s">
        <v>4801</v>
      </c>
      <c r="P539" s="24" t="s">
        <v>4802</v>
      </c>
      <c r="Q539" s="24" t="s">
        <v>4803</v>
      </c>
      <c r="R539" s="24"/>
      <c r="S539" s="24" t="s">
        <v>129</v>
      </c>
      <c r="T539" s="24" t="str">
        <f aca="false">"["&amp;안내!$C$5&amp;" "&amp;F539&amp;"] "&amp;L539&amp;" | "&amp;J539</f>
        <v>[1분 성경 신약 #012] 원하시면 깨끗하게 | 마 8:1-17</v>
      </c>
      <c r="U539" s="26" t="n">
        <f aca="false">IF(D539="구약",IF(C539=1,안내!$C$9,안내!$C$10)+AD539-1,IF(C539=1,안내!$C$9,안내!$C$10)+7*INT((AD539-1)/4)+CHOOSE(MOD(AD539-1,4)+1,0,2,4,5))</f>
        <v>46410</v>
      </c>
      <c r="V539" s="23" t="str">
        <f aca="false">CHOOSE(WEEKDAY(U539,2),"월","화","수","목","금","토","일")</f>
        <v>토</v>
      </c>
      <c r="W539" s="24" t="str">
        <f aca="false">IFERROR(IF(INDEX($C$2:$C$799,MATCH(D539&amp;"#"&amp;(E539+1),$AC$2:$AC$799,0))=C539,"다음 편: ","시즌1 완결 · 시즌2 첫 편: ")&amp;INDEX($L$2:$L$799,MATCH(D539&amp;"#"&amp;(E539+1),$AC$2:$AC$799,0)),"신약 트랙 완결")</f>
        <v>다음 편: 바람과 바다도 순종하다</v>
      </c>
      <c r="X539" s="23" t="s">
        <v>130</v>
      </c>
      <c r="Y539" s="23" t="s">
        <v>130</v>
      </c>
      <c r="Z539" s="23" t="s">
        <v>130</v>
      </c>
      <c r="AA539" s="23" t="s">
        <v>130</v>
      </c>
      <c r="AB539" s="24"/>
      <c r="AC539" s="23" t="str">
        <f aca="false">D539&amp;"#"&amp;E539</f>
        <v>신약#12</v>
      </c>
      <c r="AD539" s="23" t="n">
        <f aca="false">COUNTIFS($C$2:C539,C539,$D$2:D539,D539)</f>
        <v>12</v>
      </c>
    </row>
    <row r="540" customFormat="false" ht="26.85" hidden="false" customHeight="false" outlineLevel="0" collapsed="false">
      <c r="A540" s="23" t="n">
        <v>539</v>
      </c>
      <c r="B540" s="30" t="s">
        <v>4804</v>
      </c>
      <c r="C540" s="20" t="n">
        <v>1</v>
      </c>
      <c r="D540" s="20" t="s">
        <v>4656</v>
      </c>
      <c r="E540" s="20" t="n">
        <f aca="false">IF(C540=1,COUNTIFS($C$2:C540,1,$D$2:D540,D540),COUNTIFS($C$2:$C$799,1,$D$2:$D$799,D540)+COUNTIFS($C$2:C540,2,$D$2:D540,D540))</f>
        <v>13</v>
      </c>
      <c r="F540" s="20" t="str">
        <f aca="false">D540&amp;" #"&amp;TEXT(E540,"000")</f>
        <v>신약 #013</v>
      </c>
      <c r="G540" s="30" t="s">
        <v>4795</v>
      </c>
      <c r="H540" s="30" t="s">
        <v>4796</v>
      </c>
      <c r="I540" s="23" t="s">
        <v>4659</v>
      </c>
      <c r="J540" s="24" t="s">
        <v>4805</v>
      </c>
      <c r="K540" s="23" t="s">
        <v>121</v>
      </c>
      <c r="L540" s="24" t="s">
        <v>4806</v>
      </c>
      <c r="M540" s="24" t="s">
        <v>4807</v>
      </c>
      <c r="N540" s="23" t="s">
        <v>4808</v>
      </c>
      <c r="O540" s="24" t="s">
        <v>4809</v>
      </c>
      <c r="P540" s="24" t="s">
        <v>4768</v>
      </c>
      <c r="Q540" s="24" t="s">
        <v>4810</v>
      </c>
      <c r="R540" s="24"/>
      <c r="S540" s="24" t="s">
        <v>129</v>
      </c>
      <c r="T540" s="24" t="str">
        <f aca="false">"["&amp;안내!$C$5&amp;" "&amp;F540&amp;"] "&amp;L540&amp;" | "&amp;J540</f>
        <v>[1분 성경 신약 #013] 바람과 바다도 순종하다 | 마 8:18-27</v>
      </c>
      <c r="U540" s="26" t="n">
        <f aca="false">IF(D540="구약",IF(C540=1,안내!$C$9,안내!$C$10)+AD540-1,IF(C540=1,안내!$C$9,안내!$C$10)+7*INT((AD540-1)/4)+CHOOSE(MOD(AD540-1,4)+1,0,2,4,5))</f>
        <v>46412</v>
      </c>
      <c r="V540" s="23" t="str">
        <f aca="false">CHOOSE(WEEKDAY(U540,2),"월","화","수","목","금","토","일")</f>
        <v>월</v>
      </c>
      <c r="W540" s="24" t="str">
        <f aca="false">IFERROR(IF(INDEX($C$2:$C$799,MATCH(D540&amp;"#"&amp;(E540+1),$AC$2:$AC$799,0))=C540,"다음 편: ","시즌1 완결 · 시즌2 첫 편: ")&amp;INDEX($L$2:$L$799,MATCH(D540&amp;"#"&amp;(E540+1),$AC$2:$AC$799,0)),"신약 트랙 완결")</f>
        <v>다음 편: 옷자락만 만져도</v>
      </c>
      <c r="X540" s="23" t="s">
        <v>130</v>
      </c>
      <c r="Y540" s="23" t="s">
        <v>130</v>
      </c>
      <c r="Z540" s="23" t="s">
        <v>130</v>
      </c>
      <c r="AA540" s="23" t="s">
        <v>130</v>
      </c>
      <c r="AB540" s="24"/>
      <c r="AC540" s="23" t="str">
        <f aca="false">D540&amp;"#"&amp;E540</f>
        <v>신약#13</v>
      </c>
      <c r="AD540" s="23" t="n">
        <f aca="false">COUNTIFS($C$2:C540,C540,$D$2:D540,D540)</f>
        <v>13</v>
      </c>
    </row>
    <row r="541" customFormat="false" ht="26.85" hidden="false" customHeight="false" outlineLevel="0" collapsed="false">
      <c r="A541" s="23" t="n">
        <v>540</v>
      </c>
      <c r="B541" s="30" t="s">
        <v>4811</v>
      </c>
      <c r="C541" s="23" t="n">
        <v>2</v>
      </c>
      <c r="D541" s="23" t="s">
        <v>4656</v>
      </c>
      <c r="E541" s="23" t="n">
        <f aca="false">IF(C541=1,COUNTIFS($C$2:C541,1,$D$2:D541,D541),COUNTIFS($C$2:$C$799,1,$D$2:$D$799,D541)+COUNTIFS($C$2:C541,2,$D$2:D541,D541))</f>
        <v>110</v>
      </c>
      <c r="F541" s="23" t="str">
        <f aca="false">D541&amp;" #"&amp;TEXT(E541,"000")</f>
        <v>신약 #110</v>
      </c>
      <c r="G541" s="30" t="s">
        <v>4795</v>
      </c>
      <c r="H541" s="30" t="s">
        <v>4658</v>
      </c>
      <c r="I541" s="23" t="s">
        <v>4659</v>
      </c>
      <c r="J541" s="24" t="s">
        <v>4812</v>
      </c>
      <c r="K541" s="23" t="s">
        <v>121</v>
      </c>
      <c r="L541" s="24" t="s">
        <v>4813</v>
      </c>
      <c r="M541" s="24" t="s">
        <v>4814</v>
      </c>
      <c r="N541" s="23" t="s">
        <v>4815</v>
      </c>
      <c r="O541" s="24" t="s">
        <v>4816</v>
      </c>
      <c r="P541" s="24" t="s">
        <v>4817</v>
      </c>
      <c r="Q541" s="24" t="s">
        <v>4818</v>
      </c>
      <c r="R541" s="25" t="s">
        <v>4819</v>
      </c>
      <c r="S541" s="24" t="s">
        <v>4820</v>
      </c>
      <c r="T541" s="24" t="str">
        <f aca="false">"["&amp;안내!$C$5&amp;" "&amp;F541&amp;"] "&amp;L541&amp;" | "&amp;J541</f>
        <v>[1분 성경 신약 #110] 죄를 사하는 권세 | 마 8:28-9:8</v>
      </c>
      <c r="U541" s="26" t="n">
        <f aca="false">IF(D541="구약",IF(C541=1,안내!$C$9,안내!$C$10)+AD541-1,IF(C541=1,안내!$C$9,안내!$C$10)+7*INT((AD541-1)/4)+CHOOSE(MOD(AD541-1,4)+1,0,2,4,5))</f>
        <v>46589</v>
      </c>
      <c r="V541" s="23" t="str">
        <f aca="false">CHOOSE(WEEKDAY(U541,2),"월","화","수","목","금","토","일")</f>
        <v>수</v>
      </c>
      <c r="W541" s="24" t="str">
        <f aca="false">IFERROR(IF(INDEX($C$2:$C$799,MATCH(D541&amp;"#"&amp;(E541+1),$AC$2:$AC$799,0))=C541,"다음 편: ","시즌1 완결 · 시즌2 첫 편: ")&amp;INDEX($L$2:$L$799,MATCH(D541&amp;"#"&amp;(E541+1),$AC$2:$AC$799,0)),"신약 트랙 완결")</f>
        <v>다음 편: 세리 마태를 부르시다</v>
      </c>
      <c r="X541" s="23" t="s">
        <v>130</v>
      </c>
      <c r="Y541" s="23" t="s">
        <v>130</v>
      </c>
      <c r="Z541" s="23" t="s">
        <v>130</v>
      </c>
      <c r="AA541" s="23" t="s">
        <v>130</v>
      </c>
      <c r="AB541" s="24"/>
      <c r="AC541" s="23" t="str">
        <f aca="false">D541&amp;"#"&amp;E541</f>
        <v>신약#110</v>
      </c>
      <c r="AD541" s="23" t="n">
        <f aca="false">COUNTIFS($C$2:C541,C541,$D$2:D541,D541)</f>
        <v>6</v>
      </c>
    </row>
    <row r="542" customFormat="false" ht="26.85" hidden="false" customHeight="false" outlineLevel="0" collapsed="false">
      <c r="A542" s="23" t="n">
        <v>541</v>
      </c>
      <c r="B542" s="30" t="s">
        <v>4821</v>
      </c>
      <c r="C542" s="23" t="n">
        <v>2</v>
      </c>
      <c r="D542" s="23" t="s">
        <v>4656</v>
      </c>
      <c r="E542" s="23" t="n">
        <f aca="false">IF(C542=1,COUNTIFS($C$2:C542,1,$D$2:D542,D542),COUNTIFS($C$2:$C$799,1,$D$2:$D$799,D542)+COUNTIFS($C$2:C542,2,$D$2:D542,D542))</f>
        <v>111</v>
      </c>
      <c r="F542" s="23" t="str">
        <f aca="false">D542&amp;" #"&amp;TEXT(E542,"000")</f>
        <v>신약 #111</v>
      </c>
      <c r="G542" s="30" t="s">
        <v>4795</v>
      </c>
      <c r="H542" s="30" t="s">
        <v>4658</v>
      </c>
      <c r="I542" s="23" t="s">
        <v>4659</v>
      </c>
      <c r="J542" s="24" t="s">
        <v>4822</v>
      </c>
      <c r="K542" s="23" t="s">
        <v>121</v>
      </c>
      <c r="L542" s="24" t="s">
        <v>4823</v>
      </c>
      <c r="M542" s="24" t="s">
        <v>4824</v>
      </c>
      <c r="N542" s="23" t="s">
        <v>4825</v>
      </c>
      <c r="O542" s="24" t="s">
        <v>4826</v>
      </c>
      <c r="P542" s="24" t="s">
        <v>4827</v>
      </c>
      <c r="Q542" s="24" t="s">
        <v>4828</v>
      </c>
      <c r="R542" s="24"/>
      <c r="S542" s="24" t="s">
        <v>4820</v>
      </c>
      <c r="T542" s="24" t="str">
        <f aca="false">"["&amp;안내!$C$5&amp;" "&amp;F542&amp;"] "&amp;L542&amp;" | "&amp;J542</f>
        <v>[1분 성경 신약 #111] 세리 마태를 부르시다 | 마 9:9-17</v>
      </c>
      <c r="U542" s="26" t="n">
        <f aca="false">IF(D542="구약",IF(C542=1,안내!$C$9,안내!$C$10)+AD542-1,IF(C542=1,안내!$C$9,안내!$C$10)+7*INT((AD542-1)/4)+CHOOSE(MOD(AD542-1,4)+1,0,2,4,5))</f>
        <v>46591</v>
      </c>
      <c r="V542" s="23" t="str">
        <f aca="false">CHOOSE(WEEKDAY(U542,2),"월","화","수","목","금","토","일")</f>
        <v>금</v>
      </c>
      <c r="W542" s="24" t="str">
        <f aca="false">IFERROR(IF(INDEX($C$2:$C$799,MATCH(D542&amp;"#"&amp;(E542+1),$AC$2:$AC$799,0))=C542,"다음 편: ","시즌1 완결 · 시즌2 첫 편: ")&amp;INDEX($L$2:$L$799,MATCH(D542&amp;"#"&amp;(E542+1),$AC$2:$AC$799,0)),"신약 트랙 완결")</f>
        <v>다음 편: 열두 제자를 보내시다</v>
      </c>
      <c r="X542" s="23" t="s">
        <v>130</v>
      </c>
      <c r="Y542" s="23" t="s">
        <v>130</v>
      </c>
      <c r="Z542" s="23" t="s">
        <v>130</v>
      </c>
      <c r="AA542" s="23" t="s">
        <v>130</v>
      </c>
      <c r="AB542" s="24"/>
      <c r="AC542" s="23" t="str">
        <f aca="false">D542&amp;"#"&amp;E542</f>
        <v>신약#111</v>
      </c>
      <c r="AD542" s="23" t="n">
        <f aca="false">COUNTIFS($C$2:C542,C542,$D$2:D542,D542)</f>
        <v>7</v>
      </c>
    </row>
    <row r="543" customFormat="false" ht="39.55" hidden="false" customHeight="false" outlineLevel="0" collapsed="false">
      <c r="A543" s="23" t="n">
        <v>542</v>
      </c>
      <c r="B543" s="30" t="s">
        <v>4829</v>
      </c>
      <c r="C543" s="20" t="n">
        <v>1</v>
      </c>
      <c r="D543" s="20" t="s">
        <v>4656</v>
      </c>
      <c r="E543" s="20" t="n">
        <f aca="false">IF(C543=1,COUNTIFS($C$2:C543,1,$D$2:D543,D543),COUNTIFS($C$2:$C$799,1,$D$2:$D$799,D543)+COUNTIFS($C$2:C543,2,$D$2:D543,D543))</f>
        <v>14</v>
      </c>
      <c r="F543" s="20" t="str">
        <f aca="false">D543&amp;" #"&amp;TEXT(E543,"000")</f>
        <v>신약 #014</v>
      </c>
      <c r="G543" s="30" t="s">
        <v>4795</v>
      </c>
      <c r="H543" s="30" t="s">
        <v>4796</v>
      </c>
      <c r="I543" s="23" t="s">
        <v>4659</v>
      </c>
      <c r="J543" s="24" t="s">
        <v>4830</v>
      </c>
      <c r="K543" s="23" t="s">
        <v>121</v>
      </c>
      <c r="L543" s="24" t="s">
        <v>4831</v>
      </c>
      <c r="M543" s="29" t="s">
        <v>4832</v>
      </c>
      <c r="N543" s="23" t="s">
        <v>4833</v>
      </c>
      <c r="O543" s="24" t="s">
        <v>4834</v>
      </c>
      <c r="P543" s="24" t="s">
        <v>4835</v>
      </c>
      <c r="Q543" s="24" t="s">
        <v>4836</v>
      </c>
      <c r="R543" s="24"/>
      <c r="S543" s="28" t="s">
        <v>4837</v>
      </c>
      <c r="T543" s="24" t="str">
        <f aca="false">"["&amp;안내!$C$5&amp;" "&amp;F543&amp;"] "&amp;L543&amp;" | "&amp;J543</f>
        <v>[1분 성경 신약 #014] 옷자락만 만져도 | 마 9:18-34</v>
      </c>
      <c r="U543" s="26" t="n">
        <f aca="false">IF(D543="구약",IF(C543=1,안내!$C$9,안내!$C$10)+AD543-1,IF(C543=1,안내!$C$9,안내!$C$10)+7*INT((AD543-1)/4)+CHOOSE(MOD(AD543-1,4)+1,0,2,4,5))</f>
        <v>46414</v>
      </c>
      <c r="V543" s="23" t="str">
        <f aca="false">CHOOSE(WEEKDAY(U543,2),"월","화","수","목","금","토","일")</f>
        <v>수</v>
      </c>
      <c r="W543" s="24" t="str">
        <f aca="false">IFERROR(IF(INDEX($C$2:$C$799,MATCH(D543&amp;"#"&amp;(E543+1),$AC$2:$AC$799,0))=C543,"다음 편: ","시즌1 완결 · 시즌2 첫 편: ")&amp;INDEX($L$2:$L$799,MATCH(D543&amp;"#"&amp;(E543+1),$AC$2:$AC$799,0)),"신약 트랙 완결")</f>
        <v>다음 편: 씨 뿌리는 비유</v>
      </c>
      <c r="X543" s="23" t="s">
        <v>130</v>
      </c>
      <c r="Y543" s="23" t="s">
        <v>130</v>
      </c>
      <c r="Z543" s="23" t="s">
        <v>130</v>
      </c>
      <c r="AA543" s="23" t="s">
        <v>130</v>
      </c>
      <c r="AB543" s="24"/>
      <c r="AC543" s="23" t="str">
        <f aca="false">D543&amp;"#"&amp;E543</f>
        <v>신약#14</v>
      </c>
      <c r="AD543" s="23" t="n">
        <f aca="false">COUNTIFS($C$2:C543,C543,$D$2:D543,D543)</f>
        <v>14</v>
      </c>
    </row>
    <row r="544" customFormat="false" ht="26.85" hidden="false" customHeight="false" outlineLevel="0" collapsed="false">
      <c r="A544" s="23" t="n">
        <v>543</v>
      </c>
      <c r="B544" s="30" t="s">
        <v>4838</v>
      </c>
      <c r="C544" s="23" t="n">
        <v>2</v>
      </c>
      <c r="D544" s="23" t="s">
        <v>4656</v>
      </c>
      <c r="E544" s="23" t="n">
        <f aca="false">IF(C544=1,COUNTIFS($C$2:C544,1,$D$2:D544,D544),COUNTIFS($C$2:$C$799,1,$D$2:$D$799,D544)+COUNTIFS($C$2:C544,2,$D$2:D544,D544))</f>
        <v>112</v>
      </c>
      <c r="F544" s="23" t="str">
        <f aca="false">D544&amp;" #"&amp;TEXT(E544,"000")</f>
        <v>신약 #112</v>
      </c>
      <c r="G544" s="30" t="s">
        <v>4795</v>
      </c>
      <c r="H544" s="30" t="s">
        <v>4658</v>
      </c>
      <c r="I544" s="23" t="s">
        <v>4659</v>
      </c>
      <c r="J544" s="24" t="s">
        <v>4839</v>
      </c>
      <c r="K544" s="23" t="s">
        <v>121</v>
      </c>
      <c r="L544" s="24" t="s">
        <v>4840</v>
      </c>
      <c r="M544" s="24" t="s">
        <v>4841</v>
      </c>
      <c r="N544" s="23" t="s">
        <v>4842</v>
      </c>
      <c r="O544" s="24" t="s">
        <v>4843</v>
      </c>
      <c r="P544" s="24" t="s">
        <v>4844</v>
      </c>
      <c r="Q544" s="24" t="s">
        <v>4845</v>
      </c>
      <c r="R544" s="24"/>
      <c r="S544" s="24" t="s">
        <v>4846</v>
      </c>
      <c r="T544" s="24" t="str">
        <f aca="false">"["&amp;안내!$C$5&amp;" "&amp;F544&amp;"] "&amp;L544&amp;" | "&amp;J544</f>
        <v>[1분 성경 신약 #112] 열두 제자를 보내시다 | 마 9:35-10:42</v>
      </c>
      <c r="U544" s="26" t="n">
        <f aca="false">IF(D544="구약",IF(C544=1,안내!$C$9,안내!$C$10)+AD544-1,IF(C544=1,안내!$C$9,안내!$C$10)+7*INT((AD544-1)/4)+CHOOSE(MOD(AD544-1,4)+1,0,2,4,5))</f>
        <v>46592</v>
      </c>
      <c r="V544" s="23" t="str">
        <f aca="false">CHOOSE(WEEKDAY(U544,2),"월","화","수","목","금","토","일")</f>
        <v>토</v>
      </c>
      <c r="W544" s="24" t="str">
        <f aca="false">IFERROR(IF(INDEX($C$2:$C$799,MATCH(D544&amp;"#"&amp;(E544+1),$AC$2:$AC$799,0))=C544,"다음 편: ","시즌1 완결 · 시즌2 첫 편: ")&amp;INDEX($L$2:$L$799,MATCH(D544&amp;"#"&amp;(E544+1),$AC$2:$AC$799,0)),"신약 트랙 완결")</f>
        <v>다음 편: 수고하고 무거운 짐 진 자들아</v>
      </c>
      <c r="X544" s="23" t="s">
        <v>130</v>
      </c>
      <c r="Y544" s="23" t="s">
        <v>130</v>
      </c>
      <c r="Z544" s="23" t="s">
        <v>130</v>
      </c>
      <c r="AA544" s="23" t="s">
        <v>130</v>
      </c>
      <c r="AB544" s="24"/>
      <c r="AC544" s="23" t="str">
        <f aca="false">D544&amp;"#"&amp;E544</f>
        <v>신약#112</v>
      </c>
      <c r="AD544" s="23" t="n">
        <f aca="false">COUNTIFS($C$2:C544,C544,$D$2:D544,D544)</f>
        <v>8</v>
      </c>
    </row>
    <row r="545" customFormat="false" ht="26.85" hidden="false" customHeight="false" outlineLevel="0" collapsed="false">
      <c r="A545" s="23" t="n">
        <v>544</v>
      </c>
      <c r="B545" s="30" t="s">
        <v>4847</v>
      </c>
      <c r="C545" s="23" t="n">
        <v>2</v>
      </c>
      <c r="D545" s="23" t="s">
        <v>4656</v>
      </c>
      <c r="E545" s="23" t="n">
        <f aca="false">IF(C545=1,COUNTIFS($C$2:C545,1,$D$2:D545,D545),COUNTIFS($C$2:$C$799,1,$D$2:$D$799,D545)+COUNTIFS($C$2:C545,2,$D$2:D545,D545))</f>
        <v>113</v>
      </c>
      <c r="F545" s="23" t="str">
        <f aca="false">D545&amp;" #"&amp;TEXT(E545,"000")</f>
        <v>신약 #113</v>
      </c>
      <c r="G545" s="30" t="s">
        <v>4795</v>
      </c>
      <c r="H545" s="30" t="s">
        <v>4658</v>
      </c>
      <c r="I545" s="23" t="s">
        <v>4659</v>
      </c>
      <c r="J545" s="24" t="s">
        <v>4848</v>
      </c>
      <c r="K545" s="23" t="s">
        <v>121</v>
      </c>
      <c r="L545" s="24" t="s">
        <v>4849</v>
      </c>
      <c r="M545" s="24" t="s">
        <v>4850</v>
      </c>
      <c r="N545" s="23" t="s">
        <v>4851</v>
      </c>
      <c r="O545" s="24" t="s">
        <v>4852</v>
      </c>
      <c r="P545" s="24" t="s">
        <v>4853</v>
      </c>
      <c r="Q545" s="24" t="s">
        <v>4854</v>
      </c>
      <c r="R545" s="24"/>
      <c r="S545" s="24" t="s">
        <v>4846</v>
      </c>
      <c r="T545" s="24" t="str">
        <f aca="false">"["&amp;안내!$C$5&amp;" "&amp;F545&amp;"] "&amp;L545&amp;" | "&amp;J545</f>
        <v>[1분 성경 신약 #113] 수고하고 무거운 짐 진 자들아 | 마 11:1-30</v>
      </c>
      <c r="U545" s="26" t="n">
        <f aca="false">IF(D545="구약",IF(C545=1,안내!$C$9,안내!$C$10)+AD545-1,IF(C545=1,안내!$C$9,안내!$C$10)+7*INT((AD545-1)/4)+CHOOSE(MOD(AD545-1,4)+1,0,2,4,5))</f>
        <v>46594</v>
      </c>
      <c r="V545" s="23" t="str">
        <f aca="false">CHOOSE(WEEKDAY(U545,2),"월","화","수","목","금","토","일")</f>
        <v>월</v>
      </c>
      <c r="W545" s="24" t="str">
        <f aca="false">IFERROR(IF(INDEX($C$2:$C$799,MATCH(D545&amp;"#"&amp;(E545+1),$AC$2:$AC$799,0))=C545,"다음 편: ","시즌1 완결 · 시즌2 첫 편: ")&amp;INDEX($L$2:$L$799,MATCH(D545&amp;"#"&amp;(E545+1),$AC$2:$AC$799,0)),"신약 트랙 완결")</f>
        <v>다음 편: 안식일의 주인</v>
      </c>
      <c r="X545" s="23" t="s">
        <v>130</v>
      </c>
      <c r="Y545" s="23" t="s">
        <v>130</v>
      </c>
      <c r="Z545" s="23" t="s">
        <v>130</v>
      </c>
      <c r="AA545" s="23" t="s">
        <v>130</v>
      </c>
      <c r="AB545" s="24"/>
      <c r="AC545" s="23" t="str">
        <f aca="false">D545&amp;"#"&amp;E545</f>
        <v>신약#113</v>
      </c>
      <c r="AD545" s="23" t="n">
        <f aca="false">COUNTIFS($C$2:C545,C545,$D$2:D545,D545)</f>
        <v>9</v>
      </c>
    </row>
    <row r="546" customFormat="false" ht="26.85" hidden="false" customHeight="false" outlineLevel="0" collapsed="false">
      <c r="A546" s="23" t="n">
        <v>545</v>
      </c>
      <c r="B546" s="30" t="s">
        <v>4855</v>
      </c>
      <c r="C546" s="23" t="n">
        <v>2</v>
      </c>
      <c r="D546" s="23" t="s">
        <v>4656</v>
      </c>
      <c r="E546" s="23" t="n">
        <f aca="false">IF(C546=1,COUNTIFS($C$2:C546,1,$D$2:D546,D546),COUNTIFS($C$2:$C$799,1,$D$2:$D$799,D546)+COUNTIFS($C$2:C546,2,$D$2:D546,D546))</f>
        <v>114</v>
      </c>
      <c r="F546" s="23" t="str">
        <f aca="false">D546&amp;" #"&amp;TEXT(E546,"000")</f>
        <v>신약 #114</v>
      </c>
      <c r="G546" s="30" t="s">
        <v>4795</v>
      </c>
      <c r="H546" s="30" t="s">
        <v>4658</v>
      </c>
      <c r="I546" s="23" t="s">
        <v>4659</v>
      </c>
      <c r="J546" s="24" t="s">
        <v>4856</v>
      </c>
      <c r="K546" s="23" t="s">
        <v>1085</v>
      </c>
      <c r="L546" s="24" t="s">
        <v>4857</v>
      </c>
      <c r="M546" s="24" t="s">
        <v>4858</v>
      </c>
      <c r="N546" s="23" t="s">
        <v>4859</v>
      </c>
      <c r="O546" s="24" t="s">
        <v>4860</v>
      </c>
      <c r="P546" s="24" t="s">
        <v>4861</v>
      </c>
      <c r="Q546" s="24" t="s">
        <v>4862</v>
      </c>
      <c r="R546" s="25" t="s">
        <v>4863</v>
      </c>
      <c r="S546" s="24" t="s">
        <v>4846</v>
      </c>
      <c r="T546" s="24" t="str">
        <f aca="false">"["&amp;안내!$C$5&amp;" "&amp;F546&amp;"] "&amp;L546&amp;" | "&amp;J546</f>
        <v>[1분 성경 신약 #114] 안식일의 주인 | 마 12:1-50</v>
      </c>
      <c r="U546" s="26" t="n">
        <f aca="false">IF(D546="구약",IF(C546=1,안내!$C$9,안내!$C$10)+AD546-1,IF(C546=1,안내!$C$9,안내!$C$10)+7*INT((AD546-1)/4)+CHOOSE(MOD(AD546-1,4)+1,0,2,4,5))</f>
        <v>46596</v>
      </c>
      <c r="V546" s="23" t="str">
        <f aca="false">CHOOSE(WEEKDAY(U546,2),"월","화","수","목","금","토","일")</f>
        <v>수</v>
      </c>
      <c r="W546" s="24" t="str">
        <f aca="false">IFERROR(IF(INDEX($C$2:$C$799,MATCH(D546&amp;"#"&amp;(E546+1),$AC$2:$AC$799,0))=C546,"다음 편: ","시즌1 완결 · 시즌2 첫 편: ")&amp;INDEX($L$2:$L$799,MATCH(D546&amp;"#"&amp;(E546+1),$AC$2:$AC$799,0)),"신약 트랙 완결")</f>
        <v>다음 편: 천국은 마치</v>
      </c>
      <c r="X546" s="23" t="s">
        <v>130</v>
      </c>
      <c r="Y546" s="23" t="s">
        <v>130</v>
      </c>
      <c r="Z546" s="23" t="s">
        <v>130</v>
      </c>
      <c r="AA546" s="23" t="s">
        <v>130</v>
      </c>
      <c r="AB546" s="24"/>
      <c r="AC546" s="23" t="str">
        <f aca="false">D546&amp;"#"&amp;E546</f>
        <v>신약#114</v>
      </c>
      <c r="AD546" s="23" t="n">
        <f aca="false">COUNTIFS($C$2:C546,C546,$D$2:D546,D546)</f>
        <v>10</v>
      </c>
    </row>
    <row r="547" customFormat="false" ht="52.2" hidden="false" customHeight="false" outlineLevel="0" collapsed="false">
      <c r="A547" s="23" t="n">
        <v>546</v>
      </c>
      <c r="B547" s="30" t="s">
        <v>4864</v>
      </c>
      <c r="C547" s="20" t="n">
        <v>1</v>
      </c>
      <c r="D547" s="20" t="s">
        <v>4656</v>
      </c>
      <c r="E547" s="20" t="n">
        <f aca="false">IF(C547=1,COUNTIFS($C$2:C547,1,$D$2:D547,D547),COUNTIFS($C$2:$C$799,1,$D$2:$D$799,D547)+COUNTIFS($C$2:C547,2,$D$2:D547,D547))</f>
        <v>15</v>
      </c>
      <c r="F547" s="20" t="str">
        <f aca="false">D547&amp;" #"&amp;TEXT(E547,"000")</f>
        <v>신약 #015</v>
      </c>
      <c r="G547" s="30" t="s">
        <v>4795</v>
      </c>
      <c r="H547" s="30" t="s">
        <v>4796</v>
      </c>
      <c r="I547" s="23" t="s">
        <v>4659</v>
      </c>
      <c r="J547" s="24" t="s">
        <v>4865</v>
      </c>
      <c r="K547" s="23" t="s">
        <v>121</v>
      </c>
      <c r="L547" s="24" t="s">
        <v>4866</v>
      </c>
      <c r="M547" s="24" t="s">
        <v>4867</v>
      </c>
      <c r="N547" s="23" t="s">
        <v>4868</v>
      </c>
      <c r="O547" s="24" t="s">
        <v>4869</v>
      </c>
      <c r="P547" s="24" t="s">
        <v>4870</v>
      </c>
      <c r="Q547" s="24" t="s">
        <v>4871</v>
      </c>
      <c r="R547" s="25" t="s">
        <v>4872</v>
      </c>
      <c r="S547" s="28" t="s">
        <v>4873</v>
      </c>
      <c r="T547" s="24" t="str">
        <f aca="false">"["&amp;안내!$C$5&amp;" "&amp;F547&amp;"] "&amp;L547&amp;" | "&amp;J547</f>
        <v>[1분 성경 신약 #015] 씨 뿌리는 비유 | 마 13:1-23</v>
      </c>
      <c r="U547" s="26" t="n">
        <f aca="false">IF(D547="구약",IF(C547=1,안내!$C$9,안내!$C$10)+AD547-1,IF(C547=1,안내!$C$9,안내!$C$10)+7*INT((AD547-1)/4)+CHOOSE(MOD(AD547-1,4)+1,0,2,4,5))</f>
        <v>46416</v>
      </c>
      <c r="V547" s="23" t="str">
        <f aca="false">CHOOSE(WEEKDAY(U547,2),"월","화","수","목","금","토","일")</f>
        <v>금</v>
      </c>
      <c r="W547" s="24" t="str">
        <f aca="false">IFERROR(IF(INDEX($C$2:$C$799,MATCH(D547&amp;"#"&amp;(E547+1),$AC$2:$AC$799,0))=C547,"다음 편: ","시즌1 완결 · 시즌2 첫 편: ")&amp;INDEX($L$2:$L$799,MATCH(D547&amp;"#"&amp;(E547+1),$AC$2:$AC$799,0)),"신약 트랙 완결")</f>
        <v>다음 편: 오병이어</v>
      </c>
      <c r="X547" s="23" t="s">
        <v>130</v>
      </c>
      <c r="Y547" s="23" t="s">
        <v>130</v>
      </c>
      <c r="Z547" s="23" t="s">
        <v>130</v>
      </c>
      <c r="AA547" s="23" t="s">
        <v>130</v>
      </c>
      <c r="AB547" s="24"/>
      <c r="AC547" s="23" t="str">
        <f aca="false">D547&amp;"#"&amp;E547</f>
        <v>신약#15</v>
      </c>
      <c r="AD547" s="23" t="n">
        <f aca="false">COUNTIFS($C$2:C547,C547,$D$2:D547,D547)</f>
        <v>15</v>
      </c>
    </row>
    <row r="548" customFormat="false" ht="26.85" hidden="false" customHeight="false" outlineLevel="0" collapsed="false">
      <c r="A548" s="23" t="n">
        <v>547</v>
      </c>
      <c r="B548" s="30" t="s">
        <v>4874</v>
      </c>
      <c r="C548" s="23" t="n">
        <v>2</v>
      </c>
      <c r="D548" s="23" t="s">
        <v>4656</v>
      </c>
      <c r="E548" s="23" t="n">
        <f aca="false">IF(C548=1,COUNTIFS($C$2:C548,1,$D$2:D548,D548),COUNTIFS($C$2:$C$799,1,$D$2:$D$799,D548)+COUNTIFS($C$2:C548,2,$D$2:D548,D548))</f>
        <v>115</v>
      </c>
      <c r="F548" s="23" t="str">
        <f aca="false">D548&amp;" #"&amp;TEXT(E548,"000")</f>
        <v>신약 #115</v>
      </c>
      <c r="G548" s="30" t="s">
        <v>4795</v>
      </c>
      <c r="H548" s="30" t="s">
        <v>4658</v>
      </c>
      <c r="I548" s="23" t="s">
        <v>4659</v>
      </c>
      <c r="J548" s="24" t="s">
        <v>4875</v>
      </c>
      <c r="K548" s="23" t="s">
        <v>1085</v>
      </c>
      <c r="L548" s="24" t="s">
        <v>4876</v>
      </c>
      <c r="M548" s="24" t="s">
        <v>4877</v>
      </c>
      <c r="N548" s="23" t="s">
        <v>4878</v>
      </c>
      <c r="O548" s="24" t="s">
        <v>4879</v>
      </c>
      <c r="P548" s="24" t="s">
        <v>4768</v>
      </c>
      <c r="Q548" s="24" t="s">
        <v>4880</v>
      </c>
      <c r="R548" s="25" t="s">
        <v>4881</v>
      </c>
      <c r="S548" s="24" t="s">
        <v>4882</v>
      </c>
      <c r="T548" s="24" t="str">
        <f aca="false">"["&amp;안내!$C$5&amp;" "&amp;F548&amp;"] "&amp;L548&amp;" | "&amp;J548</f>
        <v>[1분 성경 신약 #115] 천국은 마치 | 마 13:24-52</v>
      </c>
      <c r="U548" s="26" t="n">
        <f aca="false">IF(D548="구약",IF(C548=1,안내!$C$9,안내!$C$10)+AD548-1,IF(C548=1,안내!$C$9,안내!$C$10)+7*INT((AD548-1)/4)+CHOOSE(MOD(AD548-1,4)+1,0,2,4,5))</f>
        <v>46598</v>
      </c>
      <c r="V548" s="23" t="str">
        <f aca="false">CHOOSE(WEEKDAY(U548,2),"월","화","수","목","금","토","일")</f>
        <v>금</v>
      </c>
      <c r="W548" s="24" t="str">
        <f aca="false">IFERROR(IF(INDEX($C$2:$C$799,MATCH(D548&amp;"#"&amp;(E548+1),$AC$2:$AC$799,0))=C548,"다음 편: ","시즌1 완결 · 시즌2 첫 편: ")&amp;INDEX($L$2:$L$799,MATCH(D548&amp;"#"&amp;(E548+1),$AC$2:$AC$799,0)),"신약 트랙 완결")</f>
        <v>다음 편: 세례 요한의 죽음</v>
      </c>
      <c r="X548" s="23" t="s">
        <v>130</v>
      </c>
      <c r="Y548" s="23" t="s">
        <v>130</v>
      </c>
      <c r="Z548" s="23" t="s">
        <v>130</v>
      </c>
      <c r="AA548" s="23" t="s">
        <v>130</v>
      </c>
      <c r="AB548" s="24"/>
      <c r="AC548" s="23" t="str">
        <f aca="false">D548&amp;"#"&amp;E548</f>
        <v>신약#115</v>
      </c>
      <c r="AD548" s="23" t="n">
        <f aca="false">COUNTIFS($C$2:C548,C548,$D$2:D548,D548)</f>
        <v>11</v>
      </c>
    </row>
    <row r="549" customFormat="false" ht="25.35" hidden="false" customHeight="false" outlineLevel="0" collapsed="false">
      <c r="A549" s="23" t="n">
        <v>548</v>
      </c>
      <c r="B549" s="30" t="s">
        <v>4883</v>
      </c>
      <c r="C549" s="23" t="n">
        <v>2</v>
      </c>
      <c r="D549" s="23" t="s">
        <v>4656</v>
      </c>
      <c r="E549" s="23" t="n">
        <f aca="false">IF(C549=1,COUNTIFS($C$2:C549,1,$D$2:D549,D549),COUNTIFS($C$2:$C$799,1,$D$2:$D$799,D549)+COUNTIFS($C$2:C549,2,$D$2:D549,D549))</f>
        <v>116</v>
      </c>
      <c r="F549" s="23" t="str">
        <f aca="false">D549&amp;" #"&amp;TEXT(E549,"000")</f>
        <v>신약 #116</v>
      </c>
      <c r="G549" s="30" t="s">
        <v>4884</v>
      </c>
      <c r="H549" s="30" t="s">
        <v>4885</v>
      </c>
      <c r="I549" s="23" t="s">
        <v>4659</v>
      </c>
      <c r="J549" s="24" t="s">
        <v>4886</v>
      </c>
      <c r="K549" s="23" t="s">
        <v>121</v>
      </c>
      <c r="L549" s="24" t="s">
        <v>4887</v>
      </c>
      <c r="M549" s="24" t="s">
        <v>4888</v>
      </c>
      <c r="N549" s="23" t="s">
        <v>4889</v>
      </c>
      <c r="O549" s="24" t="s">
        <v>4890</v>
      </c>
      <c r="P549" s="24" t="s">
        <v>4891</v>
      </c>
      <c r="Q549" s="24" t="s">
        <v>4892</v>
      </c>
      <c r="R549" s="25" t="s">
        <v>4893</v>
      </c>
      <c r="S549" s="24" t="s">
        <v>4882</v>
      </c>
      <c r="T549" s="24" t="str">
        <f aca="false">"["&amp;안내!$C$5&amp;" "&amp;F549&amp;"] "&amp;L549&amp;" | "&amp;J549</f>
        <v>[1분 성경 신약 #116] 세례 요한의 죽음 | 마 14:1-12</v>
      </c>
      <c r="U549" s="26" t="n">
        <f aca="false">IF(D549="구약",IF(C549=1,안내!$C$9,안내!$C$10)+AD549-1,IF(C549=1,안내!$C$9,안내!$C$10)+7*INT((AD549-1)/4)+CHOOSE(MOD(AD549-1,4)+1,0,2,4,5))</f>
        <v>46599</v>
      </c>
      <c r="V549" s="23" t="str">
        <f aca="false">CHOOSE(WEEKDAY(U549,2),"월","화","수","목","금","토","일")</f>
        <v>토</v>
      </c>
      <c r="W549" s="24" t="str">
        <f aca="false">IFERROR(IF(INDEX($C$2:$C$799,MATCH(D549&amp;"#"&amp;(E549+1),$AC$2:$AC$799,0))=C549,"다음 편: ","시즌1 완결 · 시즌2 첫 편: ")&amp;INDEX($L$2:$L$799,MATCH(D549&amp;"#"&amp;(E549+1),$AC$2:$AC$799,0)),"신약 트랙 완결")</f>
        <v>다음 편: 가나안 여인의 믿음</v>
      </c>
      <c r="X549" s="23" t="s">
        <v>130</v>
      </c>
      <c r="Y549" s="23" t="s">
        <v>130</v>
      </c>
      <c r="Z549" s="23" t="s">
        <v>130</v>
      </c>
      <c r="AA549" s="23" t="s">
        <v>130</v>
      </c>
      <c r="AB549" s="24"/>
      <c r="AC549" s="23" t="str">
        <f aca="false">D549&amp;"#"&amp;E549</f>
        <v>신약#116</v>
      </c>
      <c r="AD549" s="23" t="n">
        <f aca="false">COUNTIFS($C$2:C549,C549,$D$2:D549,D549)</f>
        <v>12</v>
      </c>
    </row>
    <row r="550" customFormat="false" ht="39.55" hidden="false" customHeight="false" outlineLevel="0" collapsed="false">
      <c r="A550" s="23" t="n">
        <v>549</v>
      </c>
      <c r="B550" s="30" t="s">
        <v>4894</v>
      </c>
      <c r="C550" s="20" t="n">
        <v>1</v>
      </c>
      <c r="D550" s="20" t="s">
        <v>4656</v>
      </c>
      <c r="E550" s="20" t="n">
        <f aca="false">IF(C550=1,COUNTIFS($C$2:C550,1,$D$2:D550,D550),COUNTIFS($C$2:$C$799,1,$D$2:$D$799,D550)+COUNTIFS($C$2:C550,2,$D$2:D550,D550))</f>
        <v>16</v>
      </c>
      <c r="F550" s="20" t="str">
        <f aca="false">D550&amp;" #"&amp;TEXT(E550,"000")</f>
        <v>신약 #016</v>
      </c>
      <c r="G550" s="30" t="s">
        <v>4884</v>
      </c>
      <c r="H550" s="30" t="s">
        <v>4796</v>
      </c>
      <c r="I550" s="23" t="s">
        <v>4659</v>
      </c>
      <c r="J550" s="24" t="s">
        <v>4895</v>
      </c>
      <c r="K550" s="23" t="s">
        <v>121</v>
      </c>
      <c r="L550" s="24" t="s">
        <v>4896</v>
      </c>
      <c r="M550" s="24" t="s">
        <v>4897</v>
      </c>
      <c r="N550" s="23" t="s">
        <v>4898</v>
      </c>
      <c r="O550" s="24" t="s">
        <v>4899</v>
      </c>
      <c r="P550" s="24" t="s">
        <v>4739</v>
      </c>
      <c r="Q550" s="24" t="s">
        <v>4900</v>
      </c>
      <c r="R550" s="24"/>
      <c r="S550" s="28" t="s">
        <v>4901</v>
      </c>
      <c r="T550" s="24" t="str">
        <f aca="false">"["&amp;안내!$C$5&amp;" "&amp;F550&amp;"] "&amp;L550&amp;" | "&amp;J550</f>
        <v>[1분 성경 신약 #016] 오병이어 | 마 14:13-21</v>
      </c>
      <c r="U550" s="26" t="n">
        <f aca="false">IF(D550="구약",IF(C550=1,안내!$C$9,안내!$C$10)+AD550-1,IF(C550=1,안내!$C$9,안내!$C$10)+7*INT((AD550-1)/4)+CHOOSE(MOD(AD550-1,4)+1,0,2,4,5))</f>
        <v>46417</v>
      </c>
      <c r="V550" s="23" t="str">
        <f aca="false">CHOOSE(WEEKDAY(U550,2),"월","화","수","목","금","토","일")</f>
        <v>토</v>
      </c>
      <c r="W550" s="24" t="str">
        <f aca="false">IFERROR(IF(INDEX($C$2:$C$799,MATCH(D550&amp;"#"&amp;(E550+1),$AC$2:$AC$799,0))=C550,"다음 편: ","시즌1 완결 · 시즌2 첫 편: ")&amp;INDEX($L$2:$L$799,MATCH(D550&amp;"#"&amp;(E550+1),$AC$2:$AC$799,0)),"신약 트랙 완결")</f>
        <v>다음 편: 물 위를 걷다</v>
      </c>
      <c r="X550" s="23" t="s">
        <v>130</v>
      </c>
      <c r="Y550" s="23" t="s">
        <v>130</v>
      </c>
      <c r="Z550" s="23" t="s">
        <v>130</v>
      </c>
      <c r="AA550" s="23" t="s">
        <v>130</v>
      </c>
      <c r="AB550" s="24"/>
      <c r="AC550" s="23" t="str">
        <f aca="false">D550&amp;"#"&amp;E550</f>
        <v>신약#16</v>
      </c>
      <c r="AD550" s="23" t="n">
        <f aca="false">COUNTIFS($C$2:C550,C550,$D$2:D550,D550)</f>
        <v>16</v>
      </c>
    </row>
    <row r="551" customFormat="false" ht="15" hidden="false" customHeight="false" outlineLevel="0" collapsed="false">
      <c r="A551" s="23" t="n">
        <v>550</v>
      </c>
      <c r="B551" s="30" t="s">
        <v>4902</v>
      </c>
      <c r="C551" s="20" t="n">
        <v>1</v>
      </c>
      <c r="D551" s="20" t="s">
        <v>4656</v>
      </c>
      <c r="E551" s="20" t="n">
        <f aca="false">IF(C551=1,COUNTIFS($C$2:C551,1,$D$2:D551,D551),COUNTIFS($C$2:$C$799,1,$D$2:$D$799,D551)+COUNTIFS($C$2:C551,2,$D$2:D551,D551))</f>
        <v>17</v>
      </c>
      <c r="F551" s="20" t="str">
        <f aca="false">D551&amp;" #"&amp;TEXT(E551,"000")</f>
        <v>신약 #017</v>
      </c>
      <c r="G551" s="30" t="s">
        <v>4884</v>
      </c>
      <c r="H551" s="30" t="s">
        <v>4796</v>
      </c>
      <c r="I551" s="23" t="s">
        <v>4659</v>
      </c>
      <c r="J551" s="24" t="s">
        <v>4903</v>
      </c>
      <c r="K551" s="23" t="s">
        <v>121</v>
      </c>
      <c r="L551" s="24" t="s">
        <v>4904</v>
      </c>
      <c r="M551" s="24" t="s">
        <v>4905</v>
      </c>
      <c r="N551" s="23" t="s">
        <v>4906</v>
      </c>
      <c r="O551" s="24" t="s">
        <v>4907</v>
      </c>
      <c r="P551" s="24" t="s">
        <v>4908</v>
      </c>
      <c r="Q551" s="24" t="s">
        <v>4909</v>
      </c>
      <c r="R551" s="24"/>
      <c r="S551" s="24" t="s">
        <v>129</v>
      </c>
      <c r="T551" s="24" t="str">
        <f aca="false">"["&amp;안내!$C$5&amp;" "&amp;F551&amp;"] "&amp;L551&amp;" | "&amp;J551</f>
        <v>[1분 성경 신약 #017] 물 위를 걷다 | 마 14:22-36</v>
      </c>
      <c r="U551" s="26" t="n">
        <f aca="false">IF(D551="구약",IF(C551=1,안내!$C$9,안내!$C$10)+AD551-1,IF(C551=1,안내!$C$9,안내!$C$10)+7*INT((AD551-1)/4)+CHOOSE(MOD(AD551-1,4)+1,0,2,4,5))</f>
        <v>46419</v>
      </c>
      <c r="V551" s="23" t="str">
        <f aca="false">CHOOSE(WEEKDAY(U551,2),"월","화","수","목","금","토","일")</f>
        <v>월</v>
      </c>
      <c r="W551" s="24" t="str">
        <f aca="false">IFERROR(IF(INDEX($C$2:$C$799,MATCH(D551&amp;"#"&amp;(E551+1),$AC$2:$AC$799,0))=C551,"다음 편: ","시즌1 완결 · 시즌2 첫 편: ")&amp;INDEX($L$2:$L$799,MATCH(D551&amp;"#"&amp;(E551+1),$AC$2:$AC$799,0)),"신약 트랙 완결")</f>
        <v>다음 편: 너는 그리스도시요</v>
      </c>
      <c r="X551" s="23" t="s">
        <v>130</v>
      </c>
      <c r="Y551" s="23" t="s">
        <v>130</v>
      </c>
      <c r="Z551" s="23" t="s">
        <v>130</v>
      </c>
      <c r="AA551" s="23" t="s">
        <v>130</v>
      </c>
      <c r="AB551" s="24"/>
      <c r="AC551" s="23" t="str">
        <f aca="false">D551&amp;"#"&amp;E551</f>
        <v>신약#17</v>
      </c>
      <c r="AD551" s="23" t="n">
        <f aca="false">COUNTIFS($C$2:C551,C551,$D$2:D551,D551)</f>
        <v>17</v>
      </c>
    </row>
    <row r="552" customFormat="false" ht="26.85" hidden="false" customHeight="false" outlineLevel="0" collapsed="false">
      <c r="A552" s="23" t="n">
        <v>551</v>
      </c>
      <c r="B552" s="30" t="s">
        <v>4910</v>
      </c>
      <c r="C552" s="23" t="n">
        <v>2</v>
      </c>
      <c r="D552" s="23" t="s">
        <v>4656</v>
      </c>
      <c r="E552" s="23" t="n">
        <f aca="false">IF(C552=1,COUNTIFS($C$2:C552,1,$D$2:D552,D552),COUNTIFS($C$2:$C$799,1,$D$2:$D$799,D552)+COUNTIFS($C$2:C552,2,$D$2:D552,D552))</f>
        <v>117</v>
      </c>
      <c r="F552" s="23" t="str">
        <f aca="false">D552&amp;" #"&amp;TEXT(E552,"000")</f>
        <v>신약 #117</v>
      </c>
      <c r="G552" s="30" t="s">
        <v>4884</v>
      </c>
      <c r="H552" s="30" t="s">
        <v>4885</v>
      </c>
      <c r="I552" s="23" t="s">
        <v>4659</v>
      </c>
      <c r="J552" s="24" t="s">
        <v>4911</v>
      </c>
      <c r="K552" s="23" t="s">
        <v>121</v>
      </c>
      <c r="L552" s="24" t="s">
        <v>4912</v>
      </c>
      <c r="M552" s="24" t="s">
        <v>4913</v>
      </c>
      <c r="N552" s="23" t="s">
        <v>4914</v>
      </c>
      <c r="O552" s="24" t="s">
        <v>4915</v>
      </c>
      <c r="P552" s="24" t="s">
        <v>4916</v>
      </c>
      <c r="Q552" s="24" t="s">
        <v>4917</v>
      </c>
      <c r="R552" s="24"/>
      <c r="S552" s="24" t="s">
        <v>4918</v>
      </c>
      <c r="T552" s="24" t="str">
        <f aca="false">"["&amp;안내!$C$5&amp;" "&amp;F552&amp;"] "&amp;L552&amp;" | "&amp;J552</f>
        <v>[1분 성경 신약 #117] 가나안 여인의 믿음 | 마 15:1-28</v>
      </c>
      <c r="U552" s="26" t="n">
        <f aca="false">IF(D552="구약",IF(C552=1,안내!$C$9,안내!$C$10)+AD552-1,IF(C552=1,안내!$C$9,안내!$C$10)+7*INT((AD552-1)/4)+CHOOSE(MOD(AD552-1,4)+1,0,2,4,5))</f>
        <v>46601</v>
      </c>
      <c r="V552" s="23" t="str">
        <f aca="false">CHOOSE(WEEKDAY(U552,2),"월","화","수","목","금","토","일")</f>
        <v>월</v>
      </c>
      <c r="W552" s="24" t="str">
        <f aca="false">IFERROR(IF(INDEX($C$2:$C$799,MATCH(D552&amp;"#"&amp;(E552+1),$AC$2:$AC$799,0))=C552,"다음 편: ","시즌1 완결 · 시즌2 첫 편: ")&amp;INDEX($L$2:$L$799,MATCH(D552&amp;"#"&amp;(E552+1),$AC$2:$AC$799,0)),"신약 트랙 완결")</f>
        <v>다음 편: 칠병이어와 바리새인의 누룩</v>
      </c>
      <c r="X552" s="23" t="s">
        <v>130</v>
      </c>
      <c r="Y552" s="23" t="s">
        <v>130</v>
      </c>
      <c r="Z552" s="23" t="s">
        <v>130</v>
      </c>
      <c r="AA552" s="23" t="s">
        <v>130</v>
      </c>
      <c r="AB552" s="24"/>
      <c r="AC552" s="23" t="str">
        <f aca="false">D552&amp;"#"&amp;E552</f>
        <v>신약#117</v>
      </c>
      <c r="AD552" s="23" t="n">
        <f aca="false">COUNTIFS($C$2:C552,C552,$D$2:D552,D552)</f>
        <v>13</v>
      </c>
    </row>
    <row r="553" customFormat="false" ht="26.85" hidden="false" customHeight="false" outlineLevel="0" collapsed="false">
      <c r="A553" s="23" t="n">
        <v>552</v>
      </c>
      <c r="B553" s="30" t="s">
        <v>4919</v>
      </c>
      <c r="C553" s="23" t="n">
        <v>2</v>
      </c>
      <c r="D553" s="23" t="s">
        <v>4656</v>
      </c>
      <c r="E553" s="23" t="n">
        <f aca="false">IF(C553=1,COUNTIFS($C$2:C553,1,$D$2:D553,D553),COUNTIFS($C$2:$C$799,1,$D$2:$D$799,D553)+COUNTIFS($C$2:C553,2,$D$2:D553,D553))</f>
        <v>118</v>
      </c>
      <c r="F553" s="23" t="str">
        <f aca="false">D553&amp;" #"&amp;TEXT(E553,"000")</f>
        <v>신약 #118</v>
      </c>
      <c r="G553" s="30" t="s">
        <v>4884</v>
      </c>
      <c r="H553" s="30" t="s">
        <v>4885</v>
      </c>
      <c r="I553" s="23" t="s">
        <v>4659</v>
      </c>
      <c r="J553" s="24" t="s">
        <v>4920</v>
      </c>
      <c r="K553" s="23" t="s">
        <v>121</v>
      </c>
      <c r="L553" s="24" t="s">
        <v>4921</v>
      </c>
      <c r="M553" s="24" t="s">
        <v>4922</v>
      </c>
      <c r="N553" s="23" t="s">
        <v>4923</v>
      </c>
      <c r="O553" s="24" t="s">
        <v>4924</v>
      </c>
      <c r="P553" s="24" t="s">
        <v>4925</v>
      </c>
      <c r="Q553" s="24" t="s">
        <v>4926</v>
      </c>
      <c r="R553" s="24"/>
      <c r="S553" s="24" t="s">
        <v>4918</v>
      </c>
      <c r="T553" s="24" t="str">
        <f aca="false">"["&amp;안내!$C$5&amp;" "&amp;F553&amp;"] "&amp;L553&amp;" | "&amp;J553</f>
        <v>[1분 성경 신약 #118] 칠병이어와 바리새인의 누룩 | 마 15:29-16:12</v>
      </c>
      <c r="U553" s="26" t="n">
        <f aca="false">IF(D553="구약",IF(C553=1,안내!$C$9,안내!$C$10)+AD553-1,IF(C553=1,안내!$C$9,안내!$C$10)+7*INT((AD553-1)/4)+CHOOSE(MOD(AD553-1,4)+1,0,2,4,5))</f>
        <v>46603</v>
      </c>
      <c r="V553" s="23" t="str">
        <f aca="false">CHOOSE(WEEKDAY(U553,2),"월","화","수","목","금","토","일")</f>
        <v>수</v>
      </c>
      <c r="W553" s="24" t="str">
        <f aca="false">IFERROR(IF(INDEX($C$2:$C$799,MATCH(D553&amp;"#"&amp;(E553+1),$AC$2:$AC$799,0))=C553,"다음 편: ","시즌1 완결 · 시즌2 첫 편: ")&amp;INDEX($L$2:$L$799,MATCH(D553&amp;"#"&amp;(E553+1),$AC$2:$AC$799,0)),"신약 트랙 완결")</f>
        <v>다음 편: 겨자씨만 한 믿음</v>
      </c>
      <c r="X553" s="23" t="s">
        <v>130</v>
      </c>
      <c r="Y553" s="23" t="s">
        <v>130</v>
      </c>
      <c r="Z553" s="23" t="s">
        <v>130</v>
      </c>
      <c r="AA553" s="23" t="s">
        <v>130</v>
      </c>
      <c r="AB553" s="24"/>
      <c r="AC553" s="23" t="str">
        <f aca="false">D553&amp;"#"&amp;E553</f>
        <v>신약#118</v>
      </c>
      <c r="AD553" s="23" t="n">
        <f aca="false">COUNTIFS($C$2:C553,C553,$D$2:D553,D553)</f>
        <v>14</v>
      </c>
    </row>
    <row r="554" customFormat="false" ht="39.55" hidden="false" customHeight="false" outlineLevel="0" collapsed="false">
      <c r="A554" s="23" t="n">
        <v>553</v>
      </c>
      <c r="B554" s="30" t="s">
        <v>4927</v>
      </c>
      <c r="C554" s="20" t="n">
        <v>1</v>
      </c>
      <c r="D554" s="20" t="s">
        <v>4656</v>
      </c>
      <c r="E554" s="20" t="n">
        <f aca="false">IF(C554=1,COUNTIFS($C$2:C554,1,$D$2:D554,D554),COUNTIFS($C$2:$C$799,1,$D$2:$D$799,D554)+COUNTIFS($C$2:C554,2,$D$2:D554,D554))</f>
        <v>18</v>
      </c>
      <c r="F554" s="20" t="str">
        <f aca="false">D554&amp;" #"&amp;TEXT(E554,"000")</f>
        <v>신약 #018</v>
      </c>
      <c r="G554" s="30" t="s">
        <v>4884</v>
      </c>
      <c r="H554" s="30" t="s">
        <v>4796</v>
      </c>
      <c r="I554" s="23" t="s">
        <v>4659</v>
      </c>
      <c r="J554" s="24" t="s">
        <v>4928</v>
      </c>
      <c r="K554" s="23" t="s">
        <v>121</v>
      </c>
      <c r="L554" s="24" t="s">
        <v>4929</v>
      </c>
      <c r="M554" s="24" t="s">
        <v>4930</v>
      </c>
      <c r="N554" s="23" t="s">
        <v>4931</v>
      </c>
      <c r="O554" s="24" t="s">
        <v>4932</v>
      </c>
      <c r="P554" s="24" t="s">
        <v>4908</v>
      </c>
      <c r="Q554" s="24" t="s">
        <v>4933</v>
      </c>
      <c r="R554" s="27" t="s">
        <v>4934</v>
      </c>
      <c r="S554" s="28" t="s">
        <v>4935</v>
      </c>
      <c r="T554" s="24" t="str">
        <f aca="false">"["&amp;안내!$C$5&amp;" "&amp;F554&amp;"] "&amp;L554&amp;" | "&amp;J554</f>
        <v>[1분 성경 신약 #018] 너는 그리스도시요 | 마 16:13-28</v>
      </c>
      <c r="U554" s="26" t="n">
        <f aca="false">IF(D554="구약",IF(C554=1,안내!$C$9,안내!$C$10)+AD554-1,IF(C554=1,안내!$C$9,안내!$C$10)+7*INT((AD554-1)/4)+CHOOSE(MOD(AD554-1,4)+1,0,2,4,5))</f>
        <v>46421</v>
      </c>
      <c r="V554" s="23" t="str">
        <f aca="false">CHOOSE(WEEKDAY(U554,2),"월","화","수","목","금","토","일")</f>
        <v>수</v>
      </c>
      <c r="W554" s="24" t="str">
        <f aca="false">IFERROR(IF(INDEX($C$2:$C$799,MATCH(D554&amp;"#"&amp;(E554+1),$AC$2:$AC$799,0))=C554,"다음 편: ","시즌1 완결 · 시즌2 첫 편: ")&amp;INDEX($L$2:$L$799,MATCH(D554&amp;"#"&amp;(E554+1),$AC$2:$AC$799,0)),"신약 트랙 완결")</f>
        <v>다음 편: 변화산</v>
      </c>
      <c r="X554" s="23" t="s">
        <v>130</v>
      </c>
      <c r="Y554" s="23" t="s">
        <v>130</v>
      </c>
      <c r="Z554" s="23" t="s">
        <v>130</v>
      </c>
      <c r="AA554" s="23" t="s">
        <v>130</v>
      </c>
      <c r="AB554" s="24"/>
      <c r="AC554" s="23" t="str">
        <f aca="false">D554&amp;"#"&amp;E554</f>
        <v>신약#18</v>
      </c>
      <c r="AD554" s="23" t="n">
        <f aca="false">COUNTIFS($C$2:C554,C554,$D$2:D554,D554)</f>
        <v>18</v>
      </c>
    </row>
    <row r="555" customFormat="false" ht="26.85" hidden="false" customHeight="false" outlineLevel="0" collapsed="false">
      <c r="A555" s="23" t="n">
        <v>554</v>
      </c>
      <c r="B555" s="30" t="s">
        <v>4936</v>
      </c>
      <c r="C555" s="20" t="n">
        <v>1</v>
      </c>
      <c r="D555" s="20" t="s">
        <v>4656</v>
      </c>
      <c r="E555" s="20" t="n">
        <f aca="false">IF(C555=1,COUNTIFS($C$2:C555,1,$D$2:D555,D555),COUNTIFS($C$2:$C$799,1,$D$2:$D$799,D555)+COUNTIFS($C$2:C555,2,$D$2:D555,D555))</f>
        <v>19</v>
      </c>
      <c r="F555" s="20" t="str">
        <f aca="false">D555&amp;" #"&amp;TEXT(E555,"000")</f>
        <v>신약 #019</v>
      </c>
      <c r="G555" s="30" t="s">
        <v>4884</v>
      </c>
      <c r="H555" s="30" t="s">
        <v>4796</v>
      </c>
      <c r="I555" s="23" t="s">
        <v>4659</v>
      </c>
      <c r="J555" s="24" t="s">
        <v>4937</v>
      </c>
      <c r="K555" s="23" t="s">
        <v>121</v>
      </c>
      <c r="L555" s="24" t="s">
        <v>4938</v>
      </c>
      <c r="M555" s="24" t="s">
        <v>4939</v>
      </c>
      <c r="N555" s="23" t="s">
        <v>4940</v>
      </c>
      <c r="O555" s="24" t="s">
        <v>4941</v>
      </c>
      <c r="P555" s="24" t="s">
        <v>4942</v>
      </c>
      <c r="Q555" s="24" t="s">
        <v>4943</v>
      </c>
      <c r="R555" s="24"/>
      <c r="S555" s="24" t="s">
        <v>129</v>
      </c>
      <c r="T555" s="24" t="str">
        <f aca="false">"["&amp;안내!$C$5&amp;" "&amp;F555&amp;"] "&amp;L555&amp;" | "&amp;J555</f>
        <v>[1분 성경 신약 #019] 변화산 | 마 17:1-13</v>
      </c>
      <c r="U555" s="26" t="n">
        <f aca="false">IF(D555="구약",IF(C555=1,안내!$C$9,안내!$C$10)+AD555-1,IF(C555=1,안내!$C$9,안내!$C$10)+7*INT((AD555-1)/4)+CHOOSE(MOD(AD555-1,4)+1,0,2,4,5))</f>
        <v>46423</v>
      </c>
      <c r="V555" s="23" t="str">
        <f aca="false">CHOOSE(WEEKDAY(U555,2),"월","화","수","목","금","토","일")</f>
        <v>금</v>
      </c>
      <c r="W555" s="24" t="str">
        <f aca="false">IFERROR(IF(INDEX($C$2:$C$799,MATCH(D555&amp;"#"&amp;(E555+1),$AC$2:$AC$799,0))=C555,"다음 편: ","시즌1 완결 · 시즌2 첫 편: ")&amp;INDEX($L$2:$L$799,MATCH(D555&amp;"#"&amp;(E555+1),$AC$2:$AC$799,0)),"신약 트랙 완결")</f>
        <v>다음 편: 일흔 번씩 일곱 번</v>
      </c>
      <c r="X555" s="23" t="s">
        <v>130</v>
      </c>
      <c r="Y555" s="23" t="s">
        <v>130</v>
      </c>
      <c r="Z555" s="23" t="s">
        <v>130</v>
      </c>
      <c r="AA555" s="23" t="s">
        <v>130</v>
      </c>
      <c r="AB555" s="24"/>
      <c r="AC555" s="23" t="str">
        <f aca="false">D555&amp;"#"&amp;E555</f>
        <v>신약#19</v>
      </c>
      <c r="AD555" s="23" t="n">
        <f aca="false">COUNTIFS($C$2:C555,C555,$D$2:D555,D555)</f>
        <v>19</v>
      </c>
    </row>
    <row r="556" customFormat="false" ht="26.85" hidden="false" customHeight="false" outlineLevel="0" collapsed="false">
      <c r="A556" s="23" t="n">
        <v>555</v>
      </c>
      <c r="B556" s="30" t="s">
        <v>4944</v>
      </c>
      <c r="C556" s="23" t="n">
        <v>2</v>
      </c>
      <c r="D556" s="23" t="s">
        <v>4656</v>
      </c>
      <c r="E556" s="23" t="n">
        <f aca="false">IF(C556=1,COUNTIFS($C$2:C556,1,$D$2:D556,D556),COUNTIFS($C$2:$C$799,1,$D$2:$D$799,D556)+COUNTIFS($C$2:C556,2,$D$2:D556,D556))</f>
        <v>119</v>
      </c>
      <c r="F556" s="23" t="str">
        <f aca="false">D556&amp;" #"&amp;TEXT(E556,"000")</f>
        <v>신약 #119</v>
      </c>
      <c r="G556" s="30" t="s">
        <v>4884</v>
      </c>
      <c r="H556" s="30" t="s">
        <v>4885</v>
      </c>
      <c r="I556" s="23" t="s">
        <v>4659</v>
      </c>
      <c r="J556" s="24" t="s">
        <v>4945</v>
      </c>
      <c r="K556" s="23" t="s">
        <v>121</v>
      </c>
      <c r="L556" s="24" t="s">
        <v>4946</v>
      </c>
      <c r="M556" s="24" t="s">
        <v>4947</v>
      </c>
      <c r="N556" s="23" t="s">
        <v>4948</v>
      </c>
      <c r="O556" s="24" t="s">
        <v>4949</v>
      </c>
      <c r="P556" s="24" t="s">
        <v>4950</v>
      </c>
      <c r="Q556" s="24" t="s">
        <v>4951</v>
      </c>
      <c r="R556" s="24"/>
      <c r="S556" s="24" t="s">
        <v>4952</v>
      </c>
      <c r="T556" s="24" t="str">
        <f aca="false">"["&amp;안내!$C$5&amp;" "&amp;F556&amp;"] "&amp;L556&amp;" | "&amp;J556</f>
        <v>[1분 성경 신약 #119] 겨자씨만 한 믿음 | 마 17:14-27</v>
      </c>
      <c r="U556" s="26" t="n">
        <f aca="false">IF(D556="구약",IF(C556=1,안내!$C$9,안내!$C$10)+AD556-1,IF(C556=1,안내!$C$9,안내!$C$10)+7*INT((AD556-1)/4)+CHOOSE(MOD(AD556-1,4)+1,0,2,4,5))</f>
        <v>46605</v>
      </c>
      <c r="V556" s="23" t="str">
        <f aca="false">CHOOSE(WEEKDAY(U556,2),"월","화","수","목","금","토","일")</f>
        <v>금</v>
      </c>
      <c r="W556" s="24" t="str">
        <f aca="false">IFERROR(IF(INDEX($C$2:$C$799,MATCH(D556&amp;"#"&amp;(E556+1),$AC$2:$AC$799,0))=C556,"다음 편: ","시즌1 완결 · 시즌2 첫 편: ")&amp;INDEX($L$2:$L$799,MATCH(D556&amp;"#"&amp;(E556+1),$AC$2:$AC$799,0)),"신약 트랙 완결")</f>
        <v>다음 편: 섬기러 오신 예수님</v>
      </c>
      <c r="X556" s="23" t="s">
        <v>130</v>
      </c>
      <c r="Y556" s="23" t="s">
        <v>130</v>
      </c>
      <c r="Z556" s="23" t="s">
        <v>130</v>
      </c>
      <c r="AA556" s="23" t="s">
        <v>130</v>
      </c>
      <c r="AB556" s="24"/>
      <c r="AC556" s="23" t="str">
        <f aca="false">D556&amp;"#"&amp;E556</f>
        <v>신약#119</v>
      </c>
      <c r="AD556" s="23" t="n">
        <f aca="false">COUNTIFS($C$2:C556,C556,$D$2:D556,D556)</f>
        <v>15</v>
      </c>
    </row>
    <row r="557" customFormat="false" ht="26.85" hidden="false" customHeight="false" outlineLevel="0" collapsed="false">
      <c r="A557" s="23" t="n">
        <v>556</v>
      </c>
      <c r="B557" s="30" t="s">
        <v>4953</v>
      </c>
      <c r="C557" s="20" t="n">
        <v>1</v>
      </c>
      <c r="D557" s="20" t="s">
        <v>4656</v>
      </c>
      <c r="E557" s="20" t="n">
        <f aca="false">IF(C557=1,COUNTIFS($C$2:C557,1,$D$2:D557,D557),COUNTIFS($C$2:$C$799,1,$D$2:$D$799,D557)+COUNTIFS($C$2:C557,2,$D$2:D557,D557))</f>
        <v>20</v>
      </c>
      <c r="F557" s="20" t="str">
        <f aca="false">D557&amp;" #"&amp;TEXT(E557,"000")</f>
        <v>신약 #020</v>
      </c>
      <c r="G557" s="30" t="s">
        <v>4884</v>
      </c>
      <c r="H557" s="30" t="s">
        <v>4796</v>
      </c>
      <c r="I557" s="23" t="s">
        <v>4659</v>
      </c>
      <c r="J557" s="24" t="s">
        <v>4954</v>
      </c>
      <c r="K557" s="23" t="s">
        <v>121</v>
      </c>
      <c r="L557" s="24" t="s">
        <v>4955</v>
      </c>
      <c r="M557" s="24" t="s">
        <v>4956</v>
      </c>
      <c r="N557" s="23" t="s">
        <v>4957</v>
      </c>
      <c r="O557" s="24" t="s">
        <v>4958</v>
      </c>
      <c r="P557" s="24" t="s">
        <v>4959</v>
      </c>
      <c r="Q557" s="24" t="s">
        <v>4960</v>
      </c>
      <c r="R557" s="24"/>
      <c r="S557" s="28" t="s">
        <v>4961</v>
      </c>
      <c r="T557" s="24" t="str">
        <f aca="false">"["&amp;안내!$C$5&amp;" "&amp;F557&amp;"] "&amp;L557&amp;" | "&amp;J557</f>
        <v>[1분 성경 신약 #020] 일흔 번씩 일곱 번 | 마 18:1-35</v>
      </c>
      <c r="U557" s="26" t="n">
        <f aca="false">IF(D557="구약",IF(C557=1,안내!$C$9,안내!$C$10)+AD557-1,IF(C557=1,안내!$C$9,안내!$C$10)+7*INT((AD557-1)/4)+CHOOSE(MOD(AD557-1,4)+1,0,2,4,5))</f>
        <v>46424</v>
      </c>
      <c r="V557" s="23" t="str">
        <f aca="false">CHOOSE(WEEKDAY(U557,2),"월","화","수","목","금","토","일")</f>
        <v>토</v>
      </c>
      <c r="W557" s="24" t="str">
        <f aca="false">IFERROR(IF(INDEX($C$2:$C$799,MATCH(D557&amp;"#"&amp;(E557+1),$AC$2:$AC$799,0))=C557,"다음 편: ","시즌1 완결 · 시즌2 첫 편: ")&amp;INDEX($L$2:$L$799,MATCH(D557&amp;"#"&amp;(E557+1),$AC$2:$AC$799,0)),"신약 트랙 완결")</f>
        <v>다음 편: 부자 청년</v>
      </c>
      <c r="X557" s="23" t="s">
        <v>130</v>
      </c>
      <c r="Y557" s="23" t="s">
        <v>130</v>
      </c>
      <c r="Z557" s="23" t="s">
        <v>130</v>
      </c>
      <c r="AA557" s="23" t="s">
        <v>130</v>
      </c>
      <c r="AB557" s="24"/>
      <c r="AC557" s="23" t="str">
        <f aca="false">D557&amp;"#"&amp;E557</f>
        <v>신약#20</v>
      </c>
      <c r="AD557" s="23" t="n">
        <f aca="false">COUNTIFS($C$2:C557,C557,$D$2:D557,D557)</f>
        <v>20</v>
      </c>
    </row>
    <row r="558" customFormat="false" ht="26.85" hidden="false" customHeight="false" outlineLevel="0" collapsed="false">
      <c r="A558" s="23" t="n">
        <v>557</v>
      </c>
      <c r="B558" s="30" t="s">
        <v>4962</v>
      </c>
      <c r="C558" s="20" t="n">
        <v>1</v>
      </c>
      <c r="D558" s="20" t="s">
        <v>4656</v>
      </c>
      <c r="E558" s="20" t="n">
        <f aca="false">IF(C558=1,COUNTIFS($C$2:C558,1,$D$2:D558,D558),COUNTIFS($C$2:$C$799,1,$D$2:$D$799,D558)+COUNTIFS($C$2:C558,2,$D$2:D558,D558))</f>
        <v>21</v>
      </c>
      <c r="F558" s="20" t="str">
        <f aca="false">D558&amp;" #"&amp;TEXT(E558,"000")</f>
        <v>신약 #021</v>
      </c>
      <c r="G558" s="30" t="s">
        <v>4884</v>
      </c>
      <c r="H558" s="30" t="s">
        <v>4796</v>
      </c>
      <c r="I558" s="23" t="s">
        <v>4659</v>
      </c>
      <c r="J558" s="24" t="s">
        <v>4963</v>
      </c>
      <c r="K558" s="23" t="s">
        <v>121</v>
      </c>
      <c r="L558" s="24" t="s">
        <v>4964</v>
      </c>
      <c r="M558" s="24" t="s">
        <v>4965</v>
      </c>
      <c r="N558" s="23" t="s">
        <v>4966</v>
      </c>
      <c r="O558" s="24" t="s">
        <v>4967</v>
      </c>
      <c r="P558" s="24" t="s">
        <v>4968</v>
      </c>
      <c r="Q558" s="24" t="s">
        <v>4969</v>
      </c>
      <c r="R558" s="24"/>
      <c r="S558" s="24" t="s">
        <v>129</v>
      </c>
      <c r="T558" s="24" t="str">
        <f aca="false">"["&amp;안내!$C$5&amp;" "&amp;F558&amp;"] "&amp;L558&amp;" | "&amp;J558</f>
        <v>[1분 성경 신약 #021] 부자 청년 | 마 19:1-30</v>
      </c>
      <c r="U558" s="26" t="n">
        <f aca="false">IF(D558="구약",IF(C558=1,안내!$C$9,안내!$C$10)+AD558-1,IF(C558=1,안내!$C$9,안내!$C$10)+7*INT((AD558-1)/4)+CHOOSE(MOD(AD558-1,4)+1,0,2,4,5))</f>
        <v>46426</v>
      </c>
      <c r="V558" s="23" t="str">
        <f aca="false">CHOOSE(WEEKDAY(U558,2),"월","화","수","목","금","토","일")</f>
        <v>월</v>
      </c>
      <c r="W558" s="24" t="str">
        <f aca="false">IFERROR(IF(INDEX($C$2:$C$799,MATCH(D558&amp;"#"&amp;(E558+1),$AC$2:$AC$799,0))=C558,"다음 편: ","시즌1 완결 · 시즌2 첫 편: ")&amp;INDEX($L$2:$L$799,MATCH(D558&amp;"#"&amp;(E558+1),$AC$2:$AC$799,0)),"신약 트랙 완결")</f>
        <v>다음 편: 호산나</v>
      </c>
      <c r="X558" s="23" t="s">
        <v>130</v>
      </c>
      <c r="Y558" s="23" t="s">
        <v>130</v>
      </c>
      <c r="Z558" s="23" t="s">
        <v>130</v>
      </c>
      <c r="AA558" s="23" t="s">
        <v>130</v>
      </c>
      <c r="AB558" s="24"/>
      <c r="AC558" s="23" t="str">
        <f aca="false">D558&amp;"#"&amp;E558</f>
        <v>신약#21</v>
      </c>
      <c r="AD558" s="23" t="n">
        <f aca="false">COUNTIFS($C$2:C558,C558,$D$2:D558,D558)</f>
        <v>21</v>
      </c>
    </row>
    <row r="559" customFormat="false" ht="39.55" hidden="false" customHeight="false" outlineLevel="0" collapsed="false">
      <c r="A559" s="23" t="n">
        <v>558</v>
      </c>
      <c r="B559" s="30" t="s">
        <v>4970</v>
      </c>
      <c r="C559" s="23" t="n">
        <v>2</v>
      </c>
      <c r="D559" s="23" t="s">
        <v>4656</v>
      </c>
      <c r="E559" s="23" t="n">
        <f aca="false">IF(C559=1,COUNTIFS($C$2:C559,1,$D$2:D559,D559),COUNTIFS($C$2:$C$799,1,$D$2:$D$799,D559)+COUNTIFS($C$2:C559,2,$D$2:D559,D559))</f>
        <v>120</v>
      </c>
      <c r="F559" s="23" t="str">
        <f aca="false">D559&amp;" #"&amp;TEXT(E559,"000")</f>
        <v>신약 #120</v>
      </c>
      <c r="G559" s="30" t="s">
        <v>4884</v>
      </c>
      <c r="H559" s="30" t="s">
        <v>4885</v>
      </c>
      <c r="I559" s="23" t="s">
        <v>4659</v>
      </c>
      <c r="J559" s="24" t="s">
        <v>4971</v>
      </c>
      <c r="K559" s="23" t="s">
        <v>121</v>
      </c>
      <c r="L559" s="24" t="s">
        <v>4972</v>
      </c>
      <c r="M559" s="24" t="s">
        <v>4973</v>
      </c>
      <c r="N559" s="23" t="s">
        <v>4974</v>
      </c>
      <c r="O559" s="24" t="s">
        <v>4975</v>
      </c>
      <c r="P559" s="24" t="s">
        <v>4976</v>
      </c>
      <c r="Q559" s="24" t="s">
        <v>4977</v>
      </c>
      <c r="R559" s="24"/>
      <c r="S559" s="24" t="s">
        <v>4978</v>
      </c>
      <c r="T559" s="24" t="str">
        <f aca="false">"["&amp;안내!$C$5&amp;" "&amp;F559&amp;"] "&amp;L559&amp;" | "&amp;J559</f>
        <v>[1분 성경 신약 #120] 섬기러 오신 예수님 | 마 20:1-34</v>
      </c>
      <c r="U559" s="26" t="n">
        <f aca="false">IF(D559="구약",IF(C559=1,안내!$C$9,안내!$C$10)+AD559-1,IF(C559=1,안내!$C$9,안내!$C$10)+7*INT((AD559-1)/4)+CHOOSE(MOD(AD559-1,4)+1,0,2,4,5))</f>
        <v>46606</v>
      </c>
      <c r="V559" s="23" t="str">
        <f aca="false">CHOOSE(WEEKDAY(U559,2),"월","화","수","목","금","토","일")</f>
        <v>토</v>
      </c>
      <c r="W559" s="24" t="str">
        <f aca="false">IFERROR(IF(INDEX($C$2:$C$799,MATCH(D559&amp;"#"&amp;(E559+1),$AC$2:$AC$799,0))=C559,"다음 편: ","시즌1 완결 · 시즌2 첫 편: ")&amp;INDEX($L$2:$L$799,MATCH(D559&amp;"#"&amp;(E559+1),$AC$2:$AC$799,0)),"신약 트랙 완결")</f>
        <v>다음 편: 버린 돌이 머릿돌이 되다</v>
      </c>
      <c r="X559" s="23" t="s">
        <v>130</v>
      </c>
      <c r="Y559" s="23" t="s">
        <v>130</v>
      </c>
      <c r="Z559" s="23" t="s">
        <v>130</v>
      </c>
      <c r="AA559" s="23" t="s">
        <v>130</v>
      </c>
      <c r="AB559" s="24"/>
      <c r="AC559" s="23" t="str">
        <f aca="false">D559&amp;"#"&amp;E559</f>
        <v>신약#120</v>
      </c>
      <c r="AD559" s="23" t="n">
        <f aca="false">COUNTIFS($C$2:C559,C559,$D$2:D559,D559)</f>
        <v>16</v>
      </c>
    </row>
    <row r="560" customFormat="false" ht="26.85" hidden="false" customHeight="false" outlineLevel="0" collapsed="false">
      <c r="A560" s="23" t="n">
        <v>559</v>
      </c>
      <c r="B560" s="30" t="s">
        <v>4979</v>
      </c>
      <c r="C560" s="20" t="n">
        <v>1</v>
      </c>
      <c r="D560" s="20" t="s">
        <v>4656</v>
      </c>
      <c r="E560" s="20" t="n">
        <f aca="false">IF(C560=1,COUNTIFS($C$2:C560,1,$D$2:D560,D560),COUNTIFS($C$2:$C$799,1,$D$2:$D$799,D560)+COUNTIFS($C$2:C560,2,$D$2:D560,D560))</f>
        <v>22</v>
      </c>
      <c r="F560" s="20" t="str">
        <f aca="false">D560&amp;" #"&amp;TEXT(E560,"000")</f>
        <v>신약 #022</v>
      </c>
      <c r="G560" s="30" t="s">
        <v>4980</v>
      </c>
      <c r="H560" s="30" t="s">
        <v>4981</v>
      </c>
      <c r="I560" s="23" t="s">
        <v>4659</v>
      </c>
      <c r="J560" s="24" t="s">
        <v>4982</v>
      </c>
      <c r="K560" s="23" t="s">
        <v>121</v>
      </c>
      <c r="L560" s="24" t="s">
        <v>4983</v>
      </c>
      <c r="M560" s="24" t="s">
        <v>4984</v>
      </c>
      <c r="N560" s="23" t="s">
        <v>4985</v>
      </c>
      <c r="O560" s="24" t="s">
        <v>4986</v>
      </c>
      <c r="P560" s="24" t="s">
        <v>4739</v>
      </c>
      <c r="Q560" s="24" t="s">
        <v>4987</v>
      </c>
      <c r="R560" s="24"/>
      <c r="S560" s="28" t="s">
        <v>4988</v>
      </c>
      <c r="T560" s="24" t="str">
        <f aca="false">"["&amp;안내!$C$5&amp;" "&amp;F560&amp;"] "&amp;L560&amp;" | "&amp;J560</f>
        <v>[1분 성경 신약 #022] 호산나 | 마 21:1-17</v>
      </c>
      <c r="U560" s="26" t="n">
        <f aca="false">IF(D560="구약",IF(C560=1,안내!$C$9,안내!$C$10)+AD560-1,IF(C560=1,안내!$C$9,안내!$C$10)+7*INT((AD560-1)/4)+CHOOSE(MOD(AD560-1,4)+1,0,2,4,5))</f>
        <v>46428</v>
      </c>
      <c r="V560" s="23" t="str">
        <f aca="false">CHOOSE(WEEKDAY(U560,2),"월","화","수","목","금","토","일")</f>
        <v>수</v>
      </c>
      <c r="W560" s="24" t="str">
        <f aca="false">IFERROR(IF(INDEX($C$2:$C$799,MATCH(D560&amp;"#"&amp;(E560+1),$AC$2:$AC$799,0))=C560,"다음 편: ","시즌1 완결 · 시즌2 첫 편: ")&amp;INDEX($L$2:$L$799,MATCH(D560&amp;"#"&amp;(E560+1),$AC$2:$AC$799,0)),"신약 트랙 완결")</f>
        <v>다음 편: 열 처녀</v>
      </c>
      <c r="X560" s="23" t="s">
        <v>130</v>
      </c>
      <c r="Y560" s="23" t="s">
        <v>130</v>
      </c>
      <c r="Z560" s="23" t="s">
        <v>130</v>
      </c>
      <c r="AA560" s="23" t="s">
        <v>130</v>
      </c>
      <c r="AB560" s="24"/>
      <c r="AC560" s="23" t="str">
        <f aca="false">D560&amp;"#"&amp;E560</f>
        <v>신약#22</v>
      </c>
      <c r="AD560" s="23" t="n">
        <f aca="false">COUNTIFS($C$2:C560,C560,$D$2:D560,D560)</f>
        <v>22</v>
      </c>
    </row>
    <row r="561" customFormat="false" ht="26.85" hidden="false" customHeight="false" outlineLevel="0" collapsed="false">
      <c r="A561" s="23" t="n">
        <v>560</v>
      </c>
      <c r="B561" s="30" t="s">
        <v>4989</v>
      </c>
      <c r="C561" s="23" t="n">
        <v>2</v>
      </c>
      <c r="D561" s="23" t="s">
        <v>4656</v>
      </c>
      <c r="E561" s="23" t="n">
        <f aca="false">IF(C561=1,COUNTIFS($C$2:C561,1,$D$2:D561,D561),COUNTIFS($C$2:$C$799,1,$D$2:$D$799,D561)+COUNTIFS($C$2:C561,2,$D$2:D561,D561))</f>
        <v>121</v>
      </c>
      <c r="F561" s="23" t="str">
        <f aca="false">D561&amp;" #"&amp;TEXT(E561,"000")</f>
        <v>신약 #121</v>
      </c>
      <c r="G561" s="30" t="s">
        <v>4980</v>
      </c>
      <c r="H561" s="30" t="s">
        <v>4885</v>
      </c>
      <c r="I561" s="23" t="s">
        <v>4659</v>
      </c>
      <c r="J561" s="24" t="s">
        <v>4990</v>
      </c>
      <c r="K561" s="23" t="s">
        <v>121</v>
      </c>
      <c r="L561" s="24" t="s">
        <v>4991</v>
      </c>
      <c r="M561" s="24" t="s">
        <v>4992</v>
      </c>
      <c r="N561" s="23" t="s">
        <v>4993</v>
      </c>
      <c r="O561" s="24" t="s">
        <v>4994</v>
      </c>
      <c r="P561" s="24" t="s">
        <v>4995</v>
      </c>
      <c r="Q561" s="24" t="s">
        <v>2455</v>
      </c>
      <c r="R561" s="24"/>
      <c r="S561" s="24" t="s">
        <v>4996</v>
      </c>
      <c r="T561" s="24" t="str">
        <f aca="false">"["&amp;안내!$C$5&amp;" "&amp;F561&amp;"] "&amp;L561&amp;" | "&amp;J561</f>
        <v>[1분 성경 신약 #121] 버린 돌이 머릿돌이 되다 | 마 21:18-46</v>
      </c>
      <c r="U561" s="26" t="n">
        <f aca="false">IF(D561="구약",IF(C561=1,안내!$C$9,안내!$C$10)+AD561-1,IF(C561=1,안내!$C$9,안내!$C$10)+7*INT((AD561-1)/4)+CHOOSE(MOD(AD561-1,4)+1,0,2,4,5))</f>
        <v>46608</v>
      </c>
      <c r="V561" s="23" t="str">
        <f aca="false">CHOOSE(WEEKDAY(U561,2),"월","화","수","목","금","토","일")</f>
        <v>월</v>
      </c>
      <c r="W561" s="24" t="str">
        <f aca="false">IFERROR(IF(INDEX($C$2:$C$799,MATCH(D561&amp;"#"&amp;(E561+1),$AC$2:$AC$799,0))=C561,"다음 편: ","시즌1 완결 · 시즌2 첫 편: ")&amp;INDEX($L$2:$L$799,MATCH(D561&amp;"#"&amp;(E561+1),$AC$2:$AC$799,0)),"신약 트랙 완결")</f>
        <v>다음 편: 가장 큰 계명</v>
      </c>
      <c r="X561" s="23" t="s">
        <v>130</v>
      </c>
      <c r="Y561" s="23" t="s">
        <v>130</v>
      </c>
      <c r="Z561" s="23" t="s">
        <v>130</v>
      </c>
      <c r="AA561" s="23" t="s">
        <v>130</v>
      </c>
      <c r="AB561" s="24"/>
      <c r="AC561" s="23" t="str">
        <f aca="false">D561&amp;"#"&amp;E561</f>
        <v>신약#121</v>
      </c>
      <c r="AD561" s="23" t="n">
        <f aca="false">COUNTIFS($C$2:C561,C561,$D$2:D561,D561)</f>
        <v>17</v>
      </c>
    </row>
    <row r="562" customFormat="false" ht="26.85" hidden="false" customHeight="false" outlineLevel="0" collapsed="false">
      <c r="A562" s="23" t="n">
        <v>561</v>
      </c>
      <c r="B562" s="30" t="s">
        <v>4997</v>
      </c>
      <c r="C562" s="23" t="n">
        <v>2</v>
      </c>
      <c r="D562" s="23" t="s">
        <v>4656</v>
      </c>
      <c r="E562" s="23" t="n">
        <f aca="false">IF(C562=1,COUNTIFS($C$2:C562,1,$D$2:D562,D562),COUNTIFS($C$2:$C$799,1,$D$2:$D$799,D562)+COUNTIFS($C$2:C562,2,$D$2:D562,D562))</f>
        <v>122</v>
      </c>
      <c r="F562" s="23" t="str">
        <f aca="false">D562&amp;" #"&amp;TEXT(E562,"000")</f>
        <v>신약 #122</v>
      </c>
      <c r="G562" s="30" t="s">
        <v>4980</v>
      </c>
      <c r="H562" s="30" t="s">
        <v>4885</v>
      </c>
      <c r="I562" s="23" t="s">
        <v>4659</v>
      </c>
      <c r="J562" s="24" t="s">
        <v>4998</v>
      </c>
      <c r="K562" s="23" t="s">
        <v>121</v>
      </c>
      <c r="L562" s="24" t="s">
        <v>4999</v>
      </c>
      <c r="M562" s="24" t="s">
        <v>5000</v>
      </c>
      <c r="N562" s="23" t="s">
        <v>5001</v>
      </c>
      <c r="O562" s="24" t="s">
        <v>5002</v>
      </c>
      <c r="P562" s="24" t="s">
        <v>5003</v>
      </c>
      <c r="Q562" s="24" t="s">
        <v>2455</v>
      </c>
      <c r="R562" s="24"/>
      <c r="S562" s="24" t="s">
        <v>4996</v>
      </c>
      <c r="T562" s="24" t="str">
        <f aca="false">"["&amp;안내!$C$5&amp;" "&amp;F562&amp;"] "&amp;L562&amp;" | "&amp;J562</f>
        <v>[1분 성경 신약 #122] 가장 큰 계명 | 마 22:1-46</v>
      </c>
      <c r="U562" s="26" t="n">
        <f aca="false">IF(D562="구약",IF(C562=1,안내!$C$9,안내!$C$10)+AD562-1,IF(C562=1,안내!$C$9,안내!$C$10)+7*INT((AD562-1)/4)+CHOOSE(MOD(AD562-1,4)+1,0,2,4,5))</f>
        <v>46610</v>
      </c>
      <c r="V562" s="23" t="str">
        <f aca="false">CHOOSE(WEEKDAY(U562,2),"월","화","수","목","금","토","일")</f>
        <v>수</v>
      </c>
      <c r="W562" s="24" t="str">
        <f aca="false">IFERROR(IF(INDEX($C$2:$C$799,MATCH(D562&amp;"#"&amp;(E562+1),$AC$2:$AC$799,0))=C562,"다음 편: ","시즌1 완결 · 시즌2 첫 편: ")&amp;INDEX($L$2:$L$799,MATCH(D562&amp;"#"&amp;(E562+1),$AC$2:$AC$799,0)),"신약 트랙 완결")</f>
        <v>다음 편: 암탉이 병아리를 모음같이</v>
      </c>
      <c r="X562" s="23" t="s">
        <v>130</v>
      </c>
      <c r="Y562" s="23" t="s">
        <v>130</v>
      </c>
      <c r="Z562" s="23" t="s">
        <v>130</v>
      </c>
      <c r="AA562" s="23" t="s">
        <v>130</v>
      </c>
      <c r="AB562" s="24"/>
      <c r="AC562" s="23" t="str">
        <f aca="false">D562&amp;"#"&amp;E562</f>
        <v>신약#122</v>
      </c>
      <c r="AD562" s="23" t="n">
        <f aca="false">COUNTIFS($C$2:C562,C562,$D$2:D562,D562)</f>
        <v>18</v>
      </c>
    </row>
    <row r="563" customFormat="false" ht="26.85" hidden="false" customHeight="false" outlineLevel="0" collapsed="false">
      <c r="A563" s="23" t="n">
        <v>562</v>
      </c>
      <c r="B563" s="30" t="s">
        <v>5004</v>
      </c>
      <c r="C563" s="23" t="n">
        <v>2</v>
      </c>
      <c r="D563" s="23" t="s">
        <v>4656</v>
      </c>
      <c r="E563" s="23" t="n">
        <f aca="false">IF(C563=1,COUNTIFS($C$2:C563,1,$D$2:D563,D563),COUNTIFS($C$2:$C$799,1,$D$2:$D$799,D563)+COUNTIFS($C$2:C563,2,$D$2:D563,D563))</f>
        <v>123</v>
      </c>
      <c r="F563" s="23" t="str">
        <f aca="false">D563&amp;" #"&amp;TEXT(E563,"000")</f>
        <v>신약 #123</v>
      </c>
      <c r="G563" s="30" t="s">
        <v>4980</v>
      </c>
      <c r="H563" s="30" t="s">
        <v>4885</v>
      </c>
      <c r="I563" s="23" t="s">
        <v>4659</v>
      </c>
      <c r="J563" s="24" t="s">
        <v>5005</v>
      </c>
      <c r="K563" s="23" t="s">
        <v>121</v>
      </c>
      <c r="L563" s="24" t="s">
        <v>5006</v>
      </c>
      <c r="M563" s="24" t="s">
        <v>5007</v>
      </c>
      <c r="N563" s="23" t="s">
        <v>5008</v>
      </c>
      <c r="O563" s="24" t="s">
        <v>5009</v>
      </c>
      <c r="P563" s="24" t="s">
        <v>5010</v>
      </c>
      <c r="Q563" s="24" t="s">
        <v>5011</v>
      </c>
      <c r="R563" s="24"/>
      <c r="S563" s="24" t="s">
        <v>4996</v>
      </c>
      <c r="T563" s="24" t="str">
        <f aca="false">"["&amp;안내!$C$5&amp;" "&amp;F563&amp;"] "&amp;L563&amp;" | "&amp;J563</f>
        <v>[1분 성경 신약 #123] 암탉이 병아리를 모음같이 | 마 23:1-39</v>
      </c>
      <c r="U563" s="26" t="n">
        <f aca="false">IF(D563="구약",IF(C563=1,안내!$C$9,안내!$C$10)+AD563-1,IF(C563=1,안내!$C$9,안내!$C$10)+7*INT((AD563-1)/4)+CHOOSE(MOD(AD563-1,4)+1,0,2,4,5))</f>
        <v>46612</v>
      </c>
      <c r="V563" s="23" t="str">
        <f aca="false">CHOOSE(WEEKDAY(U563,2),"월","화","수","목","금","토","일")</f>
        <v>금</v>
      </c>
      <c r="W563" s="24" t="str">
        <f aca="false">IFERROR(IF(INDEX($C$2:$C$799,MATCH(D563&amp;"#"&amp;(E563+1),$AC$2:$AC$799,0))=C563,"다음 편: ","시즌1 완결 · 시즌2 첫 편: ")&amp;INDEX($L$2:$L$799,MATCH(D563&amp;"#"&amp;(E563+1),$AC$2:$AC$799,0)),"신약 트랙 완결")</f>
        <v>다음 편: 마지막 때의 징조</v>
      </c>
      <c r="X563" s="23" t="s">
        <v>130</v>
      </c>
      <c r="Y563" s="23" t="s">
        <v>130</v>
      </c>
      <c r="Z563" s="23" t="s">
        <v>130</v>
      </c>
      <c r="AA563" s="23" t="s">
        <v>130</v>
      </c>
      <c r="AB563" s="24"/>
      <c r="AC563" s="23" t="str">
        <f aca="false">D563&amp;"#"&amp;E563</f>
        <v>신약#123</v>
      </c>
      <c r="AD563" s="23" t="n">
        <f aca="false">COUNTIFS($C$2:C563,C563,$D$2:D563,D563)</f>
        <v>19</v>
      </c>
    </row>
    <row r="564" customFormat="false" ht="26.85" hidden="false" customHeight="false" outlineLevel="0" collapsed="false">
      <c r="A564" s="23" t="n">
        <v>563</v>
      </c>
      <c r="B564" s="30" t="s">
        <v>5012</v>
      </c>
      <c r="C564" s="23" t="n">
        <v>2</v>
      </c>
      <c r="D564" s="23" t="s">
        <v>4656</v>
      </c>
      <c r="E564" s="23" t="n">
        <f aca="false">IF(C564=1,COUNTIFS($C$2:C564,1,$D$2:D564,D564),COUNTIFS($C$2:$C$799,1,$D$2:$D$799,D564)+COUNTIFS($C$2:C564,2,$D$2:D564,D564))</f>
        <v>124</v>
      </c>
      <c r="F564" s="23" t="str">
        <f aca="false">D564&amp;" #"&amp;TEXT(E564,"000")</f>
        <v>신약 #124</v>
      </c>
      <c r="G564" s="30" t="s">
        <v>4980</v>
      </c>
      <c r="H564" s="30" t="s">
        <v>4885</v>
      </c>
      <c r="I564" s="23" t="s">
        <v>4659</v>
      </c>
      <c r="J564" s="24" t="s">
        <v>5013</v>
      </c>
      <c r="K564" s="23" t="s">
        <v>121</v>
      </c>
      <c r="L564" s="24" t="s">
        <v>5014</v>
      </c>
      <c r="M564" s="24" t="s">
        <v>5015</v>
      </c>
      <c r="N564" s="23" t="s">
        <v>5016</v>
      </c>
      <c r="O564" s="24" t="s">
        <v>5017</v>
      </c>
      <c r="P564" s="24" t="s">
        <v>4768</v>
      </c>
      <c r="Q564" s="24" t="s">
        <v>5018</v>
      </c>
      <c r="R564" s="25" t="s">
        <v>5019</v>
      </c>
      <c r="S564" s="24" t="s">
        <v>4996</v>
      </c>
      <c r="T564" s="24" t="str">
        <f aca="false">"["&amp;안내!$C$5&amp;" "&amp;F564&amp;"] "&amp;L564&amp;" | "&amp;J564</f>
        <v>[1분 성경 신약 #124] 마지막 때의 징조 | 마 24:1-31</v>
      </c>
      <c r="U564" s="26" t="n">
        <f aca="false">IF(D564="구약",IF(C564=1,안내!$C$9,안내!$C$10)+AD564-1,IF(C564=1,안내!$C$9,안내!$C$10)+7*INT((AD564-1)/4)+CHOOSE(MOD(AD564-1,4)+1,0,2,4,5))</f>
        <v>46613</v>
      </c>
      <c r="V564" s="23" t="str">
        <f aca="false">CHOOSE(WEEKDAY(U564,2),"월","화","수","목","금","토","일")</f>
        <v>토</v>
      </c>
      <c r="W564" s="24" t="str">
        <f aca="false">IFERROR(IF(INDEX($C$2:$C$799,MATCH(D564&amp;"#"&amp;(E564+1),$AC$2:$AC$799,0))=C564,"다음 편: ","시즌1 완결 · 시즌2 첫 편: ")&amp;INDEX($L$2:$L$799,MATCH(D564&amp;"#"&amp;(E564+1),$AC$2:$AC$799,0)),"신약 트랙 완결")</f>
        <v>다음 편: 그날과 그때는</v>
      </c>
      <c r="X564" s="23" t="s">
        <v>130</v>
      </c>
      <c r="Y564" s="23" t="s">
        <v>130</v>
      </c>
      <c r="Z564" s="23" t="s">
        <v>130</v>
      </c>
      <c r="AA564" s="23" t="s">
        <v>130</v>
      </c>
      <c r="AB564" s="24"/>
      <c r="AC564" s="23" t="str">
        <f aca="false">D564&amp;"#"&amp;E564</f>
        <v>신약#124</v>
      </c>
      <c r="AD564" s="23" t="n">
        <f aca="false">COUNTIFS($C$2:C564,C564,$D$2:D564,D564)</f>
        <v>20</v>
      </c>
    </row>
    <row r="565" customFormat="false" ht="15" hidden="false" customHeight="false" outlineLevel="0" collapsed="false">
      <c r="A565" s="23" t="n">
        <v>564</v>
      </c>
      <c r="B565" s="30" t="s">
        <v>5020</v>
      </c>
      <c r="C565" s="23" t="n">
        <v>2</v>
      </c>
      <c r="D565" s="23" t="s">
        <v>4656</v>
      </c>
      <c r="E565" s="23" t="n">
        <f aca="false">IF(C565=1,COUNTIFS($C$2:C565,1,$D$2:D565,D565),COUNTIFS($C$2:$C$799,1,$D$2:$D$799,D565)+COUNTIFS($C$2:C565,2,$D$2:D565,D565))</f>
        <v>125</v>
      </c>
      <c r="F565" s="23" t="str">
        <f aca="false">D565&amp;" #"&amp;TEXT(E565,"000")</f>
        <v>신약 #125</v>
      </c>
      <c r="G565" s="30" t="s">
        <v>4980</v>
      </c>
      <c r="H565" s="30" t="s">
        <v>4885</v>
      </c>
      <c r="I565" s="23" t="s">
        <v>4659</v>
      </c>
      <c r="J565" s="24" t="s">
        <v>5021</v>
      </c>
      <c r="K565" s="23" t="s">
        <v>121</v>
      </c>
      <c r="L565" s="24" t="s">
        <v>5022</v>
      </c>
      <c r="M565" s="24" t="s">
        <v>5023</v>
      </c>
      <c r="N565" s="23" t="s">
        <v>5024</v>
      </c>
      <c r="O565" s="24" t="s">
        <v>5025</v>
      </c>
      <c r="P565" s="24" t="s">
        <v>4768</v>
      </c>
      <c r="Q565" s="24" t="s">
        <v>5026</v>
      </c>
      <c r="R565" s="25" t="s">
        <v>5027</v>
      </c>
      <c r="S565" s="24" t="s">
        <v>4996</v>
      </c>
      <c r="T565" s="24" t="str">
        <f aca="false">"["&amp;안내!$C$5&amp;" "&amp;F565&amp;"] "&amp;L565&amp;" | "&amp;J565</f>
        <v>[1분 성경 신약 #125] 그날과 그때는 | 마 24:32-51</v>
      </c>
      <c r="U565" s="26" t="n">
        <f aca="false">IF(D565="구약",IF(C565=1,안내!$C$9,안내!$C$10)+AD565-1,IF(C565=1,안내!$C$9,안내!$C$10)+7*INT((AD565-1)/4)+CHOOSE(MOD(AD565-1,4)+1,0,2,4,5))</f>
        <v>46615</v>
      </c>
      <c r="V565" s="23" t="str">
        <f aca="false">CHOOSE(WEEKDAY(U565,2),"월","화","수","목","금","토","일")</f>
        <v>월</v>
      </c>
      <c r="W565" s="24" t="str">
        <f aca="false">IFERROR(IF(INDEX($C$2:$C$799,MATCH(D565&amp;"#"&amp;(E565+1),$AC$2:$AC$799,0))=C565,"다음 편: ","시즌1 완결 · 시즌2 첫 편: ")&amp;INDEX($L$2:$L$799,MATCH(D565&amp;"#"&amp;(E565+1),$AC$2:$AC$799,0)),"신약 트랙 완결")</f>
        <v>다음 편: 양과 염소</v>
      </c>
      <c r="X565" s="23" t="s">
        <v>130</v>
      </c>
      <c r="Y565" s="23" t="s">
        <v>130</v>
      </c>
      <c r="Z565" s="23" t="s">
        <v>130</v>
      </c>
      <c r="AA565" s="23" t="s">
        <v>130</v>
      </c>
      <c r="AB565" s="24"/>
      <c r="AC565" s="23" t="str">
        <f aca="false">D565&amp;"#"&amp;E565</f>
        <v>신약#125</v>
      </c>
      <c r="AD565" s="23" t="n">
        <f aca="false">COUNTIFS($C$2:C565,C565,$D$2:D565,D565)</f>
        <v>21</v>
      </c>
    </row>
    <row r="566" customFormat="false" ht="52.2" hidden="false" customHeight="false" outlineLevel="0" collapsed="false">
      <c r="A566" s="23" t="n">
        <v>565</v>
      </c>
      <c r="B566" s="30" t="s">
        <v>5028</v>
      </c>
      <c r="C566" s="20" t="n">
        <v>1</v>
      </c>
      <c r="D566" s="20" t="s">
        <v>4656</v>
      </c>
      <c r="E566" s="20" t="n">
        <f aca="false">IF(C566=1,COUNTIFS($C$2:C566,1,$D$2:D566,D566),COUNTIFS($C$2:$C$799,1,$D$2:$D$799,D566)+COUNTIFS($C$2:C566,2,$D$2:D566,D566))</f>
        <v>23</v>
      </c>
      <c r="F566" s="20" t="str">
        <f aca="false">D566&amp;" #"&amp;TEXT(E566,"000")</f>
        <v>신약 #023</v>
      </c>
      <c r="G566" s="30" t="s">
        <v>4980</v>
      </c>
      <c r="H566" s="30" t="s">
        <v>4981</v>
      </c>
      <c r="I566" s="23" t="s">
        <v>4659</v>
      </c>
      <c r="J566" s="24" t="s">
        <v>5029</v>
      </c>
      <c r="K566" s="23" t="s">
        <v>121</v>
      </c>
      <c r="L566" s="24" t="s">
        <v>5030</v>
      </c>
      <c r="M566" s="24" t="s">
        <v>5031</v>
      </c>
      <c r="N566" s="23" t="s">
        <v>5032</v>
      </c>
      <c r="O566" s="24" t="s">
        <v>5033</v>
      </c>
      <c r="P566" s="24" t="s">
        <v>5034</v>
      </c>
      <c r="Q566" s="24" t="s">
        <v>5035</v>
      </c>
      <c r="R566" s="25" t="s">
        <v>5036</v>
      </c>
      <c r="S566" s="28" t="s">
        <v>5037</v>
      </c>
      <c r="T566" s="24" t="str">
        <f aca="false">"["&amp;안내!$C$5&amp;" "&amp;F566&amp;"] "&amp;L566&amp;" | "&amp;J566</f>
        <v>[1분 성경 신약 #023] 열 처녀 | 마 25:1-13</v>
      </c>
      <c r="U566" s="26" t="n">
        <f aca="false">IF(D566="구약",IF(C566=1,안내!$C$9,안내!$C$10)+AD566-1,IF(C566=1,안내!$C$9,안내!$C$10)+7*INT((AD566-1)/4)+CHOOSE(MOD(AD566-1,4)+1,0,2,4,5))</f>
        <v>46430</v>
      </c>
      <c r="V566" s="23" t="str">
        <f aca="false">CHOOSE(WEEKDAY(U566,2),"월","화","수","목","금","토","일")</f>
        <v>금</v>
      </c>
      <c r="W566" s="24" t="str">
        <f aca="false">IFERROR(IF(INDEX($C$2:$C$799,MATCH(D566&amp;"#"&amp;(E566+1),$AC$2:$AC$799,0))=C566,"다음 편: ","시즌1 완결 · 시즌2 첫 편: ")&amp;INDEX($L$2:$L$799,MATCH(D566&amp;"#"&amp;(E566+1),$AC$2:$AC$799,0)),"신약 트랙 완결")</f>
        <v>다음 편: 달란트 비유</v>
      </c>
      <c r="X566" s="23" t="s">
        <v>130</v>
      </c>
      <c r="Y566" s="23" t="s">
        <v>130</v>
      </c>
      <c r="Z566" s="23" t="s">
        <v>130</v>
      </c>
      <c r="AA566" s="23" t="s">
        <v>130</v>
      </c>
      <c r="AB566" s="24"/>
      <c r="AC566" s="23" t="str">
        <f aca="false">D566&amp;"#"&amp;E566</f>
        <v>신약#23</v>
      </c>
      <c r="AD566" s="23" t="n">
        <f aca="false">COUNTIFS($C$2:C566,C566,$D$2:D566,D566)</f>
        <v>23</v>
      </c>
    </row>
    <row r="567" customFormat="false" ht="26.85" hidden="false" customHeight="false" outlineLevel="0" collapsed="false">
      <c r="A567" s="23" t="n">
        <v>566</v>
      </c>
      <c r="B567" s="30" t="s">
        <v>5038</v>
      </c>
      <c r="C567" s="20" t="n">
        <v>1</v>
      </c>
      <c r="D567" s="20" t="s">
        <v>4656</v>
      </c>
      <c r="E567" s="20" t="n">
        <f aca="false">IF(C567=1,COUNTIFS($C$2:C567,1,$D$2:D567,D567),COUNTIFS($C$2:$C$799,1,$D$2:$D$799,D567)+COUNTIFS($C$2:C567,2,$D$2:D567,D567))</f>
        <v>24</v>
      </c>
      <c r="F567" s="20" t="str">
        <f aca="false">D567&amp;" #"&amp;TEXT(E567,"000")</f>
        <v>신약 #024</v>
      </c>
      <c r="G567" s="30" t="s">
        <v>4980</v>
      </c>
      <c r="H567" s="30" t="s">
        <v>4981</v>
      </c>
      <c r="I567" s="23" t="s">
        <v>4659</v>
      </c>
      <c r="J567" s="24" t="s">
        <v>5039</v>
      </c>
      <c r="K567" s="23" t="s">
        <v>121</v>
      </c>
      <c r="L567" s="24" t="s">
        <v>5040</v>
      </c>
      <c r="M567" s="24" t="s">
        <v>5041</v>
      </c>
      <c r="N567" s="23" t="s">
        <v>5042</v>
      </c>
      <c r="O567" s="24" t="s">
        <v>5043</v>
      </c>
      <c r="P567" s="24" t="s">
        <v>5044</v>
      </c>
      <c r="Q567" s="24" t="s">
        <v>5045</v>
      </c>
      <c r="R567" s="24"/>
      <c r="S567" s="24" t="s">
        <v>129</v>
      </c>
      <c r="T567" s="24" t="str">
        <f aca="false">"["&amp;안내!$C$5&amp;" "&amp;F567&amp;"] "&amp;L567&amp;" | "&amp;J567</f>
        <v>[1분 성경 신약 #024] 달란트 비유 | 마 25:14-30</v>
      </c>
      <c r="U567" s="26" t="n">
        <f aca="false">IF(D567="구약",IF(C567=1,안내!$C$9,안내!$C$10)+AD567-1,IF(C567=1,안내!$C$9,안내!$C$10)+7*INT((AD567-1)/4)+CHOOSE(MOD(AD567-1,4)+1,0,2,4,5))</f>
        <v>46431</v>
      </c>
      <c r="V567" s="23" t="str">
        <f aca="false">CHOOSE(WEEKDAY(U567,2),"월","화","수","목","금","토","일")</f>
        <v>토</v>
      </c>
      <c r="W567" s="24" t="str">
        <f aca="false">IFERROR(IF(INDEX($C$2:$C$799,MATCH(D567&amp;"#"&amp;(E567+1),$AC$2:$AC$799,0))=C567,"다음 편: ","시즌1 완결 · 시즌2 첫 편: ")&amp;INDEX($L$2:$L$799,MATCH(D567&amp;"#"&amp;(E567+1),$AC$2:$AC$799,0)),"신약 트랙 완결")</f>
        <v>다음 편: 최후의 만찬</v>
      </c>
      <c r="X567" s="23" t="s">
        <v>130</v>
      </c>
      <c r="Y567" s="23" t="s">
        <v>130</v>
      </c>
      <c r="Z567" s="23" t="s">
        <v>130</v>
      </c>
      <c r="AA567" s="23" t="s">
        <v>130</v>
      </c>
      <c r="AB567" s="24"/>
      <c r="AC567" s="23" t="str">
        <f aca="false">D567&amp;"#"&amp;E567</f>
        <v>신약#24</v>
      </c>
      <c r="AD567" s="23" t="n">
        <f aca="false">COUNTIFS($C$2:C567,C567,$D$2:D567,D567)</f>
        <v>24</v>
      </c>
    </row>
    <row r="568" customFormat="false" ht="15" hidden="false" customHeight="false" outlineLevel="0" collapsed="false">
      <c r="A568" s="23" t="n">
        <v>567</v>
      </c>
      <c r="B568" s="30" t="s">
        <v>5046</v>
      </c>
      <c r="C568" s="23" t="n">
        <v>2</v>
      </c>
      <c r="D568" s="23" t="s">
        <v>4656</v>
      </c>
      <c r="E568" s="23" t="n">
        <f aca="false">IF(C568=1,COUNTIFS($C$2:C568,1,$D$2:D568,D568),COUNTIFS($C$2:$C$799,1,$D$2:$D$799,D568)+COUNTIFS($C$2:C568,2,$D$2:D568,D568))</f>
        <v>126</v>
      </c>
      <c r="F568" s="23" t="str">
        <f aca="false">D568&amp;" #"&amp;TEXT(E568,"000")</f>
        <v>신약 #126</v>
      </c>
      <c r="G568" s="30" t="s">
        <v>4980</v>
      </c>
      <c r="H568" s="30" t="s">
        <v>4885</v>
      </c>
      <c r="I568" s="23" t="s">
        <v>4659</v>
      </c>
      <c r="J568" s="24" t="s">
        <v>5047</v>
      </c>
      <c r="K568" s="23" t="s">
        <v>121</v>
      </c>
      <c r="L568" s="24" t="s">
        <v>5048</v>
      </c>
      <c r="M568" s="24" t="s">
        <v>5049</v>
      </c>
      <c r="N568" s="23" t="s">
        <v>5050</v>
      </c>
      <c r="O568" s="24" t="s">
        <v>5051</v>
      </c>
      <c r="P568" s="24" t="s">
        <v>5052</v>
      </c>
      <c r="Q568" s="24" t="s">
        <v>5053</v>
      </c>
      <c r="R568" s="25" t="s">
        <v>5054</v>
      </c>
      <c r="S568" s="24" t="s">
        <v>5055</v>
      </c>
      <c r="T568" s="24" t="str">
        <f aca="false">"["&amp;안내!$C$5&amp;" "&amp;F568&amp;"] "&amp;L568&amp;" | "&amp;J568</f>
        <v>[1분 성경 신약 #126] 양과 염소 | 마 25:31-46</v>
      </c>
      <c r="U568" s="26" t="n">
        <f aca="false">IF(D568="구약",IF(C568=1,안내!$C$9,안내!$C$10)+AD568-1,IF(C568=1,안내!$C$9,안내!$C$10)+7*INT((AD568-1)/4)+CHOOSE(MOD(AD568-1,4)+1,0,2,4,5))</f>
        <v>46617</v>
      </c>
      <c r="V568" s="23" t="str">
        <f aca="false">CHOOSE(WEEKDAY(U568,2),"월","화","수","목","금","토","일")</f>
        <v>수</v>
      </c>
      <c r="W568" s="24" t="str">
        <f aca="false">IFERROR(IF(INDEX($C$2:$C$799,MATCH(D568&amp;"#"&amp;(E568+1),$AC$2:$AC$799,0))=C568,"다음 편: ","시즌1 완결 · 시즌2 첫 편: ")&amp;INDEX($L$2:$L$799,MATCH(D568&amp;"#"&amp;(E568+1),$AC$2:$AC$799,0)),"신약 트랙 완결")</f>
        <v>다음 편: 향유 옥합</v>
      </c>
      <c r="X568" s="23" t="s">
        <v>130</v>
      </c>
      <c r="Y568" s="23" t="s">
        <v>130</v>
      </c>
      <c r="Z568" s="23" t="s">
        <v>130</v>
      </c>
      <c r="AA568" s="23" t="s">
        <v>130</v>
      </c>
      <c r="AB568" s="24"/>
      <c r="AC568" s="23" t="str">
        <f aca="false">D568&amp;"#"&amp;E568</f>
        <v>신약#126</v>
      </c>
      <c r="AD568" s="23" t="n">
        <f aca="false">COUNTIFS($C$2:C568,C568,$D$2:D568,D568)</f>
        <v>22</v>
      </c>
    </row>
    <row r="569" customFormat="false" ht="26.85" hidden="false" customHeight="false" outlineLevel="0" collapsed="false">
      <c r="A569" s="23" t="n">
        <v>568</v>
      </c>
      <c r="B569" s="30" t="s">
        <v>5056</v>
      </c>
      <c r="C569" s="23" t="n">
        <v>2</v>
      </c>
      <c r="D569" s="23" t="s">
        <v>4656</v>
      </c>
      <c r="E569" s="23" t="n">
        <f aca="false">IF(C569=1,COUNTIFS($C$2:C569,1,$D$2:D569,D569),COUNTIFS($C$2:$C$799,1,$D$2:$D$799,D569)+COUNTIFS($C$2:C569,2,$D$2:D569,D569))</f>
        <v>127</v>
      </c>
      <c r="F569" s="23" t="str">
        <f aca="false">D569&amp;" #"&amp;TEXT(E569,"000")</f>
        <v>신약 #127</v>
      </c>
      <c r="G569" s="30" t="s">
        <v>5057</v>
      </c>
      <c r="H569" s="30" t="s">
        <v>5058</v>
      </c>
      <c r="I569" s="23" t="s">
        <v>4659</v>
      </c>
      <c r="J569" s="24" t="s">
        <v>5059</v>
      </c>
      <c r="K569" s="23" t="s">
        <v>121</v>
      </c>
      <c r="L569" s="24" t="s">
        <v>5060</v>
      </c>
      <c r="M569" s="29" t="s">
        <v>5061</v>
      </c>
      <c r="N569" s="23" t="s">
        <v>5062</v>
      </c>
      <c r="O569" s="24" t="s">
        <v>5063</v>
      </c>
      <c r="P569" s="24" t="s">
        <v>5064</v>
      </c>
      <c r="Q569" s="24" t="s">
        <v>5065</v>
      </c>
      <c r="R569" s="24"/>
      <c r="S569" s="24" t="s">
        <v>5055</v>
      </c>
      <c r="T569" s="24" t="str">
        <f aca="false">"["&amp;안내!$C$5&amp;" "&amp;F569&amp;"] "&amp;L569&amp;" | "&amp;J569</f>
        <v>[1분 성경 신약 #127] 향유 옥합 | 마 26:1-16</v>
      </c>
      <c r="U569" s="26" t="n">
        <f aca="false">IF(D569="구약",IF(C569=1,안내!$C$9,안내!$C$10)+AD569-1,IF(C569=1,안내!$C$9,안내!$C$10)+7*INT((AD569-1)/4)+CHOOSE(MOD(AD569-1,4)+1,0,2,4,5))</f>
        <v>46619</v>
      </c>
      <c r="V569" s="23" t="str">
        <f aca="false">CHOOSE(WEEKDAY(U569,2),"월","화","수","목","금","토","일")</f>
        <v>금</v>
      </c>
      <c r="W569" s="24" t="str">
        <f aca="false">IFERROR(IF(INDEX($C$2:$C$799,MATCH(D569&amp;"#"&amp;(E569+1),$AC$2:$AC$799,0))=C569,"다음 편: ","시즌1 완결 · 시즌2 첫 편: ")&amp;INDEX($L$2:$L$799,MATCH(D569&amp;"#"&amp;(E569+1),$AC$2:$AC$799,0)),"신약 트랙 완결")</f>
        <v>다음 편: 복음의 시작</v>
      </c>
      <c r="X569" s="23" t="s">
        <v>130</v>
      </c>
      <c r="Y569" s="23" t="s">
        <v>130</v>
      </c>
      <c r="Z569" s="23" t="s">
        <v>130</v>
      </c>
      <c r="AA569" s="23" t="s">
        <v>130</v>
      </c>
      <c r="AB569" s="24"/>
      <c r="AC569" s="23" t="str">
        <f aca="false">D569&amp;"#"&amp;E569</f>
        <v>신약#127</v>
      </c>
      <c r="AD569" s="23" t="n">
        <f aca="false">COUNTIFS($C$2:C569,C569,$D$2:D569,D569)</f>
        <v>23</v>
      </c>
    </row>
    <row r="570" customFormat="false" ht="39.55" hidden="false" customHeight="false" outlineLevel="0" collapsed="false">
      <c r="A570" s="23" t="n">
        <v>569</v>
      </c>
      <c r="B570" s="30" t="s">
        <v>5066</v>
      </c>
      <c r="C570" s="20" t="n">
        <v>1</v>
      </c>
      <c r="D570" s="20" t="s">
        <v>4656</v>
      </c>
      <c r="E570" s="20" t="n">
        <f aca="false">IF(C570=1,COUNTIFS($C$2:C570,1,$D$2:D570,D570),COUNTIFS($C$2:$C$799,1,$D$2:$D$799,D570)+COUNTIFS($C$2:C570,2,$D$2:D570,D570))</f>
        <v>25</v>
      </c>
      <c r="F570" s="20" t="str">
        <f aca="false">D570&amp;" #"&amp;TEXT(E570,"000")</f>
        <v>신약 #025</v>
      </c>
      <c r="G570" s="30" t="s">
        <v>5057</v>
      </c>
      <c r="H570" s="30" t="s">
        <v>4981</v>
      </c>
      <c r="I570" s="23" t="s">
        <v>4659</v>
      </c>
      <c r="J570" s="24" t="s">
        <v>5067</v>
      </c>
      <c r="K570" s="23" t="s">
        <v>121</v>
      </c>
      <c r="L570" s="24" t="s">
        <v>5068</v>
      </c>
      <c r="M570" s="24" t="s">
        <v>5069</v>
      </c>
      <c r="N570" s="23" t="s">
        <v>5070</v>
      </c>
      <c r="O570" s="24" t="s">
        <v>5071</v>
      </c>
      <c r="P570" s="24" t="s">
        <v>4844</v>
      </c>
      <c r="Q570" s="24" t="s">
        <v>5072</v>
      </c>
      <c r="R570" s="25" t="s">
        <v>5073</v>
      </c>
      <c r="S570" s="28" t="s">
        <v>5074</v>
      </c>
      <c r="T570" s="24" t="str">
        <f aca="false">"["&amp;안내!$C$5&amp;" "&amp;F570&amp;"] "&amp;L570&amp;" | "&amp;J570</f>
        <v>[1분 성경 신약 #025] 최후의 만찬 | 마 26:17-30</v>
      </c>
      <c r="U570" s="26" t="n">
        <f aca="false">IF(D570="구약",IF(C570=1,안내!$C$9,안내!$C$10)+AD570-1,IF(C570=1,안내!$C$9,안내!$C$10)+7*INT((AD570-1)/4)+CHOOSE(MOD(AD570-1,4)+1,0,2,4,5))</f>
        <v>46433</v>
      </c>
      <c r="V570" s="23" t="str">
        <f aca="false">CHOOSE(WEEKDAY(U570,2),"월","화","수","목","금","토","일")</f>
        <v>월</v>
      </c>
      <c r="W570" s="24" t="str">
        <f aca="false">IFERROR(IF(INDEX($C$2:$C$799,MATCH(D570&amp;"#"&amp;(E570+1),$AC$2:$AC$799,0))=C570,"다음 편: ","시즌1 완결 · 시즌2 첫 편: ")&amp;INDEX($L$2:$L$799,MATCH(D570&amp;"#"&amp;(E570+1),$AC$2:$AC$799,0)),"신약 트랙 완결")</f>
        <v>다음 편: 겟세마네</v>
      </c>
      <c r="X570" s="23" t="s">
        <v>130</v>
      </c>
      <c r="Y570" s="23" t="s">
        <v>130</v>
      </c>
      <c r="Z570" s="23" t="s">
        <v>130</v>
      </c>
      <c r="AA570" s="23" t="s">
        <v>130</v>
      </c>
      <c r="AB570" s="24"/>
      <c r="AC570" s="23" t="str">
        <f aca="false">D570&amp;"#"&amp;E570</f>
        <v>신약#25</v>
      </c>
      <c r="AD570" s="23" t="n">
        <f aca="false">COUNTIFS($C$2:C570,C570,$D$2:D570,D570)</f>
        <v>25</v>
      </c>
    </row>
    <row r="571" customFormat="false" ht="26.85" hidden="false" customHeight="false" outlineLevel="0" collapsed="false">
      <c r="A571" s="23" t="n">
        <v>570</v>
      </c>
      <c r="B571" s="30" t="s">
        <v>5075</v>
      </c>
      <c r="C571" s="20" t="n">
        <v>1</v>
      </c>
      <c r="D571" s="20" t="s">
        <v>4656</v>
      </c>
      <c r="E571" s="20" t="n">
        <f aca="false">IF(C571=1,COUNTIFS($C$2:C571,1,$D$2:D571,D571),COUNTIFS($C$2:$C$799,1,$D$2:$D$799,D571)+COUNTIFS($C$2:C571,2,$D$2:D571,D571))</f>
        <v>26</v>
      </c>
      <c r="F571" s="20" t="str">
        <f aca="false">D571&amp;" #"&amp;TEXT(E571,"000")</f>
        <v>신약 #026</v>
      </c>
      <c r="G571" s="30" t="s">
        <v>5057</v>
      </c>
      <c r="H571" s="30" t="s">
        <v>4981</v>
      </c>
      <c r="I571" s="23" t="s">
        <v>4659</v>
      </c>
      <c r="J571" s="24" t="s">
        <v>5076</v>
      </c>
      <c r="K571" s="23" t="s">
        <v>121</v>
      </c>
      <c r="L571" s="24" t="s">
        <v>5077</v>
      </c>
      <c r="M571" s="24" t="s">
        <v>5078</v>
      </c>
      <c r="N571" s="23" t="s">
        <v>5079</v>
      </c>
      <c r="O571" s="24" t="s">
        <v>5080</v>
      </c>
      <c r="P571" s="24" t="s">
        <v>5081</v>
      </c>
      <c r="Q571" s="24" t="s">
        <v>5082</v>
      </c>
      <c r="R571" s="24"/>
      <c r="S571" s="24" t="s">
        <v>129</v>
      </c>
      <c r="T571" s="24" t="str">
        <f aca="false">"["&amp;안내!$C$5&amp;" "&amp;F571&amp;"] "&amp;L571&amp;" | "&amp;J571</f>
        <v>[1분 성경 신약 #026] 겟세마네 | 마 26:31-56</v>
      </c>
      <c r="U571" s="26" t="n">
        <f aca="false">IF(D571="구약",IF(C571=1,안내!$C$9,안내!$C$10)+AD571-1,IF(C571=1,안내!$C$9,안내!$C$10)+7*INT((AD571-1)/4)+CHOOSE(MOD(AD571-1,4)+1,0,2,4,5))</f>
        <v>46435</v>
      </c>
      <c r="V571" s="23" t="str">
        <f aca="false">CHOOSE(WEEKDAY(U571,2),"월","화","수","목","금","토","일")</f>
        <v>수</v>
      </c>
      <c r="W571" s="24" t="str">
        <f aca="false">IFERROR(IF(INDEX($C$2:$C$799,MATCH(D571&amp;"#"&amp;(E571+1),$AC$2:$AC$799,0))=C571,"다음 편: ","시즌1 완결 · 시즌2 첫 편: ")&amp;INDEX($L$2:$L$799,MATCH(D571&amp;"#"&amp;(E571+1),$AC$2:$AC$799,0)),"신약 트랙 완결")</f>
        <v>다음 편: 닭이 울기 전에</v>
      </c>
      <c r="X571" s="23" t="s">
        <v>130</v>
      </c>
      <c r="Y571" s="23" t="s">
        <v>130</v>
      </c>
      <c r="Z571" s="23" t="s">
        <v>130</v>
      </c>
      <c r="AA571" s="23" t="s">
        <v>130</v>
      </c>
      <c r="AB571" s="24"/>
      <c r="AC571" s="23" t="str">
        <f aca="false">D571&amp;"#"&amp;E571</f>
        <v>신약#26</v>
      </c>
      <c r="AD571" s="23" t="n">
        <f aca="false">COUNTIFS($C$2:C571,C571,$D$2:D571,D571)</f>
        <v>26</v>
      </c>
    </row>
    <row r="572" customFormat="false" ht="26.85" hidden="false" customHeight="false" outlineLevel="0" collapsed="false">
      <c r="A572" s="23" t="n">
        <v>571</v>
      </c>
      <c r="B572" s="30" t="s">
        <v>5083</v>
      </c>
      <c r="C572" s="20" t="n">
        <v>1</v>
      </c>
      <c r="D572" s="20" t="s">
        <v>4656</v>
      </c>
      <c r="E572" s="20" t="n">
        <f aca="false">IF(C572=1,COUNTIFS($C$2:C572,1,$D$2:D572,D572),COUNTIFS($C$2:$C$799,1,$D$2:$D$799,D572)+COUNTIFS($C$2:C572,2,$D$2:D572,D572))</f>
        <v>27</v>
      </c>
      <c r="F572" s="20" t="str">
        <f aca="false">D572&amp;" #"&amp;TEXT(E572,"000")</f>
        <v>신약 #027</v>
      </c>
      <c r="G572" s="30" t="s">
        <v>5057</v>
      </c>
      <c r="H572" s="30" t="s">
        <v>4981</v>
      </c>
      <c r="I572" s="23" t="s">
        <v>4659</v>
      </c>
      <c r="J572" s="24" t="s">
        <v>5084</v>
      </c>
      <c r="K572" s="23" t="s">
        <v>121</v>
      </c>
      <c r="L572" s="24" t="s">
        <v>5085</v>
      </c>
      <c r="M572" s="24" t="s">
        <v>5086</v>
      </c>
      <c r="N572" s="23" t="s">
        <v>5087</v>
      </c>
      <c r="O572" s="24" t="s">
        <v>5088</v>
      </c>
      <c r="P572" s="24" t="s">
        <v>5089</v>
      </c>
      <c r="Q572" s="24" t="s">
        <v>5090</v>
      </c>
      <c r="R572" s="24"/>
      <c r="S572" s="24" t="s">
        <v>129</v>
      </c>
      <c r="T572" s="24" t="str">
        <f aca="false">"["&amp;안내!$C$5&amp;" "&amp;F572&amp;"] "&amp;L572&amp;" | "&amp;J572</f>
        <v>[1분 성경 신약 #027] 닭이 울기 전에 | 마 26:57-75</v>
      </c>
      <c r="U572" s="26" t="n">
        <f aca="false">IF(D572="구약",IF(C572=1,안내!$C$9,안내!$C$10)+AD572-1,IF(C572=1,안내!$C$9,안내!$C$10)+7*INT((AD572-1)/4)+CHOOSE(MOD(AD572-1,4)+1,0,2,4,5))</f>
        <v>46437</v>
      </c>
      <c r="V572" s="23" t="str">
        <f aca="false">CHOOSE(WEEKDAY(U572,2),"월","화","수","목","금","토","일")</f>
        <v>금</v>
      </c>
      <c r="W572" s="24" t="str">
        <f aca="false">IFERROR(IF(INDEX($C$2:$C$799,MATCH(D572&amp;"#"&amp;(E572+1),$AC$2:$AC$799,0))=C572,"다음 편: ","시즌1 완결 · 시즌2 첫 편: ")&amp;INDEX($L$2:$L$799,MATCH(D572&amp;"#"&amp;(E572+1),$AC$2:$AC$799,0)),"신약 트랙 완결")</f>
        <v>다음 편: 빌라도의 재판</v>
      </c>
      <c r="X572" s="23" t="s">
        <v>130</v>
      </c>
      <c r="Y572" s="23" t="s">
        <v>130</v>
      </c>
      <c r="Z572" s="23" t="s">
        <v>130</v>
      </c>
      <c r="AA572" s="23" t="s">
        <v>130</v>
      </c>
      <c r="AB572" s="24"/>
      <c r="AC572" s="23" t="str">
        <f aca="false">D572&amp;"#"&amp;E572</f>
        <v>신약#27</v>
      </c>
      <c r="AD572" s="23" t="n">
        <f aca="false">COUNTIFS($C$2:C572,C572,$D$2:D572,D572)</f>
        <v>27</v>
      </c>
    </row>
    <row r="573" customFormat="false" ht="26.85" hidden="false" customHeight="false" outlineLevel="0" collapsed="false">
      <c r="A573" s="23" t="n">
        <v>572</v>
      </c>
      <c r="B573" s="30" t="s">
        <v>5091</v>
      </c>
      <c r="C573" s="20" t="n">
        <v>1</v>
      </c>
      <c r="D573" s="20" t="s">
        <v>4656</v>
      </c>
      <c r="E573" s="20" t="n">
        <f aca="false">IF(C573=1,COUNTIFS($C$2:C573,1,$D$2:D573,D573),COUNTIFS($C$2:$C$799,1,$D$2:$D$799,D573)+COUNTIFS($C$2:C573,2,$D$2:D573,D573))</f>
        <v>28</v>
      </c>
      <c r="F573" s="20" t="str">
        <f aca="false">D573&amp;" #"&amp;TEXT(E573,"000")</f>
        <v>신약 #028</v>
      </c>
      <c r="G573" s="30" t="s">
        <v>5057</v>
      </c>
      <c r="H573" s="30" t="s">
        <v>4981</v>
      </c>
      <c r="I573" s="23" t="s">
        <v>4659</v>
      </c>
      <c r="J573" s="24" t="s">
        <v>5092</v>
      </c>
      <c r="K573" s="23" t="s">
        <v>121</v>
      </c>
      <c r="L573" s="24" t="s">
        <v>5093</v>
      </c>
      <c r="M573" s="24" t="s">
        <v>5094</v>
      </c>
      <c r="N573" s="23" t="s">
        <v>5095</v>
      </c>
      <c r="O573" s="24" t="s">
        <v>5096</v>
      </c>
      <c r="P573" s="24" t="s">
        <v>5097</v>
      </c>
      <c r="Q573" s="24" t="s">
        <v>5098</v>
      </c>
      <c r="R573" s="25" t="s">
        <v>5099</v>
      </c>
      <c r="S573" s="24" t="s">
        <v>129</v>
      </c>
      <c r="T573" s="24" t="str">
        <f aca="false">"["&amp;안내!$C$5&amp;" "&amp;F573&amp;"] "&amp;L573&amp;" | "&amp;J573</f>
        <v>[1분 성경 신약 #028] 빌라도의 재판 | 마 27:1-26</v>
      </c>
      <c r="U573" s="26" t="n">
        <f aca="false">IF(D573="구약",IF(C573=1,안내!$C$9,안내!$C$10)+AD573-1,IF(C573=1,안내!$C$9,안내!$C$10)+7*INT((AD573-1)/4)+CHOOSE(MOD(AD573-1,4)+1,0,2,4,5))</f>
        <v>46438</v>
      </c>
      <c r="V573" s="23" t="str">
        <f aca="false">CHOOSE(WEEKDAY(U573,2),"월","화","수","목","금","토","일")</f>
        <v>토</v>
      </c>
      <c r="W573" s="24" t="str">
        <f aca="false">IFERROR(IF(INDEX($C$2:$C$799,MATCH(D573&amp;"#"&amp;(E573+1),$AC$2:$AC$799,0))=C573,"다음 편: ","시즌1 완결 · 시즌2 첫 편: ")&amp;INDEX($L$2:$L$799,MATCH(D573&amp;"#"&amp;(E573+1),$AC$2:$AC$799,0)),"신약 트랙 완결")</f>
        <v>다음 편: 십자가</v>
      </c>
      <c r="X573" s="23" t="s">
        <v>130</v>
      </c>
      <c r="Y573" s="23" t="s">
        <v>130</v>
      </c>
      <c r="Z573" s="23" t="s">
        <v>130</v>
      </c>
      <c r="AA573" s="23" t="s">
        <v>130</v>
      </c>
      <c r="AB573" s="24"/>
      <c r="AC573" s="23" t="str">
        <f aca="false">D573&amp;"#"&amp;E573</f>
        <v>신약#28</v>
      </c>
      <c r="AD573" s="23" t="n">
        <f aca="false">COUNTIFS($C$2:C573,C573,$D$2:D573,D573)</f>
        <v>28</v>
      </c>
    </row>
    <row r="574" customFormat="false" ht="26.85" hidden="false" customHeight="false" outlineLevel="0" collapsed="false">
      <c r="A574" s="23" t="n">
        <v>573</v>
      </c>
      <c r="B574" s="30" t="s">
        <v>5100</v>
      </c>
      <c r="C574" s="20" t="n">
        <v>1</v>
      </c>
      <c r="D574" s="20" t="s">
        <v>4656</v>
      </c>
      <c r="E574" s="20" t="n">
        <f aca="false">IF(C574=1,COUNTIFS($C$2:C574,1,$D$2:D574,D574),COUNTIFS($C$2:$C$799,1,$D$2:$D$799,D574)+COUNTIFS($C$2:C574,2,$D$2:D574,D574))</f>
        <v>29</v>
      </c>
      <c r="F574" s="20" t="str">
        <f aca="false">D574&amp;" #"&amp;TEXT(E574,"000")</f>
        <v>신약 #029</v>
      </c>
      <c r="G574" s="30" t="s">
        <v>5057</v>
      </c>
      <c r="H574" s="30" t="s">
        <v>4981</v>
      </c>
      <c r="I574" s="23" t="s">
        <v>4659</v>
      </c>
      <c r="J574" s="24" t="s">
        <v>5101</v>
      </c>
      <c r="K574" s="23" t="s">
        <v>121</v>
      </c>
      <c r="L574" s="24" t="s">
        <v>5102</v>
      </c>
      <c r="M574" s="24" t="s">
        <v>5103</v>
      </c>
      <c r="N574" s="23" t="s">
        <v>5104</v>
      </c>
      <c r="O574" s="24" t="s">
        <v>5105</v>
      </c>
      <c r="P574" s="24" t="s">
        <v>5106</v>
      </c>
      <c r="Q574" s="24" t="s">
        <v>5107</v>
      </c>
      <c r="R574" s="25" t="s">
        <v>5108</v>
      </c>
      <c r="S574" s="24" t="s">
        <v>129</v>
      </c>
      <c r="T574" s="24" t="str">
        <f aca="false">"["&amp;안내!$C$5&amp;" "&amp;F574&amp;"] "&amp;L574&amp;" | "&amp;J574</f>
        <v>[1분 성경 신약 #029] 십자가 | 마 27:27-56</v>
      </c>
      <c r="U574" s="26" t="n">
        <f aca="false">IF(D574="구약",IF(C574=1,안내!$C$9,안내!$C$10)+AD574-1,IF(C574=1,안내!$C$9,안내!$C$10)+7*INT((AD574-1)/4)+CHOOSE(MOD(AD574-1,4)+1,0,2,4,5))</f>
        <v>46440</v>
      </c>
      <c r="V574" s="23" t="str">
        <f aca="false">CHOOSE(WEEKDAY(U574,2),"월","화","수","목","금","토","일")</f>
        <v>월</v>
      </c>
      <c r="W574" s="24" t="str">
        <f aca="false">IFERROR(IF(INDEX($C$2:$C$799,MATCH(D574&amp;"#"&amp;(E574+1),$AC$2:$AC$799,0))=C574,"다음 편: ","시즌1 완결 · 시즌2 첫 편: ")&amp;INDEX($L$2:$L$799,MATCH(D574&amp;"#"&amp;(E574+1),$AC$2:$AC$799,0)),"신약 트랙 완결")</f>
        <v>다음 편: 무덤과 경비병</v>
      </c>
      <c r="X574" s="23" t="s">
        <v>130</v>
      </c>
      <c r="Y574" s="23" t="s">
        <v>130</v>
      </c>
      <c r="Z574" s="23" t="s">
        <v>130</v>
      </c>
      <c r="AA574" s="23" t="s">
        <v>130</v>
      </c>
      <c r="AB574" s="24"/>
      <c r="AC574" s="23" t="str">
        <f aca="false">D574&amp;"#"&amp;E574</f>
        <v>신약#29</v>
      </c>
      <c r="AD574" s="23" t="n">
        <f aca="false">COUNTIFS($C$2:C574,C574,$D$2:D574,D574)</f>
        <v>29</v>
      </c>
    </row>
    <row r="575" customFormat="false" ht="26.85" hidden="false" customHeight="false" outlineLevel="0" collapsed="false">
      <c r="A575" s="23" t="n">
        <v>574</v>
      </c>
      <c r="B575" s="30" t="s">
        <v>5109</v>
      </c>
      <c r="C575" s="20" t="n">
        <v>1</v>
      </c>
      <c r="D575" s="20" t="s">
        <v>4656</v>
      </c>
      <c r="E575" s="20" t="n">
        <f aca="false">IF(C575=1,COUNTIFS($C$2:C575,1,$D$2:D575,D575),COUNTIFS($C$2:$C$799,1,$D$2:$D$799,D575)+COUNTIFS($C$2:C575,2,$D$2:D575,D575))</f>
        <v>30</v>
      </c>
      <c r="F575" s="20" t="str">
        <f aca="false">D575&amp;" #"&amp;TEXT(E575,"000")</f>
        <v>신약 #030</v>
      </c>
      <c r="G575" s="30" t="s">
        <v>5057</v>
      </c>
      <c r="H575" s="30" t="s">
        <v>4981</v>
      </c>
      <c r="I575" s="23" t="s">
        <v>4659</v>
      </c>
      <c r="J575" s="24" t="s">
        <v>5110</v>
      </c>
      <c r="K575" s="23" t="s">
        <v>121</v>
      </c>
      <c r="L575" s="24" t="s">
        <v>5111</v>
      </c>
      <c r="M575" s="24" t="s">
        <v>5112</v>
      </c>
      <c r="N575" s="23" t="s">
        <v>5113</v>
      </c>
      <c r="O575" s="24" t="s">
        <v>5114</v>
      </c>
      <c r="P575" s="24" t="s">
        <v>5115</v>
      </c>
      <c r="Q575" s="24" t="s">
        <v>5116</v>
      </c>
      <c r="R575" s="24"/>
      <c r="S575" s="24" t="s">
        <v>129</v>
      </c>
      <c r="T575" s="24" t="str">
        <f aca="false">"["&amp;안내!$C$5&amp;" "&amp;F575&amp;"] "&amp;L575&amp;" | "&amp;J575</f>
        <v>[1분 성경 신약 #030] 무덤과 경비병 | 마 27:57-66</v>
      </c>
      <c r="U575" s="26" t="n">
        <f aca="false">IF(D575="구약",IF(C575=1,안내!$C$9,안내!$C$10)+AD575-1,IF(C575=1,안내!$C$9,안내!$C$10)+7*INT((AD575-1)/4)+CHOOSE(MOD(AD575-1,4)+1,0,2,4,5))</f>
        <v>46442</v>
      </c>
      <c r="V575" s="23" t="str">
        <f aca="false">CHOOSE(WEEKDAY(U575,2),"월","화","수","목","금","토","일")</f>
        <v>수</v>
      </c>
      <c r="W575" s="24" t="str">
        <f aca="false">IFERROR(IF(INDEX($C$2:$C$799,MATCH(D575&amp;"#"&amp;(E575+1),$AC$2:$AC$799,0))=C575,"다음 편: ","시즌1 완결 · 시즌2 첫 편: ")&amp;INDEX($L$2:$L$799,MATCH(D575&amp;"#"&amp;(E575+1),$AC$2:$AC$799,0)),"신약 트랙 완결")</f>
        <v>다음 편: 부활</v>
      </c>
      <c r="X575" s="23" t="s">
        <v>130</v>
      </c>
      <c r="Y575" s="23" t="s">
        <v>130</v>
      </c>
      <c r="Z575" s="23" t="s">
        <v>130</v>
      </c>
      <c r="AA575" s="23" t="s">
        <v>130</v>
      </c>
      <c r="AB575" s="24"/>
      <c r="AC575" s="23" t="str">
        <f aca="false">D575&amp;"#"&amp;E575</f>
        <v>신약#30</v>
      </c>
      <c r="AD575" s="23" t="n">
        <f aca="false">COUNTIFS($C$2:C575,C575,$D$2:D575,D575)</f>
        <v>30</v>
      </c>
    </row>
    <row r="576" customFormat="false" ht="26.85" hidden="false" customHeight="false" outlineLevel="0" collapsed="false">
      <c r="A576" s="23" t="n">
        <v>575</v>
      </c>
      <c r="B576" s="30" t="s">
        <v>5117</v>
      </c>
      <c r="C576" s="20" t="n">
        <v>1</v>
      </c>
      <c r="D576" s="20" t="s">
        <v>4656</v>
      </c>
      <c r="E576" s="20" t="n">
        <f aca="false">IF(C576=1,COUNTIFS($C$2:C576,1,$D$2:D576,D576),COUNTIFS($C$2:$C$799,1,$D$2:$D$799,D576)+COUNTIFS($C$2:C576,2,$D$2:D576,D576))</f>
        <v>31</v>
      </c>
      <c r="F576" s="20" t="str">
        <f aca="false">D576&amp;" #"&amp;TEXT(E576,"000")</f>
        <v>신약 #031</v>
      </c>
      <c r="G576" s="30" t="s">
        <v>5057</v>
      </c>
      <c r="H576" s="30" t="s">
        <v>4981</v>
      </c>
      <c r="I576" s="23" t="s">
        <v>4659</v>
      </c>
      <c r="J576" s="24" t="s">
        <v>5118</v>
      </c>
      <c r="K576" s="23" t="s">
        <v>121</v>
      </c>
      <c r="L576" s="24" t="s">
        <v>5119</v>
      </c>
      <c r="M576" s="24" t="s">
        <v>5120</v>
      </c>
      <c r="N576" s="23" t="s">
        <v>5121</v>
      </c>
      <c r="O576" s="24" t="s">
        <v>5122</v>
      </c>
      <c r="P576" s="24" t="s">
        <v>5123</v>
      </c>
      <c r="Q576" s="24" t="s">
        <v>5124</v>
      </c>
      <c r="R576" s="24"/>
      <c r="S576" s="24" t="s">
        <v>129</v>
      </c>
      <c r="T576" s="24" t="str">
        <f aca="false">"["&amp;안내!$C$5&amp;" "&amp;F576&amp;"] "&amp;L576&amp;" | "&amp;J576</f>
        <v>[1분 성경 신약 #031] 부활 | 마 28:1-15</v>
      </c>
      <c r="U576" s="26" t="n">
        <f aca="false">IF(D576="구약",IF(C576=1,안내!$C$9,안내!$C$10)+AD576-1,IF(C576=1,안내!$C$9,안내!$C$10)+7*INT((AD576-1)/4)+CHOOSE(MOD(AD576-1,4)+1,0,2,4,5))</f>
        <v>46444</v>
      </c>
      <c r="V576" s="23" t="str">
        <f aca="false">CHOOSE(WEEKDAY(U576,2),"월","화","수","목","금","토","일")</f>
        <v>금</v>
      </c>
      <c r="W576" s="24" t="str">
        <f aca="false">IFERROR(IF(INDEX($C$2:$C$799,MATCH(D576&amp;"#"&amp;(E576+1),$AC$2:$AC$799,0))=C576,"다음 편: ","시즌1 완결 · 시즌2 첫 편: ")&amp;INDEX($L$2:$L$799,MATCH(D576&amp;"#"&amp;(E576+1),$AC$2:$AC$799,0)),"신약 트랙 완결")</f>
        <v>다음 편: 가서 제자로 삼으라</v>
      </c>
      <c r="X576" s="23" t="s">
        <v>130</v>
      </c>
      <c r="Y576" s="23" t="s">
        <v>130</v>
      </c>
      <c r="Z576" s="23" t="s">
        <v>130</v>
      </c>
      <c r="AA576" s="23" t="s">
        <v>130</v>
      </c>
      <c r="AB576" s="24"/>
      <c r="AC576" s="23" t="str">
        <f aca="false">D576&amp;"#"&amp;E576</f>
        <v>신약#31</v>
      </c>
      <c r="AD576" s="23" t="n">
        <f aca="false">COUNTIFS($C$2:C576,C576,$D$2:D576,D576)</f>
        <v>31</v>
      </c>
    </row>
    <row r="577" customFormat="false" ht="26.85" hidden="false" customHeight="false" outlineLevel="0" collapsed="false">
      <c r="A577" s="23" t="n">
        <v>576</v>
      </c>
      <c r="B577" s="30" t="s">
        <v>5125</v>
      </c>
      <c r="C577" s="20" t="n">
        <v>1</v>
      </c>
      <c r="D577" s="20" t="s">
        <v>4656</v>
      </c>
      <c r="E577" s="20" t="n">
        <f aca="false">IF(C577=1,COUNTIFS($C$2:C577,1,$D$2:D577,D577),COUNTIFS($C$2:$C$799,1,$D$2:$D$799,D577)+COUNTIFS($C$2:C577,2,$D$2:D577,D577))</f>
        <v>32</v>
      </c>
      <c r="F577" s="20" t="str">
        <f aca="false">D577&amp;" #"&amp;TEXT(E577,"000")</f>
        <v>신약 #032</v>
      </c>
      <c r="G577" s="30" t="s">
        <v>5057</v>
      </c>
      <c r="H577" s="30" t="s">
        <v>4981</v>
      </c>
      <c r="I577" s="23" t="s">
        <v>4659</v>
      </c>
      <c r="J577" s="24" t="s">
        <v>5126</v>
      </c>
      <c r="K577" s="23" t="s">
        <v>121</v>
      </c>
      <c r="L577" s="24" t="s">
        <v>5127</v>
      </c>
      <c r="M577" s="24" t="s">
        <v>5128</v>
      </c>
      <c r="N577" s="23" t="s">
        <v>5129</v>
      </c>
      <c r="O577" s="24" t="s">
        <v>5130</v>
      </c>
      <c r="P577" s="24" t="s">
        <v>5131</v>
      </c>
      <c r="Q577" s="24" t="s">
        <v>4926</v>
      </c>
      <c r="R577" s="24"/>
      <c r="S577" s="24" t="s">
        <v>129</v>
      </c>
      <c r="T577" s="24" t="str">
        <f aca="false">"["&amp;안내!$C$5&amp;" "&amp;F577&amp;"] "&amp;L577&amp;" | "&amp;J577</f>
        <v>[1분 성경 신약 #032] 가서 제자로 삼으라 | 마 28:16-20</v>
      </c>
      <c r="U577" s="26" t="n">
        <f aca="false">IF(D577="구약",IF(C577=1,안내!$C$9,안내!$C$10)+AD577-1,IF(C577=1,안내!$C$9,안내!$C$10)+7*INT((AD577-1)/4)+CHOOSE(MOD(AD577-1,4)+1,0,2,4,5))</f>
        <v>46445</v>
      </c>
      <c r="V577" s="23" t="str">
        <f aca="false">CHOOSE(WEEKDAY(U577,2),"월","화","수","목","금","토","일")</f>
        <v>토</v>
      </c>
      <c r="W577" s="24" t="str">
        <f aca="false">IFERROR(IF(INDEX($C$2:$C$799,MATCH(D577&amp;"#"&amp;(E577+1),$AC$2:$AC$799,0))=C577,"다음 편: ","시즌1 완결 · 시즌2 첫 편: ")&amp;INDEX($L$2:$L$799,MATCH(D577&amp;"#"&amp;(E577+1),$AC$2:$AC$799,0)),"신약 트랙 완결")</f>
        <v>다음 편: 지붕을 뚫은 친구들</v>
      </c>
      <c r="X577" s="23" t="s">
        <v>130</v>
      </c>
      <c r="Y577" s="23" t="s">
        <v>130</v>
      </c>
      <c r="Z577" s="23" t="s">
        <v>130</v>
      </c>
      <c r="AA577" s="23" t="s">
        <v>130</v>
      </c>
      <c r="AB577" s="24"/>
      <c r="AC577" s="23" t="str">
        <f aca="false">D577&amp;"#"&amp;E577</f>
        <v>신약#32</v>
      </c>
      <c r="AD577" s="23" t="n">
        <f aca="false">COUNTIFS($C$2:C577,C577,$D$2:D577,D577)</f>
        <v>32</v>
      </c>
    </row>
    <row r="578" customFormat="false" ht="26.85" hidden="false" customHeight="false" outlineLevel="0" collapsed="false">
      <c r="A578" s="23" t="n">
        <v>577</v>
      </c>
      <c r="B578" s="30" t="s">
        <v>5132</v>
      </c>
      <c r="C578" s="23" t="n">
        <v>2</v>
      </c>
      <c r="D578" s="23" t="s">
        <v>4656</v>
      </c>
      <c r="E578" s="23" t="n">
        <f aca="false">IF(C578=1,COUNTIFS($C$2:C578,1,$D$2:D578,D578),COUNTIFS($C$2:$C$799,1,$D$2:$D$799,D578)+COUNTIFS($C$2:C578,2,$D$2:D578,D578))</f>
        <v>128</v>
      </c>
      <c r="F578" s="23" t="str">
        <f aca="false">D578&amp;" #"&amp;TEXT(E578,"000")</f>
        <v>신약 #128</v>
      </c>
      <c r="G578" s="30" t="s">
        <v>5133</v>
      </c>
      <c r="H578" s="30" t="s">
        <v>5058</v>
      </c>
      <c r="I578" s="23" t="s">
        <v>5134</v>
      </c>
      <c r="J578" s="24" t="s">
        <v>5135</v>
      </c>
      <c r="K578" s="23" t="s">
        <v>121</v>
      </c>
      <c r="L578" s="24" t="s">
        <v>5136</v>
      </c>
      <c r="M578" s="24" t="s">
        <v>5137</v>
      </c>
      <c r="N578" s="23" t="s">
        <v>5138</v>
      </c>
      <c r="O578" s="24" t="s">
        <v>5139</v>
      </c>
      <c r="P578" s="24" t="s">
        <v>5140</v>
      </c>
      <c r="Q578" s="24" t="s">
        <v>5141</v>
      </c>
      <c r="R578" s="24"/>
      <c r="S578" s="24" t="s">
        <v>5142</v>
      </c>
      <c r="T578" s="24" t="str">
        <f aca="false">"["&amp;안내!$C$5&amp;" "&amp;F578&amp;"] "&amp;L578&amp;" | "&amp;J578</f>
        <v>[1분 성경 신약 #128] 복음의 시작 | 막 1:1-15</v>
      </c>
      <c r="U578" s="26" t="n">
        <f aca="false">IF(D578="구약",IF(C578=1,안내!$C$9,안내!$C$10)+AD578-1,IF(C578=1,안내!$C$9,안내!$C$10)+7*INT((AD578-1)/4)+CHOOSE(MOD(AD578-1,4)+1,0,2,4,5))</f>
        <v>46620</v>
      </c>
      <c r="V578" s="23" t="str">
        <f aca="false">CHOOSE(WEEKDAY(U578,2),"월","화","수","목","금","토","일")</f>
        <v>토</v>
      </c>
      <c r="W578" s="24" t="str">
        <f aca="false">IFERROR(IF(INDEX($C$2:$C$799,MATCH(D578&amp;"#"&amp;(E578+1),$AC$2:$AC$799,0))=C578,"다음 편: ","시즌1 완결 · 시즌2 첫 편: ")&amp;INDEX($L$2:$L$799,MATCH(D578&amp;"#"&amp;(E578+1),$AC$2:$AC$799,0)),"신약 트랙 완결")</f>
        <v>다음 편: 가버나움의 하루</v>
      </c>
      <c r="X578" s="23" t="s">
        <v>130</v>
      </c>
      <c r="Y578" s="23" t="s">
        <v>130</v>
      </c>
      <c r="Z578" s="23" t="s">
        <v>130</v>
      </c>
      <c r="AA578" s="23" t="s">
        <v>130</v>
      </c>
      <c r="AB578" s="24"/>
      <c r="AC578" s="23" t="str">
        <f aca="false">D578&amp;"#"&amp;E578</f>
        <v>신약#128</v>
      </c>
      <c r="AD578" s="23" t="n">
        <f aca="false">COUNTIFS($C$2:C578,C578,$D$2:D578,D578)</f>
        <v>24</v>
      </c>
    </row>
    <row r="579" customFormat="false" ht="26.85" hidden="false" customHeight="false" outlineLevel="0" collapsed="false">
      <c r="A579" s="23" t="n">
        <v>578</v>
      </c>
      <c r="B579" s="30" t="s">
        <v>5143</v>
      </c>
      <c r="C579" s="23" t="n">
        <v>2</v>
      </c>
      <c r="D579" s="23" t="s">
        <v>4656</v>
      </c>
      <c r="E579" s="23" t="n">
        <f aca="false">IF(C579=1,COUNTIFS($C$2:C579,1,$D$2:D579,D579),COUNTIFS($C$2:$C$799,1,$D$2:$D$799,D579)+COUNTIFS($C$2:C579,2,$D$2:D579,D579))</f>
        <v>129</v>
      </c>
      <c r="F579" s="23" t="str">
        <f aca="false">D579&amp;" #"&amp;TEXT(E579,"000")</f>
        <v>신약 #129</v>
      </c>
      <c r="G579" s="30" t="s">
        <v>5133</v>
      </c>
      <c r="H579" s="30" t="s">
        <v>5058</v>
      </c>
      <c r="I579" s="23" t="s">
        <v>5134</v>
      </c>
      <c r="J579" s="24" t="s">
        <v>5144</v>
      </c>
      <c r="K579" s="23" t="s">
        <v>121</v>
      </c>
      <c r="L579" s="24" t="s">
        <v>5145</v>
      </c>
      <c r="M579" s="24" t="s">
        <v>5146</v>
      </c>
      <c r="N579" s="23" t="s">
        <v>5147</v>
      </c>
      <c r="O579" s="24" t="s">
        <v>5148</v>
      </c>
      <c r="P579" s="24" t="s">
        <v>5149</v>
      </c>
      <c r="Q579" s="24" t="s">
        <v>5150</v>
      </c>
      <c r="R579" s="24"/>
      <c r="S579" s="24" t="s">
        <v>5142</v>
      </c>
      <c r="T579" s="24" t="str">
        <f aca="false">"["&amp;안내!$C$5&amp;" "&amp;F579&amp;"] "&amp;L579&amp;" | "&amp;J579</f>
        <v>[1분 성경 신약 #129] 가버나움의 하루 | 막 1:21-45</v>
      </c>
      <c r="U579" s="26" t="n">
        <f aca="false">IF(D579="구약",IF(C579=1,안내!$C$9,안내!$C$10)+AD579-1,IF(C579=1,안내!$C$9,안내!$C$10)+7*INT((AD579-1)/4)+CHOOSE(MOD(AD579-1,4)+1,0,2,4,5))</f>
        <v>46622</v>
      </c>
      <c r="V579" s="23" t="str">
        <f aca="false">CHOOSE(WEEKDAY(U579,2),"월","화","수","목","금","토","일")</f>
        <v>월</v>
      </c>
      <c r="W579" s="24" t="str">
        <f aca="false">IFERROR(IF(INDEX($C$2:$C$799,MATCH(D579&amp;"#"&amp;(E579+1),$AC$2:$AC$799,0))=C579,"다음 편: ","시즌1 완결 · 시즌2 첫 편: ")&amp;INDEX($L$2:$L$799,MATCH(D579&amp;"#"&amp;(E579+1),$AC$2:$AC$799,0)),"신약 트랙 완결")</f>
        <v>다음 편: 돌아가서 전하라</v>
      </c>
      <c r="X579" s="23" t="s">
        <v>130</v>
      </c>
      <c r="Y579" s="23" t="s">
        <v>130</v>
      </c>
      <c r="Z579" s="23" t="s">
        <v>130</v>
      </c>
      <c r="AA579" s="23" t="s">
        <v>130</v>
      </c>
      <c r="AB579" s="24"/>
      <c r="AC579" s="23" t="str">
        <f aca="false">D579&amp;"#"&amp;E579</f>
        <v>신약#129</v>
      </c>
      <c r="AD579" s="23" t="n">
        <f aca="false">COUNTIFS($C$2:C579,C579,$D$2:D579,D579)</f>
        <v>25</v>
      </c>
    </row>
    <row r="580" customFormat="false" ht="39.55" hidden="false" customHeight="false" outlineLevel="0" collapsed="false">
      <c r="A580" s="23" t="n">
        <v>579</v>
      </c>
      <c r="B580" s="30" t="s">
        <v>5151</v>
      </c>
      <c r="C580" s="20" t="n">
        <v>1</v>
      </c>
      <c r="D580" s="20" t="s">
        <v>4656</v>
      </c>
      <c r="E580" s="20" t="n">
        <f aca="false">IF(C580=1,COUNTIFS($C$2:C580,1,$D$2:D580,D580),COUNTIFS($C$2:$C$799,1,$D$2:$D$799,D580)+COUNTIFS($C$2:C580,2,$D$2:D580,D580))</f>
        <v>33</v>
      </c>
      <c r="F580" s="20" t="str">
        <f aca="false">D580&amp;" #"&amp;TEXT(E580,"000")</f>
        <v>신약 #033</v>
      </c>
      <c r="G580" s="30" t="s">
        <v>5133</v>
      </c>
      <c r="H580" s="30" t="s">
        <v>5152</v>
      </c>
      <c r="I580" s="23" t="s">
        <v>5134</v>
      </c>
      <c r="J580" s="24" t="s">
        <v>5153</v>
      </c>
      <c r="K580" s="23" t="s">
        <v>121</v>
      </c>
      <c r="L580" s="24" t="s">
        <v>5154</v>
      </c>
      <c r="M580" s="24" t="s">
        <v>5155</v>
      </c>
      <c r="N580" s="23" t="s">
        <v>5156</v>
      </c>
      <c r="O580" s="24" t="s">
        <v>5157</v>
      </c>
      <c r="P580" s="24" t="s">
        <v>5158</v>
      </c>
      <c r="Q580" s="24" t="s">
        <v>5159</v>
      </c>
      <c r="R580" s="24"/>
      <c r="S580" s="28" t="s">
        <v>5160</v>
      </c>
      <c r="T580" s="24" t="str">
        <f aca="false">"["&amp;안내!$C$5&amp;" "&amp;F580&amp;"] "&amp;L580&amp;" | "&amp;J580</f>
        <v>[1분 성경 신약 #033] 지붕을 뚫은 친구들 | 막 2:1-12</v>
      </c>
      <c r="U580" s="26" t="n">
        <f aca="false">IF(D580="구약",IF(C580=1,안내!$C$9,안내!$C$10)+AD580-1,IF(C580=1,안내!$C$9,안내!$C$10)+7*INT((AD580-1)/4)+CHOOSE(MOD(AD580-1,4)+1,0,2,4,5))</f>
        <v>46447</v>
      </c>
      <c r="V580" s="23" t="str">
        <f aca="false">CHOOSE(WEEKDAY(U580,2),"월","화","수","목","금","토","일")</f>
        <v>월</v>
      </c>
      <c r="W580" s="24" t="str">
        <f aca="false">IFERROR(IF(INDEX($C$2:$C$799,MATCH(D580&amp;"#"&amp;(E580+1),$AC$2:$AC$799,0))=C580,"다음 편: ","시즌1 완결 · 시즌2 첫 편: ")&amp;INDEX($L$2:$L$799,MATCH(D580&amp;"#"&amp;(E580+1),$AC$2:$AC$799,0)),"신약 트랙 완결")</f>
        <v>다음 편: 달리다굼</v>
      </c>
      <c r="X580" s="23" t="s">
        <v>130</v>
      </c>
      <c r="Y580" s="23" t="s">
        <v>130</v>
      </c>
      <c r="Z580" s="23" t="s">
        <v>130</v>
      </c>
      <c r="AA580" s="23" t="s">
        <v>130</v>
      </c>
      <c r="AB580" s="24"/>
      <c r="AC580" s="23" t="str">
        <f aca="false">D580&amp;"#"&amp;E580</f>
        <v>신약#33</v>
      </c>
      <c r="AD580" s="23" t="n">
        <f aca="false">COUNTIFS($C$2:C580,C580,$D$2:D580,D580)</f>
        <v>33</v>
      </c>
    </row>
    <row r="581" customFormat="false" ht="26.85" hidden="false" customHeight="false" outlineLevel="0" collapsed="false">
      <c r="A581" s="23" t="n">
        <v>580</v>
      </c>
      <c r="B581" s="30" t="s">
        <v>5161</v>
      </c>
      <c r="C581" s="23" t="n">
        <v>2</v>
      </c>
      <c r="D581" s="23" t="s">
        <v>4656</v>
      </c>
      <c r="E581" s="23" t="n">
        <f aca="false">IF(C581=1,COUNTIFS($C$2:C581,1,$D$2:D581,D581),COUNTIFS($C$2:$C$799,1,$D$2:$D$799,D581)+COUNTIFS($C$2:C581,2,$D$2:D581,D581))</f>
        <v>130</v>
      </c>
      <c r="F581" s="23" t="str">
        <f aca="false">D581&amp;" #"&amp;TEXT(E581,"000")</f>
        <v>신약 #130</v>
      </c>
      <c r="G581" s="30" t="s">
        <v>5133</v>
      </c>
      <c r="H581" s="30" t="s">
        <v>5058</v>
      </c>
      <c r="I581" s="23" t="s">
        <v>5134</v>
      </c>
      <c r="J581" s="24" t="s">
        <v>5162</v>
      </c>
      <c r="K581" s="23" t="s">
        <v>121</v>
      </c>
      <c r="L581" s="24" t="s">
        <v>5163</v>
      </c>
      <c r="M581" s="24" t="s">
        <v>5164</v>
      </c>
      <c r="N581" s="23" t="s">
        <v>5165</v>
      </c>
      <c r="O581" s="24" t="s">
        <v>5166</v>
      </c>
      <c r="P581" s="24" t="s">
        <v>5167</v>
      </c>
      <c r="Q581" s="24" t="s">
        <v>5168</v>
      </c>
      <c r="R581" s="25" t="s">
        <v>4819</v>
      </c>
      <c r="S581" s="24" t="s">
        <v>5169</v>
      </c>
      <c r="T581" s="24" t="str">
        <f aca="false">"["&amp;안내!$C$5&amp;" "&amp;F581&amp;"] "&amp;L581&amp;" | "&amp;J581</f>
        <v>[1분 성경 신약 #130] 돌아가서 전하라 | 막 4:35-5:20</v>
      </c>
      <c r="U581" s="26" t="n">
        <f aca="false">IF(D581="구약",IF(C581=1,안내!$C$9,안내!$C$10)+AD581-1,IF(C581=1,안내!$C$9,안내!$C$10)+7*INT((AD581-1)/4)+CHOOSE(MOD(AD581-1,4)+1,0,2,4,5))</f>
        <v>46624</v>
      </c>
      <c r="V581" s="23" t="str">
        <f aca="false">CHOOSE(WEEKDAY(U581,2),"월","화","수","목","금","토","일")</f>
        <v>수</v>
      </c>
      <c r="W581" s="24" t="str">
        <f aca="false">IFERROR(IF(INDEX($C$2:$C$799,MATCH(D581&amp;"#"&amp;(E581+1),$AC$2:$AC$799,0))=C581,"다음 편: ","시즌1 완결 · 시즌2 첫 편: ")&amp;INDEX($L$2:$L$799,MATCH(D581&amp;"#"&amp;(E581+1),$AC$2:$AC$799,0)),"신약 트랙 완결")</f>
        <v>다음 편: 에바다</v>
      </c>
      <c r="X581" s="23" t="s">
        <v>130</v>
      </c>
      <c r="Y581" s="23" t="s">
        <v>130</v>
      </c>
      <c r="Z581" s="23" t="s">
        <v>130</v>
      </c>
      <c r="AA581" s="23" t="s">
        <v>130</v>
      </c>
      <c r="AB581" s="24"/>
      <c r="AC581" s="23" t="str">
        <f aca="false">D581&amp;"#"&amp;E581</f>
        <v>신약#130</v>
      </c>
      <c r="AD581" s="23" t="n">
        <f aca="false">COUNTIFS($C$2:C581,C581,$D$2:D581,D581)</f>
        <v>26</v>
      </c>
    </row>
    <row r="582" customFormat="false" ht="26.85" hidden="false" customHeight="false" outlineLevel="0" collapsed="false">
      <c r="A582" s="23" t="n">
        <v>581</v>
      </c>
      <c r="B582" s="30" t="s">
        <v>5170</v>
      </c>
      <c r="C582" s="20" t="n">
        <v>1</v>
      </c>
      <c r="D582" s="20" t="s">
        <v>4656</v>
      </c>
      <c r="E582" s="20" t="n">
        <f aca="false">IF(C582=1,COUNTIFS($C$2:C582,1,$D$2:D582,D582),COUNTIFS($C$2:$C$799,1,$D$2:$D$799,D582)+COUNTIFS($C$2:C582,2,$D$2:D582,D582))</f>
        <v>34</v>
      </c>
      <c r="F582" s="20" t="str">
        <f aca="false">D582&amp;" #"&amp;TEXT(E582,"000")</f>
        <v>신약 #034</v>
      </c>
      <c r="G582" s="30" t="s">
        <v>5133</v>
      </c>
      <c r="H582" s="30" t="s">
        <v>5152</v>
      </c>
      <c r="I582" s="23" t="s">
        <v>5134</v>
      </c>
      <c r="J582" s="24" t="s">
        <v>5171</v>
      </c>
      <c r="K582" s="23" t="s">
        <v>121</v>
      </c>
      <c r="L582" s="24" t="s">
        <v>5172</v>
      </c>
      <c r="M582" s="24" t="s">
        <v>5173</v>
      </c>
      <c r="N582" s="23" t="s">
        <v>5174</v>
      </c>
      <c r="O582" s="24" t="s">
        <v>5175</v>
      </c>
      <c r="P582" s="24" t="s">
        <v>5176</v>
      </c>
      <c r="Q582" s="24" t="s">
        <v>5177</v>
      </c>
      <c r="R582" s="24"/>
      <c r="S582" s="28" t="s">
        <v>5178</v>
      </c>
      <c r="T582" s="24" t="str">
        <f aca="false">"["&amp;안내!$C$5&amp;" "&amp;F582&amp;"] "&amp;L582&amp;" | "&amp;J582</f>
        <v>[1분 성경 신약 #034] 달리다굼 | 막 5:21-43</v>
      </c>
      <c r="U582" s="26" t="n">
        <f aca="false">IF(D582="구약",IF(C582=1,안내!$C$9,안내!$C$10)+AD582-1,IF(C582=1,안내!$C$9,안내!$C$10)+7*INT((AD582-1)/4)+CHOOSE(MOD(AD582-1,4)+1,0,2,4,5))</f>
        <v>46449</v>
      </c>
      <c r="V582" s="23" t="str">
        <f aca="false">CHOOSE(WEEKDAY(U582,2),"월","화","수","목","금","토","일")</f>
        <v>수</v>
      </c>
      <c r="W582" s="24" t="str">
        <f aca="false">IFERROR(IF(INDEX($C$2:$C$799,MATCH(D582&amp;"#"&amp;(E582+1),$AC$2:$AC$799,0))=C582,"다음 편: ","시즌1 완결 · 시즌2 첫 편: ")&amp;INDEX($L$2:$L$799,MATCH(D582&amp;"#"&amp;(E582+1),$AC$2:$AC$799,0)),"신약 트랙 완결")</f>
        <v>다음 편: 어린아이를 안으시다</v>
      </c>
      <c r="X582" s="23" t="s">
        <v>130</v>
      </c>
      <c r="Y582" s="23" t="s">
        <v>130</v>
      </c>
      <c r="Z582" s="23" t="s">
        <v>130</v>
      </c>
      <c r="AA582" s="23" t="s">
        <v>130</v>
      </c>
      <c r="AB582" s="24"/>
      <c r="AC582" s="23" t="str">
        <f aca="false">D582&amp;"#"&amp;E582</f>
        <v>신약#34</v>
      </c>
      <c r="AD582" s="23" t="n">
        <f aca="false">COUNTIFS($C$2:C582,C582,$D$2:D582,D582)</f>
        <v>34</v>
      </c>
    </row>
    <row r="583" customFormat="false" ht="26.85" hidden="false" customHeight="false" outlineLevel="0" collapsed="false">
      <c r="A583" s="23" t="n">
        <v>582</v>
      </c>
      <c r="B583" s="30" t="s">
        <v>5179</v>
      </c>
      <c r="C583" s="23" t="n">
        <v>2</v>
      </c>
      <c r="D583" s="23" t="s">
        <v>4656</v>
      </c>
      <c r="E583" s="23" t="n">
        <f aca="false">IF(C583=1,COUNTIFS($C$2:C583,1,$D$2:D583,D583),COUNTIFS($C$2:$C$799,1,$D$2:$D$799,D583)+COUNTIFS($C$2:C583,2,$D$2:D583,D583))</f>
        <v>131</v>
      </c>
      <c r="F583" s="23" t="str">
        <f aca="false">D583&amp;" #"&amp;TEXT(E583,"000")</f>
        <v>신약 #131</v>
      </c>
      <c r="G583" s="30" t="s">
        <v>5133</v>
      </c>
      <c r="H583" s="30" t="s">
        <v>5058</v>
      </c>
      <c r="I583" s="23" t="s">
        <v>5134</v>
      </c>
      <c r="J583" s="24" t="s">
        <v>5180</v>
      </c>
      <c r="K583" s="23" t="s">
        <v>121</v>
      </c>
      <c r="L583" s="24" t="s">
        <v>5181</v>
      </c>
      <c r="M583" s="24" t="s">
        <v>5182</v>
      </c>
      <c r="N583" s="23" t="s">
        <v>5183</v>
      </c>
      <c r="O583" s="24" t="s">
        <v>5184</v>
      </c>
      <c r="P583" s="24" t="s">
        <v>5185</v>
      </c>
      <c r="Q583" s="24" t="s">
        <v>5186</v>
      </c>
      <c r="R583" s="24"/>
      <c r="S583" s="24" t="s">
        <v>5187</v>
      </c>
      <c r="T583" s="24" t="str">
        <f aca="false">"["&amp;안내!$C$5&amp;" "&amp;F583&amp;"] "&amp;L583&amp;" | "&amp;J583</f>
        <v>[1분 성경 신약 #131] 에바다 | 막 7:24-37</v>
      </c>
      <c r="U583" s="26" t="n">
        <f aca="false">IF(D583="구약",IF(C583=1,안내!$C$9,안내!$C$10)+AD583-1,IF(C583=1,안내!$C$9,안내!$C$10)+7*INT((AD583-1)/4)+CHOOSE(MOD(AD583-1,4)+1,0,2,4,5))</f>
        <v>46626</v>
      </c>
      <c r="V583" s="23" t="str">
        <f aca="false">CHOOSE(WEEKDAY(U583,2),"월","화","수","목","금","토","일")</f>
        <v>금</v>
      </c>
      <c r="W583" s="24" t="str">
        <f aca="false">IFERROR(IF(INDEX($C$2:$C$799,MATCH(D583&amp;"#"&amp;(E583+1),$AC$2:$AC$799,0))=C583,"다음 편: ","시즌1 완결 · 시즌2 첫 편: ")&amp;INDEX($L$2:$L$799,MATCH(D583&amp;"#"&amp;(E583+1),$AC$2:$AC$799,0)),"신약 트랙 완결")</f>
        <v>다음 편: 두 번 만져 주신 맹인</v>
      </c>
      <c r="X583" s="23" t="s">
        <v>130</v>
      </c>
      <c r="Y583" s="23" t="s">
        <v>130</v>
      </c>
      <c r="Z583" s="23" t="s">
        <v>130</v>
      </c>
      <c r="AA583" s="23" t="s">
        <v>130</v>
      </c>
      <c r="AB583" s="24"/>
      <c r="AC583" s="23" t="str">
        <f aca="false">D583&amp;"#"&amp;E583</f>
        <v>신약#131</v>
      </c>
      <c r="AD583" s="23" t="n">
        <f aca="false">COUNTIFS($C$2:C583,C583,$D$2:D583,D583)</f>
        <v>27</v>
      </c>
    </row>
    <row r="584" customFormat="false" ht="26.85" hidden="false" customHeight="false" outlineLevel="0" collapsed="false">
      <c r="A584" s="23" t="n">
        <v>583</v>
      </c>
      <c r="B584" s="30" t="s">
        <v>5188</v>
      </c>
      <c r="C584" s="23" t="n">
        <v>2</v>
      </c>
      <c r="D584" s="23" t="s">
        <v>4656</v>
      </c>
      <c r="E584" s="23" t="n">
        <f aca="false">IF(C584=1,COUNTIFS($C$2:C584,1,$D$2:D584,D584),COUNTIFS($C$2:$C$799,1,$D$2:$D$799,D584)+COUNTIFS($C$2:C584,2,$D$2:D584,D584))</f>
        <v>132</v>
      </c>
      <c r="F584" s="23" t="str">
        <f aca="false">D584&amp;" #"&amp;TEXT(E584,"000")</f>
        <v>신약 #132</v>
      </c>
      <c r="G584" s="30" t="s">
        <v>5133</v>
      </c>
      <c r="H584" s="30" t="s">
        <v>5058</v>
      </c>
      <c r="I584" s="23" t="s">
        <v>5134</v>
      </c>
      <c r="J584" s="24" t="s">
        <v>5189</v>
      </c>
      <c r="K584" s="23" t="s">
        <v>121</v>
      </c>
      <c r="L584" s="24" t="s">
        <v>5190</v>
      </c>
      <c r="M584" s="24" t="s">
        <v>5191</v>
      </c>
      <c r="N584" s="23" t="s">
        <v>5192</v>
      </c>
      <c r="O584" s="24" t="s">
        <v>5193</v>
      </c>
      <c r="P584" s="24" t="s">
        <v>5194</v>
      </c>
      <c r="Q584" s="24" t="s">
        <v>5195</v>
      </c>
      <c r="R584" s="24"/>
      <c r="S584" s="24" t="s">
        <v>5187</v>
      </c>
      <c r="T584" s="24" t="str">
        <f aca="false">"["&amp;안내!$C$5&amp;" "&amp;F584&amp;"] "&amp;L584&amp;" | "&amp;J584</f>
        <v>[1분 성경 신약 #132] 두 번 만져 주신 맹인 | 막 8:22-26</v>
      </c>
      <c r="U584" s="26" t="n">
        <f aca="false">IF(D584="구약",IF(C584=1,안내!$C$9,안내!$C$10)+AD584-1,IF(C584=1,안내!$C$9,안내!$C$10)+7*INT((AD584-1)/4)+CHOOSE(MOD(AD584-1,4)+1,0,2,4,5))</f>
        <v>46627</v>
      </c>
      <c r="V584" s="23" t="str">
        <f aca="false">CHOOSE(WEEKDAY(U584,2),"월","화","수","목","금","토","일")</f>
        <v>토</v>
      </c>
      <c r="W584" s="24" t="str">
        <f aca="false">IFERROR(IF(INDEX($C$2:$C$799,MATCH(D584&amp;"#"&amp;(E584+1),$AC$2:$AC$799,0))=C584,"다음 편: ","시즌1 완결 · 시즌2 첫 편: ")&amp;INDEX($L$2:$L$799,MATCH(D584&amp;"#"&amp;(E584+1),$AC$2:$AC$799,0)),"신약 트랙 완결")</f>
        <v>다음 편: 믿음 없는 나를 도와주소서</v>
      </c>
      <c r="X584" s="23" t="s">
        <v>130</v>
      </c>
      <c r="Y584" s="23" t="s">
        <v>130</v>
      </c>
      <c r="Z584" s="23" t="s">
        <v>130</v>
      </c>
      <c r="AA584" s="23" t="s">
        <v>130</v>
      </c>
      <c r="AB584" s="24"/>
      <c r="AC584" s="23" t="str">
        <f aca="false">D584&amp;"#"&amp;E584</f>
        <v>신약#132</v>
      </c>
      <c r="AD584" s="23" t="n">
        <f aca="false">COUNTIFS($C$2:C584,C584,$D$2:D584,D584)</f>
        <v>28</v>
      </c>
    </row>
    <row r="585" customFormat="false" ht="26.85" hidden="false" customHeight="false" outlineLevel="0" collapsed="false">
      <c r="A585" s="23" t="n">
        <v>584</v>
      </c>
      <c r="B585" s="30" t="s">
        <v>5196</v>
      </c>
      <c r="C585" s="23" t="n">
        <v>2</v>
      </c>
      <c r="D585" s="23" t="s">
        <v>4656</v>
      </c>
      <c r="E585" s="23" t="n">
        <f aca="false">IF(C585=1,COUNTIFS($C$2:C585,1,$D$2:D585,D585),COUNTIFS($C$2:$C$799,1,$D$2:$D$799,D585)+COUNTIFS($C$2:C585,2,$D$2:D585,D585))</f>
        <v>133</v>
      </c>
      <c r="F585" s="23" t="str">
        <f aca="false">D585&amp;" #"&amp;TEXT(E585,"000")</f>
        <v>신약 #133</v>
      </c>
      <c r="G585" s="30" t="s">
        <v>5133</v>
      </c>
      <c r="H585" s="30" t="s">
        <v>5058</v>
      </c>
      <c r="I585" s="23" t="s">
        <v>5134</v>
      </c>
      <c r="J585" s="24" t="s">
        <v>5197</v>
      </c>
      <c r="K585" s="23" t="s">
        <v>121</v>
      </c>
      <c r="L585" s="24" t="s">
        <v>5198</v>
      </c>
      <c r="M585" s="24" t="s">
        <v>5199</v>
      </c>
      <c r="N585" s="23" t="s">
        <v>5200</v>
      </c>
      <c r="O585" s="24" t="s">
        <v>5201</v>
      </c>
      <c r="P585" s="24" t="s">
        <v>5202</v>
      </c>
      <c r="Q585" s="24" t="s">
        <v>5203</v>
      </c>
      <c r="R585" s="24"/>
      <c r="S585" s="24" t="s">
        <v>5187</v>
      </c>
      <c r="T585" s="24" t="str">
        <f aca="false">"["&amp;안내!$C$5&amp;" "&amp;F585&amp;"] "&amp;L585&amp;" | "&amp;J585</f>
        <v>[1분 성경 신약 #133] 믿음 없는 나를 도와주소서 | 막 9:14-29</v>
      </c>
      <c r="U585" s="26" t="n">
        <f aca="false">IF(D585="구약",IF(C585=1,안내!$C$9,안내!$C$10)+AD585-1,IF(C585=1,안내!$C$9,안내!$C$10)+7*INT((AD585-1)/4)+CHOOSE(MOD(AD585-1,4)+1,0,2,4,5))</f>
        <v>46629</v>
      </c>
      <c r="V585" s="23" t="str">
        <f aca="false">CHOOSE(WEEKDAY(U585,2),"월","화","수","목","금","토","일")</f>
        <v>월</v>
      </c>
      <c r="W585" s="24" t="str">
        <f aca="false">IFERROR(IF(INDEX($C$2:$C$799,MATCH(D585&amp;"#"&amp;(E585+1),$AC$2:$AC$799,0))=C585,"다음 편: ","시즌1 완결 · 시즌2 첫 편: ")&amp;INDEX($L$2:$L$799,MATCH(D585&amp;"#"&amp;(E585+1),$AC$2:$AC$799,0)),"신약 트랙 완결")</f>
        <v>다음 편: 온 천하에 다니며</v>
      </c>
      <c r="X585" s="23" t="s">
        <v>130</v>
      </c>
      <c r="Y585" s="23" t="s">
        <v>130</v>
      </c>
      <c r="Z585" s="23" t="s">
        <v>130</v>
      </c>
      <c r="AA585" s="23" t="s">
        <v>130</v>
      </c>
      <c r="AB585" s="24"/>
      <c r="AC585" s="23" t="str">
        <f aca="false">D585&amp;"#"&amp;E585</f>
        <v>신약#133</v>
      </c>
      <c r="AD585" s="23" t="n">
        <f aca="false">COUNTIFS($C$2:C585,C585,$D$2:D585,D585)</f>
        <v>29</v>
      </c>
    </row>
    <row r="586" customFormat="false" ht="52.2" hidden="false" customHeight="false" outlineLevel="0" collapsed="false">
      <c r="A586" s="23" t="n">
        <v>585</v>
      </c>
      <c r="B586" s="30" t="s">
        <v>5204</v>
      </c>
      <c r="C586" s="20" t="n">
        <v>1</v>
      </c>
      <c r="D586" s="20" t="s">
        <v>4656</v>
      </c>
      <c r="E586" s="20" t="n">
        <f aca="false">IF(C586=1,COUNTIFS($C$2:C586,1,$D$2:D586,D586),COUNTIFS($C$2:$C$799,1,$D$2:$D$799,D586)+COUNTIFS($C$2:C586,2,$D$2:D586,D586))</f>
        <v>35</v>
      </c>
      <c r="F586" s="20" t="str">
        <f aca="false">D586&amp;" #"&amp;TEXT(E586,"000")</f>
        <v>신약 #035</v>
      </c>
      <c r="G586" s="30" t="s">
        <v>5133</v>
      </c>
      <c r="H586" s="30" t="s">
        <v>5152</v>
      </c>
      <c r="I586" s="23" t="s">
        <v>5134</v>
      </c>
      <c r="J586" s="24" t="s">
        <v>5205</v>
      </c>
      <c r="K586" s="23" t="s">
        <v>121</v>
      </c>
      <c r="L586" s="24" t="s">
        <v>5206</v>
      </c>
      <c r="M586" s="24" t="s">
        <v>5207</v>
      </c>
      <c r="N586" s="23" t="s">
        <v>5208</v>
      </c>
      <c r="O586" s="24" t="s">
        <v>5209</v>
      </c>
      <c r="P586" s="24" t="s">
        <v>5210</v>
      </c>
      <c r="Q586" s="24" t="s">
        <v>5211</v>
      </c>
      <c r="R586" s="25" t="s">
        <v>5212</v>
      </c>
      <c r="S586" s="28" t="s">
        <v>5213</v>
      </c>
      <c r="T586" s="24" t="str">
        <f aca="false">"["&amp;안내!$C$5&amp;" "&amp;F586&amp;"] "&amp;L586&amp;" | "&amp;J586</f>
        <v>[1분 성경 신약 #035] 어린아이를 안으시다 | 막 10:13-16</v>
      </c>
      <c r="U586" s="26" t="n">
        <f aca="false">IF(D586="구약",IF(C586=1,안내!$C$9,안내!$C$10)+AD586-1,IF(C586=1,안내!$C$9,안내!$C$10)+7*INT((AD586-1)/4)+CHOOSE(MOD(AD586-1,4)+1,0,2,4,5))</f>
        <v>46451</v>
      </c>
      <c r="V586" s="23" t="str">
        <f aca="false">CHOOSE(WEEKDAY(U586,2),"월","화","수","목","금","토","일")</f>
        <v>금</v>
      </c>
      <c r="W586" s="24" t="str">
        <f aca="false">IFERROR(IF(INDEX($C$2:$C$799,MATCH(D586&amp;"#"&amp;(E586+1),$AC$2:$AC$799,0))=C586,"다음 편: ","시즌1 완결 · 시즌2 첫 편: ")&amp;INDEX($L$2:$L$799,MATCH(D586&amp;"#"&amp;(E586+1),$AC$2:$AC$799,0)),"신약 트랙 완결")</f>
        <v>다음 편: 바디매오</v>
      </c>
      <c r="X586" s="23" t="s">
        <v>130</v>
      </c>
      <c r="Y586" s="23" t="s">
        <v>130</v>
      </c>
      <c r="Z586" s="23" t="s">
        <v>130</v>
      </c>
      <c r="AA586" s="23" t="s">
        <v>130</v>
      </c>
      <c r="AB586" s="24"/>
      <c r="AC586" s="23" t="str">
        <f aca="false">D586&amp;"#"&amp;E586</f>
        <v>신약#35</v>
      </c>
      <c r="AD586" s="23" t="n">
        <f aca="false">COUNTIFS($C$2:C586,C586,$D$2:D586,D586)</f>
        <v>35</v>
      </c>
    </row>
    <row r="587" customFormat="false" ht="15" hidden="false" customHeight="false" outlineLevel="0" collapsed="false">
      <c r="A587" s="23" t="n">
        <v>586</v>
      </c>
      <c r="B587" s="30" t="s">
        <v>5214</v>
      </c>
      <c r="C587" s="20" t="n">
        <v>1</v>
      </c>
      <c r="D587" s="20" t="s">
        <v>4656</v>
      </c>
      <c r="E587" s="20" t="n">
        <f aca="false">IF(C587=1,COUNTIFS($C$2:C587,1,$D$2:D587,D587),COUNTIFS($C$2:$C$799,1,$D$2:$D$799,D587)+COUNTIFS($C$2:C587,2,$D$2:D587,D587))</f>
        <v>36</v>
      </c>
      <c r="F587" s="20" t="str">
        <f aca="false">D587&amp;" #"&amp;TEXT(E587,"000")</f>
        <v>신약 #036</v>
      </c>
      <c r="G587" s="30" t="s">
        <v>5133</v>
      </c>
      <c r="H587" s="30" t="s">
        <v>5152</v>
      </c>
      <c r="I587" s="23" t="s">
        <v>5134</v>
      </c>
      <c r="J587" s="24" t="s">
        <v>5215</v>
      </c>
      <c r="K587" s="23" t="s">
        <v>121</v>
      </c>
      <c r="L587" s="24" t="s">
        <v>5216</v>
      </c>
      <c r="M587" s="24" t="s">
        <v>5217</v>
      </c>
      <c r="N587" s="23" t="s">
        <v>5218</v>
      </c>
      <c r="O587" s="24" t="s">
        <v>5219</v>
      </c>
      <c r="P587" s="24" t="s">
        <v>5220</v>
      </c>
      <c r="Q587" s="24" t="s">
        <v>5221</v>
      </c>
      <c r="R587" s="24"/>
      <c r="S587" s="24" t="s">
        <v>129</v>
      </c>
      <c r="T587" s="24" t="str">
        <f aca="false">"["&amp;안내!$C$5&amp;" "&amp;F587&amp;"] "&amp;L587&amp;" | "&amp;J587</f>
        <v>[1분 성경 신약 #036] 바디매오 | 막 10:46-52</v>
      </c>
      <c r="U587" s="26" t="n">
        <f aca="false">IF(D587="구약",IF(C587=1,안내!$C$9,안내!$C$10)+AD587-1,IF(C587=1,안내!$C$9,안내!$C$10)+7*INT((AD587-1)/4)+CHOOSE(MOD(AD587-1,4)+1,0,2,4,5))</f>
        <v>46452</v>
      </c>
      <c r="V587" s="23" t="str">
        <f aca="false">CHOOSE(WEEKDAY(U587,2),"월","화","수","목","금","토","일")</f>
        <v>토</v>
      </c>
      <c r="W587" s="24" t="str">
        <f aca="false">IFERROR(IF(INDEX($C$2:$C$799,MATCH(D587&amp;"#"&amp;(E587+1),$AC$2:$AC$799,0))=C587,"다음 편: ","시즌1 완결 · 시즌2 첫 편: ")&amp;INDEX($L$2:$L$799,MATCH(D587&amp;"#"&amp;(E587+1),$AC$2:$AC$799,0)),"신약 트랙 완결")</f>
        <v>다음 편: 과부의 두 렙돈</v>
      </c>
      <c r="X587" s="23" t="s">
        <v>130</v>
      </c>
      <c r="Y587" s="23" t="s">
        <v>130</v>
      </c>
      <c r="Z587" s="23" t="s">
        <v>130</v>
      </c>
      <c r="AA587" s="23" t="s">
        <v>130</v>
      </c>
      <c r="AB587" s="24"/>
      <c r="AC587" s="23" t="str">
        <f aca="false">D587&amp;"#"&amp;E587</f>
        <v>신약#36</v>
      </c>
      <c r="AD587" s="23" t="n">
        <f aca="false">COUNTIFS($C$2:C587,C587,$D$2:D587,D587)</f>
        <v>36</v>
      </c>
    </row>
    <row r="588" customFormat="false" ht="25.35" hidden="false" customHeight="false" outlineLevel="0" collapsed="false">
      <c r="A588" s="23" t="n">
        <v>587</v>
      </c>
      <c r="B588" s="30" t="s">
        <v>5222</v>
      </c>
      <c r="C588" s="20" t="n">
        <v>1</v>
      </c>
      <c r="D588" s="20" t="s">
        <v>4656</v>
      </c>
      <c r="E588" s="20" t="n">
        <f aca="false">IF(C588=1,COUNTIFS($C$2:C588,1,$D$2:D588,D588),COUNTIFS($C$2:$C$799,1,$D$2:$D$799,D588)+COUNTIFS($C$2:C588,2,$D$2:D588,D588))</f>
        <v>37</v>
      </c>
      <c r="F588" s="20" t="str">
        <f aca="false">D588&amp;" #"&amp;TEXT(E588,"000")</f>
        <v>신약 #037</v>
      </c>
      <c r="G588" s="30" t="s">
        <v>5133</v>
      </c>
      <c r="H588" s="30" t="s">
        <v>5152</v>
      </c>
      <c r="I588" s="23" t="s">
        <v>5134</v>
      </c>
      <c r="J588" s="24" t="s">
        <v>5223</v>
      </c>
      <c r="K588" s="23" t="s">
        <v>121</v>
      </c>
      <c r="L588" s="24" t="s">
        <v>5224</v>
      </c>
      <c r="M588" s="24" t="s">
        <v>5225</v>
      </c>
      <c r="N588" s="23" t="s">
        <v>5226</v>
      </c>
      <c r="O588" s="24" t="s">
        <v>5227</v>
      </c>
      <c r="P588" s="24" t="s">
        <v>5228</v>
      </c>
      <c r="Q588" s="24" t="s">
        <v>5229</v>
      </c>
      <c r="R588" s="25" t="s">
        <v>1174</v>
      </c>
      <c r="S588" s="24" t="s">
        <v>129</v>
      </c>
      <c r="T588" s="24" t="str">
        <f aca="false">"["&amp;안내!$C$5&amp;" "&amp;F588&amp;"] "&amp;L588&amp;" | "&amp;J588</f>
        <v>[1분 성경 신약 #037] 과부의 두 렙돈 | 막 12:41-44</v>
      </c>
      <c r="U588" s="26" t="n">
        <f aca="false">IF(D588="구약",IF(C588=1,안내!$C$9,안내!$C$10)+AD588-1,IF(C588=1,안내!$C$9,안내!$C$10)+7*INT((AD588-1)/4)+CHOOSE(MOD(AD588-1,4)+1,0,2,4,5))</f>
        <v>46454</v>
      </c>
      <c r="V588" s="23" t="str">
        <f aca="false">CHOOSE(WEEKDAY(U588,2),"월","화","수","목","금","토","일")</f>
        <v>월</v>
      </c>
      <c r="W588" s="24" t="str">
        <f aca="false">IFERROR(IF(INDEX($C$2:$C$799,MATCH(D588&amp;"#"&amp;(E588+1),$AC$2:$AC$799,0))=C588,"다음 편: ","시즌1 완결 · 시즌2 첫 편: ")&amp;INDEX($L$2:$L$799,MATCH(D588&amp;"#"&amp;(E588+1),$AC$2:$AC$799,0)),"신약 트랙 완결")</f>
        <v>다음 편: 성전에 나타난 천사</v>
      </c>
      <c r="X588" s="23" t="s">
        <v>130</v>
      </c>
      <c r="Y588" s="23" t="s">
        <v>130</v>
      </c>
      <c r="Z588" s="23" t="s">
        <v>130</v>
      </c>
      <c r="AA588" s="23" t="s">
        <v>130</v>
      </c>
      <c r="AB588" s="24"/>
      <c r="AC588" s="23" t="str">
        <f aca="false">D588&amp;"#"&amp;E588</f>
        <v>신약#37</v>
      </c>
      <c r="AD588" s="23" t="n">
        <f aca="false">COUNTIFS($C$2:C588,C588,$D$2:D588,D588)</f>
        <v>37</v>
      </c>
    </row>
    <row r="589" customFormat="false" ht="26.85" hidden="false" customHeight="false" outlineLevel="0" collapsed="false">
      <c r="A589" s="23" t="n">
        <v>588</v>
      </c>
      <c r="B589" s="30" t="s">
        <v>5230</v>
      </c>
      <c r="C589" s="23" t="n">
        <v>2</v>
      </c>
      <c r="D589" s="23" t="s">
        <v>4656</v>
      </c>
      <c r="E589" s="23" t="n">
        <f aca="false">IF(C589=1,COUNTIFS($C$2:C589,1,$D$2:D589,D589),COUNTIFS($C$2:$C$799,1,$D$2:$D$799,D589)+COUNTIFS($C$2:C589,2,$D$2:D589,D589))</f>
        <v>134</v>
      </c>
      <c r="F589" s="23" t="str">
        <f aca="false">D589&amp;" #"&amp;TEXT(E589,"000")</f>
        <v>신약 #134</v>
      </c>
      <c r="G589" s="30" t="s">
        <v>5133</v>
      </c>
      <c r="H589" s="30" t="s">
        <v>5058</v>
      </c>
      <c r="I589" s="23" t="s">
        <v>5134</v>
      </c>
      <c r="J589" s="24" t="s">
        <v>5231</v>
      </c>
      <c r="K589" s="23" t="s">
        <v>121</v>
      </c>
      <c r="L589" s="24" t="s">
        <v>5232</v>
      </c>
      <c r="M589" s="24" t="s">
        <v>5233</v>
      </c>
      <c r="N589" s="23" t="s">
        <v>5234</v>
      </c>
      <c r="O589" s="24" t="s">
        <v>5235</v>
      </c>
      <c r="P589" s="24" t="s">
        <v>5236</v>
      </c>
      <c r="Q589" s="24" t="s">
        <v>5237</v>
      </c>
      <c r="R589" s="27" t="s">
        <v>5238</v>
      </c>
      <c r="S589" s="24" t="s">
        <v>5239</v>
      </c>
      <c r="T589" s="24" t="str">
        <f aca="false">"["&amp;안내!$C$5&amp;" "&amp;F589&amp;"] "&amp;L589&amp;" | "&amp;J589</f>
        <v>[1분 성경 신약 #134] 온 천하에 다니며 | 막 16:1-20</v>
      </c>
      <c r="U589" s="26" t="n">
        <f aca="false">IF(D589="구약",IF(C589=1,안내!$C$9,안내!$C$10)+AD589-1,IF(C589=1,안내!$C$9,안내!$C$10)+7*INT((AD589-1)/4)+CHOOSE(MOD(AD589-1,4)+1,0,2,4,5))</f>
        <v>46631</v>
      </c>
      <c r="V589" s="23" t="str">
        <f aca="false">CHOOSE(WEEKDAY(U589,2),"월","화","수","목","금","토","일")</f>
        <v>수</v>
      </c>
      <c r="W589" s="24" t="str">
        <f aca="false">IFERROR(IF(INDEX($C$2:$C$799,MATCH(D589&amp;"#"&amp;(E589+1),$AC$2:$AC$799,0))=C589,"다음 편: ","시즌1 완결 · 시즌2 첫 편: ")&amp;INDEX($L$2:$L$799,MATCH(D589&amp;"#"&amp;(E589+1),$AC$2:$AC$799,0)),"신약 트랙 완결")</f>
        <v>다음 편: 마리아의 찬가</v>
      </c>
      <c r="X589" s="23" t="s">
        <v>130</v>
      </c>
      <c r="Y589" s="23" t="s">
        <v>130</v>
      </c>
      <c r="Z589" s="23" t="s">
        <v>130</v>
      </c>
      <c r="AA589" s="23" t="s">
        <v>130</v>
      </c>
      <c r="AB589" s="24"/>
      <c r="AC589" s="23" t="str">
        <f aca="false">D589&amp;"#"&amp;E589</f>
        <v>신약#134</v>
      </c>
      <c r="AD589" s="23" t="n">
        <f aca="false">COUNTIFS($C$2:C589,C589,$D$2:D589,D589)</f>
        <v>30</v>
      </c>
    </row>
    <row r="590" customFormat="false" ht="26.85" hidden="false" customHeight="false" outlineLevel="0" collapsed="false">
      <c r="A590" s="23" t="n">
        <v>589</v>
      </c>
      <c r="B590" s="30" t="s">
        <v>5240</v>
      </c>
      <c r="C590" s="20" t="n">
        <v>1</v>
      </c>
      <c r="D590" s="20" t="s">
        <v>4656</v>
      </c>
      <c r="E590" s="20" t="n">
        <f aca="false">IF(C590=1,COUNTIFS($C$2:C590,1,$D$2:D590,D590),COUNTIFS($C$2:$C$799,1,$D$2:$D$799,D590)+COUNTIFS($C$2:C590,2,$D$2:D590,D590))</f>
        <v>38</v>
      </c>
      <c r="F590" s="20" t="str">
        <f aca="false">D590&amp;" #"&amp;TEXT(E590,"000")</f>
        <v>신약 #038</v>
      </c>
      <c r="G590" s="30" t="s">
        <v>5241</v>
      </c>
      <c r="H590" s="30" t="s">
        <v>5152</v>
      </c>
      <c r="I590" s="23" t="s">
        <v>5242</v>
      </c>
      <c r="J590" s="24" t="s">
        <v>5243</v>
      </c>
      <c r="K590" s="23" t="s">
        <v>121</v>
      </c>
      <c r="L590" s="24" t="s">
        <v>5244</v>
      </c>
      <c r="M590" s="24" t="s">
        <v>5245</v>
      </c>
      <c r="N590" s="23" t="s">
        <v>5246</v>
      </c>
      <c r="O590" s="24" t="s">
        <v>5247</v>
      </c>
      <c r="P590" s="24" t="s">
        <v>5248</v>
      </c>
      <c r="Q590" s="24" t="s">
        <v>2943</v>
      </c>
      <c r="R590" s="25" t="s">
        <v>5249</v>
      </c>
      <c r="S590" s="28" t="s">
        <v>5250</v>
      </c>
      <c r="T590" s="24" t="str">
        <f aca="false">"["&amp;안내!$C$5&amp;" "&amp;F590&amp;"] "&amp;L590&amp;" | "&amp;J590</f>
        <v>[1분 성경 신약 #038] 성전에 나타난 천사 | 눅 1:1-25</v>
      </c>
      <c r="U590" s="26" t="n">
        <f aca="false">IF(D590="구약",IF(C590=1,안내!$C$9,안내!$C$10)+AD590-1,IF(C590=1,안내!$C$9,안내!$C$10)+7*INT((AD590-1)/4)+CHOOSE(MOD(AD590-1,4)+1,0,2,4,5))</f>
        <v>46456</v>
      </c>
      <c r="V590" s="23" t="str">
        <f aca="false">CHOOSE(WEEKDAY(U590,2),"월","화","수","목","금","토","일")</f>
        <v>수</v>
      </c>
      <c r="W590" s="24" t="str">
        <f aca="false">IFERROR(IF(INDEX($C$2:$C$799,MATCH(D590&amp;"#"&amp;(E590+1),$AC$2:$AC$799,0))=C590,"다음 편: ","시즌1 완결 · 시즌2 첫 편: ")&amp;INDEX($L$2:$L$799,MATCH(D590&amp;"#"&amp;(E590+1),$AC$2:$AC$799,0)),"신약 트랙 완결")</f>
        <v>다음 편: 수태고지</v>
      </c>
      <c r="X590" s="23" t="s">
        <v>130</v>
      </c>
      <c r="Y590" s="23" t="s">
        <v>130</v>
      </c>
      <c r="Z590" s="23" t="s">
        <v>130</v>
      </c>
      <c r="AA590" s="23" t="s">
        <v>130</v>
      </c>
      <c r="AB590" s="24"/>
      <c r="AC590" s="23" t="str">
        <f aca="false">D590&amp;"#"&amp;E590</f>
        <v>신약#38</v>
      </c>
      <c r="AD590" s="23" t="n">
        <f aca="false">COUNTIFS($C$2:C590,C590,$D$2:D590,D590)</f>
        <v>38</v>
      </c>
    </row>
    <row r="591" customFormat="false" ht="26.85" hidden="false" customHeight="false" outlineLevel="0" collapsed="false">
      <c r="A591" s="23" t="n">
        <v>590</v>
      </c>
      <c r="B591" s="30" t="s">
        <v>5251</v>
      </c>
      <c r="C591" s="20" t="n">
        <v>1</v>
      </c>
      <c r="D591" s="20" t="s">
        <v>4656</v>
      </c>
      <c r="E591" s="20" t="n">
        <f aca="false">IF(C591=1,COUNTIFS($C$2:C591,1,$D$2:D591,D591),COUNTIFS($C$2:$C$799,1,$D$2:$D$799,D591)+COUNTIFS($C$2:C591,2,$D$2:D591,D591))</f>
        <v>39</v>
      </c>
      <c r="F591" s="20" t="str">
        <f aca="false">D591&amp;" #"&amp;TEXT(E591,"000")</f>
        <v>신약 #039</v>
      </c>
      <c r="G591" s="30" t="s">
        <v>5241</v>
      </c>
      <c r="H591" s="30" t="s">
        <v>5152</v>
      </c>
      <c r="I591" s="23" t="s">
        <v>5242</v>
      </c>
      <c r="J591" s="24" t="s">
        <v>5252</v>
      </c>
      <c r="K591" s="23" t="s">
        <v>121</v>
      </c>
      <c r="L591" s="24" t="s">
        <v>5253</v>
      </c>
      <c r="M591" s="24" t="s">
        <v>5254</v>
      </c>
      <c r="N591" s="23" t="s">
        <v>5255</v>
      </c>
      <c r="O591" s="24" t="s">
        <v>5256</v>
      </c>
      <c r="P591" s="24" t="s">
        <v>5257</v>
      </c>
      <c r="Q591" s="24" t="s">
        <v>5258</v>
      </c>
      <c r="R591" s="25" t="s">
        <v>5259</v>
      </c>
      <c r="S591" s="24" t="s">
        <v>129</v>
      </c>
      <c r="T591" s="24" t="str">
        <f aca="false">"["&amp;안내!$C$5&amp;" "&amp;F591&amp;"] "&amp;L591&amp;" | "&amp;J591</f>
        <v>[1분 성경 신약 #039] 수태고지 | 눅 1:26-38</v>
      </c>
      <c r="U591" s="26" t="n">
        <f aca="false">IF(D591="구약",IF(C591=1,안내!$C$9,안내!$C$10)+AD591-1,IF(C591=1,안내!$C$9,안내!$C$10)+7*INT((AD591-1)/4)+CHOOSE(MOD(AD591-1,4)+1,0,2,4,5))</f>
        <v>46458</v>
      </c>
      <c r="V591" s="23" t="str">
        <f aca="false">CHOOSE(WEEKDAY(U591,2),"월","화","수","목","금","토","일")</f>
        <v>금</v>
      </c>
      <c r="W591" s="24" t="str">
        <f aca="false">IFERROR(IF(INDEX($C$2:$C$799,MATCH(D591&amp;"#"&amp;(E591+1),$AC$2:$AC$799,0))=C591,"다음 편: ","시즌1 완결 · 시즌2 첫 편: ")&amp;INDEX($L$2:$L$799,MATCH(D591&amp;"#"&amp;(E591+1),$AC$2:$AC$799,0)),"신약 트랙 완결")</f>
        <v>다음 편: 구유에 누이다</v>
      </c>
      <c r="X591" s="23" t="s">
        <v>130</v>
      </c>
      <c r="Y591" s="23" t="s">
        <v>130</v>
      </c>
      <c r="Z591" s="23" t="s">
        <v>130</v>
      </c>
      <c r="AA591" s="23" t="s">
        <v>130</v>
      </c>
      <c r="AB591" s="24"/>
      <c r="AC591" s="23" t="str">
        <f aca="false">D591&amp;"#"&amp;E591</f>
        <v>신약#39</v>
      </c>
      <c r="AD591" s="23" t="n">
        <f aca="false">COUNTIFS($C$2:C591,C591,$D$2:D591,D591)</f>
        <v>39</v>
      </c>
    </row>
    <row r="592" customFormat="false" ht="26.85" hidden="false" customHeight="false" outlineLevel="0" collapsed="false">
      <c r="A592" s="23" t="n">
        <v>591</v>
      </c>
      <c r="B592" s="30" t="s">
        <v>5260</v>
      </c>
      <c r="C592" s="23" t="n">
        <v>2</v>
      </c>
      <c r="D592" s="23" t="s">
        <v>4656</v>
      </c>
      <c r="E592" s="23" t="n">
        <f aca="false">IF(C592=1,COUNTIFS($C$2:C592,1,$D$2:D592,D592),COUNTIFS($C$2:$C$799,1,$D$2:$D$799,D592)+COUNTIFS($C$2:C592,2,$D$2:D592,D592))</f>
        <v>135</v>
      </c>
      <c r="F592" s="23" t="str">
        <f aca="false">D592&amp;" #"&amp;TEXT(E592,"000")</f>
        <v>신약 #135</v>
      </c>
      <c r="G592" s="30" t="s">
        <v>5241</v>
      </c>
      <c r="H592" s="30" t="s">
        <v>5261</v>
      </c>
      <c r="I592" s="23" t="s">
        <v>5242</v>
      </c>
      <c r="J592" s="24" t="s">
        <v>5262</v>
      </c>
      <c r="K592" s="23" t="s">
        <v>121</v>
      </c>
      <c r="L592" s="24" t="s">
        <v>5263</v>
      </c>
      <c r="M592" s="24" t="s">
        <v>5264</v>
      </c>
      <c r="N592" s="23" t="s">
        <v>5265</v>
      </c>
      <c r="O592" s="24" t="s">
        <v>5266</v>
      </c>
      <c r="P592" s="24" t="s">
        <v>5267</v>
      </c>
      <c r="Q592" s="24" t="s">
        <v>5268</v>
      </c>
      <c r="R592" s="24"/>
      <c r="S592" s="24" t="s">
        <v>5269</v>
      </c>
      <c r="T592" s="24" t="str">
        <f aca="false">"["&amp;안내!$C$5&amp;" "&amp;F592&amp;"] "&amp;L592&amp;" | "&amp;J592</f>
        <v>[1분 성경 신약 #135] 마리아의 찬가 | 눅 1:39-56</v>
      </c>
      <c r="U592" s="26" t="n">
        <f aca="false">IF(D592="구약",IF(C592=1,안내!$C$9,안내!$C$10)+AD592-1,IF(C592=1,안내!$C$9,안내!$C$10)+7*INT((AD592-1)/4)+CHOOSE(MOD(AD592-1,4)+1,0,2,4,5))</f>
        <v>46633</v>
      </c>
      <c r="V592" s="23" t="str">
        <f aca="false">CHOOSE(WEEKDAY(U592,2),"월","화","수","목","금","토","일")</f>
        <v>금</v>
      </c>
      <c r="W592" s="24" t="str">
        <f aca="false">IFERROR(IF(INDEX($C$2:$C$799,MATCH(D592&amp;"#"&amp;(E592+1),$AC$2:$AC$799,0))=C592,"다음 편: ","시즌1 완결 · 시즌2 첫 편: ")&amp;INDEX($L$2:$L$799,MATCH(D592&amp;"#"&amp;(E592+1),$AC$2:$AC$799,0)),"신약 트랙 완결")</f>
        <v>다음 편: 그의 이름은 요한</v>
      </c>
      <c r="X592" s="23" t="s">
        <v>130</v>
      </c>
      <c r="Y592" s="23" t="s">
        <v>130</v>
      </c>
      <c r="Z592" s="23" t="s">
        <v>130</v>
      </c>
      <c r="AA592" s="23" t="s">
        <v>130</v>
      </c>
      <c r="AB592" s="24"/>
      <c r="AC592" s="23" t="str">
        <f aca="false">D592&amp;"#"&amp;E592</f>
        <v>신약#135</v>
      </c>
      <c r="AD592" s="23" t="n">
        <f aca="false">COUNTIFS($C$2:C592,C592,$D$2:D592,D592)</f>
        <v>31</v>
      </c>
    </row>
    <row r="593" customFormat="false" ht="26.85" hidden="false" customHeight="false" outlineLevel="0" collapsed="false">
      <c r="A593" s="23" t="n">
        <v>592</v>
      </c>
      <c r="B593" s="30" t="s">
        <v>5270</v>
      </c>
      <c r="C593" s="23" t="n">
        <v>2</v>
      </c>
      <c r="D593" s="23" t="s">
        <v>4656</v>
      </c>
      <c r="E593" s="23" t="n">
        <f aca="false">IF(C593=1,COUNTIFS($C$2:C593,1,$D$2:D593,D593),COUNTIFS($C$2:$C$799,1,$D$2:$D$799,D593)+COUNTIFS($C$2:C593,2,$D$2:D593,D593))</f>
        <v>136</v>
      </c>
      <c r="F593" s="23" t="str">
        <f aca="false">D593&amp;" #"&amp;TEXT(E593,"000")</f>
        <v>신약 #136</v>
      </c>
      <c r="G593" s="30" t="s">
        <v>5241</v>
      </c>
      <c r="H593" s="30" t="s">
        <v>5261</v>
      </c>
      <c r="I593" s="23" t="s">
        <v>5242</v>
      </c>
      <c r="J593" s="24" t="s">
        <v>5271</v>
      </c>
      <c r="K593" s="23" t="s">
        <v>121</v>
      </c>
      <c r="L593" s="24" t="s">
        <v>5272</v>
      </c>
      <c r="M593" s="24" t="s">
        <v>5273</v>
      </c>
      <c r="N593" s="23" t="s">
        <v>5274</v>
      </c>
      <c r="O593" s="24" t="s">
        <v>5275</v>
      </c>
      <c r="P593" s="24" t="s">
        <v>5276</v>
      </c>
      <c r="Q593" s="24" t="s">
        <v>5277</v>
      </c>
      <c r="R593" s="24"/>
      <c r="S593" s="24" t="s">
        <v>5269</v>
      </c>
      <c r="T593" s="24" t="str">
        <f aca="false">"["&amp;안내!$C$5&amp;" "&amp;F593&amp;"] "&amp;L593&amp;" | "&amp;J593</f>
        <v>[1분 성경 신약 #136] 그의 이름은 요한 | 눅 1:57-80</v>
      </c>
      <c r="U593" s="26" t="n">
        <f aca="false">IF(D593="구약",IF(C593=1,안내!$C$9,안내!$C$10)+AD593-1,IF(C593=1,안내!$C$9,안내!$C$10)+7*INT((AD593-1)/4)+CHOOSE(MOD(AD593-1,4)+1,0,2,4,5))</f>
        <v>46634</v>
      </c>
      <c r="V593" s="23" t="str">
        <f aca="false">CHOOSE(WEEKDAY(U593,2),"월","화","수","목","금","토","일")</f>
        <v>토</v>
      </c>
      <c r="W593" s="24" t="str">
        <f aca="false">IFERROR(IF(INDEX($C$2:$C$799,MATCH(D593&amp;"#"&amp;(E593+1),$AC$2:$AC$799,0))=C593,"다음 편: ","시즌1 완결 · 시즌2 첫 편: ")&amp;INDEX($L$2:$L$799,MATCH(D593&amp;"#"&amp;(E593+1),$AC$2:$AC$799,0)),"신약 트랙 완결")</f>
        <v>다음 편: 시므온과 안나</v>
      </c>
      <c r="X593" s="23" t="s">
        <v>130</v>
      </c>
      <c r="Y593" s="23" t="s">
        <v>130</v>
      </c>
      <c r="Z593" s="23" t="s">
        <v>130</v>
      </c>
      <c r="AA593" s="23" t="s">
        <v>130</v>
      </c>
      <c r="AB593" s="24"/>
      <c r="AC593" s="23" t="str">
        <f aca="false">D593&amp;"#"&amp;E593</f>
        <v>신약#136</v>
      </c>
      <c r="AD593" s="23" t="n">
        <f aca="false">COUNTIFS($C$2:C593,C593,$D$2:D593,D593)</f>
        <v>32</v>
      </c>
    </row>
    <row r="594" customFormat="false" ht="39.55" hidden="false" customHeight="false" outlineLevel="0" collapsed="false">
      <c r="A594" s="23" t="n">
        <v>593</v>
      </c>
      <c r="B594" s="30" t="s">
        <v>5278</v>
      </c>
      <c r="C594" s="20" t="n">
        <v>1</v>
      </c>
      <c r="D594" s="20" t="s">
        <v>4656</v>
      </c>
      <c r="E594" s="20" t="n">
        <f aca="false">IF(C594=1,COUNTIFS($C$2:C594,1,$D$2:D594,D594),COUNTIFS($C$2:$C$799,1,$D$2:$D$799,D594)+COUNTIFS($C$2:C594,2,$D$2:D594,D594))</f>
        <v>40</v>
      </c>
      <c r="F594" s="20" t="str">
        <f aca="false">D594&amp;" #"&amp;TEXT(E594,"000")</f>
        <v>신약 #040</v>
      </c>
      <c r="G594" s="30" t="s">
        <v>5241</v>
      </c>
      <c r="H594" s="30" t="s">
        <v>5152</v>
      </c>
      <c r="I594" s="23" t="s">
        <v>5242</v>
      </c>
      <c r="J594" s="24" t="s">
        <v>5279</v>
      </c>
      <c r="K594" s="23" t="s">
        <v>121</v>
      </c>
      <c r="L594" s="24" t="s">
        <v>5280</v>
      </c>
      <c r="M594" s="24" t="s">
        <v>5281</v>
      </c>
      <c r="N594" s="23" t="s">
        <v>5282</v>
      </c>
      <c r="O594" s="24" t="s">
        <v>5283</v>
      </c>
      <c r="P594" s="24" t="s">
        <v>5284</v>
      </c>
      <c r="Q594" s="24" t="s">
        <v>5285</v>
      </c>
      <c r="R594" s="25" t="s">
        <v>5286</v>
      </c>
      <c r="S594" s="28" t="s">
        <v>5287</v>
      </c>
      <c r="T594" s="24" t="str">
        <f aca="false">"["&amp;안내!$C$5&amp;" "&amp;F594&amp;"] "&amp;L594&amp;" | "&amp;J594</f>
        <v>[1분 성경 신약 #040] 구유에 누이다 | 눅 2:1-7</v>
      </c>
      <c r="U594" s="26" t="n">
        <f aca="false">IF(D594="구약",IF(C594=1,안내!$C$9,안내!$C$10)+AD594-1,IF(C594=1,안내!$C$9,안내!$C$10)+7*INT((AD594-1)/4)+CHOOSE(MOD(AD594-1,4)+1,0,2,4,5))</f>
        <v>46459</v>
      </c>
      <c r="V594" s="23" t="str">
        <f aca="false">CHOOSE(WEEKDAY(U594,2),"월","화","수","목","금","토","일")</f>
        <v>토</v>
      </c>
      <c r="W594" s="24" t="str">
        <f aca="false">IFERROR(IF(INDEX($C$2:$C$799,MATCH(D594&amp;"#"&amp;(E594+1),$AC$2:$AC$799,0))=C594,"다음 편: ","시즌1 완결 · 시즌2 첫 편: ")&amp;INDEX($L$2:$L$799,MATCH(D594&amp;"#"&amp;(E594+1),$AC$2:$AC$799,0)),"신약 트랙 완결")</f>
        <v>다음 편: 목자들에게 들린 소식</v>
      </c>
      <c r="X594" s="23" t="s">
        <v>130</v>
      </c>
      <c r="Y594" s="23" t="s">
        <v>130</v>
      </c>
      <c r="Z594" s="23" t="s">
        <v>130</v>
      </c>
      <c r="AA594" s="23" t="s">
        <v>130</v>
      </c>
      <c r="AB594" s="24"/>
      <c r="AC594" s="23" t="str">
        <f aca="false">D594&amp;"#"&amp;E594</f>
        <v>신약#40</v>
      </c>
      <c r="AD594" s="23" t="n">
        <f aca="false">COUNTIFS($C$2:C594,C594,$D$2:D594,D594)</f>
        <v>40</v>
      </c>
    </row>
    <row r="595" customFormat="false" ht="26.85" hidden="false" customHeight="false" outlineLevel="0" collapsed="false">
      <c r="A595" s="23" t="n">
        <v>594</v>
      </c>
      <c r="B595" s="30" t="s">
        <v>5288</v>
      </c>
      <c r="C595" s="20" t="n">
        <v>1</v>
      </c>
      <c r="D595" s="20" t="s">
        <v>4656</v>
      </c>
      <c r="E595" s="20" t="n">
        <f aca="false">IF(C595=1,COUNTIFS($C$2:C595,1,$D$2:D595,D595),COUNTIFS($C$2:$C$799,1,$D$2:$D$799,D595)+COUNTIFS($C$2:C595,2,$D$2:D595,D595))</f>
        <v>41</v>
      </c>
      <c r="F595" s="20" t="str">
        <f aca="false">D595&amp;" #"&amp;TEXT(E595,"000")</f>
        <v>신약 #041</v>
      </c>
      <c r="G595" s="30" t="s">
        <v>5241</v>
      </c>
      <c r="H595" s="30" t="s">
        <v>5152</v>
      </c>
      <c r="I595" s="23" t="s">
        <v>5242</v>
      </c>
      <c r="J595" s="24" t="s">
        <v>5289</v>
      </c>
      <c r="K595" s="23" t="s">
        <v>121</v>
      </c>
      <c r="L595" s="24" t="s">
        <v>5290</v>
      </c>
      <c r="M595" s="24" t="s">
        <v>5291</v>
      </c>
      <c r="N595" s="23" t="s">
        <v>5292</v>
      </c>
      <c r="O595" s="24" t="s">
        <v>5293</v>
      </c>
      <c r="P595" s="24" t="s">
        <v>5294</v>
      </c>
      <c r="Q595" s="24" t="s">
        <v>5295</v>
      </c>
      <c r="R595" s="24"/>
      <c r="S595" s="24" t="s">
        <v>129</v>
      </c>
      <c r="T595" s="24" t="str">
        <f aca="false">"["&amp;안내!$C$5&amp;" "&amp;F595&amp;"] "&amp;L595&amp;" | "&amp;J595</f>
        <v>[1분 성경 신약 #041] 목자들에게 들린 소식 | 눅 2:8-20</v>
      </c>
      <c r="U595" s="26" t="n">
        <f aca="false">IF(D595="구약",IF(C595=1,안내!$C$9,안내!$C$10)+AD595-1,IF(C595=1,안내!$C$9,안내!$C$10)+7*INT((AD595-1)/4)+CHOOSE(MOD(AD595-1,4)+1,0,2,4,5))</f>
        <v>46461</v>
      </c>
      <c r="V595" s="23" t="str">
        <f aca="false">CHOOSE(WEEKDAY(U595,2),"월","화","수","목","금","토","일")</f>
        <v>월</v>
      </c>
      <c r="W595" s="24" t="str">
        <f aca="false">IFERROR(IF(INDEX($C$2:$C$799,MATCH(D595&amp;"#"&amp;(E595+1),$AC$2:$AC$799,0))=C595,"다음 편: ","시즌1 완결 · 시즌2 첫 편: ")&amp;INDEX($L$2:$L$799,MATCH(D595&amp;"#"&amp;(E595+1),$AC$2:$AC$799,0)),"신약 트랙 완결")</f>
        <v>다음 편: 열두 살 예수님</v>
      </c>
      <c r="X595" s="23" t="s">
        <v>130</v>
      </c>
      <c r="Y595" s="23" t="s">
        <v>130</v>
      </c>
      <c r="Z595" s="23" t="s">
        <v>130</v>
      </c>
      <c r="AA595" s="23" t="s">
        <v>130</v>
      </c>
      <c r="AB595" s="24"/>
      <c r="AC595" s="23" t="str">
        <f aca="false">D595&amp;"#"&amp;E595</f>
        <v>신약#41</v>
      </c>
      <c r="AD595" s="23" t="n">
        <f aca="false">COUNTIFS($C$2:C595,C595,$D$2:D595,D595)</f>
        <v>41</v>
      </c>
    </row>
    <row r="596" customFormat="false" ht="26.85" hidden="false" customHeight="false" outlineLevel="0" collapsed="false">
      <c r="A596" s="23" t="n">
        <v>595</v>
      </c>
      <c r="B596" s="30" t="s">
        <v>5296</v>
      </c>
      <c r="C596" s="23" t="n">
        <v>2</v>
      </c>
      <c r="D596" s="23" t="s">
        <v>4656</v>
      </c>
      <c r="E596" s="23" t="n">
        <f aca="false">IF(C596=1,COUNTIFS($C$2:C596,1,$D$2:D596,D596),COUNTIFS($C$2:$C$799,1,$D$2:$D$799,D596)+COUNTIFS($C$2:C596,2,$D$2:D596,D596))</f>
        <v>137</v>
      </c>
      <c r="F596" s="23" t="str">
        <f aca="false">D596&amp;" #"&amp;TEXT(E596,"000")</f>
        <v>신약 #137</v>
      </c>
      <c r="G596" s="30" t="s">
        <v>5241</v>
      </c>
      <c r="H596" s="30" t="s">
        <v>5261</v>
      </c>
      <c r="I596" s="23" t="s">
        <v>5242</v>
      </c>
      <c r="J596" s="24" t="s">
        <v>5297</v>
      </c>
      <c r="K596" s="23" t="s">
        <v>121</v>
      </c>
      <c r="L596" s="24" t="s">
        <v>5298</v>
      </c>
      <c r="M596" s="24" t="s">
        <v>5299</v>
      </c>
      <c r="N596" s="23" t="s">
        <v>5300</v>
      </c>
      <c r="O596" s="24" t="s">
        <v>5301</v>
      </c>
      <c r="P596" s="24" t="s">
        <v>5302</v>
      </c>
      <c r="Q596" s="24" t="s">
        <v>2749</v>
      </c>
      <c r="R596" s="24"/>
      <c r="S596" s="24" t="s">
        <v>5303</v>
      </c>
      <c r="T596" s="24" t="str">
        <f aca="false">"["&amp;안내!$C$5&amp;" "&amp;F596&amp;"] "&amp;L596&amp;" | "&amp;J596</f>
        <v>[1분 성경 신약 #137] 시므온과 안나 | 눅 2:21-40</v>
      </c>
      <c r="U596" s="26" t="n">
        <f aca="false">IF(D596="구약",IF(C596=1,안내!$C$9,안내!$C$10)+AD596-1,IF(C596=1,안내!$C$9,안내!$C$10)+7*INT((AD596-1)/4)+CHOOSE(MOD(AD596-1,4)+1,0,2,4,5))</f>
        <v>46636</v>
      </c>
      <c r="V596" s="23" t="str">
        <f aca="false">CHOOSE(WEEKDAY(U596,2),"월","화","수","목","금","토","일")</f>
        <v>월</v>
      </c>
      <c r="W596" s="24" t="str">
        <f aca="false">IFERROR(IF(INDEX($C$2:$C$799,MATCH(D596&amp;"#"&amp;(E596+1),$AC$2:$AC$799,0))=C596,"다음 편: ","시즌1 완결 · 시즌2 첫 편: ")&amp;INDEX($L$2:$L$799,MATCH(D596&amp;"#"&amp;(E596+1),$AC$2:$AC$799,0)),"신약 트랙 완결")</f>
        <v>다음 편: 나사렛 회당</v>
      </c>
      <c r="X596" s="23" t="s">
        <v>130</v>
      </c>
      <c r="Y596" s="23" t="s">
        <v>130</v>
      </c>
      <c r="Z596" s="23" t="s">
        <v>130</v>
      </c>
      <c r="AA596" s="23" t="s">
        <v>130</v>
      </c>
      <c r="AB596" s="24"/>
      <c r="AC596" s="23" t="str">
        <f aca="false">D596&amp;"#"&amp;E596</f>
        <v>신약#137</v>
      </c>
      <c r="AD596" s="23" t="n">
        <f aca="false">COUNTIFS($C$2:C596,C596,$D$2:D596,D596)</f>
        <v>33</v>
      </c>
    </row>
    <row r="597" customFormat="false" ht="26.85" hidden="false" customHeight="false" outlineLevel="0" collapsed="false">
      <c r="A597" s="23" t="n">
        <v>596</v>
      </c>
      <c r="B597" s="30" t="s">
        <v>5304</v>
      </c>
      <c r="C597" s="20" t="n">
        <v>1</v>
      </c>
      <c r="D597" s="20" t="s">
        <v>4656</v>
      </c>
      <c r="E597" s="20" t="n">
        <f aca="false">IF(C597=1,COUNTIFS($C$2:C597,1,$D$2:D597,D597),COUNTIFS($C$2:$C$799,1,$D$2:$D$799,D597)+COUNTIFS($C$2:C597,2,$D$2:D597,D597))</f>
        <v>42</v>
      </c>
      <c r="F597" s="20" t="str">
        <f aca="false">D597&amp;" #"&amp;TEXT(E597,"000")</f>
        <v>신약 #042</v>
      </c>
      <c r="G597" s="30" t="s">
        <v>5241</v>
      </c>
      <c r="H597" s="30" t="s">
        <v>5152</v>
      </c>
      <c r="I597" s="23" t="s">
        <v>5242</v>
      </c>
      <c r="J597" s="24" t="s">
        <v>5305</v>
      </c>
      <c r="K597" s="23" t="s">
        <v>121</v>
      </c>
      <c r="L597" s="24" t="s">
        <v>5306</v>
      </c>
      <c r="M597" s="24" t="s">
        <v>5307</v>
      </c>
      <c r="N597" s="23" t="s">
        <v>5308</v>
      </c>
      <c r="O597" s="24" t="s">
        <v>5309</v>
      </c>
      <c r="P597" s="24" t="s">
        <v>5310</v>
      </c>
      <c r="Q597" s="24" t="s">
        <v>5311</v>
      </c>
      <c r="R597" s="24"/>
      <c r="S597" s="28" t="s">
        <v>5312</v>
      </c>
      <c r="T597" s="24" t="str">
        <f aca="false">"["&amp;안내!$C$5&amp;" "&amp;F597&amp;"] "&amp;L597&amp;" | "&amp;J597</f>
        <v>[1분 성경 신약 #042] 열두 살 예수님 | 눅 2:41-52</v>
      </c>
      <c r="U597" s="26" t="n">
        <f aca="false">IF(D597="구약",IF(C597=1,안내!$C$9,안내!$C$10)+AD597-1,IF(C597=1,안내!$C$9,안내!$C$10)+7*INT((AD597-1)/4)+CHOOSE(MOD(AD597-1,4)+1,0,2,4,5))</f>
        <v>46463</v>
      </c>
      <c r="V597" s="23" t="str">
        <f aca="false">CHOOSE(WEEKDAY(U597,2),"월","화","수","목","금","토","일")</f>
        <v>수</v>
      </c>
      <c r="W597" s="24" t="str">
        <f aca="false">IFERROR(IF(INDEX($C$2:$C$799,MATCH(D597&amp;"#"&amp;(E597+1),$AC$2:$AC$799,0))=C597,"다음 편: ","시즌1 완결 · 시즌2 첫 편: ")&amp;INDEX($L$2:$L$799,MATCH(D597&amp;"#"&amp;(E597+1),$AC$2:$AC$799,0)),"신약 트랙 완결")</f>
        <v>다음 편: 그물이 찢어지도록</v>
      </c>
      <c r="X597" s="23" t="s">
        <v>130</v>
      </c>
      <c r="Y597" s="23" t="s">
        <v>130</v>
      </c>
      <c r="Z597" s="23" t="s">
        <v>130</v>
      </c>
      <c r="AA597" s="23" t="s">
        <v>130</v>
      </c>
      <c r="AB597" s="24"/>
      <c r="AC597" s="23" t="str">
        <f aca="false">D597&amp;"#"&amp;E597</f>
        <v>신약#42</v>
      </c>
      <c r="AD597" s="23" t="n">
        <f aca="false">COUNTIFS($C$2:C597,C597,$D$2:D597,D597)</f>
        <v>42</v>
      </c>
    </row>
    <row r="598" customFormat="false" ht="26.85" hidden="false" customHeight="false" outlineLevel="0" collapsed="false">
      <c r="A598" s="23" t="n">
        <v>597</v>
      </c>
      <c r="B598" s="30" t="s">
        <v>5313</v>
      </c>
      <c r="C598" s="23" t="n">
        <v>2</v>
      </c>
      <c r="D598" s="23" t="s">
        <v>4656</v>
      </c>
      <c r="E598" s="23" t="n">
        <f aca="false">IF(C598=1,COUNTIFS($C$2:C598,1,$D$2:D598,D598),COUNTIFS($C$2:$C$799,1,$D$2:$D$799,D598)+COUNTIFS($C$2:C598,2,$D$2:D598,D598))</f>
        <v>138</v>
      </c>
      <c r="F598" s="23" t="str">
        <f aca="false">D598&amp;" #"&amp;TEXT(E598,"000")</f>
        <v>신약 #138</v>
      </c>
      <c r="G598" s="30" t="s">
        <v>5314</v>
      </c>
      <c r="H598" s="30" t="s">
        <v>5261</v>
      </c>
      <c r="I598" s="23" t="s">
        <v>5242</v>
      </c>
      <c r="J598" s="24" t="s">
        <v>5315</v>
      </c>
      <c r="K598" s="23" t="s">
        <v>121</v>
      </c>
      <c r="L598" s="24" t="s">
        <v>5316</v>
      </c>
      <c r="M598" s="24" t="s">
        <v>5317</v>
      </c>
      <c r="N598" s="23" t="s">
        <v>5318</v>
      </c>
      <c r="O598" s="24" t="s">
        <v>5319</v>
      </c>
      <c r="P598" s="24" t="s">
        <v>5320</v>
      </c>
      <c r="Q598" s="24" t="s">
        <v>5316</v>
      </c>
      <c r="R598" s="24"/>
      <c r="S598" s="24" t="s">
        <v>5321</v>
      </c>
      <c r="T598" s="24" t="str">
        <f aca="false">"["&amp;안내!$C$5&amp;" "&amp;F598&amp;"] "&amp;L598&amp;" | "&amp;J598</f>
        <v>[1분 성경 신약 #138] 나사렛 회당 | 눅 4:16-30</v>
      </c>
      <c r="U598" s="26" t="n">
        <f aca="false">IF(D598="구약",IF(C598=1,안내!$C$9,안내!$C$10)+AD598-1,IF(C598=1,안내!$C$9,안내!$C$10)+7*INT((AD598-1)/4)+CHOOSE(MOD(AD598-1,4)+1,0,2,4,5))</f>
        <v>46638</v>
      </c>
      <c r="V598" s="23" t="str">
        <f aca="false">CHOOSE(WEEKDAY(U598,2),"월","화","수","목","금","토","일")</f>
        <v>수</v>
      </c>
      <c r="W598" s="24" t="str">
        <f aca="false">IFERROR(IF(INDEX($C$2:$C$799,MATCH(D598&amp;"#"&amp;(E598+1),$AC$2:$AC$799,0))=C598,"다음 편: ","시즌1 완결 · 시즌2 첫 편: ")&amp;INDEX($L$2:$L$799,MATCH(D598&amp;"#"&amp;(E598+1),$AC$2:$AC$799,0)),"신약 트랙 완결")</f>
        <v>다음 편: 울지 말라</v>
      </c>
      <c r="X598" s="23" t="s">
        <v>130</v>
      </c>
      <c r="Y598" s="23" t="s">
        <v>130</v>
      </c>
      <c r="Z598" s="23" t="s">
        <v>130</v>
      </c>
      <c r="AA598" s="23" t="s">
        <v>130</v>
      </c>
      <c r="AB598" s="24"/>
      <c r="AC598" s="23" t="str">
        <f aca="false">D598&amp;"#"&amp;E598</f>
        <v>신약#138</v>
      </c>
      <c r="AD598" s="23" t="n">
        <f aca="false">COUNTIFS($C$2:C598,C598,$D$2:D598,D598)</f>
        <v>34</v>
      </c>
    </row>
    <row r="599" customFormat="false" ht="26.85" hidden="false" customHeight="false" outlineLevel="0" collapsed="false">
      <c r="A599" s="23" t="n">
        <v>598</v>
      </c>
      <c r="B599" s="30" t="s">
        <v>5322</v>
      </c>
      <c r="C599" s="20" t="n">
        <v>1</v>
      </c>
      <c r="D599" s="20" t="s">
        <v>4656</v>
      </c>
      <c r="E599" s="20" t="n">
        <f aca="false">IF(C599=1,COUNTIFS($C$2:C599,1,$D$2:D599,D599),COUNTIFS($C$2:$C$799,1,$D$2:$D$799,D599)+COUNTIFS($C$2:C599,2,$D$2:D599,D599))</f>
        <v>43</v>
      </c>
      <c r="F599" s="20" t="str">
        <f aca="false">D599&amp;" #"&amp;TEXT(E599,"000")</f>
        <v>신약 #043</v>
      </c>
      <c r="G599" s="30" t="s">
        <v>5314</v>
      </c>
      <c r="H599" s="30" t="s">
        <v>5323</v>
      </c>
      <c r="I599" s="23" t="s">
        <v>5242</v>
      </c>
      <c r="J599" s="24" t="s">
        <v>5324</v>
      </c>
      <c r="K599" s="23" t="s">
        <v>121</v>
      </c>
      <c r="L599" s="24" t="s">
        <v>5325</v>
      </c>
      <c r="M599" s="24" t="s">
        <v>5326</v>
      </c>
      <c r="N599" s="23" t="s">
        <v>5327</v>
      </c>
      <c r="O599" s="24" t="s">
        <v>5328</v>
      </c>
      <c r="P599" s="24" t="s">
        <v>5329</v>
      </c>
      <c r="Q599" s="24" t="s">
        <v>5330</v>
      </c>
      <c r="R599" s="24"/>
      <c r="S599" s="28" t="s">
        <v>5331</v>
      </c>
      <c r="T599" s="24" t="str">
        <f aca="false">"["&amp;안내!$C$5&amp;" "&amp;F599&amp;"] "&amp;L599&amp;" | "&amp;J599</f>
        <v>[1분 성경 신약 #043] 그물이 찢어지도록 | 눅 5:1-11</v>
      </c>
      <c r="U599" s="26" t="n">
        <f aca="false">IF(D599="구약",IF(C599=1,안내!$C$9,안내!$C$10)+AD599-1,IF(C599=1,안내!$C$9,안내!$C$10)+7*INT((AD599-1)/4)+CHOOSE(MOD(AD599-1,4)+1,0,2,4,5))</f>
        <v>46465</v>
      </c>
      <c r="V599" s="23" t="str">
        <f aca="false">CHOOSE(WEEKDAY(U599,2),"월","화","수","목","금","토","일")</f>
        <v>금</v>
      </c>
      <c r="W599" s="24" t="str">
        <f aca="false">IFERROR(IF(INDEX($C$2:$C$799,MATCH(D599&amp;"#"&amp;(E599+1),$AC$2:$AC$799,0))=C599,"다음 편: ","시즌1 완결 · 시즌2 첫 편: ")&amp;INDEX($L$2:$L$799,MATCH(D599&amp;"#"&amp;(E599+1),$AC$2:$AC$799,0)),"신약 트랙 완결")</f>
        <v>다음 편: 선한 사마리아인</v>
      </c>
      <c r="X599" s="23" t="s">
        <v>130</v>
      </c>
      <c r="Y599" s="23" t="s">
        <v>130</v>
      </c>
      <c r="Z599" s="23" t="s">
        <v>130</v>
      </c>
      <c r="AA599" s="23" t="s">
        <v>130</v>
      </c>
      <c r="AB599" s="24"/>
      <c r="AC599" s="23" t="str">
        <f aca="false">D599&amp;"#"&amp;E599</f>
        <v>신약#43</v>
      </c>
      <c r="AD599" s="23" t="n">
        <f aca="false">COUNTIFS($C$2:C599,C599,$D$2:D599,D599)</f>
        <v>43</v>
      </c>
    </row>
    <row r="600" customFormat="false" ht="26.85" hidden="false" customHeight="false" outlineLevel="0" collapsed="false">
      <c r="A600" s="23" t="n">
        <v>599</v>
      </c>
      <c r="B600" s="30" t="s">
        <v>5332</v>
      </c>
      <c r="C600" s="23" t="n">
        <v>2</v>
      </c>
      <c r="D600" s="23" t="s">
        <v>4656</v>
      </c>
      <c r="E600" s="23" t="n">
        <f aca="false">IF(C600=1,COUNTIFS($C$2:C600,1,$D$2:D600,D600),COUNTIFS($C$2:$C$799,1,$D$2:$D$799,D600)+COUNTIFS($C$2:C600,2,$D$2:D600,D600))</f>
        <v>139</v>
      </c>
      <c r="F600" s="23" t="str">
        <f aca="false">D600&amp;" #"&amp;TEXT(E600,"000")</f>
        <v>신약 #139</v>
      </c>
      <c r="G600" s="30" t="s">
        <v>5314</v>
      </c>
      <c r="H600" s="30" t="s">
        <v>5261</v>
      </c>
      <c r="I600" s="23" t="s">
        <v>5242</v>
      </c>
      <c r="J600" s="24" t="s">
        <v>5333</v>
      </c>
      <c r="K600" s="23" t="s">
        <v>121</v>
      </c>
      <c r="L600" s="24" t="s">
        <v>5334</v>
      </c>
      <c r="M600" s="24" t="s">
        <v>5335</v>
      </c>
      <c r="N600" s="23" t="s">
        <v>5336</v>
      </c>
      <c r="O600" s="24" t="s">
        <v>5337</v>
      </c>
      <c r="P600" s="24" t="s">
        <v>5338</v>
      </c>
      <c r="Q600" s="24" t="s">
        <v>5339</v>
      </c>
      <c r="R600" s="24"/>
      <c r="S600" s="24" t="s">
        <v>5340</v>
      </c>
      <c r="T600" s="24" t="str">
        <f aca="false">"["&amp;안내!$C$5&amp;" "&amp;F600&amp;"] "&amp;L600&amp;" | "&amp;J600</f>
        <v>[1분 성경 신약 #139] 울지 말라 | 눅 7:11-17</v>
      </c>
      <c r="U600" s="26" t="n">
        <f aca="false">IF(D600="구약",IF(C600=1,안내!$C$9,안내!$C$10)+AD600-1,IF(C600=1,안내!$C$9,안내!$C$10)+7*INT((AD600-1)/4)+CHOOSE(MOD(AD600-1,4)+1,0,2,4,5))</f>
        <v>46640</v>
      </c>
      <c r="V600" s="23" t="str">
        <f aca="false">CHOOSE(WEEKDAY(U600,2),"월","화","수","목","금","토","일")</f>
        <v>금</v>
      </c>
      <c r="W600" s="24" t="str">
        <f aca="false">IFERROR(IF(INDEX($C$2:$C$799,MATCH(D600&amp;"#"&amp;(E600+1),$AC$2:$AC$799,0))=C600,"다음 편: ","시즌1 완결 · 시즌2 첫 편: ")&amp;INDEX($L$2:$L$799,MATCH(D600&amp;"#"&amp;(E600+1),$AC$2:$AC$799,0)),"신약 트랙 완결")</f>
        <v>다음 편: 눈물로 발을 씻긴 여인</v>
      </c>
      <c r="X600" s="23" t="s">
        <v>130</v>
      </c>
      <c r="Y600" s="23" t="s">
        <v>130</v>
      </c>
      <c r="Z600" s="23" t="s">
        <v>130</v>
      </c>
      <c r="AA600" s="23" t="s">
        <v>130</v>
      </c>
      <c r="AB600" s="24"/>
      <c r="AC600" s="23" t="str">
        <f aca="false">D600&amp;"#"&amp;E600</f>
        <v>신약#139</v>
      </c>
      <c r="AD600" s="23" t="n">
        <f aca="false">COUNTIFS($C$2:C600,C600,$D$2:D600,D600)</f>
        <v>35</v>
      </c>
    </row>
    <row r="601" customFormat="false" ht="26.85" hidden="false" customHeight="false" outlineLevel="0" collapsed="false">
      <c r="A601" s="23" t="n">
        <v>600</v>
      </c>
      <c r="B601" s="30" t="s">
        <v>5341</v>
      </c>
      <c r="C601" s="23" t="n">
        <v>2</v>
      </c>
      <c r="D601" s="23" t="s">
        <v>4656</v>
      </c>
      <c r="E601" s="23" t="n">
        <f aca="false">IF(C601=1,COUNTIFS($C$2:C601,1,$D$2:D601,D601),COUNTIFS($C$2:$C$799,1,$D$2:$D$799,D601)+COUNTIFS($C$2:C601,2,$D$2:D601,D601))</f>
        <v>140</v>
      </c>
      <c r="F601" s="23" t="str">
        <f aca="false">D601&amp;" #"&amp;TEXT(E601,"000")</f>
        <v>신약 #140</v>
      </c>
      <c r="G601" s="30" t="s">
        <v>5314</v>
      </c>
      <c r="H601" s="30" t="s">
        <v>5261</v>
      </c>
      <c r="I601" s="23" t="s">
        <v>5242</v>
      </c>
      <c r="J601" s="24" t="s">
        <v>5342</v>
      </c>
      <c r="K601" s="23" t="s">
        <v>121</v>
      </c>
      <c r="L601" s="24" t="s">
        <v>5343</v>
      </c>
      <c r="M601" s="24" t="s">
        <v>5344</v>
      </c>
      <c r="N601" s="23" t="s">
        <v>5345</v>
      </c>
      <c r="O601" s="24" t="s">
        <v>5346</v>
      </c>
      <c r="P601" s="24" t="s">
        <v>5347</v>
      </c>
      <c r="Q601" s="24" t="s">
        <v>5348</v>
      </c>
      <c r="R601" s="25" t="s">
        <v>5349</v>
      </c>
      <c r="S601" s="24" t="s">
        <v>5340</v>
      </c>
      <c r="T601" s="24" t="str">
        <f aca="false">"["&amp;안내!$C$5&amp;" "&amp;F601&amp;"] "&amp;L601&amp;" | "&amp;J601</f>
        <v>[1분 성경 신약 #140] 눈물로 발을 씻긴 여인 | 눅 7:36-50</v>
      </c>
      <c r="U601" s="26" t="n">
        <f aca="false">IF(D601="구약",IF(C601=1,안내!$C$9,안내!$C$10)+AD601-1,IF(C601=1,안내!$C$9,안내!$C$10)+7*INT((AD601-1)/4)+CHOOSE(MOD(AD601-1,4)+1,0,2,4,5))</f>
        <v>46641</v>
      </c>
      <c r="V601" s="23" t="str">
        <f aca="false">CHOOSE(WEEKDAY(U601,2),"월","화","수","목","금","토","일")</f>
        <v>토</v>
      </c>
      <c r="W601" s="24" t="str">
        <f aca="false">IFERROR(IF(INDEX($C$2:$C$799,MATCH(D601&amp;"#"&amp;(E601+1),$AC$2:$AC$799,0))=C601,"다음 편: ","시즌1 완결 · 시즌2 첫 편: ")&amp;INDEX($L$2:$L$799,MATCH(D601&amp;"#"&amp;(E601+1),$AC$2:$AC$799,0)),"신약 트랙 완결")</f>
        <v>다음 편: 강청하는 친구</v>
      </c>
      <c r="X601" s="23" t="s">
        <v>130</v>
      </c>
      <c r="Y601" s="23" t="s">
        <v>130</v>
      </c>
      <c r="Z601" s="23" t="s">
        <v>130</v>
      </c>
      <c r="AA601" s="23" t="s">
        <v>130</v>
      </c>
      <c r="AB601" s="24"/>
      <c r="AC601" s="23" t="str">
        <f aca="false">D601&amp;"#"&amp;E601</f>
        <v>신약#140</v>
      </c>
      <c r="AD601" s="23" t="n">
        <f aca="false">COUNTIFS($C$2:C601,C601,$D$2:D601,D601)</f>
        <v>36</v>
      </c>
    </row>
    <row r="602" customFormat="false" ht="39.55" hidden="false" customHeight="false" outlineLevel="0" collapsed="false">
      <c r="A602" s="23" t="n">
        <v>601</v>
      </c>
      <c r="B602" s="30" t="s">
        <v>5350</v>
      </c>
      <c r="C602" s="20" t="n">
        <v>1</v>
      </c>
      <c r="D602" s="20" t="s">
        <v>4656</v>
      </c>
      <c r="E602" s="20" t="n">
        <f aca="false">IF(C602=1,COUNTIFS($C$2:C602,1,$D$2:D602,D602),COUNTIFS($C$2:$C$799,1,$D$2:$D$799,D602)+COUNTIFS($C$2:C602,2,$D$2:D602,D602))</f>
        <v>44</v>
      </c>
      <c r="F602" s="20" t="str">
        <f aca="false">D602&amp;" #"&amp;TEXT(E602,"000")</f>
        <v>신약 #044</v>
      </c>
      <c r="G602" s="30" t="s">
        <v>5314</v>
      </c>
      <c r="H602" s="30" t="s">
        <v>5323</v>
      </c>
      <c r="I602" s="23" t="s">
        <v>5242</v>
      </c>
      <c r="J602" s="24" t="s">
        <v>5351</v>
      </c>
      <c r="K602" s="23" t="s">
        <v>121</v>
      </c>
      <c r="L602" s="24" t="s">
        <v>5352</v>
      </c>
      <c r="M602" s="24" t="s">
        <v>5353</v>
      </c>
      <c r="N602" s="23" t="s">
        <v>5354</v>
      </c>
      <c r="O602" s="24" t="s">
        <v>5355</v>
      </c>
      <c r="P602" s="24" t="s">
        <v>5356</v>
      </c>
      <c r="Q602" s="24" t="s">
        <v>5357</v>
      </c>
      <c r="R602" s="25" t="s">
        <v>5358</v>
      </c>
      <c r="S602" s="28" t="s">
        <v>5359</v>
      </c>
      <c r="T602" s="24" t="str">
        <f aca="false">"["&amp;안내!$C$5&amp;" "&amp;F602&amp;"] "&amp;L602&amp;" | "&amp;J602</f>
        <v>[1분 성경 신약 #044] 선한 사마리아인 | 눅 10:25-37</v>
      </c>
      <c r="U602" s="26" t="n">
        <f aca="false">IF(D602="구약",IF(C602=1,안내!$C$9,안내!$C$10)+AD602-1,IF(C602=1,안내!$C$9,안내!$C$10)+7*INT((AD602-1)/4)+CHOOSE(MOD(AD602-1,4)+1,0,2,4,5))</f>
        <v>46466</v>
      </c>
      <c r="V602" s="23" t="str">
        <f aca="false">CHOOSE(WEEKDAY(U602,2),"월","화","수","목","금","토","일")</f>
        <v>토</v>
      </c>
      <c r="W602" s="24" t="str">
        <f aca="false">IFERROR(IF(INDEX($C$2:$C$799,MATCH(D602&amp;"#"&amp;(E602+1),$AC$2:$AC$799,0))=C602,"다음 편: ","시즌1 완결 · 시즌2 첫 편: ")&amp;INDEX($L$2:$L$799,MATCH(D602&amp;"#"&amp;(E602+1),$AC$2:$AC$799,0)),"신약 트랙 완결")</f>
        <v>다음 편: 마르다와 마리아</v>
      </c>
      <c r="X602" s="23" t="s">
        <v>130</v>
      </c>
      <c r="Y602" s="23" t="s">
        <v>130</v>
      </c>
      <c r="Z602" s="23" t="s">
        <v>130</v>
      </c>
      <c r="AA602" s="23" t="s">
        <v>130</v>
      </c>
      <c r="AB602" s="24"/>
      <c r="AC602" s="23" t="str">
        <f aca="false">D602&amp;"#"&amp;E602</f>
        <v>신약#44</v>
      </c>
      <c r="AD602" s="23" t="n">
        <f aca="false">COUNTIFS($C$2:C602,C602,$D$2:D602,D602)</f>
        <v>44</v>
      </c>
    </row>
    <row r="603" customFormat="false" ht="26.85" hidden="false" customHeight="false" outlineLevel="0" collapsed="false">
      <c r="A603" s="23" t="n">
        <v>602</v>
      </c>
      <c r="B603" s="30" t="s">
        <v>5360</v>
      </c>
      <c r="C603" s="20" t="n">
        <v>1</v>
      </c>
      <c r="D603" s="20" t="s">
        <v>4656</v>
      </c>
      <c r="E603" s="20" t="n">
        <f aca="false">IF(C603=1,COUNTIFS($C$2:C603,1,$D$2:D603,D603),COUNTIFS($C$2:$C$799,1,$D$2:$D$799,D603)+COUNTIFS($C$2:C603,2,$D$2:D603,D603))</f>
        <v>45</v>
      </c>
      <c r="F603" s="20" t="str">
        <f aca="false">D603&amp;" #"&amp;TEXT(E603,"000")</f>
        <v>신약 #045</v>
      </c>
      <c r="G603" s="30" t="s">
        <v>5314</v>
      </c>
      <c r="H603" s="30" t="s">
        <v>5323</v>
      </c>
      <c r="I603" s="23" t="s">
        <v>5242</v>
      </c>
      <c r="J603" s="24" t="s">
        <v>5361</v>
      </c>
      <c r="K603" s="23" t="s">
        <v>121</v>
      </c>
      <c r="L603" s="24" t="s">
        <v>5362</v>
      </c>
      <c r="M603" s="24" t="s">
        <v>5363</v>
      </c>
      <c r="N603" s="23" t="s">
        <v>5364</v>
      </c>
      <c r="O603" s="24" t="s">
        <v>5365</v>
      </c>
      <c r="P603" s="24" t="s">
        <v>5366</v>
      </c>
      <c r="Q603" s="24" t="s">
        <v>5367</v>
      </c>
      <c r="R603" s="24"/>
      <c r="S603" s="24" t="s">
        <v>129</v>
      </c>
      <c r="T603" s="24" t="str">
        <f aca="false">"["&amp;안내!$C$5&amp;" "&amp;F603&amp;"] "&amp;L603&amp;" | "&amp;J603</f>
        <v>[1분 성경 신약 #045] 마르다와 마리아 | 눅 10:38-42</v>
      </c>
      <c r="U603" s="26" t="n">
        <f aca="false">IF(D603="구약",IF(C603=1,안내!$C$9,안내!$C$10)+AD603-1,IF(C603=1,안내!$C$9,안내!$C$10)+7*INT((AD603-1)/4)+CHOOSE(MOD(AD603-1,4)+1,0,2,4,5))</f>
        <v>46468</v>
      </c>
      <c r="V603" s="23" t="str">
        <f aca="false">CHOOSE(WEEKDAY(U603,2),"월","화","수","목","금","토","일")</f>
        <v>월</v>
      </c>
      <c r="W603" s="24" t="str">
        <f aca="false">IFERROR(IF(INDEX($C$2:$C$799,MATCH(D603&amp;"#"&amp;(E603+1),$AC$2:$AC$799,0))=C603,"다음 편: ","시즌1 완결 · 시즌2 첫 편: ")&amp;INDEX($L$2:$L$799,MATCH(D603&amp;"#"&amp;(E603+1),$AC$2:$AC$799,0)),"신약 트랙 완결")</f>
        <v>다음 편: 어리석은 부자</v>
      </c>
      <c r="X603" s="23" t="s">
        <v>130</v>
      </c>
      <c r="Y603" s="23" t="s">
        <v>130</v>
      </c>
      <c r="Z603" s="23" t="s">
        <v>130</v>
      </c>
      <c r="AA603" s="23" t="s">
        <v>130</v>
      </c>
      <c r="AB603" s="24"/>
      <c r="AC603" s="23" t="str">
        <f aca="false">D603&amp;"#"&amp;E603</f>
        <v>신약#45</v>
      </c>
      <c r="AD603" s="23" t="n">
        <f aca="false">COUNTIFS($C$2:C603,C603,$D$2:D603,D603)</f>
        <v>45</v>
      </c>
    </row>
    <row r="604" customFormat="false" ht="15" hidden="false" customHeight="false" outlineLevel="0" collapsed="false">
      <c r="A604" s="23" t="n">
        <v>603</v>
      </c>
      <c r="B604" s="30" t="s">
        <v>5368</v>
      </c>
      <c r="C604" s="23" t="n">
        <v>2</v>
      </c>
      <c r="D604" s="23" t="s">
        <v>4656</v>
      </c>
      <c r="E604" s="23" t="n">
        <f aca="false">IF(C604=1,COUNTIFS($C$2:C604,1,$D$2:D604,D604),COUNTIFS($C$2:$C$799,1,$D$2:$D$799,D604)+COUNTIFS($C$2:C604,2,$D$2:D604,D604))</f>
        <v>141</v>
      </c>
      <c r="F604" s="23" t="str">
        <f aca="false">D604&amp;" #"&amp;TEXT(E604,"000")</f>
        <v>신약 #141</v>
      </c>
      <c r="G604" s="30" t="s">
        <v>5314</v>
      </c>
      <c r="H604" s="30" t="s">
        <v>5261</v>
      </c>
      <c r="I604" s="23" t="s">
        <v>5242</v>
      </c>
      <c r="J604" s="24" t="s">
        <v>5369</v>
      </c>
      <c r="K604" s="23" t="s">
        <v>1085</v>
      </c>
      <c r="L604" s="24" t="s">
        <v>5370</v>
      </c>
      <c r="M604" s="24" t="s">
        <v>5371</v>
      </c>
      <c r="N604" s="23" t="s">
        <v>5372</v>
      </c>
      <c r="O604" s="24" t="s">
        <v>4783</v>
      </c>
      <c r="P604" s="24" t="s">
        <v>4768</v>
      </c>
      <c r="Q604" s="24" t="s">
        <v>5373</v>
      </c>
      <c r="R604" s="24"/>
      <c r="S604" s="24" t="s">
        <v>5374</v>
      </c>
      <c r="T604" s="24" t="str">
        <f aca="false">"["&amp;안내!$C$5&amp;" "&amp;F604&amp;"] "&amp;L604&amp;" | "&amp;J604</f>
        <v>[1분 성경 신약 #141] 강청하는 친구 | 눅 11:1-13</v>
      </c>
      <c r="U604" s="26" t="n">
        <f aca="false">IF(D604="구약",IF(C604=1,안내!$C$9,안내!$C$10)+AD604-1,IF(C604=1,안내!$C$9,안내!$C$10)+7*INT((AD604-1)/4)+CHOOSE(MOD(AD604-1,4)+1,0,2,4,5))</f>
        <v>46643</v>
      </c>
      <c r="V604" s="23" t="str">
        <f aca="false">CHOOSE(WEEKDAY(U604,2),"월","화","수","목","금","토","일")</f>
        <v>월</v>
      </c>
      <c r="W604" s="24" t="str">
        <f aca="false">IFERROR(IF(INDEX($C$2:$C$799,MATCH(D604&amp;"#"&amp;(E604+1),$AC$2:$AC$799,0))=C604,"다음 편: ","시즌1 완결 · 시즌2 첫 편: ")&amp;INDEX($L$2:$L$799,MATCH(D604&amp;"#"&amp;(E604+1),$AC$2:$AC$799,0)),"신약 트랙 완결")</f>
        <v>다음 편: 18년 동안 굽은 허리</v>
      </c>
      <c r="X604" s="23" t="s">
        <v>130</v>
      </c>
      <c r="Y604" s="23" t="s">
        <v>130</v>
      </c>
      <c r="Z604" s="23" t="s">
        <v>130</v>
      </c>
      <c r="AA604" s="23" t="s">
        <v>130</v>
      </c>
      <c r="AB604" s="24"/>
      <c r="AC604" s="23" t="str">
        <f aca="false">D604&amp;"#"&amp;E604</f>
        <v>신약#141</v>
      </c>
      <c r="AD604" s="23" t="n">
        <f aca="false">COUNTIFS($C$2:C604,C604,$D$2:D604,D604)</f>
        <v>37</v>
      </c>
    </row>
    <row r="605" customFormat="false" ht="26.85" hidden="false" customHeight="false" outlineLevel="0" collapsed="false">
      <c r="A605" s="23" t="n">
        <v>604</v>
      </c>
      <c r="B605" s="30" t="s">
        <v>5375</v>
      </c>
      <c r="C605" s="20" t="n">
        <v>1</v>
      </c>
      <c r="D605" s="20" t="s">
        <v>4656</v>
      </c>
      <c r="E605" s="20" t="n">
        <f aca="false">IF(C605=1,COUNTIFS($C$2:C605,1,$D$2:D605,D605),COUNTIFS($C$2:$C$799,1,$D$2:$D$799,D605)+COUNTIFS($C$2:C605,2,$D$2:D605,D605))</f>
        <v>46</v>
      </c>
      <c r="F605" s="20" t="str">
        <f aca="false">D605&amp;" #"&amp;TEXT(E605,"000")</f>
        <v>신약 #046</v>
      </c>
      <c r="G605" s="30" t="s">
        <v>5314</v>
      </c>
      <c r="H605" s="30" t="s">
        <v>5323</v>
      </c>
      <c r="I605" s="23" t="s">
        <v>5242</v>
      </c>
      <c r="J605" s="24" t="s">
        <v>5376</v>
      </c>
      <c r="K605" s="23" t="s">
        <v>121</v>
      </c>
      <c r="L605" s="24" t="s">
        <v>5377</v>
      </c>
      <c r="M605" s="24" t="s">
        <v>5378</v>
      </c>
      <c r="N605" s="23" t="s">
        <v>5379</v>
      </c>
      <c r="O605" s="24" t="s">
        <v>5380</v>
      </c>
      <c r="P605" s="24" t="s">
        <v>5381</v>
      </c>
      <c r="Q605" s="24" t="s">
        <v>5382</v>
      </c>
      <c r="R605" s="24"/>
      <c r="S605" s="28" t="s">
        <v>5383</v>
      </c>
      <c r="T605" s="24" t="str">
        <f aca="false">"["&amp;안내!$C$5&amp;" "&amp;F605&amp;"] "&amp;L605&amp;" | "&amp;J605</f>
        <v>[1분 성경 신약 #046] 어리석은 부자 | 눅 12:13-34</v>
      </c>
      <c r="U605" s="26" t="n">
        <f aca="false">IF(D605="구약",IF(C605=1,안내!$C$9,안내!$C$10)+AD605-1,IF(C605=1,안내!$C$9,안내!$C$10)+7*INT((AD605-1)/4)+CHOOSE(MOD(AD605-1,4)+1,0,2,4,5))</f>
        <v>46470</v>
      </c>
      <c r="V605" s="23" t="str">
        <f aca="false">CHOOSE(WEEKDAY(U605,2),"월","화","수","목","금","토","일")</f>
        <v>수</v>
      </c>
      <c r="W605" s="24" t="str">
        <f aca="false">IFERROR(IF(INDEX($C$2:$C$799,MATCH(D605&amp;"#"&amp;(E605+1),$AC$2:$AC$799,0))=C605,"다음 편: ","시즌1 완결 · 시즌2 첫 편: ")&amp;INDEX($L$2:$L$799,MATCH(D605&amp;"#"&amp;(E605+1),$AC$2:$AC$799,0)),"신약 트랙 완결")</f>
        <v>다음 편: 잃은 양 한 마리</v>
      </c>
      <c r="X605" s="23" t="s">
        <v>130</v>
      </c>
      <c r="Y605" s="23" t="s">
        <v>130</v>
      </c>
      <c r="Z605" s="23" t="s">
        <v>130</v>
      </c>
      <c r="AA605" s="23" t="s">
        <v>130</v>
      </c>
      <c r="AB605" s="24"/>
      <c r="AC605" s="23" t="str">
        <f aca="false">D605&amp;"#"&amp;E605</f>
        <v>신약#46</v>
      </c>
      <c r="AD605" s="23" t="n">
        <f aca="false">COUNTIFS($C$2:C605,C605,$D$2:D605,D605)</f>
        <v>46</v>
      </c>
    </row>
    <row r="606" customFormat="false" ht="26.85" hidden="false" customHeight="false" outlineLevel="0" collapsed="false">
      <c r="A606" s="23" t="n">
        <v>605</v>
      </c>
      <c r="B606" s="30" t="s">
        <v>5384</v>
      </c>
      <c r="C606" s="23" t="n">
        <v>2</v>
      </c>
      <c r="D606" s="23" t="s">
        <v>4656</v>
      </c>
      <c r="E606" s="23" t="n">
        <f aca="false">IF(C606=1,COUNTIFS($C$2:C606,1,$D$2:D606,D606),COUNTIFS($C$2:$C$799,1,$D$2:$D$799,D606)+COUNTIFS($C$2:C606,2,$D$2:D606,D606))</f>
        <v>142</v>
      </c>
      <c r="F606" s="23" t="str">
        <f aca="false">D606&amp;" #"&amp;TEXT(E606,"000")</f>
        <v>신약 #142</v>
      </c>
      <c r="G606" s="30" t="s">
        <v>5314</v>
      </c>
      <c r="H606" s="30" t="s">
        <v>5261</v>
      </c>
      <c r="I606" s="23" t="s">
        <v>5242</v>
      </c>
      <c r="J606" s="24" t="s">
        <v>5385</v>
      </c>
      <c r="K606" s="23" t="s">
        <v>121</v>
      </c>
      <c r="L606" s="29" t="s">
        <v>5386</v>
      </c>
      <c r="M606" s="24" t="s">
        <v>5387</v>
      </c>
      <c r="N606" s="23" t="s">
        <v>5388</v>
      </c>
      <c r="O606" s="24" t="s">
        <v>5389</v>
      </c>
      <c r="P606" s="24" t="s">
        <v>5390</v>
      </c>
      <c r="Q606" s="24" t="s">
        <v>5391</v>
      </c>
      <c r="R606" s="24"/>
      <c r="S606" s="24" t="s">
        <v>5392</v>
      </c>
      <c r="T606" s="24" t="str">
        <f aca="false">"["&amp;안내!$C$5&amp;" "&amp;F606&amp;"] "&amp;L606&amp;" | "&amp;J606</f>
        <v>[1분 성경 신약 #142] 18년 동안 굽은 허리 | 눅 13:10-17</v>
      </c>
      <c r="U606" s="26" t="n">
        <f aca="false">IF(D606="구약",IF(C606=1,안내!$C$9,안내!$C$10)+AD606-1,IF(C606=1,안내!$C$9,안내!$C$10)+7*INT((AD606-1)/4)+CHOOSE(MOD(AD606-1,4)+1,0,2,4,5))</f>
        <v>46645</v>
      </c>
      <c r="V606" s="23" t="str">
        <f aca="false">CHOOSE(WEEKDAY(U606,2),"월","화","수","목","금","토","일")</f>
        <v>수</v>
      </c>
      <c r="W606" s="24" t="str">
        <f aca="false">IFERROR(IF(INDEX($C$2:$C$799,MATCH(D606&amp;"#"&amp;(E606+1),$AC$2:$AC$799,0))=C606,"다음 편: ","시즌1 완결 · 시즌2 첫 편: ")&amp;INDEX($L$2:$L$799,MATCH(D606&amp;"#"&amp;(E606+1),$AC$2:$AC$799,0)),"신약 트랙 완결")</f>
        <v>다음 편: 큰 잔치</v>
      </c>
      <c r="X606" s="23" t="s">
        <v>130</v>
      </c>
      <c r="Y606" s="23" t="s">
        <v>130</v>
      </c>
      <c r="Z606" s="23" t="s">
        <v>130</v>
      </c>
      <c r="AA606" s="23" t="s">
        <v>130</v>
      </c>
      <c r="AB606" s="24"/>
      <c r="AC606" s="23" t="str">
        <f aca="false">D606&amp;"#"&amp;E606</f>
        <v>신약#142</v>
      </c>
      <c r="AD606" s="23" t="n">
        <f aca="false">COUNTIFS($C$2:C606,C606,$D$2:D606,D606)</f>
        <v>38</v>
      </c>
    </row>
    <row r="607" customFormat="false" ht="26.85" hidden="false" customHeight="false" outlineLevel="0" collapsed="false">
      <c r="A607" s="23" t="n">
        <v>606</v>
      </c>
      <c r="B607" s="30" t="s">
        <v>5393</v>
      </c>
      <c r="C607" s="23" t="n">
        <v>2</v>
      </c>
      <c r="D607" s="23" t="s">
        <v>4656</v>
      </c>
      <c r="E607" s="23" t="n">
        <f aca="false">IF(C607=1,COUNTIFS($C$2:C607,1,$D$2:D607,D607),COUNTIFS($C$2:$C$799,1,$D$2:$D$799,D607)+COUNTIFS($C$2:C607,2,$D$2:D607,D607))</f>
        <v>143</v>
      </c>
      <c r="F607" s="23" t="str">
        <f aca="false">D607&amp;" #"&amp;TEXT(E607,"000")</f>
        <v>신약 #143</v>
      </c>
      <c r="G607" s="30" t="s">
        <v>5314</v>
      </c>
      <c r="H607" s="30" t="s">
        <v>5261</v>
      </c>
      <c r="I607" s="23" t="s">
        <v>5242</v>
      </c>
      <c r="J607" s="24" t="s">
        <v>5394</v>
      </c>
      <c r="K607" s="23" t="s">
        <v>121</v>
      </c>
      <c r="L607" s="24" t="s">
        <v>5395</v>
      </c>
      <c r="M607" s="24" t="s">
        <v>5396</v>
      </c>
      <c r="N607" s="23" t="s">
        <v>5397</v>
      </c>
      <c r="O607" s="24" t="s">
        <v>5398</v>
      </c>
      <c r="P607" s="24" t="s">
        <v>5399</v>
      </c>
      <c r="Q607" s="24" t="s">
        <v>5400</v>
      </c>
      <c r="R607" s="24"/>
      <c r="S607" s="24" t="s">
        <v>5392</v>
      </c>
      <c r="T607" s="24" t="str">
        <f aca="false">"["&amp;안내!$C$5&amp;" "&amp;F607&amp;"] "&amp;L607&amp;" | "&amp;J607</f>
        <v>[1분 성경 신약 #143] 큰 잔치 | 눅 14:15-35</v>
      </c>
      <c r="U607" s="26" t="n">
        <f aca="false">IF(D607="구약",IF(C607=1,안내!$C$9,안내!$C$10)+AD607-1,IF(C607=1,안내!$C$9,안내!$C$10)+7*INT((AD607-1)/4)+CHOOSE(MOD(AD607-1,4)+1,0,2,4,5))</f>
        <v>46647</v>
      </c>
      <c r="V607" s="23" t="str">
        <f aca="false">CHOOSE(WEEKDAY(U607,2),"월","화","수","목","금","토","일")</f>
        <v>금</v>
      </c>
      <c r="W607" s="24" t="str">
        <f aca="false">IFERROR(IF(INDEX($C$2:$C$799,MATCH(D607&amp;"#"&amp;(E607+1),$AC$2:$AC$799,0))=C607,"다음 편: ","시즌1 완결 · 시즌2 첫 편: ")&amp;INDEX($L$2:$L$799,MATCH(D607&amp;"#"&amp;(E607+1),$AC$2:$AC$799,0)),"신약 트랙 완결")</f>
        <v>다음 편: 부자와 나사로</v>
      </c>
      <c r="X607" s="23" t="s">
        <v>130</v>
      </c>
      <c r="Y607" s="23" t="s">
        <v>130</v>
      </c>
      <c r="Z607" s="23" t="s">
        <v>130</v>
      </c>
      <c r="AA607" s="23" t="s">
        <v>130</v>
      </c>
      <c r="AB607" s="24"/>
      <c r="AC607" s="23" t="str">
        <f aca="false">D607&amp;"#"&amp;E607</f>
        <v>신약#143</v>
      </c>
      <c r="AD607" s="23" t="n">
        <f aca="false">COUNTIFS($C$2:C607,C607,$D$2:D607,D607)</f>
        <v>39</v>
      </c>
    </row>
    <row r="608" customFormat="false" ht="39.55" hidden="false" customHeight="false" outlineLevel="0" collapsed="false">
      <c r="A608" s="23" t="n">
        <v>607</v>
      </c>
      <c r="B608" s="30" t="s">
        <v>5401</v>
      </c>
      <c r="C608" s="20" t="n">
        <v>1</v>
      </c>
      <c r="D608" s="20" t="s">
        <v>4656</v>
      </c>
      <c r="E608" s="20" t="n">
        <f aca="false">IF(C608=1,COUNTIFS($C$2:C608,1,$D$2:D608,D608),COUNTIFS($C$2:$C$799,1,$D$2:$D$799,D608)+COUNTIFS($C$2:C608,2,$D$2:D608,D608))</f>
        <v>47</v>
      </c>
      <c r="F608" s="20" t="str">
        <f aca="false">D608&amp;" #"&amp;TEXT(E608,"000")</f>
        <v>신약 #047</v>
      </c>
      <c r="G608" s="30" t="s">
        <v>5402</v>
      </c>
      <c r="H608" s="30" t="s">
        <v>5323</v>
      </c>
      <c r="I608" s="23" t="s">
        <v>5242</v>
      </c>
      <c r="J608" s="24" t="s">
        <v>5403</v>
      </c>
      <c r="K608" s="23" t="s">
        <v>121</v>
      </c>
      <c r="L608" s="24" t="s">
        <v>5404</v>
      </c>
      <c r="M608" s="29" t="s">
        <v>5405</v>
      </c>
      <c r="N608" s="23" t="s">
        <v>5406</v>
      </c>
      <c r="O608" s="24" t="s">
        <v>5407</v>
      </c>
      <c r="P608" s="24" t="s">
        <v>5408</v>
      </c>
      <c r="Q608" s="24" t="s">
        <v>5409</v>
      </c>
      <c r="R608" s="24"/>
      <c r="S608" s="28" t="s">
        <v>5410</v>
      </c>
      <c r="T608" s="24" t="str">
        <f aca="false">"["&amp;안내!$C$5&amp;" "&amp;F608&amp;"] "&amp;L608&amp;" | "&amp;J608</f>
        <v>[1분 성경 신약 #047] 잃은 양 한 마리 | 눅 15:1-10</v>
      </c>
      <c r="U608" s="26" t="n">
        <f aca="false">IF(D608="구약",IF(C608=1,안내!$C$9,안내!$C$10)+AD608-1,IF(C608=1,안내!$C$9,안내!$C$10)+7*INT((AD608-1)/4)+CHOOSE(MOD(AD608-1,4)+1,0,2,4,5))</f>
        <v>46472</v>
      </c>
      <c r="V608" s="23" t="str">
        <f aca="false">CHOOSE(WEEKDAY(U608,2),"월","화","수","목","금","토","일")</f>
        <v>금</v>
      </c>
      <c r="W608" s="24" t="str">
        <f aca="false">IFERROR(IF(INDEX($C$2:$C$799,MATCH(D608&amp;"#"&amp;(E608+1),$AC$2:$AC$799,0))=C608,"다음 편: ","시즌1 완결 · 시즌2 첫 편: ")&amp;INDEX($L$2:$L$799,MATCH(D608&amp;"#"&amp;(E608+1),$AC$2:$AC$799,0)),"신약 트랙 완결")</f>
        <v>다음 편: 돌아온 아들</v>
      </c>
      <c r="X608" s="23" t="s">
        <v>130</v>
      </c>
      <c r="Y608" s="23" t="s">
        <v>130</v>
      </c>
      <c r="Z608" s="23" t="s">
        <v>130</v>
      </c>
      <c r="AA608" s="23" t="s">
        <v>130</v>
      </c>
      <c r="AB608" s="24"/>
      <c r="AC608" s="23" t="str">
        <f aca="false">D608&amp;"#"&amp;E608</f>
        <v>신약#47</v>
      </c>
      <c r="AD608" s="23" t="n">
        <f aca="false">COUNTIFS($C$2:C608,C608,$D$2:D608,D608)</f>
        <v>47</v>
      </c>
    </row>
    <row r="609" customFormat="false" ht="26.85" hidden="false" customHeight="false" outlineLevel="0" collapsed="false">
      <c r="A609" s="23" t="n">
        <v>608</v>
      </c>
      <c r="B609" s="30" t="s">
        <v>5411</v>
      </c>
      <c r="C609" s="20" t="n">
        <v>1</v>
      </c>
      <c r="D609" s="20" t="s">
        <v>4656</v>
      </c>
      <c r="E609" s="20" t="n">
        <f aca="false">IF(C609=1,COUNTIFS($C$2:C609,1,$D$2:D609,D609),COUNTIFS($C$2:$C$799,1,$D$2:$D$799,D609)+COUNTIFS($C$2:C609,2,$D$2:D609,D609))</f>
        <v>48</v>
      </c>
      <c r="F609" s="20" t="str">
        <f aca="false">D609&amp;" #"&amp;TEXT(E609,"000")</f>
        <v>신약 #048</v>
      </c>
      <c r="G609" s="30" t="s">
        <v>5402</v>
      </c>
      <c r="H609" s="30" t="s">
        <v>5323</v>
      </c>
      <c r="I609" s="23" t="s">
        <v>5242</v>
      </c>
      <c r="J609" s="24" t="s">
        <v>5412</v>
      </c>
      <c r="K609" s="23" t="s">
        <v>121</v>
      </c>
      <c r="L609" s="24" t="s">
        <v>5413</v>
      </c>
      <c r="M609" s="24" t="s">
        <v>5414</v>
      </c>
      <c r="N609" s="23" t="s">
        <v>5415</v>
      </c>
      <c r="O609" s="24" t="s">
        <v>5416</v>
      </c>
      <c r="P609" s="24" t="s">
        <v>5417</v>
      </c>
      <c r="Q609" s="24" t="s">
        <v>5418</v>
      </c>
      <c r="R609" s="24"/>
      <c r="S609" s="24" t="s">
        <v>129</v>
      </c>
      <c r="T609" s="24" t="str">
        <f aca="false">"["&amp;안내!$C$5&amp;" "&amp;F609&amp;"] "&amp;L609&amp;" | "&amp;J609</f>
        <v>[1분 성경 신약 #048] 돌아온 아들 | 눅 15:11-32</v>
      </c>
      <c r="U609" s="26" t="n">
        <f aca="false">IF(D609="구약",IF(C609=1,안내!$C$9,안내!$C$10)+AD609-1,IF(C609=1,안내!$C$9,안내!$C$10)+7*INT((AD609-1)/4)+CHOOSE(MOD(AD609-1,4)+1,0,2,4,5))</f>
        <v>46473</v>
      </c>
      <c r="V609" s="23" t="str">
        <f aca="false">CHOOSE(WEEKDAY(U609,2),"월","화","수","목","금","토","일")</f>
        <v>토</v>
      </c>
      <c r="W609" s="24" t="str">
        <f aca="false">IFERROR(IF(INDEX($C$2:$C$799,MATCH(D609&amp;"#"&amp;(E609+1),$AC$2:$AC$799,0))=C609,"다음 편: ","시즌1 완결 · 시즌2 첫 편: ")&amp;INDEX($L$2:$L$799,MATCH(D609&amp;"#"&amp;(E609+1),$AC$2:$AC$799,0)),"신약 트랙 완결")</f>
        <v>다음 편: 돌아온 한 사람</v>
      </c>
      <c r="X609" s="23" t="s">
        <v>130</v>
      </c>
      <c r="Y609" s="23" t="s">
        <v>130</v>
      </c>
      <c r="Z609" s="23" t="s">
        <v>130</v>
      </c>
      <c r="AA609" s="23" t="s">
        <v>130</v>
      </c>
      <c r="AB609" s="24"/>
      <c r="AC609" s="23" t="str">
        <f aca="false">D609&amp;"#"&amp;E609</f>
        <v>신약#48</v>
      </c>
      <c r="AD609" s="23" t="n">
        <f aca="false">COUNTIFS($C$2:C609,C609,$D$2:D609,D609)</f>
        <v>48</v>
      </c>
    </row>
    <row r="610" customFormat="false" ht="26.85" hidden="false" customHeight="false" outlineLevel="0" collapsed="false">
      <c r="A610" s="23" t="n">
        <v>609</v>
      </c>
      <c r="B610" s="30" t="s">
        <v>5419</v>
      </c>
      <c r="C610" s="23" t="n">
        <v>2</v>
      </c>
      <c r="D610" s="23" t="s">
        <v>4656</v>
      </c>
      <c r="E610" s="23" t="n">
        <f aca="false">IF(C610=1,COUNTIFS($C$2:C610,1,$D$2:D610,D610),COUNTIFS($C$2:$C$799,1,$D$2:$D$799,D610)+COUNTIFS($C$2:C610,2,$D$2:D610,D610))</f>
        <v>144</v>
      </c>
      <c r="F610" s="23" t="str">
        <f aca="false">D610&amp;" #"&amp;TEXT(E610,"000")</f>
        <v>신약 #144</v>
      </c>
      <c r="G610" s="30" t="s">
        <v>5402</v>
      </c>
      <c r="H610" s="30" t="s">
        <v>5420</v>
      </c>
      <c r="I610" s="23" t="s">
        <v>5242</v>
      </c>
      <c r="J610" s="24" t="s">
        <v>5421</v>
      </c>
      <c r="K610" s="23" t="s">
        <v>121</v>
      </c>
      <c r="L610" s="24" t="s">
        <v>5422</v>
      </c>
      <c r="M610" s="24" t="s">
        <v>5423</v>
      </c>
      <c r="N610" s="23" t="s">
        <v>5424</v>
      </c>
      <c r="O610" s="24" t="s">
        <v>5425</v>
      </c>
      <c r="P610" s="24" t="s">
        <v>5426</v>
      </c>
      <c r="Q610" s="24" t="s">
        <v>5427</v>
      </c>
      <c r="R610" s="25" t="s">
        <v>5428</v>
      </c>
      <c r="S610" s="24" t="s">
        <v>5429</v>
      </c>
      <c r="T610" s="24" t="str">
        <f aca="false">"["&amp;안내!$C$5&amp;" "&amp;F610&amp;"] "&amp;L610&amp;" | "&amp;J610</f>
        <v>[1분 성경 신약 #144] 부자와 나사로 | 눅 16:19-31</v>
      </c>
      <c r="U610" s="26" t="n">
        <f aca="false">IF(D610="구약",IF(C610=1,안내!$C$9,안내!$C$10)+AD610-1,IF(C610=1,안내!$C$9,안내!$C$10)+7*INT((AD610-1)/4)+CHOOSE(MOD(AD610-1,4)+1,0,2,4,5))</f>
        <v>46648</v>
      </c>
      <c r="V610" s="23" t="str">
        <f aca="false">CHOOSE(WEEKDAY(U610,2),"월","화","수","목","금","토","일")</f>
        <v>토</v>
      </c>
      <c r="W610" s="24" t="str">
        <f aca="false">IFERROR(IF(INDEX($C$2:$C$799,MATCH(D610&amp;"#"&amp;(E610+1),$AC$2:$AC$799,0))=C610,"다음 편: ","시즌1 완결 · 시즌2 첫 편: ")&amp;INDEX($L$2:$L$799,MATCH(D610&amp;"#"&amp;(E610+1),$AC$2:$AC$799,0)),"신약 트랙 완결")</f>
        <v>다음 편: 땀이 핏방울같이</v>
      </c>
      <c r="X610" s="23" t="s">
        <v>130</v>
      </c>
      <c r="Y610" s="23" t="s">
        <v>130</v>
      </c>
      <c r="Z610" s="23" t="s">
        <v>130</v>
      </c>
      <c r="AA610" s="23" t="s">
        <v>130</v>
      </c>
      <c r="AB610" s="24"/>
      <c r="AC610" s="23" t="str">
        <f aca="false">D610&amp;"#"&amp;E610</f>
        <v>신약#144</v>
      </c>
      <c r="AD610" s="23" t="n">
        <f aca="false">COUNTIFS($C$2:C610,C610,$D$2:D610,D610)</f>
        <v>40</v>
      </c>
    </row>
    <row r="611" customFormat="false" ht="26.85" hidden="false" customHeight="false" outlineLevel="0" collapsed="false">
      <c r="A611" s="23" t="n">
        <v>610</v>
      </c>
      <c r="B611" s="30" t="s">
        <v>5430</v>
      </c>
      <c r="C611" s="20" t="n">
        <v>1</v>
      </c>
      <c r="D611" s="20" t="s">
        <v>4656</v>
      </c>
      <c r="E611" s="20" t="n">
        <f aca="false">IF(C611=1,COUNTIFS($C$2:C611,1,$D$2:D611,D611),COUNTIFS($C$2:$C$799,1,$D$2:$D$799,D611)+COUNTIFS($C$2:C611,2,$D$2:D611,D611))</f>
        <v>49</v>
      </c>
      <c r="F611" s="20" t="str">
        <f aca="false">D611&amp;" #"&amp;TEXT(E611,"000")</f>
        <v>신약 #049</v>
      </c>
      <c r="G611" s="30" t="s">
        <v>5402</v>
      </c>
      <c r="H611" s="30" t="s">
        <v>5323</v>
      </c>
      <c r="I611" s="23" t="s">
        <v>5242</v>
      </c>
      <c r="J611" s="24" t="s">
        <v>5431</v>
      </c>
      <c r="K611" s="23" t="s">
        <v>121</v>
      </c>
      <c r="L611" s="24" t="s">
        <v>5432</v>
      </c>
      <c r="M611" s="24" t="s">
        <v>5433</v>
      </c>
      <c r="N611" s="23" t="s">
        <v>5434</v>
      </c>
      <c r="O611" s="24" t="s">
        <v>5435</v>
      </c>
      <c r="P611" s="24" t="s">
        <v>5436</v>
      </c>
      <c r="Q611" s="24" t="s">
        <v>5437</v>
      </c>
      <c r="R611" s="24"/>
      <c r="S611" s="28" t="s">
        <v>5438</v>
      </c>
      <c r="T611" s="24" t="str">
        <f aca="false">"["&amp;안내!$C$5&amp;" "&amp;F611&amp;"] "&amp;L611&amp;" | "&amp;J611</f>
        <v>[1분 성경 신약 #049] 돌아온 한 사람 | 눅 17:11-19</v>
      </c>
      <c r="U611" s="26" t="n">
        <f aca="false">IF(D611="구약",IF(C611=1,안내!$C$9,안내!$C$10)+AD611-1,IF(C611=1,안내!$C$9,안내!$C$10)+7*INT((AD611-1)/4)+CHOOSE(MOD(AD611-1,4)+1,0,2,4,5))</f>
        <v>46475</v>
      </c>
      <c r="V611" s="23" t="str">
        <f aca="false">CHOOSE(WEEKDAY(U611,2),"월","화","수","목","금","토","일")</f>
        <v>월</v>
      </c>
      <c r="W611" s="24" t="str">
        <f aca="false">IFERROR(IF(INDEX($C$2:$C$799,MATCH(D611&amp;"#"&amp;(E611+1),$AC$2:$AC$799,0))=C611,"다음 편: ","시즌1 완결 · 시즌2 첫 편: ")&amp;INDEX($L$2:$L$799,MATCH(D611&amp;"#"&amp;(E611+1),$AC$2:$AC$799,0)),"신약 트랙 완결")</f>
        <v>다음 편: 바리새인과 세리</v>
      </c>
      <c r="X611" s="23" t="s">
        <v>130</v>
      </c>
      <c r="Y611" s="23" t="s">
        <v>130</v>
      </c>
      <c r="Z611" s="23" t="s">
        <v>130</v>
      </c>
      <c r="AA611" s="23" t="s">
        <v>130</v>
      </c>
      <c r="AB611" s="24"/>
      <c r="AC611" s="23" t="str">
        <f aca="false">D611&amp;"#"&amp;E611</f>
        <v>신약#49</v>
      </c>
      <c r="AD611" s="23" t="n">
        <f aca="false">COUNTIFS($C$2:C611,C611,$D$2:D611,D611)</f>
        <v>49</v>
      </c>
    </row>
    <row r="612" customFormat="false" ht="26.85" hidden="false" customHeight="false" outlineLevel="0" collapsed="false">
      <c r="A612" s="23" t="n">
        <v>611</v>
      </c>
      <c r="B612" s="30" t="s">
        <v>5439</v>
      </c>
      <c r="C612" s="20" t="n">
        <v>1</v>
      </c>
      <c r="D612" s="20" t="s">
        <v>4656</v>
      </c>
      <c r="E612" s="20" t="n">
        <f aca="false">IF(C612=1,COUNTIFS($C$2:C612,1,$D$2:D612,D612),COUNTIFS($C$2:$C$799,1,$D$2:$D$799,D612)+COUNTIFS($C$2:C612,2,$D$2:D612,D612))</f>
        <v>50</v>
      </c>
      <c r="F612" s="20" t="str">
        <f aca="false">D612&amp;" #"&amp;TEXT(E612,"000")</f>
        <v>신약 #050</v>
      </c>
      <c r="G612" s="30" t="s">
        <v>5402</v>
      </c>
      <c r="H612" s="30" t="s">
        <v>5323</v>
      </c>
      <c r="I612" s="23" t="s">
        <v>5242</v>
      </c>
      <c r="J612" s="24" t="s">
        <v>5440</v>
      </c>
      <c r="K612" s="23" t="s">
        <v>121</v>
      </c>
      <c r="L612" s="24" t="s">
        <v>5441</v>
      </c>
      <c r="M612" s="24" t="s">
        <v>5442</v>
      </c>
      <c r="N612" s="23" t="s">
        <v>5443</v>
      </c>
      <c r="O612" s="24" t="s">
        <v>5444</v>
      </c>
      <c r="P612" s="24" t="s">
        <v>5445</v>
      </c>
      <c r="Q612" s="24" t="s">
        <v>5311</v>
      </c>
      <c r="R612" s="24"/>
      <c r="S612" s="24" t="s">
        <v>129</v>
      </c>
      <c r="T612" s="24" t="str">
        <f aca="false">"["&amp;안내!$C$5&amp;" "&amp;F612&amp;"] "&amp;L612&amp;" | "&amp;J612</f>
        <v>[1분 성경 신약 #050] 바리새인과 세리 | 눅 18:1-14</v>
      </c>
      <c r="U612" s="26" t="n">
        <f aca="false">IF(D612="구약",IF(C612=1,안내!$C$9,안내!$C$10)+AD612-1,IF(C612=1,안내!$C$9,안내!$C$10)+7*INT((AD612-1)/4)+CHOOSE(MOD(AD612-1,4)+1,0,2,4,5))</f>
        <v>46477</v>
      </c>
      <c r="V612" s="23" t="str">
        <f aca="false">CHOOSE(WEEKDAY(U612,2),"월","화","수","목","금","토","일")</f>
        <v>수</v>
      </c>
      <c r="W612" s="24" t="str">
        <f aca="false">IFERROR(IF(INDEX($C$2:$C$799,MATCH(D612&amp;"#"&amp;(E612+1),$AC$2:$AC$799,0))=C612,"다음 편: ","시즌1 완결 · 시즌2 첫 편: ")&amp;INDEX($L$2:$L$799,MATCH(D612&amp;"#"&amp;(E612+1),$AC$2:$AC$799,0)),"신약 트랙 완결")</f>
        <v>다음 편: 뽕나무에 올라간 삭개오</v>
      </c>
      <c r="X612" s="23" t="s">
        <v>130</v>
      </c>
      <c r="Y612" s="23" t="s">
        <v>130</v>
      </c>
      <c r="Z612" s="23" t="s">
        <v>130</v>
      </c>
      <c r="AA612" s="23" t="s">
        <v>130</v>
      </c>
      <c r="AB612" s="24"/>
      <c r="AC612" s="23" t="str">
        <f aca="false">D612&amp;"#"&amp;E612</f>
        <v>신약#50</v>
      </c>
      <c r="AD612" s="23" t="n">
        <f aca="false">COUNTIFS($C$2:C612,C612,$D$2:D612,D612)</f>
        <v>50</v>
      </c>
    </row>
    <row r="613" customFormat="false" ht="26.85" hidden="false" customHeight="false" outlineLevel="0" collapsed="false">
      <c r="A613" s="23" t="n">
        <v>612</v>
      </c>
      <c r="B613" s="30" t="s">
        <v>5446</v>
      </c>
      <c r="C613" s="20" t="n">
        <v>1</v>
      </c>
      <c r="D613" s="20" t="s">
        <v>4656</v>
      </c>
      <c r="E613" s="20" t="n">
        <f aca="false">IF(C613=1,COUNTIFS($C$2:C613,1,$D$2:D613,D613),COUNTIFS($C$2:$C$799,1,$D$2:$D$799,D613)+COUNTIFS($C$2:C613,2,$D$2:D613,D613))</f>
        <v>51</v>
      </c>
      <c r="F613" s="20" t="str">
        <f aca="false">D613&amp;" #"&amp;TEXT(E613,"000")</f>
        <v>신약 #051</v>
      </c>
      <c r="G613" s="30" t="s">
        <v>5402</v>
      </c>
      <c r="H613" s="30" t="s">
        <v>5323</v>
      </c>
      <c r="I613" s="23" t="s">
        <v>5242</v>
      </c>
      <c r="J613" s="24" t="s">
        <v>5447</v>
      </c>
      <c r="K613" s="23" t="s">
        <v>121</v>
      </c>
      <c r="L613" s="24" t="s">
        <v>5448</v>
      </c>
      <c r="M613" s="24" t="s">
        <v>5449</v>
      </c>
      <c r="N613" s="23" t="s">
        <v>5450</v>
      </c>
      <c r="O613" s="24" t="s">
        <v>5451</v>
      </c>
      <c r="P613" s="24" t="s">
        <v>5452</v>
      </c>
      <c r="Q613" s="24" t="s">
        <v>5453</v>
      </c>
      <c r="R613" s="24"/>
      <c r="S613" s="24" t="s">
        <v>129</v>
      </c>
      <c r="T613" s="24" t="str">
        <f aca="false">"["&amp;안내!$C$5&amp;" "&amp;F613&amp;"] "&amp;L613&amp;" | "&amp;J613</f>
        <v>[1분 성경 신약 #051] 뽕나무에 올라간 삭개오 | 눅 19:1-10</v>
      </c>
      <c r="U613" s="26" t="n">
        <f aca="false">IF(D613="구약",IF(C613=1,안내!$C$9,안내!$C$10)+AD613-1,IF(C613=1,안내!$C$9,안내!$C$10)+7*INT((AD613-1)/4)+CHOOSE(MOD(AD613-1,4)+1,0,2,4,5))</f>
        <v>46479</v>
      </c>
      <c r="V613" s="23" t="str">
        <f aca="false">CHOOSE(WEEKDAY(U613,2),"월","화","수","목","금","토","일")</f>
        <v>금</v>
      </c>
      <c r="W613" s="24" t="str">
        <f aca="false">IFERROR(IF(INDEX($C$2:$C$799,MATCH(D613&amp;"#"&amp;(E613+1),$AC$2:$AC$799,0))=C613,"다음 편: ","시즌1 완결 · 시즌2 첫 편: ")&amp;INDEX($L$2:$L$799,MATCH(D613&amp;"#"&amp;(E613+1),$AC$2:$AC$799,0)),"신약 트랙 완결")</f>
        <v>다음 편: 십자가 위의 강도</v>
      </c>
      <c r="X613" s="23" t="s">
        <v>130</v>
      </c>
      <c r="Y613" s="23" t="s">
        <v>130</v>
      </c>
      <c r="Z613" s="23" t="s">
        <v>130</v>
      </c>
      <c r="AA613" s="23" t="s">
        <v>130</v>
      </c>
      <c r="AB613" s="24"/>
      <c r="AC613" s="23" t="str">
        <f aca="false">D613&amp;"#"&amp;E613</f>
        <v>신약#51</v>
      </c>
      <c r="AD613" s="23" t="n">
        <f aca="false">COUNTIFS($C$2:C613,C613,$D$2:D613,D613)</f>
        <v>51</v>
      </c>
    </row>
    <row r="614" customFormat="false" ht="26.85" hidden="false" customHeight="false" outlineLevel="0" collapsed="false">
      <c r="A614" s="23" t="n">
        <v>613</v>
      </c>
      <c r="B614" s="30" t="s">
        <v>5454</v>
      </c>
      <c r="C614" s="23" t="n">
        <v>2</v>
      </c>
      <c r="D614" s="23" t="s">
        <v>4656</v>
      </c>
      <c r="E614" s="23" t="n">
        <f aca="false">IF(C614=1,COUNTIFS($C$2:C614,1,$D$2:D614,D614),COUNTIFS($C$2:$C$799,1,$D$2:$D$799,D614)+COUNTIFS($C$2:C614,2,$D$2:D614,D614))</f>
        <v>145</v>
      </c>
      <c r="F614" s="23" t="str">
        <f aca="false">D614&amp;" #"&amp;TEXT(E614,"000")</f>
        <v>신약 #145</v>
      </c>
      <c r="G614" s="30" t="s">
        <v>5402</v>
      </c>
      <c r="H614" s="30" t="s">
        <v>5420</v>
      </c>
      <c r="I614" s="23" t="s">
        <v>5242</v>
      </c>
      <c r="J614" s="24" t="s">
        <v>5455</v>
      </c>
      <c r="K614" s="23" t="s">
        <v>121</v>
      </c>
      <c r="L614" s="24" t="s">
        <v>5456</v>
      </c>
      <c r="M614" s="24" t="s">
        <v>5457</v>
      </c>
      <c r="N614" s="23" t="s">
        <v>5458</v>
      </c>
      <c r="O614" s="24" t="s">
        <v>5459</v>
      </c>
      <c r="P614" s="24" t="s">
        <v>5460</v>
      </c>
      <c r="Q614" s="24" t="s">
        <v>5018</v>
      </c>
      <c r="R614" s="24"/>
      <c r="S614" s="24" t="s">
        <v>5461</v>
      </c>
      <c r="T614" s="24" t="str">
        <f aca="false">"["&amp;안내!$C$5&amp;" "&amp;F614&amp;"] "&amp;L614&amp;" | "&amp;J614</f>
        <v>[1분 성경 신약 #145] 땀이 핏방울같이 | 눅 22:39-46</v>
      </c>
      <c r="U614" s="26" t="n">
        <f aca="false">IF(D614="구약",IF(C614=1,안내!$C$9,안내!$C$10)+AD614-1,IF(C614=1,안내!$C$9,안내!$C$10)+7*INT((AD614-1)/4)+CHOOSE(MOD(AD614-1,4)+1,0,2,4,5))</f>
        <v>46650</v>
      </c>
      <c r="V614" s="23" t="str">
        <f aca="false">CHOOSE(WEEKDAY(U614,2),"월","화","수","목","금","토","일")</f>
        <v>월</v>
      </c>
      <c r="W614" s="24" t="str">
        <f aca="false">IFERROR(IF(INDEX($C$2:$C$799,MATCH(D614&amp;"#"&amp;(E614+1),$AC$2:$AC$799,0))=C614,"다음 편: ","시즌1 완결 · 시즌2 첫 편: ")&amp;INDEX($L$2:$L$799,MATCH(D614&amp;"#"&amp;(E614+1),$AC$2:$AC$799,0)),"신약 트랙 완결")</f>
        <v>다음 편: 하나님의 어린양</v>
      </c>
      <c r="X614" s="23" t="s">
        <v>130</v>
      </c>
      <c r="Y614" s="23" t="s">
        <v>130</v>
      </c>
      <c r="Z614" s="23" t="s">
        <v>130</v>
      </c>
      <c r="AA614" s="23" t="s">
        <v>130</v>
      </c>
      <c r="AB614" s="24"/>
      <c r="AC614" s="23" t="str">
        <f aca="false">D614&amp;"#"&amp;E614</f>
        <v>신약#145</v>
      </c>
      <c r="AD614" s="23" t="n">
        <f aca="false">COUNTIFS($C$2:C614,C614,$D$2:D614,D614)</f>
        <v>41</v>
      </c>
    </row>
    <row r="615" customFormat="false" ht="26.85" hidden="false" customHeight="false" outlineLevel="0" collapsed="false">
      <c r="A615" s="23" t="n">
        <v>614</v>
      </c>
      <c r="B615" s="30" t="s">
        <v>5462</v>
      </c>
      <c r="C615" s="20" t="n">
        <v>1</v>
      </c>
      <c r="D615" s="20" t="s">
        <v>4656</v>
      </c>
      <c r="E615" s="20" t="n">
        <f aca="false">IF(C615=1,COUNTIFS($C$2:C615,1,$D$2:D615,D615),COUNTIFS($C$2:$C$799,1,$D$2:$D$799,D615)+COUNTIFS($C$2:C615,2,$D$2:D615,D615))</f>
        <v>52</v>
      </c>
      <c r="F615" s="20" t="str">
        <f aca="false">D615&amp;" #"&amp;TEXT(E615,"000")</f>
        <v>신약 #052</v>
      </c>
      <c r="G615" s="30" t="s">
        <v>5402</v>
      </c>
      <c r="H615" s="30" t="s">
        <v>5323</v>
      </c>
      <c r="I615" s="23" t="s">
        <v>5242</v>
      </c>
      <c r="J615" s="24" t="s">
        <v>5463</v>
      </c>
      <c r="K615" s="23" t="s">
        <v>121</v>
      </c>
      <c r="L615" s="24" t="s">
        <v>5464</v>
      </c>
      <c r="M615" s="24" t="s">
        <v>5465</v>
      </c>
      <c r="N615" s="23" t="s">
        <v>5466</v>
      </c>
      <c r="O615" s="24" t="s">
        <v>5467</v>
      </c>
      <c r="P615" s="24" t="s">
        <v>5468</v>
      </c>
      <c r="Q615" s="24" t="s">
        <v>5469</v>
      </c>
      <c r="R615" s="25" t="s">
        <v>5470</v>
      </c>
      <c r="S615" s="28" t="s">
        <v>5471</v>
      </c>
      <c r="T615" s="24" t="str">
        <f aca="false">"["&amp;안내!$C$5&amp;" "&amp;F615&amp;"] "&amp;L615&amp;" | "&amp;J615</f>
        <v>[1분 성경 신약 #052] 십자가 위의 강도 | 눅 23:32-43</v>
      </c>
      <c r="U615" s="26" t="n">
        <f aca="false">IF(D615="구약",IF(C615=1,안내!$C$9,안내!$C$10)+AD615-1,IF(C615=1,안내!$C$9,안내!$C$10)+7*INT((AD615-1)/4)+CHOOSE(MOD(AD615-1,4)+1,0,2,4,5))</f>
        <v>46480</v>
      </c>
      <c r="V615" s="23" t="str">
        <f aca="false">CHOOSE(WEEKDAY(U615,2),"월","화","수","목","금","토","일")</f>
        <v>토</v>
      </c>
      <c r="W615" s="24" t="str">
        <f aca="false">IFERROR(IF(INDEX($C$2:$C$799,MATCH(D615&amp;"#"&amp;(E615+1),$AC$2:$AC$799,0))=C615,"다음 편: ","시즌1 완결 · 시즌2 첫 편: ")&amp;INDEX($L$2:$L$799,MATCH(D615&amp;"#"&amp;(E615+1),$AC$2:$AC$799,0)),"신약 트랙 완결")</f>
        <v>다음 편: 엠마오로 가는 길</v>
      </c>
      <c r="X615" s="23" t="s">
        <v>130</v>
      </c>
      <c r="Y615" s="23" t="s">
        <v>130</v>
      </c>
      <c r="Z615" s="23" t="s">
        <v>130</v>
      </c>
      <c r="AA615" s="23" t="s">
        <v>130</v>
      </c>
      <c r="AB615" s="24"/>
      <c r="AC615" s="23" t="str">
        <f aca="false">D615&amp;"#"&amp;E615</f>
        <v>신약#52</v>
      </c>
      <c r="AD615" s="23" t="n">
        <f aca="false">COUNTIFS($C$2:C615,C615,$D$2:D615,D615)</f>
        <v>52</v>
      </c>
    </row>
    <row r="616" customFormat="false" ht="26.85" hidden="false" customHeight="false" outlineLevel="0" collapsed="false">
      <c r="A616" s="23" t="n">
        <v>615</v>
      </c>
      <c r="B616" s="30" t="s">
        <v>5472</v>
      </c>
      <c r="C616" s="20" t="n">
        <v>1</v>
      </c>
      <c r="D616" s="20" t="s">
        <v>4656</v>
      </c>
      <c r="E616" s="20" t="n">
        <f aca="false">IF(C616=1,COUNTIFS($C$2:C616,1,$D$2:D616,D616),COUNTIFS($C$2:$C$799,1,$D$2:$D$799,D616)+COUNTIFS($C$2:C616,2,$D$2:D616,D616))</f>
        <v>53</v>
      </c>
      <c r="F616" s="20" t="str">
        <f aca="false">D616&amp;" #"&amp;TEXT(E616,"000")</f>
        <v>신약 #053</v>
      </c>
      <c r="G616" s="30" t="s">
        <v>5402</v>
      </c>
      <c r="H616" s="30" t="s">
        <v>5323</v>
      </c>
      <c r="I616" s="23" t="s">
        <v>5242</v>
      </c>
      <c r="J616" s="24" t="s">
        <v>5473</v>
      </c>
      <c r="K616" s="23" t="s">
        <v>121</v>
      </c>
      <c r="L616" s="24" t="s">
        <v>5474</v>
      </c>
      <c r="M616" s="24" t="s">
        <v>5475</v>
      </c>
      <c r="N616" s="23" t="s">
        <v>5476</v>
      </c>
      <c r="O616" s="24" t="s">
        <v>5477</v>
      </c>
      <c r="P616" s="24" t="s">
        <v>5478</v>
      </c>
      <c r="Q616" s="24" t="s">
        <v>5479</v>
      </c>
      <c r="R616" s="24"/>
      <c r="S616" s="24" t="s">
        <v>129</v>
      </c>
      <c r="T616" s="24" t="str">
        <f aca="false">"["&amp;안내!$C$5&amp;" "&amp;F616&amp;"] "&amp;L616&amp;" | "&amp;J616</f>
        <v>[1분 성경 신약 #053] 엠마오로 가는 길 | 눅 24:13-35</v>
      </c>
      <c r="U616" s="26" t="n">
        <f aca="false">IF(D616="구약",IF(C616=1,안내!$C$9,안내!$C$10)+AD616-1,IF(C616=1,안내!$C$9,안내!$C$10)+7*INT((AD616-1)/4)+CHOOSE(MOD(AD616-1,4)+1,0,2,4,5))</f>
        <v>46482</v>
      </c>
      <c r="V616" s="23" t="str">
        <f aca="false">CHOOSE(WEEKDAY(U616,2),"월","화","수","목","금","토","일")</f>
        <v>월</v>
      </c>
      <c r="W616" s="24" t="str">
        <f aca="false">IFERROR(IF(INDEX($C$2:$C$799,MATCH(D616&amp;"#"&amp;(E616+1),$AC$2:$AC$799,0))=C616,"다음 편: ","시즌1 완결 · 시즌2 첫 편: ")&amp;INDEX($L$2:$L$799,MATCH(D616&amp;"#"&amp;(E616+1),$AC$2:$AC$799,0)),"신약 트랙 완결")</f>
        <v>다음 편: 하늘로 올라가시다</v>
      </c>
      <c r="X616" s="23" t="s">
        <v>130</v>
      </c>
      <c r="Y616" s="23" t="s">
        <v>130</v>
      </c>
      <c r="Z616" s="23" t="s">
        <v>130</v>
      </c>
      <c r="AA616" s="23" t="s">
        <v>130</v>
      </c>
      <c r="AB616" s="24"/>
      <c r="AC616" s="23" t="str">
        <f aca="false">D616&amp;"#"&amp;E616</f>
        <v>신약#53</v>
      </c>
      <c r="AD616" s="23" t="n">
        <f aca="false">COUNTIFS($C$2:C616,C616,$D$2:D616,D616)</f>
        <v>53</v>
      </c>
    </row>
    <row r="617" customFormat="false" ht="26.85" hidden="false" customHeight="false" outlineLevel="0" collapsed="false">
      <c r="A617" s="23" t="n">
        <v>616</v>
      </c>
      <c r="B617" s="30" t="s">
        <v>5480</v>
      </c>
      <c r="C617" s="20" t="n">
        <v>1</v>
      </c>
      <c r="D617" s="20" t="s">
        <v>4656</v>
      </c>
      <c r="E617" s="20" t="n">
        <f aca="false">IF(C617=1,COUNTIFS($C$2:C617,1,$D$2:D617,D617),COUNTIFS($C$2:$C$799,1,$D$2:$D$799,D617)+COUNTIFS($C$2:C617,2,$D$2:D617,D617))</f>
        <v>54</v>
      </c>
      <c r="F617" s="20" t="str">
        <f aca="false">D617&amp;" #"&amp;TEXT(E617,"000")</f>
        <v>신약 #054</v>
      </c>
      <c r="G617" s="30" t="s">
        <v>5402</v>
      </c>
      <c r="H617" s="30" t="s">
        <v>5323</v>
      </c>
      <c r="I617" s="23" t="s">
        <v>5242</v>
      </c>
      <c r="J617" s="24" t="s">
        <v>5481</v>
      </c>
      <c r="K617" s="23" t="s">
        <v>121</v>
      </c>
      <c r="L617" s="24" t="s">
        <v>5482</v>
      </c>
      <c r="M617" s="24" t="s">
        <v>5483</v>
      </c>
      <c r="N617" s="23" t="s">
        <v>5484</v>
      </c>
      <c r="O617" s="24" t="s">
        <v>5485</v>
      </c>
      <c r="P617" s="24" t="s">
        <v>4768</v>
      </c>
      <c r="Q617" s="24" t="s">
        <v>5486</v>
      </c>
      <c r="R617" s="24"/>
      <c r="S617" s="24" t="s">
        <v>129</v>
      </c>
      <c r="T617" s="24" t="str">
        <f aca="false">"["&amp;안내!$C$5&amp;" "&amp;F617&amp;"] "&amp;L617&amp;" | "&amp;J617</f>
        <v>[1분 성경 신약 #054] 하늘로 올라가시다 | 눅 24:36-53</v>
      </c>
      <c r="U617" s="26" t="n">
        <f aca="false">IF(D617="구약",IF(C617=1,안내!$C$9,안내!$C$10)+AD617-1,IF(C617=1,안내!$C$9,안내!$C$10)+7*INT((AD617-1)/4)+CHOOSE(MOD(AD617-1,4)+1,0,2,4,5))</f>
        <v>46484</v>
      </c>
      <c r="V617" s="23" t="str">
        <f aca="false">CHOOSE(WEEKDAY(U617,2),"월","화","수","목","금","토","일")</f>
        <v>수</v>
      </c>
      <c r="W617" s="24" t="str">
        <f aca="false">IFERROR(IF(INDEX($C$2:$C$799,MATCH(D617&amp;"#"&amp;(E617+1),$AC$2:$AC$799,0))=C617,"다음 편: ","시즌1 완결 · 시즌2 첫 편: ")&amp;INDEX($L$2:$L$799,MATCH(D617&amp;"#"&amp;(E617+1),$AC$2:$AC$799,0)),"신약 트랙 완결")</f>
        <v>다음 편: 태초에 말씀이 계시니라</v>
      </c>
      <c r="X617" s="23" t="s">
        <v>130</v>
      </c>
      <c r="Y617" s="23" t="s">
        <v>130</v>
      </c>
      <c r="Z617" s="23" t="s">
        <v>130</v>
      </c>
      <c r="AA617" s="23" t="s">
        <v>130</v>
      </c>
      <c r="AB617" s="24"/>
      <c r="AC617" s="23" t="str">
        <f aca="false">D617&amp;"#"&amp;E617</f>
        <v>신약#54</v>
      </c>
      <c r="AD617" s="23" t="n">
        <f aca="false">COUNTIFS($C$2:C617,C617,$D$2:D617,D617)</f>
        <v>54</v>
      </c>
    </row>
    <row r="618" customFormat="false" ht="26.85" hidden="false" customHeight="false" outlineLevel="0" collapsed="false">
      <c r="A618" s="23" t="n">
        <v>617</v>
      </c>
      <c r="B618" s="30" t="s">
        <v>5487</v>
      </c>
      <c r="C618" s="20" t="n">
        <v>1</v>
      </c>
      <c r="D618" s="20" t="s">
        <v>4656</v>
      </c>
      <c r="E618" s="20" t="n">
        <f aca="false">IF(C618=1,COUNTIFS($C$2:C618,1,$D$2:D618,D618),COUNTIFS($C$2:$C$799,1,$D$2:$D$799,D618)+COUNTIFS($C$2:C618,2,$D$2:D618,D618))</f>
        <v>55</v>
      </c>
      <c r="F618" s="20" t="str">
        <f aca="false">D618&amp;" #"&amp;TEXT(E618,"000")</f>
        <v>신약 #055</v>
      </c>
      <c r="G618" s="30" t="s">
        <v>5488</v>
      </c>
      <c r="H618" s="30" t="s">
        <v>5489</v>
      </c>
      <c r="I618" s="23" t="s">
        <v>5490</v>
      </c>
      <c r="J618" s="24" t="s">
        <v>5491</v>
      </c>
      <c r="K618" s="23" t="s">
        <v>121</v>
      </c>
      <c r="L618" s="24" t="s">
        <v>5492</v>
      </c>
      <c r="M618" s="24" t="s">
        <v>5493</v>
      </c>
      <c r="N618" s="23" t="s">
        <v>5494</v>
      </c>
      <c r="O618" s="24" t="s">
        <v>5495</v>
      </c>
      <c r="P618" s="24" t="s">
        <v>5496</v>
      </c>
      <c r="Q618" s="24" t="s">
        <v>5497</v>
      </c>
      <c r="R618" s="27" t="s">
        <v>5498</v>
      </c>
      <c r="S618" s="24" t="s">
        <v>129</v>
      </c>
      <c r="T618" s="24" t="str">
        <f aca="false">"["&amp;안내!$C$5&amp;" "&amp;F618&amp;"] "&amp;L618&amp;" | "&amp;J618</f>
        <v>[1분 성경 신약 #055] 태초에 말씀이 계시니라 | 요 1:1-18</v>
      </c>
      <c r="U618" s="26" t="n">
        <f aca="false">IF(D618="구약",IF(C618=1,안내!$C$9,안내!$C$10)+AD618-1,IF(C618=1,안내!$C$9,안내!$C$10)+7*INT((AD618-1)/4)+CHOOSE(MOD(AD618-1,4)+1,0,2,4,5))</f>
        <v>46486</v>
      </c>
      <c r="V618" s="23" t="str">
        <f aca="false">CHOOSE(WEEKDAY(U618,2),"월","화","수","목","금","토","일")</f>
        <v>금</v>
      </c>
      <c r="W618" s="24" t="str">
        <f aca="false">IFERROR(IF(INDEX($C$2:$C$799,MATCH(D618&amp;"#"&amp;(E618+1),$AC$2:$AC$799,0))=C618,"다음 편: ","시즌1 완결 · 시즌2 첫 편: ")&amp;INDEX($L$2:$L$799,MATCH(D618&amp;"#"&amp;(E618+1),$AC$2:$AC$799,0)),"신약 트랙 완결")</f>
        <v>다음 편: 가나의 혼인 잔치</v>
      </c>
      <c r="X618" s="23" t="s">
        <v>130</v>
      </c>
      <c r="Y618" s="23" t="s">
        <v>130</v>
      </c>
      <c r="Z618" s="23" t="s">
        <v>130</v>
      </c>
      <c r="AA618" s="23" t="s">
        <v>130</v>
      </c>
      <c r="AB618" s="24"/>
      <c r="AC618" s="23" t="str">
        <f aca="false">D618&amp;"#"&amp;E618</f>
        <v>신약#55</v>
      </c>
      <c r="AD618" s="23" t="n">
        <f aca="false">COUNTIFS($C$2:C618,C618,$D$2:D618,D618)</f>
        <v>55</v>
      </c>
    </row>
    <row r="619" customFormat="false" ht="26.85" hidden="false" customHeight="false" outlineLevel="0" collapsed="false">
      <c r="A619" s="23" t="n">
        <v>618</v>
      </c>
      <c r="B619" s="30" t="s">
        <v>5499</v>
      </c>
      <c r="C619" s="23" t="n">
        <v>2</v>
      </c>
      <c r="D619" s="23" t="s">
        <v>4656</v>
      </c>
      <c r="E619" s="23" t="n">
        <f aca="false">IF(C619=1,COUNTIFS($C$2:C619,1,$D$2:D619,D619),COUNTIFS($C$2:$C$799,1,$D$2:$D$799,D619)+COUNTIFS($C$2:C619,2,$D$2:D619,D619))</f>
        <v>146</v>
      </c>
      <c r="F619" s="23" t="str">
        <f aca="false">D619&amp;" #"&amp;TEXT(E619,"000")</f>
        <v>신약 #146</v>
      </c>
      <c r="G619" s="30" t="s">
        <v>5488</v>
      </c>
      <c r="H619" s="30" t="s">
        <v>5420</v>
      </c>
      <c r="I619" s="23" t="s">
        <v>5490</v>
      </c>
      <c r="J619" s="24" t="s">
        <v>5500</v>
      </c>
      <c r="K619" s="23" t="s">
        <v>121</v>
      </c>
      <c r="L619" s="24" t="s">
        <v>5501</v>
      </c>
      <c r="M619" s="24" t="s">
        <v>5502</v>
      </c>
      <c r="N619" s="23" t="s">
        <v>5503</v>
      </c>
      <c r="O619" s="24" t="s">
        <v>5504</v>
      </c>
      <c r="P619" s="24" t="s">
        <v>5505</v>
      </c>
      <c r="Q619" s="24" t="s">
        <v>5506</v>
      </c>
      <c r="R619" s="24"/>
      <c r="S619" s="24" t="s">
        <v>5507</v>
      </c>
      <c r="T619" s="24" t="str">
        <f aca="false">"["&amp;안내!$C$5&amp;" "&amp;F619&amp;"] "&amp;L619&amp;" | "&amp;J619</f>
        <v>[1분 성경 신약 #146] 하나님의 어린양 | 요 1:19-51</v>
      </c>
      <c r="U619" s="26" t="n">
        <f aca="false">IF(D619="구약",IF(C619=1,안내!$C$9,안내!$C$10)+AD619-1,IF(C619=1,안내!$C$9,안내!$C$10)+7*INT((AD619-1)/4)+CHOOSE(MOD(AD619-1,4)+1,0,2,4,5))</f>
        <v>46652</v>
      </c>
      <c r="V619" s="23" t="str">
        <f aca="false">CHOOSE(WEEKDAY(U619,2),"월","화","수","목","금","토","일")</f>
        <v>수</v>
      </c>
      <c r="W619" s="24" t="str">
        <f aca="false">IFERROR(IF(INDEX($C$2:$C$799,MATCH(D619&amp;"#"&amp;(E619+1),$AC$2:$AC$799,0))=C619,"다음 편: ","시즌1 완결 · 시즌2 첫 편: ")&amp;INDEX($L$2:$L$799,MATCH(D619&amp;"#"&amp;(E619+1),$AC$2:$AC$799,0)),"신약 트랙 완결")</f>
        <v>다음 편: 성전을 정결하게</v>
      </c>
      <c r="X619" s="23" t="s">
        <v>130</v>
      </c>
      <c r="Y619" s="23" t="s">
        <v>130</v>
      </c>
      <c r="Z619" s="23" t="s">
        <v>130</v>
      </c>
      <c r="AA619" s="23" t="s">
        <v>130</v>
      </c>
      <c r="AB619" s="24"/>
      <c r="AC619" s="23" t="str">
        <f aca="false">D619&amp;"#"&amp;E619</f>
        <v>신약#146</v>
      </c>
      <c r="AD619" s="23" t="n">
        <f aca="false">COUNTIFS($C$2:C619,C619,$D$2:D619,D619)</f>
        <v>42</v>
      </c>
    </row>
    <row r="620" customFormat="false" ht="26.85" hidden="false" customHeight="false" outlineLevel="0" collapsed="false">
      <c r="A620" s="23" t="n">
        <v>619</v>
      </c>
      <c r="B620" s="30" t="s">
        <v>5508</v>
      </c>
      <c r="C620" s="20" t="n">
        <v>1</v>
      </c>
      <c r="D620" s="20" t="s">
        <v>4656</v>
      </c>
      <c r="E620" s="20" t="n">
        <f aca="false">IF(C620=1,COUNTIFS($C$2:C620,1,$D$2:D620,D620),COUNTIFS($C$2:$C$799,1,$D$2:$D$799,D620)+COUNTIFS($C$2:C620,2,$D$2:D620,D620))</f>
        <v>56</v>
      </c>
      <c r="F620" s="20" t="str">
        <f aca="false">D620&amp;" #"&amp;TEXT(E620,"000")</f>
        <v>신약 #056</v>
      </c>
      <c r="G620" s="30" t="s">
        <v>5488</v>
      </c>
      <c r="H620" s="30" t="s">
        <v>5489</v>
      </c>
      <c r="I620" s="23" t="s">
        <v>5490</v>
      </c>
      <c r="J620" s="24" t="s">
        <v>5509</v>
      </c>
      <c r="K620" s="23" t="s">
        <v>121</v>
      </c>
      <c r="L620" s="24" t="s">
        <v>5510</v>
      </c>
      <c r="M620" s="24" t="s">
        <v>5511</v>
      </c>
      <c r="N620" s="23" t="s">
        <v>5512</v>
      </c>
      <c r="O620" s="24" t="s">
        <v>5513</v>
      </c>
      <c r="P620" s="24" t="s">
        <v>5514</v>
      </c>
      <c r="Q620" s="24" t="s">
        <v>5515</v>
      </c>
      <c r="R620" s="25" t="s">
        <v>5516</v>
      </c>
      <c r="S620" s="28" t="s">
        <v>5517</v>
      </c>
      <c r="T620" s="24" t="str">
        <f aca="false">"["&amp;안내!$C$5&amp;" "&amp;F620&amp;"] "&amp;L620&amp;" | "&amp;J620</f>
        <v>[1분 성경 신약 #056] 가나의 혼인 잔치 | 요 2:1-12</v>
      </c>
      <c r="U620" s="26" t="n">
        <f aca="false">IF(D620="구약",IF(C620=1,안내!$C$9,안내!$C$10)+AD620-1,IF(C620=1,안내!$C$9,안내!$C$10)+7*INT((AD620-1)/4)+CHOOSE(MOD(AD620-1,4)+1,0,2,4,5))</f>
        <v>46487</v>
      </c>
      <c r="V620" s="23" t="str">
        <f aca="false">CHOOSE(WEEKDAY(U620,2),"월","화","수","목","금","토","일")</f>
        <v>토</v>
      </c>
      <c r="W620" s="24" t="str">
        <f aca="false">IFERROR(IF(INDEX($C$2:$C$799,MATCH(D620&amp;"#"&amp;(E620+1),$AC$2:$AC$799,0))=C620,"다음 편: ","시즌1 완결 · 시즌2 첫 편: ")&amp;INDEX($L$2:$L$799,MATCH(D620&amp;"#"&amp;(E620+1),$AC$2:$AC$799,0)),"신약 트랙 완결")</f>
        <v>다음 편: 밤에 찾아온 니고데모</v>
      </c>
      <c r="X620" s="23" t="s">
        <v>130</v>
      </c>
      <c r="Y620" s="23" t="s">
        <v>130</v>
      </c>
      <c r="Z620" s="23" t="s">
        <v>130</v>
      </c>
      <c r="AA620" s="23" t="s">
        <v>130</v>
      </c>
      <c r="AB620" s="24"/>
      <c r="AC620" s="23" t="str">
        <f aca="false">D620&amp;"#"&amp;E620</f>
        <v>신약#56</v>
      </c>
      <c r="AD620" s="23" t="n">
        <f aca="false">COUNTIFS($C$2:C620,C620,$D$2:D620,D620)</f>
        <v>56</v>
      </c>
    </row>
    <row r="621" customFormat="false" ht="25.35" hidden="false" customHeight="false" outlineLevel="0" collapsed="false">
      <c r="A621" s="23" t="n">
        <v>620</v>
      </c>
      <c r="B621" s="30" t="s">
        <v>5518</v>
      </c>
      <c r="C621" s="23" t="n">
        <v>2</v>
      </c>
      <c r="D621" s="23" t="s">
        <v>4656</v>
      </c>
      <c r="E621" s="23" t="n">
        <f aca="false">IF(C621=1,COUNTIFS($C$2:C621,1,$D$2:D621,D621),COUNTIFS($C$2:$C$799,1,$D$2:$D$799,D621)+COUNTIFS($C$2:C621,2,$D$2:D621,D621))</f>
        <v>147</v>
      </c>
      <c r="F621" s="23" t="str">
        <f aca="false">D621&amp;" #"&amp;TEXT(E621,"000")</f>
        <v>신약 #147</v>
      </c>
      <c r="G621" s="30" t="s">
        <v>5488</v>
      </c>
      <c r="H621" s="30" t="s">
        <v>5420</v>
      </c>
      <c r="I621" s="23" t="s">
        <v>5490</v>
      </c>
      <c r="J621" s="24" t="s">
        <v>5519</v>
      </c>
      <c r="K621" s="23" t="s">
        <v>121</v>
      </c>
      <c r="L621" s="24" t="s">
        <v>5520</v>
      </c>
      <c r="M621" s="24" t="s">
        <v>5521</v>
      </c>
      <c r="N621" s="23" t="s">
        <v>5522</v>
      </c>
      <c r="O621" s="24" t="s">
        <v>5523</v>
      </c>
      <c r="P621" s="24" t="s">
        <v>5524</v>
      </c>
      <c r="Q621" s="24" t="s">
        <v>2455</v>
      </c>
      <c r="R621" s="24"/>
      <c r="S621" s="24" t="s">
        <v>5525</v>
      </c>
      <c r="T621" s="24" t="str">
        <f aca="false">"["&amp;안내!$C$5&amp;" "&amp;F621&amp;"] "&amp;L621&amp;" | "&amp;J621</f>
        <v>[1분 성경 신약 #147] 성전을 정결하게 | 요 2:13-25</v>
      </c>
      <c r="U621" s="26" t="n">
        <f aca="false">IF(D621="구약",IF(C621=1,안내!$C$9,안내!$C$10)+AD621-1,IF(C621=1,안내!$C$9,안내!$C$10)+7*INT((AD621-1)/4)+CHOOSE(MOD(AD621-1,4)+1,0,2,4,5))</f>
        <v>46654</v>
      </c>
      <c r="V621" s="23" t="str">
        <f aca="false">CHOOSE(WEEKDAY(U621,2),"월","화","수","목","금","토","일")</f>
        <v>금</v>
      </c>
      <c r="W621" s="24" t="str">
        <f aca="false">IFERROR(IF(INDEX($C$2:$C$799,MATCH(D621&amp;"#"&amp;(E621+1),$AC$2:$AC$799,0))=C621,"다음 편: ","시즌1 완결 · 시즌2 첫 편: ")&amp;INDEX($L$2:$L$799,MATCH(D621&amp;"#"&amp;(E621+1),$AC$2:$AC$799,0)),"신약 트랙 완결")</f>
        <v>다음 편: 말씀만으로</v>
      </c>
      <c r="X621" s="23" t="s">
        <v>130</v>
      </c>
      <c r="Y621" s="23" t="s">
        <v>130</v>
      </c>
      <c r="Z621" s="23" t="s">
        <v>130</v>
      </c>
      <c r="AA621" s="23" t="s">
        <v>130</v>
      </c>
      <c r="AB621" s="24"/>
      <c r="AC621" s="23" t="str">
        <f aca="false">D621&amp;"#"&amp;E621</f>
        <v>신약#147</v>
      </c>
      <c r="AD621" s="23" t="n">
        <f aca="false">COUNTIFS($C$2:C621,C621,$D$2:D621,D621)</f>
        <v>43</v>
      </c>
    </row>
    <row r="622" customFormat="false" ht="26.85" hidden="false" customHeight="false" outlineLevel="0" collapsed="false">
      <c r="A622" s="23" t="n">
        <v>621</v>
      </c>
      <c r="B622" s="30" t="s">
        <v>5526</v>
      </c>
      <c r="C622" s="20" t="n">
        <v>1</v>
      </c>
      <c r="D622" s="20" t="s">
        <v>4656</v>
      </c>
      <c r="E622" s="20" t="n">
        <f aca="false">IF(C622=1,COUNTIFS($C$2:C622,1,$D$2:D622,D622),COUNTIFS($C$2:$C$799,1,$D$2:$D$799,D622)+COUNTIFS($C$2:C622,2,$D$2:D622,D622))</f>
        <v>57</v>
      </c>
      <c r="F622" s="20" t="str">
        <f aca="false">D622&amp;" #"&amp;TEXT(E622,"000")</f>
        <v>신약 #057</v>
      </c>
      <c r="G622" s="30" t="s">
        <v>5488</v>
      </c>
      <c r="H622" s="30" t="s">
        <v>5489</v>
      </c>
      <c r="I622" s="23" t="s">
        <v>5490</v>
      </c>
      <c r="J622" s="24" t="s">
        <v>5527</v>
      </c>
      <c r="K622" s="23" t="s">
        <v>121</v>
      </c>
      <c r="L622" s="24" t="s">
        <v>5528</v>
      </c>
      <c r="M622" s="24" t="s">
        <v>5529</v>
      </c>
      <c r="N622" s="23" t="s">
        <v>5530</v>
      </c>
      <c r="O622" s="24" t="s">
        <v>5531</v>
      </c>
      <c r="P622" s="24" t="s">
        <v>5532</v>
      </c>
      <c r="Q622" s="24" t="s">
        <v>5533</v>
      </c>
      <c r="R622" s="25" t="s">
        <v>5534</v>
      </c>
      <c r="S622" s="28" t="s">
        <v>5535</v>
      </c>
      <c r="T622" s="24" t="str">
        <f aca="false">"["&amp;안내!$C$5&amp;" "&amp;F622&amp;"] "&amp;L622&amp;" | "&amp;J622</f>
        <v>[1분 성경 신약 #057] 밤에 찾아온 니고데모 | 요 3:1-21</v>
      </c>
      <c r="U622" s="26" t="n">
        <f aca="false">IF(D622="구약",IF(C622=1,안내!$C$9,안내!$C$10)+AD622-1,IF(C622=1,안내!$C$9,안내!$C$10)+7*INT((AD622-1)/4)+CHOOSE(MOD(AD622-1,4)+1,0,2,4,5))</f>
        <v>46489</v>
      </c>
      <c r="V622" s="23" t="str">
        <f aca="false">CHOOSE(WEEKDAY(U622,2),"월","화","수","목","금","토","일")</f>
        <v>월</v>
      </c>
      <c r="W622" s="24" t="str">
        <f aca="false">IFERROR(IF(INDEX($C$2:$C$799,MATCH(D622&amp;"#"&amp;(E622+1),$AC$2:$AC$799,0))=C622,"다음 편: ","시즌1 완결 · 시즌2 첫 편: ")&amp;INDEX($L$2:$L$799,MATCH(D622&amp;"#"&amp;(E622+1),$AC$2:$AC$799,0)),"신약 트랙 완결")</f>
        <v>다음 편: 우물가의 여인</v>
      </c>
      <c r="X622" s="23" t="s">
        <v>130</v>
      </c>
      <c r="Y622" s="23" t="s">
        <v>130</v>
      </c>
      <c r="Z622" s="23" t="s">
        <v>130</v>
      </c>
      <c r="AA622" s="23" t="s">
        <v>130</v>
      </c>
      <c r="AB622" s="24"/>
      <c r="AC622" s="23" t="str">
        <f aca="false">D622&amp;"#"&amp;E622</f>
        <v>신약#57</v>
      </c>
      <c r="AD622" s="23" t="n">
        <f aca="false">COUNTIFS($C$2:C622,C622,$D$2:D622,D622)</f>
        <v>57</v>
      </c>
    </row>
    <row r="623" customFormat="false" ht="26.85" hidden="false" customHeight="false" outlineLevel="0" collapsed="false">
      <c r="A623" s="23" t="n">
        <v>622</v>
      </c>
      <c r="B623" s="30" t="s">
        <v>5536</v>
      </c>
      <c r="C623" s="20" t="n">
        <v>1</v>
      </c>
      <c r="D623" s="20" t="s">
        <v>4656</v>
      </c>
      <c r="E623" s="20" t="n">
        <f aca="false">IF(C623=1,COUNTIFS($C$2:C623,1,$D$2:D623,D623),COUNTIFS($C$2:$C$799,1,$D$2:$D$799,D623)+COUNTIFS($C$2:C623,2,$D$2:D623,D623))</f>
        <v>58</v>
      </c>
      <c r="F623" s="20" t="str">
        <f aca="false">D623&amp;" #"&amp;TEXT(E623,"000")</f>
        <v>신약 #058</v>
      </c>
      <c r="G623" s="30" t="s">
        <v>5488</v>
      </c>
      <c r="H623" s="30" t="s">
        <v>5489</v>
      </c>
      <c r="I623" s="23" t="s">
        <v>5490</v>
      </c>
      <c r="J623" s="24" t="s">
        <v>5537</v>
      </c>
      <c r="K623" s="23" t="s">
        <v>121</v>
      </c>
      <c r="L623" s="24" t="s">
        <v>5538</v>
      </c>
      <c r="M623" s="24" t="s">
        <v>5539</v>
      </c>
      <c r="N623" s="23" t="s">
        <v>5540</v>
      </c>
      <c r="O623" s="24" t="s">
        <v>5541</v>
      </c>
      <c r="P623" s="24" t="s">
        <v>5542</v>
      </c>
      <c r="Q623" s="24" t="s">
        <v>5543</v>
      </c>
      <c r="R623" s="25" t="s">
        <v>5544</v>
      </c>
      <c r="S623" s="24" t="s">
        <v>129</v>
      </c>
      <c r="T623" s="24" t="str">
        <f aca="false">"["&amp;안내!$C$5&amp;" "&amp;F623&amp;"] "&amp;L623&amp;" | "&amp;J623</f>
        <v>[1분 성경 신약 #058] 우물가의 여인 | 요 4:1-42</v>
      </c>
      <c r="U623" s="26" t="n">
        <f aca="false">IF(D623="구약",IF(C623=1,안내!$C$9,안내!$C$10)+AD623-1,IF(C623=1,안내!$C$9,안내!$C$10)+7*INT((AD623-1)/4)+CHOOSE(MOD(AD623-1,4)+1,0,2,4,5))</f>
        <v>46491</v>
      </c>
      <c r="V623" s="23" t="str">
        <f aca="false">CHOOSE(WEEKDAY(U623,2),"월","화","수","목","금","토","일")</f>
        <v>수</v>
      </c>
      <c r="W623" s="24" t="str">
        <f aca="false">IFERROR(IF(INDEX($C$2:$C$799,MATCH(D623&amp;"#"&amp;(E623+1),$AC$2:$AC$799,0))=C623,"다음 편: ","시즌1 완결 · 시즌2 첫 편: ")&amp;INDEX($L$2:$L$799,MATCH(D623&amp;"#"&amp;(E623+1),$AC$2:$AC$799,0)),"신약 트랙 완결")</f>
        <v>다음 편: 베데스다 연못</v>
      </c>
      <c r="X623" s="23" t="s">
        <v>130</v>
      </c>
      <c r="Y623" s="23" t="s">
        <v>130</v>
      </c>
      <c r="Z623" s="23" t="s">
        <v>130</v>
      </c>
      <c r="AA623" s="23" t="s">
        <v>130</v>
      </c>
      <c r="AB623" s="24"/>
      <c r="AC623" s="23" t="str">
        <f aca="false">D623&amp;"#"&amp;E623</f>
        <v>신약#58</v>
      </c>
      <c r="AD623" s="23" t="n">
        <f aca="false">COUNTIFS($C$2:C623,C623,$D$2:D623,D623)</f>
        <v>58</v>
      </c>
    </row>
    <row r="624" customFormat="false" ht="26.85" hidden="false" customHeight="false" outlineLevel="0" collapsed="false">
      <c r="A624" s="23" t="n">
        <v>623</v>
      </c>
      <c r="B624" s="30" t="s">
        <v>5545</v>
      </c>
      <c r="C624" s="23" t="n">
        <v>2</v>
      </c>
      <c r="D624" s="23" t="s">
        <v>4656</v>
      </c>
      <c r="E624" s="23" t="n">
        <f aca="false">IF(C624=1,COUNTIFS($C$2:C624,1,$D$2:D624,D624),COUNTIFS($C$2:$C$799,1,$D$2:$D$799,D624)+COUNTIFS($C$2:C624,2,$D$2:D624,D624))</f>
        <v>148</v>
      </c>
      <c r="F624" s="23" t="str">
        <f aca="false">D624&amp;" #"&amp;TEXT(E624,"000")</f>
        <v>신약 #148</v>
      </c>
      <c r="G624" s="30" t="s">
        <v>5488</v>
      </c>
      <c r="H624" s="30" t="s">
        <v>5420</v>
      </c>
      <c r="I624" s="23" t="s">
        <v>5490</v>
      </c>
      <c r="J624" s="24" t="s">
        <v>5546</v>
      </c>
      <c r="K624" s="23" t="s">
        <v>121</v>
      </c>
      <c r="L624" s="24" t="s">
        <v>5547</v>
      </c>
      <c r="M624" s="24" t="s">
        <v>5548</v>
      </c>
      <c r="N624" s="23" t="s">
        <v>5549</v>
      </c>
      <c r="O624" s="24" t="s">
        <v>5550</v>
      </c>
      <c r="P624" s="24" t="s">
        <v>5551</v>
      </c>
      <c r="Q624" s="24" t="s">
        <v>5552</v>
      </c>
      <c r="R624" s="24"/>
      <c r="S624" s="24" t="s">
        <v>5553</v>
      </c>
      <c r="T624" s="24" t="str">
        <f aca="false">"["&amp;안내!$C$5&amp;" "&amp;F624&amp;"] "&amp;L624&amp;" | "&amp;J624</f>
        <v>[1분 성경 신약 #148] 말씀만으로 | 요 4:43-54</v>
      </c>
      <c r="U624" s="26" t="n">
        <f aca="false">IF(D624="구약",IF(C624=1,안내!$C$9,안내!$C$10)+AD624-1,IF(C624=1,안내!$C$9,안내!$C$10)+7*INT((AD624-1)/4)+CHOOSE(MOD(AD624-1,4)+1,0,2,4,5))</f>
        <v>46655</v>
      </c>
      <c r="V624" s="23" t="str">
        <f aca="false">CHOOSE(WEEKDAY(U624,2),"월","화","수","목","금","토","일")</f>
        <v>토</v>
      </c>
      <c r="W624" s="24" t="str">
        <f aca="false">IFERROR(IF(INDEX($C$2:$C$799,MATCH(D624&amp;"#"&amp;(E624+1),$AC$2:$AC$799,0))=C624,"다음 편: ","시즌1 완결 · 시즌2 첫 편: ")&amp;INDEX($L$2:$L$799,MATCH(D624&amp;"#"&amp;(E624+1),$AC$2:$AC$799,0)),"신약 트랙 완결")</f>
        <v>다음 편: 생수의 강</v>
      </c>
      <c r="X624" s="23" t="s">
        <v>130</v>
      </c>
      <c r="Y624" s="23" t="s">
        <v>130</v>
      </c>
      <c r="Z624" s="23" t="s">
        <v>130</v>
      </c>
      <c r="AA624" s="23" t="s">
        <v>130</v>
      </c>
      <c r="AB624" s="24"/>
      <c r="AC624" s="23" t="str">
        <f aca="false">D624&amp;"#"&amp;E624</f>
        <v>신약#148</v>
      </c>
      <c r="AD624" s="23" t="n">
        <f aca="false">COUNTIFS($C$2:C624,C624,$D$2:D624,D624)</f>
        <v>44</v>
      </c>
    </row>
    <row r="625" customFormat="false" ht="26.85" hidden="false" customHeight="false" outlineLevel="0" collapsed="false">
      <c r="A625" s="23" t="n">
        <v>624</v>
      </c>
      <c r="B625" s="30" t="s">
        <v>5554</v>
      </c>
      <c r="C625" s="20" t="n">
        <v>1</v>
      </c>
      <c r="D625" s="20" t="s">
        <v>4656</v>
      </c>
      <c r="E625" s="20" t="n">
        <f aca="false">IF(C625=1,COUNTIFS($C$2:C625,1,$D$2:D625,D625),COUNTIFS($C$2:$C$799,1,$D$2:$D$799,D625)+COUNTIFS($C$2:C625,2,$D$2:D625,D625))</f>
        <v>59</v>
      </c>
      <c r="F625" s="20" t="str">
        <f aca="false">D625&amp;" #"&amp;TEXT(E625,"000")</f>
        <v>신약 #059</v>
      </c>
      <c r="G625" s="30" t="s">
        <v>5488</v>
      </c>
      <c r="H625" s="30" t="s">
        <v>5489</v>
      </c>
      <c r="I625" s="23" t="s">
        <v>5490</v>
      </c>
      <c r="J625" s="24" t="s">
        <v>5555</v>
      </c>
      <c r="K625" s="23" t="s">
        <v>121</v>
      </c>
      <c r="L625" s="24" t="s">
        <v>5556</v>
      </c>
      <c r="M625" s="29" t="s">
        <v>5557</v>
      </c>
      <c r="N625" s="23" t="s">
        <v>5558</v>
      </c>
      <c r="O625" s="24" t="s">
        <v>5559</v>
      </c>
      <c r="P625" s="24" t="s">
        <v>5560</v>
      </c>
      <c r="Q625" s="24" t="s">
        <v>5556</v>
      </c>
      <c r="R625" s="24"/>
      <c r="S625" s="28" t="s">
        <v>5561</v>
      </c>
      <c r="T625" s="24" t="str">
        <f aca="false">"["&amp;안내!$C$5&amp;" "&amp;F625&amp;"] "&amp;L625&amp;" | "&amp;J625</f>
        <v>[1분 성경 신약 #059] 베데스다 연못 | 요 5:1-18</v>
      </c>
      <c r="U625" s="26" t="n">
        <f aca="false">IF(D625="구약",IF(C625=1,안내!$C$9,안내!$C$10)+AD625-1,IF(C625=1,안내!$C$9,안내!$C$10)+7*INT((AD625-1)/4)+CHOOSE(MOD(AD625-1,4)+1,0,2,4,5))</f>
        <v>46493</v>
      </c>
      <c r="V625" s="23" t="str">
        <f aca="false">CHOOSE(WEEKDAY(U625,2),"월","화","수","목","금","토","일")</f>
        <v>금</v>
      </c>
      <c r="W625" s="24" t="str">
        <f aca="false">IFERROR(IF(INDEX($C$2:$C$799,MATCH(D625&amp;"#"&amp;(E625+1),$AC$2:$AC$799,0))=C625,"다음 편: ","시즌1 완결 · 시즌2 첫 편: ")&amp;INDEX($L$2:$L$799,MATCH(D625&amp;"#"&amp;(E625+1),$AC$2:$AC$799,0)),"신약 트랙 완결")</f>
        <v>다음 편: 나다 두려워하지 말라</v>
      </c>
      <c r="X625" s="23" t="s">
        <v>130</v>
      </c>
      <c r="Y625" s="23" t="s">
        <v>130</v>
      </c>
      <c r="Z625" s="23" t="s">
        <v>130</v>
      </c>
      <c r="AA625" s="23" t="s">
        <v>130</v>
      </c>
      <c r="AB625" s="24"/>
      <c r="AC625" s="23" t="str">
        <f aca="false">D625&amp;"#"&amp;E625</f>
        <v>신약#59</v>
      </c>
      <c r="AD625" s="23" t="n">
        <f aca="false">COUNTIFS($C$2:C625,C625,$D$2:D625,D625)</f>
        <v>59</v>
      </c>
    </row>
    <row r="626" customFormat="false" ht="26.85" hidden="false" customHeight="false" outlineLevel="0" collapsed="false">
      <c r="A626" s="23" t="n">
        <v>625</v>
      </c>
      <c r="B626" s="30" t="s">
        <v>5562</v>
      </c>
      <c r="C626" s="20" t="n">
        <v>1</v>
      </c>
      <c r="D626" s="20" t="s">
        <v>4656</v>
      </c>
      <c r="E626" s="20" t="n">
        <f aca="false">IF(C626=1,COUNTIFS($C$2:C626,1,$D$2:D626,D626),COUNTIFS($C$2:$C$799,1,$D$2:$D$799,D626)+COUNTIFS($C$2:C626,2,$D$2:D626,D626))</f>
        <v>60</v>
      </c>
      <c r="F626" s="20" t="str">
        <f aca="false">D626&amp;" #"&amp;TEXT(E626,"000")</f>
        <v>신약 #060</v>
      </c>
      <c r="G626" s="30" t="s">
        <v>5488</v>
      </c>
      <c r="H626" s="30" t="s">
        <v>5489</v>
      </c>
      <c r="I626" s="23" t="s">
        <v>5490</v>
      </c>
      <c r="J626" s="24" t="s">
        <v>5563</v>
      </c>
      <c r="K626" s="23" t="s">
        <v>121</v>
      </c>
      <c r="L626" s="24" t="s">
        <v>5564</v>
      </c>
      <c r="M626" s="24" t="s">
        <v>5565</v>
      </c>
      <c r="N626" s="23" t="s">
        <v>5566</v>
      </c>
      <c r="O626" s="24" t="s">
        <v>5567</v>
      </c>
      <c r="P626" s="24" t="s">
        <v>5568</v>
      </c>
      <c r="Q626" s="24" t="s">
        <v>5569</v>
      </c>
      <c r="R626" s="24"/>
      <c r="S626" s="24" t="s">
        <v>129</v>
      </c>
      <c r="T626" s="24" t="str">
        <f aca="false">"["&amp;안내!$C$5&amp;" "&amp;F626&amp;"] "&amp;L626&amp;" | "&amp;J626</f>
        <v>[1분 성경 신약 #060] 나다 두려워하지 말라 | 요 6:1-21</v>
      </c>
      <c r="U626" s="26" t="n">
        <f aca="false">IF(D626="구약",IF(C626=1,안내!$C$9,안내!$C$10)+AD626-1,IF(C626=1,안내!$C$9,안내!$C$10)+7*INT((AD626-1)/4)+CHOOSE(MOD(AD626-1,4)+1,0,2,4,5))</f>
        <v>46494</v>
      </c>
      <c r="V626" s="23" t="str">
        <f aca="false">CHOOSE(WEEKDAY(U626,2),"월","화","수","목","금","토","일")</f>
        <v>토</v>
      </c>
      <c r="W626" s="24" t="str">
        <f aca="false">IFERROR(IF(INDEX($C$2:$C$799,MATCH(D626&amp;"#"&amp;(E626+1),$AC$2:$AC$799,0))=C626,"다음 편: ","시즌1 완결 · 시즌2 첫 편: ")&amp;INDEX($L$2:$L$799,MATCH(D626&amp;"#"&amp;(E626+1),$AC$2:$AC$799,0)),"신약 트랙 완결")</f>
        <v>다음 편: 생명의 떡</v>
      </c>
      <c r="X626" s="23" t="s">
        <v>130</v>
      </c>
      <c r="Y626" s="23" t="s">
        <v>130</v>
      </c>
      <c r="Z626" s="23" t="s">
        <v>130</v>
      </c>
      <c r="AA626" s="23" t="s">
        <v>130</v>
      </c>
      <c r="AB626" s="24"/>
      <c r="AC626" s="23" t="str">
        <f aca="false">D626&amp;"#"&amp;E626</f>
        <v>신약#60</v>
      </c>
      <c r="AD626" s="23" t="n">
        <f aca="false">COUNTIFS($C$2:C626,C626,$D$2:D626,D626)</f>
        <v>60</v>
      </c>
    </row>
    <row r="627" customFormat="false" ht="26.85" hidden="false" customHeight="false" outlineLevel="0" collapsed="false">
      <c r="A627" s="23" t="n">
        <v>626</v>
      </c>
      <c r="B627" s="30" t="s">
        <v>5570</v>
      </c>
      <c r="C627" s="20" t="n">
        <v>1</v>
      </c>
      <c r="D627" s="20" t="s">
        <v>4656</v>
      </c>
      <c r="E627" s="20" t="n">
        <f aca="false">IF(C627=1,COUNTIFS($C$2:C627,1,$D$2:D627,D627),COUNTIFS($C$2:$C$799,1,$D$2:$D$799,D627)+COUNTIFS($C$2:C627,2,$D$2:D627,D627))</f>
        <v>61</v>
      </c>
      <c r="F627" s="20" t="str">
        <f aca="false">D627&amp;" #"&amp;TEXT(E627,"000")</f>
        <v>신약 #061</v>
      </c>
      <c r="G627" s="30" t="s">
        <v>5488</v>
      </c>
      <c r="H627" s="30" t="s">
        <v>5489</v>
      </c>
      <c r="I627" s="23" t="s">
        <v>5490</v>
      </c>
      <c r="J627" s="24" t="s">
        <v>5571</v>
      </c>
      <c r="K627" s="23" t="s">
        <v>121</v>
      </c>
      <c r="L627" s="24" t="s">
        <v>5572</v>
      </c>
      <c r="M627" s="24" t="s">
        <v>5573</v>
      </c>
      <c r="N627" s="23" t="s">
        <v>5574</v>
      </c>
      <c r="O627" s="24" t="s">
        <v>5575</v>
      </c>
      <c r="P627" s="24" t="s">
        <v>5576</v>
      </c>
      <c r="Q627" s="24" t="s">
        <v>5577</v>
      </c>
      <c r="R627" s="25" t="s">
        <v>5578</v>
      </c>
      <c r="S627" s="24" t="s">
        <v>129</v>
      </c>
      <c r="T627" s="24" t="str">
        <f aca="false">"["&amp;안내!$C$5&amp;" "&amp;F627&amp;"] "&amp;L627&amp;" | "&amp;J627</f>
        <v>[1분 성경 신약 #061] 생명의 떡 | 요 6:22-71</v>
      </c>
      <c r="U627" s="26" t="n">
        <f aca="false">IF(D627="구약",IF(C627=1,안내!$C$9,안내!$C$10)+AD627-1,IF(C627=1,안내!$C$9,안내!$C$10)+7*INT((AD627-1)/4)+CHOOSE(MOD(AD627-1,4)+1,0,2,4,5))</f>
        <v>46496</v>
      </c>
      <c r="V627" s="23" t="str">
        <f aca="false">CHOOSE(WEEKDAY(U627,2),"월","화","수","목","금","토","일")</f>
        <v>월</v>
      </c>
      <c r="W627" s="24" t="str">
        <f aca="false">IFERROR(IF(INDEX($C$2:$C$799,MATCH(D627&amp;"#"&amp;(E627+1),$AC$2:$AC$799,0))=C627,"다음 편: ","시즌1 완결 · 시즌2 첫 편: ")&amp;INDEX($L$2:$L$799,MATCH(D627&amp;"#"&amp;(E627+1),$AC$2:$AC$799,0)),"신약 트랙 완결")</f>
        <v>다음 편: 돌을 내려놓은 사람들</v>
      </c>
      <c r="X627" s="23" t="s">
        <v>130</v>
      </c>
      <c r="Y627" s="23" t="s">
        <v>130</v>
      </c>
      <c r="Z627" s="23" t="s">
        <v>130</v>
      </c>
      <c r="AA627" s="23" t="s">
        <v>130</v>
      </c>
      <c r="AB627" s="24"/>
      <c r="AC627" s="23" t="str">
        <f aca="false">D627&amp;"#"&amp;E627</f>
        <v>신약#61</v>
      </c>
      <c r="AD627" s="23" t="n">
        <f aca="false">COUNTIFS($C$2:C627,C627,$D$2:D627,D627)</f>
        <v>61</v>
      </c>
    </row>
    <row r="628" customFormat="false" ht="26.85" hidden="false" customHeight="false" outlineLevel="0" collapsed="false">
      <c r="A628" s="23" t="n">
        <v>627</v>
      </c>
      <c r="B628" s="30" t="s">
        <v>5579</v>
      </c>
      <c r="C628" s="23" t="n">
        <v>2</v>
      </c>
      <c r="D628" s="23" t="s">
        <v>4656</v>
      </c>
      <c r="E628" s="23" t="n">
        <f aca="false">IF(C628=1,COUNTIFS($C$2:C628,1,$D$2:D628,D628),COUNTIFS($C$2:$C$799,1,$D$2:$D$799,D628)+COUNTIFS($C$2:C628,2,$D$2:D628,D628))</f>
        <v>149</v>
      </c>
      <c r="F628" s="23" t="str">
        <f aca="false">D628&amp;" #"&amp;TEXT(E628,"000")</f>
        <v>신약 #149</v>
      </c>
      <c r="G628" s="30" t="s">
        <v>5580</v>
      </c>
      <c r="H628" s="30" t="s">
        <v>5420</v>
      </c>
      <c r="I628" s="23" t="s">
        <v>5490</v>
      </c>
      <c r="J628" s="24" t="s">
        <v>5581</v>
      </c>
      <c r="K628" s="23" t="s">
        <v>121</v>
      </c>
      <c r="L628" s="24" t="s">
        <v>5582</v>
      </c>
      <c r="M628" s="24" t="s">
        <v>5583</v>
      </c>
      <c r="N628" s="23" t="s">
        <v>5584</v>
      </c>
      <c r="O628" s="24" t="s">
        <v>5585</v>
      </c>
      <c r="P628" s="24" t="s">
        <v>4925</v>
      </c>
      <c r="Q628" s="24" t="s">
        <v>5586</v>
      </c>
      <c r="R628" s="24"/>
      <c r="S628" s="24" t="s">
        <v>5587</v>
      </c>
      <c r="T628" s="24" t="str">
        <f aca="false">"["&amp;안내!$C$5&amp;" "&amp;F628&amp;"] "&amp;L628&amp;" | "&amp;J628</f>
        <v>[1분 성경 신약 #149] 생수의 강 | 요 7:1-52</v>
      </c>
      <c r="U628" s="26" t="n">
        <f aca="false">IF(D628="구약",IF(C628=1,안내!$C$9,안내!$C$10)+AD628-1,IF(C628=1,안내!$C$9,안내!$C$10)+7*INT((AD628-1)/4)+CHOOSE(MOD(AD628-1,4)+1,0,2,4,5))</f>
        <v>46657</v>
      </c>
      <c r="V628" s="23" t="str">
        <f aca="false">CHOOSE(WEEKDAY(U628,2),"월","화","수","목","금","토","일")</f>
        <v>월</v>
      </c>
      <c r="W628" s="24" t="str">
        <f aca="false">IFERROR(IF(INDEX($C$2:$C$799,MATCH(D628&amp;"#"&amp;(E628+1),$AC$2:$AC$799,0))=C628,"다음 편: ","시즌1 완결 · 시즌2 첫 편: ")&amp;INDEX($L$2:$L$799,MATCH(D628&amp;"#"&amp;(E628+1),$AC$2:$AC$799,0)),"신약 트랙 완결")</f>
        <v>다음 편: 아브라함이 나기 전부터</v>
      </c>
      <c r="X628" s="23" t="s">
        <v>130</v>
      </c>
      <c r="Y628" s="23" t="s">
        <v>130</v>
      </c>
      <c r="Z628" s="23" t="s">
        <v>130</v>
      </c>
      <c r="AA628" s="23" t="s">
        <v>130</v>
      </c>
      <c r="AB628" s="24"/>
      <c r="AC628" s="23" t="str">
        <f aca="false">D628&amp;"#"&amp;E628</f>
        <v>신약#149</v>
      </c>
      <c r="AD628" s="23" t="n">
        <f aca="false">COUNTIFS($C$2:C628,C628,$D$2:D628,D628)</f>
        <v>45</v>
      </c>
    </row>
    <row r="629" customFormat="false" ht="26.85" hidden="false" customHeight="false" outlineLevel="0" collapsed="false">
      <c r="A629" s="23" t="n">
        <v>628</v>
      </c>
      <c r="B629" s="30" t="s">
        <v>5588</v>
      </c>
      <c r="C629" s="20" t="n">
        <v>1</v>
      </c>
      <c r="D629" s="20" t="s">
        <v>4656</v>
      </c>
      <c r="E629" s="20" t="n">
        <f aca="false">IF(C629=1,COUNTIFS($C$2:C629,1,$D$2:D629,D629),COUNTIFS($C$2:$C$799,1,$D$2:$D$799,D629)+COUNTIFS($C$2:C629,2,$D$2:D629,D629))</f>
        <v>62</v>
      </c>
      <c r="F629" s="20" t="str">
        <f aca="false">D629&amp;" #"&amp;TEXT(E629,"000")</f>
        <v>신약 #062</v>
      </c>
      <c r="G629" s="30" t="s">
        <v>5580</v>
      </c>
      <c r="H629" s="30" t="s">
        <v>5589</v>
      </c>
      <c r="I629" s="23" t="s">
        <v>5490</v>
      </c>
      <c r="J629" s="24" t="s">
        <v>5590</v>
      </c>
      <c r="K629" s="23" t="s">
        <v>121</v>
      </c>
      <c r="L629" s="24" t="s">
        <v>5591</v>
      </c>
      <c r="M629" s="24" t="s">
        <v>5592</v>
      </c>
      <c r="N629" s="23" t="s">
        <v>5593</v>
      </c>
      <c r="O629" s="24" t="s">
        <v>5594</v>
      </c>
      <c r="P629" s="24" t="s">
        <v>5595</v>
      </c>
      <c r="Q629" s="24" t="s">
        <v>2455</v>
      </c>
      <c r="R629" s="25" t="s">
        <v>5596</v>
      </c>
      <c r="S629" s="28" t="s">
        <v>5597</v>
      </c>
      <c r="T629" s="24" t="str">
        <f aca="false">"["&amp;안내!$C$5&amp;" "&amp;F629&amp;"] "&amp;L629&amp;" | "&amp;J629</f>
        <v>[1분 성경 신약 #062] 돌을 내려놓은 사람들 | 요 8:1-11</v>
      </c>
      <c r="U629" s="26" t="n">
        <f aca="false">IF(D629="구약",IF(C629=1,안내!$C$9,안내!$C$10)+AD629-1,IF(C629=1,안내!$C$9,안내!$C$10)+7*INT((AD629-1)/4)+CHOOSE(MOD(AD629-1,4)+1,0,2,4,5))</f>
        <v>46498</v>
      </c>
      <c r="V629" s="23" t="str">
        <f aca="false">CHOOSE(WEEKDAY(U629,2),"월","화","수","목","금","토","일")</f>
        <v>수</v>
      </c>
      <c r="W629" s="24" t="str">
        <f aca="false">IFERROR(IF(INDEX($C$2:$C$799,MATCH(D629&amp;"#"&amp;(E629+1),$AC$2:$AC$799,0))=C629,"다음 편: ","시즌1 완결 · 시즌2 첫 편: ")&amp;INDEX($L$2:$L$799,MATCH(D629&amp;"#"&amp;(E629+1),$AC$2:$AC$799,0)),"신약 트랙 완결")</f>
        <v>다음 편: 날 때부터 맹인 된 사람</v>
      </c>
      <c r="X629" s="23" t="s">
        <v>130</v>
      </c>
      <c r="Y629" s="23" t="s">
        <v>130</v>
      </c>
      <c r="Z629" s="23" t="s">
        <v>130</v>
      </c>
      <c r="AA629" s="23" t="s">
        <v>130</v>
      </c>
      <c r="AB629" s="24"/>
      <c r="AC629" s="23" t="str">
        <f aca="false">D629&amp;"#"&amp;E629</f>
        <v>신약#62</v>
      </c>
      <c r="AD629" s="23" t="n">
        <f aca="false">COUNTIFS($C$2:C629,C629,$D$2:D629,D629)</f>
        <v>62</v>
      </c>
    </row>
    <row r="630" customFormat="false" ht="26.85" hidden="false" customHeight="false" outlineLevel="0" collapsed="false">
      <c r="A630" s="23" t="n">
        <v>629</v>
      </c>
      <c r="B630" s="30" t="s">
        <v>5598</v>
      </c>
      <c r="C630" s="23" t="n">
        <v>2</v>
      </c>
      <c r="D630" s="23" t="s">
        <v>4656</v>
      </c>
      <c r="E630" s="23" t="n">
        <f aca="false">IF(C630=1,COUNTIFS($C$2:C630,1,$D$2:D630,D630),COUNTIFS($C$2:$C$799,1,$D$2:$D$799,D630)+COUNTIFS($C$2:C630,2,$D$2:D630,D630))</f>
        <v>150</v>
      </c>
      <c r="F630" s="23" t="str">
        <f aca="false">D630&amp;" #"&amp;TEXT(E630,"000")</f>
        <v>신약 #150</v>
      </c>
      <c r="G630" s="30" t="s">
        <v>5580</v>
      </c>
      <c r="H630" s="30" t="s">
        <v>5420</v>
      </c>
      <c r="I630" s="23" t="s">
        <v>5490</v>
      </c>
      <c r="J630" s="24" t="s">
        <v>5599</v>
      </c>
      <c r="K630" s="23" t="s">
        <v>121</v>
      </c>
      <c r="L630" s="24" t="s">
        <v>5600</v>
      </c>
      <c r="M630" s="24" t="s">
        <v>5601</v>
      </c>
      <c r="N630" s="23" t="s">
        <v>5602</v>
      </c>
      <c r="O630" s="24" t="s">
        <v>5603</v>
      </c>
      <c r="P630" s="24" t="s">
        <v>5604</v>
      </c>
      <c r="Q630" s="24" t="s">
        <v>5605</v>
      </c>
      <c r="R630" s="24"/>
      <c r="S630" s="24" t="s">
        <v>5606</v>
      </c>
      <c r="T630" s="24" t="str">
        <f aca="false">"["&amp;안내!$C$5&amp;" "&amp;F630&amp;"] "&amp;L630&amp;" | "&amp;J630</f>
        <v>[1분 성경 신약 #150] 아브라함이 나기 전부터 | 요 8:12-59</v>
      </c>
      <c r="U630" s="26" t="n">
        <f aca="false">IF(D630="구약",IF(C630=1,안내!$C$9,안내!$C$10)+AD630-1,IF(C630=1,안내!$C$9,안내!$C$10)+7*INT((AD630-1)/4)+CHOOSE(MOD(AD630-1,4)+1,0,2,4,5))</f>
        <v>46659</v>
      </c>
      <c r="V630" s="23" t="str">
        <f aca="false">CHOOSE(WEEKDAY(U630,2),"월","화","수","목","금","토","일")</f>
        <v>수</v>
      </c>
      <c r="W630" s="24" t="str">
        <f aca="false">IFERROR(IF(INDEX($C$2:$C$799,MATCH(D630&amp;"#"&amp;(E630+1),$AC$2:$AC$799,0))=C630,"다음 편: ","시즌1 완결 · 시즌2 첫 편: ")&amp;INDEX($L$2:$L$799,MATCH(D630&amp;"#"&amp;(E630+1),$AC$2:$AC$799,0)),"신약 트랙 완결")</f>
        <v>다음 편: 나드 향유</v>
      </c>
      <c r="X630" s="23" t="s">
        <v>130</v>
      </c>
      <c r="Y630" s="23" t="s">
        <v>130</v>
      </c>
      <c r="Z630" s="23" t="s">
        <v>130</v>
      </c>
      <c r="AA630" s="23" t="s">
        <v>130</v>
      </c>
      <c r="AB630" s="24"/>
      <c r="AC630" s="23" t="str">
        <f aca="false">D630&amp;"#"&amp;E630</f>
        <v>신약#150</v>
      </c>
      <c r="AD630" s="23" t="n">
        <f aca="false">COUNTIFS($C$2:C630,C630,$D$2:D630,D630)</f>
        <v>46</v>
      </c>
    </row>
    <row r="631" customFormat="false" ht="26.85" hidden="false" customHeight="false" outlineLevel="0" collapsed="false">
      <c r="A631" s="23" t="n">
        <v>630</v>
      </c>
      <c r="B631" s="30" t="s">
        <v>5607</v>
      </c>
      <c r="C631" s="20" t="n">
        <v>1</v>
      </c>
      <c r="D631" s="20" t="s">
        <v>4656</v>
      </c>
      <c r="E631" s="20" t="n">
        <f aca="false">IF(C631=1,COUNTIFS($C$2:C631,1,$D$2:D631,D631),COUNTIFS($C$2:$C$799,1,$D$2:$D$799,D631)+COUNTIFS($C$2:C631,2,$D$2:D631,D631))</f>
        <v>63</v>
      </c>
      <c r="F631" s="20" t="str">
        <f aca="false">D631&amp;" #"&amp;TEXT(E631,"000")</f>
        <v>신약 #063</v>
      </c>
      <c r="G631" s="30" t="s">
        <v>5580</v>
      </c>
      <c r="H631" s="30" t="s">
        <v>5589</v>
      </c>
      <c r="I631" s="23" t="s">
        <v>5490</v>
      </c>
      <c r="J631" s="24" t="s">
        <v>5608</v>
      </c>
      <c r="K631" s="23" t="s">
        <v>121</v>
      </c>
      <c r="L631" s="24" t="s">
        <v>5609</v>
      </c>
      <c r="M631" s="24" t="s">
        <v>5610</v>
      </c>
      <c r="N631" s="23" t="s">
        <v>5611</v>
      </c>
      <c r="O631" s="24" t="s">
        <v>5612</v>
      </c>
      <c r="P631" s="24" t="s">
        <v>5613</v>
      </c>
      <c r="Q631" s="24" t="s">
        <v>5614</v>
      </c>
      <c r="R631" s="24"/>
      <c r="S631" s="28" t="s">
        <v>5615</v>
      </c>
      <c r="T631" s="24" t="str">
        <f aca="false">"["&amp;안내!$C$5&amp;" "&amp;F631&amp;"] "&amp;L631&amp;" | "&amp;J631</f>
        <v>[1분 성경 신약 #063] 날 때부터 맹인 된 사람 | 요 9:1-41</v>
      </c>
      <c r="U631" s="26" t="n">
        <f aca="false">IF(D631="구약",IF(C631=1,안내!$C$9,안내!$C$10)+AD631-1,IF(C631=1,안내!$C$9,안내!$C$10)+7*INT((AD631-1)/4)+CHOOSE(MOD(AD631-1,4)+1,0,2,4,5))</f>
        <v>46500</v>
      </c>
      <c r="V631" s="23" t="str">
        <f aca="false">CHOOSE(WEEKDAY(U631,2),"월","화","수","목","금","토","일")</f>
        <v>금</v>
      </c>
      <c r="W631" s="24" t="str">
        <f aca="false">IFERROR(IF(INDEX($C$2:$C$799,MATCH(D631&amp;"#"&amp;(E631+1),$AC$2:$AC$799,0))=C631,"다음 편: ","시즌1 완결 · 시즌2 첫 편: ")&amp;INDEX($L$2:$L$799,MATCH(D631&amp;"#"&amp;(E631+1),$AC$2:$AC$799,0)),"신약 트랙 완결")</f>
        <v>다음 편: 선한 목자</v>
      </c>
      <c r="X631" s="23" t="s">
        <v>130</v>
      </c>
      <c r="Y631" s="23" t="s">
        <v>130</v>
      </c>
      <c r="Z631" s="23" t="s">
        <v>130</v>
      </c>
      <c r="AA631" s="23" t="s">
        <v>130</v>
      </c>
      <c r="AB631" s="24"/>
      <c r="AC631" s="23" t="str">
        <f aca="false">D631&amp;"#"&amp;E631</f>
        <v>신약#63</v>
      </c>
      <c r="AD631" s="23" t="n">
        <f aca="false">COUNTIFS($C$2:C631,C631,$D$2:D631,D631)</f>
        <v>63</v>
      </c>
    </row>
    <row r="632" customFormat="false" ht="15" hidden="false" customHeight="false" outlineLevel="0" collapsed="false">
      <c r="A632" s="23" t="n">
        <v>631</v>
      </c>
      <c r="B632" s="30" t="s">
        <v>5616</v>
      </c>
      <c r="C632" s="20" t="n">
        <v>1</v>
      </c>
      <c r="D632" s="20" t="s">
        <v>4656</v>
      </c>
      <c r="E632" s="20" t="n">
        <f aca="false">IF(C632=1,COUNTIFS($C$2:C632,1,$D$2:D632,D632),COUNTIFS($C$2:$C$799,1,$D$2:$D$799,D632)+COUNTIFS($C$2:C632,2,$D$2:D632,D632))</f>
        <v>64</v>
      </c>
      <c r="F632" s="20" t="str">
        <f aca="false">D632&amp;" #"&amp;TEXT(E632,"000")</f>
        <v>신약 #064</v>
      </c>
      <c r="G632" s="30" t="s">
        <v>5580</v>
      </c>
      <c r="H632" s="30" t="s">
        <v>5589</v>
      </c>
      <c r="I632" s="23" t="s">
        <v>5490</v>
      </c>
      <c r="J632" s="24" t="s">
        <v>5617</v>
      </c>
      <c r="K632" s="23" t="s">
        <v>121</v>
      </c>
      <c r="L632" s="24" t="s">
        <v>5618</v>
      </c>
      <c r="M632" s="24" t="s">
        <v>5619</v>
      </c>
      <c r="N632" s="23" t="s">
        <v>5620</v>
      </c>
      <c r="O632" s="24" t="s">
        <v>5621</v>
      </c>
      <c r="P632" s="24" t="s">
        <v>5622</v>
      </c>
      <c r="Q632" s="24" t="s">
        <v>5623</v>
      </c>
      <c r="R632" s="24"/>
      <c r="S632" s="24" t="s">
        <v>129</v>
      </c>
      <c r="T632" s="24" t="str">
        <f aca="false">"["&amp;안내!$C$5&amp;" "&amp;F632&amp;"] "&amp;L632&amp;" | "&amp;J632</f>
        <v>[1분 성경 신약 #064] 선한 목자 | 요 10:1-42</v>
      </c>
      <c r="U632" s="26" t="n">
        <f aca="false">IF(D632="구약",IF(C632=1,안내!$C$9,안내!$C$10)+AD632-1,IF(C632=1,안내!$C$9,안내!$C$10)+7*INT((AD632-1)/4)+CHOOSE(MOD(AD632-1,4)+1,0,2,4,5))</f>
        <v>46501</v>
      </c>
      <c r="V632" s="23" t="str">
        <f aca="false">CHOOSE(WEEKDAY(U632,2),"월","화","수","목","금","토","일")</f>
        <v>토</v>
      </c>
      <c r="W632" s="24" t="str">
        <f aca="false">IFERROR(IF(INDEX($C$2:$C$799,MATCH(D632&amp;"#"&amp;(E632+1),$AC$2:$AC$799,0))=C632,"다음 편: ","시즌1 완결 · 시즌2 첫 편: ")&amp;INDEX($L$2:$L$799,MATCH(D632&amp;"#"&amp;(E632+1),$AC$2:$AC$799,0)),"신약 트랙 완결")</f>
        <v>다음 편: 나사로야 나오라</v>
      </c>
      <c r="X632" s="23" t="s">
        <v>130</v>
      </c>
      <c r="Y632" s="23" t="s">
        <v>130</v>
      </c>
      <c r="Z632" s="23" t="s">
        <v>130</v>
      </c>
      <c r="AA632" s="23" t="s">
        <v>130</v>
      </c>
      <c r="AB632" s="24"/>
      <c r="AC632" s="23" t="str">
        <f aca="false">D632&amp;"#"&amp;E632</f>
        <v>신약#64</v>
      </c>
      <c r="AD632" s="23" t="n">
        <f aca="false">COUNTIFS($C$2:C632,C632,$D$2:D632,D632)</f>
        <v>64</v>
      </c>
    </row>
    <row r="633" customFormat="false" ht="26.85" hidden="false" customHeight="false" outlineLevel="0" collapsed="false">
      <c r="A633" s="23" t="n">
        <v>632</v>
      </c>
      <c r="B633" s="30" t="s">
        <v>5624</v>
      </c>
      <c r="C633" s="20" t="n">
        <v>1</v>
      </c>
      <c r="D633" s="20" t="s">
        <v>4656</v>
      </c>
      <c r="E633" s="20" t="n">
        <f aca="false">IF(C633=1,COUNTIFS($C$2:C633,1,$D$2:D633,D633),COUNTIFS($C$2:$C$799,1,$D$2:$D$799,D633)+COUNTIFS($C$2:C633,2,$D$2:D633,D633))</f>
        <v>65</v>
      </c>
      <c r="F633" s="20" t="str">
        <f aca="false">D633&amp;" #"&amp;TEXT(E633,"000")</f>
        <v>신약 #065</v>
      </c>
      <c r="G633" s="30" t="s">
        <v>5580</v>
      </c>
      <c r="H633" s="30" t="s">
        <v>5589</v>
      </c>
      <c r="I633" s="23" t="s">
        <v>5490</v>
      </c>
      <c r="J633" s="24" t="s">
        <v>5625</v>
      </c>
      <c r="K633" s="23" t="s">
        <v>121</v>
      </c>
      <c r="L633" s="24" t="s">
        <v>5626</v>
      </c>
      <c r="M633" s="24" t="s">
        <v>5627</v>
      </c>
      <c r="N633" s="23" t="s">
        <v>5628</v>
      </c>
      <c r="O633" s="24" t="s">
        <v>5629</v>
      </c>
      <c r="P633" s="24" t="s">
        <v>5630</v>
      </c>
      <c r="Q633" s="24" t="s">
        <v>5631</v>
      </c>
      <c r="R633" s="24"/>
      <c r="S633" s="24" t="s">
        <v>129</v>
      </c>
      <c r="T633" s="24" t="str">
        <f aca="false">"["&amp;안내!$C$5&amp;" "&amp;F633&amp;"] "&amp;L633&amp;" | "&amp;J633</f>
        <v>[1분 성경 신약 #065] 나사로야 나오라 | 요 11:1-44</v>
      </c>
      <c r="U633" s="26" t="n">
        <f aca="false">IF(D633="구약",IF(C633=1,안내!$C$9,안내!$C$10)+AD633-1,IF(C633=1,안내!$C$9,안내!$C$10)+7*INT((AD633-1)/4)+CHOOSE(MOD(AD633-1,4)+1,0,2,4,5))</f>
        <v>46503</v>
      </c>
      <c r="V633" s="23" t="str">
        <f aca="false">CHOOSE(WEEKDAY(U633,2),"월","화","수","목","금","토","일")</f>
        <v>월</v>
      </c>
      <c r="W633" s="24" t="str">
        <f aca="false">IFERROR(IF(INDEX($C$2:$C$799,MATCH(D633&amp;"#"&amp;(E633+1),$AC$2:$AC$799,0))=C633,"다음 편: ","시즌1 완결 · 시즌2 첫 편: ")&amp;INDEX($L$2:$L$799,MATCH(D633&amp;"#"&amp;(E633+1),$AC$2:$AC$799,0)),"신약 트랙 완결")</f>
        <v>다음 편: 발을 씻기신 예수님</v>
      </c>
      <c r="X633" s="23" t="s">
        <v>130</v>
      </c>
      <c r="Y633" s="23" t="s">
        <v>130</v>
      </c>
      <c r="Z633" s="23" t="s">
        <v>130</v>
      </c>
      <c r="AA633" s="23" t="s">
        <v>130</v>
      </c>
      <c r="AB633" s="24"/>
      <c r="AC633" s="23" t="str">
        <f aca="false">D633&amp;"#"&amp;E633</f>
        <v>신약#65</v>
      </c>
      <c r="AD633" s="23" t="n">
        <f aca="false">COUNTIFS($C$2:C633,C633,$D$2:D633,D633)</f>
        <v>65</v>
      </c>
    </row>
    <row r="634" customFormat="false" ht="26.85" hidden="false" customHeight="false" outlineLevel="0" collapsed="false">
      <c r="A634" s="23" t="n">
        <v>633</v>
      </c>
      <c r="B634" s="30" t="s">
        <v>5632</v>
      </c>
      <c r="C634" s="23" t="n">
        <v>2</v>
      </c>
      <c r="D634" s="23" t="s">
        <v>4656</v>
      </c>
      <c r="E634" s="23" t="n">
        <f aca="false">IF(C634=1,COUNTIFS($C$2:C634,1,$D$2:D634,D634),COUNTIFS($C$2:$C$799,1,$D$2:$D$799,D634)+COUNTIFS($C$2:C634,2,$D$2:D634,D634))</f>
        <v>151</v>
      </c>
      <c r="F634" s="23" t="str">
        <f aca="false">D634&amp;" #"&amp;TEXT(E634,"000")</f>
        <v>신약 #151</v>
      </c>
      <c r="G634" s="30" t="s">
        <v>5580</v>
      </c>
      <c r="H634" s="30" t="s">
        <v>5420</v>
      </c>
      <c r="I634" s="23" t="s">
        <v>5490</v>
      </c>
      <c r="J634" s="24" t="s">
        <v>5633</v>
      </c>
      <c r="K634" s="23" t="s">
        <v>121</v>
      </c>
      <c r="L634" s="24" t="s">
        <v>5634</v>
      </c>
      <c r="M634" s="24" t="s">
        <v>5635</v>
      </c>
      <c r="N634" s="23" t="s">
        <v>5636</v>
      </c>
      <c r="O634" s="24" t="s">
        <v>5637</v>
      </c>
      <c r="P634" s="24" t="s">
        <v>5638</v>
      </c>
      <c r="Q634" s="24" t="s">
        <v>5639</v>
      </c>
      <c r="R634" s="24"/>
      <c r="S634" s="24" t="s">
        <v>5640</v>
      </c>
      <c r="T634" s="24" t="str">
        <f aca="false">"["&amp;안내!$C$5&amp;" "&amp;F634&amp;"] "&amp;L634&amp;" | "&amp;J634</f>
        <v>[1분 성경 신약 #151] 나드 향유 | 요 11:45-12:11</v>
      </c>
      <c r="U634" s="26" t="n">
        <f aca="false">IF(D634="구약",IF(C634=1,안내!$C$9,안내!$C$10)+AD634-1,IF(C634=1,안내!$C$9,안내!$C$10)+7*INT((AD634-1)/4)+CHOOSE(MOD(AD634-1,4)+1,0,2,4,5))</f>
        <v>46661</v>
      </c>
      <c r="V634" s="23" t="str">
        <f aca="false">CHOOSE(WEEKDAY(U634,2),"월","화","수","목","금","토","일")</f>
        <v>금</v>
      </c>
      <c r="W634" s="24" t="str">
        <f aca="false">IFERROR(IF(INDEX($C$2:$C$799,MATCH(D634&amp;"#"&amp;(E634+1),$AC$2:$AC$799,0))=C634,"다음 편: ","시즌1 완결 · 시즌2 첫 편: ")&amp;INDEX($L$2:$L$799,MATCH(D634&amp;"#"&amp;(E634+1),$AC$2:$AC$799,0)),"신약 트랙 완결")</f>
        <v>다음 편: 한 알의 밀</v>
      </c>
      <c r="X634" s="23" t="s">
        <v>130</v>
      </c>
      <c r="Y634" s="23" t="s">
        <v>130</v>
      </c>
      <c r="Z634" s="23" t="s">
        <v>130</v>
      </c>
      <c r="AA634" s="23" t="s">
        <v>130</v>
      </c>
      <c r="AB634" s="24"/>
      <c r="AC634" s="23" t="str">
        <f aca="false">D634&amp;"#"&amp;E634</f>
        <v>신약#151</v>
      </c>
      <c r="AD634" s="23" t="n">
        <f aca="false">COUNTIFS($C$2:C634,C634,$D$2:D634,D634)</f>
        <v>47</v>
      </c>
    </row>
    <row r="635" customFormat="false" ht="26.85" hidden="false" customHeight="false" outlineLevel="0" collapsed="false">
      <c r="A635" s="23" t="n">
        <v>634</v>
      </c>
      <c r="B635" s="30" t="s">
        <v>5641</v>
      </c>
      <c r="C635" s="23" t="n">
        <v>2</v>
      </c>
      <c r="D635" s="23" t="s">
        <v>4656</v>
      </c>
      <c r="E635" s="23" t="n">
        <f aca="false">IF(C635=1,COUNTIFS($C$2:C635,1,$D$2:D635,D635),COUNTIFS($C$2:$C$799,1,$D$2:$D$799,D635)+COUNTIFS($C$2:C635,2,$D$2:D635,D635))</f>
        <v>152</v>
      </c>
      <c r="F635" s="23" t="str">
        <f aca="false">D635&amp;" #"&amp;TEXT(E635,"000")</f>
        <v>신약 #152</v>
      </c>
      <c r="G635" s="30" t="s">
        <v>5580</v>
      </c>
      <c r="H635" s="30" t="s">
        <v>5420</v>
      </c>
      <c r="I635" s="23" t="s">
        <v>5490</v>
      </c>
      <c r="J635" s="24" t="s">
        <v>5642</v>
      </c>
      <c r="K635" s="23" t="s">
        <v>121</v>
      </c>
      <c r="L635" s="24" t="s">
        <v>5643</v>
      </c>
      <c r="M635" s="24" t="s">
        <v>5644</v>
      </c>
      <c r="N635" s="23" t="s">
        <v>5645</v>
      </c>
      <c r="O635" s="24" t="s">
        <v>5646</v>
      </c>
      <c r="P635" s="24" t="s">
        <v>5647</v>
      </c>
      <c r="Q635" s="24" t="s">
        <v>2330</v>
      </c>
      <c r="R635" s="24"/>
      <c r="S635" s="24" t="s">
        <v>5640</v>
      </c>
      <c r="T635" s="24" t="str">
        <f aca="false">"["&amp;안내!$C$5&amp;" "&amp;F635&amp;"] "&amp;L635&amp;" | "&amp;J635</f>
        <v>[1분 성경 신약 #152] 한 알의 밀 | 요 12:12-50</v>
      </c>
      <c r="U635" s="26" t="n">
        <f aca="false">IF(D635="구약",IF(C635=1,안내!$C$9,안내!$C$10)+AD635-1,IF(C635=1,안내!$C$9,안내!$C$10)+7*INT((AD635-1)/4)+CHOOSE(MOD(AD635-1,4)+1,0,2,4,5))</f>
        <v>46662</v>
      </c>
      <c r="V635" s="23" t="str">
        <f aca="false">CHOOSE(WEEKDAY(U635,2),"월","화","수","목","금","토","일")</f>
        <v>토</v>
      </c>
      <c r="W635" s="24" t="str">
        <f aca="false">IFERROR(IF(INDEX($C$2:$C$799,MATCH(D635&amp;"#"&amp;(E635+1),$AC$2:$AC$799,0))=C635,"다음 편: ","시즌1 완결 · 시즌2 첫 편: ")&amp;INDEX($L$2:$L$799,MATCH(D635&amp;"#"&amp;(E635+1),$AC$2:$AC$799,0)),"신약 트랙 완결")</f>
        <v>다음 편: 새 계명</v>
      </c>
      <c r="X635" s="23" t="s">
        <v>130</v>
      </c>
      <c r="Y635" s="23" t="s">
        <v>130</v>
      </c>
      <c r="Z635" s="23" t="s">
        <v>130</v>
      </c>
      <c r="AA635" s="23" t="s">
        <v>130</v>
      </c>
      <c r="AB635" s="24"/>
      <c r="AC635" s="23" t="str">
        <f aca="false">D635&amp;"#"&amp;E635</f>
        <v>신약#152</v>
      </c>
      <c r="AD635" s="23" t="n">
        <f aca="false">COUNTIFS($C$2:C635,C635,$D$2:D635,D635)</f>
        <v>48</v>
      </c>
    </row>
    <row r="636" customFormat="false" ht="39.55" hidden="false" customHeight="false" outlineLevel="0" collapsed="false">
      <c r="A636" s="23" t="n">
        <v>635</v>
      </c>
      <c r="B636" s="30" t="s">
        <v>5648</v>
      </c>
      <c r="C636" s="20" t="n">
        <v>1</v>
      </c>
      <c r="D636" s="20" t="s">
        <v>4656</v>
      </c>
      <c r="E636" s="20" t="n">
        <f aca="false">IF(C636=1,COUNTIFS($C$2:C636,1,$D$2:D636,D636),COUNTIFS($C$2:$C$799,1,$D$2:$D$799,D636)+COUNTIFS($C$2:C636,2,$D$2:D636,D636))</f>
        <v>66</v>
      </c>
      <c r="F636" s="20" t="str">
        <f aca="false">D636&amp;" #"&amp;TEXT(E636,"000")</f>
        <v>신약 #066</v>
      </c>
      <c r="G636" s="30" t="s">
        <v>5649</v>
      </c>
      <c r="H636" s="30" t="s">
        <v>5589</v>
      </c>
      <c r="I636" s="23" t="s">
        <v>5490</v>
      </c>
      <c r="J636" s="24" t="s">
        <v>5650</v>
      </c>
      <c r="K636" s="23" t="s">
        <v>121</v>
      </c>
      <c r="L636" s="24" t="s">
        <v>5651</v>
      </c>
      <c r="M636" s="24" t="s">
        <v>5652</v>
      </c>
      <c r="N636" s="23" t="s">
        <v>5653</v>
      </c>
      <c r="O636" s="24" t="s">
        <v>5654</v>
      </c>
      <c r="P636" s="24" t="s">
        <v>4908</v>
      </c>
      <c r="Q636" s="24" t="s">
        <v>5655</v>
      </c>
      <c r="R636" s="24"/>
      <c r="S636" s="28" t="s">
        <v>5656</v>
      </c>
      <c r="T636" s="24" t="str">
        <f aca="false">"["&amp;안내!$C$5&amp;" "&amp;F636&amp;"] "&amp;L636&amp;" | "&amp;J636</f>
        <v>[1분 성경 신약 #066] 발을 씻기신 예수님 | 요 13:1-20</v>
      </c>
      <c r="U636" s="26" t="n">
        <f aca="false">IF(D636="구약",IF(C636=1,안내!$C$9,안내!$C$10)+AD636-1,IF(C636=1,안내!$C$9,안내!$C$10)+7*INT((AD636-1)/4)+CHOOSE(MOD(AD636-1,4)+1,0,2,4,5))</f>
        <v>46505</v>
      </c>
      <c r="V636" s="23" t="str">
        <f aca="false">CHOOSE(WEEKDAY(U636,2),"월","화","수","목","금","토","일")</f>
        <v>수</v>
      </c>
      <c r="W636" s="24" t="str">
        <f aca="false">IFERROR(IF(INDEX($C$2:$C$799,MATCH(D636&amp;"#"&amp;(E636+1),$AC$2:$AC$799,0))=C636,"다음 편: ","시즌1 완결 · 시즌2 첫 편: ")&amp;INDEX($L$2:$L$799,MATCH(D636&amp;"#"&amp;(E636+1),$AC$2:$AC$799,0)),"신약 트랙 완결")</f>
        <v>다음 편: 나는 길이요</v>
      </c>
      <c r="X636" s="23" t="s">
        <v>130</v>
      </c>
      <c r="Y636" s="23" t="s">
        <v>130</v>
      </c>
      <c r="Z636" s="23" t="s">
        <v>130</v>
      </c>
      <c r="AA636" s="23" t="s">
        <v>130</v>
      </c>
      <c r="AB636" s="24"/>
      <c r="AC636" s="23" t="str">
        <f aca="false">D636&amp;"#"&amp;E636</f>
        <v>신약#66</v>
      </c>
      <c r="AD636" s="23" t="n">
        <f aca="false">COUNTIFS($C$2:C636,C636,$D$2:D636,D636)</f>
        <v>66</v>
      </c>
    </row>
    <row r="637" customFormat="false" ht="26.85" hidden="false" customHeight="false" outlineLevel="0" collapsed="false">
      <c r="A637" s="23" t="n">
        <v>636</v>
      </c>
      <c r="B637" s="30" t="s">
        <v>5657</v>
      </c>
      <c r="C637" s="23" t="n">
        <v>2</v>
      </c>
      <c r="D637" s="23" t="s">
        <v>4656</v>
      </c>
      <c r="E637" s="23" t="n">
        <f aca="false">IF(C637=1,COUNTIFS($C$2:C637,1,$D$2:D637,D637),COUNTIFS($C$2:$C$799,1,$D$2:$D$799,D637)+COUNTIFS($C$2:C637,2,$D$2:D637,D637))</f>
        <v>153</v>
      </c>
      <c r="F637" s="23" t="str">
        <f aca="false">D637&amp;" #"&amp;TEXT(E637,"000")</f>
        <v>신약 #153</v>
      </c>
      <c r="G637" s="30" t="s">
        <v>5649</v>
      </c>
      <c r="H637" s="30" t="s">
        <v>5658</v>
      </c>
      <c r="I637" s="23" t="s">
        <v>5490</v>
      </c>
      <c r="J637" s="24" t="s">
        <v>5659</v>
      </c>
      <c r="K637" s="23" t="s">
        <v>121</v>
      </c>
      <c r="L637" s="24" t="s">
        <v>5660</v>
      </c>
      <c r="M637" s="24" t="s">
        <v>5661</v>
      </c>
      <c r="N637" s="23" t="s">
        <v>5662</v>
      </c>
      <c r="O637" s="24" t="s">
        <v>5663</v>
      </c>
      <c r="P637" s="24" t="s">
        <v>5664</v>
      </c>
      <c r="Q637" s="24" t="s">
        <v>5665</v>
      </c>
      <c r="R637" s="24"/>
      <c r="S637" s="24" t="s">
        <v>5666</v>
      </c>
      <c r="T637" s="24" t="str">
        <f aca="false">"["&amp;안내!$C$5&amp;" "&amp;F637&amp;"] "&amp;L637&amp;" | "&amp;J637</f>
        <v>[1분 성경 신약 #153] 새 계명 | 요 13:21-38</v>
      </c>
      <c r="U637" s="26" t="n">
        <f aca="false">IF(D637="구약",IF(C637=1,안내!$C$9,안내!$C$10)+AD637-1,IF(C637=1,안내!$C$9,안내!$C$10)+7*INT((AD637-1)/4)+CHOOSE(MOD(AD637-1,4)+1,0,2,4,5))</f>
        <v>46664</v>
      </c>
      <c r="V637" s="23" t="str">
        <f aca="false">CHOOSE(WEEKDAY(U637,2),"월","화","수","목","금","토","일")</f>
        <v>월</v>
      </c>
      <c r="W637" s="24" t="str">
        <f aca="false">IFERROR(IF(INDEX($C$2:$C$799,MATCH(D637&amp;"#"&amp;(E637+1),$AC$2:$AC$799,0))=C637,"다음 편: ","시즌1 완결 · 시즌2 첫 편: ")&amp;INDEX($L$2:$L$799,MATCH(D637&amp;"#"&amp;(E637+1),$AC$2:$AC$799,0)),"신약 트랙 완결")</f>
        <v>다음 편: 세상을 이겼노라</v>
      </c>
      <c r="X637" s="23" t="s">
        <v>130</v>
      </c>
      <c r="Y637" s="23" t="s">
        <v>130</v>
      </c>
      <c r="Z637" s="23" t="s">
        <v>130</v>
      </c>
      <c r="AA637" s="23" t="s">
        <v>130</v>
      </c>
      <c r="AB637" s="24"/>
      <c r="AC637" s="23" t="str">
        <f aca="false">D637&amp;"#"&amp;E637</f>
        <v>신약#153</v>
      </c>
      <c r="AD637" s="23" t="n">
        <f aca="false">COUNTIFS($C$2:C637,C637,$D$2:D637,D637)</f>
        <v>49</v>
      </c>
    </row>
    <row r="638" customFormat="false" ht="39.55" hidden="false" customHeight="false" outlineLevel="0" collapsed="false">
      <c r="A638" s="23" t="n">
        <v>637</v>
      </c>
      <c r="B638" s="30" t="s">
        <v>5667</v>
      </c>
      <c r="C638" s="20" t="n">
        <v>1</v>
      </c>
      <c r="D638" s="20" t="s">
        <v>4656</v>
      </c>
      <c r="E638" s="20" t="n">
        <f aca="false">IF(C638=1,COUNTIFS($C$2:C638,1,$D$2:D638,D638),COUNTIFS($C$2:$C$799,1,$D$2:$D$799,D638)+COUNTIFS($C$2:C638,2,$D$2:D638,D638))</f>
        <v>67</v>
      </c>
      <c r="F638" s="20" t="str">
        <f aca="false">D638&amp;" #"&amp;TEXT(E638,"000")</f>
        <v>신약 #067</v>
      </c>
      <c r="G638" s="30" t="s">
        <v>5649</v>
      </c>
      <c r="H638" s="30" t="s">
        <v>5589</v>
      </c>
      <c r="I638" s="23" t="s">
        <v>5490</v>
      </c>
      <c r="J638" s="24" t="s">
        <v>5668</v>
      </c>
      <c r="K638" s="23" t="s">
        <v>121</v>
      </c>
      <c r="L638" s="24" t="s">
        <v>5669</v>
      </c>
      <c r="M638" s="24" t="s">
        <v>5670</v>
      </c>
      <c r="N638" s="23" t="s">
        <v>5671</v>
      </c>
      <c r="O638" s="24" t="s">
        <v>5672</v>
      </c>
      <c r="P638" s="24" t="s">
        <v>5673</v>
      </c>
      <c r="Q638" s="24" t="s">
        <v>5655</v>
      </c>
      <c r="R638" s="25" t="s">
        <v>5674</v>
      </c>
      <c r="S638" s="28" t="s">
        <v>5675</v>
      </c>
      <c r="T638" s="24" t="str">
        <f aca="false">"["&amp;안내!$C$5&amp;" "&amp;F638&amp;"] "&amp;L638&amp;" | "&amp;J638</f>
        <v>[1분 성경 신약 #067] 나는 길이요 | 요 14:1-31</v>
      </c>
      <c r="U638" s="26" t="n">
        <f aca="false">IF(D638="구약",IF(C638=1,안내!$C$9,안내!$C$10)+AD638-1,IF(C638=1,안내!$C$9,안내!$C$10)+7*INT((AD638-1)/4)+CHOOSE(MOD(AD638-1,4)+1,0,2,4,5))</f>
        <v>46507</v>
      </c>
      <c r="V638" s="23" t="str">
        <f aca="false">CHOOSE(WEEKDAY(U638,2),"월","화","수","목","금","토","일")</f>
        <v>금</v>
      </c>
      <c r="W638" s="24" t="str">
        <f aca="false">IFERROR(IF(INDEX($C$2:$C$799,MATCH(D638&amp;"#"&amp;(E638+1),$AC$2:$AC$799,0))=C638,"다음 편: ","시즌1 완결 · 시즌2 첫 편: ")&amp;INDEX($L$2:$L$799,MATCH(D638&amp;"#"&amp;(E638+1),$AC$2:$AC$799,0)),"신약 트랙 완결")</f>
        <v>다음 편: 포도나무와 가지</v>
      </c>
      <c r="X638" s="23" t="s">
        <v>130</v>
      </c>
      <c r="Y638" s="23" t="s">
        <v>130</v>
      </c>
      <c r="Z638" s="23" t="s">
        <v>130</v>
      </c>
      <c r="AA638" s="23" t="s">
        <v>130</v>
      </c>
      <c r="AB638" s="24"/>
      <c r="AC638" s="23" t="str">
        <f aca="false">D638&amp;"#"&amp;E638</f>
        <v>신약#67</v>
      </c>
      <c r="AD638" s="23" t="n">
        <f aca="false">COUNTIFS($C$2:C638,C638,$D$2:D638,D638)</f>
        <v>67</v>
      </c>
    </row>
    <row r="639" customFormat="false" ht="25.35" hidden="false" customHeight="false" outlineLevel="0" collapsed="false">
      <c r="A639" s="23" t="n">
        <v>638</v>
      </c>
      <c r="B639" s="30" t="s">
        <v>5676</v>
      </c>
      <c r="C639" s="20" t="n">
        <v>1</v>
      </c>
      <c r="D639" s="20" t="s">
        <v>4656</v>
      </c>
      <c r="E639" s="20" t="n">
        <f aca="false">IF(C639=1,COUNTIFS($C$2:C639,1,$D$2:D639,D639),COUNTIFS($C$2:$C$799,1,$D$2:$D$799,D639)+COUNTIFS($C$2:C639,2,$D$2:D639,D639))</f>
        <v>68</v>
      </c>
      <c r="F639" s="20" t="str">
        <f aca="false">D639&amp;" #"&amp;TEXT(E639,"000")</f>
        <v>신약 #068</v>
      </c>
      <c r="G639" s="30" t="s">
        <v>5649</v>
      </c>
      <c r="H639" s="30" t="s">
        <v>5589</v>
      </c>
      <c r="I639" s="23" t="s">
        <v>5490</v>
      </c>
      <c r="J639" s="24" t="s">
        <v>5677</v>
      </c>
      <c r="K639" s="23" t="s">
        <v>121</v>
      </c>
      <c r="L639" s="24" t="s">
        <v>5678</v>
      </c>
      <c r="M639" s="24" t="s">
        <v>5679</v>
      </c>
      <c r="N639" s="23" t="s">
        <v>5680</v>
      </c>
      <c r="O639" s="24" t="s">
        <v>5681</v>
      </c>
      <c r="P639" s="24" t="s">
        <v>4768</v>
      </c>
      <c r="Q639" s="24" t="s">
        <v>3715</v>
      </c>
      <c r="R639" s="24"/>
      <c r="S639" s="24" t="s">
        <v>129</v>
      </c>
      <c r="T639" s="24" t="str">
        <f aca="false">"["&amp;안내!$C$5&amp;" "&amp;F639&amp;"] "&amp;L639&amp;" | "&amp;J639</f>
        <v>[1분 성경 신약 #068] 포도나무와 가지 | 요 15:1-27</v>
      </c>
      <c r="U639" s="26" t="n">
        <f aca="false">IF(D639="구약",IF(C639=1,안내!$C$9,안내!$C$10)+AD639-1,IF(C639=1,안내!$C$9,안내!$C$10)+7*INT((AD639-1)/4)+CHOOSE(MOD(AD639-1,4)+1,0,2,4,5))</f>
        <v>46508</v>
      </c>
      <c r="V639" s="23" t="str">
        <f aca="false">CHOOSE(WEEKDAY(U639,2),"월","화","수","목","금","토","일")</f>
        <v>토</v>
      </c>
      <c r="W639" s="24" t="str">
        <f aca="false">IFERROR(IF(INDEX($C$2:$C$799,MATCH(D639&amp;"#"&amp;(E639+1),$AC$2:$AC$799,0))=C639,"다음 편: ","시즌1 완결 · 시즌2 첫 편: ")&amp;INDEX($L$2:$L$799,MATCH(D639&amp;"#"&amp;(E639+1),$AC$2:$AC$799,0)),"신약 트랙 완결")</f>
        <v>다음 편: 다 이루었다</v>
      </c>
      <c r="X639" s="23" t="s">
        <v>130</v>
      </c>
      <c r="Y639" s="23" t="s">
        <v>130</v>
      </c>
      <c r="Z639" s="23" t="s">
        <v>130</v>
      </c>
      <c r="AA639" s="23" t="s">
        <v>130</v>
      </c>
      <c r="AB639" s="24"/>
      <c r="AC639" s="23" t="str">
        <f aca="false">D639&amp;"#"&amp;E639</f>
        <v>신약#68</v>
      </c>
      <c r="AD639" s="23" t="n">
        <f aca="false">COUNTIFS($C$2:C639,C639,$D$2:D639,D639)</f>
        <v>68</v>
      </c>
    </row>
    <row r="640" customFormat="false" ht="25.35" hidden="false" customHeight="false" outlineLevel="0" collapsed="false">
      <c r="A640" s="23" t="n">
        <v>639</v>
      </c>
      <c r="B640" s="30" t="s">
        <v>5682</v>
      </c>
      <c r="C640" s="23" t="n">
        <v>2</v>
      </c>
      <c r="D640" s="23" t="s">
        <v>4656</v>
      </c>
      <c r="E640" s="23" t="n">
        <f aca="false">IF(C640=1,COUNTIFS($C$2:C640,1,$D$2:D640,D640),COUNTIFS($C$2:$C$799,1,$D$2:$D$799,D640)+COUNTIFS($C$2:C640,2,$D$2:D640,D640))</f>
        <v>154</v>
      </c>
      <c r="F640" s="23" t="str">
        <f aca="false">D640&amp;" #"&amp;TEXT(E640,"000")</f>
        <v>신약 #154</v>
      </c>
      <c r="G640" s="30" t="s">
        <v>5649</v>
      </c>
      <c r="H640" s="30" t="s">
        <v>5658</v>
      </c>
      <c r="I640" s="23" t="s">
        <v>5490</v>
      </c>
      <c r="J640" s="24" t="s">
        <v>5683</v>
      </c>
      <c r="K640" s="23" t="s">
        <v>121</v>
      </c>
      <c r="L640" s="24" t="s">
        <v>5684</v>
      </c>
      <c r="M640" s="24" t="s">
        <v>5685</v>
      </c>
      <c r="N640" s="23" t="s">
        <v>5686</v>
      </c>
      <c r="O640" s="24" t="s">
        <v>5687</v>
      </c>
      <c r="P640" s="24" t="s">
        <v>4768</v>
      </c>
      <c r="Q640" s="24" t="s">
        <v>5688</v>
      </c>
      <c r="R640" s="24"/>
      <c r="S640" s="24" t="s">
        <v>5689</v>
      </c>
      <c r="T640" s="24" t="str">
        <f aca="false">"["&amp;안내!$C$5&amp;" "&amp;F640&amp;"] "&amp;L640&amp;" | "&amp;J640</f>
        <v>[1분 성경 신약 #154] 세상을 이겼노라 | 요 16:1-33</v>
      </c>
      <c r="U640" s="26" t="n">
        <f aca="false">IF(D640="구약",IF(C640=1,안내!$C$9,안내!$C$10)+AD640-1,IF(C640=1,안내!$C$9,안내!$C$10)+7*INT((AD640-1)/4)+CHOOSE(MOD(AD640-1,4)+1,0,2,4,5))</f>
        <v>46666</v>
      </c>
      <c r="V640" s="23" t="str">
        <f aca="false">CHOOSE(WEEKDAY(U640,2),"월","화","수","목","금","토","일")</f>
        <v>수</v>
      </c>
      <c r="W640" s="24" t="str">
        <f aca="false">IFERROR(IF(INDEX($C$2:$C$799,MATCH(D640&amp;"#"&amp;(E640+1),$AC$2:$AC$799,0))=C640,"다음 편: ","시즌1 완결 · 시즌2 첫 편: ")&amp;INDEX($L$2:$L$799,MATCH(D640&amp;"#"&amp;(E640+1),$AC$2:$AC$799,0)),"신약 트랙 완결")</f>
        <v>다음 편: 예수님의 기도</v>
      </c>
      <c r="X640" s="23" t="s">
        <v>130</v>
      </c>
      <c r="Y640" s="23" t="s">
        <v>130</v>
      </c>
      <c r="Z640" s="23" t="s">
        <v>130</v>
      </c>
      <c r="AA640" s="23" t="s">
        <v>130</v>
      </c>
      <c r="AB640" s="24"/>
      <c r="AC640" s="23" t="str">
        <f aca="false">D640&amp;"#"&amp;E640</f>
        <v>신약#154</v>
      </c>
      <c r="AD640" s="23" t="n">
        <f aca="false">COUNTIFS($C$2:C640,C640,$D$2:D640,D640)</f>
        <v>50</v>
      </c>
    </row>
    <row r="641" customFormat="false" ht="26.85" hidden="false" customHeight="false" outlineLevel="0" collapsed="false">
      <c r="A641" s="23" t="n">
        <v>640</v>
      </c>
      <c r="B641" s="30" t="s">
        <v>5690</v>
      </c>
      <c r="C641" s="23" t="n">
        <v>2</v>
      </c>
      <c r="D641" s="23" t="s">
        <v>4656</v>
      </c>
      <c r="E641" s="23" t="n">
        <f aca="false">IF(C641=1,COUNTIFS($C$2:C641,1,$D$2:D641,D641),COUNTIFS($C$2:$C$799,1,$D$2:$D$799,D641)+COUNTIFS($C$2:C641,2,$D$2:D641,D641))</f>
        <v>155</v>
      </c>
      <c r="F641" s="23" t="str">
        <f aca="false">D641&amp;" #"&amp;TEXT(E641,"000")</f>
        <v>신약 #155</v>
      </c>
      <c r="G641" s="30" t="s">
        <v>5649</v>
      </c>
      <c r="H641" s="30" t="s">
        <v>5658</v>
      </c>
      <c r="I641" s="23" t="s">
        <v>5490</v>
      </c>
      <c r="J641" s="24" t="s">
        <v>5691</v>
      </c>
      <c r="K641" s="23" t="s">
        <v>121</v>
      </c>
      <c r="L641" s="24" t="s">
        <v>5692</v>
      </c>
      <c r="M641" s="24" t="s">
        <v>5693</v>
      </c>
      <c r="N641" s="23" t="s">
        <v>5694</v>
      </c>
      <c r="O641" s="24" t="s">
        <v>5695</v>
      </c>
      <c r="P641" s="24" t="s">
        <v>5696</v>
      </c>
      <c r="Q641" s="24" t="s">
        <v>5697</v>
      </c>
      <c r="R641" s="24"/>
      <c r="S641" s="24" t="s">
        <v>5689</v>
      </c>
      <c r="T641" s="24" t="str">
        <f aca="false">"["&amp;안내!$C$5&amp;" "&amp;F641&amp;"] "&amp;L641&amp;" | "&amp;J641</f>
        <v>[1분 성경 신약 #155] 예수님의 기도 | 요 17:1-26</v>
      </c>
      <c r="U641" s="26" t="n">
        <f aca="false">IF(D641="구약",IF(C641=1,안내!$C$9,안내!$C$10)+AD641-1,IF(C641=1,안내!$C$9,안내!$C$10)+7*INT((AD641-1)/4)+CHOOSE(MOD(AD641-1,4)+1,0,2,4,5))</f>
        <v>46668</v>
      </c>
      <c r="V641" s="23" t="str">
        <f aca="false">CHOOSE(WEEKDAY(U641,2),"월","화","수","목","금","토","일")</f>
        <v>금</v>
      </c>
      <c r="W641" s="24" t="str">
        <f aca="false">IFERROR(IF(INDEX($C$2:$C$799,MATCH(D641&amp;"#"&amp;(E641+1),$AC$2:$AC$799,0))=C641,"다음 편: ","시즌1 완결 · 시즌2 첫 편: ")&amp;INDEX($L$2:$L$799,MATCH(D641&amp;"#"&amp;(E641+1),$AC$2:$AC$799,0)),"신약 트랙 완결")</f>
        <v>다음 편: 잡히신 예수님</v>
      </c>
      <c r="X641" s="23" t="s">
        <v>130</v>
      </c>
      <c r="Y641" s="23" t="s">
        <v>130</v>
      </c>
      <c r="Z641" s="23" t="s">
        <v>130</v>
      </c>
      <c r="AA641" s="23" t="s">
        <v>130</v>
      </c>
      <c r="AB641" s="24"/>
      <c r="AC641" s="23" t="str">
        <f aca="false">D641&amp;"#"&amp;E641</f>
        <v>신약#155</v>
      </c>
      <c r="AD641" s="23" t="n">
        <f aca="false">COUNTIFS($C$2:C641,C641,$D$2:D641,D641)</f>
        <v>51</v>
      </c>
    </row>
    <row r="642" customFormat="false" ht="26.85" hidden="false" customHeight="false" outlineLevel="0" collapsed="false">
      <c r="A642" s="23" t="n">
        <v>641</v>
      </c>
      <c r="B642" s="30" t="s">
        <v>5698</v>
      </c>
      <c r="C642" s="23" t="n">
        <v>2</v>
      </c>
      <c r="D642" s="23" t="s">
        <v>4656</v>
      </c>
      <c r="E642" s="23" t="n">
        <f aca="false">IF(C642=1,COUNTIFS($C$2:C642,1,$D$2:D642,D642),COUNTIFS($C$2:$C$799,1,$D$2:$D$799,D642)+COUNTIFS($C$2:C642,2,$D$2:D642,D642))</f>
        <v>156</v>
      </c>
      <c r="F642" s="23" t="str">
        <f aca="false">D642&amp;" #"&amp;TEXT(E642,"000")</f>
        <v>신약 #156</v>
      </c>
      <c r="G642" s="30" t="s">
        <v>5649</v>
      </c>
      <c r="H642" s="30" t="s">
        <v>5658</v>
      </c>
      <c r="I642" s="23" t="s">
        <v>5490</v>
      </c>
      <c r="J642" s="24" t="s">
        <v>5699</v>
      </c>
      <c r="K642" s="23" t="s">
        <v>121</v>
      </c>
      <c r="L642" s="24" t="s">
        <v>5700</v>
      </c>
      <c r="M642" s="24" t="s">
        <v>5701</v>
      </c>
      <c r="N642" s="23" t="s">
        <v>5702</v>
      </c>
      <c r="O642" s="24" t="s">
        <v>5703</v>
      </c>
      <c r="P642" s="24" t="s">
        <v>5704</v>
      </c>
      <c r="Q642" s="24" t="s">
        <v>5705</v>
      </c>
      <c r="R642" s="24"/>
      <c r="S642" s="24" t="s">
        <v>5689</v>
      </c>
      <c r="T642" s="24" t="str">
        <f aca="false">"["&amp;안내!$C$5&amp;" "&amp;F642&amp;"] "&amp;L642&amp;" | "&amp;J642</f>
        <v>[1분 성경 신약 #156] 잡히신 예수님 | 요 18:1-27</v>
      </c>
      <c r="U642" s="26" t="n">
        <f aca="false">IF(D642="구약",IF(C642=1,안내!$C$9,안내!$C$10)+AD642-1,IF(C642=1,안내!$C$9,안내!$C$10)+7*INT((AD642-1)/4)+CHOOSE(MOD(AD642-1,4)+1,0,2,4,5))</f>
        <v>46669</v>
      </c>
      <c r="V642" s="23" t="str">
        <f aca="false">CHOOSE(WEEKDAY(U642,2),"월","화","수","목","금","토","일")</f>
        <v>토</v>
      </c>
      <c r="W642" s="24" t="str">
        <f aca="false">IFERROR(IF(INDEX($C$2:$C$799,MATCH(D642&amp;"#"&amp;(E642+1),$AC$2:$AC$799,0))=C642,"다음 편: ","시즌1 완결 · 시즌2 첫 편: ")&amp;INDEX($L$2:$L$799,MATCH(D642&amp;"#"&amp;(E642+1),$AC$2:$AC$799,0)),"신약 트랙 완결")</f>
        <v>다음 편: 진리가 무엇이냐</v>
      </c>
      <c r="X642" s="23" t="s">
        <v>130</v>
      </c>
      <c r="Y642" s="23" t="s">
        <v>130</v>
      </c>
      <c r="Z642" s="23" t="s">
        <v>130</v>
      </c>
      <c r="AA642" s="23" t="s">
        <v>130</v>
      </c>
      <c r="AB642" s="24"/>
      <c r="AC642" s="23" t="str">
        <f aca="false">D642&amp;"#"&amp;E642</f>
        <v>신약#156</v>
      </c>
      <c r="AD642" s="23" t="n">
        <f aca="false">COUNTIFS($C$2:C642,C642,$D$2:D642,D642)</f>
        <v>52</v>
      </c>
    </row>
    <row r="643" customFormat="false" ht="26.85" hidden="false" customHeight="false" outlineLevel="0" collapsed="false">
      <c r="A643" s="23" t="n">
        <v>642</v>
      </c>
      <c r="B643" s="30" t="s">
        <v>5706</v>
      </c>
      <c r="C643" s="23" t="n">
        <v>2</v>
      </c>
      <c r="D643" s="23" t="s">
        <v>4656</v>
      </c>
      <c r="E643" s="23" t="n">
        <f aca="false">IF(C643=1,COUNTIFS($C$2:C643,1,$D$2:D643,D643),COUNTIFS($C$2:$C$799,1,$D$2:$D$799,D643)+COUNTIFS($C$2:C643,2,$D$2:D643,D643))</f>
        <v>157</v>
      </c>
      <c r="F643" s="23" t="str">
        <f aca="false">D643&amp;" #"&amp;TEXT(E643,"000")</f>
        <v>신약 #157</v>
      </c>
      <c r="G643" s="30" t="s">
        <v>5649</v>
      </c>
      <c r="H643" s="30" t="s">
        <v>5658</v>
      </c>
      <c r="I643" s="23" t="s">
        <v>5490</v>
      </c>
      <c r="J643" s="24" t="s">
        <v>5707</v>
      </c>
      <c r="K643" s="23" t="s">
        <v>121</v>
      </c>
      <c r="L643" s="24" t="s">
        <v>5708</v>
      </c>
      <c r="M643" s="24" t="s">
        <v>5709</v>
      </c>
      <c r="N643" s="23" t="s">
        <v>5710</v>
      </c>
      <c r="O643" s="24" t="s">
        <v>5711</v>
      </c>
      <c r="P643" s="24" t="s">
        <v>5712</v>
      </c>
      <c r="Q643" s="24" t="s">
        <v>5098</v>
      </c>
      <c r="R643" s="25" t="s">
        <v>5713</v>
      </c>
      <c r="S643" s="24" t="s">
        <v>5689</v>
      </c>
      <c r="T643" s="24" t="str">
        <f aca="false">"["&amp;안내!$C$5&amp;" "&amp;F643&amp;"] "&amp;L643&amp;" | "&amp;J643</f>
        <v>[1분 성경 신약 #157] 진리가 무엇이냐 | 요 18:28-19:16</v>
      </c>
      <c r="U643" s="26" t="n">
        <f aca="false">IF(D643="구약",IF(C643=1,안내!$C$9,안내!$C$10)+AD643-1,IF(C643=1,안내!$C$9,안내!$C$10)+7*INT((AD643-1)/4)+CHOOSE(MOD(AD643-1,4)+1,0,2,4,5))</f>
        <v>46671</v>
      </c>
      <c r="V643" s="23" t="str">
        <f aca="false">CHOOSE(WEEKDAY(U643,2),"월","화","수","목","금","토","일")</f>
        <v>월</v>
      </c>
      <c r="W643" s="24" t="str">
        <f aca="false">IFERROR(IF(INDEX($C$2:$C$799,MATCH(D643&amp;"#"&amp;(E643+1),$AC$2:$AC$799,0))=C643,"다음 편: ","시즌1 완결 · 시즌2 첫 편: ")&amp;INDEX($L$2:$L$799,MATCH(D643&amp;"#"&amp;(E643+1),$AC$2:$AC$799,0)),"신약 트랙 완결")</f>
        <v>다음 편: 기도하며 기다리다</v>
      </c>
      <c r="X643" s="23" t="s">
        <v>130</v>
      </c>
      <c r="Y643" s="23" t="s">
        <v>130</v>
      </c>
      <c r="Z643" s="23" t="s">
        <v>130</v>
      </c>
      <c r="AA643" s="23" t="s">
        <v>130</v>
      </c>
      <c r="AB643" s="24"/>
      <c r="AC643" s="23" t="str">
        <f aca="false">D643&amp;"#"&amp;E643</f>
        <v>신약#157</v>
      </c>
      <c r="AD643" s="23" t="n">
        <f aca="false">COUNTIFS($C$2:C643,C643,$D$2:D643,D643)</f>
        <v>53</v>
      </c>
    </row>
    <row r="644" customFormat="false" ht="52.2" hidden="false" customHeight="false" outlineLevel="0" collapsed="false">
      <c r="A644" s="23" t="n">
        <v>643</v>
      </c>
      <c r="B644" s="30" t="s">
        <v>5714</v>
      </c>
      <c r="C644" s="20" t="n">
        <v>1</v>
      </c>
      <c r="D644" s="20" t="s">
        <v>4656</v>
      </c>
      <c r="E644" s="20" t="n">
        <f aca="false">IF(C644=1,COUNTIFS($C$2:C644,1,$D$2:D644,D644),COUNTIFS($C$2:$C$799,1,$D$2:$D$799,D644)+COUNTIFS($C$2:C644,2,$D$2:D644,D644))</f>
        <v>69</v>
      </c>
      <c r="F644" s="20" t="str">
        <f aca="false">D644&amp;" #"&amp;TEXT(E644,"000")</f>
        <v>신약 #069</v>
      </c>
      <c r="G644" s="30" t="s">
        <v>5649</v>
      </c>
      <c r="H644" s="30" t="s">
        <v>5589</v>
      </c>
      <c r="I644" s="23" t="s">
        <v>5490</v>
      </c>
      <c r="J644" s="24" t="s">
        <v>5715</v>
      </c>
      <c r="K644" s="23" t="s">
        <v>121</v>
      </c>
      <c r="L644" s="24" t="s">
        <v>5716</v>
      </c>
      <c r="M644" s="24" t="s">
        <v>5717</v>
      </c>
      <c r="N644" s="23" t="s">
        <v>5718</v>
      </c>
      <c r="O644" s="24" t="s">
        <v>5719</v>
      </c>
      <c r="P644" s="24" t="s">
        <v>5720</v>
      </c>
      <c r="Q644" s="24" t="s">
        <v>5721</v>
      </c>
      <c r="R644" s="25" t="s">
        <v>5722</v>
      </c>
      <c r="S644" s="28" t="s">
        <v>5723</v>
      </c>
      <c r="T644" s="24" t="str">
        <f aca="false">"["&amp;안내!$C$5&amp;" "&amp;F644&amp;"] "&amp;L644&amp;" | "&amp;J644</f>
        <v>[1분 성경 신약 #069] 다 이루었다 | 요 19:17-42</v>
      </c>
      <c r="U644" s="26" t="n">
        <f aca="false">IF(D644="구약",IF(C644=1,안내!$C$9,안내!$C$10)+AD644-1,IF(C644=1,안내!$C$9,안내!$C$10)+7*INT((AD644-1)/4)+CHOOSE(MOD(AD644-1,4)+1,0,2,4,5))</f>
        <v>46510</v>
      </c>
      <c r="V644" s="23" t="str">
        <f aca="false">CHOOSE(WEEKDAY(U644,2),"월","화","수","목","금","토","일")</f>
        <v>월</v>
      </c>
      <c r="W644" s="24" t="str">
        <f aca="false">IFERROR(IF(INDEX($C$2:$C$799,MATCH(D644&amp;"#"&amp;(E644+1),$AC$2:$AC$799,0))=C644,"다음 편: ","시즌1 완결 · 시즌2 첫 편: ")&amp;INDEX($L$2:$L$799,MATCH(D644&amp;"#"&amp;(E644+1),$AC$2:$AC$799,0)),"신약 트랙 완결")</f>
        <v>다음 편: 마리아야</v>
      </c>
      <c r="X644" s="23" t="s">
        <v>130</v>
      </c>
      <c r="Y644" s="23" t="s">
        <v>130</v>
      </c>
      <c r="Z644" s="23" t="s">
        <v>130</v>
      </c>
      <c r="AA644" s="23" t="s">
        <v>130</v>
      </c>
      <c r="AB644" s="24"/>
      <c r="AC644" s="23" t="str">
        <f aca="false">D644&amp;"#"&amp;E644</f>
        <v>신약#69</v>
      </c>
      <c r="AD644" s="23" t="n">
        <f aca="false">COUNTIFS($C$2:C644,C644,$D$2:D644,D644)</f>
        <v>69</v>
      </c>
    </row>
    <row r="645" customFormat="false" ht="26.85" hidden="false" customHeight="false" outlineLevel="0" collapsed="false">
      <c r="A645" s="23" t="n">
        <v>644</v>
      </c>
      <c r="B645" s="30" t="s">
        <v>5724</v>
      </c>
      <c r="C645" s="20" t="n">
        <v>1</v>
      </c>
      <c r="D645" s="20" t="s">
        <v>4656</v>
      </c>
      <c r="E645" s="20" t="n">
        <f aca="false">IF(C645=1,COUNTIFS($C$2:C645,1,$D$2:D645,D645),COUNTIFS($C$2:$C$799,1,$D$2:$D$799,D645)+COUNTIFS($C$2:C645,2,$D$2:D645,D645))</f>
        <v>70</v>
      </c>
      <c r="F645" s="20" t="str">
        <f aca="false">D645&amp;" #"&amp;TEXT(E645,"000")</f>
        <v>신약 #070</v>
      </c>
      <c r="G645" s="30" t="s">
        <v>5649</v>
      </c>
      <c r="H645" s="30" t="s">
        <v>5589</v>
      </c>
      <c r="I645" s="23" t="s">
        <v>5490</v>
      </c>
      <c r="J645" s="24" t="s">
        <v>5725</v>
      </c>
      <c r="K645" s="23" t="s">
        <v>121</v>
      </c>
      <c r="L645" s="24" t="s">
        <v>5726</v>
      </c>
      <c r="M645" s="24" t="s">
        <v>5727</v>
      </c>
      <c r="N645" s="23" t="s">
        <v>5728</v>
      </c>
      <c r="O645" s="24" t="s">
        <v>5729</v>
      </c>
      <c r="P645" s="24" t="s">
        <v>5730</v>
      </c>
      <c r="Q645" s="24" t="s">
        <v>5731</v>
      </c>
      <c r="R645" s="24"/>
      <c r="S645" s="24" t="s">
        <v>129</v>
      </c>
      <c r="T645" s="24" t="str">
        <f aca="false">"["&amp;안내!$C$5&amp;" "&amp;F645&amp;"] "&amp;L645&amp;" | "&amp;J645</f>
        <v>[1분 성경 신약 #070] 마리아야 | 요 20:1-18</v>
      </c>
      <c r="U645" s="26" t="n">
        <f aca="false">IF(D645="구약",IF(C645=1,안내!$C$9,안내!$C$10)+AD645-1,IF(C645=1,안내!$C$9,안내!$C$10)+7*INT((AD645-1)/4)+CHOOSE(MOD(AD645-1,4)+1,0,2,4,5))</f>
        <v>46512</v>
      </c>
      <c r="V645" s="23" t="str">
        <f aca="false">CHOOSE(WEEKDAY(U645,2),"월","화","수","목","금","토","일")</f>
        <v>수</v>
      </c>
      <c r="W645" s="24" t="str">
        <f aca="false">IFERROR(IF(INDEX($C$2:$C$799,MATCH(D645&amp;"#"&amp;(E645+1),$AC$2:$AC$799,0))=C645,"다음 편: ","시즌1 완결 · 시즌2 첫 편: ")&amp;INDEX($L$2:$L$799,MATCH(D645&amp;"#"&amp;(E645+1),$AC$2:$AC$799,0)),"신약 트랙 완결")</f>
        <v>다음 편: 나의 주 나의 하나님</v>
      </c>
      <c r="X645" s="23" t="s">
        <v>130</v>
      </c>
      <c r="Y645" s="23" t="s">
        <v>130</v>
      </c>
      <c r="Z645" s="23" t="s">
        <v>130</v>
      </c>
      <c r="AA645" s="23" t="s">
        <v>130</v>
      </c>
      <c r="AB645" s="24"/>
      <c r="AC645" s="23" t="str">
        <f aca="false">D645&amp;"#"&amp;E645</f>
        <v>신약#70</v>
      </c>
      <c r="AD645" s="23" t="n">
        <f aca="false">COUNTIFS($C$2:C645,C645,$D$2:D645,D645)</f>
        <v>70</v>
      </c>
    </row>
    <row r="646" customFormat="false" ht="26.85" hidden="false" customHeight="false" outlineLevel="0" collapsed="false">
      <c r="A646" s="23" t="n">
        <v>645</v>
      </c>
      <c r="B646" s="30" t="s">
        <v>5732</v>
      </c>
      <c r="C646" s="20" t="n">
        <v>1</v>
      </c>
      <c r="D646" s="20" t="s">
        <v>4656</v>
      </c>
      <c r="E646" s="20" t="n">
        <f aca="false">IF(C646=1,COUNTIFS($C$2:C646,1,$D$2:D646,D646),COUNTIFS($C$2:$C$799,1,$D$2:$D$799,D646)+COUNTIFS($C$2:C646,2,$D$2:D646,D646))</f>
        <v>71</v>
      </c>
      <c r="F646" s="20" t="str">
        <f aca="false">D646&amp;" #"&amp;TEXT(E646,"000")</f>
        <v>신약 #071</v>
      </c>
      <c r="G646" s="30" t="s">
        <v>5649</v>
      </c>
      <c r="H646" s="30" t="s">
        <v>5589</v>
      </c>
      <c r="I646" s="23" t="s">
        <v>5490</v>
      </c>
      <c r="J646" s="24" t="s">
        <v>5733</v>
      </c>
      <c r="K646" s="23" t="s">
        <v>121</v>
      </c>
      <c r="L646" s="24" t="s">
        <v>5734</v>
      </c>
      <c r="M646" s="24" t="s">
        <v>5735</v>
      </c>
      <c r="N646" s="23" t="s">
        <v>5736</v>
      </c>
      <c r="O646" s="24" t="s">
        <v>5737</v>
      </c>
      <c r="P646" s="24" t="s">
        <v>5738</v>
      </c>
      <c r="Q646" s="24" t="s">
        <v>5739</v>
      </c>
      <c r="R646" s="24"/>
      <c r="S646" s="24" t="s">
        <v>129</v>
      </c>
      <c r="T646" s="24" t="str">
        <f aca="false">"["&amp;안내!$C$5&amp;" "&amp;F646&amp;"] "&amp;L646&amp;" | "&amp;J646</f>
        <v>[1분 성경 신약 #071] 나의 주 나의 하나님 | 요 20:19-31</v>
      </c>
      <c r="U646" s="26" t="n">
        <f aca="false">IF(D646="구약",IF(C646=1,안내!$C$9,안내!$C$10)+AD646-1,IF(C646=1,안내!$C$9,안내!$C$10)+7*INT((AD646-1)/4)+CHOOSE(MOD(AD646-1,4)+1,0,2,4,5))</f>
        <v>46514</v>
      </c>
      <c r="V646" s="23" t="str">
        <f aca="false">CHOOSE(WEEKDAY(U646,2),"월","화","수","목","금","토","일")</f>
        <v>금</v>
      </c>
      <c r="W646" s="24" t="str">
        <f aca="false">IFERROR(IF(INDEX($C$2:$C$799,MATCH(D646&amp;"#"&amp;(E646+1),$AC$2:$AC$799,0))=C646,"다음 편: ","시즌1 완결 · 시즌2 첫 편: ")&amp;INDEX($L$2:$L$799,MATCH(D646&amp;"#"&amp;(E646+1),$AC$2:$AC$799,0)),"신약 트랙 완결")</f>
        <v>다음 편: 내 양을 먹이라</v>
      </c>
      <c r="X646" s="23" t="s">
        <v>130</v>
      </c>
      <c r="Y646" s="23" t="s">
        <v>130</v>
      </c>
      <c r="Z646" s="23" t="s">
        <v>130</v>
      </c>
      <c r="AA646" s="23" t="s">
        <v>130</v>
      </c>
      <c r="AB646" s="24"/>
      <c r="AC646" s="23" t="str">
        <f aca="false">D646&amp;"#"&amp;E646</f>
        <v>신약#71</v>
      </c>
      <c r="AD646" s="23" t="n">
        <f aca="false">COUNTIFS($C$2:C646,C646,$D$2:D646,D646)</f>
        <v>71</v>
      </c>
    </row>
    <row r="647" customFormat="false" ht="26.85" hidden="false" customHeight="false" outlineLevel="0" collapsed="false">
      <c r="A647" s="23" t="n">
        <v>646</v>
      </c>
      <c r="B647" s="30" t="s">
        <v>5740</v>
      </c>
      <c r="C647" s="20" t="n">
        <v>1</v>
      </c>
      <c r="D647" s="20" t="s">
        <v>4656</v>
      </c>
      <c r="E647" s="20" t="n">
        <f aca="false">IF(C647=1,COUNTIFS($C$2:C647,1,$D$2:D647,D647),COUNTIFS($C$2:$C$799,1,$D$2:$D$799,D647)+COUNTIFS($C$2:C647,2,$D$2:D647,D647))</f>
        <v>72</v>
      </c>
      <c r="F647" s="20" t="str">
        <f aca="false">D647&amp;" #"&amp;TEXT(E647,"000")</f>
        <v>신약 #072</v>
      </c>
      <c r="G647" s="30" t="s">
        <v>5649</v>
      </c>
      <c r="H647" s="30" t="s">
        <v>5589</v>
      </c>
      <c r="I647" s="23" t="s">
        <v>5490</v>
      </c>
      <c r="J647" s="24" t="s">
        <v>5741</v>
      </c>
      <c r="K647" s="23" t="s">
        <v>121</v>
      </c>
      <c r="L647" s="24" t="s">
        <v>5742</v>
      </c>
      <c r="M647" s="24" t="s">
        <v>5743</v>
      </c>
      <c r="N647" s="23" t="s">
        <v>5744</v>
      </c>
      <c r="O647" s="24" t="s">
        <v>5745</v>
      </c>
      <c r="P647" s="24" t="s">
        <v>4908</v>
      </c>
      <c r="Q647" s="24" t="s">
        <v>5746</v>
      </c>
      <c r="R647" s="24"/>
      <c r="S647" s="24" t="s">
        <v>129</v>
      </c>
      <c r="T647" s="24" t="str">
        <f aca="false">"["&amp;안내!$C$5&amp;" "&amp;F647&amp;"] "&amp;L647&amp;" | "&amp;J647</f>
        <v>[1분 성경 신약 #072] 내 양을 먹이라 | 요 21:1-25</v>
      </c>
      <c r="U647" s="26" t="n">
        <f aca="false">IF(D647="구약",IF(C647=1,안내!$C$9,안내!$C$10)+AD647-1,IF(C647=1,안내!$C$9,안내!$C$10)+7*INT((AD647-1)/4)+CHOOSE(MOD(AD647-1,4)+1,0,2,4,5))</f>
        <v>46515</v>
      </c>
      <c r="V647" s="23" t="str">
        <f aca="false">CHOOSE(WEEKDAY(U647,2),"월","화","수","목","금","토","일")</f>
        <v>토</v>
      </c>
      <c r="W647" s="24" t="str">
        <f aca="false">IFERROR(IF(INDEX($C$2:$C$799,MATCH(D647&amp;"#"&amp;(E647+1),$AC$2:$AC$799,0))=C647,"다음 편: ","시즌1 완결 · 시즌2 첫 편: ")&amp;INDEX($L$2:$L$799,MATCH(D647&amp;"#"&amp;(E647+1),$AC$2:$AC$799,0)),"신약 트랙 완결")</f>
        <v>다음 편: 승천</v>
      </c>
      <c r="X647" s="23" t="s">
        <v>130</v>
      </c>
      <c r="Y647" s="23" t="s">
        <v>130</v>
      </c>
      <c r="Z647" s="23" t="s">
        <v>130</v>
      </c>
      <c r="AA647" s="23" t="s">
        <v>130</v>
      </c>
      <c r="AB647" s="24"/>
      <c r="AC647" s="23" t="str">
        <f aca="false">D647&amp;"#"&amp;E647</f>
        <v>신약#72</v>
      </c>
      <c r="AD647" s="23" t="n">
        <f aca="false">COUNTIFS($C$2:C647,C647,$D$2:D647,D647)</f>
        <v>72</v>
      </c>
    </row>
    <row r="648" customFormat="false" ht="26.85" hidden="false" customHeight="false" outlineLevel="0" collapsed="false">
      <c r="A648" s="23" t="n">
        <v>647</v>
      </c>
      <c r="B648" s="30" t="s">
        <v>5747</v>
      </c>
      <c r="C648" s="20" t="n">
        <v>1</v>
      </c>
      <c r="D648" s="20" t="s">
        <v>4656</v>
      </c>
      <c r="E648" s="20" t="n">
        <f aca="false">IF(C648=1,COUNTIFS($C$2:C648,1,$D$2:D648,D648),COUNTIFS($C$2:$C$799,1,$D$2:$D$799,D648)+COUNTIFS($C$2:C648,2,$D$2:D648,D648))</f>
        <v>73</v>
      </c>
      <c r="F648" s="20" t="str">
        <f aca="false">D648&amp;" #"&amp;TEXT(E648,"000")</f>
        <v>신약 #073</v>
      </c>
      <c r="G648" s="30" t="s">
        <v>5748</v>
      </c>
      <c r="H648" s="30" t="s">
        <v>5749</v>
      </c>
      <c r="I648" s="23" t="s">
        <v>5750</v>
      </c>
      <c r="J648" s="24" t="s">
        <v>5751</v>
      </c>
      <c r="K648" s="23" t="s">
        <v>121</v>
      </c>
      <c r="L648" s="24" t="s">
        <v>5752</v>
      </c>
      <c r="M648" s="24" t="s">
        <v>5753</v>
      </c>
      <c r="N648" s="23" t="s">
        <v>5754</v>
      </c>
      <c r="O648" s="24" t="s">
        <v>5755</v>
      </c>
      <c r="P648" s="24" t="s">
        <v>5756</v>
      </c>
      <c r="Q648" s="24" t="s">
        <v>5757</v>
      </c>
      <c r="R648" s="24"/>
      <c r="S648" s="24" t="s">
        <v>129</v>
      </c>
      <c r="T648" s="24" t="str">
        <f aca="false">"["&amp;안내!$C$5&amp;" "&amp;F648&amp;"] "&amp;L648&amp;" | "&amp;J648</f>
        <v>[1분 성경 신약 #073] 승천 | 행 1:1-11</v>
      </c>
      <c r="U648" s="26" t="n">
        <f aca="false">IF(D648="구약",IF(C648=1,안내!$C$9,안내!$C$10)+AD648-1,IF(C648=1,안내!$C$9,안내!$C$10)+7*INT((AD648-1)/4)+CHOOSE(MOD(AD648-1,4)+1,0,2,4,5))</f>
        <v>46517</v>
      </c>
      <c r="V648" s="23" t="str">
        <f aca="false">CHOOSE(WEEKDAY(U648,2),"월","화","수","목","금","토","일")</f>
        <v>월</v>
      </c>
      <c r="W648" s="24" t="str">
        <f aca="false">IFERROR(IF(INDEX($C$2:$C$799,MATCH(D648&amp;"#"&amp;(E648+1),$AC$2:$AC$799,0))=C648,"다음 편: ","시즌1 완결 · 시즌2 첫 편: ")&amp;INDEX($L$2:$L$799,MATCH(D648&amp;"#"&amp;(E648+1),$AC$2:$AC$799,0)),"신약 트랙 완결")</f>
        <v>다음 편: 오순절 성령 강림</v>
      </c>
      <c r="X648" s="23" t="s">
        <v>130</v>
      </c>
      <c r="Y648" s="23" t="s">
        <v>130</v>
      </c>
      <c r="Z648" s="23" t="s">
        <v>130</v>
      </c>
      <c r="AA648" s="23" t="s">
        <v>130</v>
      </c>
      <c r="AB648" s="24"/>
      <c r="AC648" s="23" t="str">
        <f aca="false">D648&amp;"#"&amp;E648</f>
        <v>신약#73</v>
      </c>
      <c r="AD648" s="23" t="n">
        <f aca="false">COUNTIFS($C$2:C648,C648,$D$2:D648,D648)</f>
        <v>73</v>
      </c>
    </row>
    <row r="649" customFormat="false" ht="26.85" hidden="false" customHeight="false" outlineLevel="0" collapsed="false">
      <c r="A649" s="23" t="n">
        <v>648</v>
      </c>
      <c r="B649" s="30" t="s">
        <v>5758</v>
      </c>
      <c r="C649" s="23" t="n">
        <v>2</v>
      </c>
      <c r="D649" s="23" t="s">
        <v>4656</v>
      </c>
      <c r="E649" s="23" t="n">
        <f aca="false">IF(C649=1,COUNTIFS($C$2:C649,1,$D$2:D649,D649),COUNTIFS($C$2:$C$799,1,$D$2:$D$799,D649)+COUNTIFS($C$2:C649,2,$D$2:D649,D649))</f>
        <v>158</v>
      </c>
      <c r="F649" s="23" t="str">
        <f aca="false">D649&amp;" #"&amp;TEXT(E649,"000")</f>
        <v>신약 #158</v>
      </c>
      <c r="G649" s="30" t="s">
        <v>5748</v>
      </c>
      <c r="H649" s="30" t="s">
        <v>5658</v>
      </c>
      <c r="I649" s="23" t="s">
        <v>5750</v>
      </c>
      <c r="J649" s="24" t="s">
        <v>5759</v>
      </c>
      <c r="K649" s="23" t="s">
        <v>121</v>
      </c>
      <c r="L649" s="24" t="s">
        <v>5760</v>
      </c>
      <c r="M649" s="29" t="s">
        <v>5761</v>
      </c>
      <c r="N649" s="23" t="s">
        <v>5762</v>
      </c>
      <c r="O649" s="24" t="s">
        <v>5763</v>
      </c>
      <c r="P649" s="24" t="s">
        <v>5764</v>
      </c>
      <c r="Q649" s="24" t="s">
        <v>5655</v>
      </c>
      <c r="R649" s="24"/>
      <c r="S649" s="24" t="s">
        <v>5765</v>
      </c>
      <c r="T649" s="24" t="str">
        <f aca="false">"["&amp;안내!$C$5&amp;" "&amp;F649&amp;"] "&amp;L649&amp;" | "&amp;J649</f>
        <v>[1분 성경 신약 #158] 기도하며 기다리다 | 행 1:12-26</v>
      </c>
      <c r="U649" s="26" t="n">
        <f aca="false">IF(D649="구약",IF(C649=1,안내!$C$9,안내!$C$10)+AD649-1,IF(C649=1,안내!$C$9,안내!$C$10)+7*INT((AD649-1)/4)+CHOOSE(MOD(AD649-1,4)+1,0,2,4,5))</f>
        <v>46673</v>
      </c>
      <c r="V649" s="23" t="str">
        <f aca="false">CHOOSE(WEEKDAY(U649,2),"월","화","수","목","금","토","일")</f>
        <v>수</v>
      </c>
      <c r="W649" s="24" t="str">
        <f aca="false">IFERROR(IF(INDEX($C$2:$C$799,MATCH(D649&amp;"#"&amp;(E649+1),$AC$2:$AC$799,0))=C649,"다음 편: ","시즌1 완결 · 시즌2 첫 편: ")&amp;INDEX($L$2:$L$799,MATCH(D649&amp;"#"&amp;(E649+1),$AC$2:$AC$799,0)),"신약 트랙 완결")</f>
        <v>다음 편: 아나니아와 삽비라</v>
      </c>
      <c r="X649" s="23" t="s">
        <v>130</v>
      </c>
      <c r="Y649" s="23" t="s">
        <v>130</v>
      </c>
      <c r="Z649" s="23" t="s">
        <v>130</v>
      </c>
      <c r="AA649" s="23" t="s">
        <v>130</v>
      </c>
      <c r="AB649" s="24"/>
      <c r="AC649" s="23" t="str">
        <f aca="false">D649&amp;"#"&amp;E649</f>
        <v>신약#158</v>
      </c>
      <c r="AD649" s="23" t="n">
        <f aca="false">COUNTIFS($C$2:C649,C649,$D$2:D649,D649)</f>
        <v>54</v>
      </c>
    </row>
    <row r="650" customFormat="false" ht="26.85" hidden="false" customHeight="false" outlineLevel="0" collapsed="false">
      <c r="A650" s="23" t="n">
        <v>649</v>
      </c>
      <c r="B650" s="30" t="s">
        <v>5766</v>
      </c>
      <c r="C650" s="20" t="n">
        <v>1</v>
      </c>
      <c r="D650" s="20" t="s">
        <v>4656</v>
      </c>
      <c r="E650" s="20" t="n">
        <f aca="false">IF(C650=1,COUNTIFS($C$2:C650,1,$D$2:D650,D650),COUNTIFS($C$2:$C$799,1,$D$2:$D$799,D650)+COUNTIFS($C$2:C650,2,$D$2:D650,D650))</f>
        <v>74</v>
      </c>
      <c r="F650" s="20" t="str">
        <f aca="false">D650&amp;" #"&amp;TEXT(E650,"000")</f>
        <v>신약 #074</v>
      </c>
      <c r="G650" s="30" t="s">
        <v>5748</v>
      </c>
      <c r="H650" s="30" t="s">
        <v>5749</v>
      </c>
      <c r="I650" s="23" t="s">
        <v>5750</v>
      </c>
      <c r="J650" s="24" t="s">
        <v>5767</v>
      </c>
      <c r="K650" s="23" t="s">
        <v>121</v>
      </c>
      <c r="L650" s="24" t="s">
        <v>5768</v>
      </c>
      <c r="M650" s="24" t="s">
        <v>5769</v>
      </c>
      <c r="N650" s="23" t="s">
        <v>5770</v>
      </c>
      <c r="O650" s="24" t="s">
        <v>5771</v>
      </c>
      <c r="P650" s="24" t="s">
        <v>5772</v>
      </c>
      <c r="Q650" s="24" t="s">
        <v>5773</v>
      </c>
      <c r="R650" s="25" t="s">
        <v>5774</v>
      </c>
      <c r="S650" s="28" t="s">
        <v>5775</v>
      </c>
      <c r="T650" s="24" t="str">
        <f aca="false">"["&amp;안내!$C$5&amp;" "&amp;F650&amp;"] "&amp;L650&amp;" | "&amp;J650</f>
        <v>[1분 성경 신약 #074] 오순절 성령 강림 | 행 2:1-13</v>
      </c>
      <c r="U650" s="26" t="n">
        <f aca="false">IF(D650="구약",IF(C650=1,안내!$C$9,안내!$C$10)+AD650-1,IF(C650=1,안내!$C$9,안내!$C$10)+7*INT((AD650-1)/4)+CHOOSE(MOD(AD650-1,4)+1,0,2,4,5))</f>
        <v>46519</v>
      </c>
      <c r="V650" s="23" t="str">
        <f aca="false">CHOOSE(WEEKDAY(U650,2),"월","화","수","목","금","토","일")</f>
        <v>수</v>
      </c>
      <c r="W650" s="24" t="str">
        <f aca="false">IFERROR(IF(INDEX($C$2:$C$799,MATCH(D650&amp;"#"&amp;(E650+1),$AC$2:$AC$799,0))=C650,"다음 편: ","시즌1 완결 · 시즌2 첫 편: ")&amp;INDEX($L$2:$L$799,MATCH(D650&amp;"#"&amp;(E650+1),$AC$2:$AC$799,0)),"신약 트랙 완결")</f>
        <v>다음 편: 첫 번째 설교와 첫 교회</v>
      </c>
      <c r="X650" s="23" t="s">
        <v>130</v>
      </c>
      <c r="Y650" s="23" t="s">
        <v>130</v>
      </c>
      <c r="Z650" s="23" t="s">
        <v>130</v>
      </c>
      <c r="AA650" s="23" t="s">
        <v>130</v>
      </c>
      <c r="AB650" s="24"/>
      <c r="AC650" s="23" t="str">
        <f aca="false">D650&amp;"#"&amp;E650</f>
        <v>신약#74</v>
      </c>
      <c r="AD650" s="23" t="n">
        <f aca="false">COUNTIFS($C$2:C650,C650,$D$2:D650,D650)</f>
        <v>74</v>
      </c>
    </row>
    <row r="651" customFormat="false" ht="26.85" hidden="false" customHeight="false" outlineLevel="0" collapsed="false">
      <c r="A651" s="23" t="n">
        <v>650</v>
      </c>
      <c r="B651" s="30" t="s">
        <v>5776</v>
      </c>
      <c r="C651" s="20" t="n">
        <v>1</v>
      </c>
      <c r="D651" s="20" t="s">
        <v>4656</v>
      </c>
      <c r="E651" s="20" t="n">
        <f aca="false">IF(C651=1,COUNTIFS($C$2:C651,1,$D$2:D651,D651),COUNTIFS($C$2:$C$799,1,$D$2:$D$799,D651)+COUNTIFS($C$2:C651,2,$D$2:D651,D651))</f>
        <v>75</v>
      </c>
      <c r="F651" s="20" t="str">
        <f aca="false">D651&amp;" #"&amp;TEXT(E651,"000")</f>
        <v>신약 #075</v>
      </c>
      <c r="G651" s="30" t="s">
        <v>5748</v>
      </c>
      <c r="H651" s="30" t="s">
        <v>5749</v>
      </c>
      <c r="I651" s="23" t="s">
        <v>5750</v>
      </c>
      <c r="J651" s="24" t="s">
        <v>5777</v>
      </c>
      <c r="K651" s="23" t="s">
        <v>121</v>
      </c>
      <c r="L651" s="24" t="s">
        <v>5778</v>
      </c>
      <c r="M651" s="24" t="s">
        <v>5779</v>
      </c>
      <c r="N651" s="23" t="s">
        <v>5780</v>
      </c>
      <c r="O651" s="24" t="s">
        <v>5781</v>
      </c>
      <c r="P651" s="24" t="s">
        <v>5782</v>
      </c>
      <c r="Q651" s="24" t="s">
        <v>5783</v>
      </c>
      <c r="R651" s="24"/>
      <c r="S651" s="24" t="s">
        <v>129</v>
      </c>
      <c r="T651" s="24" t="str">
        <f aca="false">"["&amp;안내!$C$5&amp;" "&amp;F651&amp;"] "&amp;L651&amp;" | "&amp;J651</f>
        <v>[1분 성경 신약 #075] 첫 번째 설교와 첫 교회 | 행 2:14-47</v>
      </c>
      <c r="U651" s="26" t="n">
        <f aca="false">IF(D651="구약",IF(C651=1,안내!$C$9,안내!$C$10)+AD651-1,IF(C651=1,안내!$C$9,안내!$C$10)+7*INT((AD651-1)/4)+CHOOSE(MOD(AD651-1,4)+1,0,2,4,5))</f>
        <v>46521</v>
      </c>
      <c r="V651" s="23" t="str">
        <f aca="false">CHOOSE(WEEKDAY(U651,2),"월","화","수","목","금","토","일")</f>
        <v>금</v>
      </c>
      <c r="W651" s="24" t="str">
        <f aca="false">IFERROR(IF(INDEX($C$2:$C$799,MATCH(D651&amp;"#"&amp;(E651+1),$AC$2:$AC$799,0))=C651,"다음 편: ","시즌1 완결 · 시즌2 첫 편: ")&amp;INDEX($L$2:$L$799,MATCH(D651&amp;"#"&amp;(E651+1),$AC$2:$AC$799,0)),"신약 트랙 완결")</f>
        <v>다음 편: 미문의 앉은뱅이</v>
      </c>
      <c r="X651" s="23" t="s">
        <v>130</v>
      </c>
      <c r="Y651" s="23" t="s">
        <v>130</v>
      </c>
      <c r="Z651" s="23" t="s">
        <v>130</v>
      </c>
      <c r="AA651" s="23" t="s">
        <v>130</v>
      </c>
      <c r="AB651" s="24"/>
      <c r="AC651" s="23" t="str">
        <f aca="false">D651&amp;"#"&amp;E651</f>
        <v>신약#75</v>
      </c>
      <c r="AD651" s="23" t="n">
        <f aca="false">COUNTIFS($C$2:C651,C651,$D$2:D651,D651)</f>
        <v>75</v>
      </c>
    </row>
    <row r="652" customFormat="false" ht="26.85" hidden="false" customHeight="false" outlineLevel="0" collapsed="false">
      <c r="A652" s="23" t="n">
        <v>651</v>
      </c>
      <c r="B652" s="30" t="s">
        <v>5784</v>
      </c>
      <c r="C652" s="20" t="n">
        <v>1</v>
      </c>
      <c r="D652" s="20" t="s">
        <v>4656</v>
      </c>
      <c r="E652" s="20" t="n">
        <f aca="false">IF(C652=1,COUNTIFS($C$2:C652,1,$D$2:D652,D652),COUNTIFS($C$2:$C$799,1,$D$2:$D$799,D652)+COUNTIFS($C$2:C652,2,$D$2:D652,D652))</f>
        <v>76</v>
      </c>
      <c r="F652" s="20" t="str">
        <f aca="false">D652&amp;" #"&amp;TEXT(E652,"000")</f>
        <v>신약 #076</v>
      </c>
      <c r="G652" s="30" t="s">
        <v>5748</v>
      </c>
      <c r="H652" s="30" t="s">
        <v>5749</v>
      </c>
      <c r="I652" s="23" t="s">
        <v>5750</v>
      </c>
      <c r="J652" s="24" t="s">
        <v>5785</v>
      </c>
      <c r="K652" s="23" t="s">
        <v>121</v>
      </c>
      <c r="L652" s="24" t="s">
        <v>5786</v>
      </c>
      <c r="M652" s="24" t="s">
        <v>5787</v>
      </c>
      <c r="N652" s="23" t="s">
        <v>5788</v>
      </c>
      <c r="O652" s="24" t="s">
        <v>5789</v>
      </c>
      <c r="P652" s="24" t="s">
        <v>5790</v>
      </c>
      <c r="Q652" s="24" t="s">
        <v>5791</v>
      </c>
      <c r="R652" s="24"/>
      <c r="S652" s="24" t="s">
        <v>129</v>
      </c>
      <c r="T652" s="24" t="str">
        <f aca="false">"["&amp;안내!$C$5&amp;" "&amp;F652&amp;"] "&amp;L652&amp;" | "&amp;J652</f>
        <v>[1분 성경 신약 #076] 미문의 앉은뱅이 | 행 3:1-26</v>
      </c>
      <c r="U652" s="26" t="n">
        <f aca="false">IF(D652="구약",IF(C652=1,안내!$C$9,안내!$C$10)+AD652-1,IF(C652=1,안내!$C$9,안내!$C$10)+7*INT((AD652-1)/4)+CHOOSE(MOD(AD652-1,4)+1,0,2,4,5))</f>
        <v>46522</v>
      </c>
      <c r="V652" s="23" t="str">
        <f aca="false">CHOOSE(WEEKDAY(U652,2),"월","화","수","목","금","토","일")</f>
        <v>토</v>
      </c>
      <c r="W652" s="24" t="str">
        <f aca="false">IFERROR(IF(INDEX($C$2:$C$799,MATCH(D652&amp;"#"&amp;(E652+1),$AC$2:$AC$799,0))=C652,"다음 편: ","시즌1 완결 · 시즌2 첫 편: ")&amp;INDEX($L$2:$L$799,MATCH(D652&amp;"#"&amp;(E652+1),$AC$2:$AC$799,0)),"신약 트랙 완결")</f>
        <v>다음 편: 다른 이름은 없다</v>
      </c>
      <c r="X652" s="23" t="s">
        <v>130</v>
      </c>
      <c r="Y652" s="23" t="s">
        <v>130</v>
      </c>
      <c r="Z652" s="23" t="s">
        <v>130</v>
      </c>
      <c r="AA652" s="23" t="s">
        <v>130</v>
      </c>
      <c r="AB652" s="24"/>
      <c r="AC652" s="23" t="str">
        <f aca="false">D652&amp;"#"&amp;E652</f>
        <v>신약#76</v>
      </c>
      <c r="AD652" s="23" t="n">
        <f aca="false">COUNTIFS($C$2:C652,C652,$D$2:D652,D652)</f>
        <v>76</v>
      </c>
    </row>
    <row r="653" customFormat="false" ht="15" hidden="false" customHeight="false" outlineLevel="0" collapsed="false">
      <c r="A653" s="23" t="n">
        <v>652</v>
      </c>
      <c r="B653" s="30" t="s">
        <v>5792</v>
      </c>
      <c r="C653" s="20" t="n">
        <v>1</v>
      </c>
      <c r="D653" s="20" t="s">
        <v>4656</v>
      </c>
      <c r="E653" s="20" t="n">
        <f aca="false">IF(C653=1,COUNTIFS($C$2:C653,1,$D$2:D653,D653),COUNTIFS($C$2:$C$799,1,$D$2:$D$799,D653)+COUNTIFS($C$2:C653,2,$D$2:D653,D653))</f>
        <v>77</v>
      </c>
      <c r="F653" s="20" t="str">
        <f aca="false">D653&amp;" #"&amp;TEXT(E653,"000")</f>
        <v>신약 #077</v>
      </c>
      <c r="G653" s="30" t="s">
        <v>5748</v>
      </c>
      <c r="H653" s="30" t="s">
        <v>5749</v>
      </c>
      <c r="I653" s="23" t="s">
        <v>5750</v>
      </c>
      <c r="J653" s="24" t="s">
        <v>5793</v>
      </c>
      <c r="K653" s="23" t="s">
        <v>121</v>
      </c>
      <c r="L653" s="24" t="s">
        <v>5794</v>
      </c>
      <c r="M653" s="24" t="s">
        <v>5795</v>
      </c>
      <c r="N653" s="23" t="s">
        <v>5796</v>
      </c>
      <c r="O653" s="24" t="s">
        <v>5797</v>
      </c>
      <c r="P653" s="24" t="s">
        <v>5798</v>
      </c>
      <c r="Q653" s="24" t="s">
        <v>5799</v>
      </c>
      <c r="R653" s="24"/>
      <c r="S653" s="24" t="s">
        <v>129</v>
      </c>
      <c r="T653" s="24" t="str">
        <f aca="false">"["&amp;안내!$C$5&amp;" "&amp;F653&amp;"] "&amp;L653&amp;" | "&amp;J653</f>
        <v>[1분 성경 신약 #077] 다른 이름은 없다 | 행 4:1-37</v>
      </c>
      <c r="U653" s="26" t="n">
        <f aca="false">IF(D653="구약",IF(C653=1,안내!$C$9,안내!$C$10)+AD653-1,IF(C653=1,안내!$C$9,안내!$C$10)+7*INT((AD653-1)/4)+CHOOSE(MOD(AD653-1,4)+1,0,2,4,5))</f>
        <v>46524</v>
      </c>
      <c r="V653" s="23" t="str">
        <f aca="false">CHOOSE(WEEKDAY(U653,2),"월","화","수","목","금","토","일")</f>
        <v>월</v>
      </c>
      <c r="W653" s="24" t="str">
        <f aca="false">IFERROR(IF(INDEX($C$2:$C$799,MATCH(D653&amp;"#"&amp;(E653+1),$AC$2:$AC$799,0))=C653,"다음 편: ","시즌1 완결 · 시즌2 첫 편: ")&amp;INDEX($L$2:$L$799,MATCH(D653&amp;"#"&amp;(E653+1),$AC$2:$AC$799,0)),"신약 트랙 완결")</f>
        <v>다음 편: 스데반의 순교</v>
      </c>
      <c r="X653" s="23" t="s">
        <v>130</v>
      </c>
      <c r="Y653" s="23" t="s">
        <v>130</v>
      </c>
      <c r="Z653" s="23" t="s">
        <v>130</v>
      </c>
      <c r="AA653" s="23" t="s">
        <v>130</v>
      </c>
      <c r="AB653" s="24"/>
      <c r="AC653" s="23" t="str">
        <f aca="false">D653&amp;"#"&amp;E653</f>
        <v>신약#77</v>
      </c>
      <c r="AD653" s="23" t="n">
        <f aca="false">COUNTIFS($C$2:C653,C653,$D$2:D653,D653)</f>
        <v>77</v>
      </c>
    </row>
    <row r="654" customFormat="false" ht="25.35" hidden="false" customHeight="false" outlineLevel="0" collapsed="false">
      <c r="A654" s="23" t="n">
        <v>653</v>
      </c>
      <c r="B654" s="30" t="s">
        <v>5800</v>
      </c>
      <c r="C654" s="23" t="n">
        <v>2</v>
      </c>
      <c r="D654" s="23" t="s">
        <v>4656</v>
      </c>
      <c r="E654" s="23" t="n">
        <f aca="false">IF(C654=1,COUNTIFS($C$2:C654,1,$D$2:D654,D654),COUNTIFS($C$2:$C$799,1,$D$2:$D$799,D654)+COUNTIFS($C$2:C654,2,$D$2:D654,D654))</f>
        <v>159</v>
      </c>
      <c r="F654" s="23" t="str">
        <f aca="false">D654&amp;" #"&amp;TEXT(E654,"000")</f>
        <v>신약 #159</v>
      </c>
      <c r="G654" s="30" t="s">
        <v>5748</v>
      </c>
      <c r="H654" s="30" t="s">
        <v>5658</v>
      </c>
      <c r="I654" s="23" t="s">
        <v>5750</v>
      </c>
      <c r="J654" s="24" t="s">
        <v>5801</v>
      </c>
      <c r="K654" s="23" t="s">
        <v>121</v>
      </c>
      <c r="L654" s="24" t="s">
        <v>5802</v>
      </c>
      <c r="M654" s="24" t="s">
        <v>5803</v>
      </c>
      <c r="N654" s="23" t="s">
        <v>5804</v>
      </c>
      <c r="O654" s="24" t="s">
        <v>5805</v>
      </c>
      <c r="P654" s="24" t="s">
        <v>5806</v>
      </c>
      <c r="Q654" s="24" t="s">
        <v>5807</v>
      </c>
      <c r="R654" s="25" t="s">
        <v>5808</v>
      </c>
      <c r="S654" s="24" t="s">
        <v>5809</v>
      </c>
      <c r="T654" s="24" t="str">
        <f aca="false">"["&amp;안내!$C$5&amp;" "&amp;F654&amp;"] "&amp;L654&amp;" | "&amp;J654</f>
        <v>[1분 성경 신약 #159] 아나니아와 삽비라 | 행 5:1-16</v>
      </c>
      <c r="U654" s="26" t="n">
        <f aca="false">IF(D654="구약",IF(C654=1,안내!$C$9,안내!$C$10)+AD654-1,IF(C654=1,안내!$C$9,안내!$C$10)+7*INT((AD654-1)/4)+CHOOSE(MOD(AD654-1,4)+1,0,2,4,5))</f>
        <v>46675</v>
      </c>
      <c r="V654" s="23" t="str">
        <f aca="false">CHOOSE(WEEKDAY(U654,2),"월","화","수","목","금","토","일")</f>
        <v>금</v>
      </c>
      <c r="W654" s="24" t="str">
        <f aca="false">IFERROR(IF(INDEX($C$2:$C$799,MATCH(D654&amp;"#"&amp;(E654+1),$AC$2:$AC$799,0))=C654,"다음 편: ","시즌1 완결 · 시즌2 첫 편: ")&amp;INDEX($L$2:$L$799,MATCH(D654&amp;"#"&amp;(E654+1),$AC$2:$AC$799,0)),"신약 트랙 완결")</f>
        <v>다음 편: 사람보다 하나님께</v>
      </c>
      <c r="X654" s="23" t="s">
        <v>130</v>
      </c>
      <c r="Y654" s="23" t="s">
        <v>130</v>
      </c>
      <c r="Z654" s="23" t="s">
        <v>130</v>
      </c>
      <c r="AA654" s="23" t="s">
        <v>130</v>
      </c>
      <c r="AB654" s="24"/>
      <c r="AC654" s="23" t="str">
        <f aca="false">D654&amp;"#"&amp;E654</f>
        <v>신약#159</v>
      </c>
      <c r="AD654" s="23" t="n">
        <f aca="false">COUNTIFS($C$2:C654,C654,$D$2:D654,D654)</f>
        <v>55</v>
      </c>
    </row>
    <row r="655" customFormat="false" ht="26.85" hidden="false" customHeight="false" outlineLevel="0" collapsed="false">
      <c r="A655" s="23" t="n">
        <v>654</v>
      </c>
      <c r="B655" s="30" t="s">
        <v>5810</v>
      </c>
      <c r="C655" s="23" t="n">
        <v>2</v>
      </c>
      <c r="D655" s="23" t="s">
        <v>4656</v>
      </c>
      <c r="E655" s="23" t="n">
        <f aca="false">IF(C655=1,COUNTIFS($C$2:C655,1,$D$2:D655,D655),COUNTIFS($C$2:$C$799,1,$D$2:$D$799,D655)+COUNTIFS($C$2:C655,2,$D$2:D655,D655))</f>
        <v>160</v>
      </c>
      <c r="F655" s="23" t="str">
        <f aca="false">D655&amp;" #"&amp;TEXT(E655,"000")</f>
        <v>신약 #160</v>
      </c>
      <c r="G655" s="30" t="s">
        <v>5748</v>
      </c>
      <c r="H655" s="30" t="s">
        <v>5658</v>
      </c>
      <c r="I655" s="23" t="s">
        <v>5750</v>
      </c>
      <c r="J655" s="24" t="s">
        <v>5811</v>
      </c>
      <c r="K655" s="23" t="s">
        <v>121</v>
      </c>
      <c r="L655" s="24" t="s">
        <v>5812</v>
      </c>
      <c r="M655" s="24" t="s">
        <v>5813</v>
      </c>
      <c r="N655" s="23" t="s">
        <v>5814</v>
      </c>
      <c r="O655" s="24" t="s">
        <v>5815</v>
      </c>
      <c r="P655" s="24" t="s">
        <v>5816</v>
      </c>
      <c r="Q655" s="24" t="s">
        <v>5817</v>
      </c>
      <c r="R655" s="25" t="s">
        <v>5818</v>
      </c>
      <c r="S655" s="24" t="s">
        <v>5809</v>
      </c>
      <c r="T655" s="24" t="str">
        <f aca="false">"["&amp;안내!$C$5&amp;" "&amp;F655&amp;"] "&amp;L655&amp;" | "&amp;J655</f>
        <v>[1분 성경 신약 #160] 사람보다 하나님께 | 행 5:17-42</v>
      </c>
      <c r="U655" s="26" t="n">
        <f aca="false">IF(D655="구약",IF(C655=1,안내!$C$9,안내!$C$10)+AD655-1,IF(C655=1,안내!$C$9,안내!$C$10)+7*INT((AD655-1)/4)+CHOOSE(MOD(AD655-1,4)+1,0,2,4,5))</f>
        <v>46676</v>
      </c>
      <c r="V655" s="23" t="str">
        <f aca="false">CHOOSE(WEEKDAY(U655,2),"월","화","수","목","금","토","일")</f>
        <v>토</v>
      </c>
      <c r="W655" s="24" t="str">
        <f aca="false">IFERROR(IF(INDEX($C$2:$C$799,MATCH(D655&amp;"#"&amp;(E655+1),$AC$2:$AC$799,0))=C655,"다음 편: ","시즌1 완결 · 시즌2 첫 편: ")&amp;INDEX($L$2:$L$799,MATCH(D655&amp;"#"&amp;(E655+1),$AC$2:$AC$799,0)),"신약 트랙 완결")</f>
        <v>다음 편: 일곱 집사</v>
      </c>
      <c r="X655" s="23" t="s">
        <v>130</v>
      </c>
      <c r="Y655" s="23" t="s">
        <v>130</v>
      </c>
      <c r="Z655" s="23" t="s">
        <v>130</v>
      </c>
      <c r="AA655" s="23" t="s">
        <v>130</v>
      </c>
      <c r="AB655" s="24"/>
      <c r="AC655" s="23" t="str">
        <f aca="false">D655&amp;"#"&amp;E655</f>
        <v>신약#160</v>
      </c>
      <c r="AD655" s="23" t="n">
        <f aca="false">COUNTIFS($C$2:C655,C655,$D$2:D655,D655)</f>
        <v>56</v>
      </c>
    </row>
    <row r="656" customFormat="false" ht="15" hidden="false" customHeight="false" outlineLevel="0" collapsed="false">
      <c r="A656" s="23" t="n">
        <v>655</v>
      </c>
      <c r="B656" s="30" t="s">
        <v>5819</v>
      </c>
      <c r="C656" s="23" t="n">
        <v>2</v>
      </c>
      <c r="D656" s="23" t="s">
        <v>4656</v>
      </c>
      <c r="E656" s="23" t="n">
        <f aca="false">IF(C656=1,COUNTIFS($C$2:C656,1,$D$2:D656,D656),COUNTIFS($C$2:$C$799,1,$D$2:$D$799,D656)+COUNTIFS($C$2:C656,2,$D$2:D656,D656))</f>
        <v>161</v>
      </c>
      <c r="F656" s="23" t="str">
        <f aca="false">D656&amp;" #"&amp;TEXT(E656,"000")</f>
        <v>신약 #161</v>
      </c>
      <c r="G656" s="30" t="s">
        <v>5748</v>
      </c>
      <c r="H656" s="30" t="s">
        <v>5658</v>
      </c>
      <c r="I656" s="23" t="s">
        <v>5750</v>
      </c>
      <c r="J656" s="24" t="s">
        <v>5820</v>
      </c>
      <c r="K656" s="23" t="s">
        <v>121</v>
      </c>
      <c r="L656" s="24" t="s">
        <v>5821</v>
      </c>
      <c r="M656" s="24" t="s">
        <v>5822</v>
      </c>
      <c r="N656" s="23" t="s">
        <v>5823</v>
      </c>
      <c r="O656" s="24" t="s">
        <v>5824</v>
      </c>
      <c r="P656" s="24" t="s">
        <v>5825</v>
      </c>
      <c r="Q656" s="24" t="s">
        <v>5826</v>
      </c>
      <c r="R656" s="24"/>
      <c r="S656" s="24" t="s">
        <v>5809</v>
      </c>
      <c r="T656" s="24" t="str">
        <f aca="false">"["&amp;안내!$C$5&amp;" "&amp;F656&amp;"] "&amp;L656&amp;" | "&amp;J656</f>
        <v>[1분 성경 신약 #161] 일곱 집사 | 행 6:1-15</v>
      </c>
      <c r="U656" s="26" t="n">
        <f aca="false">IF(D656="구약",IF(C656=1,안내!$C$9,안내!$C$10)+AD656-1,IF(C656=1,안내!$C$9,안내!$C$10)+7*INT((AD656-1)/4)+CHOOSE(MOD(AD656-1,4)+1,0,2,4,5))</f>
        <v>46678</v>
      </c>
      <c r="V656" s="23" t="str">
        <f aca="false">CHOOSE(WEEKDAY(U656,2),"월","화","수","목","금","토","일")</f>
        <v>월</v>
      </c>
      <c r="W656" s="24" t="str">
        <f aca="false">IFERROR(IF(INDEX($C$2:$C$799,MATCH(D656&amp;"#"&amp;(E656+1),$AC$2:$AC$799,0))=C656,"다음 편: ","시즌1 완결 · 시즌2 첫 편: ")&amp;INDEX($L$2:$L$799,MATCH(D656&amp;"#"&amp;(E656+1),$AC$2:$AC$799,0)),"신약 트랙 완결")</f>
        <v>다음 편: 사마리아의 기쁨</v>
      </c>
      <c r="X656" s="23" t="s">
        <v>130</v>
      </c>
      <c r="Y656" s="23" t="s">
        <v>130</v>
      </c>
      <c r="Z656" s="23" t="s">
        <v>130</v>
      </c>
      <c r="AA656" s="23" t="s">
        <v>130</v>
      </c>
      <c r="AB656" s="24"/>
      <c r="AC656" s="23" t="str">
        <f aca="false">D656&amp;"#"&amp;E656</f>
        <v>신약#161</v>
      </c>
      <c r="AD656" s="23" t="n">
        <f aca="false">COUNTIFS($C$2:C656,C656,$D$2:D656,D656)</f>
        <v>57</v>
      </c>
    </row>
    <row r="657" customFormat="false" ht="39.55" hidden="false" customHeight="false" outlineLevel="0" collapsed="false">
      <c r="A657" s="23" t="n">
        <v>656</v>
      </c>
      <c r="B657" s="30" t="s">
        <v>5827</v>
      </c>
      <c r="C657" s="20" t="n">
        <v>1</v>
      </c>
      <c r="D657" s="20" t="s">
        <v>4656</v>
      </c>
      <c r="E657" s="20" t="n">
        <f aca="false">IF(C657=1,COUNTIFS($C$2:C657,1,$D$2:D657,D657),COUNTIFS($C$2:$C$799,1,$D$2:$D$799,D657)+COUNTIFS($C$2:C657,2,$D$2:D657,D657))</f>
        <v>78</v>
      </c>
      <c r="F657" s="20" t="str">
        <f aca="false">D657&amp;" #"&amp;TEXT(E657,"000")</f>
        <v>신약 #078</v>
      </c>
      <c r="G657" s="30" t="s">
        <v>5748</v>
      </c>
      <c r="H657" s="30" t="s">
        <v>5749</v>
      </c>
      <c r="I657" s="23" t="s">
        <v>5750</v>
      </c>
      <c r="J657" s="24" t="s">
        <v>5828</v>
      </c>
      <c r="K657" s="23" t="s">
        <v>121</v>
      </c>
      <c r="L657" s="24" t="s">
        <v>5829</v>
      </c>
      <c r="M657" s="24" t="s">
        <v>5830</v>
      </c>
      <c r="N657" s="23" t="s">
        <v>5831</v>
      </c>
      <c r="O657" s="24" t="s">
        <v>5832</v>
      </c>
      <c r="P657" s="24" t="s">
        <v>5833</v>
      </c>
      <c r="Q657" s="24" t="s">
        <v>5834</v>
      </c>
      <c r="R657" s="25" t="s">
        <v>5835</v>
      </c>
      <c r="S657" s="28" t="s">
        <v>5836</v>
      </c>
      <c r="T657" s="24" t="str">
        <f aca="false">"["&amp;안내!$C$5&amp;" "&amp;F657&amp;"] "&amp;L657&amp;" | "&amp;J657</f>
        <v>[1분 성경 신약 #078] 스데반의 순교 | 행 7:1-60</v>
      </c>
      <c r="U657" s="26" t="n">
        <f aca="false">IF(D657="구약",IF(C657=1,안내!$C$9,안내!$C$10)+AD657-1,IF(C657=1,안내!$C$9,안내!$C$10)+7*INT((AD657-1)/4)+CHOOSE(MOD(AD657-1,4)+1,0,2,4,5))</f>
        <v>46526</v>
      </c>
      <c r="V657" s="23" t="str">
        <f aca="false">CHOOSE(WEEKDAY(U657,2),"월","화","수","목","금","토","일")</f>
        <v>수</v>
      </c>
      <c r="W657" s="24" t="str">
        <f aca="false">IFERROR(IF(INDEX($C$2:$C$799,MATCH(D657&amp;"#"&amp;(E657+1),$AC$2:$AC$799,0))=C657,"다음 편: ","시즌1 완결 · 시즌2 첫 편: ")&amp;INDEX($L$2:$L$799,MATCH(D657&amp;"#"&amp;(E657+1),$AC$2:$AC$799,0)),"신약 트랙 완결")</f>
        <v>다음 편: 광야 길의 내시</v>
      </c>
      <c r="X657" s="23" t="s">
        <v>130</v>
      </c>
      <c r="Y657" s="23" t="s">
        <v>130</v>
      </c>
      <c r="Z657" s="23" t="s">
        <v>130</v>
      </c>
      <c r="AA657" s="23" t="s">
        <v>130</v>
      </c>
      <c r="AB657" s="24"/>
      <c r="AC657" s="23" t="str">
        <f aca="false">D657&amp;"#"&amp;E657</f>
        <v>신약#78</v>
      </c>
      <c r="AD657" s="23" t="n">
        <f aca="false">COUNTIFS($C$2:C657,C657,$D$2:D657,D657)</f>
        <v>78</v>
      </c>
    </row>
    <row r="658" customFormat="false" ht="26.85" hidden="false" customHeight="false" outlineLevel="0" collapsed="false">
      <c r="A658" s="23" t="n">
        <v>657</v>
      </c>
      <c r="B658" s="30" t="s">
        <v>5837</v>
      </c>
      <c r="C658" s="23" t="n">
        <v>2</v>
      </c>
      <c r="D658" s="23" t="s">
        <v>4656</v>
      </c>
      <c r="E658" s="23" t="n">
        <f aca="false">IF(C658=1,COUNTIFS($C$2:C658,1,$D$2:D658,D658),COUNTIFS($C$2:$C$799,1,$D$2:$D$799,D658)+COUNTIFS($C$2:C658,2,$D$2:D658,D658))</f>
        <v>162</v>
      </c>
      <c r="F658" s="23" t="str">
        <f aca="false">D658&amp;" #"&amp;TEXT(E658,"000")</f>
        <v>신약 #162</v>
      </c>
      <c r="G658" s="30" t="s">
        <v>5838</v>
      </c>
      <c r="H658" s="30" t="s">
        <v>5839</v>
      </c>
      <c r="I658" s="23" t="s">
        <v>5750</v>
      </c>
      <c r="J658" s="24" t="s">
        <v>5840</v>
      </c>
      <c r="K658" s="23" t="s">
        <v>121</v>
      </c>
      <c r="L658" s="24" t="s">
        <v>5841</v>
      </c>
      <c r="M658" s="24" t="s">
        <v>5842</v>
      </c>
      <c r="N658" s="23" t="s">
        <v>5843</v>
      </c>
      <c r="O658" s="24" t="s">
        <v>5844</v>
      </c>
      <c r="P658" s="24" t="s">
        <v>5845</v>
      </c>
      <c r="Q658" s="24" t="s">
        <v>5846</v>
      </c>
      <c r="R658" s="24"/>
      <c r="S658" s="24" t="s">
        <v>5847</v>
      </c>
      <c r="T658" s="24" t="str">
        <f aca="false">"["&amp;안내!$C$5&amp;" "&amp;F658&amp;"] "&amp;L658&amp;" | "&amp;J658</f>
        <v>[1분 성경 신약 #162] 사마리아의 기쁨 | 행 8:1-25</v>
      </c>
      <c r="U658" s="26" t="n">
        <f aca="false">IF(D658="구약",IF(C658=1,안내!$C$9,안내!$C$10)+AD658-1,IF(C658=1,안내!$C$9,안내!$C$10)+7*INT((AD658-1)/4)+CHOOSE(MOD(AD658-1,4)+1,0,2,4,5))</f>
        <v>46680</v>
      </c>
      <c r="V658" s="23" t="str">
        <f aca="false">CHOOSE(WEEKDAY(U658,2),"월","화","수","목","금","토","일")</f>
        <v>수</v>
      </c>
      <c r="W658" s="24" t="str">
        <f aca="false">IFERROR(IF(INDEX($C$2:$C$799,MATCH(D658&amp;"#"&amp;(E658+1),$AC$2:$AC$799,0))=C658,"다음 편: ","시즌1 완결 · 시즌2 첫 편: ")&amp;INDEX($L$2:$L$799,MATCH(D658&amp;"#"&amp;(E658+1),$AC$2:$AC$799,0)),"신약 트랙 완결")</f>
        <v>다음 편: 변화된 사울</v>
      </c>
      <c r="X658" s="23" t="s">
        <v>130</v>
      </c>
      <c r="Y658" s="23" t="s">
        <v>130</v>
      </c>
      <c r="Z658" s="23" t="s">
        <v>130</v>
      </c>
      <c r="AA658" s="23" t="s">
        <v>130</v>
      </c>
      <c r="AB658" s="24"/>
      <c r="AC658" s="23" t="str">
        <f aca="false">D658&amp;"#"&amp;E658</f>
        <v>신약#162</v>
      </c>
      <c r="AD658" s="23" t="n">
        <f aca="false">COUNTIFS($C$2:C658,C658,$D$2:D658,D658)</f>
        <v>58</v>
      </c>
    </row>
    <row r="659" customFormat="false" ht="26.85" hidden="false" customHeight="false" outlineLevel="0" collapsed="false">
      <c r="A659" s="23" t="n">
        <v>658</v>
      </c>
      <c r="B659" s="30" t="s">
        <v>5848</v>
      </c>
      <c r="C659" s="20" t="n">
        <v>1</v>
      </c>
      <c r="D659" s="20" t="s">
        <v>4656</v>
      </c>
      <c r="E659" s="20" t="n">
        <f aca="false">IF(C659=1,COUNTIFS($C$2:C659,1,$D$2:D659,D659),COUNTIFS($C$2:$C$799,1,$D$2:$D$799,D659)+COUNTIFS($C$2:C659,2,$D$2:D659,D659))</f>
        <v>79</v>
      </c>
      <c r="F659" s="20" t="str">
        <f aca="false">D659&amp;" #"&amp;TEXT(E659,"000")</f>
        <v>신약 #079</v>
      </c>
      <c r="G659" s="30" t="s">
        <v>5838</v>
      </c>
      <c r="H659" s="30" t="s">
        <v>5749</v>
      </c>
      <c r="I659" s="23" t="s">
        <v>5750</v>
      </c>
      <c r="J659" s="24" t="s">
        <v>5849</v>
      </c>
      <c r="K659" s="23" t="s">
        <v>121</v>
      </c>
      <c r="L659" s="24" t="s">
        <v>5850</v>
      </c>
      <c r="M659" s="24" t="s">
        <v>5851</v>
      </c>
      <c r="N659" s="23" t="s">
        <v>5852</v>
      </c>
      <c r="O659" s="24" t="s">
        <v>5853</v>
      </c>
      <c r="P659" s="24" t="s">
        <v>5854</v>
      </c>
      <c r="Q659" s="24" t="s">
        <v>5855</v>
      </c>
      <c r="R659" s="24"/>
      <c r="S659" s="28" t="s">
        <v>5856</v>
      </c>
      <c r="T659" s="24" t="str">
        <f aca="false">"["&amp;안내!$C$5&amp;" "&amp;F659&amp;"] "&amp;L659&amp;" | "&amp;J659</f>
        <v>[1분 성경 신약 #079] 광야 길의 내시 | 행 8:26-40</v>
      </c>
      <c r="U659" s="26" t="n">
        <f aca="false">IF(D659="구약",IF(C659=1,안내!$C$9,안내!$C$10)+AD659-1,IF(C659=1,안내!$C$9,안내!$C$10)+7*INT((AD659-1)/4)+CHOOSE(MOD(AD659-1,4)+1,0,2,4,5))</f>
        <v>46528</v>
      </c>
      <c r="V659" s="23" t="str">
        <f aca="false">CHOOSE(WEEKDAY(U659,2),"월","화","수","목","금","토","일")</f>
        <v>금</v>
      </c>
      <c r="W659" s="24" t="str">
        <f aca="false">IFERROR(IF(INDEX($C$2:$C$799,MATCH(D659&amp;"#"&amp;(E659+1),$AC$2:$AC$799,0))=C659,"다음 편: ","시즌1 완결 · 시즌2 첫 편: ")&amp;INDEX($L$2:$L$799,MATCH(D659&amp;"#"&amp;(E659+1),$AC$2:$AC$799,0)),"신약 트랙 완결")</f>
        <v>다음 편: 다메섹 도상의 빛</v>
      </c>
      <c r="X659" s="23" t="s">
        <v>130</v>
      </c>
      <c r="Y659" s="23" t="s">
        <v>130</v>
      </c>
      <c r="Z659" s="23" t="s">
        <v>130</v>
      </c>
      <c r="AA659" s="23" t="s">
        <v>130</v>
      </c>
      <c r="AB659" s="24"/>
      <c r="AC659" s="23" t="str">
        <f aca="false">D659&amp;"#"&amp;E659</f>
        <v>신약#79</v>
      </c>
      <c r="AD659" s="23" t="n">
        <f aca="false">COUNTIFS($C$2:C659,C659,$D$2:D659,D659)</f>
        <v>79</v>
      </c>
    </row>
    <row r="660" customFormat="false" ht="26.85" hidden="false" customHeight="false" outlineLevel="0" collapsed="false">
      <c r="A660" s="23" t="n">
        <v>659</v>
      </c>
      <c r="B660" s="30" t="s">
        <v>5857</v>
      </c>
      <c r="C660" s="20" t="n">
        <v>1</v>
      </c>
      <c r="D660" s="20" t="s">
        <v>4656</v>
      </c>
      <c r="E660" s="20" t="n">
        <f aca="false">IF(C660=1,COUNTIFS($C$2:C660,1,$D$2:D660,D660),COUNTIFS($C$2:$C$799,1,$D$2:$D$799,D660)+COUNTIFS($C$2:C660,2,$D$2:D660,D660))</f>
        <v>80</v>
      </c>
      <c r="F660" s="20" t="str">
        <f aca="false">D660&amp;" #"&amp;TEXT(E660,"000")</f>
        <v>신약 #080</v>
      </c>
      <c r="G660" s="30" t="s">
        <v>5838</v>
      </c>
      <c r="H660" s="30" t="s">
        <v>5749</v>
      </c>
      <c r="I660" s="23" t="s">
        <v>5750</v>
      </c>
      <c r="J660" s="24" t="s">
        <v>5858</v>
      </c>
      <c r="K660" s="23" t="s">
        <v>121</v>
      </c>
      <c r="L660" s="24" t="s">
        <v>5859</v>
      </c>
      <c r="M660" s="24" t="s">
        <v>5860</v>
      </c>
      <c r="N660" s="23" t="s">
        <v>5861</v>
      </c>
      <c r="O660" s="24" t="s">
        <v>5862</v>
      </c>
      <c r="P660" s="24" t="s">
        <v>5863</v>
      </c>
      <c r="Q660" s="24" t="s">
        <v>5864</v>
      </c>
      <c r="R660" s="24"/>
      <c r="S660" s="24" t="s">
        <v>129</v>
      </c>
      <c r="T660" s="24" t="str">
        <f aca="false">"["&amp;안내!$C$5&amp;" "&amp;F660&amp;"] "&amp;L660&amp;" | "&amp;J660</f>
        <v>[1분 성경 신약 #080] 다메섹 도상의 빛 | 행 9:1-19</v>
      </c>
      <c r="U660" s="26" t="n">
        <f aca="false">IF(D660="구약",IF(C660=1,안내!$C$9,안내!$C$10)+AD660-1,IF(C660=1,안내!$C$9,안내!$C$10)+7*INT((AD660-1)/4)+CHOOSE(MOD(AD660-1,4)+1,0,2,4,5))</f>
        <v>46529</v>
      </c>
      <c r="V660" s="23" t="str">
        <f aca="false">CHOOSE(WEEKDAY(U660,2),"월","화","수","목","금","토","일")</f>
        <v>토</v>
      </c>
      <c r="W660" s="24" t="str">
        <f aca="false">IFERROR(IF(INDEX($C$2:$C$799,MATCH(D660&amp;"#"&amp;(E660+1),$AC$2:$AC$799,0))=C660,"다음 편: ","시즌1 완결 · 시즌2 첫 편: ")&amp;INDEX($L$2:$L$799,MATCH(D660&amp;"#"&amp;(E660+1),$AC$2:$AC$799,0)),"신약 트랙 완결")</f>
        <v>다음 편: 보자기 환상</v>
      </c>
      <c r="X660" s="23" t="s">
        <v>130</v>
      </c>
      <c r="Y660" s="23" t="s">
        <v>130</v>
      </c>
      <c r="Z660" s="23" t="s">
        <v>130</v>
      </c>
      <c r="AA660" s="23" t="s">
        <v>130</v>
      </c>
      <c r="AB660" s="24"/>
      <c r="AC660" s="23" t="str">
        <f aca="false">D660&amp;"#"&amp;E660</f>
        <v>신약#80</v>
      </c>
      <c r="AD660" s="23" t="n">
        <f aca="false">COUNTIFS($C$2:C660,C660,$D$2:D660,D660)</f>
        <v>80</v>
      </c>
    </row>
    <row r="661" customFormat="false" ht="26.85" hidden="false" customHeight="false" outlineLevel="0" collapsed="false">
      <c r="A661" s="23" t="n">
        <v>660</v>
      </c>
      <c r="B661" s="30" t="s">
        <v>5865</v>
      </c>
      <c r="C661" s="23" t="n">
        <v>2</v>
      </c>
      <c r="D661" s="23" t="s">
        <v>4656</v>
      </c>
      <c r="E661" s="23" t="n">
        <f aca="false">IF(C661=1,COUNTIFS($C$2:C661,1,$D$2:D661,D661),COUNTIFS($C$2:$C$799,1,$D$2:$D$799,D661)+COUNTIFS($C$2:C661,2,$D$2:D661,D661))</f>
        <v>163</v>
      </c>
      <c r="F661" s="23" t="str">
        <f aca="false">D661&amp;" #"&amp;TEXT(E661,"000")</f>
        <v>신약 #163</v>
      </c>
      <c r="G661" s="30" t="s">
        <v>5838</v>
      </c>
      <c r="H661" s="30" t="s">
        <v>5839</v>
      </c>
      <c r="I661" s="23" t="s">
        <v>5750</v>
      </c>
      <c r="J661" s="24" t="s">
        <v>5866</v>
      </c>
      <c r="K661" s="23" t="s">
        <v>121</v>
      </c>
      <c r="L661" s="24" t="s">
        <v>5867</v>
      </c>
      <c r="M661" s="24" t="s">
        <v>5868</v>
      </c>
      <c r="N661" s="23" t="s">
        <v>5869</v>
      </c>
      <c r="O661" s="24" t="s">
        <v>5870</v>
      </c>
      <c r="P661" s="24" t="s">
        <v>5871</v>
      </c>
      <c r="Q661" s="24" t="s">
        <v>5872</v>
      </c>
      <c r="R661" s="24"/>
      <c r="S661" s="24" t="s">
        <v>5873</v>
      </c>
      <c r="T661" s="24" t="str">
        <f aca="false">"["&amp;안내!$C$5&amp;" "&amp;F661&amp;"] "&amp;L661&amp;" | "&amp;J661</f>
        <v>[1분 성경 신약 #163] 변화된 사울 | 행 9:20-31</v>
      </c>
      <c r="U661" s="26" t="n">
        <f aca="false">IF(D661="구약",IF(C661=1,안내!$C$9,안내!$C$10)+AD661-1,IF(C661=1,안내!$C$9,안내!$C$10)+7*INT((AD661-1)/4)+CHOOSE(MOD(AD661-1,4)+1,0,2,4,5))</f>
        <v>46682</v>
      </c>
      <c r="V661" s="23" t="str">
        <f aca="false">CHOOSE(WEEKDAY(U661,2),"월","화","수","목","금","토","일")</f>
        <v>금</v>
      </c>
      <c r="W661" s="24" t="str">
        <f aca="false">IFERROR(IF(INDEX($C$2:$C$799,MATCH(D661&amp;"#"&amp;(E661+1),$AC$2:$AC$799,0))=C661,"다음 편: ","시즌1 완결 · 시즌2 첫 편: ")&amp;INDEX($L$2:$L$799,MATCH(D661&amp;"#"&amp;(E661+1),$AC$2:$AC$799,0)),"신약 트랙 완결")</f>
        <v>다음 편: 다비다야 일어나라</v>
      </c>
      <c r="X661" s="23" t="s">
        <v>130</v>
      </c>
      <c r="Y661" s="23" t="s">
        <v>130</v>
      </c>
      <c r="Z661" s="23" t="s">
        <v>130</v>
      </c>
      <c r="AA661" s="23" t="s">
        <v>130</v>
      </c>
      <c r="AB661" s="24"/>
      <c r="AC661" s="23" t="str">
        <f aca="false">D661&amp;"#"&amp;E661</f>
        <v>신약#163</v>
      </c>
      <c r="AD661" s="23" t="n">
        <f aca="false">COUNTIFS($C$2:C661,C661,$D$2:D661,D661)</f>
        <v>59</v>
      </c>
    </row>
    <row r="662" customFormat="false" ht="26.85" hidden="false" customHeight="false" outlineLevel="0" collapsed="false">
      <c r="A662" s="23" t="n">
        <v>661</v>
      </c>
      <c r="B662" s="30" t="s">
        <v>5874</v>
      </c>
      <c r="C662" s="23" t="n">
        <v>2</v>
      </c>
      <c r="D662" s="23" t="s">
        <v>4656</v>
      </c>
      <c r="E662" s="23" t="n">
        <f aca="false">IF(C662=1,COUNTIFS($C$2:C662,1,$D$2:D662,D662),COUNTIFS($C$2:$C$799,1,$D$2:$D$799,D662)+COUNTIFS($C$2:C662,2,$D$2:D662,D662))</f>
        <v>164</v>
      </c>
      <c r="F662" s="23" t="str">
        <f aca="false">D662&amp;" #"&amp;TEXT(E662,"000")</f>
        <v>신약 #164</v>
      </c>
      <c r="G662" s="30" t="s">
        <v>5838</v>
      </c>
      <c r="H662" s="30" t="s">
        <v>5839</v>
      </c>
      <c r="I662" s="23" t="s">
        <v>5750</v>
      </c>
      <c r="J662" s="24" t="s">
        <v>5875</v>
      </c>
      <c r="K662" s="23" t="s">
        <v>121</v>
      </c>
      <c r="L662" s="24" t="s">
        <v>5876</v>
      </c>
      <c r="M662" s="24" t="s">
        <v>5877</v>
      </c>
      <c r="N662" s="23" t="s">
        <v>5878</v>
      </c>
      <c r="O662" s="24" t="s">
        <v>5879</v>
      </c>
      <c r="P662" s="24" t="s">
        <v>5880</v>
      </c>
      <c r="Q662" s="24" t="s">
        <v>5881</v>
      </c>
      <c r="R662" s="24"/>
      <c r="S662" s="24" t="s">
        <v>5873</v>
      </c>
      <c r="T662" s="24" t="str">
        <f aca="false">"["&amp;안내!$C$5&amp;" "&amp;F662&amp;"] "&amp;L662&amp;" | "&amp;J662</f>
        <v>[1분 성경 신약 #164] 다비다야 일어나라 | 행 9:32-43</v>
      </c>
      <c r="U662" s="26" t="n">
        <f aca="false">IF(D662="구약",IF(C662=1,안내!$C$9,안내!$C$10)+AD662-1,IF(C662=1,안내!$C$9,안내!$C$10)+7*INT((AD662-1)/4)+CHOOSE(MOD(AD662-1,4)+1,0,2,4,5))</f>
        <v>46683</v>
      </c>
      <c r="V662" s="23" t="str">
        <f aca="false">CHOOSE(WEEKDAY(U662,2),"월","화","수","목","금","토","일")</f>
        <v>토</v>
      </c>
      <c r="W662" s="24" t="str">
        <f aca="false">IFERROR(IF(INDEX($C$2:$C$799,MATCH(D662&amp;"#"&amp;(E662+1),$AC$2:$AC$799,0))=C662,"다음 편: ","시즌1 완결 · 시즌2 첫 편: ")&amp;INDEX($L$2:$L$799,MATCH(D662&amp;"#"&amp;(E662+1),$AC$2:$AC$799,0)),"신약 트랙 완결")</f>
        <v>다음 편: 그리스도인이라 불리다</v>
      </c>
      <c r="X662" s="23" t="s">
        <v>130</v>
      </c>
      <c r="Y662" s="23" t="s">
        <v>130</v>
      </c>
      <c r="Z662" s="23" t="s">
        <v>130</v>
      </c>
      <c r="AA662" s="23" t="s">
        <v>130</v>
      </c>
      <c r="AB662" s="24"/>
      <c r="AC662" s="23" t="str">
        <f aca="false">D662&amp;"#"&amp;E662</f>
        <v>신약#164</v>
      </c>
      <c r="AD662" s="23" t="n">
        <f aca="false">COUNTIFS($C$2:C662,C662,$D$2:D662,D662)</f>
        <v>60</v>
      </c>
    </row>
    <row r="663" customFormat="false" ht="39.55" hidden="false" customHeight="false" outlineLevel="0" collapsed="false">
      <c r="A663" s="23" t="n">
        <v>662</v>
      </c>
      <c r="B663" s="30" t="s">
        <v>5882</v>
      </c>
      <c r="C663" s="20" t="n">
        <v>1</v>
      </c>
      <c r="D663" s="20" t="s">
        <v>4656</v>
      </c>
      <c r="E663" s="20" t="n">
        <f aca="false">IF(C663=1,COUNTIFS($C$2:C663,1,$D$2:D663,D663),COUNTIFS($C$2:$C$799,1,$D$2:$D$799,D663)+COUNTIFS($C$2:C663,2,$D$2:D663,D663))</f>
        <v>81</v>
      </c>
      <c r="F663" s="20" t="str">
        <f aca="false">D663&amp;" #"&amp;TEXT(E663,"000")</f>
        <v>신약 #081</v>
      </c>
      <c r="G663" s="30" t="s">
        <v>5838</v>
      </c>
      <c r="H663" s="30" t="s">
        <v>5749</v>
      </c>
      <c r="I663" s="23" t="s">
        <v>5750</v>
      </c>
      <c r="J663" s="24" t="s">
        <v>5883</v>
      </c>
      <c r="K663" s="23" t="s">
        <v>121</v>
      </c>
      <c r="L663" s="24" t="s">
        <v>5884</v>
      </c>
      <c r="M663" s="24" t="s">
        <v>5885</v>
      </c>
      <c r="N663" s="23" t="s">
        <v>5886</v>
      </c>
      <c r="O663" s="24" t="s">
        <v>5887</v>
      </c>
      <c r="P663" s="24" t="s">
        <v>5888</v>
      </c>
      <c r="Q663" s="24" t="s">
        <v>5889</v>
      </c>
      <c r="R663" s="24"/>
      <c r="S663" s="28" t="s">
        <v>5890</v>
      </c>
      <c r="T663" s="24" t="str">
        <f aca="false">"["&amp;안내!$C$5&amp;" "&amp;F663&amp;"] "&amp;L663&amp;" | "&amp;J663</f>
        <v>[1분 성경 신약 #081] 보자기 환상 | 행 10:1-48</v>
      </c>
      <c r="U663" s="26" t="n">
        <f aca="false">IF(D663="구약",IF(C663=1,안내!$C$9,안내!$C$10)+AD663-1,IF(C663=1,안내!$C$9,안내!$C$10)+7*INT((AD663-1)/4)+CHOOSE(MOD(AD663-1,4)+1,0,2,4,5))</f>
        <v>46531</v>
      </c>
      <c r="V663" s="23" t="str">
        <f aca="false">CHOOSE(WEEKDAY(U663,2),"월","화","수","목","금","토","일")</f>
        <v>월</v>
      </c>
      <c r="W663" s="24" t="str">
        <f aca="false">IFERROR(IF(INDEX($C$2:$C$799,MATCH(D663&amp;"#"&amp;(E663+1),$AC$2:$AC$799,0))=C663,"다음 편: ","시즌1 완결 · 시즌2 첫 편: ")&amp;INDEX($L$2:$L$799,MATCH(D663&amp;"#"&amp;(E663+1),$AC$2:$AC$799,0)),"신약 트랙 완결")</f>
        <v>다음 편: 감옥에서 잠든 베드로</v>
      </c>
      <c r="X663" s="23" t="s">
        <v>130</v>
      </c>
      <c r="Y663" s="23" t="s">
        <v>130</v>
      </c>
      <c r="Z663" s="23" t="s">
        <v>130</v>
      </c>
      <c r="AA663" s="23" t="s">
        <v>130</v>
      </c>
      <c r="AB663" s="24"/>
      <c r="AC663" s="23" t="str">
        <f aca="false">D663&amp;"#"&amp;E663</f>
        <v>신약#81</v>
      </c>
      <c r="AD663" s="23" t="n">
        <f aca="false">COUNTIFS($C$2:C663,C663,$D$2:D663,D663)</f>
        <v>81</v>
      </c>
    </row>
    <row r="664" customFormat="false" ht="26.85" hidden="false" customHeight="false" outlineLevel="0" collapsed="false">
      <c r="A664" s="23" t="n">
        <v>663</v>
      </c>
      <c r="B664" s="30" t="s">
        <v>5891</v>
      </c>
      <c r="C664" s="23" t="n">
        <v>2</v>
      </c>
      <c r="D664" s="23" t="s">
        <v>4656</v>
      </c>
      <c r="E664" s="23" t="n">
        <f aca="false">IF(C664=1,COUNTIFS($C$2:C664,1,$D$2:D664,D664),COUNTIFS($C$2:$C$799,1,$D$2:$D$799,D664)+COUNTIFS($C$2:C664,2,$D$2:D664,D664))</f>
        <v>165</v>
      </c>
      <c r="F664" s="23" t="str">
        <f aca="false">D664&amp;" #"&amp;TEXT(E664,"000")</f>
        <v>신약 #165</v>
      </c>
      <c r="G664" s="30" t="s">
        <v>5838</v>
      </c>
      <c r="H664" s="30" t="s">
        <v>5839</v>
      </c>
      <c r="I664" s="23" t="s">
        <v>5750</v>
      </c>
      <c r="J664" s="24" t="s">
        <v>5892</v>
      </c>
      <c r="K664" s="23" t="s">
        <v>121</v>
      </c>
      <c r="L664" s="24" t="s">
        <v>5893</v>
      </c>
      <c r="M664" s="24" t="s">
        <v>5894</v>
      </c>
      <c r="N664" s="23" t="s">
        <v>5895</v>
      </c>
      <c r="O664" s="24" t="s">
        <v>5896</v>
      </c>
      <c r="P664" s="24" t="s">
        <v>5897</v>
      </c>
      <c r="Q664" s="24" t="s">
        <v>5898</v>
      </c>
      <c r="R664" s="24"/>
      <c r="S664" s="24" t="s">
        <v>5899</v>
      </c>
      <c r="T664" s="24" t="str">
        <f aca="false">"["&amp;안내!$C$5&amp;" "&amp;F664&amp;"] "&amp;L664&amp;" | "&amp;J664</f>
        <v>[1분 성경 신약 #165] 그리스도인이라 불리다 | 행 11:1-30</v>
      </c>
      <c r="U664" s="26" t="n">
        <f aca="false">IF(D664="구약",IF(C664=1,안내!$C$9,안내!$C$10)+AD664-1,IF(C664=1,안내!$C$9,안내!$C$10)+7*INT((AD664-1)/4)+CHOOSE(MOD(AD664-1,4)+1,0,2,4,5))</f>
        <v>46685</v>
      </c>
      <c r="V664" s="23" t="str">
        <f aca="false">CHOOSE(WEEKDAY(U664,2),"월","화","수","목","금","토","일")</f>
        <v>월</v>
      </c>
      <c r="W664" s="24" t="str">
        <f aca="false">IFERROR(IF(INDEX($C$2:$C$799,MATCH(D664&amp;"#"&amp;(E664+1),$AC$2:$AC$799,0))=C664,"다음 편: ","시즌1 완결 · 시즌2 첫 편: ")&amp;INDEX($L$2:$L$799,MATCH(D664&amp;"#"&amp;(E664+1),$AC$2:$AC$799,0)),"신약 트랙 완결")</f>
        <v>다음 편: 이방인의 빛</v>
      </c>
      <c r="X664" s="23" t="s">
        <v>130</v>
      </c>
      <c r="Y664" s="23" t="s">
        <v>130</v>
      </c>
      <c r="Z664" s="23" t="s">
        <v>130</v>
      </c>
      <c r="AA664" s="23" t="s">
        <v>130</v>
      </c>
      <c r="AB664" s="24"/>
      <c r="AC664" s="23" t="str">
        <f aca="false">D664&amp;"#"&amp;E664</f>
        <v>신약#165</v>
      </c>
      <c r="AD664" s="23" t="n">
        <f aca="false">COUNTIFS($C$2:C664,C664,$D$2:D664,D664)</f>
        <v>61</v>
      </c>
    </row>
    <row r="665" customFormat="false" ht="39.55" hidden="false" customHeight="false" outlineLevel="0" collapsed="false">
      <c r="A665" s="23" t="n">
        <v>664</v>
      </c>
      <c r="B665" s="30" t="s">
        <v>5900</v>
      </c>
      <c r="C665" s="20" t="n">
        <v>1</v>
      </c>
      <c r="D665" s="20" t="s">
        <v>4656</v>
      </c>
      <c r="E665" s="20" t="n">
        <f aca="false">IF(C665=1,COUNTIFS($C$2:C665,1,$D$2:D665,D665),COUNTIFS($C$2:$C$799,1,$D$2:$D$799,D665)+COUNTIFS($C$2:C665,2,$D$2:D665,D665))</f>
        <v>82</v>
      </c>
      <c r="F665" s="20" t="str">
        <f aca="false">D665&amp;" #"&amp;TEXT(E665,"000")</f>
        <v>신약 #082</v>
      </c>
      <c r="G665" s="30" t="s">
        <v>5838</v>
      </c>
      <c r="H665" s="30" t="s">
        <v>5749</v>
      </c>
      <c r="I665" s="23" t="s">
        <v>5750</v>
      </c>
      <c r="J665" s="24" t="s">
        <v>5901</v>
      </c>
      <c r="K665" s="23" t="s">
        <v>121</v>
      </c>
      <c r="L665" s="24" t="s">
        <v>5902</v>
      </c>
      <c r="M665" s="24" t="s">
        <v>5903</v>
      </c>
      <c r="N665" s="23" t="s">
        <v>5904</v>
      </c>
      <c r="O665" s="24" t="s">
        <v>5905</v>
      </c>
      <c r="P665" s="24" t="s">
        <v>5906</v>
      </c>
      <c r="Q665" s="24" t="s">
        <v>5907</v>
      </c>
      <c r="R665" s="25" t="s">
        <v>5908</v>
      </c>
      <c r="S665" s="28" t="s">
        <v>5909</v>
      </c>
      <c r="T665" s="24" t="str">
        <f aca="false">"["&amp;안내!$C$5&amp;" "&amp;F665&amp;"] "&amp;L665&amp;" | "&amp;J665</f>
        <v>[1분 성경 신약 #082] 감옥에서 잠든 베드로 | 행 12:1-25</v>
      </c>
      <c r="U665" s="26" t="n">
        <f aca="false">IF(D665="구약",IF(C665=1,안내!$C$9,안내!$C$10)+AD665-1,IF(C665=1,안내!$C$9,안내!$C$10)+7*INT((AD665-1)/4)+CHOOSE(MOD(AD665-1,4)+1,0,2,4,5))</f>
        <v>46533</v>
      </c>
      <c r="V665" s="23" t="str">
        <f aca="false">CHOOSE(WEEKDAY(U665,2),"월","화","수","목","금","토","일")</f>
        <v>수</v>
      </c>
      <c r="W665" s="24" t="str">
        <f aca="false">IFERROR(IF(INDEX($C$2:$C$799,MATCH(D665&amp;"#"&amp;(E665+1),$AC$2:$AC$799,0))=C665,"다음 편: ","시즌1 완결 · 시즌2 첫 편: ")&amp;INDEX($L$2:$L$799,MATCH(D665&amp;"#"&amp;(E665+1),$AC$2:$AC$799,0)),"신약 트랙 완결")</f>
        <v>다음 편: 첫 번째 선교사</v>
      </c>
      <c r="X665" s="23" t="s">
        <v>130</v>
      </c>
      <c r="Y665" s="23" t="s">
        <v>130</v>
      </c>
      <c r="Z665" s="23" t="s">
        <v>130</v>
      </c>
      <c r="AA665" s="23" t="s">
        <v>130</v>
      </c>
      <c r="AB665" s="24"/>
      <c r="AC665" s="23" t="str">
        <f aca="false">D665&amp;"#"&amp;E665</f>
        <v>신약#82</v>
      </c>
      <c r="AD665" s="23" t="n">
        <f aca="false">COUNTIFS($C$2:C665,C665,$D$2:D665,D665)</f>
        <v>82</v>
      </c>
    </row>
    <row r="666" customFormat="false" ht="26.85" hidden="false" customHeight="false" outlineLevel="0" collapsed="false">
      <c r="A666" s="23" t="n">
        <v>665</v>
      </c>
      <c r="B666" s="30" t="s">
        <v>5910</v>
      </c>
      <c r="C666" s="20" t="n">
        <v>1</v>
      </c>
      <c r="D666" s="20" t="s">
        <v>4656</v>
      </c>
      <c r="E666" s="20" t="n">
        <f aca="false">IF(C666=1,COUNTIFS($C$2:C666,1,$D$2:D666,D666),COUNTIFS($C$2:$C$799,1,$D$2:$D$799,D666)+COUNTIFS($C$2:C666,2,$D$2:D666,D666))</f>
        <v>83</v>
      </c>
      <c r="F666" s="20" t="str">
        <f aca="false">D666&amp;" #"&amp;TEXT(E666,"000")</f>
        <v>신약 #083</v>
      </c>
      <c r="G666" s="30" t="s">
        <v>5911</v>
      </c>
      <c r="H666" s="30" t="s">
        <v>5912</v>
      </c>
      <c r="I666" s="23" t="s">
        <v>5750</v>
      </c>
      <c r="J666" s="24" t="s">
        <v>5913</v>
      </c>
      <c r="K666" s="23" t="s">
        <v>121</v>
      </c>
      <c r="L666" s="24" t="s">
        <v>5914</v>
      </c>
      <c r="M666" s="24" t="s">
        <v>5915</v>
      </c>
      <c r="N666" s="23" t="s">
        <v>5916</v>
      </c>
      <c r="O666" s="24" t="s">
        <v>5917</v>
      </c>
      <c r="P666" s="24" t="s">
        <v>5918</v>
      </c>
      <c r="Q666" s="24" t="s">
        <v>5919</v>
      </c>
      <c r="R666" s="24"/>
      <c r="S666" s="24" t="s">
        <v>129</v>
      </c>
      <c r="T666" s="24" t="str">
        <f aca="false">"["&amp;안내!$C$5&amp;" "&amp;F666&amp;"] "&amp;L666&amp;" | "&amp;J666</f>
        <v>[1분 성경 신약 #083] 첫 번째 선교사 | 행 13:1-12</v>
      </c>
      <c r="U666" s="26" t="n">
        <f aca="false">IF(D666="구약",IF(C666=1,안내!$C$9,안내!$C$10)+AD666-1,IF(C666=1,안내!$C$9,안내!$C$10)+7*INT((AD666-1)/4)+CHOOSE(MOD(AD666-1,4)+1,0,2,4,5))</f>
        <v>46535</v>
      </c>
      <c r="V666" s="23" t="str">
        <f aca="false">CHOOSE(WEEKDAY(U666,2),"월","화","수","목","금","토","일")</f>
        <v>금</v>
      </c>
      <c r="W666" s="24" t="str">
        <f aca="false">IFERROR(IF(INDEX($C$2:$C$799,MATCH(D666&amp;"#"&amp;(E666+1),$AC$2:$AC$799,0))=C666,"다음 편: ","시즌1 완결 · 시즌2 첫 편: ")&amp;INDEX($L$2:$L$799,MATCH(D666&amp;"#"&amp;(E666+1),$AC$2:$AC$799,0)),"신약 트랙 완결")</f>
        <v>다음 편: 예루살렘 회의</v>
      </c>
      <c r="X666" s="23" t="s">
        <v>130</v>
      </c>
      <c r="Y666" s="23" t="s">
        <v>130</v>
      </c>
      <c r="Z666" s="23" t="s">
        <v>130</v>
      </c>
      <c r="AA666" s="23" t="s">
        <v>130</v>
      </c>
      <c r="AB666" s="24"/>
      <c r="AC666" s="23" t="str">
        <f aca="false">D666&amp;"#"&amp;E666</f>
        <v>신약#83</v>
      </c>
      <c r="AD666" s="23" t="n">
        <f aca="false">COUNTIFS($C$2:C666,C666,$D$2:D666,D666)</f>
        <v>83</v>
      </c>
    </row>
    <row r="667" customFormat="false" ht="26.85" hidden="false" customHeight="false" outlineLevel="0" collapsed="false">
      <c r="A667" s="23" t="n">
        <v>666</v>
      </c>
      <c r="B667" s="30" t="s">
        <v>5920</v>
      </c>
      <c r="C667" s="23" t="n">
        <v>2</v>
      </c>
      <c r="D667" s="23" t="s">
        <v>4656</v>
      </c>
      <c r="E667" s="23" t="n">
        <f aca="false">IF(C667=1,COUNTIFS($C$2:C667,1,$D$2:D667,D667),COUNTIFS($C$2:$C$799,1,$D$2:$D$799,D667)+COUNTIFS($C$2:C667,2,$D$2:D667,D667))</f>
        <v>166</v>
      </c>
      <c r="F667" s="23" t="str">
        <f aca="false">D667&amp;" #"&amp;TEXT(E667,"000")</f>
        <v>신약 #166</v>
      </c>
      <c r="G667" s="30" t="s">
        <v>5911</v>
      </c>
      <c r="H667" s="30" t="s">
        <v>5839</v>
      </c>
      <c r="I667" s="23" t="s">
        <v>5750</v>
      </c>
      <c r="J667" s="24" t="s">
        <v>5921</v>
      </c>
      <c r="K667" s="23" t="s">
        <v>121</v>
      </c>
      <c r="L667" s="24" t="s">
        <v>5922</v>
      </c>
      <c r="M667" s="24" t="s">
        <v>5923</v>
      </c>
      <c r="N667" s="23" t="s">
        <v>5924</v>
      </c>
      <c r="O667" s="24" t="s">
        <v>5925</v>
      </c>
      <c r="P667" s="24" t="s">
        <v>5926</v>
      </c>
      <c r="Q667" s="24" t="s">
        <v>5927</v>
      </c>
      <c r="R667" s="24"/>
      <c r="S667" s="24" t="s">
        <v>5928</v>
      </c>
      <c r="T667" s="24" t="str">
        <f aca="false">"["&amp;안내!$C$5&amp;" "&amp;F667&amp;"] "&amp;L667&amp;" | "&amp;J667</f>
        <v>[1분 성경 신약 #166] 이방인의 빛 | 행 13:13-52</v>
      </c>
      <c r="U667" s="26" t="n">
        <f aca="false">IF(D667="구약",IF(C667=1,안내!$C$9,안내!$C$10)+AD667-1,IF(C667=1,안내!$C$9,안내!$C$10)+7*INT((AD667-1)/4)+CHOOSE(MOD(AD667-1,4)+1,0,2,4,5))</f>
        <v>46687</v>
      </c>
      <c r="V667" s="23" t="str">
        <f aca="false">CHOOSE(WEEKDAY(U667,2),"월","화","수","목","금","토","일")</f>
        <v>수</v>
      </c>
      <c r="W667" s="24" t="str">
        <f aca="false">IFERROR(IF(INDEX($C$2:$C$799,MATCH(D667&amp;"#"&amp;(E667+1),$AC$2:$AC$799,0))=C667,"다음 편: ","시즌1 완결 · 시즌2 첫 편: ")&amp;INDEX($L$2:$L$799,MATCH(D667&amp;"#"&amp;(E667+1),$AC$2:$AC$799,0)),"신약 트랙 완결")</f>
        <v>다음 편: 신이라 불린 사도들</v>
      </c>
      <c r="X667" s="23" t="s">
        <v>130</v>
      </c>
      <c r="Y667" s="23" t="s">
        <v>130</v>
      </c>
      <c r="Z667" s="23" t="s">
        <v>130</v>
      </c>
      <c r="AA667" s="23" t="s">
        <v>130</v>
      </c>
      <c r="AB667" s="24"/>
      <c r="AC667" s="23" t="str">
        <f aca="false">D667&amp;"#"&amp;E667</f>
        <v>신약#166</v>
      </c>
      <c r="AD667" s="23" t="n">
        <f aca="false">COUNTIFS($C$2:C667,C667,$D$2:D667,D667)</f>
        <v>62</v>
      </c>
    </row>
    <row r="668" customFormat="false" ht="26.85" hidden="false" customHeight="false" outlineLevel="0" collapsed="false">
      <c r="A668" s="23" t="n">
        <v>667</v>
      </c>
      <c r="B668" s="30" t="s">
        <v>5929</v>
      </c>
      <c r="C668" s="23" t="n">
        <v>2</v>
      </c>
      <c r="D668" s="23" t="s">
        <v>4656</v>
      </c>
      <c r="E668" s="23" t="n">
        <f aca="false">IF(C668=1,COUNTIFS($C$2:C668,1,$D$2:D668,D668),COUNTIFS($C$2:$C$799,1,$D$2:$D$799,D668)+COUNTIFS($C$2:C668,2,$D$2:D668,D668))</f>
        <v>167</v>
      </c>
      <c r="F668" s="23" t="str">
        <f aca="false">D668&amp;" #"&amp;TEXT(E668,"000")</f>
        <v>신약 #167</v>
      </c>
      <c r="G668" s="30" t="s">
        <v>5911</v>
      </c>
      <c r="H668" s="30" t="s">
        <v>5839</v>
      </c>
      <c r="I668" s="23" t="s">
        <v>5750</v>
      </c>
      <c r="J668" s="24" t="s">
        <v>5930</v>
      </c>
      <c r="K668" s="23" t="s">
        <v>121</v>
      </c>
      <c r="L668" s="24" t="s">
        <v>5931</v>
      </c>
      <c r="M668" s="24" t="s">
        <v>5932</v>
      </c>
      <c r="N668" s="23" t="s">
        <v>5933</v>
      </c>
      <c r="O668" s="24" t="s">
        <v>5934</v>
      </c>
      <c r="P668" s="24" t="s">
        <v>5935</v>
      </c>
      <c r="Q668" s="24" t="s">
        <v>5936</v>
      </c>
      <c r="R668" s="25" t="s">
        <v>5937</v>
      </c>
      <c r="S668" s="24" t="s">
        <v>5928</v>
      </c>
      <c r="T668" s="24" t="str">
        <f aca="false">"["&amp;안내!$C$5&amp;" "&amp;F668&amp;"] "&amp;L668&amp;" | "&amp;J668</f>
        <v>[1분 성경 신약 #167] 신이라 불린 사도들 | 행 14:1-28</v>
      </c>
      <c r="U668" s="26" t="n">
        <f aca="false">IF(D668="구약",IF(C668=1,안내!$C$9,안내!$C$10)+AD668-1,IF(C668=1,안내!$C$9,안내!$C$10)+7*INT((AD668-1)/4)+CHOOSE(MOD(AD668-1,4)+1,0,2,4,5))</f>
        <v>46689</v>
      </c>
      <c r="V668" s="23" t="str">
        <f aca="false">CHOOSE(WEEKDAY(U668,2),"월","화","수","목","금","토","일")</f>
        <v>금</v>
      </c>
      <c r="W668" s="24" t="str">
        <f aca="false">IFERROR(IF(INDEX($C$2:$C$799,MATCH(D668&amp;"#"&amp;(E668+1),$AC$2:$AC$799,0))=C668,"다음 편: ","시즌1 완결 · 시즌2 첫 편: ")&amp;INDEX($L$2:$L$799,MATCH(D668&amp;"#"&amp;(E668+1),$AC$2:$AC$799,0)),"신약 트랙 완결")</f>
        <v>다음 편: 마게도냐 사람의 환상</v>
      </c>
      <c r="X668" s="23" t="s">
        <v>130</v>
      </c>
      <c r="Y668" s="23" t="s">
        <v>130</v>
      </c>
      <c r="Z668" s="23" t="s">
        <v>130</v>
      </c>
      <c r="AA668" s="23" t="s">
        <v>130</v>
      </c>
      <c r="AB668" s="24"/>
      <c r="AC668" s="23" t="str">
        <f aca="false">D668&amp;"#"&amp;E668</f>
        <v>신약#167</v>
      </c>
      <c r="AD668" s="23" t="n">
        <f aca="false">COUNTIFS($C$2:C668,C668,$D$2:D668,D668)</f>
        <v>63</v>
      </c>
    </row>
    <row r="669" customFormat="false" ht="39.55" hidden="false" customHeight="false" outlineLevel="0" collapsed="false">
      <c r="A669" s="23" t="n">
        <v>668</v>
      </c>
      <c r="B669" s="30" t="s">
        <v>5938</v>
      </c>
      <c r="C669" s="20" t="n">
        <v>1</v>
      </c>
      <c r="D669" s="20" t="s">
        <v>4656</v>
      </c>
      <c r="E669" s="20" t="n">
        <f aca="false">IF(C669=1,COUNTIFS($C$2:C669,1,$D$2:D669,D669),COUNTIFS($C$2:$C$799,1,$D$2:$D$799,D669)+COUNTIFS($C$2:C669,2,$D$2:D669,D669))</f>
        <v>84</v>
      </c>
      <c r="F669" s="20" t="str">
        <f aca="false">D669&amp;" #"&amp;TEXT(E669,"000")</f>
        <v>신약 #084</v>
      </c>
      <c r="G669" s="30" t="s">
        <v>5911</v>
      </c>
      <c r="H669" s="30" t="s">
        <v>5912</v>
      </c>
      <c r="I669" s="23" t="s">
        <v>5750</v>
      </c>
      <c r="J669" s="24" t="s">
        <v>5939</v>
      </c>
      <c r="K669" s="23" t="s">
        <v>121</v>
      </c>
      <c r="L669" s="24" t="s">
        <v>5940</v>
      </c>
      <c r="M669" s="24" t="s">
        <v>5941</v>
      </c>
      <c r="N669" s="23" t="s">
        <v>5942</v>
      </c>
      <c r="O669" s="24" t="s">
        <v>5943</v>
      </c>
      <c r="P669" s="24" t="s">
        <v>5944</v>
      </c>
      <c r="Q669" s="24" t="s">
        <v>5945</v>
      </c>
      <c r="R669" s="24"/>
      <c r="S669" s="28" t="s">
        <v>5946</v>
      </c>
      <c r="T669" s="24" t="str">
        <f aca="false">"["&amp;안내!$C$5&amp;" "&amp;F669&amp;"] "&amp;L669&amp;" | "&amp;J669</f>
        <v>[1분 성경 신약 #084] 예루살렘 회의 | 행 15:1-35</v>
      </c>
      <c r="U669" s="26" t="n">
        <f aca="false">IF(D669="구약",IF(C669=1,안내!$C$9,안내!$C$10)+AD669-1,IF(C669=1,안내!$C$9,안내!$C$10)+7*INT((AD669-1)/4)+CHOOSE(MOD(AD669-1,4)+1,0,2,4,5))</f>
        <v>46536</v>
      </c>
      <c r="V669" s="23" t="str">
        <f aca="false">CHOOSE(WEEKDAY(U669,2),"월","화","수","목","금","토","일")</f>
        <v>토</v>
      </c>
      <c r="W669" s="24" t="str">
        <f aca="false">IFERROR(IF(INDEX($C$2:$C$799,MATCH(D669&amp;"#"&amp;(E669+1),$AC$2:$AC$799,0))=C669,"다음 편: ","시즌1 완결 · 시즌2 첫 편: ")&amp;INDEX($L$2:$L$799,MATCH(D669&amp;"#"&amp;(E669+1),$AC$2:$AC$799,0)),"신약 트랙 완결")</f>
        <v>다음 편: 한밤중의 찬양</v>
      </c>
      <c r="X669" s="23" t="s">
        <v>130</v>
      </c>
      <c r="Y669" s="23" t="s">
        <v>130</v>
      </c>
      <c r="Z669" s="23" t="s">
        <v>130</v>
      </c>
      <c r="AA669" s="23" t="s">
        <v>130</v>
      </c>
      <c r="AB669" s="24"/>
      <c r="AC669" s="23" t="str">
        <f aca="false">D669&amp;"#"&amp;E669</f>
        <v>신약#84</v>
      </c>
      <c r="AD669" s="23" t="n">
        <f aca="false">COUNTIFS($C$2:C669,C669,$D$2:D669,D669)</f>
        <v>84</v>
      </c>
    </row>
    <row r="670" customFormat="false" ht="25.35" hidden="false" customHeight="false" outlineLevel="0" collapsed="false">
      <c r="A670" s="23" t="n">
        <v>669</v>
      </c>
      <c r="B670" s="30" t="s">
        <v>5947</v>
      </c>
      <c r="C670" s="23" t="n">
        <v>2</v>
      </c>
      <c r="D670" s="23" t="s">
        <v>4656</v>
      </c>
      <c r="E670" s="23" t="n">
        <f aca="false">IF(C670=1,COUNTIFS($C$2:C670,1,$D$2:D670,D670),COUNTIFS($C$2:$C$799,1,$D$2:$D$799,D670)+COUNTIFS($C$2:C670,2,$D$2:D670,D670))</f>
        <v>168</v>
      </c>
      <c r="F670" s="23" t="str">
        <f aca="false">D670&amp;" #"&amp;TEXT(E670,"000")</f>
        <v>신약 #168</v>
      </c>
      <c r="G670" s="30" t="s">
        <v>5911</v>
      </c>
      <c r="H670" s="30" t="s">
        <v>5839</v>
      </c>
      <c r="I670" s="23" t="s">
        <v>5750</v>
      </c>
      <c r="J670" s="24" t="s">
        <v>5948</v>
      </c>
      <c r="K670" s="23" t="s">
        <v>121</v>
      </c>
      <c r="L670" s="24" t="s">
        <v>5949</v>
      </c>
      <c r="M670" s="24" t="s">
        <v>5950</v>
      </c>
      <c r="N670" s="23" t="s">
        <v>5951</v>
      </c>
      <c r="O670" s="24" t="s">
        <v>5952</v>
      </c>
      <c r="P670" s="24" t="s">
        <v>5953</v>
      </c>
      <c r="Q670" s="24" t="s">
        <v>5954</v>
      </c>
      <c r="R670" s="24"/>
      <c r="S670" s="24" t="s">
        <v>5955</v>
      </c>
      <c r="T670" s="24" t="str">
        <f aca="false">"["&amp;안내!$C$5&amp;" "&amp;F670&amp;"] "&amp;L670&amp;" | "&amp;J670</f>
        <v>[1분 성경 신약 #168] 마게도냐 사람의 환상 | 행 15:36-16:15</v>
      </c>
      <c r="U670" s="26" t="n">
        <f aca="false">IF(D670="구약",IF(C670=1,안내!$C$9,안내!$C$10)+AD670-1,IF(C670=1,안내!$C$9,안내!$C$10)+7*INT((AD670-1)/4)+CHOOSE(MOD(AD670-1,4)+1,0,2,4,5))</f>
        <v>46690</v>
      </c>
      <c r="V670" s="23" t="str">
        <f aca="false">CHOOSE(WEEKDAY(U670,2),"월","화","수","목","금","토","일")</f>
        <v>토</v>
      </c>
      <c r="W670" s="24" t="str">
        <f aca="false">IFERROR(IF(INDEX($C$2:$C$799,MATCH(D670&amp;"#"&amp;(E670+1),$AC$2:$AC$799,0))=C670,"다음 편: ","시즌1 완결 · 시즌2 첫 편: ")&amp;INDEX($L$2:$L$799,MATCH(D670&amp;"#"&amp;(E670+1),$AC$2:$AC$799,0)),"신약 트랙 완결")</f>
        <v>다음 편: 베뢰아 사람들</v>
      </c>
      <c r="X670" s="23" t="s">
        <v>130</v>
      </c>
      <c r="Y670" s="23" t="s">
        <v>130</v>
      </c>
      <c r="Z670" s="23" t="s">
        <v>130</v>
      </c>
      <c r="AA670" s="23" t="s">
        <v>130</v>
      </c>
      <c r="AB670" s="24"/>
      <c r="AC670" s="23" t="str">
        <f aca="false">D670&amp;"#"&amp;E670</f>
        <v>신약#168</v>
      </c>
      <c r="AD670" s="23" t="n">
        <f aca="false">COUNTIFS($C$2:C670,C670,$D$2:D670,D670)</f>
        <v>64</v>
      </c>
    </row>
    <row r="671" customFormat="false" ht="39.55" hidden="false" customHeight="false" outlineLevel="0" collapsed="false">
      <c r="A671" s="23" t="n">
        <v>670</v>
      </c>
      <c r="B671" s="30" t="s">
        <v>5956</v>
      </c>
      <c r="C671" s="20" t="n">
        <v>1</v>
      </c>
      <c r="D671" s="20" t="s">
        <v>4656</v>
      </c>
      <c r="E671" s="20" t="n">
        <f aca="false">IF(C671=1,COUNTIFS($C$2:C671,1,$D$2:D671,D671),COUNTIFS($C$2:$C$799,1,$D$2:$D$799,D671)+COUNTIFS($C$2:C671,2,$D$2:D671,D671))</f>
        <v>85</v>
      </c>
      <c r="F671" s="20" t="str">
        <f aca="false">D671&amp;" #"&amp;TEXT(E671,"000")</f>
        <v>신약 #085</v>
      </c>
      <c r="G671" s="30" t="s">
        <v>5911</v>
      </c>
      <c r="H671" s="30" t="s">
        <v>5912</v>
      </c>
      <c r="I671" s="23" t="s">
        <v>5750</v>
      </c>
      <c r="J671" s="24" t="s">
        <v>5957</v>
      </c>
      <c r="K671" s="23" t="s">
        <v>121</v>
      </c>
      <c r="L671" s="24" t="s">
        <v>5958</v>
      </c>
      <c r="M671" s="24" t="s">
        <v>5959</v>
      </c>
      <c r="N671" s="23" t="s">
        <v>5960</v>
      </c>
      <c r="O671" s="24" t="s">
        <v>5961</v>
      </c>
      <c r="P671" s="24" t="s">
        <v>5962</v>
      </c>
      <c r="Q671" s="24" t="s">
        <v>5963</v>
      </c>
      <c r="R671" s="25" t="s">
        <v>5818</v>
      </c>
      <c r="S671" s="28" t="s">
        <v>5964</v>
      </c>
      <c r="T671" s="24" t="str">
        <f aca="false">"["&amp;안내!$C$5&amp;" "&amp;F671&amp;"] "&amp;L671&amp;" | "&amp;J671</f>
        <v>[1분 성경 신약 #085] 한밤중의 찬양 | 행 16:16-40</v>
      </c>
      <c r="U671" s="26" t="n">
        <f aca="false">IF(D671="구약",IF(C671=1,안내!$C$9,안내!$C$10)+AD671-1,IF(C671=1,안내!$C$9,안내!$C$10)+7*INT((AD671-1)/4)+CHOOSE(MOD(AD671-1,4)+1,0,2,4,5))</f>
        <v>46538</v>
      </c>
      <c r="V671" s="23" t="str">
        <f aca="false">CHOOSE(WEEKDAY(U671,2),"월","화","수","목","금","토","일")</f>
        <v>월</v>
      </c>
      <c r="W671" s="24" t="str">
        <f aca="false">IFERROR(IF(INDEX($C$2:$C$799,MATCH(D671&amp;"#"&amp;(E671+1),$AC$2:$AC$799,0))=C671,"다음 편: ","시즌1 완결 · 시즌2 첫 편: ")&amp;INDEX($L$2:$L$799,MATCH(D671&amp;"#"&amp;(E671+1),$AC$2:$AC$799,0)),"신약 트랙 완결")</f>
        <v>다음 편: 알지 못하는 신에게</v>
      </c>
      <c r="X671" s="23" t="s">
        <v>130</v>
      </c>
      <c r="Y671" s="23" t="s">
        <v>130</v>
      </c>
      <c r="Z671" s="23" t="s">
        <v>130</v>
      </c>
      <c r="AA671" s="23" t="s">
        <v>130</v>
      </c>
      <c r="AB671" s="24"/>
      <c r="AC671" s="23" t="str">
        <f aca="false">D671&amp;"#"&amp;E671</f>
        <v>신약#85</v>
      </c>
      <c r="AD671" s="23" t="n">
        <f aca="false">COUNTIFS($C$2:C671,C671,$D$2:D671,D671)</f>
        <v>85</v>
      </c>
    </row>
    <row r="672" customFormat="false" ht="15" hidden="false" customHeight="false" outlineLevel="0" collapsed="false">
      <c r="A672" s="23" t="n">
        <v>671</v>
      </c>
      <c r="B672" s="30" t="s">
        <v>5965</v>
      </c>
      <c r="C672" s="23" t="n">
        <v>2</v>
      </c>
      <c r="D672" s="23" t="s">
        <v>4656</v>
      </c>
      <c r="E672" s="23" t="n">
        <f aca="false">IF(C672=1,COUNTIFS($C$2:C672,1,$D$2:D672,D672),COUNTIFS($C$2:$C$799,1,$D$2:$D$799,D672)+COUNTIFS($C$2:C672,2,$D$2:D672,D672))</f>
        <v>169</v>
      </c>
      <c r="F672" s="23" t="str">
        <f aca="false">D672&amp;" #"&amp;TEXT(E672,"000")</f>
        <v>신약 #169</v>
      </c>
      <c r="G672" s="30" t="s">
        <v>5911</v>
      </c>
      <c r="H672" s="30" t="s">
        <v>5839</v>
      </c>
      <c r="I672" s="23" t="s">
        <v>5750</v>
      </c>
      <c r="J672" s="24" t="s">
        <v>5966</v>
      </c>
      <c r="K672" s="23" t="s">
        <v>121</v>
      </c>
      <c r="L672" s="24" t="s">
        <v>5967</v>
      </c>
      <c r="M672" s="24" t="s">
        <v>5968</v>
      </c>
      <c r="N672" s="23" t="s">
        <v>5969</v>
      </c>
      <c r="O672" s="24" t="s">
        <v>5970</v>
      </c>
      <c r="P672" s="24" t="s">
        <v>5971</v>
      </c>
      <c r="Q672" s="24" t="s">
        <v>5972</v>
      </c>
      <c r="R672" s="25" t="s">
        <v>5973</v>
      </c>
      <c r="S672" s="24" t="s">
        <v>5974</v>
      </c>
      <c r="T672" s="24" t="str">
        <f aca="false">"["&amp;안내!$C$5&amp;" "&amp;F672&amp;"] "&amp;L672&amp;" | "&amp;J672</f>
        <v>[1분 성경 신약 #169] 베뢰아 사람들 | 행 17:1-15</v>
      </c>
      <c r="U672" s="26" t="n">
        <f aca="false">IF(D672="구약",IF(C672=1,안내!$C$9,안내!$C$10)+AD672-1,IF(C672=1,안내!$C$9,안내!$C$10)+7*INT((AD672-1)/4)+CHOOSE(MOD(AD672-1,4)+1,0,2,4,5))</f>
        <v>46692</v>
      </c>
      <c r="V672" s="23" t="str">
        <f aca="false">CHOOSE(WEEKDAY(U672,2),"월","화","수","목","금","토","일")</f>
        <v>월</v>
      </c>
      <c r="W672" s="24" t="str">
        <f aca="false">IFERROR(IF(INDEX($C$2:$C$799,MATCH(D672&amp;"#"&amp;(E672+1),$AC$2:$AC$799,0))=C672,"다음 편: ","시즌1 완결 · 시즌2 첫 편: ")&amp;INDEX($L$2:$L$799,MATCH(D672&amp;"#"&amp;(E672+1),$AC$2:$AC$799,0)),"신약 트랙 완결")</f>
        <v>다음 편: 두려워하지 말라</v>
      </c>
      <c r="X672" s="23" t="s">
        <v>130</v>
      </c>
      <c r="Y672" s="23" t="s">
        <v>130</v>
      </c>
      <c r="Z672" s="23" t="s">
        <v>130</v>
      </c>
      <c r="AA672" s="23" t="s">
        <v>130</v>
      </c>
      <c r="AB672" s="24"/>
      <c r="AC672" s="23" t="str">
        <f aca="false">D672&amp;"#"&amp;E672</f>
        <v>신약#169</v>
      </c>
      <c r="AD672" s="23" t="n">
        <f aca="false">COUNTIFS($C$2:C672,C672,$D$2:D672,D672)</f>
        <v>65</v>
      </c>
    </row>
    <row r="673" customFormat="false" ht="26.85" hidden="false" customHeight="false" outlineLevel="0" collapsed="false">
      <c r="A673" s="23" t="n">
        <v>672</v>
      </c>
      <c r="B673" s="30" t="s">
        <v>5975</v>
      </c>
      <c r="C673" s="20" t="n">
        <v>1</v>
      </c>
      <c r="D673" s="20" t="s">
        <v>4656</v>
      </c>
      <c r="E673" s="20" t="n">
        <f aca="false">IF(C673=1,COUNTIFS($C$2:C673,1,$D$2:D673,D673),COUNTIFS($C$2:$C$799,1,$D$2:$D$799,D673)+COUNTIFS($C$2:C673,2,$D$2:D673,D673))</f>
        <v>86</v>
      </c>
      <c r="F673" s="20" t="str">
        <f aca="false">D673&amp;" #"&amp;TEXT(E673,"000")</f>
        <v>신약 #086</v>
      </c>
      <c r="G673" s="30" t="s">
        <v>5911</v>
      </c>
      <c r="H673" s="30" t="s">
        <v>5912</v>
      </c>
      <c r="I673" s="23" t="s">
        <v>5750</v>
      </c>
      <c r="J673" s="24" t="s">
        <v>5976</v>
      </c>
      <c r="K673" s="23" t="s">
        <v>121</v>
      </c>
      <c r="L673" s="24" t="s">
        <v>5977</v>
      </c>
      <c r="M673" s="24" t="s">
        <v>5978</v>
      </c>
      <c r="N673" s="23" t="s">
        <v>5979</v>
      </c>
      <c r="O673" s="24" t="s">
        <v>5980</v>
      </c>
      <c r="P673" s="24" t="s">
        <v>5981</v>
      </c>
      <c r="Q673" s="24" t="s">
        <v>5982</v>
      </c>
      <c r="R673" s="24"/>
      <c r="S673" s="28" t="s">
        <v>5983</v>
      </c>
      <c r="T673" s="24" t="str">
        <f aca="false">"["&amp;안내!$C$5&amp;" "&amp;F673&amp;"] "&amp;L673&amp;" | "&amp;J673</f>
        <v>[1분 성경 신약 #086] 알지 못하는 신에게 | 행 17:16-34</v>
      </c>
      <c r="U673" s="26" t="n">
        <f aca="false">IF(D673="구약",IF(C673=1,안내!$C$9,안내!$C$10)+AD673-1,IF(C673=1,안내!$C$9,안내!$C$10)+7*INT((AD673-1)/4)+CHOOSE(MOD(AD673-1,4)+1,0,2,4,5))</f>
        <v>46540</v>
      </c>
      <c r="V673" s="23" t="str">
        <f aca="false">CHOOSE(WEEKDAY(U673,2),"월","화","수","목","금","토","일")</f>
        <v>수</v>
      </c>
      <c r="W673" s="24" t="str">
        <f aca="false">IFERROR(IF(INDEX($C$2:$C$799,MATCH(D673&amp;"#"&amp;(E673+1),$AC$2:$AC$799,0))=C673,"다음 편: ","시즌1 완결 · 시즌2 첫 편: ")&amp;INDEX($L$2:$L$799,MATCH(D673&amp;"#"&amp;(E673+1),$AC$2:$AC$799,0)),"신약 트랙 완결")</f>
        <v>다음 편: 달려갈 길을 마치려 함에는</v>
      </c>
      <c r="X673" s="23" t="s">
        <v>130</v>
      </c>
      <c r="Y673" s="23" t="s">
        <v>130</v>
      </c>
      <c r="Z673" s="23" t="s">
        <v>130</v>
      </c>
      <c r="AA673" s="23" t="s">
        <v>130</v>
      </c>
      <c r="AB673" s="24"/>
      <c r="AC673" s="23" t="str">
        <f aca="false">D673&amp;"#"&amp;E673</f>
        <v>신약#86</v>
      </c>
      <c r="AD673" s="23" t="n">
        <f aca="false">COUNTIFS($C$2:C673,C673,$D$2:D673,D673)</f>
        <v>86</v>
      </c>
    </row>
    <row r="674" customFormat="false" ht="26.85" hidden="false" customHeight="false" outlineLevel="0" collapsed="false">
      <c r="A674" s="23" t="n">
        <v>673</v>
      </c>
      <c r="B674" s="30" t="s">
        <v>5984</v>
      </c>
      <c r="C674" s="23" t="n">
        <v>2</v>
      </c>
      <c r="D674" s="23" t="s">
        <v>4656</v>
      </c>
      <c r="E674" s="23" t="n">
        <f aca="false">IF(C674=1,COUNTIFS($C$2:C674,1,$D$2:D674,D674),COUNTIFS($C$2:$C$799,1,$D$2:$D$799,D674)+COUNTIFS($C$2:C674,2,$D$2:D674,D674))</f>
        <v>170</v>
      </c>
      <c r="F674" s="23" t="str">
        <f aca="false">D674&amp;" #"&amp;TEXT(E674,"000")</f>
        <v>신약 #170</v>
      </c>
      <c r="G674" s="30" t="s">
        <v>5911</v>
      </c>
      <c r="H674" s="30" t="s">
        <v>5839</v>
      </c>
      <c r="I674" s="23" t="s">
        <v>5750</v>
      </c>
      <c r="J674" s="24" t="s">
        <v>5985</v>
      </c>
      <c r="K674" s="23" t="s">
        <v>121</v>
      </c>
      <c r="L674" s="24" t="s">
        <v>3857</v>
      </c>
      <c r="M674" s="24" t="s">
        <v>5986</v>
      </c>
      <c r="N674" s="23" t="s">
        <v>5987</v>
      </c>
      <c r="O674" s="24" t="s">
        <v>5988</v>
      </c>
      <c r="P674" s="24" t="s">
        <v>5989</v>
      </c>
      <c r="Q674" s="24" t="s">
        <v>5990</v>
      </c>
      <c r="R674" s="24"/>
      <c r="S674" s="24" t="s">
        <v>5991</v>
      </c>
      <c r="T674" s="24" t="str">
        <f aca="false">"["&amp;안내!$C$5&amp;" "&amp;F674&amp;"] "&amp;L674&amp;" | "&amp;J674</f>
        <v>[1분 성경 신약 #170] 두려워하지 말라 | 행 18:1-28</v>
      </c>
      <c r="U674" s="26" t="n">
        <f aca="false">IF(D674="구약",IF(C674=1,안내!$C$9,안내!$C$10)+AD674-1,IF(C674=1,안내!$C$9,안내!$C$10)+7*INT((AD674-1)/4)+CHOOSE(MOD(AD674-1,4)+1,0,2,4,5))</f>
        <v>46694</v>
      </c>
      <c r="V674" s="23" t="str">
        <f aca="false">CHOOSE(WEEKDAY(U674,2),"월","화","수","목","금","토","일")</f>
        <v>수</v>
      </c>
      <c r="W674" s="24" t="str">
        <f aca="false">IFERROR(IF(INDEX($C$2:$C$799,MATCH(D674&amp;"#"&amp;(E674+1),$AC$2:$AC$799,0))=C674,"다음 편: ","시즌1 완결 · 시즌2 첫 편: ")&amp;INDEX($L$2:$L$799,MATCH(D674&amp;"#"&amp;(E674+1),$AC$2:$AC$799,0)),"신약 트랙 완결")</f>
        <v>다음 편: 에베소의 소동</v>
      </c>
      <c r="X674" s="23" t="s">
        <v>130</v>
      </c>
      <c r="Y674" s="23" t="s">
        <v>130</v>
      </c>
      <c r="Z674" s="23" t="s">
        <v>130</v>
      </c>
      <c r="AA674" s="23" t="s">
        <v>130</v>
      </c>
      <c r="AB674" s="24"/>
      <c r="AC674" s="23" t="str">
        <f aca="false">D674&amp;"#"&amp;E674</f>
        <v>신약#170</v>
      </c>
      <c r="AD674" s="23" t="n">
        <f aca="false">COUNTIFS($C$2:C674,C674,$D$2:D674,D674)</f>
        <v>66</v>
      </c>
    </row>
    <row r="675" customFormat="false" ht="26.85" hidden="false" customHeight="false" outlineLevel="0" collapsed="false">
      <c r="A675" s="23" t="n">
        <v>674</v>
      </c>
      <c r="B675" s="30" t="s">
        <v>5992</v>
      </c>
      <c r="C675" s="23" t="n">
        <v>2</v>
      </c>
      <c r="D675" s="23" t="s">
        <v>4656</v>
      </c>
      <c r="E675" s="23" t="n">
        <f aca="false">IF(C675=1,COUNTIFS($C$2:C675,1,$D$2:D675,D675),COUNTIFS($C$2:$C$799,1,$D$2:$D$799,D675)+COUNTIFS($C$2:C675,2,$D$2:D675,D675))</f>
        <v>171</v>
      </c>
      <c r="F675" s="23" t="str">
        <f aca="false">D675&amp;" #"&amp;TEXT(E675,"000")</f>
        <v>신약 #171</v>
      </c>
      <c r="G675" s="30" t="s">
        <v>5911</v>
      </c>
      <c r="H675" s="30" t="s">
        <v>5839</v>
      </c>
      <c r="I675" s="23" t="s">
        <v>5750</v>
      </c>
      <c r="J675" s="24" t="s">
        <v>5993</v>
      </c>
      <c r="K675" s="23" t="s">
        <v>121</v>
      </c>
      <c r="L675" s="24" t="s">
        <v>5994</v>
      </c>
      <c r="M675" s="24" t="s">
        <v>5995</v>
      </c>
      <c r="N675" s="23" t="s">
        <v>5996</v>
      </c>
      <c r="O675" s="24" t="s">
        <v>5997</v>
      </c>
      <c r="P675" s="24" t="s">
        <v>5998</v>
      </c>
      <c r="Q675" s="24" t="s">
        <v>5999</v>
      </c>
      <c r="R675" s="24"/>
      <c r="S675" s="24" t="s">
        <v>5991</v>
      </c>
      <c r="T675" s="24" t="str">
        <f aca="false">"["&amp;안내!$C$5&amp;" "&amp;F675&amp;"] "&amp;L675&amp;" | "&amp;J675</f>
        <v>[1분 성경 신약 #171] 에베소의 소동 | 행 19:1-41</v>
      </c>
      <c r="U675" s="26" t="n">
        <f aca="false">IF(D675="구약",IF(C675=1,안내!$C$9,안내!$C$10)+AD675-1,IF(C675=1,안내!$C$9,안내!$C$10)+7*INT((AD675-1)/4)+CHOOSE(MOD(AD675-1,4)+1,0,2,4,5))</f>
        <v>46696</v>
      </c>
      <c r="V675" s="23" t="str">
        <f aca="false">CHOOSE(WEEKDAY(U675,2),"월","화","수","목","금","토","일")</f>
        <v>금</v>
      </c>
      <c r="W675" s="24" t="str">
        <f aca="false">IFERROR(IF(INDEX($C$2:$C$799,MATCH(D675&amp;"#"&amp;(E675+1),$AC$2:$AC$799,0))=C675,"다음 편: ","시즌1 완결 · 시즌2 첫 편: ")&amp;INDEX($L$2:$L$799,MATCH(D675&amp;"#"&amp;(E675+1),$AC$2:$AC$799,0)),"신약 트랙 완결")</f>
        <v>다음 편: 예루살렘으로</v>
      </c>
      <c r="X675" s="23" t="s">
        <v>130</v>
      </c>
      <c r="Y675" s="23" t="s">
        <v>130</v>
      </c>
      <c r="Z675" s="23" t="s">
        <v>130</v>
      </c>
      <c r="AA675" s="23" t="s">
        <v>130</v>
      </c>
      <c r="AB675" s="24"/>
      <c r="AC675" s="23" t="str">
        <f aca="false">D675&amp;"#"&amp;E675</f>
        <v>신약#171</v>
      </c>
      <c r="AD675" s="23" t="n">
        <f aca="false">COUNTIFS($C$2:C675,C675,$D$2:D675,D675)</f>
        <v>67</v>
      </c>
    </row>
    <row r="676" customFormat="false" ht="39.55" hidden="false" customHeight="false" outlineLevel="0" collapsed="false">
      <c r="A676" s="23" t="n">
        <v>675</v>
      </c>
      <c r="B676" s="30" t="s">
        <v>6000</v>
      </c>
      <c r="C676" s="20" t="n">
        <v>1</v>
      </c>
      <c r="D676" s="20" t="s">
        <v>4656</v>
      </c>
      <c r="E676" s="20" t="n">
        <f aca="false">IF(C676=1,COUNTIFS($C$2:C676,1,$D$2:D676,D676),COUNTIFS($C$2:$C$799,1,$D$2:$D$799,D676)+COUNTIFS($C$2:C676,2,$D$2:D676,D676))</f>
        <v>87</v>
      </c>
      <c r="F676" s="20" t="str">
        <f aca="false">D676&amp;" #"&amp;TEXT(E676,"000")</f>
        <v>신약 #087</v>
      </c>
      <c r="G676" s="30" t="s">
        <v>5911</v>
      </c>
      <c r="H676" s="30" t="s">
        <v>5912</v>
      </c>
      <c r="I676" s="23" t="s">
        <v>5750</v>
      </c>
      <c r="J676" s="24" t="s">
        <v>6001</v>
      </c>
      <c r="K676" s="23" t="s">
        <v>121</v>
      </c>
      <c r="L676" s="24" t="s">
        <v>6002</v>
      </c>
      <c r="M676" s="24" t="s">
        <v>6003</v>
      </c>
      <c r="N676" s="23" t="s">
        <v>6004</v>
      </c>
      <c r="O676" s="24" t="s">
        <v>6005</v>
      </c>
      <c r="P676" s="24" t="s">
        <v>6006</v>
      </c>
      <c r="Q676" s="24" t="s">
        <v>6007</v>
      </c>
      <c r="R676" s="24"/>
      <c r="S676" s="28" t="s">
        <v>6008</v>
      </c>
      <c r="T676" s="24" t="str">
        <f aca="false">"["&amp;안내!$C$5&amp;" "&amp;F676&amp;"] "&amp;L676&amp;" | "&amp;J676</f>
        <v>[1분 성경 신약 #087] 달려갈 길을 마치려 함에는 | 행 20:1-38</v>
      </c>
      <c r="U676" s="26" t="n">
        <f aca="false">IF(D676="구약",IF(C676=1,안내!$C$9,안내!$C$10)+AD676-1,IF(C676=1,안내!$C$9,안내!$C$10)+7*INT((AD676-1)/4)+CHOOSE(MOD(AD676-1,4)+1,0,2,4,5))</f>
        <v>46542</v>
      </c>
      <c r="V676" s="23" t="str">
        <f aca="false">CHOOSE(WEEKDAY(U676,2),"월","화","수","목","금","토","일")</f>
        <v>금</v>
      </c>
      <c r="W676" s="24" t="str">
        <f aca="false">IFERROR(IF(INDEX($C$2:$C$799,MATCH(D676&amp;"#"&amp;(E676+1),$AC$2:$AC$799,0))=C676,"다음 편: ","시즌1 완결 · 시즌2 첫 편: ")&amp;INDEX($L$2:$L$799,MATCH(D676&amp;"#"&amp;(E676+1),$AC$2:$AC$799,0)),"신약 트랙 완결")</f>
        <v>다음 편: 폭풍 속의 약속</v>
      </c>
      <c r="X676" s="23" t="s">
        <v>130</v>
      </c>
      <c r="Y676" s="23" t="s">
        <v>130</v>
      </c>
      <c r="Z676" s="23" t="s">
        <v>130</v>
      </c>
      <c r="AA676" s="23" t="s">
        <v>130</v>
      </c>
      <c r="AB676" s="24"/>
      <c r="AC676" s="23" t="str">
        <f aca="false">D676&amp;"#"&amp;E676</f>
        <v>신약#87</v>
      </c>
      <c r="AD676" s="23" t="n">
        <f aca="false">COUNTIFS($C$2:C676,C676,$D$2:D676,D676)</f>
        <v>87</v>
      </c>
    </row>
    <row r="677" customFormat="false" ht="26.85" hidden="false" customHeight="false" outlineLevel="0" collapsed="false">
      <c r="A677" s="23" t="n">
        <v>676</v>
      </c>
      <c r="B677" s="30" t="s">
        <v>6009</v>
      </c>
      <c r="C677" s="23" t="n">
        <v>2</v>
      </c>
      <c r="D677" s="23" t="s">
        <v>4656</v>
      </c>
      <c r="E677" s="23" t="n">
        <f aca="false">IF(C677=1,COUNTIFS($C$2:C677,1,$D$2:D677,D677),COUNTIFS($C$2:$C$799,1,$D$2:$D$799,D677)+COUNTIFS($C$2:C677,2,$D$2:D677,D677))</f>
        <v>172</v>
      </c>
      <c r="F677" s="23" t="str">
        <f aca="false">D677&amp;" #"&amp;TEXT(E677,"000")</f>
        <v>신약 #172</v>
      </c>
      <c r="G677" s="30" t="s">
        <v>6010</v>
      </c>
      <c r="H677" s="30" t="s">
        <v>6011</v>
      </c>
      <c r="I677" s="23" t="s">
        <v>5750</v>
      </c>
      <c r="J677" s="24" t="s">
        <v>6012</v>
      </c>
      <c r="K677" s="23" t="s">
        <v>121</v>
      </c>
      <c r="L677" s="24" t="s">
        <v>6013</v>
      </c>
      <c r="M677" s="24" t="s">
        <v>6014</v>
      </c>
      <c r="N677" s="23" t="s">
        <v>6015</v>
      </c>
      <c r="O677" s="24" t="s">
        <v>6016</v>
      </c>
      <c r="P677" s="24" t="s">
        <v>6017</v>
      </c>
      <c r="Q677" s="24" t="s">
        <v>6018</v>
      </c>
      <c r="R677" s="24"/>
      <c r="S677" s="24" t="s">
        <v>6019</v>
      </c>
      <c r="T677" s="24" t="str">
        <f aca="false">"["&amp;안내!$C$5&amp;" "&amp;F677&amp;"] "&amp;L677&amp;" | "&amp;J677</f>
        <v>[1분 성경 신약 #172] 예루살렘으로 | 행 21:1-40</v>
      </c>
      <c r="U677" s="26" t="n">
        <f aca="false">IF(D677="구약",IF(C677=1,안내!$C$9,안내!$C$10)+AD677-1,IF(C677=1,안내!$C$9,안내!$C$10)+7*INT((AD677-1)/4)+CHOOSE(MOD(AD677-1,4)+1,0,2,4,5))</f>
        <v>46697</v>
      </c>
      <c r="V677" s="23" t="str">
        <f aca="false">CHOOSE(WEEKDAY(U677,2),"월","화","수","목","금","토","일")</f>
        <v>토</v>
      </c>
      <c r="W677" s="24" t="str">
        <f aca="false">IFERROR(IF(INDEX($C$2:$C$799,MATCH(D677&amp;"#"&amp;(E677+1),$AC$2:$AC$799,0))=C677,"다음 편: ","시즌1 완결 · 시즌2 첫 편: ")&amp;INDEX($L$2:$L$799,MATCH(D677&amp;"#"&amp;(E677+1),$AC$2:$AC$799,0)),"신약 트랙 완결")</f>
        <v>다음 편: 바울의 간증</v>
      </c>
      <c r="X677" s="23" t="s">
        <v>130</v>
      </c>
      <c r="Y677" s="23" t="s">
        <v>130</v>
      </c>
      <c r="Z677" s="23" t="s">
        <v>130</v>
      </c>
      <c r="AA677" s="23" t="s">
        <v>130</v>
      </c>
      <c r="AB677" s="24"/>
      <c r="AC677" s="23" t="str">
        <f aca="false">D677&amp;"#"&amp;E677</f>
        <v>신약#172</v>
      </c>
      <c r="AD677" s="23" t="n">
        <f aca="false">COUNTIFS($C$2:C677,C677,$D$2:D677,D677)</f>
        <v>68</v>
      </c>
    </row>
    <row r="678" customFormat="false" ht="26.85" hidden="false" customHeight="false" outlineLevel="0" collapsed="false">
      <c r="A678" s="23" t="n">
        <v>677</v>
      </c>
      <c r="B678" s="30" t="s">
        <v>6020</v>
      </c>
      <c r="C678" s="23" t="n">
        <v>2</v>
      </c>
      <c r="D678" s="23" t="s">
        <v>4656</v>
      </c>
      <c r="E678" s="23" t="n">
        <f aca="false">IF(C678=1,COUNTIFS($C$2:C678,1,$D$2:D678,D678),COUNTIFS($C$2:$C$799,1,$D$2:$D$799,D678)+COUNTIFS($C$2:C678,2,$D$2:D678,D678))</f>
        <v>173</v>
      </c>
      <c r="F678" s="23" t="str">
        <f aca="false">D678&amp;" #"&amp;TEXT(E678,"000")</f>
        <v>신약 #173</v>
      </c>
      <c r="G678" s="30" t="s">
        <v>6010</v>
      </c>
      <c r="H678" s="30" t="s">
        <v>6011</v>
      </c>
      <c r="I678" s="23" t="s">
        <v>5750</v>
      </c>
      <c r="J678" s="24" t="s">
        <v>6021</v>
      </c>
      <c r="K678" s="23" t="s">
        <v>121</v>
      </c>
      <c r="L678" s="24" t="s">
        <v>6022</v>
      </c>
      <c r="M678" s="24" t="s">
        <v>6023</v>
      </c>
      <c r="N678" s="23" t="s">
        <v>6024</v>
      </c>
      <c r="O678" s="24" t="s">
        <v>6025</v>
      </c>
      <c r="P678" s="24" t="s">
        <v>6026</v>
      </c>
      <c r="Q678" s="24" t="s">
        <v>6027</v>
      </c>
      <c r="R678" s="24"/>
      <c r="S678" s="24" t="s">
        <v>6019</v>
      </c>
      <c r="T678" s="24" t="str">
        <f aca="false">"["&amp;안내!$C$5&amp;" "&amp;F678&amp;"] "&amp;L678&amp;" | "&amp;J678</f>
        <v>[1분 성경 신약 #173] 바울의 간증 | 행 22:1-30</v>
      </c>
      <c r="U678" s="26" t="n">
        <f aca="false">IF(D678="구약",IF(C678=1,안내!$C$9,안내!$C$10)+AD678-1,IF(C678=1,안내!$C$9,안내!$C$10)+7*INT((AD678-1)/4)+CHOOSE(MOD(AD678-1,4)+1,0,2,4,5))</f>
        <v>46699</v>
      </c>
      <c r="V678" s="23" t="str">
        <f aca="false">CHOOSE(WEEKDAY(U678,2),"월","화","수","목","금","토","일")</f>
        <v>월</v>
      </c>
      <c r="W678" s="24" t="str">
        <f aca="false">IFERROR(IF(INDEX($C$2:$C$799,MATCH(D678&amp;"#"&amp;(E678+1),$AC$2:$AC$799,0))=C678,"다음 편: ","시즌1 완결 · 시즌2 첫 편: ")&amp;INDEX($L$2:$L$799,MATCH(D678&amp;"#"&amp;(E678+1),$AC$2:$AC$799,0)),"신약 트랙 완결")</f>
        <v>다음 편: 40명의 암살 음모</v>
      </c>
      <c r="X678" s="23" t="s">
        <v>130</v>
      </c>
      <c r="Y678" s="23" t="s">
        <v>130</v>
      </c>
      <c r="Z678" s="23" t="s">
        <v>130</v>
      </c>
      <c r="AA678" s="23" t="s">
        <v>130</v>
      </c>
      <c r="AB678" s="24"/>
      <c r="AC678" s="23" t="str">
        <f aca="false">D678&amp;"#"&amp;E678</f>
        <v>신약#173</v>
      </c>
      <c r="AD678" s="23" t="n">
        <f aca="false">COUNTIFS($C$2:C678,C678,$D$2:D678,D678)</f>
        <v>69</v>
      </c>
    </row>
    <row r="679" customFormat="false" ht="26.85" hidden="false" customHeight="false" outlineLevel="0" collapsed="false">
      <c r="A679" s="23" t="n">
        <v>678</v>
      </c>
      <c r="B679" s="30" t="s">
        <v>6028</v>
      </c>
      <c r="C679" s="23" t="n">
        <v>2</v>
      </c>
      <c r="D679" s="23" t="s">
        <v>4656</v>
      </c>
      <c r="E679" s="23" t="n">
        <f aca="false">IF(C679=1,COUNTIFS($C$2:C679,1,$D$2:D679,D679),COUNTIFS($C$2:$C$799,1,$D$2:$D$799,D679)+COUNTIFS($C$2:C679,2,$D$2:D679,D679))</f>
        <v>174</v>
      </c>
      <c r="F679" s="23" t="str">
        <f aca="false">D679&amp;" #"&amp;TEXT(E679,"000")</f>
        <v>신약 #174</v>
      </c>
      <c r="G679" s="30" t="s">
        <v>6010</v>
      </c>
      <c r="H679" s="30" t="s">
        <v>6011</v>
      </c>
      <c r="I679" s="23" t="s">
        <v>5750</v>
      </c>
      <c r="J679" s="24" t="s">
        <v>6029</v>
      </c>
      <c r="K679" s="23" t="s">
        <v>121</v>
      </c>
      <c r="L679" s="29" t="s">
        <v>6030</v>
      </c>
      <c r="M679" s="24" t="s">
        <v>6031</v>
      </c>
      <c r="N679" s="23" t="s">
        <v>6032</v>
      </c>
      <c r="O679" s="24" t="s">
        <v>6033</v>
      </c>
      <c r="P679" s="24" t="s">
        <v>6034</v>
      </c>
      <c r="Q679" s="24" t="s">
        <v>6035</v>
      </c>
      <c r="R679" s="24"/>
      <c r="S679" s="24" t="s">
        <v>6019</v>
      </c>
      <c r="T679" s="24" t="str">
        <f aca="false">"["&amp;안내!$C$5&amp;" "&amp;F679&amp;"] "&amp;L679&amp;" | "&amp;J679</f>
        <v>[1분 성경 신약 #174] 40명의 암살 음모 | 행 23:1-35</v>
      </c>
      <c r="U679" s="26" t="n">
        <f aca="false">IF(D679="구약",IF(C679=1,안내!$C$9,안내!$C$10)+AD679-1,IF(C679=1,안내!$C$9,안내!$C$10)+7*INT((AD679-1)/4)+CHOOSE(MOD(AD679-1,4)+1,0,2,4,5))</f>
        <v>46701</v>
      </c>
      <c r="V679" s="23" t="str">
        <f aca="false">CHOOSE(WEEKDAY(U679,2),"월","화","수","목","금","토","일")</f>
        <v>수</v>
      </c>
      <c r="W679" s="24" t="str">
        <f aca="false">IFERROR(IF(INDEX($C$2:$C$799,MATCH(D679&amp;"#"&amp;(E679+1),$AC$2:$AC$799,0))=C679,"다음 편: ","시즌1 완결 · 시즌2 첫 편: ")&amp;INDEX($L$2:$L$799,MATCH(D679&amp;"#"&amp;(E679+1),$AC$2:$AC$799,0)),"신약 트랙 완결")</f>
        <v>다음 편: 두려워 떤 총독</v>
      </c>
      <c r="X679" s="23" t="s">
        <v>130</v>
      </c>
      <c r="Y679" s="23" t="s">
        <v>130</v>
      </c>
      <c r="Z679" s="23" t="s">
        <v>130</v>
      </c>
      <c r="AA679" s="23" t="s">
        <v>130</v>
      </c>
      <c r="AB679" s="24"/>
      <c r="AC679" s="23" t="str">
        <f aca="false">D679&amp;"#"&amp;E679</f>
        <v>신약#174</v>
      </c>
      <c r="AD679" s="23" t="n">
        <f aca="false">COUNTIFS($C$2:C679,C679,$D$2:D679,D679)</f>
        <v>70</v>
      </c>
    </row>
    <row r="680" customFormat="false" ht="26.85" hidden="false" customHeight="false" outlineLevel="0" collapsed="false">
      <c r="A680" s="23" t="n">
        <v>679</v>
      </c>
      <c r="B680" s="30" t="s">
        <v>6036</v>
      </c>
      <c r="C680" s="23" t="n">
        <v>2</v>
      </c>
      <c r="D680" s="23" t="s">
        <v>4656</v>
      </c>
      <c r="E680" s="23" t="n">
        <f aca="false">IF(C680=1,COUNTIFS($C$2:C680,1,$D$2:D680,D680),COUNTIFS($C$2:$C$799,1,$D$2:$D$799,D680)+COUNTIFS($C$2:C680,2,$D$2:D680,D680))</f>
        <v>175</v>
      </c>
      <c r="F680" s="23" t="str">
        <f aca="false">D680&amp;" #"&amp;TEXT(E680,"000")</f>
        <v>신약 #175</v>
      </c>
      <c r="G680" s="30" t="s">
        <v>6010</v>
      </c>
      <c r="H680" s="30" t="s">
        <v>6011</v>
      </c>
      <c r="I680" s="23" t="s">
        <v>5750</v>
      </c>
      <c r="J680" s="24" t="s">
        <v>6037</v>
      </c>
      <c r="K680" s="23" t="s">
        <v>121</v>
      </c>
      <c r="L680" s="24" t="s">
        <v>6038</v>
      </c>
      <c r="M680" s="24" t="s">
        <v>6039</v>
      </c>
      <c r="N680" s="23" t="s">
        <v>6040</v>
      </c>
      <c r="O680" s="24" t="s">
        <v>6041</v>
      </c>
      <c r="P680" s="24" t="s">
        <v>6042</v>
      </c>
      <c r="Q680" s="24" t="s">
        <v>6043</v>
      </c>
      <c r="R680" s="24"/>
      <c r="S680" s="24" t="s">
        <v>6019</v>
      </c>
      <c r="T680" s="24" t="str">
        <f aca="false">"["&amp;안내!$C$5&amp;" "&amp;F680&amp;"] "&amp;L680&amp;" | "&amp;J680</f>
        <v>[1분 성경 신약 #175] 두려워 떤 총독 | 행 24:1-27</v>
      </c>
      <c r="U680" s="26" t="n">
        <f aca="false">IF(D680="구약",IF(C680=1,안내!$C$9,안내!$C$10)+AD680-1,IF(C680=1,안내!$C$9,안내!$C$10)+7*INT((AD680-1)/4)+CHOOSE(MOD(AD680-1,4)+1,0,2,4,5))</f>
        <v>46703</v>
      </c>
      <c r="V680" s="23" t="str">
        <f aca="false">CHOOSE(WEEKDAY(U680,2),"월","화","수","목","금","토","일")</f>
        <v>금</v>
      </c>
      <c r="W680" s="24" t="str">
        <f aca="false">IFERROR(IF(INDEX($C$2:$C$799,MATCH(D680&amp;"#"&amp;(E680+1),$AC$2:$AC$799,0))=C680,"다음 편: ","시즌1 완결 · 시즌2 첫 편: ")&amp;INDEX($L$2:$L$799,MATCH(D680&amp;"#"&amp;(E680+1),$AC$2:$AC$799,0)),"신약 트랙 완결")</f>
        <v>다음 편: 거의 그리스도인이 되게</v>
      </c>
      <c r="X680" s="23" t="s">
        <v>130</v>
      </c>
      <c r="Y680" s="23" t="s">
        <v>130</v>
      </c>
      <c r="Z680" s="23" t="s">
        <v>130</v>
      </c>
      <c r="AA680" s="23" t="s">
        <v>130</v>
      </c>
      <c r="AB680" s="24"/>
      <c r="AC680" s="23" t="str">
        <f aca="false">D680&amp;"#"&amp;E680</f>
        <v>신약#175</v>
      </c>
      <c r="AD680" s="23" t="n">
        <f aca="false">COUNTIFS($C$2:C680,C680,$D$2:D680,D680)</f>
        <v>71</v>
      </c>
    </row>
    <row r="681" customFormat="false" ht="26.85" hidden="false" customHeight="false" outlineLevel="0" collapsed="false">
      <c r="A681" s="23" t="n">
        <v>680</v>
      </c>
      <c r="B681" s="30" t="s">
        <v>6044</v>
      </c>
      <c r="C681" s="23" t="n">
        <v>2</v>
      </c>
      <c r="D681" s="23" t="s">
        <v>4656</v>
      </c>
      <c r="E681" s="23" t="n">
        <f aca="false">IF(C681=1,COUNTIFS($C$2:C681,1,$D$2:D681,D681),COUNTIFS($C$2:$C$799,1,$D$2:$D$799,D681)+COUNTIFS($C$2:C681,2,$D$2:D681,D681))</f>
        <v>176</v>
      </c>
      <c r="F681" s="23" t="str">
        <f aca="false">D681&amp;" #"&amp;TEXT(E681,"000")</f>
        <v>신약 #176</v>
      </c>
      <c r="G681" s="30" t="s">
        <v>6010</v>
      </c>
      <c r="H681" s="30" t="s">
        <v>6011</v>
      </c>
      <c r="I681" s="23" t="s">
        <v>5750</v>
      </c>
      <c r="J681" s="24" t="s">
        <v>6045</v>
      </c>
      <c r="K681" s="23" t="s">
        <v>121</v>
      </c>
      <c r="L681" s="24" t="s">
        <v>6046</v>
      </c>
      <c r="M681" s="24" t="s">
        <v>6047</v>
      </c>
      <c r="N681" s="23" t="s">
        <v>6048</v>
      </c>
      <c r="O681" s="24" t="s">
        <v>6049</v>
      </c>
      <c r="P681" s="24" t="s">
        <v>6050</v>
      </c>
      <c r="Q681" s="24" t="s">
        <v>6051</v>
      </c>
      <c r="R681" s="24"/>
      <c r="S681" s="24" t="s">
        <v>6019</v>
      </c>
      <c r="T681" s="24" t="str">
        <f aca="false">"["&amp;안내!$C$5&amp;" "&amp;F681&amp;"] "&amp;L681&amp;" | "&amp;J681</f>
        <v>[1분 성경 신약 #176] 거의 그리스도인이 되게 | 행 25:1-26:32</v>
      </c>
      <c r="U681" s="26" t="n">
        <f aca="false">IF(D681="구약",IF(C681=1,안내!$C$9,안내!$C$10)+AD681-1,IF(C681=1,안내!$C$9,안내!$C$10)+7*INT((AD681-1)/4)+CHOOSE(MOD(AD681-1,4)+1,0,2,4,5))</f>
        <v>46704</v>
      </c>
      <c r="V681" s="23" t="str">
        <f aca="false">CHOOSE(WEEKDAY(U681,2),"월","화","수","목","금","토","일")</f>
        <v>토</v>
      </c>
      <c r="W681" s="24" t="str">
        <f aca="false">IFERROR(IF(INDEX($C$2:$C$799,MATCH(D681&amp;"#"&amp;(E681+1),$AC$2:$AC$799,0))=C681,"다음 편: ","시즌1 완결 · 시즌2 첫 편: ")&amp;INDEX($L$2:$L$799,MATCH(D681&amp;"#"&amp;(E681+1),$AC$2:$AC$799,0)),"신약 트랙 완결")</f>
        <v>다음 편: 독사도 해치지 못하다</v>
      </c>
      <c r="X681" s="23" t="s">
        <v>130</v>
      </c>
      <c r="Y681" s="23" t="s">
        <v>130</v>
      </c>
      <c r="Z681" s="23" t="s">
        <v>130</v>
      </c>
      <c r="AA681" s="23" t="s">
        <v>130</v>
      </c>
      <c r="AB681" s="24"/>
      <c r="AC681" s="23" t="str">
        <f aca="false">D681&amp;"#"&amp;E681</f>
        <v>신약#176</v>
      </c>
      <c r="AD681" s="23" t="n">
        <f aca="false">COUNTIFS($C$2:C681,C681,$D$2:D681,D681)</f>
        <v>72</v>
      </c>
    </row>
    <row r="682" customFormat="false" ht="52.2" hidden="false" customHeight="false" outlineLevel="0" collapsed="false">
      <c r="A682" s="23" t="n">
        <v>681</v>
      </c>
      <c r="B682" s="30" t="s">
        <v>6052</v>
      </c>
      <c r="C682" s="20" t="n">
        <v>1</v>
      </c>
      <c r="D682" s="20" t="s">
        <v>4656</v>
      </c>
      <c r="E682" s="20" t="n">
        <f aca="false">IF(C682=1,COUNTIFS($C$2:C682,1,$D$2:D682,D682),COUNTIFS($C$2:$C$799,1,$D$2:$D$799,D682)+COUNTIFS($C$2:C682,2,$D$2:D682,D682))</f>
        <v>88</v>
      </c>
      <c r="F682" s="20" t="str">
        <f aca="false">D682&amp;" #"&amp;TEXT(E682,"000")</f>
        <v>신약 #088</v>
      </c>
      <c r="G682" s="30" t="s">
        <v>6010</v>
      </c>
      <c r="H682" s="30" t="s">
        <v>5912</v>
      </c>
      <c r="I682" s="23" t="s">
        <v>5750</v>
      </c>
      <c r="J682" s="24" t="s">
        <v>6053</v>
      </c>
      <c r="K682" s="23" t="s">
        <v>121</v>
      </c>
      <c r="L682" s="24" t="s">
        <v>6054</v>
      </c>
      <c r="M682" s="29" t="s">
        <v>6055</v>
      </c>
      <c r="N682" s="23" t="s">
        <v>6056</v>
      </c>
      <c r="O682" s="24" t="s">
        <v>6057</v>
      </c>
      <c r="P682" s="24" t="s">
        <v>6058</v>
      </c>
      <c r="Q682" s="24" t="s">
        <v>6059</v>
      </c>
      <c r="R682" s="24"/>
      <c r="S682" s="28" t="s">
        <v>6060</v>
      </c>
      <c r="T682" s="24" t="str">
        <f aca="false">"["&amp;안내!$C$5&amp;" "&amp;F682&amp;"] "&amp;L682&amp;" | "&amp;J682</f>
        <v>[1분 성경 신약 #088] 폭풍 속의 약속 | 행 27:1-26</v>
      </c>
      <c r="U682" s="26" t="n">
        <f aca="false">IF(D682="구약",IF(C682=1,안내!$C$9,안내!$C$10)+AD682-1,IF(C682=1,안내!$C$9,안내!$C$10)+7*INT((AD682-1)/4)+CHOOSE(MOD(AD682-1,4)+1,0,2,4,5))</f>
        <v>46543</v>
      </c>
      <c r="V682" s="23" t="str">
        <f aca="false">CHOOSE(WEEKDAY(U682,2),"월","화","수","목","금","토","일")</f>
        <v>토</v>
      </c>
      <c r="W682" s="24" t="str">
        <f aca="false">IFERROR(IF(INDEX($C$2:$C$799,MATCH(D682&amp;"#"&amp;(E682+1),$AC$2:$AC$799,0))=C682,"다음 편: ","시즌1 완결 · 시즌2 첫 편: ")&amp;INDEX($L$2:$L$799,MATCH(D682&amp;"#"&amp;(E682+1),$AC$2:$AC$799,0)),"신약 트랙 완결")</f>
        <v>다음 편: 276명 모두 살다</v>
      </c>
      <c r="X682" s="23" t="s">
        <v>130</v>
      </c>
      <c r="Y682" s="23" t="s">
        <v>130</v>
      </c>
      <c r="Z682" s="23" t="s">
        <v>130</v>
      </c>
      <c r="AA682" s="23" t="s">
        <v>130</v>
      </c>
      <c r="AB682" s="24"/>
      <c r="AC682" s="23" t="str">
        <f aca="false">D682&amp;"#"&amp;E682</f>
        <v>신약#88</v>
      </c>
      <c r="AD682" s="23" t="n">
        <f aca="false">COUNTIFS($C$2:C682,C682,$D$2:D682,D682)</f>
        <v>88</v>
      </c>
    </row>
    <row r="683" customFormat="false" ht="26.85" hidden="false" customHeight="false" outlineLevel="0" collapsed="false">
      <c r="A683" s="23" t="n">
        <v>682</v>
      </c>
      <c r="B683" s="30" t="s">
        <v>6061</v>
      </c>
      <c r="C683" s="20" t="n">
        <v>1</v>
      </c>
      <c r="D683" s="20" t="s">
        <v>4656</v>
      </c>
      <c r="E683" s="20" t="n">
        <f aca="false">IF(C683=1,COUNTIFS($C$2:C683,1,$D$2:D683,D683),COUNTIFS($C$2:$C$799,1,$D$2:$D$799,D683)+COUNTIFS($C$2:C683,2,$D$2:D683,D683))</f>
        <v>89</v>
      </c>
      <c r="F683" s="20" t="str">
        <f aca="false">D683&amp;" #"&amp;TEXT(E683,"000")</f>
        <v>신약 #089</v>
      </c>
      <c r="G683" s="30" t="s">
        <v>6010</v>
      </c>
      <c r="H683" s="30" t="s">
        <v>5912</v>
      </c>
      <c r="I683" s="23" t="s">
        <v>5750</v>
      </c>
      <c r="J683" s="24" t="s">
        <v>6062</v>
      </c>
      <c r="K683" s="23" t="s">
        <v>121</v>
      </c>
      <c r="L683" s="29" t="s">
        <v>6063</v>
      </c>
      <c r="M683" s="24" t="s">
        <v>6064</v>
      </c>
      <c r="N683" s="23" t="s">
        <v>6065</v>
      </c>
      <c r="O683" s="24" t="s">
        <v>6066</v>
      </c>
      <c r="P683" s="24" t="s">
        <v>6067</v>
      </c>
      <c r="Q683" s="24" t="s">
        <v>6068</v>
      </c>
      <c r="R683" s="24"/>
      <c r="S683" s="24" t="s">
        <v>129</v>
      </c>
      <c r="T683" s="24" t="str">
        <f aca="false">"["&amp;안내!$C$5&amp;" "&amp;F683&amp;"] "&amp;L683&amp;" | "&amp;J683</f>
        <v>[1분 성경 신약 #089] 276명 모두 살다 | 행 27:27-44</v>
      </c>
      <c r="U683" s="26" t="n">
        <f aca="false">IF(D683="구약",IF(C683=1,안내!$C$9,안내!$C$10)+AD683-1,IF(C683=1,안내!$C$9,안내!$C$10)+7*INT((AD683-1)/4)+CHOOSE(MOD(AD683-1,4)+1,0,2,4,5))</f>
        <v>46545</v>
      </c>
      <c r="V683" s="23" t="str">
        <f aca="false">CHOOSE(WEEKDAY(U683,2),"월","화","수","목","금","토","일")</f>
        <v>월</v>
      </c>
      <c r="W683" s="24" t="str">
        <f aca="false">IFERROR(IF(INDEX($C$2:$C$799,MATCH(D683&amp;"#"&amp;(E683+1),$AC$2:$AC$799,0))=C683,"다음 편: ","시즌1 완결 · 시즌2 첫 편: ")&amp;INDEX($L$2:$L$799,MATCH(D683&amp;"#"&amp;(E683+1),$AC$2:$AC$799,0)),"신약 트랙 완결")</f>
        <v>다음 편: 거침없이</v>
      </c>
      <c r="X683" s="23" t="s">
        <v>130</v>
      </c>
      <c r="Y683" s="23" t="s">
        <v>130</v>
      </c>
      <c r="Z683" s="23" t="s">
        <v>130</v>
      </c>
      <c r="AA683" s="23" t="s">
        <v>130</v>
      </c>
      <c r="AB683" s="24"/>
      <c r="AC683" s="23" t="str">
        <f aca="false">D683&amp;"#"&amp;E683</f>
        <v>신약#89</v>
      </c>
      <c r="AD683" s="23" t="n">
        <f aca="false">COUNTIFS($C$2:C683,C683,$D$2:D683,D683)</f>
        <v>89</v>
      </c>
    </row>
    <row r="684" customFormat="false" ht="26.85" hidden="false" customHeight="false" outlineLevel="0" collapsed="false">
      <c r="A684" s="23" t="n">
        <v>683</v>
      </c>
      <c r="B684" s="30" t="s">
        <v>6069</v>
      </c>
      <c r="C684" s="23" t="n">
        <v>2</v>
      </c>
      <c r="D684" s="23" t="s">
        <v>4656</v>
      </c>
      <c r="E684" s="23" t="n">
        <f aca="false">IF(C684=1,COUNTIFS($C$2:C684,1,$D$2:D684,D684),COUNTIFS($C$2:$C$799,1,$D$2:$D$799,D684)+COUNTIFS($C$2:C684,2,$D$2:D684,D684))</f>
        <v>177</v>
      </c>
      <c r="F684" s="23" t="str">
        <f aca="false">D684&amp;" #"&amp;TEXT(E684,"000")</f>
        <v>신약 #177</v>
      </c>
      <c r="G684" s="30" t="s">
        <v>6010</v>
      </c>
      <c r="H684" s="30" t="s">
        <v>6011</v>
      </c>
      <c r="I684" s="23" t="s">
        <v>5750</v>
      </c>
      <c r="J684" s="24" t="s">
        <v>6070</v>
      </c>
      <c r="K684" s="23" t="s">
        <v>121</v>
      </c>
      <c r="L684" s="24" t="s">
        <v>6071</v>
      </c>
      <c r="M684" s="24" t="s">
        <v>6072</v>
      </c>
      <c r="N684" s="23" t="s">
        <v>6073</v>
      </c>
      <c r="O684" s="24" t="s">
        <v>6074</v>
      </c>
      <c r="P684" s="24" t="s">
        <v>6075</v>
      </c>
      <c r="Q684" s="24" t="s">
        <v>6076</v>
      </c>
      <c r="R684" s="25" t="s">
        <v>6077</v>
      </c>
      <c r="S684" s="24" t="s">
        <v>6078</v>
      </c>
      <c r="T684" s="24" t="str">
        <f aca="false">"["&amp;안내!$C$5&amp;" "&amp;F684&amp;"] "&amp;L684&amp;" | "&amp;J684</f>
        <v>[1분 성경 신약 #177] 독사도 해치지 못하다 | 행 28:1-16</v>
      </c>
      <c r="U684" s="26" t="n">
        <f aca="false">IF(D684="구약",IF(C684=1,안내!$C$9,안내!$C$10)+AD684-1,IF(C684=1,안내!$C$9,안내!$C$10)+7*INT((AD684-1)/4)+CHOOSE(MOD(AD684-1,4)+1,0,2,4,5))</f>
        <v>46706</v>
      </c>
      <c r="V684" s="23" t="str">
        <f aca="false">CHOOSE(WEEKDAY(U684,2),"월","화","수","목","금","토","일")</f>
        <v>월</v>
      </c>
      <c r="W684" s="24" t="str">
        <f aca="false">IFERROR(IF(INDEX($C$2:$C$799,MATCH(D684&amp;"#"&amp;(E684+1),$AC$2:$AC$799,0))=C684,"다음 편: ","시즌1 완결 · 시즌2 첫 편: ")&amp;INDEX($L$2:$L$799,MATCH(D684&amp;"#"&amp;(E684+1),$AC$2:$AC$799,0)),"신약 트랙 완결")</f>
        <v>다음 편: 복음은 하나님의 능력</v>
      </c>
      <c r="X684" s="23" t="s">
        <v>130</v>
      </c>
      <c r="Y684" s="23" t="s">
        <v>130</v>
      </c>
      <c r="Z684" s="23" t="s">
        <v>130</v>
      </c>
      <c r="AA684" s="23" t="s">
        <v>130</v>
      </c>
      <c r="AB684" s="24"/>
      <c r="AC684" s="23" t="str">
        <f aca="false">D684&amp;"#"&amp;E684</f>
        <v>신약#177</v>
      </c>
      <c r="AD684" s="23" t="n">
        <f aca="false">COUNTIFS($C$2:C684,C684,$D$2:D684,D684)</f>
        <v>73</v>
      </c>
    </row>
    <row r="685" customFormat="false" ht="26.85" hidden="false" customHeight="false" outlineLevel="0" collapsed="false">
      <c r="A685" s="23" t="n">
        <v>684</v>
      </c>
      <c r="B685" s="30" t="s">
        <v>6079</v>
      </c>
      <c r="C685" s="20" t="n">
        <v>1</v>
      </c>
      <c r="D685" s="20" t="s">
        <v>4656</v>
      </c>
      <c r="E685" s="20" t="n">
        <f aca="false">IF(C685=1,COUNTIFS($C$2:C685,1,$D$2:D685,D685),COUNTIFS($C$2:$C$799,1,$D$2:$D$799,D685)+COUNTIFS($C$2:C685,2,$D$2:D685,D685))</f>
        <v>90</v>
      </c>
      <c r="F685" s="20" t="str">
        <f aca="false">D685&amp;" #"&amp;TEXT(E685,"000")</f>
        <v>신약 #090</v>
      </c>
      <c r="G685" s="30" t="s">
        <v>6010</v>
      </c>
      <c r="H685" s="30" t="s">
        <v>5912</v>
      </c>
      <c r="I685" s="23" t="s">
        <v>5750</v>
      </c>
      <c r="J685" s="24" t="s">
        <v>6080</v>
      </c>
      <c r="K685" s="23" t="s">
        <v>121</v>
      </c>
      <c r="L685" s="24" t="s">
        <v>6081</v>
      </c>
      <c r="M685" s="24" t="s">
        <v>6082</v>
      </c>
      <c r="N685" s="23" t="s">
        <v>6083</v>
      </c>
      <c r="O685" s="24" t="s">
        <v>6084</v>
      </c>
      <c r="P685" s="24" t="s">
        <v>6085</v>
      </c>
      <c r="Q685" s="24" t="s">
        <v>6086</v>
      </c>
      <c r="R685" s="24"/>
      <c r="S685" s="28" t="s">
        <v>6087</v>
      </c>
      <c r="T685" s="24" t="str">
        <f aca="false">"["&amp;안내!$C$5&amp;" "&amp;F685&amp;"] "&amp;L685&amp;" | "&amp;J685</f>
        <v>[1분 성경 신약 #090] 거침없이 | 행 28:17-31</v>
      </c>
      <c r="U685" s="26" t="n">
        <f aca="false">IF(D685="구약",IF(C685=1,안내!$C$9,안내!$C$10)+AD685-1,IF(C685=1,안내!$C$9,안내!$C$10)+7*INT((AD685-1)/4)+CHOOSE(MOD(AD685-1,4)+1,0,2,4,5))</f>
        <v>46547</v>
      </c>
      <c r="V685" s="23" t="str">
        <f aca="false">CHOOSE(WEEKDAY(U685,2),"월","화","수","목","금","토","일")</f>
        <v>수</v>
      </c>
      <c r="W685" s="24" t="str">
        <f aca="false">IFERROR(IF(INDEX($C$2:$C$799,MATCH(D685&amp;"#"&amp;(E685+1),$AC$2:$AC$799,0))=C685,"다음 편: ","시즌1 완결 · 시즌2 첫 편: ")&amp;INDEX($L$2:$L$799,MATCH(D685&amp;"#"&amp;(E685+1),$AC$2:$AC$799,0)),"신약 트랙 완결")</f>
        <v>다음 편: 값없이 의롭다 하심</v>
      </c>
      <c r="X685" s="23" t="s">
        <v>130</v>
      </c>
      <c r="Y685" s="23" t="s">
        <v>130</v>
      </c>
      <c r="Z685" s="23" t="s">
        <v>130</v>
      </c>
      <c r="AA685" s="23" t="s">
        <v>130</v>
      </c>
      <c r="AB685" s="24"/>
      <c r="AC685" s="23" t="str">
        <f aca="false">D685&amp;"#"&amp;E685</f>
        <v>신약#90</v>
      </c>
      <c r="AD685" s="23" t="n">
        <f aca="false">COUNTIFS($C$2:C685,C685,$D$2:D685,D685)</f>
        <v>90</v>
      </c>
    </row>
    <row r="686" customFormat="false" ht="26.85" hidden="false" customHeight="false" outlineLevel="0" collapsed="false">
      <c r="A686" s="23" t="n">
        <v>685</v>
      </c>
      <c r="B686" s="30" t="s">
        <v>6088</v>
      </c>
      <c r="C686" s="23" t="n">
        <v>2</v>
      </c>
      <c r="D686" s="23" t="s">
        <v>4656</v>
      </c>
      <c r="E686" s="23" t="n">
        <f aca="false">IF(C686=1,COUNTIFS($C$2:C686,1,$D$2:D686,D686),COUNTIFS($C$2:$C$799,1,$D$2:$D$799,D686)+COUNTIFS($C$2:C686,2,$D$2:D686,D686))</f>
        <v>178</v>
      </c>
      <c r="F686" s="23" t="str">
        <f aca="false">D686&amp;" #"&amp;TEXT(E686,"000")</f>
        <v>신약 #178</v>
      </c>
      <c r="G686" s="30" t="s">
        <v>6089</v>
      </c>
      <c r="H686" s="30" t="s">
        <v>6011</v>
      </c>
      <c r="I686" s="23" t="s">
        <v>6090</v>
      </c>
      <c r="J686" s="24" t="s">
        <v>6091</v>
      </c>
      <c r="K686" s="23" t="s">
        <v>1085</v>
      </c>
      <c r="L686" s="24" t="s">
        <v>6092</v>
      </c>
      <c r="M686" s="24" t="s">
        <v>6093</v>
      </c>
      <c r="N686" s="23" t="s">
        <v>6094</v>
      </c>
      <c r="O686" s="24" t="s">
        <v>6095</v>
      </c>
      <c r="P686" s="24" t="s">
        <v>6096</v>
      </c>
      <c r="Q686" s="24" t="s">
        <v>6097</v>
      </c>
      <c r="R686" s="24"/>
      <c r="S686" s="24" t="s">
        <v>6098</v>
      </c>
      <c r="T686" s="24" t="str">
        <f aca="false">"["&amp;안내!$C$5&amp;" "&amp;F686&amp;"] "&amp;L686&amp;" | "&amp;J686</f>
        <v>[1분 성경 신약 #178] 복음은 하나님의 능력 | 롬 1:1-17</v>
      </c>
      <c r="U686" s="26" t="n">
        <f aca="false">IF(D686="구약",IF(C686=1,안내!$C$9,안내!$C$10)+AD686-1,IF(C686=1,안내!$C$9,안내!$C$10)+7*INT((AD686-1)/4)+CHOOSE(MOD(AD686-1,4)+1,0,2,4,5))</f>
        <v>46708</v>
      </c>
      <c r="V686" s="23" t="str">
        <f aca="false">CHOOSE(WEEKDAY(U686,2),"월","화","수","목","금","토","일")</f>
        <v>수</v>
      </c>
      <c r="W686" s="24" t="str">
        <f aca="false">IFERROR(IF(INDEX($C$2:$C$799,MATCH(D686&amp;"#"&amp;(E686+1),$AC$2:$AC$799,0))=C686,"다음 편: ","시즌1 완결 · 시즌2 첫 편: ")&amp;INDEX($L$2:$L$799,MATCH(D686&amp;"#"&amp;(E686+1),$AC$2:$AC$799,0)),"신약 트랙 완결")</f>
        <v>다음 편: 의인은 없나니 하나도 없다</v>
      </c>
      <c r="X686" s="23" t="s">
        <v>130</v>
      </c>
      <c r="Y686" s="23" t="s">
        <v>130</v>
      </c>
      <c r="Z686" s="23" t="s">
        <v>130</v>
      </c>
      <c r="AA686" s="23" t="s">
        <v>130</v>
      </c>
      <c r="AB686" s="24"/>
      <c r="AC686" s="23" t="str">
        <f aca="false">D686&amp;"#"&amp;E686</f>
        <v>신약#178</v>
      </c>
      <c r="AD686" s="23" t="n">
        <f aca="false">COUNTIFS($C$2:C686,C686,$D$2:D686,D686)</f>
        <v>74</v>
      </c>
    </row>
    <row r="687" customFormat="false" ht="26.85" hidden="false" customHeight="false" outlineLevel="0" collapsed="false">
      <c r="A687" s="23" t="n">
        <v>686</v>
      </c>
      <c r="B687" s="30" t="s">
        <v>6099</v>
      </c>
      <c r="C687" s="23" t="n">
        <v>2</v>
      </c>
      <c r="D687" s="23" t="s">
        <v>4656</v>
      </c>
      <c r="E687" s="23" t="n">
        <f aca="false">IF(C687=1,COUNTIFS($C$2:C687,1,$D$2:D687,D687),COUNTIFS($C$2:$C$799,1,$D$2:$D$799,D687)+COUNTIFS($C$2:C687,2,$D$2:D687,D687))</f>
        <v>179</v>
      </c>
      <c r="F687" s="23" t="str">
        <f aca="false">D687&amp;" #"&amp;TEXT(E687,"000")</f>
        <v>신약 #179</v>
      </c>
      <c r="G687" s="30" t="s">
        <v>6089</v>
      </c>
      <c r="H687" s="30" t="s">
        <v>6011</v>
      </c>
      <c r="I687" s="23" t="s">
        <v>6090</v>
      </c>
      <c r="J687" s="24" t="s">
        <v>6100</v>
      </c>
      <c r="K687" s="23" t="s">
        <v>1085</v>
      </c>
      <c r="L687" s="24" t="s">
        <v>6101</v>
      </c>
      <c r="M687" s="24" t="s">
        <v>6102</v>
      </c>
      <c r="N687" s="23" t="s">
        <v>6103</v>
      </c>
      <c r="O687" s="24" t="s">
        <v>6104</v>
      </c>
      <c r="P687" s="24" t="s">
        <v>6096</v>
      </c>
      <c r="Q687" s="24" t="s">
        <v>6105</v>
      </c>
      <c r="R687" s="24"/>
      <c r="S687" s="24" t="s">
        <v>6098</v>
      </c>
      <c r="T687" s="24" t="str">
        <f aca="false">"["&amp;안내!$C$5&amp;" "&amp;F687&amp;"] "&amp;L687&amp;" | "&amp;J687</f>
        <v>[1분 성경 신약 #179] 의인은 없나니 하나도 없다 | 롬 1:18-3:20</v>
      </c>
      <c r="U687" s="26" t="n">
        <f aca="false">IF(D687="구약",IF(C687=1,안내!$C$9,안내!$C$10)+AD687-1,IF(C687=1,안내!$C$9,안내!$C$10)+7*INT((AD687-1)/4)+CHOOSE(MOD(AD687-1,4)+1,0,2,4,5))</f>
        <v>46710</v>
      </c>
      <c r="V687" s="23" t="str">
        <f aca="false">CHOOSE(WEEKDAY(U687,2),"월","화","수","목","금","토","일")</f>
        <v>금</v>
      </c>
      <c r="W687" s="24" t="str">
        <f aca="false">IFERROR(IF(INDEX($C$2:$C$799,MATCH(D687&amp;"#"&amp;(E687+1),$AC$2:$AC$799,0))=C687,"다음 편: ","시즌1 완결 · 시즌2 첫 편: ")&amp;INDEX($L$2:$L$799,MATCH(D687&amp;"#"&amp;(E687+1),$AC$2:$AC$799,0)),"신약 트랙 완결")</f>
        <v>다음 편: 아브라함의 믿음</v>
      </c>
      <c r="X687" s="23" t="s">
        <v>130</v>
      </c>
      <c r="Y687" s="23" t="s">
        <v>130</v>
      </c>
      <c r="Z687" s="23" t="s">
        <v>130</v>
      </c>
      <c r="AA687" s="23" t="s">
        <v>130</v>
      </c>
      <c r="AB687" s="24"/>
      <c r="AC687" s="23" t="str">
        <f aca="false">D687&amp;"#"&amp;E687</f>
        <v>신약#179</v>
      </c>
      <c r="AD687" s="23" t="n">
        <f aca="false">COUNTIFS($C$2:C687,C687,$D$2:D687,D687)</f>
        <v>75</v>
      </c>
    </row>
    <row r="688" customFormat="false" ht="39.55" hidden="false" customHeight="false" outlineLevel="0" collapsed="false">
      <c r="A688" s="23" t="n">
        <v>687</v>
      </c>
      <c r="B688" s="30" t="s">
        <v>6106</v>
      </c>
      <c r="C688" s="20" t="n">
        <v>1</v>
      </c>
      <c r="D688" s="20" t="s">
        <v>4656</v>
      </c>
      <c r="E688" s="20" t="n">
        <f aca="false">IF(C688=1,COUNTIFS($C$2:C688,1,$D$2:D688,D688),COUNTIFS($C$2:$C$799,1,$D$2:$D$799,D688)+COUNTIFS($C$2:C688,2,$D$2:D688,D688))</f>
        <v>91</v>
      </c>
      <c r="F688" s="20" t="str">
        <f aca="false">D688&amp;" #"&amp;TEXT(E688,"000")</f>
        <v>신약 #091</v>
      </c>
      <c r="G688" s="30" t="s">
        <v>6089</v>
      </c>
      <c r="H688" s="30" t="s">
        <v>6107</v>
      </c>
      <c r="I688" s="23" t="s">
        <v>6090</v>
      </c>
      <c r="J688" s="24" t="s">
        <v>6108</v>
      </c>
      <c r="K688" s="23" t="s">
        <v>1085</v>
      </c>
      <c r="L688" s="24" t="s">
        <v>6109</v>
      </c>
      <c r="M688" s="24" t="s">
        <v>6110</v>
      </c>
      <c r="N688" s="23" t="s">
        <v>6111</v>
      </c>
      <c r="O688" s="24" t="s">
        <v>6112</v>
      </c>
      <c r="P688" s="24" t="s">
        <v>6096</v>
      </c>
      <c r="Q688" s="24" t="s">
        <v>5102</v>
      </c>
      <c r="R688" s="25" t="s">
        <v>6113</v>
      </c>
      <c r="S688" s="28" t="s">
        <v>6114</v>
      </c>
      <c r="T688" s="24" t="str">
        <f aca="false">"["&amp;안내!$C$5&amp;" "&amp;F688&amp;"] "&amp;L688&amp;" | "&amp;J688</f>
        <v>[1분 성경 신약 #091] 값없이 의롭다 하심 | 롬 3:21-31</v>
      </c>
      <c r="U688" s="26" t="n">
        <f aca="false">IF(D688="구약",IF(C688=1,안내!$C$9,안내!$C$10)+AD688-1,IF(C688=1,안내!$C$9,안내!$C$10)+7*INT((AD688-1)/4)+CHOOSE(MOD(AD688-1,4)+1,0,2,4,5))</f>
        <v>46549</v>
      </c>
      <c r="V688" s="23" t="str">
        <f aca="false">CHOOSE(WEEKDAY(U688,2),"월","화","수","목","금","토","일")</f>
        <v>금</v>
      </c>
      <c r="W688" s="24" t="str">
        <f aca="false">IFERROR(IF(INDEX($C$2:$C$799,MATCH(D688&amp;"#"&amp;(E688+1),$AC$2:$AC$799,0))=C688,"다음 편: ","시즌1 완결 · 시즌2 첫 편: ")&amp;INDEX($L$2:$L$799,MATCH(D688&amp;"#"&amp;(E688+1),$AC$2:$AC$799,0)),"신약 트랙 완결")</f>
        <v>다음 편: 무엇도 끊을 수 없다</v>
      </c>
      <c r="X688" s="23" t="s">
        <v>130</v>
      </c>
      <c r="Y688" s="23" t="s">
        <v>130</v>
      </c>
      <c r="Z688" s="23" t="s">
        <v>130</v>
      </c>
      <c r="AA688" s="23" t="s">
        <v>130</v>
      </c>
      <c r="AB688" s="24"/>
      <c r="AC688" s="23" t="str">
        <f aca="false">D688&amp;"#"&amp;E688</f>
        <v>신약#91</v>
      </c>
      <c r="AD688" s="23" t="n">
        <f aca="false">COUNTIFS($C$2:C688,C688,$D$2:D688,D688)</f>
        <v>91</v>
      </c>
    </row>
    <row r="689" customFormat="false" ht="26.85" hidden="false" customHeight="false" outlineLevel="0" collapsed="false">
      <c r="A689" s="23" t="n">
        <v>688</v>
      </c>
      <c r="B689" s="30" t="s">
        <v>6115</v>
      </c>
      <c r="C689" s="23" t="n">
        <v>2</v>
      </c>
      <c r="D689" s="23" t="s">
        <v>4656</v>
      </c>
      <c r="E689" s="23" t="n">
        <f aca="false">IF(C689=1,COUNTIFS($C$2:C689,1,$D$2:D689,D689),COUNTIFS($C$2:$C$799,1,$D$2:$D$799,D689)+COUNTIFS($C$2:C689,2,$D$2:D689,D689))</f>
        <v>180</v>
      </c>
      <c r="F689" s="23" t="str">
        <f aca="false">D689&amp;" #"&amp;TEXT(E689,"000")</f>
        <v>신약 #180</v>
      </c>
      <c r="G689" s="30" t="s">
        <v>6089</v>
      </c>
      <c r="H689" s="30" t="s">
        <v>6116</v>
      </c>
      <c r="I689" s="23" t="s">
        <v>6090</v>
      </c>
      <c r="J689" s="24" t="s">
        <v>6117</v>
      </c>
      <c r="K689" s="23" t="s">
        <v>1085</v>
      </c>
      <c r="L689" s="24" t="s">
        <v>6118</v>
      </c>
      <c r="M689" s="24" t="s">
        <v>6119</v>
      </c>
      <c r="N689" s="23" t="s">
        <v>6120</v>
      </c>
      <c r="O689" s="24" t="s">
        <v>6121</v>
      </c>
      <c r="P689" s="24" t="s">
        <v>6122</v>
      </c>
      <c r="Q689" s="24" t="s">
        <v>6123</v>
      </c>
      <c r="R689" s="24"/>
      <c r="S689" s="24" t="s">
        <v>6124</v>
      </c>
      <c r="T689" s="24" t="str">
        <f aca="false">"["&amp;안내!$C$5&amp;" "&amp;F689&amp;"] "&amp;L689&amp;" | "&amp;J689</f>
        <v>[1분 성경 신약 #180] 아브라함의 믿음 | 롬 4:1-25</v>
      </c>
      <c r="U689" s="26" t="n">
        <f aca="false">IF(D689="구약",IF(C689=1,안내!$C$9,안내!$C$10)+AD689-1,IF(C689=1,안내!$C$9,안내!$C$10)+7*INT((AD689-1)/4)+CHOOSE(MOD(AD689-1,4)+1,0,2,4,5))</f>
        <v>46711</v>
      </c>
      <c r="V689" s="23" t="str">
        <f aca="false">CHOOSE(WEEKDAY(U689,2),"월","화","수","목","금","토","일")</f>
        <v>토</v>
      </c>
      <c r="W689" s="24" t="str">
        <f aca="false">IFERROR(IF(INDEX($C$2:$C$799,MATCH(D689&amp;"#"&amp;(E689+1),$AC$2:$AC$799,0))=C689,"다음 편: ","시즌1 완결 · 시즌2 첫 편: ")&amp;INDEX($L$2:$L$799,MATCH(D689&amp;"#"&amp;(E689+1),$AC$2:$AC$799,0)),"신약 트랙 완결")</f>
        <v>다음 편: 우리가 아직 죄인 되었을 때</v>
      </c>
      <c r="X689" s="23" t="s">
        <v>130</v>
      </c>
      <c r="Y689" s="23" t="s">
        <v>130</v>
      </c>
      <c r="Z689" s="23" t="s">
        <v>130</v>
      </c>
      <c r="AA689" s="23" t="s">
        <v>130</v>
      </c>
      <c r="AB689" s="24"/>
      <c r="AC689" s="23" t="str">
        <f aca="false">D689&amp;"#"&amp;E689</f>
        <v>신약#180</v>
      </c>
      <c r="AD689" s="23" t="n">
        <f aca="false">COUNTIFS($C$2:C689,C689,$D$2:D689,D689)</f>
        <v>76</v>
      </c>
    </row>
    <row r="690" customFormat="false" ht="39.55" hidden="false" customHeight="false" outlineLevel="0" collapsed="false">
      <c r="A690" s="23" t="n">
        <v>689</v>
      </c>
      <c r="B690" s="30" t="s">
        <v>6125</v>
      </c>
      <c r="C690" s="23" t="n">
        <v>2</v>
      </c>
      <c r="D690" s="23" t="s">
        <v>4656</v>
      </c>
      <c r="E690" s="23" t="n">
        <f aca="false">IF(C690=1,COUNTIFS($C$2:C690,1,$D$2:D690,D690),COUNTIFS($C$2:$C$799,1,$D$2:$D$799,D690)+COUNTIFS($C$2:C690,2,$D$2:D690,D690))</f>
        <v>181</v>
      </c>
      <c r="F690" s="23" t="str">
        <f aca="false">D690&amp;" #"&amp;TEXT(E690,"000")</f>
        <v>신약 #181</v>
      </c>
      <c r="G690" s="30" t="s">
        <v>6089</v>
      </c>
      <c r="H690" s="30" t="s">
        <v>6116</v>
      </c>
      <c r="I690" s="23" t="s">
        <v>6090</v>
      </c>
      <c r="J690" s="24" t="s">
        <v>6126</v>
      </c>
      <c r="K690" s="23" t="s">
        <v>1085</v>
      </c>
      <c r="L690" s="24" t="s">
        <v>6127</v>
      </c>
      <c r="M690" s="24" t="s">
        <v>6128</v>
      </c>
      <c r="N690" s="23" t="s">
        <v>6129</v>
      </c>
      <c r="O690" s="24" t="s">
        <v>6130</v>
      </c>
      <c r="P690" s="24" t="s">
        <v>6131</v>
      </c>
      <c r="Q690" s="24" t="s">
        <v>6132</v>
      </c>
      <c r="R690" s="25" t="s">
        <v>6133</v>
      </c>
      <c r="S690" s="24" t="s">
        <v>6124</v>
      </c>
      <c r="T690" s="24" t="str">
        <f aca="false">"["&amp;안내!$C$5&amp;" "&amp;F690&amp;"] "&amp;L690&amp;" | "&amp;J690</f>
        <v>[1분 성경 신약 #181] 우리가 아직 죄인 되었을 때 | 롬 5:1-21</v>
      </c>
      <c r="U690" s="26" t="n">
        <f aca="false">IF(D690="구약",IF(C690=1,안내!$C$9,안내!$C$10)+AD690-1,IF(C690=1,안내!$C$9,안내!$C$10)+7*INT((AD690-1)/4)+CHOOSE(MOD(AD690-1,4)+1,0,2,4,5))</f>
        <v>46713</v>
      </c>
      <c r="V690" s="23" t="str">
        <f aca="false">CHOOSE(WEEKDAY(U690,2),"월","화","수","목","금","토","일")</f>
        <v>월</v>
      </c>
      <c r="W690" s="24" t="str">
        <f aca="false">IFERROR(IF(INDEX($C$2:$C$799,MATCH(D690&amp;"#"&amp;(E690+1),$AC$2:$AC$799,0))=C690,"다음 편: ","시즌1 완결 · 시즌2 첫 편: ")&amp;INDEX($L$2:$L$799,MATCH(D690&amp;"#"&amp;(E690+1),$AC$2:$AC$799,0)),"신약 트랙 완결")</f>
        <v>다음 편: 죄의 삯과 하나님의 선물</v>
      </c>
      <c r="X690" s="23" t="s">
        <v>130</v>
      </c>
      <c r="Y690" s="23" t="s">
        <v>130</v>
      </c>
      <c r="Z690" s="23" t="s">
        <v>130</v>
      </c>
      <c r="AA690" s="23" t="s">
        <v>130</v>
      </c>
      <c r="AB690" s="24"/>
      <c r="AC690" s="23" t="str">
        <f aca="false">D690&amp;"#"&amp;E690</f>
        <v>신약#181</v>
      </c>
      <c r="AD690" s="23" t="n">
        <f aca="false">COUNTIFS($C$2:C690,C690,$D$2:D690,D690)</f>
        <v>77</v>
      </c>
    </row>
    <row r="691" customFormat="false" ht="26.85" hidden="false" customHeight="false" outlineLevel="0" collapsed="false">
      <c r="A691" s="23" t="n">
        <v>690</v>
      </c>
      <c r="B691" s="30" t="s">
        <v>6134</v>
      </c>
      <c r="C691" s="23" t="n">
        <v>2</v>
      </c>
      <c r="D691" s="23" t="s">
        <v>4656</v>
      </c>
      <c r="E691" s="23" t="n">
        <f aca="false">IF(C691=1,COUNTIFS($C$2:C691,1,$D$2:D691,D691),COUNTIFS($C$2:$C$799,1,$D$2:$D$799,D691)+COUNTIFS($C$2:C691,2,$D$2:D691,D691))</f>
        <v>182</v>
      </c>
      <c r="F691" s="23" t="str">
        <f aca="false">D691&amp;" #"&amp;TEXT(E691,"000")</f>
        <v>신약 #182</v>
      </c>
      <c r="G691" s="30" t="s">
        <v>6089</v>
      </c>
      <c r="H691" s="30" t="s">
        <v>6116</v>
      </c>
      <c r="I691" s="23" t="s">
        <v>6090</v>
      </c>
      <c r="J691" s="24" t="s">
        <v>6135</v>
      </c>
      <c r="K691" s="23" t="s">
        <v>1085</v>
      </c>
      <c r="L691" s="24" t="s">
        <v>6136</v>
      </c>
      <c r="M691" s="24" t="s">
        <v>6137</v>
      </c>
      <c r="N691" s="23" t="s">
        <v>6138</v>
      </c>
      <c r="O691" s="24" t="s">
        <v>6139</v>
      </c>
      <c r="P691" s="24" t="s">
        <v>6096</v>
      </c>
      <c r="Q691" s="24" t="s">
        <v>6140</v>
      </c>
      <c r="R691" s="25" t="s">
        <v>6141</v>
      </c>
      <c r="S691" s="24" t="s">
        <v>6124</v>
      </c>
      <c r="T691" s="24" t="str">
        <f aca="false">"["&amp;안내!$C$5&amp;" "&amp;F691&amp;"] "&amp;L691&amp;" | "&amp;J691</f>
        <v>[1분 성경 신약 #182] 죄의 삯과 하나님의 선물 | 롬 6:1-23</v>
      </c>
      <c r="U691" s="26" t="n">
        <f aca="false">IF(D691="구약",IF(C691=1,안내!$C$9,안내!$C$10)+AD691-1,IF(C691=1,안내!$C$9,안내!$C$10)+7*INT((AD691-1)/4)+CHOOSE(MOD(AD691-1,4)+1,0,2,4,5))</f>
        <v>46715</v>
      </c>
      <c r="V691" s="23" t="str">
        <f aca="false">CHOOSE(WEEKDAY(U691,2),"월","화","수","목","금","토","일")</f>
        <v>수</v>
      </c>
      <c r="W691" s="24" t="str">
        <f aca="false">IFERROR(IF(INDEX($C$2:$C$799,MATCH(D691&amp;"#"&amp;(E691+1),$AC$2:$AC$799,0))=C691,"다음 편: ","시즌1 완결 · 시즌2 첫 편: ")&amp;INDEX($L$2:$L$799,MATCH(D691&amp;"#"&amp;(E691+1),$AC$2:$AC$799,0)),"신약 트랙 완결")</f>
        <v>다음 편: 오호라 나는 곤고한 사람이로다</v>
      </c>
      <c r="X691" s="23" t="s">
        <v>130</v>
      </c>
      <c r="Y691" s="23" t="s">
        <v>130</v>
      </c>
      <c r="Z691" s="23" t="s">
        <v>130</v>
      </c>
      <c r="AA691" s="23" t="s">
        <v>130</v>
      </c>
      <c r="AB691" s="24"/>
      <c r="AC691" s="23" t="str">
        <f aca="false">D691&amp;"#"&amp;E691</f>
        <v>신약#182</v>
      </c>
      <c r="AD691" s="23" t="n">
        <f aca="false">COUNTIFS($C$2:C691,C691,$D$2:D691,D691)</f>
        <v>78</v>
      </c>
    </row>
    <row r="692" customFormat="false" ht="26.85" hidden="false" customHeight="false" outlineLevel="0" collapsed="false">
      <c r="A692" s="23" t="n">
        <v>691</v>
      </c>
      <c r="B692" s="30" t="s">
        <v>6142</v>
      </c>
      <c r="C692" s="23" t="n">
        <v>2</v>
      </c>
      <c r="D692" s="23" t="s">
        <v>4656</v>
      </c>
      <c r="E692" s="23" t="n">
        <f aca="false">IF(C692=1,COUNTIFS($C$2:C692,1,$D$2:D692,D692),COUNTIFS($C$2:$C$799,1,$D$2:$D$799,D692)+COUNTIFS($C$2:C692,2,$D$2:D692,D692))</f>
        <v>183</v>
      </c>
      <c r="F692" s="23" t="str">
        <f aca="false">D692&amp;" #"&amp;TEXT(E692,"000")</f>
        <v>신약 #183</v>
      </c>
      <c r="G692" s="30" t="s">
        <v>6089</v>
      </c>
      <c r="H692" s="30" t="s">
        <v>6116</v>
      </c>
      <c r="I692" s="23" t="s">
        <v>6090</v>
      </c>
      <c r="J692" s="24" t="s">
        <v>6143</v>
      </c>
      <c r="K692" s="23" t="s">
        <v>1085</v>
      </c>
      <c r="L692" s="24" t="s">
        <v>6144</v>
      </c>
      <c r="M692" s="24" t="s">
        <v>6145</v>
      </c>
      <c r="N692" s="23" t="s">
        <v>6146</v>
      </c>
      <c r="O692" s="24" t="s">
        <v>6147</v>
      </c>
      <c r="P692" s="24" t="s">
        <v>6096</v>
      </c>
      <c r="Q692" s="24" t="s">
        <v>6148</v>
      </c>
      <c r="R692" s="24"/>
      <c r="S692" s="24" t="s">
        <v>6124</v>
      </c>
      <c r="T692" s="24" t="str">
        <f aca="false">"["&amp;안내!$C$5&amp;" "&amp;F692&amp;"] "&amp;L692&amp;" | "&amp;J692</f>
        <v>[1분 성경 신약 #183] 오호라 나는 곤고한 사람이로다 | 롬 7:1-25</v>
      </c>
      <c r="U692" s="26" t="n">
        <f aca="false">IF(D692="구약",IF(C692=1,안내!$C$9,안내!$C$10)+AD692-1,IF(C692=1,안내!$C$9,안내!$C$10)+7*INT((AD692-1)/4)+CHOOSE(MOD(AD692-1,4)+1,0,2,4,5))</f>
        <v>46717</v>
      </c>
      <c r="V692" s="23" t="str">
        <f aca="false">CHOOSE(WEEKDAY(U692,2),"월","화","수","목","금","토","일")</f>
        <v>금</v>
      </c>
      <c r="W692" s="24" t="str">
        <f aca="false">IFERROR(IF(INDEX($C$2:$C$799,MATCH(D692&amp;"#"&amp;(E692+1),$AC$2:$AC$799,0))=C692,"다음 편: ","시즌1 완결 · 시즌2 첫 편: ")&amp;INDEX($L$2:$L$799,MATCH(D692&amp;"#"&amp;(E692+1),$AC$2:$AC$799,0)),"신약 트랙 완결")</f>
        <v>다음 편: 정죄함이 없나니</v>
      </c>
      <c r="X692" s="23" t="s">
        <v>130</v>
      </c>
      <c r="Y692" s="23" t="s">
        <v>130</v>
      </c>
      <c r="Z692" s="23" t="s">
        <v>130</v>
      </c>
      <c r="AA692" s="23" t="s">
        <v>130</v>
      </c>
      <c r="AB692" s="24"/>
      <c r="AC692" s="23" t="str">
        <f aca="false">D692&amp;"#"&amp;E692</f>
        <v>신약#183</v>
      </c>
      <c r="AD692" s="23" t="n">
        <f aca="false">COUNTIFS($C$2:C692,C692,$D$2:D692,D692)</f>
        <v>79</v>
      </c>
    </row>
    <row r="693" customFormat="false" ht="26.85" hidden="false" customHeight="false" outlineLevel="0" collapsed="false">
      <c r="A693" s="23" t="n">
        <v>692</v>
      </c>
      <c r="B693" s="30" t="s">
        <v>6149</v>
      </c>
      <c r="C693" s="23" t="n">
        <v>2</v>
      </c>
      <c r="D693" s="23" t="s">
        <v>4656</v>
      </c>
      <c r="E693" s="23" t="n">
        <f aca="false">IF(C693=1,COUNTIFS($C$2:C693,1,$D$2:D693,D693),COUNTIFS($C$2:$C$799,1,$D$2:$D$799,D693)+COUNTIFS($C$2:C693,2,$D$2:D693,D693))</f>
        <v>184</v>
      </c>
      <c r="F693" s="23" t="str">
        <f aca="false">D693&amp;" #"&amp;TEXT(E693,"000")</f>
        <v>신약 #184</v>
      </c>
      <c r="G693" s="30" t="s">
        <v>6089</v>
      </c>
      <c r="H693" s="30" t="s">
        <v>6116</v>
      </c>
      <c r="I693" s="23" t="s">
        <v>6090</v>
      </c>
      <c r="J693" s="24" t="s">
        <v>6150</v>
      </c>
      <c r="K693" s="23" t="s">
        <v>1085</v>
      </c>
      <c r="L693" s="24" t="s">
        <v>6151</v>
      </c>
      <c r="M693" s="24" t="s">
        <v>6152</v>
      </c>
      <c r="N693" s="23" t="s">
        <v>6153</v>
      </c>
      <c r="O693" s="24" t="s">
        <v>6154</v>
      </c>
      <c r="P693" s="24" t="s">
        <v>6096</v>
      </c>
      <c r="Q693" s="24" t="s">
        <v>6155</v>
      </c>
      <c r="R693" s="24"/>
      <c r="S693" s="24" t="s">
        <v>6124</v>
      </c>
      <c r="T693" s="24" t="str">
        <f aca="false">"["&amp;안내!$C$5&amp;" "&amp;F693&amp;"] "&amp;L693&amp;" | "&amp;J693</f>
        <v>[1분 성경 신약 #184] 정죄함이 없나니 | 롬 8:1-17</v>
      </c>
      <c r="U693" s="26" t="n">
        <f aca="false">IF(D693="구약",IF(C693=1,안내!$C$9,안내!$C$10)+AD693-1,IF(C693=1,안내!$C$9,안내!$C$10)+7*INT((AD693-1)/4)+CHOOSE(MOD(AD693-1,4)+1,0,2,4,5))</f>
        <v>46718</v>
      </c>
      <c r="V693" s="23" t="str">
        <f aca="false">CHOOSE(WEEKDAY(U693,2),"월","화","수","목","금","토","일")</f>
        <v>토</v>
      </c>
      <c r="W693" s="24" t="str">
        <f aca="false">IFERROR(IF(INDEX($C$2:$C$799,MATCH(D693&amp;"#"&amp;(E693+1),$AC$2:$AC$799,0))=C693,"다음 편: ","시즌1 완결 · 시즌2 첫 편: ")&amp;INDEX($L$2:$L$799,MATCH(D693&amp;"#"&amp;(E693+1),$AC$2:$AC$799,0)),"신약 트랙 완결")</f>
        <v>다음 편: 하나님의 주권적 선택</v>
      </c>
      <c r="X693" s="23" t="s">
        <v>130</v>
      </c>
      <c r="Y693" s="23" t="s">
        <v>130</v>
      </c>
      <c r="Z693" s="23" t="s">
        <v>130</v>
      </c>
      <c r="AA693" s="23" t="s">
        <v>130</v>
      </c>
      <c r="AB693" s="24"/>
      <c r="AC693" s="23" t="str">
        <f aca="false">D693&amp;"#"&amp;E693</f>
        <v>신약#184</v>
      </c>
      <c r="AD693" s="23" t="n">
        <f aca="false">COUNTIFS($C$2:C693,C693,$D$2:D693,D693)</f>
        <v>80</v>
      </c>
    </row>
    <row r="694" customFormat="false" ht="52.2" hidden="false" customHeight="false" outlineLevel="0" collapsed="false">
      <c r="A694" s="23" t="n">
        <v>693</v>
      </c>
      <c r="B694" s="30" t="s">
        <v>6156</v>
      </c>
      <c r="C694" s="20" t="n">
        <v>1</v>
      </c>
      <c r="D694" s="20" t="s">
        <v>4656</v>
      </c>
      <c r="E694" s="20" t="n">
        <f aca="false">IF(C694=1,COUNTIFS($C$2:C694,1,$D$2:D694,D694),COUNTIFS($C$2:$C$799,1,$D$2:$D$799,D694)+COUNTIFS($C$2:C694,2,$D$2:D694,D694))</f>
        <v>92</v>
      </c>
      <c r="F694" s="20" t="str">
        <f aca="false">D694&amp;" #"&amp;TEXT(E694,"000")</f>
        <v>신약 #092</v>
      </c>
      <c r="G694" s="30" t="s">
        <v>6089</v>
      </c>
      <c r="H694" s="30" t="s">
        <v>6107</v>
      </c>
      <c r="I694" s="23" t="s">
        <v>6090</v>
      </c>
      <c r="J694" s="24" t="s">
        <v>6157</v>
      </c>
      <c r="K694" s="23" t="s">
        <v>1085</v>
      </c>
      <c r="L694" s="24" t="s">
        <v>6158</v>
      </c>
      <c r="M694" s="24" t="s">
        <v>6159</v>
      </c>
      <c r="N694" s="23" t="s">
        <v>6160</v>
      </c>
      <c r="O694" s="24" t="s">
        <v>6161</v>
      </c>
      <c r="P694" s="24" t="s">
        <v>6096</v>
      </c>
      <c r="Q694" s="24" t="s">
        <v>6162</v>
      </c>
      <c r="R694" s="25" t="s">
        <v>6163</v>
      </c>
      <c r="S694" s="28" t="s">
        <v>6164</v>
      </c>
      <c r="T694" s="24" t="str">
        <f aca="false">"["&amp;안내!$C$5&amp;" "&amp;F694&amp;"] "&amp;L694&amp;" | "&amp;J694</f>
        <v>[1분 성경 신약 #092] 무엇도 끊을 수 없다 | 롬 8:18-39</v>
      </c>
      <c r="U694" s="26" t="n">
        <f aca="false">IF(D694="구약",IF(C694=1,안내!$C$9,안내!$C$10)+AD694-1,IF(C694=1,안내!$C$9,안내!$C$10)+7*INT((AD694-1)/4)+CHOOSE(MOD(AD694-1,4)+1,0,2,4,5))</f>
        <v>46550</v>
      </c>
      <c r="V694" s="23" t="str">
        <f aca="false">CHOOSE(WEEKDAY(U694,2),"월","화","수","목","금","토","일")</f>
        <v>토</v>
      </c>
      <c r="W694" s="24" t="str">
        <f aca="false">IFERROR(IF(INDEX($C$2:$C$799,MATCH(D694&amp;"#"&amp;(E694+1),$AC$2:$AC$799,0))=C694,"다음 편: ","시즌1 완결 · 시즌2 첫 편: ")&amp;INDEX($L$2:$L$799,MATCH(D694&amp;"#"&amp;(E694+1),$AC$2:$AC$799,0)),"신약 트랙 완결")</f>
        <v>다음 편: 사랑장</v>
      </c>
      <c r="X694" s="23" t="s">
        <v>130</v>
      </c>
      <c r="Y694" s="23" t="s">
        <v>130</v>
      </c>
      <c r="Z694" s="23" t="s">
        <v>130</v>
      </c>
      <c r="AA694" s="23" t="s">
        <v>130</v>
      </c>
      <c r="AB694" s="24"/>
      <c r="AC694" s="23" t="str">
        <f aca="false">D694&amp;"#"&amp;E694</f>
        <v>신약#92</v>
      </c>
      <c r="AD694" s="23" t="n">
        <f aca="false">COUNTIFS($C$2:C694,C694,$D$2:D694,D694)</f>
        <v>92</v>
      </c>
    </row>
    <row r="695" customFormat="false" ht="26.85" hidden="false" customHeight="false" outlineLevel="0" collapsed="false">
      <c r="A695" s="23" t="n">
        <v>694</v>
      </c>
      <c r="B695" s="30" t="s">
        <v>6165</v>
      </c>
      <c r="C695" s="23" t="n">
        <v>2</v>
      </c>
      <c r="D695" s="23" t="s">
        <v>4656</v>
      </c>
      <c r="E695" s="23" t="n">
        <f aca="false">IF(C695=1,COUNTIFS($C$2:C695,1,$D$2:D695,D695),COUNTIFS($C$2:$C$799,1,$D$2:$D$799,D695)+COUNTIFS($C$2:C695,2,$D$2:D695,D695))</f>
        <v>185</v>
      </c>
      <c r="F695" s="23" t="str">
        <f aca="false">D695&amp;" #"&amp;TEXT(E695,"000")</f>
        <v>신약 #185</v>
      </c>
      <c r="G695" s="30" t="s">
        <v>6089</v>
      </c>
      <c r="H695" s="30" t="s">
        <v>6116</v>
      </c>
      <c r="I695" s="23" t="s">
        <v>6090</v>
      </c>
      <c r="J695" s="24" t="s">
        <v>6166</v>
      </c>
      <c r="K695" s="23" t="s">
        <v>1085</v>
      </c>
      <c r="L695" s="24" t="s">
        <v>6167</v>
      </c>
      <c r="M695" s="24" t="s">
        <v>6168</v>
      </c>
      <c r="N695" s="23" t="s">
        <v>6169</v>
      </c>
      <c r="O695" s="24" t="s">
        <v>6170</v>
      </c>
      <c r="P695" s="24" t="s">
        <v>6096</v>
      </c>
      <c r="Q695" s="24" t="s">
        <v>6171</v>
      </c>
      <c r="R695" s="25" t="s">
        <v>6172</v>
      </c>
      <c r="S695" s="24" t="s">
        <v>6173</v>
      </c>
      <c r="T695" s="24" t="str">
        <f aca="false">"["&amp;안내!$C$5&amp;" "&amp;F695&amp;"] "&amp;L695&amp;" | "&amp;J695</f>
        <v>[1분 성경 신약 #185] 하나님의 주권적 선택 | 롬 9:1-11:36</v>
      </c>
      <c r="U695" s="26" t="n">
        <f aca="false">IF(D695="구약",IF(C695=1,안내!$C$9,안내!$C$10)+AD695-1,IF(C695=1,안내!$C$9,안내!$C$10)+7*INT((AD695-1)/4)+CHOOSE(MOD(AD695-1,4)+1,0,2,4,5))</f>
        <v>46720</v>
      </c>
      <c r="V695" s="23" t="str">
        <f aca="false">CHOOSE(WEEKDAY(U695,2),"월","화","수","목","금","토","일")</f>
        <v>월</v>
      </c>
      <c r="W695" s="24" t="str">
        <f aca="false">IFERROR(IF(INDEX($C$2:$C$799,MATCH(D695&amp;"#"&amp;(E695+1),$AC$2:$AC$799,0))=C695,"다음 편: ","시즌1 완결 · 시즌2 첫 편: ")&amp;INDEX($L$2:$L$799,MATCH(D695&amp;"#"&amp;(E695+1),$AC$2:$AC$799,0)),"신약 트랙 완결")</f>
        <v>다음 편: 산 제물</v>
      </c>
      <c r="X695" s="23" t="s">
        <v>130</v>
      </c>
      <c r="Y695" s="23" t="s">
        <v>130</v>
      </c>
      <c r="Z695" s="23" t="s">
        <v>130</v>
      </c>
      <c r="AA695" s="23" t="s">
        <v>130</v>
      </c>
      <c r="AB695" s="24"/>
      <c r="AC695" s="23" t="str">
        <f aca="false">D695&amp;"#"&amp;E695</f>
        <v>신약#185</v>
      </c>
      <c r="AD695" s="23" t="n">
        <f aca="false">COUNTIFS($C$2:C695,C695,$D$2:D695,D695)</f>
        <v>81</v>
      </c>
    </row>
    <row r="696" customFormat="false" ht="26.85" hidden="false" customHeight="false" outlineLevel="0" collapsed="false">
      <c r="A696" s="23" t="n">
        <v>695</v>
      </c>
      <c r="B696" s="30" t="s">
        <v>6174</v>
      </c>
      <c r="C696" s="23" t="n">
        <v>2</v>
      </c>
      <c r="D696" s="23" t="s">
        <v>4656</v>
      </c>
      <c r="E696" s="23" t="n">
        <f aca="false">IF(C696=1,COUNTIFS($C$2:C696,1,$D$2:D696,D696),COUNTIFS($C$2:$C$799,1,$D$2:$D$799,D696)+COUNTIFS($C$2:C696,2,$D$2:D696,D696))</f>
        <v>186</v>
      </c>
      <c r="F696" s="23" t="str">
        <f aca="false">D696&amp;" #"&amp;TEXT(E696,"000")</f>
        <v>신약 #186</v>
      </c>
      <c r="G696" s="30" t="s">
        <v>6089</v>
      </c>
      <c r="H696" s="30" t="s">
        <v>6116</v>
      </c>
      <c r="I696" s="23" t="s">
        <v>6090</v>
      </c>
      <c r="J696" s="24" t="s">
        <v>6175</v>
      </c>
      <c r="K696" s="23" t="s">
        <v>1085</v>
      </c>
      <c r="L696" s="24" t="s">
        <v>6176</v>
      </c>
      <c r="M696" s="24" t="s">
        <v>6177</v>
      </c>
      <c r="N696" s="23" t="s">
        <v>6178</v>
      </c>
      <c r="O696" s="24" t="s">
        <v>6179</v>
      </c>
      <c r="P696" s="24" t="s">
        <v>6096</v>
      </c>
      <c r="Q696" s="24" t="s">
        <v>6180</v>
      </c>
      <c r="R696" s="24"/>
      <c r="S696" s="24" t="s">
        <v>6173</v>
      </c>
      <c r="T696" s="24" t="str">
        <f aca="false">"["&amp;안내!$C$5&amp;" "&amp;F696&amp;"] "&amp;L696&amp;" | "&amp;J696</f>
        <v>[1분 성경 신약 #186] 산 제물 | 롬 12:1-21</v>
      </c>
      <c r="U696" s="26" t="n">
        <f aca="false">IF(D696="구약",IF(C696=1,안내!$C$9,안내!$C$10)+AD696-1,IF(C696=1,안내!$C$9,안내!$C$10)+7*INT((AD696-1)/4)+CHOOSE(MOD(AD696-1,4)+1,0,2,4,5))</f>
        <v>46722</v>
      </c>
      <c r="V696" s="23" t="str">
        <f aca="false">CHOOSE(WEEKDAY(U696,2),"월","화","수","목","금","토","일")</f>
        <v>수</v>
      </c>
      <c r="W696" s="24" t="str">
        <f aca="false">IFERROR(IF(INDEX($C$2:$C$799,MATCH(D696&amp;"#"&amp;(E696+1),$AC$2:$AC$799,0))=C696,"다음 편: ","시즌1 완결 · 시즌2 첫 편: ")&amp;INDEX($L$2:$L$799,MATCH(D696&amp;"#"&amp;(E696+1),$AC$2:$AC$799,0)),"신약 트랙 완결")</f>
        <v>다음 편: 사랑의 빚</v>
      </c>
      <c r="X696" s="23" t="s">
        <v>130</v>
      </c>
      <c r="Y696" s="23" t="s">
        <v>130</v>
      </c>
      <c r="Z696" s="23" t="s">
        <v>130</v>
      </c>
      <c r="AA696" s="23" t="s">
        <v>130</v>
      </c>
      <c r="AB696" s="24"/>
      <c r="AC696" s="23" t="str">
        <f aca="false">D696&amp;"#"&amp;E696</f>
        <v>신약#186</v>
      </c>
      <c r="AD696" s="23" t="n">
        <f aca="false">COUNTIFS($C$2:C696,C696,$D$2:D696,D696)</f>
        <v>82</v>
      </c>
    </row>
    <row r="697" customFormat="false" ht="26.85" hidden="false" customHeight="false" outlineLevel="0" collapsed="false">
      <c r="A697" s="23" t="n">
        <v>696</v>
      </c>
      <c r="B697" s="30" t="s">
        <v>6181</v>
      </c>
      <c r="C697" s="23" t="n">
        <v>2</v>
      </c>
      <c r="D697" s="23" t="s">
        <v>4656</v>
      </c>
      <c r="E697" s="23" t="n">
        <f aca="false">IF(C697=1,COUNTIFS($C$2:C697,1,$D$2:D697,D697),COUNTIFS($C$2:$C$799,1,$D$2:$D$799,D697)+COUNTIFS($C$2:C697,2,$D$2:D697,D697))</f>
        <v>187</v>
      </c>
      <c r="F697" s="23" t="str">
        <f aca="false">D697&amp;" #"&amp;TEXT(E697,"000")</f>
        <v>신약 #187</v>
      </c>
      <c r="G697" s="30" t="s">
        <v>6089</v>
      </c>
      <c r="H697" s="30" t="s">
        <v>6116</v>
      </c>
      <c r="I697" s="23" t="s">
        <v>6090</v>
      </c>
      <c r="J697" s="24" t="s">
        <v>6182</v>
      </c>
      <c r="K697" s="23" t="s">
        <v>1085</v>
      </c>
      <c r="L697" s="24" t="s">
        <v>6183</v>
      </c>
      <c r="M697" s="24" t="s">
        <v>6184</v>
      </c>
      <c r="N697" s="23" t="s">
        <v>6185</v>
      </c>
      <c r="O697" s="24" t="s">
        <v>6186</v>
      </c>
      <c r="P697" s="24" t="s">
        <v>6096</v>
      </c>
      <c r="Q697" s="24" t="s">
        <v>6187</v>
      </c>
      <c r="R697" s="24"/>
      <c r="S697" s="24" t="s">
        <v>6173</v>
      </c>
      <c r="T697" s="24" t="str">
        <f aca="false">"["&amp;안내!$C$5&amp;" "&amp;F697&amp;"] "&amp;L697&amp;" | "&amp;J697</f>
        <v>[1분 성경 신약 #187] 사랑의 빚 | 롬 13:1-14</v>
      </c>
      <c r="U697" s="26" t="n">
        <f aca="false">IF(D697="구약",IF(C697=1,안내!$C$9,안내!$C$10)+AD697-1,IF(C697=1,안내!$C$9,안내!$C$10)+7*INT((AD697-1)/4)+CHOOSE(MOD(AD697-1,4)+1,0,2,4,5))</f>
        <v>46724</v>
      </c>
      <c r="V697" s="23" t="str">
        <f aca="false">CHOOSE(WEEKDAY(U697,2),"월","화","수","목","금","토","일")</f>
        <v>금</v>
      </c>
      <c r="W697" s="24" t="str">
        <f aca="false">IFERROR(IF(INDEX($C$2:$C$799,MATCH(D697&amp;"#"&amp;(E697+1),$AC$2:$AC$799,0))=C697,"다음 편: ","시즌1 완결 · 시즌2 첫 편: ")&amp;INDEX($L$2:$L$799,MATCH(D697&amp;"#"&amp;(E697+1),$AC$2:$AC$799,0)),"신약 트랙 완결")</f>
        <v>다음 편: 서로 받으라</v>
      </c>
      <c r="X697" s="23" t="s">
        <v>130</v>
      </c>
      <c r="Y697" s="23" t="s">
        <v>130</v>
      </c>
      <c r="Z697" s="23" t="s">
        <v>130</v>
      </c>
      <c r="AA697" s="23" t="s">
        <v>130</v>
      </c>
      <c r="AB697" s="24"/>
      <c r="AC697" s="23" t="str">
        <f aca="false">D697&amp;"#"&amp;E697</f>
        <v>신약#187</v>
      </c>
      <c r="AD697" s="23" t="n">
        <f aca="false">COUNTIFS($C$2:C697,C697,$D$2:D697,D697)</f>
        <v>83</v>
      </c>
    </row>
    <row r="698" customFormat="false" ht="26.85" hidden="false" customHeight="false" outlineLevel="0" collapsed="false">
      <c r="A698" s="23" t="n">
        <v>697</v>
      </c>
      <c r="B698" s="30" t="s">
        <v>6188</v>
      </c>
      <c r="C698" s="23" t="n">
        <v>2</v>
      </c>
      <c r="D698" s="23" t="s">
        <v>4656</v>
      </c>
      <c r="E698" s="23" t="n">
        <f aca="false">IF(C698=1,COUNTIFS($C$2:C698,1,$D$2:D698,D698),COUNTIFS($C$2:$C$799,1,$D$2:$D$799,D698)+COUNTIFS($C$2:C698,2,$D$2:D698,D698))</f>
        <v>188</v>
      </c>
      <c r="F698" s="23" t="str">
        <f aca="false">D698&amp;" #"&amp;TEXT(E698,"000")</f>
        <v>신약 #188</v>
      </c>
      <c r="G698" s="30" t="s">
        <v>6089</v>
      </c>
      <c r="H698" s="30" t="s">
        <v>6116</v>
      </c>
      <c r="I698" s="23" t="s">
        <v>6090</v>
      </c>
      <c r="J698" s="24" t="s">
        <v>6189</v>
      </c>
      <c r="K698" s="23" t="s">
        <v>1085</v>
      </c>
      <c r="L698" s="24" t="s">
        <v>6190</v>
      </c>
      <c r="M698" s="24" t="s">
        <v>6191</v>
      </c>
      <c r="N698" s="23" t="s">
        <v>6192</v>
      </c>
      <c r="O698" s="24" t="s">
        <v>6193</v>
      </c>
      <c r="P698" s="24" t="s">
        <v>6194</v>
      </c>
      <c r="Q698" s="24" t="s">
        <v>6195</v>
      </c>
      <c r="R698" s="24"/>
      <c r="S698" s="24" t="s">
        <v>6173</v>
      </c>
      <c r="T698" s="24" t="str">
        <f aca="false">"["&amp;안내!$C$5&amp;" "&amp;F698&amp;"] "&amp;L698&amp;" | "&amp;J698</f>
        <v>[1분 성경 신약 #188] 서로 받으라 | 롬 14:1-16:27</v>
      </c>
      <c r="U698" s="26" t="n">
        <f aca="false">IF(D698="구약",IF(C698=1,안내!$C$9,안내!$C$10)+AD698-1,IF(C698=1,안내!$C$9,안내!$C$10)+7*INT((AD698-1)/4)+CHOOSE(MOD(AD698-1,4)+1,0,2,4,5))</f>
        <v>46725</v>
      </c>
      <c r="V698" s="23" t="str">
        <f aca="false">CHOOSE(WEEKDAY(U698,2),"월","화","수","목","금","토","일")</f>
        <v>토</v>
      </c>
      <c r="W698" s="24" t="str">
        <f aca="false">IFERROR(IF(INDEX($C$2:$C$799,MATCH(D698&amp;"#"&amp;(E698+1),$AC$2:$AC$799,0))=C698,"다음 편: ","시즌1 완결 · 시즌2 첫 편: ")&amp;INDEX($L$2:$L$799,MATCH(D698&amp;"#"&amp;(E698+1),$AC$2:$AC$799,0)),"신약 트랙 완결")</f>
        <v>다음 편: 십자가의 도</v>
      </c>
      <c r="X698" s="23" t="s">
        <v>130</v>
      </c>
      <c r="Y698" s="23" t="s">
        <v>130</v>
      </c>
      <c r="Z698" s="23" t="s">
        <v>130</v>
      </c>
      <c r="AA698" s="23" t="s">
        <v>130</v>
      </c>
      <c r="AB698" s="24"/>
      <c r="AC698" s="23" t="str">
        <f aca="false">D698&amp;"#"&amp;E698</f>
        <v>신약#188</v>
      </c>
      <c r="AD698" s="23" t="n">
        <f aca="false">COUNTIFS($C$2:C698,C698,$D$2:D698,D698)</f>
        <v>84</v>
      </c>
    </row>
    <row r="699" customFormat="false" ht="26.85" hidden="false" customHeight="false" outlineLevel="0" collapsed="false">
      <c r="A699" s="23" t="n">
        <v>698</v>
      </c>
      <c r="B699" s="30" t="s">
        <v>6196</v>
      </c>
      <c r="C699" s="23" t="n">
        <v>2</v>
      </c>
      <c r="D699" s="23" t="s">
        <v>4656</v>
      </c>
      <c r="E699" s="23" t="n">
        <f aca="false">IF(C699=1,COUNTIFS($C$2:C699,1,$D$2:D699,D699),COUNTIFS($C$2:$C$799,1,$D$2:$D$799,D699)+COUNTIFS($C$2:C699,2,$D$2:D699,D699))</f>
        <v>189</v>
      </c>
      <c r="F699" s="23" t="str">
        <f aca="false">D699&amp;" #"&amp;TEXT(E699,"000")</f>
        <v>신약 #189</v>
      </c>
      <c r="G699" s="30" t="s">
        <v>6197</v>
      </c>
      <c r="H699" s="30" t="s">
        <v>6198</v>
      </c>
      <c r="I699" s="23" t="s">
        <v>6199</v>
      </c>
      <c r="J699" s="24" t="s">
        <v>6200</v>
      </c>
      <c r="K699" s="23" t="s">
        <v>1085</v>
      </c>
      <c r="L699" s="24" t="s">
        <v>6201</v>
      </c>
      <c r="M699" s="24" t="s">
        <v>6202</v>
      </c>
      <c r="N699" s="23" t="s">
        <v>6203</v>
      </c>
      <c r="O699" s="24" t="s">
        <v>6204</v>
      </c>
      <c r="P699" s="24" t="s">
        <v>6096</v>
      </c>
      <c r="Q699" s="24" t="s">
        <v>6205</v>
      </c>
      <c r="R699" s="24"/>
      <c r="S699" s="24" t="s">
        <v>6173</v>
      </c>
      <c r="T699" s="24" t="str">
        <f aca="false">"["&amp;안내!$C$5&amp;" "&amp;F699&amp;"] "&amp;L699&amp;" | "&amp;J699</f>
        <v>[1분 성경 신약 #189] 십자가의 도 | 고전 1:1-2:16</v>
      </c>
      <c r="U699" s="26" t="n">
        <f aca="false">IF(D699="구약",IF(C699=1,안내!$C$9,안내!$C$10)+AD699-1,IF(C699=1,안내!$C$9,안내!$C$10)+7*INT((AD699-1)/4)+CHOOSE(MOD(AD699-1,4)+1,0,2,4,5))</f>
        <v>46727</v>
      </c>
      <c r="V699" s="23" t="str">
        <f aca="false">CHOOSE(WEEKDAY(U699,2),"월","화","수","목","금","토","일")</f>
        <v>월</v>
      </c>
      <c r="W699" s="24" t="str">
        <f aca="false">IFERROR(IF(INDEX($C$2:$C$799,MATCH(D699&amp;"#"&amp;(E699+1),$AC$2:$AC$799,0))=C699,"다음 편: ","시즌1 완결 · 시즌2 첫 편: ")&amp;INDEX($L$2:$L$799,MATCH(D699&amp;"#"&amp;(E699+1),$AC$2:$AC$799,0)),"신약 트랙 완결")</f>
        <v>다음 편: 자라게 하시는 하나님</v>
      </c>
      <c r="X699" s="23" t="s">
        <v>130</v>
      </c>
      <c r="Y699" s="23" t="s">
        <v>130</v>
      </c>
      <c r="Z699" s="23" t="s">
        <v>130</v>
      </c>
      <c r="AA699" s="23" t="s">
        <v>130</v>
      </c>
      <c r="AB699" s="24"/>
      <c r="AC699" s="23" t="str">
        <f aca="false">D699&amp;"#"&amp;E699</f>
        <v>신약#189</v>
      </c>
      <c r="AD699" s="23" t="n">
        <f aca="false">COUNTIFS($C$2:C699,C699,$D$2:D699,D699)</f>
        <v>85</v>
      </c>
    </row>
    <row r="700" customFormat="false" ht="26.85" hidden="false" customHeight="false" outlineLevel="0" collapsed="false">
      <c r="A700" s="23" t="n">
        <v>699</v>
      </c>
      <c r="B700" s="30" t="s">
        <v>6206</v>
      </c>
      <c r="C700" s="23" t="n">
        <v>2</v>
      </c>
      <c r="D700" s="23" t="s">
        <v>4656</v>
      </c>
      <c r="E700" s="23" t="n">
        <f aca="false">IF(C700=1,COUNTIFS($C$2:C700,1,$D$2:D700,D700),COUNTIFS($C$2:$C$799,1,$D$2:$D$799,D700)+COUNTIFS($C$2:C700,2,$D$2:D700,D700))</f>
        <v>190</v>
      </c>
      <c r="F700" s="23" t="str">
        <f aca="false">D700&amp;" #"&amp;TEXT(E700,"000")</f>
        <v>신약 #190</v>
      </c>
      <c r="G700" s="30" t="s">
        <v>6197</v>
      </c>
      <c r="H700" s="30" t="s">
        <v>6198</v>
      </c>
      <c r="I700" s="23" t="s">
        <v>6199</v>
      </c>
      <c r="J700" s="24" t="s">
        <v>6207</v>
      </c>
      <c r="K700" s="23" t="s">
        <v>1085</v>
      </c>
      <c r="L700" s="24" t="s">
        <v>6208</v>
      </c>
      <c r="M700" s="24" t="s">
        <v>6209</v>
      </c>
      <c r="N700" s="23" t="s">
        <v>6210</v>
      </c>
      <c r="O700" s="24" t="s">
        <v>6211</v>
      </c>
      <c r="P700" s="24" t="s">
        <v>6212</v>
      </c>
      <c r="Q700" s="24" t="s">
        <v>6213</v>
      </c>
      <c r="R700" s="25" t="s">
        <v>6214</v>
      </c>
      <c r="S700" s="24" t="s">
        <v>6173</v>
      </c>
      <c r="T700" s="24" t="str">
        <f aca="false">"["&amp;안내!$C$5&amp;" "&amp;F700&amp;"] "&amp;L700&amp;" | "&amp;J700</f>
        <v>[1분 성경 신약 #190] 자라게 하시는 하나님 | 고전 3:1-4:21</v>
      </c>
      <c r="U700" s="26" t="n">
        <f aca="false">IF(D700="구약",IF(C700=1,안내!$C$9,안내!$C$10)+AD700-1,IF(C700=1,안내!$C$9,안내!$C$10)+7*INT((AD700-1)/4)+CHOOSE(MOD(AD700-1,4)+1,0,2,4,5))</f>
        <v>46729</v>
      </c>
      <c r="V700" s="23" t="str">
        <f aca="false">CHOOSE(WEEKDAY(U700,2),"월","화","수","목","금","토","일")</f>
        <v>수</v>
      </c>
      <c r="W700" s="24" t="str">
        <f aca="false">IFERROR(IF(INDEX($C$2:$C$799,MATCH(D700&amp;"#"&amp;(E700+1),$AC$2:$AC$799,0))=C700,"다음 편: ","시즌1 완결 · 시즌2 첫 편: ")&amp;INDEX($L$2:$L$799,MATCH(D700&amp;"#"&amp;(E700+1),$AC$2:$AC$799,0)),"신약 트랙 완결")</f>
        <v>다음 편: 너희 몸은 성령의 전</v>
      </c>
      <c r="X700" s="23" t="s">
        <v>130</v>
      </c>
      <c r="Y700" s="23" t="s">
        <v>130</v>
      </c>
      <c r="Z700" s="23" t="s">
        <v>130</v>
      </c>
      <c r="AA700" s="23" t="s">
        <v>130</v>
      </c>
      <c r="AB700" s="24"/>
      <c r="AC700" s="23" t="str">
        <f aca="false">D700&amp;"#"&amp;E700</f>
        <v>신약#190</v>
      </c>
      <c r="AD700" s="23" t="n">
        <f aca="false">COUNTIFS($C$2:C700,C700,$D$2:D700,D700)</f>
        <v>86</v>
      </c>
    </row>
    <row r="701" customFormat="false" ht="26.85" hidden="false" customHeight="false" outlineLevel="0" collapsed="false">
      <c r="A701" s="23" t="n">
        <v>700</v>
      </c>
      <c r="B701" s="30" t="s">
        <v>6215</v>
      </c>
      <c r="C701" s="23" t="n">
        <v>2</v>
      </c>
      <c r="D701" s="23" t="s">
        <v>4656</v>
      </c>
      <c r="E701" s="23" t="n">
        <f aca="false">IF(C701=1,COUNTIFS($C$2:C701,1,$D$2:D701,D701),COUNTIFS($C$2:$C$799,1,$D$2:$D$799,D701)+COUNTIFS($C$2:C701,2,$D$2:D701,D701))</f>
        <v>191</v>
      </c>
      <c r="F701" s="23" t="str">
        <f aca="false">D701&amp;" #"&amp;TEXT(E701,"000")</f>
        <v>신약 #191</v>
      </c>
      <c r="G701" s="30" t="s">
        <v>6197</v>
      </c>
      <c r="H701" s="30" t="s">
        <v>6198</v>
      </c>
      <c r="I701" s="23" t="s">
        <v>6199</v>
      </c>
      <c r="J701" s="24" t="s">
        <v>6216</v>
      </c>
      <c r="K701" s="23" t="s">
        <v>1085</v>
      </c>
      <c r="L701" s="24" t="s">
        <v>6217</v>
      </c>
      <c r="M701" s="24" t="s">
        <v>6218</v>
      </c>
      <c r="N701" s="23" t="s">
        <v>6219</v>
      </c>
      <c r="O701" s="24" t="s">
        <v>6220</v>
      </c>
      <c r="P701" s="24" t="s">
        <v>6096</v>
      </c>
      <c r="Q701" s="24" t="s">
        <v>6221</v>
      </c>
      <c r="R701" s="25" t="s">
        <v>6222</v>
      </c>
      <c r="S701" s="24" t="s">
        <v>6173</v>
      </c>
      <c r="T701" s="24" t="str">
        <f aca="false">"["&amp;안내!$C$5&amp;" "&amp;F701&amp;"] "&amp;L701&amp;" | "&amp;J701</f>
        <v>[1분 성경 신약 #191] 너희 몸은 성령의 전 | 고전 5:1-6:20</v>
      </c>
      <c r="U701" s="26" t="n">
        <f aca="false">IF(D701="구약",IF(C701=1,안내!$C$9,안내!$C$10)+AD701-1,IF(C701=1,안내!$C$9,안내!$C$10)+7*INT((AD701-1)/4)+CHOOSE(MOD(AD701-1,4)+1,0,2,4,5))</f>
        <v>46731</v>
      </c>
      <c r="V701" s="23" t="str">
        <f aca="false">CHOOSE(WEEKDAY(U701,2),"월","화","수","목","금","토","일")</f>
        <v>금</v>
      </c>
      <c r="W701" s="24" t="str">
        <f aca="false">IFERROR(IF(INDEX($C$2:$C$799,MATCH(D701&amp;"#"&amp;(E701+1),$AC$2:$AC$799,0))=C701,"다음 편: ","시즌1 완결 · 시즌2 첫 편: ")&amp;INDEX($L$2:$L$799,MATCH(D701&amp;"#"&amp;(E701+1),$AC$2:$AC$799,0)),"신약 트랙 완결")</f>
        <v>다음 편: 결혼과 독신</v>
      </c>
      <c r="X701" s="23" t="s">
        <v>130</v>
      </c>
      <c r="Y701" s="23" t="s">
        <v>130</v>
      </c>
      <c r="Z701" s="23" t="s">
        <v>130</v>
      </c>
      <c r="AA701" s="23" t="s">
        <v>130</v>
      </c>
      <c r="AB701" s="24"/>
      <c r="AC701" s="23" t="str">
        <f aca="false">D701&amp;"#"&amp;E701</f>
        <v>신약#191</v>
      </c>
      <c r="AD701" s="23" t="n">
        <f aca="false">COUNTIFS($C$2:C701,C701,$D$2:D701,D701)</f>
        <v>87</v>
      </c>
    </row>
    <row r="702" customFormat="false" ht="26.85" hidden="false" customHeight="false" outlineLevel="0" collapsed="false">
      <c r="A702" s="23" t="n">
        <v>701</v>
      </c>
      <c r="B702" s="30" t="s">
        <v>6223</v>
      </c>
      <c r="C702" s="23" t="n">
        <v>2</v>
      </c>
      <c r="D702" s="23" t="s">
        <v>4656</v>
      </c>
      <c r="E702" s="23" t="n">
        <f aca="false">IF(C702=1,COUNTIFS($C$2:C702,1,$D$2:D702,D702),COUNTIFS($C$2:$C$799,1,$D$2:$D$799,D702)+COUNTIFS($C$2:C702,2,$D$2:D702,D702))</f>
        <v>192</v>
      </c>
      <c r="F702" s="23" t="str">
        <f aca="false">D702&amp;" #"&amp;TEXT(E702,"000")</f>
        <v>신약 #192</v>
      </c>
      <c r="G702" s="30" t="s">
        <v>6197</v>
      </c>
      <c r="H702" s="30" t="s">
        <v>6198</v>
      </c>
      <c r="I702" s="23" t="s">
        <v>6199</v>
      </c>
      <c r="J702" s="24" t="s">
        <v>6224</v>
      </c>
      <c r="K702" s="23" t="s">
        <v>1085</v>
      </c>
      <c r="L702" s="24" t="s">
        <v>6225</v>
      </c>
      <c r="M702" s="24" t="s">
        <v>6226</v>
      </c>
      <c r="N702" s="23" t="s">
        <v>6227</v>
      </c>
      <c r="O702" s="24" t="s">
        <v>6228</v>
      </c>
      <c r="P702" s="24" t="s">
        <v>6096</v>
      </c>
      <c r="Q702" s="24" t="s">
        <v>6229</v>
      </c>
      <c r="R702" s="24"/>
      <c r="S702" s="24" t="s">
        <v>6173</v>
      </c>
      <c r="T702" s="24" t="str">
        <f aca="false">"["&amp;안내!$C$5&amp;" "&amp;F702&amp;"] "&amp;L702&amp;" | "&amp;J702</f>
        <v>[1분 성경 신약 #192] 결혼과 독신 | 고전 7:1-40</v>
      </c>
      <c r="U702" s="26" t="n">
        <f aca="false">IF(D702="구약",IF(C702=1,안내!$C$9,안내!$C$10)+AD702-1,IF(C702=1,안내!$C$9,안내!$C$10)+7*INT((AD702-1)/4)+CHOOSE(MOD(AD702-1,4)+1,0,2,4,5))</f>
        <v>46732</v>
      </c>
      <c r="V702" s="23" t="str">
        <f aca="false">CHOOSE(WEEKDAY(U702,2),"월","화","수","목","금","토","일")</f>
        <v>토</v>
      </c>
      <c r="W702" s="24" t="str">
        <f aca="false">IFERROR(IF(INDEX($C$2:$C$799,MATCH(D702&amp;"#"&amp;(E702+1),$AC$2:$AC$799,0))=C702,"다음 편: ","시즌1 완결 · 시즌2 첫 편: ")&amp;INDEX($L$2:$L$799,MATCH(D702&amp;"#"&amp;(E702+1),$AC$2:$AC$799,0)),"신약 트랙 완결")</f>
        <v>다음 편: 하나님의 영광을 위하여</v>
      </c>
      <c r="X702" s="23" t="s">
        <v>130</v>
      </c>
      <c r="Y702" s="23" t="s">
        <v>130</v>
      </c>
      <c r="Z702" s="23" t="s">
        <v>130</v>
      </c>
      <c r="AA702" s="23" t="s">
        <v>130</v>
      </c>
      <c r="AB702" s="24"/>
      <c r="AC702" s="23" t="str">
        <f aca="false">D702&amp;"#"&amp;E702</f>
        <v>신약#192</v>
      </c>
      <c r="AD702" s="23" t="n">
        <f aca="false">COUNTIFS($C$2:C702,C702,$D$2:D702,D702)</f>
        <v>88</v>
      </c>
    </row>
    <row r="703" customFormat="false" ht="26.85" hidden="false" customHeight="false" outlineLevel="0" collapsed="false">
      <c r="A703" s="23" t="n">
        <v>702</v>
      </c>
      <c r="B703" s="30" t="s">
        <v>6230</v>
      </c>
      <c r="C703" s="23" t="n">
        <v>2</v>
      </c>
      <c r="D703" s="23" t="s">
        <v>4656</v>
      </c>
      <c r="E703" s="23" t="n">
        <f aca="false">IF(C703=1,COUNTIFS($C$2:C703,1,$D$2:D703,D703),COUNTIFS($C$2:$C$799,1,$D$2:$D$799,D703)+COUNTIFS($C$2:C703,2,$D$2:D703,D703))</f>
        <v>193</v>
      </c>
      <c r="F703" s="23" t="str">
        <f aca="false">D703&amp;" #"&amp;TEXT(E703,"000")</f>
        <v>신약 #193</v>
      </c>
      <c r="G703" s="30" t="s">
        <v>6197</v>
      </c>
      <c r="H703" s="30" t="s">
        <v>6198</v>
      </c>
      <c r="I703" s="23" t="s">
        <v>6199</v>
      </c>
      <c r="J703" s="24" t="s">
        <v>6231</v>
      </c>
      <c r="K703" s="23" t="s">
        <v>1085</v>
      </c>
      <c r="L703" s="24" t="s">
        <v>6232</v>
      </c>
      <c r="M703" s="24" t="s">
        <v>6233</v>
      </c>
      <c r="N703" s="23" t="s">
        <v>6234</v>
      </c>
      <c r="O703" s="24" t="s">
        <v>6235</v>
      </c>
      <c r="P703" s="24" t="s">
        <v>6096</v>
      </c>
      <c r="Q703" s="24" t="s">
        <v>6236</v>
      </c>
      <c r="R703" s="24"/>
      <c r="S703" s="24" t="s">
        <v>6173</v>
      </c>
      <c r="T703" s="24" t="str">
        <f aca="false">"["&amp;안내!$C$5&amp;" "&amp;F703&amp;"] "&amp;L703&amp;" | "&amp;J703</f>
        <v>[1분 성경 신약 #193] 하나님의 영광을 위하여 | 고전 8:1-11:1</v>
      </c>
      <c r="U703" s="26" t="n">
        <f aca="false">IF(D703="구약",IF(C703=1,안내!$C$9,안내!$C$10)+AD703-1,IF(C703=1,안내!$C$9,안내!$C$10)+7*INT((AD703-1)/4)+CHOOSE(MOD(AD703-1,4)+1,0,2,4,5))</f>
        <v>46734</v>
      </c>
      <c r="V703" s="23" t="str">
        <f aca="false">CHOOSE(WEEKDAY(U703,2),"월","화","수","목","금","토","일")</f>
        <v>월</v>
      </c>
      <c r="W703" s="24" t="str">
        <f aca="false">IFERROR(IF(INDEX($C$2:$C$799,MATCH(D703&amp;"#"&amp;(E703+1),$AC$2:$AC$799,0))=C703,"다음 편: ","시즌1 완결 · 시즌2 첫 편: ")&amp;INDEX($L$2:$L$799,MATCH(D703&amp;"#"&amp;(E703+1),$AC$2:$AC$799,0)),"신약 트랙 완결")</f>
        <v>다음 편: 주의 만찬</v>
      </c>
      <c r="X703" s="23" t="s">
        <v>130</v>
      </c>
      <c r="Y703" s="23" t="s">
        <v>130</v>
      </c>
      <c r="Z703" s="23" t="s">
        <v>130</v>
      </c>
      <c r="AA703" s="23" t="s">
        <v>130</v>
      </c>
      <c r="AB703" s="24"/>
      <c r="AC703" s="23" t="str">
        <f aca="false">D703&amp;"#"&amp;E703</f>
        <v>신약#193</v>
      </c>
      <c r="AD703" s="23" t="n">
        <f aca="false">COUNTIFS($C$2:C703,C703,$D$2:D703,D703)</f>
        <v>89</v>
      </c>
    </row>
    <row r="704" customFormat="false" ht="26.85" hidden="false" customHeight="false" outlineLevel="0" collapsed="false">
      <c r="A704" s="23" t="n">
        <v>703</v>
      </c>
      <c r="B704" s="30" t="s">
        <v>6237</v>
      </c>
      <c r="C704" s="23" t="n">
        <v>2</v>
      </c>
      <c r="D704" s="23" t="s">
        <v>4656</v>
      </c>
      <c r="E704" s="23" t="n">
        <f aca="false">IF(C704=1,COUNTIFS($C$2:C704,1,$D$2:D704,D704),COUNTIFS($C$2:$C$799,1,$D$2:$D$799,D704)+COUNTIFS($C$2:C704,2,$D$2:D704,D704))</f>
        <v>194</v>
      </c>
      <c r="F704" s="23" t="str">
        <f aca="false">D704&amp;" #"&amp;TEXT(E704,"000")</f>
        <v>신약 #194</v>
      </c>
      <c r="G704" s="30" t="s">
        <v>6197</v>
      </c>
      <c r="H704" s="30" t="s">
        <v>6198</v>
      </c>
      <c r="I704" s="23" t="s">
        <v>6199</v>
      </c>
      <c r="J704" s="24" t="s">
        <v>6238</v>
      </c>
      <c r="K704" s="23" t="s">
        <v>1085</v>
      </c>
      <c r="L704" s="24" t="s">
        <v>6239</v>
      </c>
      <c r="M704" s="24" t="s">
        <v>6240</v>
      </c>
      <c r="N704" s="23" t="s">
        <v>6241</v>
      </c>
      <c r="O704" s="24" t="s">
        <v>6242</v>
      </c>
      <c r="P704" s="24" t="s">
        <v>6243</v>
      </c>
      <c r="Q704" s="24" t="s">
        <v>6244</v>
      </c>
      <c r="R704" s="25" t="s">
        <v>6245</v>
      </c>
      <c r="S704" s="24" t="s">
        <v>6173</v>
      </c>
      <c r="T704" s="24" t="str">
        <f aca="false">"["&amp;안내!$C$5&amp;" "&amp;F704&amp;"] "&amp;L704&amp;" | "&amp;J704</f>
        <v>[1분 성경 신약 #194] 주의 만찬 | 고전 11:2-34</v>
      </c>
      <c r="U704" s="26" t="n">
        <f aca="false">IF(D704="구약",IF(C704=1,안내!$C$9,안내!$C$10)+AD704-1,IF(C704=1,안내!$C$9,안내!$C$10)+7*INT((AD704-1)/4)+CHOOSE(MOD(AD704-1,4)+1,0,2,4,5))</f>
        <v>46736</v>
      </c>
      <c r="V704" s="23" t="str">
        <f aca="false">CHOOSE(WEEKDAY(U704,2),"월","화","수","목","금","토","일")</f>
        <v>수</v>
      </c>
      <c r="W704" s="24" t="str">
        <f aca="false">IFERROR(IF(INDEX($C$2:$C$799,MATCH(D704&amp;"#"&amp;(E704+1),$AC$2:$AC$799,0))=C704,"다음 편: ","시즌1 완결 · 시즌2 첫 편: ")&amp;INDEX($L$2:$L$799,MATCH(D704&amp;"#"&amp;(E704+1),$AC$2:$AC$799,0)),"신약 트랙 완결")</f>
        <v>다음 편: 한 몸과 많은 지체</v>
      </c>
      <c r="X704" s="23" t="s">
        <v>130</v>
      </c>
      <c r="Y704" s="23" t="s">
        <v>130</v>
      </c>
      <c r="Z704" s="23" t="s">
        <v>130</v>
      </c>
      <c r="AA704" s="23" t="s">
        <v>130</v>
      </c>
      <c r="AB704" s="24"/>
      <c r="AC704" s="23" t="str">
        <f aca="false">D704&amp;"#"&amp;E704</f>
        <v>신약#194</v>
      </c>
      <c r="AD704" s="23" t="n">
        <f aca="false">COUNTIFS($C$2:C704,C704,$D$2:D704,D704)</f>
        <v>90</v>
      </c>
    </row>
    <row r="705" customFormat="false" ht="26.85" hidden="false" customHeight="false" outlineLevel="0" collapsed="false">
      <c r="A705" s="23" t="n">
        <v>704</v>
      </c>
      <c r="B705" s="30" t="s">
        <v>6246</v>
      </c>
      <c r="C705" s="23" t="n">
        <v>2</v>
      </c>
      <c r="D705" s="23" t="s">
        <v>4656</v>
      </c>
      <c r="E705" s="23" t="n">
        <f aca="false">IF(C705=1,COUNTIFS($C$2:C705,1,$D$2:D705,D705),COUNTIFS($C$2:$C$799,1,$D$2:$D$799,D705)+COUNTIFS($C$2:C705,2,$D$2:D705,D705))</f>
        <v>195</v>
      </c>
      <c r="F705" s="23" t="str">
        <f aca="false">D705&amp;" #"&amp;TEXT(E705,"000")</f>
        <v>신약 #195</v>
      </c>
      <c r="G705" s="30" t="s">
        <v>6197</v>
      </c>
      <c r="H705" s="30" t="s">
        <v>6198</v>
      </c>
      <c r="I705" s="23" t="s">
        <v>6199</v>
      </c>
      <c r="J705" s="24" t="s">
        <v>6247</v>
      </c>
      <c r="K705" s="23" t="s">
        <v>1085</v>
      </c>
      <c r="L705" s="24" t="s">
        <v>6248</v>
      </c>
      <c r="M705" s="24" t="s">
        <v>6249</v>
      </c>
      <c r="N705" s="23" t="s">
        <v>6250</v>
      </c>
      <c r="O705" s="24" t="s">
        <v>6251</v>
      </c>
      <c r="P705" s="24" t="s">
        <v>6096</v>
      </c>
      <c r="Q705" s="24" t="s">
        <v>6252</v>
      </c>
      <c r="R705" s="25" t="s">
        <v>6253</v>
      </c>
      <c r="S705" s="24" t="s">
        <v>6173</v>
      </c>
      <c r="T705" s="24" t="str">
        <f aca="false">"["&amp;안내!$C$5&amp;" "&amp;F705&amp;"] "&amp;L705&amp;" | "&amp;J705</f>
        <v>[1분 성경 신약 #195] 한 몸과 많은 지체 | 고전 12:1-31</v>
      </c>
      <c r="U705" s="26" t="n">
        <f aca="false">IF(D705="구약",IF(C705=1,안내!$C$9,안내!$C$10)+AD705-1,IF(C705=1,안내!$C$9,안내!$C$10)+7*INT((AD705-1)/4)+CHOOSE(MOD(AD705-1,4)+1,0,2,4,5))</f>
        <v>46738</v>
      </c>
      <c r="V705" s="23" t="str">
        <f aca="false">CHOOSE(WEEKDAY(U705,2),"월","화","수","목","금","토","일")</f>
        <v>금</v>
      </c>
      <c r="W705" s="24" t="str">
        <f aca="false">IFERROR(IF(INDEX($C$2:$C$799,MATCH(D705&amp;"#"&amp;(E705+1),$AC$2:$AC$799,0))=C705,"다음 편: ","시즌1 완결 · 시즌2 첫 편: ")&amp;INDEX($L$2:$L$799,MATCH(D705&amp;"#"&amp;(E705+1),$AC$2:$AC$799,0)),"신약 트랙 완결")</f>
        <v>다음 편: 질서 있는 예배</v>
      </c>
      <c r="X705" s="23" t="s">
        <v>130</v>
      </c>
      <c r="Y705" s="23" t="s">
        <v>130</v>
      </c>
      <c r="Z705" s="23" t="s">
        <v>130</v>
      </c>
      <c r="AA705" s="23" t="s">
        <v>130</v>
      </c>
      <c r="AB705" s="24"/>
      <c r="AC705" s="23" t="str">
        <f aca="false">D705&amp;"#"&amp;E705</f>
        <v>신약#195</v>
      </c>
      <c r="AD705" s="23" t="n">
        <f aca="false">COUNTIFS($C$2:C705,C705,$D$2:D705,D705)</f>
        <v>91</v>
      </c>
    </row>
    <row r="706" customFormat="false" ht="52.2" hidden="false" customHeight="false" outlineLevel="0" collapsed="false">
      <c r="A706" s="23" t="n">
        <v>705</v>
      </c>
      <c r="B706" s="30" t="s">
        <v>6254</v>
      </c>
      <c r="C706" s="20" t="n">
        <v>1</v>
      </c>
      <c r="D706" s="20" t="s">
        <v>4656</v>
      </c>
      <c r="E706" s="20" t="n">
        <f aca="false">IF(C706=1,COUNTIFS($C$2:C706,1,$D$2:D706,D706),COUNTIFS($C$2:$C$799,1,$D$2:$D$799,D706)+COUNTIFS($C$2:C706,2,$D$2:D706,D706))</f>
        <v>93</v>
      </c>
      <c r="F706" s="20" t="str">
        <f aca="false">D706&amp;" #"&amp;TEXT(E706,"000")</f>
        <v>신약 #093</v>
      </c>
      <c r="G706" s="30" t="s">
        <v>6197</v>
      </c>
      <c r="H706" s="30" t="s">
        <v>6107</v>
      </c>
      <c r="I706" s="23" t="s">
        <v>6199</v>
      </c>
      <c r="J706" s="24" t="s">
        <v>6255</v>
      </c>
      <c r="K706" s="23" t="s">
        <v>1085</v>
      </c>
      <c r="L706" s="24" t="s">
        <v>6256</v>
      </c>
      <c r="M706" s="24" t="s">
        <v>6257</v>
      </c>
      <c r="N706" s="23" t="s">
        <v>6258</v>
      </c>
      <c r="O706" s="24" t="s">
        <v>6259</v>
      </c>
      <c r="P706" s="24" t="s">
        <v>6096</v>
      </c>
      <c r="Q706" s="24" t="s">
        <v>6260</v>
      </c>
      <c r="R706" s="25" t="s">
        <v>6261</v>
      </c>
      <c r="S706" s="28" t="s">
        <v>6262</v>
      </c>
      <c r="T706" s="24" t="str">
        <f aca="false">"["&amp;안내!$C$5&amp;" "&amp;F706&amp;"] "&amp;L706&amp;" | "&amp;J706</f>
        <v>[1분 성경 신약 #093] 사랑장 | 고전 13:1-13</v>
      </c>
      <c r="U706" s="26" t="n">
        <f aca="false">IF(D706="구약",IF(C706=1,안내!$C$9,안내!$C$10)+AD706-1,IF(C706=1,안내!$C$9,안내!$C$10)+7*INT((AD706-1)/4)+CHOOSE(MOD(AD706-1,4)+1,0,2,4,5))</f>
        <v>46552</v>
      </c>
      <c r="V706" s="23" t="str">
        <f aca="false">CHOOSE(WEEKDAY(U706,2),"월","화","수","목","금","토","일")</f>
        <v>월</v>
      </c>
      <c r="W706" s="24" t="str">
        <f aca="false">IFERROR(IF(INDEX($C$2:$C$799,MATCH(D706&amp;"#"&amp;(E706+1),$AC$2:$AC$799,0))=C706,"다음 편: ","시즌1 완결 · 시즌2 첫 편: ")&amp;INDEX($L$2:$L$799,MATCH(D706&amp;"#"&amp;(E706+1),$AC$2:$AC$799,0)),"신약 트랙 완결")</f>
        <v>다음 편: 부활장</v>
      </c>
      <c r="X706" s="23" t="s">
        <v>130</v>
      </c>
      <c r="Y706" s="23" t="s">
        <v>130</v>
      </c>
      <c r="Z706" s="23" t="s">
        <v>130</v>
      </c>
      <c r="AA706" s="23" t="s">
        <v>130</v>
      </c>
      <c r="AB706" s="24"/>
      <c r="AC706" s="23" t="str">
        <f aca="false">D706&amp;"#"&amp;E706</f>
        <v>신약#93</v>
      </c>
      <c r="AD706" s="23" t="n">
        <f aca="false">COUNTIFS($C$2:C706,C706,$D$2:D706,D706)</f>
        <v>93</v>
      </c>
    </row>
    <row r="707" customFormat="false" ht="26.85" hidden="false" customHeight="false" outlineLevel="0" collapsed="false">
      <c r="A707" s="23" t="n">
        <v>706</v>
      </c>
      <c r="B707" s="30" t="s">
        <v>6263</v>
      </c>
      <c r="C707" s="23" t="n">
        <v>2</v>
      </c>
      <c r="D707" s="23" t="s">
        <v>4656</v>
      </c>
      <c r="E707" s="23" t="n">
        <f aca="false">IF(C707=1,COUNTIFS($C$2:C707,1,$D$2:D707,D707),COUNTIFS($C$2:$C$799,1,$D$2:$D$799,D707)+COUNTIFS($C$2:C707,2,$D$2:D707,D707))</f>
        <v>196</v>
      </c>
      <c r="F707" s="23" t="str">
        <f aca="false">D707&amp;" #"&amp;TEXT(E707,"000")</f>
        <v>신약 #196</v>
      </c>
      <c r="G707" s="30" t="s">
        <v>6197</v>
      </c>
      <c r="H707" s="30" t="s">
        <v>6198</v>
      </c>
      <c r="I707" s="23" t="s">
        <v>6199</v>
      </c>
      <c r="J707" s="24" t="s">
        <v>6264</v>
      </c>
      <c r="K707" s="23" t="s">
        <v>1085</v>
      </c>
      <c r="L707" s="24" t="s">
        <v>6265</v>
      </c>
      <c r="M707" s="24" t="s">
        <v>6266</v>
      </c>
      <c r="N707" s="23" t="s">
        <v>6267</v>
      </c>
      <c r="O707" s="24" t="s">
        <v>6268</v>
      </c>
      <c r="P707" s="24" t="s">
        <v>6096</v>
      </c>
      <c r="Q707" s="24" t="s">
        <v>6269</v>
      </c>
      <c r="R707" s="25" t="s">
        <v>6270</v>
      </c>
      <c r="S707" s="24" t="s">
        <v>6271</v>
      </c>
      <c r="T707" s="24" t="str">
        <f aca="false">"["&amp;안내!$C$5&amp;" "&amp;F707&amp;"] "&amp;L707&amp;" | "&amp;J707</f>
        <v>[1분 성경 신약 #196] 질서 있는 예배 | 고전 14:1-40</v>
      </c>
      <c r="U707" s="26" t="n">
        <f aca="false">IF(D707="구약",IF(C707=1,안내!$C$9,안내!$C$10)+AD707-1,IF(C707=1,안내!$C$9,안내!$C$10)+7*INT((AD707-1)/4)+CHOOSE(MOD(AD707-1,4)+1,0,2,4,5))</f>
        <v>46739</v>
      </c>
      <c r="V707" s="23" t="str">
        <f aca="false">CHOOSE(WEEKDAY(U707,2),"월","화","수","목","금","토","일")</f>
        <v>토</v>
      </c>
      <c r="W707" s="24" t="str">
        <f aca="false">IFERROR(IF(INDEX($C$2:$C$799,MATCH(D707&amp;"#"&amp;(E707+1),$AC$2:$AC$799,0))=C707,"다음 편: ","시즌1 완결 · 시즌2 첫 편: ")&amp;INDEX($L$2:$L$799,MATCH(D707&amp;"#"&amp;(E707+1),$AC$2:$AC$799,0)),"신약 트랙 완결")</f>
        <v>다음 편: 위로의 하나님</v>
      </c>
      <c r="X707" s="23" t="s">
        <v>130</v>
      </c>
      <c r="Y707" s="23" t="s">
        <v>130</v>
      </c>
      <c r="Z707" s="23" t="s">
        <v>130</v>
      </c>
      <c r="AA707" s="23" t="s">
        <v>130</v>
      </c>
      <c r="AB707" s="24"/>
      <c r="AC707" s="23" t="str">
        <f aca="false">D707&amp;"#"&amp;E707</f>
        <v>신약#196</v>
      </c>
      <c r="AD707" s="23" t="n">
        <f aca="false">COUNTIFS($C$2:C707,C707,$D$2:D707,D707)</f>
        <v>92</v>
      </c>
    </row>
    <row r="708" customFormat="false" ht="39.55" hidden="false" customHeight="false" outlineLevel="0" collapsed="false">
      <c r="A708" s="23" t="n">
        <v>707</v>
      </c>
      <c r="B708" s="30" t="s">
        <v>6272</v>
      </c>
      <c r="C708" s="20" t="n">
        <v>1</v>
      </c>
      <c r="D708" s="20" t="s">
        <v>4656</v>
      </c>
      <c r="E708" s="20" t="n">
        <f aca="false">IF(C708=1,COUNTIFS($C$2:C708,1,$D$2:D708,D708),COUNTIFS($C$2:$C$799,1,$D$2:$D$799,D708)+COUNTIFS($C$2:C708,2,$D$2:D708,D708))</f>
        <v>94</v>
      </c>
      <c r="F708" s="20" t="str">
        <f aca="false">D708&amp;" #"&amp;TEXT(E708,"000")</f>
        <v>신약 #094</v>
      </c>
      <c r="G708" s="30" t="s">
        <v>6197</v>
      </c>
      <c r="H708" s="30" t="s">
        <v>6107</v>
      </c>
      <c r="I708" s="23" t="s">
        <v>6199</v>
      </c>
      <c r="J708" s="24" t="s">
        <v>6273</v>
      </c>
      <c r="K708" s="23" t="s">
        <v>1085</v>
      </c>
      <c r="L708" s="24" t="s">
        <v>6274</v>
      </c>
      <c r="M708" s="24" t="s">
        <v>6275</v>
      </c>
      <c r="N708" s="23" t="s">
        <v>6276</v>
      </c>
      <c r="O708" s="24" t="s">
        <v>6277</v>
      </c>
      <c r="P708" s="24" t="s">
        <v>6278</v>
      </c>
      <c r="Q708" s="24" t="s">
        <v>6279</v>
      </c>
      <c r="R708" s="25" t="s">
        <v>6280</v>
      </c>
      <c r="S708" s="28" t="s">
        <v>6281</v>
      </c>
      <c r="T708" s="24" t="str">
        <f aca="false">"["&amp;안내!$C$5&amp;" "&amp;F708&amp;"] "&amp;L708&amp;" | "&amp;J708</f>
        <v>[1분 성경 신약 #094] 부활장 | 고전 15:1-16:24</v>
      </c>
      <c r="U708" s="26" t="n">
        <f aca="false">IF(D708="구약",IF(C708=1,안내!$C$9,안내!$C$10)+AD708-1,IF(C708=1,안내!$C$9,안내!$C$10)+7*INT((AD708-1)/4)+CHOOSE(MOD(AD708-1,4)+1,0,2,4,5))</f>
        <v>46554</v>
      </c>
      <c r="V708" s="23" t="str">
        <f aca="false">CHOOSE(WEEKDAY(U708,2),"월","화","수","목","금","토","일")</f>
        <v>수</v>
      </c>
      <c r="W708" s="24" t="str">
        <f aca="false">IFERROR(IF(INDEX($C$2:$C$799,MATCH(D708&amp;"#"&amp;(E708+1),$AC$2:$AC$799,0))=C708,"다음 편: ","시즌1 완결 · 시즌2 첫 편: ")&amp;INDEX($L$2:$L$799,MATCH(D708&amp;"#"&amp;(E708+1),$AC$2:$AC$799,0)),"신약 트랙 완결")</f>
        <v>다음 편: 성령의 열매</v>
      </c>
      <c r="X708" s="23" t="s">
        <v>130</v>
      </c>
      <c r="Y708" s="23" t="s">
        <v>130</v>
      </c>
      <c r="Z708" s="23" t="s">
        <v>130</v>
      </c>
      <c r="AA708" s="23" t="s">
        <v>130</v>
      </c>
      <c r="AB708" s="24"/>
      <c r="AC708" s="23" t="str">
        <f aca="false">D708&amp;"#"&amp;E708</f>
        <v>신약#94</v>
      </c>
      <c r="AD708" s="23" t="n">
        <f aca="false">COUNTIFS($C$2:C708,C708,$D$2:D708,D708)</f>
        <v>94</v>
      </c>
    </row>
    <row r="709" customFormat="false" ht="26.85" hidden="false" customHeight="false" outlineLevel="0" collapsed="false">
      <c r="A709" s="23" t="n">
        <v>708</v>
      </c>
      <c r="B709" s="30" t="s">
        <v>6282</v>
      </c>
      <c r="C709" s="23" t="n">
        <v>2</v>
      </c>
      <c r="D709" s="23" t="s">
        <v>4656</v>
      </c>
      <c r="E709" s="23" t="n">
        <f aca="false">IF(C709=1,COUNTIFS($C$2:C709,1,$D$2:D709,D709),COUNTIFS($C$2:$C$799,1,$D$2:$D$799,D709)+COUNTIFS($C$2:C709,2,$D$2:D709,D709))</f>
        <v>197</v>
      </c>
      <c r="F709" s="23" t="str">
        <f aca="false">D709&amp;" #"&amp;TEXT(E709,"000")</f>
        <v>신약 #197</v>
      </c>
      <c r="G709" s="30" t="s">
        <v>6283</v>
      </c>
      <c r="H709" s="30" t="s">
        <v>6284</v>
      </c>
      <c r="I709" s="23" t="s">
        <v>6285</v>
      </c>
      <c r="J709" s="24" t="s">
        <v>6286</v>
      </c>
      <c r="K709" s="23" t="s">
        <v>1085</v>
      </c>
      <c r="L709" s="24" t="s">
        <v>6287</v>
      </c>
      <c r="M709" s="24" t="s">
        <v>6288</v>
      </c>
      <c r="N709" s="23" t="s">
        <v>6289</v>
      </c>
      <c r="O709" s="24" t="s">
        <v>6290</v>
      </c>
      <c r="P709" s="24" t="s">
        <v>6096</v>
      </c>
      <c r="Q709" s="24" t="s">
        <v>6291</v>
      </c>
      <c r="R709" s="24"/>
      <c r="S709" s="24" t="s">
        <v>6292</v>
      </c>
      <c r="T709" s="24" t="str">
        <f aca="false">"["&amp;안내!$C$5&amp;" "&amp;F709&amp;"] "&amp;L709&amp;" | "&amp;J709</f>
        <v>[1분 성경 신약 #197] 위로의 하나님 | 고후 1:1-2:17</v>
      </c>
      <c r="U709" s="26" t="n">
        <f aca="false">IF(D709="구약",IF(C709=1,안내!$C$9,안내!$C$10)+AD709-1,IF(C709=1,안내!$C$9,안내!$C$10)+7*INT((AD709-1)/4)+CHOOSE(MOD(AD709-1,4)+1,0,2,4,5))</f>
        <v>46741</v>
      </c>
      <c r="V709" s="23" t="str">
        <f aca="false">CHOOSE(WEEKDAY(U709,2),"월","화","수","목","금","토","일")</f>
        <v>월</v>
      </c>
      <c r="W709" s="24" t="str">
        <f aca="false">IFERROR(IF(INDEX($C$2:$C$799,MATCH(D709&amp;"#"&amp;(E709+1),$AC$2:$AC$799,0))=C709,"다음 편: ","시즌1 완결 · 시즌2 첫 편: ")&amp;INDEX($L$2:$L$799,MATCH(D709&amp;"#"&amp;(E709+1),$AC$2:$AC$799,0)),"신약 트랙 완결")</f>
        <v>다음 편: 질그릇 속의 보배</v>
      </c>
      <c r="X709" s="23" t="s">
        <v>130</v>
      </c>
      <c r="Y709" s="23" t="s">
        <v>130</v>
      </c>
      <c r="Z709" s="23" t="s">
        <v>130</v>
      </c>
      <c r="AA709" s="23" t="s">
        <v>130</v>
      </c>
      <c r="AB709" s="24"/>
      <c r="AC709" s="23" t="str">
        <f aca="false">D709&amp;"#"&amp;E709</f>
        <v>신약#197</v>
      </c>
      <c r="AD709" s="23" t="n">
        <f aca="false">COUNTIFS($C$2:C709,C709,$D$2:D709,D709)</f>
        <v>93</v>
      </c>
    </row>
    <row r="710" customFormat="false" ht="26.85" hidden="false" customHeight="false" outlineLevel="0" collapsed="false">
      <c r="A710" s="23" t="n">
        <v>709</v>
      </c>
      <c r="B710" s="30" t="s">
        <v>6293</v>
      </c>
      <c r="C710" s="23" t="n">
        <v>2</v>
      </c>
      <c r="D710" s="23" t="s">
        <v>4656</v>
      </c>
      <c r="E710" s="23" t="n">
        <f aca="false">IF(C710=1,COUNTIFS($C$2:C710,1,$D$2:D710,D710),COUNTIFS($C$2:$C$799,1,$D$2:$D$799,D710)+COUNTIFS($C$2:C710,2,$D$2:D710,D710))</f>
        <v>198</v>
      </c>
      <c r="F710" s="23" t="str">
        <f aca="false">D710&amp;" #"&amp;TEXT(E710,"000")</f>
        <v>신약 #198</v>
      </c>
      <c r="G710" s="30" t="s">
        <v>6283</v>
      </c>
      <c r="H710" s="30" t="s">
        <v>6284</v>
      </c>
      <c r="I710" s="23" t="s">
        <v>6285</v>
      </c>
      <c r="J710" s="24" t="s">
        <v>6294</v>
      </c>
      <c r="K710" s="23" t="s">
        <v>1085</v>
      </c>
      <c r="L710" s="24" t="s">
        <v>6295</v>
      </c>
      <c r="M710" s="24" t="s">
        <v>6296</v>
      </c>
      <c r="N710" s="23" t="s">
        <v>6297</v>
      </c>
      <c r="O710" s="24" t="s">
        <v>6298</v>
      </c>
      <c r="P710" s="24" t="s">
        <v>6096</v>
      </c>
      <c r="Q710" s="24" t="s">
        <v>6299</v>
      </c>
      <c r="R710" s="24"/>
      <c r="S710" s="24" t="s">
        <v>6292</v>
      </c>
      <c r="T710" s="24" t="str">
        <f aca="false">"["&amp;안내!$C$5&amp;" "&amp;F710&amp;"] "&amp;L710&amp;" | "&amp;J710</f>
        <v>[1분 성경 신약 #198] 질그릇 속의 보배 | 고후 3:1-4:18</v>
      </c>
      <c r="U710" s="26" t="n">
        <f aca="false">IF(D710="구약",IF(C710=1,안내!$C$9,안내!$C$10)+AD710-1,IF(C710=1,안내!$C$9,안내!$C$10)+7*INT((AD710-1)/4)+CHOOSE(MOD(AD710-1,4)+1,0,2,4,5))</f>
        <v>46743</v>
      </c>
      <c r="V710" s="23" t="str">
        <f aca="false">CHOOSE(WEEKDAY(U710,2),"월","화","수","목","금","토","일")</f>
        <v>수</v>
      </c>
      <c r="W710" s="24" t="str">
        <f aca="false">IFERROR(IF(INDEX($C$2:$C$799,MATCH(D710&amp;"#"&amp;(E710+1),$AC$2:$AC$799,0))=C710,"다음 편: ","시즌1 완결 · 시즌2 첫 편: ")&amp;INDEX($L$2:$L$799,MATCH(D710&amp;"#"&amp;(E710+1),$AC$2:$AC$799,0)),"신약 트랙 완결")</f>
        <v>다음 편: 새로운 피조물</v>
      </c>
      <c r="X710" s="23" t="s">
        <v>130</v>
      </c>
      <c r="Y710" s="23" t="s">
        <v>130</v>
      </c>
      <c r="Z710" s="23" t="s">
        <v>130</v>
      </c>
      <c r="AA710" s="23" t="s">
        <v>130</v>
      </c>
      <c r="AB710" s="24"/>
      <c r="AC710" s="23" t="str">
        <f aca="false">D710&amp;"#"&amp;E710</f>
        <v>신약#198</v>
      </c>
      <c r="AD710" s="23" t="n">
        <f aca="false">COUNTIFS($C$2:C710,C710,$D$2:D710,D710)</f>
        <v>94</v>
      </c>
    </row>
    <row r="711" customFormat="false" ht="26.85" hidden="false" customHeight="false" outlineLevel="0" collapsed="false">
      <c r="A711" s="23" t="n">
        <v>710</v>
      </c>
      <c r="B711" s="30" t="s">
        <v>6300</v>
      </c>
      <c r="C711" s="23" t="n">
        <v>2</v>
      </c>
      <c r="D711" s="23" t="s">
        <v>4656</v>
      </c>
      <c r="E711" s="23" t="n">
        <f aca="false">IF(C711=1,COUNTIFS($C$2:C711,1,$D$2:D711,D711),COUNTIFS($C$2:$C$799,1,$D$2:$D$799,D711)+COUNTIFS($C$2:C711,2,$D$2:D711,D711))</f>
        <v>199</v>
      </c>
      <c r="F711" s="23" t="str">
        <f aca="false">D711&amp;" #"&amp;TEXT(E711,"000")</f>
        <v>신약 #199</v>
      </c>
      <c r="G711" s="30" t="s">
        <v>6283</v>
      </c>
      <c r="H711" s="30" t="s">
        <v>6284</v>
      </c>
      <c r="I711" s="23" t="s">
        <v>6285</v>
      </c>
      <c r="J711" s="24" t="s">
        <v>6301</v>
      </c>
      <c r="K711" s="23" t="s">
        <v>1085</v>
      </c>
      <c r="L711" s="24" t="s">
        <v>6302</v>
      </c>
      <c r="M711" s="24" t="s">
        <v>6303</v>
      </c>
      <c r="N711" s="23" t="s">
        <v>6304</v>
      </c>
      <c r="O711" s="24" t="s">
        <v>6305</v>
      </c>
      <c r="P711" s="24" t="s">
        <v>6096</v>
      </c>
      <c r="Q711" s="24" t="s">
        <v>6306</v>
      </c>
      <c r="R711" s="24"/>
      <c r="S711" s="24" t="s">
        <v>6292</v>
      </c>
      <c r="T711" s="24" t="str">
        <f aca="false">"["&amp;안내!$C$5&amp;" "&amp;F711&amp;"] "&amp;L711&amp;" | "&amp;J711</f>
        <v>[1분 성경 신약 #199] 새로운 피조물 | 고후 5:1-21</v>
      </c>
      <c r="U711" s="26" t="n">
        <f aca="false">IF(D711="구약",IF(C711=1,안내!$C$9,안내!$C$10)+AD711-1,IF(C711=1,안내!$C$9,안내!$C$10)+7*INT((AD711-1)/4)+CHOOSE(MOD(AD711-1,4)+1,0,2,4,5))</f>
        <v>46745</v>
      </c>
      <c r="V711" s="23" t="str">
        <f aca="false">CHOOSE(WEEKDAY(U711,2),"월","화","수","목","금","토","일")</f>
        <v>금</v>
      </c>
      <c r="W711" s="24" t="str">
        <f aca="false">IFERROR(IF(INDEX($C$2:$C$799,MATCH(D711&amp;"#"&amp;(E711+1),$AC$2:$AC$799,0))=C711,"다음 편: ","시즌1 완결 · 시즌2 첫 편: ")&amp;INDEX($L$2:$L$799,MATCH(D711&amp;"#"&amp;(E711+1),$AC$2:$AC$799,0)),"신약 트랙 완결")</f>
        <v>다음 편: 지금은 구원의 날</v>
      </c>
      <c r="X711" s="23" t="s">
        <v>130</v>
      </c>
      <c r="Y711" s="23" t="s">
        <v>130</v>
      </c>
      <c r="Z711" s="23" t="s">
        <v>130</v>
      </c>
      <c r="AA711" s="23" t="s">
        <v>130</v>
      </c>
      <c r="AB711" s="24"/>
      <c r="AC711" s="23" t="str">
        <f aca="false">D711&amp;"#"&amp;E711</f>
        <v>신약#199</v>
      </c>
      <c r="AD711" s="23" t="n">
        <f aca="false">COUNTIFS($C$2:C711,C711,$D$2:D711,D711)</f>
        <v>95</v>
      </c>
    </row>
    <row r="712" customFormat="false" ht="26.85" hidden="false" customHeight="false" outlineLevel="0" collapsed="false">
      <c r="A712" s="23" t="n">
        <v>711</v>
      </c>
      <c r="B712" s="30" t="s">
        <v>6307</v>
      </c>
      <c r="C712" s="23" t="n">
        <v>2</v>
      </c>
      <c r="D712" s="23" t="s">
        <v>4656</v>
      </c>
      <c r="E712" s="23" t="n">
        <f aca="false">IF(C712=1,COUNTIFS($C$2:C712,1,$D$2:D712,D712),COUNTIFS($C$2:$C$799,1,$D$2:$D$799,D712)+COUNTIFS($C$2:C712,2,$D$2:D712,D712))</f>
        <v>200</v>
      </c>
      <c r="F712" s="23" t="str">
        <f aca="false">D712&amp;" #"&amp;TEXT(E712,"000")</f>
        <v>신약 #200</v>
      </c>
      <c r="G712" s="30" t="s">
        <v>6283</v>
      </c>
      <c r="H712" s="30" t="s">
        <v>6284</v>
      </c>
      <c r="I712" s="23" t="s">
        <v>6285</v>
      </c>
      <c r="J712" s="24" t="s">
        <v>6308</v>
      </c>
      <c r="K712" s="23" t="s">
        <v>1085</v>
      </c>
      <c r="L712" s="24" t="s">
        <v>6309</v>
      </c>
      <c r="M712" s="24" t="s">
        <v>6310</v>
      </c>
      <c r="N712" s="23" t="s">
        <v>6311</v>
      </c>
      <c r="O712" s="24" t="s">
        <v>6312</v>
      </c>
      <c r="P712" s="24" t="s">
        <v>6096</v>
      </c>
      <c r="Q712" s="24" t="s">
        <v>6313</v>
      </c>
      <c r="R712" s="24"/>
      <c r="S712" s="24" t="s">
        <v>6292</v>
      </c>
      <c r="T712" s="24" t="str">
        <f aca="false">"["&amp;안내!$C$5&amp;" "&amp;F712&amp;"] "&amp;L712&amp;" | "&amp;J712</f>
        <v>[1분 성경 신약 #200] 지금은 구원의 날 | 고후 6:1-7:16</v>
      </c>
      <c r="U712" s="26" t="n">
        <f aca="false">IF(D712="구약",IF(C712=1,안내!$C$9,안내!$C$10)+AD712-1,IF(C712=1,안내!$C$9,안내!$C$10)+7*INT((AD712-1)/4)+CHOOSE(MOD(AD712-1,4)+1,0,2,4,5))</f>
        <v>46746</v>
      </c>
      <c r="V712" s="23" t="str">
        <f aca="false">CHOOSE(WEEKDAY(U712,2),"월","화","수","목","금","토","일")</f>
        <v>토</v>
      </c>
      <c r="W712" s="24" t="str">
        <f aca="false">IFERROR(IF(INDEX($C$2:$C$799,MATCH(D712&amp;"#"&amp;(E712+1),$AC$2:$AC$799,0))=C712,"다음 편: ","시즌1 완결 · 시즌2 첫 편: ")&amp;INDEX($L$2:$L$799,MATCH(D712&amp;"#"&amp;(E712+1),$AC$2:$AC$799,0)),"신약 트랙 완결")</f>
        <v>다음 편: 즐겨 내는 자</v>
      </c>
      <c r="X712" s="23" t="s">
        <v>130</v>
      </c>
      <c r="Y712" s="23" t="s">
        <v>130</v>
      </c>
      <c r="Z712" s="23" t="s">
        <v>130</v>
      </c>
      <c r="AA712" s="23" t="s">
        <v>130</v>
      </c>
      <c r="AB712" s="24"/>
      <c r="AC712" s="23" t="str">
        <f aca="false">D712&amp;"#"&amp;E712</f>
        <v>신약#200</v>
      </c>
      <c r="AD712" s="23" t="n">
        <f aca="false">COUNTIFS($C$2:C712,C712,$D$2:D712,D712)</f>
        <v>96</v>
      </c>
    </row>
    <row r="713" customFormat="false" ht="26.85" hidden="false" customHeight="false" outlineLevel="0" collapsed="false">
      <c r="A713" s="23" t="n">
        <v>712</v>
      </c>
      <c r="B713" s="30" t="s">
        <v>6314</v>
      </c>
      <c r="C713" s="23" t="n">
        <v>2</v>
      </c>
      <c r="D713" s="23" t="s">
        <v>4656</v>
      </c>
      <c r="E713" s="23" t="n">
        <f aca="false">IF(C713=1,COUNTIFS($C$2:C713,1,$D$2:D713,D713),COUNTIFS($C$2:$C$799,1,$D$2:$D$799,D713)+COUNTIFS($C$2:C713,2,$D$2:D713,D713))</f>
        <v>201</v>
      </c>
      <c r="F713" s="23" t="str">
        <f aca="false">D713&amp;" #"&amp;TEXT(E713,"000")</f>
        <v>신약 #201</v>
      </c>
      <c r="G713" s="30" t="s">
        <v>6283</v>
      </c>
      <c r="H713" s="30" t="s">
        <v>6284</v>
      </c>
      <c r="I713" s="23" t="s">
        <v>6285</v>
      </c>
      <c r="J713" s="24" t="s">
        <v>6315</v>
      </c>
      <c r="K713" s="23" t="s">
        <v>1085</v>
      </c>
      <c r="L713" s="24" t="s">
        <v>6316</v>
      </c>
      <c r="M713" s="24" t="s">
        <v>6317</v>
      </c>
      <c r="N713" s="23" t="s">
        <v>6318</v>
      </c>
      <c r="O713" s="24" t="s">
        <v>6319</v>
      </c>
      <c r="P713" s="24" t="s">
        <v>6320</v>
      </c>
      <c r="Q713" s="24" t="s">
        <v>6321</v>
      </c>
      <c r="R713" s="25" t="s">
        <v>6322</v>
      </c>
      <c r="S713" s="24" t="s">
        <v>6292</v>
      </c>
      <c r="T713" s="24" t="str">
        <f aca="false">"["&amp;안내!$C$5&amp;" "&amp;F713&amp;"] "&amp;L713&amp;" | "&amp;J713</f>
        <v>[1분 성경 신약 #201] 즐겨 내는 자 | 고후 8:1-9:15</v>
      </c>
      <c r="U713" s="26" t="n">
        <f aca="false">IF(D713="구약",IF(C713=1,안내!$C$9,안내!$C$10)+AD713-1,IF(C713=1,안내!$C$9,안내!$C$10)+7*INT((AD713-1)/4)+CHOOSE(MOD(AD713-1,4)+1,0,2,4,5))</f>
        <v>46748</v>
      </c>
      <c r="V713" s="23" t="str">
        <f aca="false">CHOOSE(WEEKDAY(U713,2),"월","화","수","목","금","토","일")</f>
        <v>월</v>
      </c>
      <c r="W713" s="24" t="str">
        <f aca="false">IFERROR(IF(INDEX($C$2:$C$799,MATCH(D713&amp;"#"&amp;(E713+1),$AC$2:$AC$799,0))=C713,"다음 편: ","시즌1 완결 · 시즌2 첫 편: ")&amp;INDEX($L$2:$L$799,MATCH(D713&amp;"#"&amp;(E713+1),$AC$2:$AC$799,0)),"신약 트랙 완결")</f>
        <v>다음 편: 내 은혜가 네게 족하도다</v>
      </c>
      <c r="X713" s="23" t="s">
        <v>130</v>
      </c>
      <c r="Y713" s="23" t="s">
        <v>130</v>
      </c>
      <c r="Z713" s="23" t="s">
        <v>130</v>
      </c>
      <c r="AA713" s="23" t="s">
        <v>130</v>
      </c>
      <c r="AB713" s="24"/>
      <c r="AC713" s="23" t="str">
        <f aca="false">D713&amp;"#"&amp;E713</f>
        <v>신약#201</v>
      </c>
      <c r="AD713" s="23" t="n">
        <f aca="false">COUNTIFS($C$2:C713,C713,$D$2:D713,D713)</f>
        <v>97</v>
      </c>
    </row>
    <row r="714" customFormat="false" ht="26.85" hidden="false" customHeight="false" outlineLevel="0" collapsed="false">
      <c r="A714" s="23" t="n">
        <v>713</v>
      </c>
      <c r="B714" s="30" t="s">
        <v>6323</v>
      </c>
      <c r="C714" s="23" t="n">
        <v>2</v>
      </c>
      <c r="D714" s="23" t="s">
        <v>4656</v>
      </c>
      <c r="E714" s="23" t="n">
        <f aca="false">IF(C714=1,COUNTIFS($C$2:C714,1,$D$2:D714,D714),COUNTIFS($C$2:$C$799,1,$D$2:$D$799,D714)+COUNTIFS($C$2:C714,2,$D$2:D714,D714))</f>
        <v>202</v>
      </c>
      <c r="F714" s="23" t="str">
        <f aca="false">D714&amp;" #"&amp;TEXT(E714,"000")</f>
        <v>신약 #202</v>
      </c>
      <c r="G714" s="30" t="s">
        <v>6283</v>
      </c>
      <c r="H714" s="30" t="s">
        <v>6284</v>
      </c>
      <c r="I714" s="23" t="s">
        <v>6285</v>
      </c>
      <c r="J714" s="24" t="s">
        <v>6324</v>
      </c>
      <c r="K714" s="23" t="s">
        <v>1085</v>
      </c>
      <c r="L714" s="24" t="s">
        <v>6325</v>
      </c>
      <c r="M714" s="24" t="s">
        <v>6326</v>
      </c>
      <c r="N714" s="23" t="s">
        <v>6327</v>
      </c>
      <c r="O714" s="24" t="s">
        <v>6328</v>
      </c>
      <c r="P714" s="24" t="s">
        <v>6096</v>
      </c>
      <c r="Q714" s="24" t="s">
        <v>6329</v>
      </c>
      <c r="R714" s="24"/>
      <c r="S714" s="24" t="s">
        <v>6292</v>
      </c>
      <c r="T714" s="24" t="str">
        <f aca="false">"["&amp;안내!$C$5&amp;" "&amp;F714&amp;"] "&amp;L714&amp;" | "&amp;J714</f>
        <v>[1분 성경 신약 #202] 내 은혜가 네게 족하도다 | 고후 10:1-13:14</v>
      </c>
      <c r="U714" s="26" t="n">
        <f aca="false">IF(D714="구약",IF(C714=1,안내!$C$9,안내!$C$10)+AD714-1,IF(C714=1,안내!$C$9,안내!$C$10)+7*INT((AD714-1)/4)+CHOOSE(MOD(AD714-1,4)+1,0,2,4,5))</f>
        <v>46750</v>
      </c>
      <c r="V714" s="23" t="str">
        <f aca="false">CHOOSE(WEEKDAY(U714,2),"월","화","수","목","금","토","일")</f>
        <v>수</v>
      </c>
      <c r="W714" s="24" t="str">
        <f aca="false">IFERROR(IF(INDEX($C$2:$C$799,MATCH(D714&amp;"#"&amp;(E714+1),$AC$2:$AC$799,0))=C714,"다음 편: ","시즌1 완결 · 시즌2 첫 편: ")&amp;INDEX($L$2:$L$799,MATCH(D714&amp;"#"&amp;(E714+1),$AC$2:$AC$799,0)),"신약 트랙 완결")</f>
        <v>다음 편: 다른 복음은 없다</v>
      </c>
      <c r="X714" s="23" t="s">
        <v>130</v>
      </c>
      <c r="Y714" s="23" t="s">
        <v>130</v>
      </c>
      <c r="Z714" s="23" t="s">
        <v>130</v>
      </c>
      <c r="AA714" s="23" t="s">
        <v>130</v>
      </c>
      <c r="AB714" s="24"/>
      <c r="AC714" s="23" t="str">
        <f aca="false">D714&amp;"#"&amp;E714</f>
        <v>신약#202</v>
      </c>
      <c r="AD714" s="23" t="n">
        <f aca="false">COUNTIFS($C$2:C714,C714,$D$2:D714,D714)</f>
        <v>98</v>
      </c>
    </row>
    <row r="715" customFormat="false" ht="25.35" hidden="false" customHeight="false" outlineLevel="0" collapsed="false">
      <c r="A715" s="23" t="n">
        <v>714</v>
      </c>
      <c r="B715" s="30" t="s">
        <v>6330</v>
      </c>
      <c r="C715" s="23" t="n">
        <v>2</v>
      </c>
      <c r="D715" s="23" t="s">
        <v>4656</v>
      </c>
      <c r="E715" s="23" t="n">
        <f aca="false">IF(C715=1,COUNTIFS($C$2:C715,1,$D$2:D715,D715),COUNTIFS($C$2:$C$799,1,$D$2:$D$799,D715)+COUNTIFS($C$2:C715,2,$D$2:D715,D715))</f>
        <v>203</v>
      </c>
      <c r="F715" s="23" t="str">
        <f aca="false">D715&amp;" #"&amp;TEXT(E715,"000")</f>
        <v>신약 #203</v>
      </c>
      <c r="G715" s="30" t="s">
        <v>6283</v>
      </c>
      <c r="H715" s="30" t="s">
        <v>6284</v>
      </c>
      <c r="I715" s="23" t="s">
        <v>6331</v>
      </c>
      <c r="J715" s="24" t="s">
        <v>6332</v>
      </c>
      <c r="K715" s="23" t="s">
        <v>1085</v>
      </c>
      <c r="L715" s="24" t="s">
        <v>6333</v>
      </c>
      <c r="M715" s="24" t="s">
        <v>6334</v>
      </c>
      <c r="N715" s="23" t="s">
        <v>6335</v>
      </c>
      <c r="O715" s="24" t="s">
        <v>6336</v>
      </c>
      <c r="P715" s="24" t="s">
        <v>6337</v>
      </c>
      <c r="Q715" s="24" t="s">
        <v>6338</v>
      </c>
      <c r="R715" s="27" t="s">
        <v>6339</v>
      </c>
      <c r="S715" s="24" t="s">
        <v>6292</v>
      </c>
      <c r="T715" s="24" t="str">
        <f aca="false">"["&amp;안내!$C$5&amp;" "&amp;F715&amp;"] "&amp;L715&amp;" | "&amp;J715</f>
        <v>[1분 성경 신약 #203] 다른 복음은 없다 | 갈 1:1-2:21</v>
      </c>
      <c r="U715" s="26" t="n">
        <f aca="false">IF(D715="구약",IF(C715=1,안내!$C$9,안내!$C$10)+AD715-1,IF(C715=1,안내!$C$9,안내!$C$10)+7*INT((AD715-1)/4)+CHOOSE(MOD(AD715-1,4)+1,0,2,4,5))</f>
        <v>46752</v>
      </c>
      <c r="V715" s="23" t="str">
        <f aca="false">CHOOSE(WEEKDAY(U715,2),"월","화","수","목","금","토","일")</f>
        <v>금</v>
      </c>
      <c r="W715" s="24" t="str">
        <f aca="false">IFERROR(IF(INDEX($C$2:$C$799,MATCH(D715&amp;"#"&amp;(E715+1),$AC$2:$AC$799,0))=C715,"다음 편: ","시즌1 완결 · 시즌2 첫 편: ")&amp;INDEX($L$2:$L$799,MATCH(D715&amp;"#"&amp;(E715+1),$AC$2:$AC$799,0)),"신약 트랙 완결")</f>
        <v>다음 편: 율법의 저주에서</v>
      </c>
      <c r="X715" s="23" t="s">
        <v>130</v>
      </c>
      <c r="Y715" s="23" t="s">
        <v>130</v>
      </c>
      <c r="Z715" s="23" t="s">
        <v>130</v>
      </c>
      <c r="AA715" s="23" t="s">
        <v>130</v>
      </c>
      <c r="AB715" s="24"/>
      <c r="AC715" s="23" t="str">
        <f aca="false">D715&amp;"#"&amp;E715</f>
        <v>신약#203</v>
      </c>
      <c r="AD715" s="23" t="n">
        <f aca="false">COUNTIFS($C$2:C715,C715,$D$2:D715,D715)</f>
        <v>99</v>
      </c>
    </row>
    <row r="716" customFormat="false" ht="26.85" hidden="false" customHeight="false" outlineLevel="0" collapsed="false">
      <c r="A716" s="23" t="n">
        <v>715</v>
      </c>
      <c r="B716" s="30" t="s">
        <v>6340</v>
      </c>
      <c r="C716" s="23" t="n">
        <v>2</v>
      </c>
      <c r="D716" s="23" t="s">
        <v>4656</v>
      </c>
      <c r="E716" s="23" t="n">
        <f aca="false">IF(C716=1,COUNTIFS($C$2:C716,1,$D$2:D716,D716),COUNTIFS($C$2:$C$799,1,$D$2:$D$799,D716)+COUNTIFS($C$2:C716,2,$D$2:D716,D716))</f>
        <v>204</v>
      </c>
      <c r="F716" s="23" t="str">
        <f aca="false">D716&amp;" #"&amp;TEXT(E716,"000")</f>
        <v>신약 #204</v>
      </c>
      <c r="G716" s="30" t="s">
        <v>6283</v>
      </c>
      <c r="H716" s="30" t="s">
        <v>6284</v>
      </c>
      <c r="I716" s="23" t="s">
        <v>6331</v>
      </c>
      <c r="J716" s="24" t="s">
        <v>6341</v>
      </c>
      <c r="K716" s="23" t="s">
        <v>1085</v>
      </c>
      <c r="L716" s="24" t="s">
        <v>6342</v>
      </c>
      <c r="M716" s="24" t="s">
        <v>6343</v>
      </c>
      <c r="N716" s="23" t="s">
        <v>6344</v>
      </c>
      <c r="O716" s="24" t="s">
        <v>6345</v>
      </c>
      <c r="P716" s="24" t="s">
        <v>6096</v>
      </c>
      <c r="Q716" s="24" t="s">
        <v>6346</v>
      </c>
      <c r="R716" s="25" t="s">
        <v>6347</v>
      </c>
      <c r="S716" s="24" t="s">
        <v>6292</v>
      </c>
      <c r="T716" s="24" t="str">
        <f aca="false">"["&amp;안내!$C$5&amp;" "&amp;F716&amp;"] "&amp;L716&amp;" | "&amp;J716</f>
        <v>[1분 성경 신약 #204] 율법의 저주에서 | 갈 3:1-4:31</v>
      </c>
      <c r="U716" s="26" t="n">
        <f aca="false">IF(D716="구약",IF(C716=1,안내!$C$9,안내!$C$10)+AD716-1,IF(C716=1,안내!$C$9,안내!$C$10)+7*INT((AD716-1)/4)+CHOOSE(MOD(AD716-1,4)+1,0,2,4,5))</f>
        <v>46753</v>
      </c>
      <c r="V716" s="23" t="str">
        <f aca="false">CHOOSE(WEEKDAY(U716,2),"월","화","수","목","금","토","일")</f>
        <v>토</v>
      </c>
      <c r="W716" s="24" t="str">
        <f aca="false">IFERROR(IF(INDEX($C$2:$C$799,MATCH(D716&amp;"#"&amp;(E716+1),$AC$2:$AC$799,0))=C716,"다음 편: ","시즌1 완결 · 시즌2 첫 편: ")&amp;INDEX($L$2:$L$799,MATCH(D716&amp;"#"&amp;(E716+1),$AC$2:$AC$799,0)),"신약 트랙 완결")</f>
        <v>다음 편: 자유를 주셨으니</v>
      </c>
      <c r="X716" s="23" t="s">
        <v>130</v>
      </c>
      <c r="Y716" s="23" t="s">
        <v>130</v>
      </c>
      <c r="Z716" s="23" t="s">
        <v>130</v>
      </c>
      <c r="AA716" s="23" t="s">
        <v>130</v>
      </c>
      <c r="AB716" s="24"/>
      <c r="AC716" s="23" t="str">
        <f aca="false">D716&amp;"#"&amp;E716</f>
        <v>신약#204</v>
      </c>
      <c r="AD716" s="23" t="n">
        <f aca="false">COUNTIFS($C$2:C716,C716,$D$2:D716,D716)</f>
        <v>100</v>
      </c>
    </row>
    <row r="717" customFormat="false" ht="26.85" hidden="false" customHeight="false" outlineLevel="0" collapsed="false">
      <c r="A717" s="23" t="n">
        <v>716</v>
      </c>
      <c r="B717" s="30" t="s">
        <v>6348</v>
      </c>
      <c r="C717" s="23" t="n">
        <v>2</v>
      </c>
      <c r="D717" s="23" t="s">
        <v>4656</v>
      </c>
      <c r="E717" s="23" t="n">
        <f aca="false">IF(C717=1,COUNTIFS($C$2:C717,1,$D$2:D717,D717),COUNTIFS($C$2:$C$799,1,$D$2:$D$799,D717)+COUNTIFS($C$2:C717,2,$D$2:D717,D717))</f>
        <v>205</v>
      </c>
      <c r="F717" s="23" t="str">
        <f aca="false">D717&amp;" #"&amp;TEXT(E717,"000")</f>
        <v>신약 #205</v>
      </c>
      <c r="G717" s="30" t="s">
        <v>6283</v>
      </c>
      <c r="H717" s="30" t="s">
        <v>6284</v>
      </c>
      <c r="I717" s="23" t="s">
        <v>6331</v>
      </c>
      <c r="J717" s="24" t="s">
        <v>6349</v>
      </c>
      <c r="K717" s="23" t="s">
        <v>1085</v>
      </c>
      <c r="L717" s="24" t="s">
        <v>6350</v>
      </c>
      <c r="M717" s="24" t="s">
        <v>6351</v>
      </c>
      <c r="N717" s="23" t="s">
        <v>6352</v>
      </c>
      <c r="O717" s="24" t="s">
        <v>6353</v>
      </c>
      <c r="P717" s="24" t="s">
        <v>6096</v>
      </c>
      <c r="Q717" s="24" t="s">
        <v>6354</v>
      </c>
      <c r="R717" s="24"/>
      <c r="S717" s="24" t="s">
        <v>6292</v>
      </c>
      <c r="T717" s="24" t="str">
        <f aca="false">"["&amp;안내!$C$5&amp;" "&amp;F717&amp;"] "&amp;L717&amp;" | "&amp;J717</f>
        <v>[1분 성경 신약 #205] 자유를 주셨으니 | 갈 5:1-15</v>
      </c>
      <c r="U717" s="26" t="n">
        <f aca="false">IF(D717="구약",IF(C717=1,안내!$C$9,안내!$C$10)+AD717-1,IF(C717=1,안내!$C$9,안내!$C$10)+7*INT((AD717-1)/4)+CHOOSE(MOD(AD717-1,4)+1,0,2,4,5))</f>
        <v>46755</v>
      </c>
      <c r="V717" s="23" t="str">
        <f aca="false">CHOOSE(WEEKDAY(U717,2),"월","화","수","목","금","토","일")</f>
        <v>월</v>
      </c>
      <c r="W717" s="24" t="str">
        <f aca="false">IFERROR(IF(INDEX($C$2:$C$799,MATCH(D717&amp;"#"&amp;(E717+1),$AC$2:$AC$799,0))=C717,"다음 편: ","시즌1 완결 · 시즌2 첫 편: ")&amp;INDEX($L$2:$L$799,MATCH(D717&amp;"#"&amp;(E717+1),$AC$2:$AC$799,0)),"신약 트랙 완결")</f>
        <v>다음 편: 짐을 서로 지라</v>
      </c>
      <c r="X717" s="23" t="s">
        <v>130</v>
      </c>
      <c r="Y717" s="23" t="s">
        <v>130</v>
      </c>
      <c r="Z717" s="23" t="s">
        <v>130</v>
      </c>
      <c r="AA717" s="23" t="s">
        <v>130</v>
      </c>
      <c r="AB717" s="24"/>
      <c r="AC717" s="23" t="str">
        <f aca="false">D717&amp;"#"&amp;E717</f>
        <v>신약#205</v>
      </c>
      <c r="AD717" s="23" t="n">
        <f aca="false">COUNTIFS($C$2:C717,C717,$D$2:D717,D717)</f>
        <v>101</v>
      </c>
    </row>
    <row r="718" customFormat="false" ht="52.2" hidden="false" customHeight="false" outlineLevel="0" collapsed="false">
      <c r="A718" s="23" t="n">
        <v>717</v>
      </c>
      <c r="B718" s="30" t="s">
        <v>6355</v>
      </c>
      <c r="C718" s="20" t="n">
        <v>1</v>
      </c>
      <c r="D718" s="20" t="s">
        <v>4656</v>
      </c>
      <c r="E718" s="20" t="n">
        <f aca="false">IF(C718=1,COUNTIFS($C$2:C718,1,$D$2:D718,D718),COUNTIFS($C$2:$C$799,1,$D$2:$D$799,D718)+COUNTIFS($C$2:C718,2,$D$2:D718,D718))</f>
        <v>95</v>
      </c>
      <c r="F718" s="20" t="str">
        <f aca="false">D718&amp;" #"&amp;TEXT(E718,"000")</f>
        <v>신약 #095</v>
      </c>
      <c r="G718" s="30" t="s">
        <v>6283</v>
      </c>
      <c r="H718" s="30" t="s">
        <v>6107</v>
      </c>
      <c r="I718" s="23" t="s">
        <v>6331</v>
      </c>
      <c r="J718" s="24" t="s">
        <v>6356</v>
      </c>
      <c r="K718" s="23" t="s">
        <v>1085</v>
      </c>
      <c r="L718" s="24" t="s">
        <v>6357</v>
      </c>
      <c r="M718" s="24" t="s">
        <v>6358</v>
      </c>
      <c r="N718" s="23" t="s">
        <v>6359</v>
      </c>
      <c r="O718" s="24" t="s">
        <v>6360</v>
      </c>
      <c r="P718" s="24" t="s">
        <v>6096</v>
      </c>
      <c r="Q718" s="24" t="s">
        <v>6361</v>
      </c>
      <c r="R718" s="24"/>
      <c r="S718" s="28" t="s">
        <v>6362</v>
      </c>
      <c r="T718" s="24" t="str">
        <f aca="false">"["&amp;안내!$C$5&amp;" "&amp;F718&amp;"] "&amp;L718&amp;" | "&amp;J718</f>
        <v>[1분 성경 신약 #095] 성령의 열매 | 갈 5:16-26</v>
      </c>
      <c r="U718" s="26" t="n">
        <f aca="false">IF(D718="구약",IF(C718=1,안내!$C$9,안내!$C$10)+AD718-1,IF(C718=1,안내!$C$9,안내!$C$10)+7*INT((AD718-1)/4)+CHOOSE(MOD(AD718-1,4)+1,0,2,4,5))</f>
        <v>46556</v>
      </c>
      <c r="V718" s="23" t="str">
        <f aca="false">CHOOSE(WEEKDAY(U718,2),"월","화","수","목","금","토","일")</f>
        <v>금</v>
      </c>
      <c r="W718" s="24" t="str">
        <f aca="false">IFERROR(IF(INDEX($C$2:$C$799,MATCH(D718&amp;"#"&amp;(E718+1),$AC$2:$AC$799,0))=C718,"다음 편: ","시즌1 완결 · 시즌2 첫 편: ")&amp;INDEX($L$2:$L$799,MATCH(D718&amp;"#"&amp;(E718+1),$AC$2:$AC$799,0)),"신약 트랙 완결")</f>
        <v>다음 편: 은혜로 구원받았다</v>
      </c>
      <c r="X718" s="23" t="s">
        <v>130</v>
      </c>
      <c r="Y718" s="23" t="s">
        <v>130</v>
      </c>
      <c r="Z718" s="23" t="s">
        <v>130</v>
      </c>
      <c r="AA718" s="23" t="s">
        <v>130</v>
      </c>
      <c r="AB718" s="24"/>
      <c r="AC718" s="23" t="str">
        <f aca="false">D718&amp;"#"&amp;E718</f>
        <v>신약#95</v>
      </c>
      <c r="AD718" s="23" t="n">
        <f aca="false">COUNTIFS($C$2:C718,C718,$D$2:D718,D718)</f>
        <v>95</v>
      </c>
    </row>
    <row r="719" customFormat="false" ht="26.85" hidden="false" customHeight="false" outlineLevel="0" collapsed="false">
      <c r="A719" s="23" t="n">
        <v>718</v>
      </c>
      <c r="B719" s="30" t="s">
        <v>6363</v>
      </c>
      <c r="C719" s="23" t="n">
        <v>2</v>
      </c>
      <c r="D719" s="23" t="s">
        <v>4656</v>
      </c>
      <c r="E719" s="23" t="n">
        <f aca="false">IF(C719=1,COUNTIFS($C$2:C719,1,$D$2:D719,D719),COUNTIFS($C$2:$C$799,1,$D$2:$D$799,D719)+COUNTIFS($C$2:C719,2,$D$2:D719,D719))</f>
        <v>206</v>
      </c>
      <c r="F719" s="23" t="str">
        <f aca="false">D719&amp;" #"&amp;TEXT(E719,"000")</f>
        <v>신약 #206</v>
      </c>
      <c r="G719" s="30" t="s">
        <v>6283</v>
      </c>
      <c r="H719" s="30" t="s">
        <v>6284</v>
      </c>
      <c r="I719" s="23" t="s">
        <v>6331</v>
      </c>
      <c r="J719" s="24" t="s">
        <v>6364</v>
      </c>
      <c r="K719" s="23" t="s">
        <v>1085</v>
      </c>
      <c r="L719" s="24" t="s">
        <v>6365</v>
      </c>
      <c r="M719" s="24" t="s">
        <v>6366</v>
      </c>
      <c r="N719" s="23" t="s">
        <v>6367</v>
      </c>
      <c r="O719" s="24" t="s">
        <v>6368</v>
      </c>
      <c r="P719" s="24" t="s">
        <v>6096</v>
      </c>
      <c r="Q719" s="24" t="s">
        <v>6369</v>
      </c>
      <c r="R719" s="24"/>
      <c r="S719" s="24" t="s">
        <v>6370</v>
      </c>
      <c r="T719" s="24" t="str">
        <f aca="false">"["&amp;안내!$C$5&amp;" "&amp;F719&amp;"] "&amp;L719&amp;" | "&amp;J719</f>
        <v>[1분 성경 신약 #206] 짐을 서로 지라 | 갈 6:1-18</v>
      </c>
      <c r="U719" s="26" t="n">
        <f aca="false">IF(D719="구약",IF(C719=1,안내!$C$9,안내!$C$10)+AD719-1,IF(C719=1,안내!$C$9,안내!$C$10)+7*INT((AD719-1)/4)+CHOOSE(MOD(AD719-1,4)+1,0,2,4,5))</f>
        <v>46757</v>
      </c>
      <c r="V719" s="23" t="str">
        <f aca="false">CHOOSE(WEEKDAY(U719,2),"월","화","수","목","금","토","일")</f>
        <v>수</v>
      </c>
      <c r="W719" s="24" t="str">
        <f aca="false">IFERROR(IF(INDEX($C$2:$C$799,MATCH(D719&amp;"#"&amp;(E719+1),$AC$2:$AC$799,0))=C719,"다음 편: ","시즌1 완결 · 시즌2 첫 편: ")&amp;INDEX($L$2:$L$799,MATCH(D719&amp;"#"&amp;(E719+1),$AC$2:$AC$799,0)),"신약 트랙 완결")</f>
        <v>다음 편: 창세 전에</v>
      </c>
      <c r="X719" s="23" t="s">
        <v>130</v>
      </c>
      <c r="Y719" s="23" t="s">
        <v>130</v>
      </c>
      <c r="Z719" s="23" t="s">
        <v>130</v>
      </c>
      <c r="AA719" s="23" t="s">
        <v>130</v>
      </c>
      <c r="AB719" s="24"/>
      <c r="AC719" s="23" t="str">
        <f aca="false">D719&amp;"#"&amp;E719</f>
        <v>신약#206</v>
      </c>
      <c r="AD719" s="23" t="n">
        <f aca="false">COUNTIFS($C$2:C719,C719,$D$2:D719,D719)</f>
        <v>102</v>
      </c>
    </row>
    <row r="720" customFormat="false" ht="26.85" hidden="false" customHeight="false" outlineLevel="0" collapsed="false">
      <c r="A720" s="23" t="n">
        <v>719</v>
      </c>
      <c r="B720" s="30" t="s">
        <v>6371</v>
      </c>
      <c r="C720" s="23" t="n">
        <v>2</v>
      </c>
      <c r="D720" s="23" t="s">
        <v>4656</v>
      </c>
      <c r="E720" s="23" t="n">
        <f aca="false">IF(C720=1,COUNTIFS($C$2:C720,1,$D$2:D720,D720),COUNTIFS($C$2:$C$799,1,$D$2:$D$799,D720)+COUNTIFS($C$2:C720,2,$D$2:D720,D720))</f>
        <v>207</v>
      </c>
      <c r="F720" s="23" t="str">
        <f aca="false">D720&amp;" #"&amp;TEXT(E720,"000")</f>
        <v>신약 #207</v>
      </c>
      <c r="G720" s="30" t="s">
        <v>6372</v>
      </c>
      <c r="H720" s="30" t="s">
        <v>6373</v>
      </c>
      <c r="I720" s="23" t="s">
        <v>6374</v>
      </c>
      <c r="J720" s="24" t="s">
        <v>6375</v>
      </c>
      <c r="K720" s="23" t="s">
        <v>1085</v>
      </c>
      <c r="L720" s="24" t="s">
        <v>6376</v>
      </c>
      <c r="M720" s="24" t="s">
        <v>6377</v>
      </c>
      <c r="N720" s="23" t="s">
        <v>6378</v>
      </c>
      <c r="O720" s="24" t="s">
        <v>6379</v>
      </c>
      <c r="P720" s="24" t="s">
        <v>6096</v>
      </c>
      <c r="Q720" s="24" t="s">
        <v>6380</v>
      </c>
      <c r="R720" s="25" t="s">
        <v>6381</v>
      </c>
      <c r="S720" s="24" t="s">
        <v>6370</v>
      </c>
      <c r="T720" s="24" t="str">
        <f aca="false">"["&amp;안내!$C$5&amp;" "&amp;F720&amp;"] "&amp;L720&amp;" | "&amp;J720</f>
        <v>[1분 성경 신약 #207] 창세 전에 | 엡 1:1-23</v>
      </c>
      <c r="U720" s="26" t="n">
        <f aca="false">IF(D720="구약",IF(C720=1,안내!$C$9,안내!$C$10)+AD720-1,IF(C720=1,안내!$C$9,안내!$C$10)+7*INT((AD720-1)/4)+CHOOSE(MOD(AD720-1,4)+1,0,2,4,5))</f>
        <v>46759</v>
      </c>
      <c r="V720" s="23" t="str">
        <f aca="false">CHOOSE(WEEKDAY(U720,2),"월","화","수","목","금","토","일")</f>
        <v>금</v>
      </c>
      <c r="W720" s="24" t="str">
        <f aca="false">IFERROR(IF(INDEX($C$2:$C$799,MATCH(D720&amp;"#"&amp;(E720+1),$AC$2:$AC$799,0))=C720,"다음 편: ","시즌1 완결 · 시즌2 첫 편: ")&amp;INDEX($L$2:$L$799,MATCH(D720&amp;"#"&amp;(E720+1),$AC$2:$AC$799,0)),"신약 트랙 완결")</f>
        <v>다음 편: 막힌 담을 허시고</v>
      </c>
      <c r="X720" s="23" t="s">
        <v>130</v>
      </c>
      <c r="Y720" s="23" t="s">
        <v>130</v>
      </c>
      <c r="Z720" s="23" t="s">
        <v>130</v>
      </c>
      <c r="AA720" s="23" t="s">
        <v>130</v>
      </c>
      <c r="AB720" s="24"/>
      <c r="AC720" s="23" t="str">
        <f aca="false">D720&amp;"#"&amp;E720</f>
        <v>신약#207</v>
      </c>
      <c r="AD720" s="23" t="n">
        <f aca="false">COUNTIFS($C$2:C720,C720,$D$2:D720,D720)</f>
        <v>103</v>
      </c>
    </row>
    <row r="721" customFormat="false" ht="39.55" hidden="false" customHeight="false" outlineLevel="0" collapsed="false">
      <c r="A721" s="23" t="n">
        <v>720</v>
      </c>
      <c r="B721" s="30" t="s">
        <v>6382</v>
      </c>
      <c r="C721" s="20" t="n">
        <v>1</v>
      </c>
      <c r="D721" s="20" t="s">
        <v>4656</v>
      </c>
      <c r="E721" s="20" t="n">
        <f aca="false">IF(C721=1,COUNTIFS($C$2:C721,1,$D$2:D721,D721),COUNTIFS($C$2:$C$799,1,$D$2:$D$799,D721)+COUNTIFS($C$2:C721,2,$D$2:D721,D721))</f>
        <v>96</v>
      </c>
      <c r="F721" s="20" t="str">
        <f aca="false">D721&amp;" #"&amp;TEXT(E721,"000")</f>
        <v>신약 #096</v>
      </c>
      <c r="G721" s="30" t="s">
        <v>6372</v>
      </c>
      <c r="H721" s="30" t="s">
        <v>6107</v>
      </c>
      <c r="I721" s="23" t="s">
        <v>6374</v>
      </c>
      <c r="J721" s="24" t="s">
        <v>6383</v>
      </c>
      <c r="K721" s="23" t="s">
        <v>1085</v>
      </c>
      <c r="L721" s="24" t="s">
        <v>6384</v>
      </c>
      <c r="M721" s="24" t="s">
        <v>6385</v>
      </c>
      <c r="N721" s="23" t="s">
        <v>6386</v>
      </c>
      <c r="O721" s="24" t="s">
        <v>6387</v>
      </c>
      <c r="P721" s="24" t="s">
        <v>6096</v>
      </c>
      <c r="Q721" s="24" t="s">
        <v>6388</v>
      </c>
      <c r="R721" s="25" t="s">
        <v>6389</v>
      </c>
      <c r="S721" s="28" t="s">
        <v>6390</v>
      </c>
      <c r="T721" s="24" t="str">
        <f aca="false">"["&amp;안내!$C$5&amp;" "&amp;F721&amp;"] "&amp;L721&amp;" | "&amp;J721</f>
        <v>[1분 성경 신약 #096] 은혜로 구원받았다 | 엡 2:1-10</v>
      </c>
      <c r="U721" s="26" t="n">
        <f aca="false">IF(D721="구약",IF(C721=1,안내!$C$9,안내!$C$10)+AD721-1,IF(C721=1,안내!$C$9,안내!$C$10)+7*INT((AD721-1)/4)+CHOOSE(MOD(AD721-1,4)+1,0,2,4,5))</f>
        <v>46557</v>
      </c>
      <c r="V721" s="23" t="str">
        <f aca="false">CHOOSE(WEEKDAY(U721,2),"월","화","수","목","금","토","일")</f>
        <v>토</v>
      </c>
      <c r="W721" s="24" t="str">
        <f aca="false">IFERROR(IF(INDEX($C$2:$C$799,MATCH(D721&amp;"#"&amp;(E721+1),$AC$2:$AC$799,0))=C721,"다음 편: ","시즌1 완결 · 시즌2 첫 편: ")&amp;INDEX($L$2:$L$799,MATCH(D721&amp;"#"&amp;(E721+1),$AC$2:$AC$799,0)),"신약 트랙 완결")</f>
        <v>다음 편: 하나님의 전신 갑주</v>
      </c>
      <c r="X721" s="23" t="s">
        <v>130</v>
      </c>
      <c r="Y721" s="23" t="s">
        <v>130</v>
      </c>
      <c r="Z721" s="23" t="s">
        <v>130</v>
      </c>
      <c r="AA721" s="23" t="s">
        <v>130</v>
      </c>
      <c r="AB721" s="24"/>
      <c r="AC721" s="23" t="str">
        <f aca="false">D721&amp;"#"&amp;E721</f>
        <v>신약#96</v>
      </c>
      <c r="AD721" s="23" t="n">
        <f aca="false">COUNTIFS($C$2:C721,C721,$D$2:D721,D721)</f>
        <v>96</v>
      </c>
    </row>
    <row r="722" customFormat="false" ht="26.85" hidden="false" customHeight="false" outlineLevel="0" collapsed="false">
      <c r="A722" s="23" t="n">
        <v>721</v>
      </c>
      <c r="B722" s="30" t="s">
        <v>6391</v>
      </c>
      <c r="C722" s="23" t="n">
        <v>2</v>
      </c>
      <c r="D722" s="23" t="s">
        <v>4656</v>
      </c>
      <c r="E722" s="23" t="n">
        <f aca="false">IF(C722=1,COUNTIFS($C$2:C722,1,$D$2:D722,D722),COUNTIFS($C$2:$C$799,1,$D$2:$D$799,D722)+COUNTIFS($C$2:C722,2,$D$2:D722,D722))</f>
        <v>208</v>
      </c>
      <c r="F722" s="23" t="str">
        <f aca="false">D722&amp;" #"&amp;TEXT(E722,"000")</f>
        <v>신약 #208</v>
      </c>
      <c r="G722" s="30" t="s">
        <v>6372</v>
      </c>
      <c r="H722" s="30" t="s">
        <v>6373</v>
      </c>
      <c r="I722" s="23" t="s">
        <v>6374</v>
      </c>
      <c r="J722" s="24" t="s">
        <v>6392</v>
      </c>
      <c r="K722" s="23" t="s">
        <v>1085</v>
      </c>
      <c r="L722" s="24" t="s">
        <v>6393</v>
      </c>
      <c r="M722" s="24" t="s">
        <v>6394</v>
      </c>
      <c r="N722" s="23" t="s">
        <v>6395</v>
      </c>
      <c r="O722" s="24" t="s">
        <v>6396</v>
      </c>
      <c r="P722" s="24" t="s">
        <v>6096</v>
      </c>
      <c r="Q722" s="24" t="s">
        <v>6397</v>
      </c>
      <c r="R722" s="24"/>
      <c r="S722" s="24" t="s">
        <v>6398</v>
      </c>
      <c r="T722" s="24" t="str">
        <f aca="false">"["&amp;안내!$C$5&amp;" "&amp;F722&amp;"] "&amp;L722&amp;" | "&amp;J722</f>
        <v>[1분 성경 신약 #208] 막힌 담을 허시고 | 엡 2:11-3:21</v>
      </c>
      <c r="U722" s="26" t="n">
        <f aca="false">IF(D722="구약",IF(C722=1,안내!$C$9,안내!$C$10)+AD722-1,IF(C722=1,안내!$C$9,안내!$C$10)+7*INT((AD722-1)/4)+CHOOSE(MOD(AD722-1,4)+1,0,2,4,5))</f>
        <v>46760</v>
      </c>
      <c r="V722" s="23" t="str">
        <f aca="false">CHOOSE(WEEKDAY(U722,2),"월","화","수","목","금","토","일")</f>
        <v>토</v>
      </c>
      <c r="W722" s="24" t="str">
        <f aca="false">IFERROR(IF(INDEX($C$2:$C$799,MATCH(D722&amp;"#"&amp;(E722+1),$AC$2:$AC$799,0))=C722,"다음 편: ","시즌1 완결 · 시즌2 첫 편: ")&amp;INDEX($L$2:$L$799,MATCH(D722&amp;"#"&amp;(E722+1),$AC$2:$AC$799,0)),"신약 트랙 완결")</f>
        <v>다음 편: 하나 됨을 힘써 지키라</v>
      </c>
      <c r="X722" s="23" t="s">
        <v>130</v>
      </c>
      <c r="Y722" s="23" t="s">
        <v>130</v>
      </c>
      <c r="Z722" s="23" t="s">
        <v>130</v>
      </c>
      <c r="AA722" s="23" t="s">
        <v>130</v>
      </c>
      <c r="AB722" s="24"/>
      <c r="AC722" s="23" t="str">
        <f aca="false">D722&amp;"#"&amp;E722</f>
        <v>신약#208</v>
      </c>
      <c r="AD722" s="23" t="n">
        <f aca="false">COUNTIFS($C$2:C722,C722,$D$2:D722,D722)</f>
        <v>104</v>
      </c>
    </row>
    <row r="723" customFormat="false" ht="26.85" hidden="false" customHeight="false" outlineLevel="0" collapsed="false">
      <c r="A723" s="23" t="n">
        <v>722</v>
      </c>
      <c r="B723" s="30" t="s">
        <v>6399</v>
      </c>
      <c r="C723" s="23" t="n">
        <v>2</v>
      </c>
      <c r="D723" s="23" t="s">
        <v>4656</v>
      </c>
      <c r="E723" s="23" t="n">
        <f aca="false">IF(C723=1,COUNTIFS($C$2:C723,1,$D$2:D723,D723),COUNTIFS($C$2:$C$799,1,$D$2:$D$799,D723)+COUNTIFS($C$2:C723,2,$D$2:D723,D723))</f>
        <v>209</v>
      </c>
      <c r="F723" s="23" t="str">
        <f aca="false">D723&amp;" #"&amp;TEXT(E723,"000")</f>
        <v>신약 #209</v>
      </c>
      <c r="G723" s="30" t="s">
        <v>6372</v>
      </c>
      <c r="H723" s="30" t="s">
        <v>6373</v>
      </c>
      <c r="I723" s="23" t="s">
        <v>6374</v>
      </c>
      <c r="J723" s="24" t="s">
        <v>6400</v>
      </c>
      <c r="K723" s="23" t="s">
        <v>1085</v>
      </c>
      <c r="L723" s="24" t="s">
        <v>6401</v>
      </c>
      <c r="M723" s="24" t="s">
        <v>6402</v>
      </c>
      <c r="N723" s="23" t="s">
        <v>6403</v>
      </c>
      <c r="O723" s="24" t="s">
        <v>6404</v>
      </c>
      <c r="P723" s="24" t="s">
        <v>6096</v>
      </c>
      <c r="Q723" s="24" t="s">
        <v>6405</v>
      </c>
      <c r="R723" s="24"/>
      <c r="S723" s="24" t="s">
        <v>6398</v>
      </c>
      <c r="T723" s="24" t="str">
        <f aca="false">"["&amp;안내!$C$5&amp;" "&amp;F723&amp;"] "&amp;L723&amp;" | "&amp;J723</f>
        <v>[1분 성경 신약 #209] 하나 됨을 힘써 지키라 | 엡 4:1-32</v>
      </c>
      <c r="U723" s="26" t="n">
        <f aca="false">IF(D723="구약",IF(C723=1,안내!$C$9,안내!$C$10)+AD723-1,IF(C723=1,안내!$C$9,안내!$C$10)+7*INT((AD723-1)/4)+CHOOSE(MOD(AD723-1,4)+1,0,2,4,5))</f>
        <v>46762</v>
      </c>
      <c r="V723" s="23" t="str">
        <f aca="false">CHOOSE(WEEKDAY(U723,2),"월","화","수","목","금","토","일")</f>
        <v>월</v>
      </c>
      <c r="W723" s="24" t="str">
        <f aca="false">IFERROR(IF(INDEX($C$2:$C$799,MATCH(D723&amp;"#"&amp;(E723+1),$AC$2:$AC$799,0))=C723,"다음 편: ","시즌1 완결 · 시즌2 첫 편: ")&amp;INDEX($L$2:$L$799,MATCH(D723&amp;"#"&amp;(E723+1),$AC$2:$AC$799,0)),"신약 트랙 완결")</f>
        <v>다음 편: 빛의 자녀</v>
      </c>
      <c r="X723" s="23" t="s">
        <v>130</v>
      </c>
      <c r="Y723" s="23" t="s">
        <v>130</v>
      </c>
      <c r="Z723" s="23" t="s">
        <v>130</v>
      </c>
      <c r="AA723" s="23" t="s">
        <v>130</v>
      </c>
      <c r="AB723" s="24"/>
      <c r="AC723" s="23" t="str">
        <f aca="false">D723&amp;"#"&amp;E723</f>
        <v>신약#209</v>
      </c>
      <c r="AD723" s="23" t="n">
        <f aca="false">COUNTIFS($C$2:C723,C723,$D$2:D723,D723)</f>
        <v>105</v>
      </c>
    </row>
    <row r="724" customFormat="false" ht="26.85" hidden="false" customHeight="false" outlineLevel="0" collapsed="false">
      <c r="A724" s="23" t="n">
        <v>723</v>
      </c>
      <c r="B724" s="30" t="s">
        <v>6406</v>
      </c>
      <c r="C724" s="23" t="n">
        <v>2</v>
      </c>
      <c r="D724" s="23" t="s">
        <v>4656</v>
      </c>
      <c r="E724" s="23" t="n">
        <f aca="false">IF(C724=1,COUNTIFS($C$2:C724,1,$D$2:D724,D724),COUNTIFS($C$2:$C$799,1,$D$2:$D$799,D724)+COUNTIFS($C$2:C724,2,$D$2:D724,D724))</f>
        <v>210</v>
      </c>
      <c r="F724" s="23" t="str">
        <f aca="false">D724&amp;" #"&amp;TEXT(E724,"000")</f>
        <v>신약 #210</v>
      </c>
      <c r="G724" s="30" t="s">
        <v>6372</v>
      </c>
      <c r="H724" s="30" t="s">
        <v>6373</v>
      </c>
      <c r="I724" s="23" t="s">
        <v>6374</v>
      </c>
      <c r="J724" s="24" t="s">
        <v>6407</v>
      </c>
      <c r="K724" s="23" t="s">
        <v>1085</v>
      </c>
      <c r="L724" s="24" t="s">
        <v>6408</v>
      </c>
      <c r="M724" s="24" t="s">
        <v>6409</v>
      </c>
      <c r="N724" s="23" t="s">
        <v>6410</v>
      </c>
      <c r="O724" s="24" t="s">
        <v>6411</v>
      </c>
      <c r="P724" s="24" t="s">
        <v>6096</v>
      </c>
      <c r="Q724" s="24" t="s">
        <v>6412</v>
      </c>
      <c r="R724" s="27" t="s">
        <v>6413</v>
      </c>
      <c r="S724" s="24" t="s">
        <v>6398</v>
      </c>
      <c r="T724" s="24" t="str">
        <f aca="false">"["&amp;안내!$C$5&amp;" "&amp;F724&amp;"] "&amp;L724&amp;" | "&amp;J724</f>
        <v>[1분 성경 신약 #210] 빛의 자녀 | 엡 5:1-6:9</v>
      </c>
      <c r="U724" s="26" t="n">
        <f aca="false">IF(D724="구약",IF(C724=1,안내!$C$9,안내!$C$10)+AD724-1,IF(C724=1,안내!$C$9,안내!$C$10)+7*INT((AD724-1)/4)+CHOOSE(MOD(AD724-1,4)+1,0,2,4,5))</f>
        <v>46764</v>
      </c>
      <c r="V724" s="23" t="str">
        <f aca="false">CHOOSE(WEEKDAY(U724,2),"월","화","수","목","금","토","일")</f>
        <v>수</v>
      </c>
      <c r="W724" s="24" t="str">
        <f aca="false">IFERROR(IF(INDEX($C$2:$C$799,MATCH(D724&amp;"#"&amp;(E724+1),$AC$2:$AC$799,0))=C724,"다음 편: ","시즌1 완결 · 시즌2 첫 편: ")&amp;INDEX($L$2:$L$799,MATCH(D724&amp;"#"&amp;(E724+1),$AC$2:$AC$799,0)),"신약 트랙 완결")</f>
        <v>다음 편: 사는 것이 그리스도</v>
      </c>
      <c r="X724" s="23" t="s">
        <v>130</v>
      </c>
      <c r="Y724" s="23" t="s">
        <v>130</v>
      </c>
      <c r="Z724" s="23" t="s">
        <v>130</v>
      </c>
      <c r="AA724" s="23" t="s">
        <v>130</v>
      </c>
      <c r="AB724" s="24"/>
      <c r="AC724" s="23" t="str">
        <f aca="false">D724&amp;"#"&amp;E724</f>
        <v>신약#210</v>
      </c>
      <c r="AD724" s="23" t="n">
        <f aca="false">COUNTIFS($C$2:C724,C724,$D$2:D724,D724)</f>
        <v>106</v>
      </c>
    </row>
    <row r="725" customFormat="false" ht="39.55" hidden="false" customHeight="false" outlineLevel="0" collapsed="false">
      <c r="A725" s="23" t="n">
        <v>724</v>
      </c>
      <c r="B725" s="30" t="s">
        <v>6414</v>
      </c>
      <c r="C725" s="20" t="n">
        <v>1</v>
      </c>
      <c r="D725" s="20" t="s">
        <v>4656</v>
      </c>
      <c r="E725" s="20" t="n">
        <f aca="false">IF(C725=1,COUNTIFS($C$2:C725,1,$D$2:D725,D725),COUNTIFS($C$2:$C$799,1,$D$2:$D$799,D725)+COUNTIFS($C$2:C725,2,$D$2:D725,D725))</f>
        <v>97</v>
      </c>
      <c r="F725" s="20" t="str">
        <f aca="false">D725&amp;" #"&amp;TEXT(E725,"000")</f>
        <v>신약 #097</v>
      </c>
      <c r="G725" s="30" t="s">
        <v>6372</v>
      </c>
      <c r="H725" s="30" t="s">
        <v>6107</v>
      </c>
      <c r="I725" s="23" t="s">
        <v>6374</v>
      </c>
      <c r="J725" s="24" t="s">
        <v>6415</v>
      </c>
      <c r="K725" s="23" t="s">
        <v>1085</v>
      </c>
      <c r="L725" s="24" t="s">
        <v>6416</v>
      </c>
      <c r="M725" s="24" t="s">
        <v>6417</v>
      </c>
      <c r="N725" s="23" t="s">
        <v>6418</v>
      </c>
      <c r="O725" s="24" t="s">
        <v>6419</v>
      </c>
      <c r="P725" s="24" t="s">
        <v>6420</v>
      </c>
      <c r="Q725" s="24" t="s">
        <v>6421</v>
      </c>
      <c r="R725" s="25" t="s">
        <v>6422</v>
      </c>
      <c r="S725" s="28" t="s">
        <v>6423</v>
      </c>
      <c r="T725" s="24" t="str">
        <f aca="false">"["&amp;안내!$C$5&amp;" "&amp;F725&amp;"] "&amp;L725&amp;" | "&amp;J725</f>
        <v>[1분 성경 신약 #097] 하나님의 전신 갑주 | 엡 6:10-24</v>
      </c>
      <c r="U725" s="26" t="n">
        <f aca="false">IF(D725="구약",IF(C725=1,안내!$C$9,안내!$C$10)+AD725-1,IF(C725=1,안내!$C$9,안내!$C$10)+7*INT((AD725-1)/4)+CHOOSE(MOD(AD725-1,4)+1,0,2,4,5))</f>
        <v>46559</v>
      </c>
      <c r="V725" s="23" t="str">
        <f aca="false">CHOOSE(WEEKDAY(U725,2),"월","화","수","목","금","토","일")</f>
        <v>월</v>
      </c>
      <c r="W725" s="24" t="str">
        <f aca="false">IFERROR(IF(INDEX($C$2:$C$799,MATCH(D725&amp;"#"&amp;(E725+1),$AC$2:$AC$799,0))=C725,"다음 편: ","시즌1 완결 · 시즌2 첫 편: ")&amp;INDEX($L$2:$L$799,MATCH(D725&amp;"#"&amp;(E725+1),$AC$2:$AC$799,0)),"신약 트랙 완결")</f>
        <v>다음 편: 믿음장</v>
      </c>
      <c r="X725" s="23" t="s">
        <v>130</v>
      </c>
      <c r="Y725" s="23" t="s">
        <v>130</v>
      </c>
      <c r="Z725" s="23" t="s">
        <v>130</v>
      </c>
      <c r="AA725" s="23" t="s">
        <v>130</v>
      </c>
      <c r="AB725" s="24"/>
      <c r="AC725" s="23" t="str">
        <f aca="false">D725&amp;"#"&amp;E725</f>
        <v>신약#97</v>
      </c>
      <c r="AD725" s="23" t="n">
        <f aca="false">COUNTIFS($C$2:C725,C725,$D$2:D725,D725)</f>
        <v>97</v>
      </c>
    </row>
    <row r="726" customFormat="false" ht="26.85" hidden="false" customHeight="false" outlineLevel="0" collapsed="false">
      <c r="A726" s="23" t="n">
        <v>725</v>
      </c>
      <c r="B726" s="30" t="s">
        <v>6424</v>
      </c>
      <c r="C726" s="23" t="n">
        <v>2</v>
      </c>
      <c r="D726" s="23" t="s">
        <v>4656</v>
      </c>
      <c r="E726" s="23" t="n">
        <f aca="false">IF(C726=1,COUNTIFS($C$2:C726,1,$D$2:D726,D726),COUNTIFS($C$2:$C$799,1,$D$2:$D$799,D726)+COUNTIFS($C$2:C726,2,$D$2:D726,D726))</f>
        <v>211</v>
      </c>
      <c r="F726" s="23" t="str">
        <f aca="false">D726&amp;" #"&amp;TEXT(E726,"000")</f>
        <v>신약 #211</v>
      </c>
      <c r="G726" s="30" t="s">
        <v>6372</v>
      </c>
      <c r="H726" s="30" t="s">
        <v>6373</v>
      </c>
      <c r="I726" s="23" t="s">
        <v>6425</v>
      </c>
      <c r="J726" s="24" t="s">
        <v>6426</v>
      </c>
      <c r="K726" s="23" t="s">
        <v>1085</v>
      </c>
      <c r="L726" s="24" t="s">
        <v>6427</v>
      </c>
      <c r="M726" s="24" t="s">
        <v>6428</v>
      </c>
      <c r="N726" s="23" t="s">
        <v>6429</v>
      </c>
      <c r="O726" s="24" t="s">
        <v>6430</v>
      </c>
      <c r="P726" s="24" t="s">
        <v>6096</v>
      </c>
      <c r="Q726" s="24" t="s">
        <v>6431</v>
      </c>
      <c r="R726" s="24"/>
      <c r="S726" s="24" t="s">
        <v>6432</v>
      </c>
      <c r="T726" s="24" t="str">
        <f aca="false">"["&amp;안내!$C$5&amp;" "&amp;F726&amp;"] "&amp;L726&amp;" | "&amp;J726</f>
        <v>[1분 성경 신약 #211] 사는 것이 그리스도 | 빌 1:1-30</v>
      </c>
      <c r="U726" s="26" t="n">
        <f aca="false">IF(D726="구약",IF(C726=1,안내!$C$9,안내!$C$10)+AD726-1,IF(C726=1,안내!$C$9,안내!$C$10)+7*INT((AD726-1)/4)+CHOOSE(MOD(AD726-1,4)+1,0,2,4,5))</f>
        <v>46766</v>
      </c>
      <c r="V726" s="23" t="str">
        <f aca="false">CHOOSE(WEEKDAY(U726,2),"월","화","수","목","금","토","일")</f>
        <v>금</v>
      </c>
      <c r="W726" s="24" t="str">
        <f aca="false">IFERROR(IF(INDEX($C$2:$C$799,MATCH(D726&amp;"#"&amp;(E726+1),$AC$2:$AC$799,0))=C726,"다음 편: ","시즌1 완결 · 시즌2 첫 편: ")&amp;INDEX($L$2:$L$799,MATCH(D726&amp;"#"&amp;(E726+1),$AC$2:$AC$799,0)),"신약 트랙 완결")</f>
        <v>다음 편: 그리스도의 마음</v>
      </c>
      <c r="X726" s="23" t="s">
        <v>130</v>
      </c>
      <c r="Y726" s="23" t="s">
        <v>130</v>
      </c>
      <c r="Z726" s="23" t="s">
        <v>130</v>
      </c>
      <c r="AA726" s="23" t="s">
        <v>130</v>
      </c>
      <c r="AB726" s="24"/>
      <c r="AC726" s="23" t="str">
        <f aca="false">D726&amp;"#"&amp;E726</f>
        <v>신약#211</v>
      </c>
      <c r="AD726" s="23" t="n">
        <f aca="false">COUNTIFS($C$2:C726,C726,$D$2:D726,D726)</f>
        <v>107</v>
      </c>
    </row>
    <row r="727" customFormat="false" ht="26.85" hidden="false" customHeight="false" outlineLevel="0" collapsed="false">
      <c r="A727" s="23" t="n">
        <v>726</v>
      </c>
      <c r="B727" s="30" t="s">
        <v>6433</v>
      </c>
      <c r="C727" s="23" t="n">
        <v>2</v>
      </c>
      <c r="D727" s="23" t="s">
        <v>4656</v>
      </c>
      <c r="E727" s="23" t="n">
        <f aca="false">IF(C727=1,COUNTIFS($C$2:C727,1,$D$2:D727,D727),COUNTIFS($C$2:$C$799,1,$D$2:$D$799,D727)+COUNTIFS($C$2:C727,2,$D$2:D727,D727))</f>
        <v>212</v>
      </c>
      <c r="F727" s="23" t="str">
        <f aca="false">D727&amp;" #"&amp;TEXT(E727,"000")</f>
        <v>신약 #212</v>
      </c>
      <c r="G727" s="30" t="s">
        <v>6372</v>
      </c>
      <c r="H727" s="30" t="s">
        <v>6373</v>
      </c>
      <c r="I727" s="23" t="s">
        <v>6425</v>
      </c>
      <c r="J727" s="24" t="s">
        <v>6434</v>
      </c>
      <c r="K727" s="23" t="s">
        <v>1085</v>
      </c>
      <c r="L727" s="24" t="s">
        <v>6435</v>
      </c>
      <c r="M727" s="24" t="s">
        <v>6436</v>
      </c>
      <c r="N727" s="23" t="s">
        <v>6437</v>
      </c>
      <c r="O727" s="24" t="s">
        <v>6438</v>
      </c>
      <c r="P727" s="24" t="s">
        <v>6439</v>
      </c>
      <c r="Q727" s="24" t="s">
        <v>6440</v>
      </c>
      <c r="R727" s="25" t="s">
        <v>6441</v>
      </c>
      <c r="S727" s="24" t="s">
        <v>6432</v>
      </c>
      <c r="T727" s="24" t="str">
        <f aca="false">"["&amp;안내!$C$5&amp;" "&amp;F727&amp;"] "&amp;L727&amp;" | "&amp;J727</f>
        <v>[1분 성경 신약 #212] 그리스도의 마음 | 빌 2:1-30</v>
      </c>
      <c r="U727" s="26" t="n">
        <f aca="false">IF(D727="구약",IF(C727=1,안내!$C$9,안내!$C$10)+AD727-1,IF(C727=1,안내!$C$9,안내!$C$10)+7*INT((AD727-1)/4)+CHOOSE(MOD(AD727-1,4)+1,0,2,4,5))</f>
        <v>46767</v>
      </c>
      <c r="V727" s="23" t="str">
        <f aca="false">CHOOSE(WEEKDAY(U727,2),"월","화","수","목","금","토","일")</f>
        <v>토</v>
      </c>
      <c r="W727" s="24" t="str">
        <f aca="false">IFERROR(IF(INDEX($C$2:$C$799,MATCH(D727&amp;"#"&amp;(E727+1),$AC$2:$AC$799,0))=C727,"다음 편: ","시즌1 완결 · 시즌2 첫 편: ")&amp;INDEX($L$2:$L$799,MATCH(D727&amp;"#"&amp;(E727+1),$AC$2:$AC$799,0)),"신약 트랙 완결")</f>
        <v>다음 편: 푯대를 향하여</v>
      </c>
      <c r="X727" s="23" t="s">
        <v>130</v>
      </c>
      <c r="Y727" s="23" t="s">
        <v>130</v>
      </c>
      <c r="Z727" s="23" t="s">
        <v>130</v>
      </c>
      <c r="AA727" s="23" t="s">
        <v>130</v>
      </c>
      <c r="AB727" s="24"/>
      <c r="AC727" s="23" t="str">
        <f aca="false">D727&amp;"#"&amp;E727</f>
        <v>신약#212</v>
      </c>
      <c r="AD727" s="23" t="n">
        <f aca="false">COUNTIFS($C$2:C727,C727,$D$2:D727,D727)</f>
        <v>108</v>
      </c>
    </row>
    <row r="728" customFormat="false" ht="39.55" hidden="false" customHeight="false" outlineLevel="0" collapsed="false">
      <c r="A728" s="23" t="n">
        <v>727</v>
      </c>
      <c r="B728" s="30" t="s">
        <v>6442</v>
      </c>
      <c r="C728" s="23" t="n">
        <v>2</v>
      </c>
      <c r="D728" s="23" t="s">
        <v>4656</v>
      </c>
      <c r="E728" s="23" t="n">
        <f aca="false">IF(C728=1,COUNTIFS($C$2:C728,1,$D$2:D728,D728),COUNTIFS($C$2:$C$799,1,$D$2:$D$799,D728)+COUNTIFS($C$2:C728,2,$D$2:D728,D728))</f>
        <v>213</v>
      </c>
      <c r="F728" s="23" t="str">
        <f aca="false">D728&amp;" #"&amp;TEXT(E728,"000")</f>
        <v>신약 #213</v>
      </c>
      <c r="G728" s="30" t="s">
        <v>6372</v>
      </c>
      <c r="H728" s="30" t="s">
        <v>6373</v>
      </c>
      <c r="I728" s="23" t="s">
        <v>6425</v>
      </c>
      <c r="J728" s="24" t="s">
        <v>6443</v>
      </c>
      <c r="K728" s="23" t="s">
        <v>1085</v>
      </c>
      <c r="L728" s="24" t="s">
        <v>6444</v>
      </c>
      <c r="M728" s="24" t="s">
        <v>6445</v>
      </c>
      <c r="N728" s="23" t="s">
        <v>6446</v>
      </c>
      <c r="O728" s="24" t="s">
        <v>6447</v>
      </c>
      <c r="P728" s="24" t="s">
        <v>6096</v>
      </c>
      <c r="Q728" s="24" t="s">
        <v>6448</v>
      </c>
      <c r="R728" s="24"/>
      <c r="S728" s="24" t="s">
        <v>6432</v>
      </c>
      <c r="T728" s="24" t="str">
        <f aca="false">"["&amp;안내!$C$5&amp;" "&amp;F728&amp;"] "&amp;L728&amp;" | "&amp;J728</f>
        <v>[1분 성경 신약 #213] 푯대를 향하여 | 빌 3:1-21</v>
      </c>
      <c r="U728" s="26" t="n">
        <f aca="false">IF(D728="구약",IF(C728=1,안내!$C$9,안내!$C$10)+AD728-1,IF(C728=1,안내!$C$9,안내!$C$10)+7*INT((AD728-1)/4)+CHOOSE(MOD(AD728-1,4)+1,0,2,4,5))</f>
        <v>46769</v>
      </c>
      <c r="V728" s="23" t="str">
        <f aca="false">CHOOSE(WEEKDAY(U728,2),"월","화","수","목","금","토","일")</f>
        <v>월</v>
      </c>
      <c r="W728" s="24" t="str">
        <f aca="false">IFERROR(IF(INDEX($C$2:$C$799,MATCH(D728&amp;"#"&amp;(E728+1),$AC$2:$AC$799,0))=C728,"다음 편: ","시즌1 완결 · 시즌2 첫 편: ")&amp;INDEX($L$2:$L$799,MATCH(D728&amp;"#"&amp;(E728+1),$AC$2:$AC$799,0)),"신약 트랙 완결")</f>
        <v>다음 편: 모든 것을 할 수 있다</v>
      </c>
      <c r="X728" s="23" t="s">
        <v>130</v>
      </c>
      <c r="Y728" s="23" t="s">
        <v>130</v>
      </c>
      <c r="Z728" s="23" t="s">
        <v>130</v>
      </c>
      <c r="AA728" s="23" t="s">
        <v>130</v>
      </c>
      <c r="AB728" s="24"/>
      <c r="AC728" s="23" t="str">
        <f aca="false">D728&amp;"#"&amp;E728</f>
        <v>신약#213</v>
      </c>
      <c r="AD728" s="23" t="n">
        <f aca="false">COUNTIFS($C$2:C728,C728,$D$2:D728,D728)</f>
        <v>109</v>
      </c>
    </row>
    <row r="729" customFormat="false" ht="26.85" hidden="false" customHeight="false" outlineLevel="0" collapsed="false">
      <c r="A729" s="23" t="n">
        <v>728</v>
      </c>
      <c r="B729" s="30" t="s">
        <v>6449</v>
      </c>
      <c r="C729" s="23" t="n">
        <v>2</v>
      </c>
      <c r="D729" s="23" t="s">
        <v>4656</v>
      </c>
      <c r="E729" s="23" t="n">
        <f aca="false">IF(C729=1,COUNTIFS($C$2:C729,1,$D$2:D729,D729),COUNTIFS($C$2:$C$799,1,$D$2:$D$799,D729)+COUNTIFS($C$2:C729,2,$D$2:D729,D729))</f>
        <v>214</v>
      </c>
      <c r="F729" s="23" t="str">
        <f aca="false">D729&amp;" #"&amp;TEXT(E729,"000")</f>
        <v>신약 #214</v>
      </c>
      <c r="G729" s="30" t="s">
        <v>6372</v>
      </c>
      <c r="H729" s="30" t="s">
        <v>6373</v>
      </c>
      <c r="I729" s="23" t="s">
        <v>6425</v>
      </c>
      <c r="J729" s="24" t="s">
        <v>6450</v>
      </c>
      <c r="K729" s="23" t="s">
        <v>1085</v>
      </c>
      <c r="L729" s="24" t="s">
        <v>6451</v>
      </c>
      <c r="M729" s="24" t="s">
        <v>6452</v>
      </c>
      <c r="N729" s="23" t="s">
        <v>6453</v>
      </c>
      <c r="O729" s="24" t="s">
        <v>6454</v>
      </c>
      <c r="P729" s="24" t="s">
        <v>6096</v>
      </c>
      <c r="Q729" s="24" t="s">
        <v>6455</v>
      </c>
      <c r="R729" s="27" t="s">
        <v>6456</v>
      </c>
      <c r="S729" s="24" t="s">
        <v>6432</v>
      </c>
      <c r="T729" s="24" t="str">
        <f aca="false">"["&amp;안내!$C$5&amp;" "&amp;F729&amp;"] "&amp;L729&amp;" | "&amp;J729</f>
        <v>[1분 성경 신약 #214] 모든 것을 할 수 있다 | 빌 4:1-23</v>
      </c>
      <c r="U729" s="26" t="n">
        <f aca="false">IF(D729="구약",IF(C729=1,안내!$C$9,안내!$C$10)+AD729-1,IF(C729=1,안내!$C$9,안내!$C$10)+7*INT((AD729-1)/4)+CHOOSE(MOD(AD729-1,4)+1,0,2,4,5))</f>
        <v>46771</v>
      </c>
      <c r="V729" s="23" t="str">
        <f aca="false">CHOOSE(WEEKDAY(U729,2),"월","화","수","목","금","토","일")</f>
        <v>수</v>
      </c>
      <c r="W729" s="24" t="str">
        <f aca="false">IFERROR(IF(INDEX($C$2:$C$799,MATCH(D729&amp;"#"&amp;(E729+1),$AC$2:$AC$799,0))=C729,"다음 편: ","시즌1 완결 · 시즌2 첫 편: ")&amp;INDEX($L$2:$L$799,MATCH(D729&amp;"#"&amp;(E729+1),$AC$2:$AC$799,0)),"신약 트랙 완결")</f>
        <v>다음 편: 만물보다 먼저</v>
      </c>
      <c r="X729" s="23" t="s">
        <v>130</v>
      </c>
      <c r="Y729" s="23" t="s">
        <v>130</v>
      </c>
      <c r="Z729" s="23" t="s">
        <v>130</v>
      </c>
      <c r="AA729" s="23" t="s">
        <v>130</v>
      </c>
      <c r="AB729" s="24"/>
      <c r="AC729" s="23" t="str">
        <f aca="false">D729&amp;"#"&amp;E729</f>
        <v>신약#214</v>
      </c>
      <c r="AD729" s="23" t="n">
        <f aca="false">COUNTIFS($C$2:C729,C729,$D$2:D729,D729)</f>
        <v>110</v>
      </c>
    </row>
    <row r="730" customFormat="false" ht="26.85" hidden="false" customHeight="false" outlineLevel="0" collapsed="false">
      <c r="A730" s="23" t="n">
        <v>729</v>
      </c>
      <c r="B730" s="30" t="s">
        <v>6457</v>
      </c>
      <c r="C730" s="23" t="n">
        <v>2</v>
      </c>
      <c r="D730" s="23" t="s">
        <v>4656</v>
      </c>
      <c r="E730" s="23" t="n">
        <f aca="false">IF(C730=1,COUNTIFS($C$2:C730,1,$D$2:D730,D730),COUNTIFS($C$2:$C$799,1,$D$2:$D$799,D730)+COUNTIFS($C$2:C730,2,$D$2:D730,D730))</f>
        <v>215</v>
      </c>
      <c r="F730" s="23" t="str">
        <f aca="false">D730&amp;" #"&amp;TEXT(E730,"000")</f>
        <v>신약 #215</v>
      </c>
      <c r="G730" s="30" t="s">
        <v>6458</v>
      </c>
      <c r="H730" s="30" t="s">
        <v>6459</v>
      </c>
      <c r="I730" s="23" t="s">
        <v>6460</v>
      </c>
      <c r="J730" s="24" t="s">
        <v>6461</v>
      </c>
      <c r="K730" s="23" t="s">
        <v>1085</v>
      </c>
      <c r="L730" s="24" t="s">
        <v>6462</v>
      </c>
      <c r="M730" s="24" t="s">
        <v>6463</v>
      </c>
      <c r="N730" s="23" t="s">
        <v>6464</v>
      </c>
      <c r="O730" s="24" t="s">
        <v>6465</v>
      </c>
      <c r="P730" s="24" t="s">
        <v>6096</v>
      </c>
      <c r="Q730" s="24" t="s">
        <v>6466</v>
      </c>
      <c r="R730" s="27" t="s">
        <v>6467</v>
      </c>
      <c r="S730" s="24" t="s">
        <v>6432</v>
      </c>
      <c r="T730" s="24" t="str">
        <f aca="false">"["&amp;안내!$C$5&amp;" "&amp;F730&amp;"] "&amp;L730&amp;" | "&amp;J730</f>
        <v>[1분 성경 신약 #215] 만물보다 먼저 | 골 1:1-29</v>
      </c>
      <c r="U730" s="26" t="n">
        <f aca="false">IF(D730="구약",IF(C730=1,안내!$C$9,안내!$C$10)+AD730-1,IF(C730=1,안내!$C$9,안내!$C$10)+7*INT((AD730-1)/4)+CHOOSE(MOD(AD730-1,4)+1,0,2,4,5))</f>
        <v>46773</v>
      </c>
      <c r="V730" s="23" t="str">
        <f aca="false">CHOOSE(WEEKDAY(U730,2),"월","화","수","목","금","토","일")</f>
        <v>금</v>
      </c>
      <c r="W730" s="24" t="str">
        <f aca="false">IFERROR(IF(INDEX($C$2:$C$799,MATCH(D730&amp;"#"&amp;(E730+1),$AC$2:$AC$799,0))=C730,"다음 편: ","시즌1 완결 · 시즌2 첫 편: ")&amp;INDEX($L$2:$L$799,MATCH(D730&amp;"#"&amp;(E730+1),$AC$2:$AC$799,0)),"신약 트랙 완결")</f>
        <v>다음 편: 헛된 속임수를 조심하라</v>
      </c>
      <c r="X730" s="23" t="s">
        <v>130</v>
      </c>
      <c r="Y730" s="23" t="s">
        <v>130</v>
      </c>
      <c r="Z730" s="23" t="s">
        <v>130</v>
      </c>
      <c r="AA730" s="23" t="s">
        <v>130</v>
      </c>
      <c r="AB730" s="24"/>
      <c r="AC730" s="23" t="str">
        <f aca="false">D730&amp;"#"&amp;E730</f>
        <v>신약#215</v>
      </c>
      <c r="AD730" s="23" t="n">
        <f aca="false">COUNTIFS($C$2:C730,C730,$D$2:D730,D730)</f>
        <v>111</v>
      </c>
    </row>
    <row r="731" customFormat="false" ht="26.85" hidden="false" customHeight="false" outlineLevel="0" collapsed="false">
      <c r="A731" s="23" t="n">
        <v>730</v>
      </c>
      <c r="B731" s="30" t="s">
        <v>6468</v>
      </c>
      <c r="C731" s="23" t="n">
        <v>2</v>
      </c>
      <c r="D731" s="23" t="s">
        <v>4656</v>
      </c>
      <c r="E731" s="23" t="n">
        <f aca="false">IF(C731=1,COUNTIFS($C$2:C731,1,$D$2:D731,D731),COUNTIFS($C$2:$C$799,1,$D$2:$D$799,D731)+COUNTIFS($C$2:C731,2,$D$2:D731,D731))</f>
        <v>216</v>
      </c>
      <c r="F731" s="23" t="str">
        <f aca="false">D731&amp;" #"&amp;TEXT(E731,"000")</f>
        <v>신약 #216</v>
      </c>
      <c r="G731" s="30" t="s">
        <v>6458</v>
      </c>
      <c r="H731" s="30" t="s">
        <v>6459</v>
      </c>
      <c r="I731" s="23" t="s">
        <v>6460</v>
      </c>
      <c r="J731" s="24" t="s">
        <v>6469</v>
      </c>
      <c r="K731" s="23" t="s">
        <v>1085</v>
      </c>
      <c r="L731" s="24" t="s">
        <v>6470</v>
      </c>
      <c r="M731" s="24" t="s">
        <v>6471</v>
      </c>
      <c r="N731" s="23" t="s">
        <v>6472</v>
      </c>
      <c r="O731" s="24" t="s">
        <v>6473</v>
      </c>
      <c r="P731" s="24" t="s">
        <v>6096</v>
      </c>
      <c r="Q731" s="24" t="s">
        <v>6474</v>
      </c>
      <c r="R731" s="25" t="s">
        <v>6475</v>
      </c>
      <c r="S731" s="24" t="s">
        <v>6432</v>
      </c>
      <c r="T731" s="24" t="str">
        <f aca="false">"["&amp;안내!$C$5&amp;" "&amp;F731&amp;"] "&amp;L731&amp;" | "&amp;J731</f>
        <v>[1분 성경 신약 #216] 헛된 속임수를 조심하라 | 골 2:1-23</v>
      </c>
      <c r="U731" s="26" t="n">
        <f aca="false">IF(D731="구약",IF(C731=1,안내!$C$9,안내!$C$10)+AD731-1,IF(C731=1,안내!$C$9,안내!$C$10)+7*INT((AD731-1)/4)+CHOOSE(MOD(AD731-1,4)+1,0,2,4,5))</f>
        <v>46774</v>
      </c>
      <c r="V731" s="23" t="str">
        <f aca="false">CHOOSE(WEEKDAY(U731,2),"월","화","수","목","금","토","일")</f>
        <v>토</v>
      </c>
      <c r="W731" s="24" t="str">
        <f aca="false">IFERROR(IF(INDEX($C$2:$C$799,MATCH(D731&amp;"#"&amp;(E731+1),$AC$2:$AC$799,0))=C731,"다음 편: ","시즌1 완결 · 시즌2 첫 편: ")&amp;INDEX($L$2:$L$799,MATCH(D731&amp;"#"&amp;(E731+1),$AC$2:$AC$799,0)),"신약 트랙 완결")</f>
        <v>다음 편: 위의 것을 찾으라</v>
      </c>
      <c r="X731" s="23" t="s">
        <v>130</v>
      </c>
      <c r="Y731" s="23" t="s">
        <v>130</v>
      </c>
      <c r="Z731" s="23" t="s">
        <v>130</v>
      </c>
      <c r="AA731" s="23" t="s">
        <v>130</v>
      </c>
      <c r="AB731" s="24"/>
      <c r="AC731" s="23" t="str">
        <f aca="false">D731&amp;"#"&amp;E731</f>
        <v>신약#216</v>
      </c>
      <c r="AD731" s="23" t="n">
        <f aca="false">COUNTIFS($C$2:C731,C731,$D$2:D731,D731)</f>
        <v>112</v>
      </c>
    </row>
    <row r="732" customFormat="false" ht="26.85" hidden="false" customHeight="false" outlineLevel="0" collapsed="false">
      <c r="A732" s="23" t="n">
        <v>731</v>
      </c>
      <c r="B732" s="30" t="s">
        <v>6476</v>
      </c>
      <c r="C732" s="23" t="n">
        <v>2</v>
      </c>
      <c r="D732" s="23" t="s">
        <v>4656</v>
      </c>
      <c r="E732" s="23" t="n">
        <f aca="false">IF(C732=1,COUNTIFS($C$2:C732,1,$D$2:D732,D732),COUNTIFS($C$2:$C$799,1,$D$2:$D$799,D732)+COUNTIFS($C$2:C732,2,$D$2:D732,D732))</f>
        <v>217</v>
      </c>
      <c r="F732" s="23" t="str">
        <f aca="false">D732&amp;" #"&amp;TEXT(E732,"000")</f>
        <v>신약 #217</v>
      </c>
      <c r="G732" s="30" t="s">
        <v>6458</v>
      </c>
      <c r="H732" s="30" t="s">
        <v>6459</v>
      </c>
      <c r="I732" s="23" t="s">
        <v>6460</v>
      </c>
      <c r="J732" s="24" t="s">
        <v>6477</v>
      </c>
      <c r="K732" s="23" t="s">
        <v>1085</v>
      </c>
      <c r="L732" s="24" t="s">
        <v>6478</v>
      </c>
      <c r="M732" s="24" t="s">
        <v>6479</v>
      </c>
      <c r="N732" s="23" t="s">
        <v>6480</v>
      </c>
      <c r="O732" s="24" t="s">
        <v>6481</v>
      </c>
      <c r="P732" s="24" t="s">
        <v>6096</v>
      </c>
      <c r="Q732" s="24" t="s">
        <v>6482</v>
      </c>
      <c r="R732" s="24"/>
      <c r="S732" s="24" t="s">
        <v>6432</v>
      </c>
      <c r="T732" s="24" t="str">
        <f aca="false">"["&amp;안내!$C$5&amp;" "&amp;F732&amp;"] "&amp;L732&amp;" | "&amp;J732</f>
        <v>[1분 성경 신약 #217] 위의 것을 찾으라 | 골 3:1-17</v>
      </c>
      <c r="U732" s="26" t="n">
        <f aca="false">IF(D732="구약",IF(C732=1,안내!$C$9,안내!$C$10)+AD732-1,IF(C732=1,안내!$C$9,안내!$C$10)+7*INT((AD732-1)/4)+CHOOSE(MOD(AD732-1,4)+1,0,2,4,5))</f>
        <v>46776</v>
      </c>
      <c r="V732" s="23" t="str">
        <f aca="false">CHOOSE(WEEKDAY(U732,2),"월","화","수","목","금","토","일")</f>
        <v>월</v>
      </c>
      <c r="W732" s="24" t="str">
        <f aca="false">IFERROR(IF(INDEX($C$2:$C$799,MATCH(D732&amp;"#"&amp;(E732+1),$AC$2:$AC$799,0))=C732,"다음 편: ","시즌1 완결 · 시즌2 첫 편: ")&amp;INDEX($L$2:$L$799,MATCH(D732&amp;"#"&amp;(E732+1),$AC$2:$AC$799,0)),"신약 트랙 완결")</f>
        <v>다음 편: 주께 하듯 하라</v>
      </c>
      <c r="X732" s="23" t="s">
        <v>130</v>
      </c>
      <c r="Y732" s="23" t="s">
        <v>130</v>
      </c>
      <c r="Z732" s="23" t="s">
        <v>130</v>
      </c>
      <c r="AA732" s="23" t="s">
        <v>130</v>
      </c>
      <c r="AB732" s="24"/>
      <c r="AC732" s="23" t="str">
        <f aca="false">D732&amp;"#"&amp;E732</f>
        <v>신약#217</v>
      </c>
      <c r="AD732" s="23" t="n">
        <f aca="false">COUNTIFS($C$2:C732,C732,$D$2:D732,D732)</f>
        <v>113</v>
      </c>
    </row>
    <row r="733" customFormat="false" ht="26.85" hidden="false" customHeight="false" outlineLevel="0" collapsed="false">
      <c r="A733" s="23" t="n">
        <v>732</v>
      </c>
      <c r="B733" s="30" t="s">
        <v>6483</v>
      </c>
      <c r="C733" s="23" t="n">
        <v>2</v>
      </c>
      <c r="D733" s="23" t="s">
        <v>4656</v>
      </c>
      <c r="E733" s="23" t="n">
        <f aca="false">IF(C733=1,COUNTIFS($C$2:C733,1,$D$2:D733,D733),COUNTIFS($C$2:$C$799,1,$D$2:$D$799,D733)+COUNTIFS($C$2:C733,2,$D$2:D733,D733))</f>
        <v>218</v>
      </c>
      <c r="F733" s="23" t="str">
        <f aca="false">D733&amp;" #"&amp;TEXT(E733,"000")</f>
        <v>신약 #218</v>
      </c>
      <c r="G733" s="30" t="s">
        <v>6458</v>
      </c>
      <c r="H733" s="30" t="s">
        <v>6459</v>
      </c>
      <c r="I733" s="23" t="s">
        <v>6460</v>
      </c>
      <c r="J733" s="24" t="s">
        <v>6484</v>
      </c>
      <c r="K733" s="23" t="s">
        <v>1085</v>
      </c>
      <c r="L733" s="24" t="s">
        <v>6485</v>
      </c>
      <c r="M733" s="24" t="s">
        <v>6486</v>
      </c>
      <c r="N733" s="23" t="s">
        <v>6487</v>
      </c>
      <c r="O733" s="24" t="s">
        <v>6488</v>
      </c>
      <c r="P733" s="24" t="s">
        <v>6096</v>
      </c>
      <c r="Q733" s="24" t="s">
        <v>6412</v>
      </c>
      <c r="R733" s="24"/>
      <c r="S733" s="24" t="s">
        <v>6432</v>
      </c>
      <c r="T733" s="24" t="str">
        <f aca="false">"["&amp;안내!$C$5&amp;" "&amp;F733&amp;"] "&amp;L733&amp;" | "&amp;J733</f>
        <v>[1분 성경 신약 #218] 주께 하듯 하라 | 골 3:18-4:18</v>
      </c>
      <c r="U733" s="26" t="n">
        <f aca="false">IF(D733="구약",IF(C733=1,안내!$C$9,안내!$C$10)+AD733-1,IF(C733=1,안내!$C$9,안내!$C$10)+7*INT((AD733-1)/4)+CHOOSE(MOD(AD733-1,4)+1,0,2,4,5))</f>
        <v>46778</v>
      </c>
      <c r="V733" s="23" t="str">
        <f aca="false">CHOOSE(WEEKDAY(U733,2),"월","화","수","목","금","토","일")</f>
        <v>수</v>
      </c>
      <c r="W733" s="24" t="str">
        <f aca="false">IFERROR(IF(INDEX($C$2:$C$799,MATCH(D733&amp;"#"&amp;(E733+1),$AC$2:$AC$799,0))=C733,"다음 편: ","시즌1 완결 · 시즌2 첫 편: ")&amp;INDEX($L$2:$L$799,MATCH(D733&amp;"#"&amp;(E733+1),$AC$2:$AC$799,0)),"신약 트랙 완결")</f>
        <v>다음 편: 본이 된 교회</v>
      </c>
      <c r="X733" s="23" t="s">
        <v>130</v>
      </c>
      <c r="Y733" s="23" t="s">
        <v>130</v>
      </c>
      <c r="Z733" s="23" t="s">
        <v>130</v>
      </c>
      <c r="AA733" s="23" t="s">
        <v>130</v>
      </c>
      <c r="AB733" s="24"/>
      <c r="AC733" s="23" t="str">
        <f aca="false">D733&amp;"#"&amp;E733</f>
        <v>신약#218</v>
      </c>
      <c r="AD733" s="23" t="n">
        <f aca="false">COUNTIFS($C$2:C733,C733,$D$2:D733,D733)</f>
        <v>114</v>
      </c>
    </row>
    <row r="734" customFormat="false" ht="26.85" hidden="false" customHeight="false" outlineLevel="0" collapsed="false">
      <c r="A734" s="23" t="n">
        <v>733</v>
      </c>
      <c r="B734" s="30" t="s">
        <v>6489</v>
      </c>
      <c r="C734" s="23" t="n">
        <v>2</v>
      </c>
      <c r="D734" s="23" t="s">
        <v>4656</v>
      </c>
      <c r="E734" s="23" t="n">
        <f aca="false">IF(C734=1,COUNTIFS($C$2:C734,1,$D$2:D734,D734),COUNTIFS($C$2:$C$799,1,$D$2:$D$799,D734)+COUNTIFS($C$2:C734,2,$D$2:D734,D734))</f>
        <v>219</v>
      </c>
      <c r="F734" s="23" t="str">
        <f aca="false">D734&amp;" #"&amp;TEXT(E734,"000")</f>
        <v>신약 #219</v>
      </c>
      <c r="G734" s="30" t="s">
        <v>6458</v>
      </c>
      <c r="H734" s="30" t="s">
        <v>6459</v>
      </c>
      <c r="I734" s="23" t="s">
        <v>6490</v>
      </c>
      <c r="J734" s="24" t="s">
        <v>6491</v>
      </c>
      <c r="K734" s="23" t="s">
        <v>1085</v>
      </c>
      <c r="L734" s="24" t="s">
        <v>6492</v>
      </c>
      <c r="M734" s="24" t="s">
        <v>6493</v>
      </c>
      <c r="N734" s="23" t="s">
        <v>6494</v>
      </c>
      <c r="O734" s="24" t="s">
        <v>6495</v>
      </c>
      <c r="P734" s="24" t="s">
        <v>6496</v>
      </c>
      <c r="Q734" s="24" t="s">
        <v>6497</v>
      </c>
      <c r="R734" s="24"/>
      <c r="S734" s="24" t="s">
        <v>6432</v>
      </c>
      <c r="T734" s="24" t="str">
        <f aca="false">"["&amp;안내!$C$5&amp;" "&amp;F734&amp;"] "&amp;L734&amp;" | "&amp;J734</f>
        <v>[1분 성경 신약 #219] 본이 된 교회 | 살전 1:1-3:13</v>
      </c>
      <c r="U734" s="26" t="n">
        <f aca="false">IF(D734="구약",IF(C734=1,안내!$C$9,안내!$C$10)+AD734-1,IF(C734=1,안내!$C$9,안내!$C$10)+7*INT((AD734-1)/4)+CHOOSE(MOD(AD734-1,4)+1,0,2,4,5))</f>
        <v>46780</v>
      </c>
      <c r="V734" s="23" t="str">
        <f aca="false">CHOOSE(WEEKDAY(U734,2),"월","화","수","목","금","토","일")</f>
        <v>금</v>
      </c>
      <c r="W734" s="24" t="str">
        <f aca="false">IFERROR(IF(INDEX($C$2:$C$799,MATCH(D734&amp;"#"&amp;(E734+1),$AC$2:$AC$799,0))=C734,"다음 편: ","시즌1 완결 · 시즌2 첫 편: ")&amp;INDEX($L$2:$L$799,MATCH(D734&amp;"#"&amp;(E734+1),$AC$2:$AC$799,0)),"신약 트랙 완결")</f>
        <v>다음 편: 주께서 강림하실 때</v>
      </c>
      <c r="X734" s="23" t="s">
        <v>130</v>
      </c>
      <c r="Y734" s="23" t="s">
        <v>130</v>
      </c>
      <c r="Z734" s="23" t="s">
        <v>130</v>
      </c>
      <c r="AA734" s="23" t="s">
        <v>130</v>
      </c>
      <c r="AB734" s="24"/>
      <c r="AC734" s="23" t="str">
        <f aca="false">D734&amp;"#"&amp;E734</f>
        <v>신약#219</v>
      </c>
      <c r="AD734" s="23" t="n">
        <f aca="false">COUNTIFS($C$2:C734,C734,$D$2:D734,D734)</f>
        <v>115</v>
      </c>
    </row>
    <row r="735" customFormat="false" ht="26.85" hidden="false" customHeight="false" outlineLevel="0" collapsed="false">
      <c r="A735" s="23" t="n">
        <v>734</v>
      </c>
      <c r="B735" s="30" t="s">
        <v>6498</v>
      </c>
      <c r="C735" s="23" t="n">
        <v>2</v>
      </c>
      <c r="D735" s="23" t="s">
        <v>4656</v>
      </c>
      <c r="E735" s="23" t="n">
        <f aca="false">IF(C735=1,COUNTIFS($C$2:C735,1,$D$2:D735,D735),COUNTIFS($C$2:$C$799,1,$D$2:$D$799,D735)+COUNTIFS($C$2:C735,2,$D$2:D735,D735))</f>
        <v>220</v>
      </c>
      <c r="F735" s="23" t="str">
        <f aca="false">D735&amp;" #"&amp;TEXT(E735,"000")</f>
        <v>신약 #220</v>
      </c>
      <c r="G735" s="30" t="s">
        <v>6458</v>
      </c>
      <c r="H735" s="30" t="s">
        <v>6459</v>
      </c>
      <c r="I735" s="23" t="s">
        <v>6490</v>
      </c>
      <c r="J735" s="24" t="s">
        <v>6499</v>
      </c>
      <c r="K735" s="23" t="s">
        <v>1085</v>
      </c>
      <c r="L735" s="24" t="s">
        <v>6500</v>
      </c>
      <c r="M735" s="24" t="s">
        <v>6501</v>
      </c>
      <c r="N735" s="23" t="s">
        <v>6502</v>
      </c>
      <c r="O735" s="24" t="s">
        <v>6503</v>
      </c>
      <c r="P735" s="24" t="s">
        <v>6096</v>
      </c>
      <c r="Q735" s="24" t="s">
        <v>6504</v>
      </c>
      <c r="R735" s="25" t="s">
        <v>6505</v>
      </c>
      <c r="S735" s="24" t="s">
        <v>6432</v>
      </c>
      <c r="T735" s="24" t="str">
        <f aca="false">"["&amp;안내!$C$5&amp;" "&amp;F735&amp;"] "&amp;L735&amp;" | "&amp;J735</f>
        <v>[1분 성경 신약 #220] 주께서 강림하실 때 | 살전 4:1-5:11</v>
      </c>
      <c r="U735" s="26" t="n">
        <f aca="false">IF(D735="구약",IF(C735=1,안내!$C$9,안내!$C$10)+AD735-1,IF(C735=1,안내!$C$9,안내!$C$10)+7*INT((AD735-1)/4)+CHOOSE(MOD(AD735-1,4)+1,0,2,4,5))</f>
        <v>46781</v>
      </c>
      <c r="V735" s="23" t="str">
        <f aca="false">CHOOSE(WEEKDAY(U735,2),"월","화","수","목","금","토","일")</f>
        <v>토</v>
      </c>
      <c r="W735" s="24" t="str">
        <f aca="false">IFERROR(IF(INDEX($C$2:$C$799,MATCH(D735&amp;"#"&amp;(E735+1),$AC$2:$AC$799,0))=C735,"다음 편: ","시즌1 완결 · 시즌2 첫 편: ")&amp;INDEX($L$2:$L$799,MATCH(D735&amp;"#"&amp;(E735+1),$AC$2:$AC$799,0)),"신약 트랙 완결")</f>
        <v>다음 편: 항상 기뻐하라</v>
      </c>
      <c r="X735" s="23" t="s">
        <v>130</v>
      </c>
      <c r="Y735" s="23" t="s">
        <v>130</v>
      </c>
      <c r="Z735" s="23" t="s">
        <v>130</v>
      </c>
      <c r="AA735" s="23" t="s">
        <v>130</v>
      </c>
      <c r="AB735" s="24"/>
      <c r="AC735" s="23" t="str">
        <f aca="false">D735&amp;"#"&amp;E735</f>
        <v>신약#220</v>
      </c>
      <c r="AD735" s="23" t="n">
        <f aca="false">COUNTIFS($C$2:C735,C735,$D$2:D735,D735)</f>
        <v>116</v>
      </c>
    </row>
    <row r="736" customFormat="false" ht="26.85" hidden="false" customHeight="false" outlineLevel="0" collapsed="false">
      <c r="A736" s="23" t="n">
        <v>735</v>
      </c>
      <c r="B736" s="30" t="s">
        <v>6506</v>
      </c>
      <c r="C736" s="23" t="n">
        <v>2</v>
      </c>
      <c r="D736" s="23" t="s">
        <v>4656</v>
      </c>
      <c r="E736" s="23" t="n">
        <f aca="false">IF(C736=1,COUNTIFS($C$2:C736,1,$D$2:D736,D736),COUNTIFS($C$2:$C$799,1,$D$2:$D$799,D736)+COUNTIFS($C$2:C736,2,$D$2:D736,D736))</f>
        <v>221</v>
      </c>
      <c r="F736" s="23" t="str">
        <f aca="false">D736&amp;" #"&amp;TEXT(E736,"000")</f>
        <v>신약 #221</v>
      </c>
      <c r="G736" s="30" t="s">
        <v>6458</v>
      </c>
      <c r="H736" s="30" t="s">
        <v>6459</v>
      </c>
      <c r="I736" s="23" t="s">
        <v>6490</v>
      </c>
      <c r="J736" s="24" t="s">
        <v>6507</v>
      </c>
      <c r="K736" s="23" t="s">
        <v>1085</v>
      </c>
      <c r="L736" s="24" t="s">
        <v>6508</v>
      </c>
      <c r="M736" s="24" t="s">
        <v>6509</v>
      </c>
      <c r="N736" s="23" t="s">
        <v>6510</v>
      </c>
      <c r="O736" s="24" t="s">
        <v>6511</v>
      </c>
      <c r="P736" s="24" t="s">
        <v>6096</v>
      </c>
      <c r="Q736" s="24" t="s">
        <v>6512</v>
      </c>
      <c r="R736" s="24"/>
      <c r="S736" s="24" t="s">
        <v>6432</v>
      </c>
      <c r="T736" s="24" t="str">
        <f aca="false">"["&amp;안내!$C$5&amp;" "&amp;F736&amp;"] "&amp;L736&amp;" | "&amp;J736</f>
        <v>[1분 성경 신약 #221] 항상 기뻐하라 | 살전 5:12-28</v>
      </c>
      <c r="U736" s="26" t="n">
        <f aca="false">IF(D736="구약",IF(C736=1,안내!$C$9,안내!$C$10)+AD736-1,IF(C736=1,안내!$C$9,안내!$C$10)+7*INT((AD736-1)/4)+CHOOSE(MOD(AD736-1,4)+1,0,2,4,5))</f>
        <v>46783</v>
      </c>
      <c r="V736" s="23" t="str">
        <f aca="false">CHOOSE(WEEKDAY(U736,2),"월","화","수","목","금","토","일")</f>
        <v>월</v>
      </c>
      <c r="W736" s="24" t="str">
        <f aca="false">IFERROR(IF(INDEX($C$2:$C$799,MATCH(D736&amp;"#"&amp;(E736+1),$AC$2:$AC$799,0))=C736,"다음 편: ","시즌1 완결 · 시즌2 첫 편: ")&amp;INDEX($L$2:$L$799,MATCH(D736&amp;"#"&amp;(E736+1),$AC$2:$AC$799,0)),"신약 트랙 완결")</f>
        <v>다음 편: 미혹되지 말라</v>
      </c>
      <c r="X736" s="23" t="s">
        <v>130</v>
      </c>
      <c r="Y736" s="23" t="s">
        <v>130</v>
      </c>
      <c r="Z736" s="23" t="s">
        <v>130</v>
      </c>
      <c r="AA736" s="23" t="s">
        <v>130</v>
      </c>
      <c r="AB736" s="24"/>
      <c r="AC736" s="23" t="str">
        <f aca="false">D736&amp;"#"&amp;E736</f>
        <v>신약#221</v>
      </c>
      <c r="AD736" s="23" t="n">
        <f aca="false">COUNTIFS($C$2:C736,C736,$D$2:D736,D736)</f>
        <v>117</v>
      </c>
    </row>
    <row r="737" customFormat="false" ht="26.85" hidden="false" customHeight="false" outlineLevel="0" collapsed="false">
      <c r="A737" s="23" t="n">
        <v>736</v>
      </c>
      <c r="B737" s="30" t="s">
        <v>6513</v>
      </c>
      <c r="C737" s="23" t="n">
        <v>2</v>
      </c>
      <c r="D737" s="23" t="s">
        <v>4656</v>
      </c>
      <c r="E737" s="23" t="n">
        <f aca="false">IF(C737=1,COUNTIFS($C$2:C737,1,$D$2:D737,D737),COUNTIFS($C$2:$C$799,1,$D$2:$D$799,D737)+COUNTIFS($C$2:C737,2,$D$2:D737,D737))</f>
        <v>222</v>
      </c>
      <c r="F737" s="23" t="str">
        <f aca="false">D737&amp;" #"&amp;TEXT(E737,"000")</f>
        <v>신약 #222</v>
      </c>
      <c r="G737" s="30" t="s">
        <v>6458</v>
      </c>
      <c r="H737" s="30" t="s">
        <v>6459</v>
      </c>
      <c r="I737" s="23" t="s">
        <v>6514</v>
      </c>
      <c r="J737" s="24" t="s">
        <v>6515</v>
      </c>
      <c r="K737" s="23" t="s">
        <v>1085</v>
      </c>
      <c r="L737" s="24" t="s">
        <v>6516</v>
      </c>
      <c r="M737" s="24" t="s">
        <v>6517</v>
      </c>
      <c r="N737" s="23" t="s">
        <v>6518</v>
      </c>
      <c r="O737" s="24" t="s">
        <v>6519</v>
      </c>
      <c r="P737" s="24" t="s">
        <v>6096</v>
      </c>
      <c r="Q737" s="24" t="s">
        <v>6520</v>
      </c>
      <c r="R737" s="25" t="s">
        <v>6521</v>
      </c>
      <c r="S737" s="24" t="s">
        <v>6432</v>
      </c>
      <c r="T737" s="24" t="str">
        <f aca="false">"["&amp;안내!$C$5&amp;" "&amp;F737&amp;"] "&amp;L737&amp;" | "&amp;J737</f>
        <v>[1분 성경 신약 #222] 미혹되지 말라 | 살후 1:1-2:17</v>
      </c>
      <c r="U737" s="26" t="n">
        <f aca="false">IF(D737="구약",IF(C737=1,안내!$C$9,안내!$C$10)+AD737-1,IF(C737=1,안내!$C$9,안내!$C$10)+7*INT((AD737-1)/4)+CHOOSE(MOD(AD737-1,4)+1,0,2,4,5))</f>
        <v>46785</v>
      </c>
      <c r="V737" s="23" t="str">
        <f aca="false">CHOOSE(WEEKDAY(U737,2),"월","화","수","목","금","토","일")</f>
        <v>수</v>
      </c>
      <c r="W737" s="24" t="str">
        <f aca="false">IFERROR(IF(INDEX($C$2:$C$799,MATCH(D737&amp;"#"&amp;(E737+1),$AC$2:$AC$799,0))=C737,"다음 편: ","시즌1 완결 · 시즌2 첫 편: ")&amp;INDEX($L$2:$L$799,MATCH(D737&amp;"#"&amp;(E737+1),$AC$2:$AC$799,0)),"신약 트랙 완결")</f>
        <v>다음 편: 일하기 싫어하거든</v>
      </c>
      <c r="X737" s="23" t="s">
        <v>130</v>
      </c>
      <c r="Y737" s="23" t="s">
        <v>130</v>
      </c>
      <c r="Z737" s="23" t="s">
        <v>130</v>
      </c>
      <c r="AA737" s="23" t="s">
        <v>130</v>
      </c>
      <c r="AB737" s="24"/>
      <c r="AC737" s="23" t="str">
        <f aca="false">D737&amp;"#"&amp;E737</f>
        <v>신약#222</v>
      </c>
      <c r="AD737" s="23" t="n">
        <f aca="false">COUNTIFS($C$2:C737,C737,$D$2:D737,D737)</f>
        <v>118</v>
      </c>
    </row>
    <row r="738" customFormat="false" ht="26.85" hidden="false" customHeight="false" outlineLevel="0" collapsed="false">
      <c r="A738" s="23" t="n">
        <v>737</v>
      </c>
      <c r="B738" s="30" t="s">
        <v>6522</v>
      </c>
      <c r="C738" s="23" t="n">
        <v>2</v>
      </c>
      <c r="D738" s="23" t="s">
        <v>4656</v>
      </c>
      <c r="E738" s="23" t="n">
        <f aca="false">IF(C738=1,COUNTIFS($C$2:C738,1,$D$2:D738,D738),COUNTIFS($C$2:$C$799,1,$D$2:$D$799,D738)+COUNTIFS($C$2:C738,2,$D$2:D738,D738))</f>
        <v>223</v>
      </c>
      <c r="F738" s="23" t="str">
        <f aca="false">D738&amp;" #"&amp;TEXT(E738,"000")</f>
        <v>신약 #223</v>
      </c>
      <c r="G738" s="30" t="s">
        <v>6458</v>
      </c>
      <c r="H738" s="30" t="s">
        <v>6459</v>
      </c>
      <c r="I738" s="23" t="s">
        <v>6514</v>
      </c>
      <c r="J738" s="24" t="s">
        <v>6523</v>
      </c>
      <c r="K738" s="23" t="s">
        <v>1085</v>
      </c>
      <c r="L738" s="24" t="s">
        <v>6524</v>
      </c>
      <c r="M738" s="24" t="s">
        <v>6525</v>
      </c>
      <c r="N738" s="23" t="s">
        <v>6526</v>
      </c>
      <c r="O738" s="24" t="s">
        <v>6527</v>
      </c>
      <c r="P738" s="24" t="s">
        <v>6096</v>
      </c>
      <c r="Q738" s="24" t="s">
        <v>6528</v>
      </c>
      <c r="R738" s="24"/>
      <c r="S738" s="24" t="s">
        <v>6432</v>
      </c>
      <c r="T738" s="24" t="str">
        <f aca="false">"["&amp;안내!$C$5&amp;" "&amp;F738&amp;"] "&amp;L738&amp;" | "&amp;J738</f>
        <v>[1분 성경 신약 #223] 일하기 싫어하거든 | 살후 3:1-18</v>
      </c>
      <c r="U738" s="26" t="n">
        <f aca="false">IF(D738="구약",IF(C738=1,안내!$C$9,안내!$C$10)+AD738-1,IF(C738=1,안내!$C$9,안내!$C$10)+7*INT((AD738-1)/4)+CHOOSE(MOD(AD738-1,4)+1,0,2,4,5))</f>
        <v>46787</v>
      </c>
      <c r="V738" s="23" t="str">
        <f aca="false">CHOOSE(WEEKDAY(U738,2),"월","화","수","목","금","토","일")</f>
        <v>금</v>
      </c>
      <c r="W738" s="24" t="str">
        <f aca="false">IFERROR(IF(INDEX($C$2:$C$799,MATCH(D738&amp;"#"&amp;(E738+1),$AC$2:$AC$799,0))=C738,"다음 편: ","시즌1 완결 · 시즌2 첫 편: ")&amp;INDEX($L$2:$L$799,MATCH(D738&amp;"#"&amp;(E738+1),$AC$2:$AC$799,0)),"신약 트랙 완결")</f>
        <v>다음 편: 죄인 중에 내가 괴수니라</v>
      </c>
      <c r="X738" s="23" t="s">
        <v>130</v>
      </c>
      <c r="Y738" s="23" t="s">
        <v>130</v>
      </c>
      <c r="Z738" s="23" t="s">
        <v>130</v>
      </c>
      <c r="AA738" s="23" t="s">
        <v>130</v>
      </c>
      <c r="AB738" s="24"/>
      <c r="AC738" s="23" t="str">
        <f aca="false">D738&amp;"#"&amp;E738</f>
        <v>신약#223</v>
      </c>
      <c r="AD738" s="23" t="n">
        <f aca="false">COUNTIFS($C$2:C738,C738,$D$2:D738,D738)</f>
        <v>119</v>
      </c>
    </row>
    <row r="739" customFormat="false" ht="26.85" hidden="false" customHeight="false" outlineLevel="0" collapsed="false">
      <c r="A739" s="23" t="n">
        <v>738</v>
      </c>
      <c r="B739" s="30" t="s">
        <v>6529</v>
      </c>
      <c r="C739" s="23" t="n">
        <v>2</v>
      </c>
      <c r="D739" s="23" t="s">
        <v>4656</v>
      </c>
      <c r="E739" s="23" t="n">
        <f aca="false">IF(C739=1,COUNTIFS($C$2:C739,1,$D$2:D739,D739),COUNTIFS($C$2:$C$799,1,$D$2:$D$799,D739)+COUNTIFS($C$2:C739,2,$D$2:D739,D739))</f>
        <v>224</v>
      </c>
      <c r="F739" s="23" t="str">
        <f aca="false">D739&amp;" #"&amp;TEXT(E739,"000")</f>
        <v>신약 #224</v>
      </c>
      <c r="G739" s="30" t="s">
        <v>6530</v>
      </c>
      <c r="H739" s="30" t="s">
        <v>6531</v>
      </c>
      <c r="I739" s="23" t="s">
        <v>6532</v>
      </c>
      <c r="J739" s="24" t="s">
        <v>6533</v>
      </c>
      <c r="K739" s="23" t="s">
        <v>1085</v>
      </c>
      <c r="L739" s="24" t="s">
        <v>6534</v>
      </c>
      <c r="M739" s="24" t="s">
        <v>6535</v>
      </c>
      <c r="N739" s="23" t="s">
        <v>6536</v>
      </c>
      <c r="O739" s="24" t="s">
        <v>6537</v>
      </c>
      <c r="P739" s="24" t="s">
        <v>6538</v>
      </c>
      <c r="Q739" s="24" t="s">
        <v>6539</v>
      </c>
      <c r="R739" s="24"/>
      <c r="S739" s="24" t="s">
        <v>6432</v>
      </c>
      <c r="T739" s="24" t="str">
        <f aca="false">"["&amp;안내!$C$5&amp;" "&amp;F739&amp;"] "&amp;L739&amp;" | "&amp;J739</f>
        <v>[1분 성경 신약 #224] 죄인 중에 내가 괴수니라 | 딤전 1:1-20</v>
      </c>
      <c r="U739" s="26" t="n">
        <f aca="false">IF(D739="구약",IF(C739=1,안내!$C$9,안내!$C$10)+AD739-1,IF(C739=1,안내!$C$9,안내!$C$10)+7*INT((AD739-1)/4)+CHOOSE(MOD(AD739-1,4)+1,0,2,4,5))</f>
        <v>46788</v>
      </c>
      <c r="V739" s="23" t="str">
        <f aca="false">CHOOSE(WEEKDAY(U739,2),"월","화","수","목","금","토","일")</f>
        <v>토</v>
      </c>
      <c r="W739" s="24" t="str">
        <f aca="false">IFERROR(IF(INDEX($C$2:$C$799,MATCH(D739&amp;"#"&amp;(E739+1),$AC$2:$AC$799,0))=C739,"다음 편: ","시즌1 완결 · 시즌2 첫 편: ")&amp;INDEX($L$2:$L$799,MATCH(D739&amp;"#"&amp;(E739+1),$AC$2:$AC$799,0)),"신약 트랙 완결")</f>
        <v>다음 편: 유일한 중보자</v>
      </c>
      <c r="X739" s="23" t="s">
        <v>130</v>
      </c>
      <c r="Y739" s="23" t="s">
        <v>130</v>
      </c>
      <c r="Z739" s="23" t="s">
        <v>130</v>
      </c>
      <c r="AA739" s="23" t="s">
        <v>130</v>
      </c>
      <c r="AB739" s="24"/>
      <c r="AC739" s="23" t="str">
        <f aca="false">D739&amp;"#"&amp;E739</f>
        <v>신약#224</v>
      </c>
      <c r="AD739" s="23" t="n">
        <f aca="false">COUNTIFS($C$2:C739,C739,$D$2:D739,D739)</f>
        <v>120</v>
      </c>
    </row>
    <row r="740" customFormat="false" ht="39.55" hidden="false" customHeight="false" outlineLevel="0" collapsed="false">
      <c r="A740" s="23" t="n">
        <v>739</v>
      </c>
      <c r="B740" s="30" t="s">
        <v>6540</v>
      </c>
      <c r="C740" s="23" t="n">
        <v>2</v>
      </c>
      <c r="D740" s="23" t="s">
        <v>4656</v>
      </c>
      <c r="E740" s="23" t="n">
        <f aca="false">IF(C740=1,COUNTIFS($C$2:C740,1,$D$2:D740,D740),COUNTIFS($C$2:$C$799,1,$D$2:$D$799,D740)+COUNTIFS($C$2:C740,2,$D$2:D740,D740))</f>
        <v>225</v>
      </c>
      <c r="F740" s="23" t="str">
        <f aca="false">D740&amp;" #"&amp;TEXT(E740,"000")</f>
        <v>신약 #225</v>
      </c>
      <c r="G740" s="30" t="s">
        <v>6530</v>
      </c>
      <c r="H740" s="30" t="s">
        <v>6531</v>
      </c>
      <c r="I740" s="23" t="s">
        <v>6532</v>
      </c>
      <c r="J740" s="24" t="s">
        <v>6541</v>
      </c>
      <c r="K740" s="23" t="s">
        <v>1085</v>
      </c>
      <c r="L740" s="24" t="s">
        <v>6542</v>
      </c>
      <c r="M740" s="24" t="s">
        <v>6543</v>
      </c>
      <c r="N740" s="23" t="s">
        <v>6544</v>
      </c>
      <c r="O740" s="24" t="s">
        <v>6545</v>
      </c>
      <c r="P740" s="24" t="s">
        <v>6096</v>
      </c>
      <c r="Q740" s="24" t="s">
        <v>6546</v>
      </c>
      <c r="R740" s="25" t="s">
        <v>6547</v>
      </c>
      <c r="S740" s="24" t="s">
        <v>6432</v>
      </c>
      <c r="T740" s="24" t="str">
        <f aca="false">"["&amp;안내!$C$5&amp;" "&amp;F740&amp;"] "&amp;L740&amp;" | "&amp;J740</f>
        <v>[1분 성경 신약 #225] 유일한 중보자 | 딤전 2:1-3:16</v>
      </c>
      <c r="U740" s="26" t="n">
        <f aca="false">IF(D740="구약",IF(C740=1,안내!$C$9,안내!$C$10)+AD740-1,IF(C740=1,안내!$C$9,안내!$C$10)+7*INT((AD740-1)/4)+CHOOSE(MOD(AD740-1,4)+1,0,2,4,5))</f>
        <v>46790</v>
      </c>
      <c r="V740" s="23" t="str">
        <f aca="false">CHOOSE(WEEKDAY(U740,2),"월","화","수","목","금","토","일")</f>
        <v>월</v>
      </c>
      <c r="W740" s="24" t="str">
        <f aca="false">IFERROR(IF(INDEX($C$2:$C$799,MATCH(D740&amp;"#"&amp;(E740+1),$AC$2:$AC$799,0))=C740,"다음 편: ","시즌1 완결 · 시즌2 첫 편: ")&amp;INDEX($L$2:$L$799,MATCH(D740&amp;"#"&amp;(E740+1),$AC$2:$AC$799,0)),"신약 트랙 완결")</f>
        <v>다음 편: 연소함을 업신여기지 못하게</v>
      </c>
      <c r="X740" s="23" t="s">
        <v>130</v>
      </c>
      <c r="Y740" s="23" t="s">
        <v>130</v>
      </c>
      <c r="Z740" s="23" t="s">
        <v>130</v>
      </c>
      <c r="AA740" s="23" t="s">
        <v>130</v>
      </c>
      <c r="AB740" s="24"/>
      <c r="AC740" s="23" t="str">
        <f aca="false">D740&amp;"#"&amp;E740</f>
        <v>신약#225</v>
      </c>
      <c r="AD740" s="23" t="n">
        <f aca="false">COUNTIFS($C$2:C740,C740,$D$2:D740,D740)</f>
        <v>121</v>
      </c>
    </row>
    <row r="741" customFormat="false" ht="26.85" hidden="false" customHeight="false" outlineLevel="0" collapsed="false">
      <c r="A741" s="23" t="n">
        <v>740</v>
      </c>
      <c r="B741" s="30" t="s">
        <v>6548</v>
      </c>
      <c r="C741" s="23" t="n">
        <v>2</v>
      </c>
      <c r="D741" s="23" t="s">
        <v>4656</v>
      </c>
      <c r="E741" s="23" t="n">
        <f aca="false">IF(C741=1,COUNTIFS($C$2:C741,1,$D$2:D741,D741),COUNTIFS($C$2:$C$799,1,$D$2:$D$799,D741)+COUNTIFS($C$2:C741,2,$D$2:D741,D741))</f>
        <v>226</v>
      </c>
      <c r="F741" s="23" t="str">
        <f aca="false">D741&amp;" #"&amp;TEXT(E741,"000")</f>
        <v>신약 #226</v>
      </c>
      <c r="G741" s="30" t="s">
        <v>6530</v>
      </c>
      <c r="H741" s="30" t="s">
        <v>6531</v>
      </c>
      <c r="I741" s="23" t="s">
        <v>6532</v>
      </c>
      <c r="J741" s="24" t="s">
        <v>6549</v>
      </c>
      <c r="K741" s="23" t="s">
        <v>1085</v>
      </c>
      <c r="L741" s="24" t="s">
        <v>6550</v>
      </c>
      <c r="M741" s="24" t="s">
        <v>6551</v>
      </c>
      <c r="N741" s="23" t="s">
        <v>6552</v>
      </c>
      <c r="O741" s="24" t="s">
        <v>6553</v>
      </c>
      <c r="P741" s="24" t="s">
        <v>6538</v>
      </c>
      <c r="Q741" s="24" t="s">
        <v>6554</v>
      </c>
      <c r="R741" s="25" t="s">
        <v>6555</v>
      </c>
      <c r="S741" s="24" t="s">
        <v>6432</v>
      </c>
      <c r="T741" s="24" t="str">
        <f aca="false">"["&amp;안내!$C$5&amp;" "&amp;F741&amp;"] "&amp;L741&amp;" | "&amp;J741</f>
        <v>[1분 성경 신약 #226] 연소함을 업신여기지 못하게 | 딤전 4:1-16</v>
      </c>
      <c r="U741" s="26" t="n">
        <f aca="false">IF(D741="구약",IF(C741=1,안내!$C$9,안내!$C$10)+AD741-1,IF(C741=1,안내!$C$9,안내!$C$10)+7*INT((AD741-1)/4)+CHOOSE(MOD(AD741-1,4)+1,0,2,4,5))</f>
        <v>46792</v>
      </c>
      <c r="V741" s="23" t="str">
        <f aca="false">CHOOSE(WEEKDAY(U741,2),"월","화","수","목","금","토","일")</f>
        <v>수</v>
      </c>
      <c r="W741" s="24" t="str">
        <f aca="false">IFERROR(IF(INDEX($C$2:$C$799,MATCH(D741&amp;"#"&amp;(E741+1),$AC$2:$AC$799,0))=C741,"다음 편: ","시즌1 완결 · 시즌2 첫 편: ")&amp;INDEX($L$2:$L$799,MATCH(D741&amp;"#"&amp;(E741+1),$AC$2:$AC$799,0)),"신약 트랙 완결")</f>
        <v>다음 편: 자족하는 마음</v>
      </c>
      <c r="X741" s="23" t="s">
        <v>130</v>
      </c>
      <c r="Y741" s="23" t="s">
        <v>130</v>
      </c>
      <c r="Z741" s="23" t="s">
        <v>130</v>
      </c>
      <c r="AA741" s="23" t="s">
        <v>130</v>
      </c>
      <c r="AB741" s="24"/>
      <c r="AC741" s="23" t="str">
        <f aca="false">D741&amp;"#"&amp;E741</f>
        <v>신약#226</v>
      </c>
      <c r="AD741" s="23" t="n">
        <f aca="false">COUNTIFS($C$2:C741,C741,$D$2:D741,D741)</f>
        <v>122</v>
      </c>
    </row>
    <row r="742" customFormat="false" ht="26.85" hidden="false" customHeight="false" outlineLevel="0" collapsed="false">
      <c r="A742" s="23" t="n">
        <v>741</v>
      </c>
      <c r="B742" s="30" t="s">
        <v>6556</v>
      </c>
      <c r="C742" s="23" t="n">
        <v>2</v>
      </c>
      <c r="D742" s="23" t="s">
        <v>4656</v>
      </c>
      <c r="E742" s="23" t="n">
        <f aca="false">IF(C742=1,COUNTIFS($C$2:C742,1,$D$2:D742,D742),COUNTIFS($C$2:$C$799,1,$D$2:$D$799,D742)+COUNTIFS($C$2:C742,2,$D$2:D742,D742))</f>
        <v>227</v>
      </c>
      <c r="F742" s="23" t="str">
        <f aca="false">D742&amp;" #"&amp;TEXT(E742,"000")</f>
        <v>신약 #227</v>
      </c>
      <c r="G742" s="30" t="s">
        <v>6530</v>
      </c>
      <c r="H742" s="30" t="s">
        <v>6531</v>
      </c>
      <c r="I742" s="23" t="s">
        <v>6532</v>
      </c>
      <c r="J742" s="24" t="s">
        <v>6557</v>
      </c>
      <c r="K742" s="23" t="s">
        <v>1085</v>
      </c>
      <c r="L742" s="24" t="s">
        <v>6558</v>
      </c>
      <c r="M742" s="24" t="s">
        <v>6559</v>
      </c>
      <c r="N742" s="23" t="s">
        <v>6560</v>
      </c>
      <c r="O742" s="24" t="s">
        <v>6561</v>
      </c>
      <c r="P742" s="24" t="s">
        <v>6538</v>
      </c>
      <c r="Q742" s="24" t="s">
        <v>6562</v>
      </c>
      <c r="R742" s="25" t="s">
        <v>6563</v>
      </c>
      <c r="S742" s="24" t="s">
        <v>6432</v>
      </c>
      <c r="T742" s="24" t="str">
        <f aca="false">"["&amp;안내!$C$5&amp;" "&amp;F742&amp;"] "&amp;L742&amp;" | "&amp;J742</f>
        <v>[1분 성경 신약 #227] 자족하는 마음 | 딤전 5:1-6:21</v>
      </c>
      <c r="U742" s="26" t="n">
        <f aca="false">IF(D742="구약",IF(C742=1,안내!$C$9,안내!$C$10)+AD742-1,IF(C742=1,안내!$C$9,안내!$C$10)+7*INT((AD742-1)/4)+CHOOSE(MOD(AD742-1,4)+1,0,2,4,5))</f>
        <v>46794</v>
      </c>
      <c r="V742" s="23" t="str">
        <f aca="false">CHOOSE(WEEKDAY(U742,2),"월","화","수","목","금","토","일")</f>
        <v>금</v>
      </c>
      <c r="W742" s="24" t="str">
        <f aca="false">IFERROR(IF(INDEX($C$2:$C$799,MATCH(D742&amp;"#"&amp;(E742+1),$AC$2:$AC$799,0))=C742,"다음 편: ","시즌1 완결 · 시즌2 첫 편: ")&amp;INDEX($L$2:$L$799,MATCH(D742&amp;"#"&amp;(E742+1),$AC$2:$AC$799,0)),"신약 트랙 완결")</f>
        <v>다음 편: 두려워하는 마음이 아니요</v>
      </c>
      <c r="X742" s="23" t="s">
        <v>130</v>
      </c>
      <c r="Y742" s="23" t="s">
        <v>130</v>
      </c>
      <c r="Z742" s="23" t="s">
        <v>130</v>
      </c>
      <c r="AA742" s="23" t="s">
        <v>130</v>
      </c>
      <c r="AB742" s="24"/>
      <c r="AC742" s="23" t="str">
        <f aca="false">D742&amp;"#"&amp;E742</f>
        <v>신약#227</v>
      </c>
      <c r="AD742" s="23" t="n">
        <f aca="false">COUNTIFS($C$2:C742,C742,$D$2:D742,D742)</f>
        <v>123</v>
      </c>
    </row>
    <row r="743" customFormat="false" ht="39.55" hidden="false" customHeight="false" outlineLevel="0" collapsed="false">
      <c r="A743" s="23" t="n">
        <v>742</v>
      </c>
      <c r="B743" s="30" t="s">
        <v>6564</v>
      </c>
      <c r="C743" s="23" t="n">
        <v>2</v>
      </c>
      <c r="D743" s="23" t="s">
        <v>4656</v>
      </c>
      <c r="E743" s="23" t="n">
        <f aca="false">IF(C743=1,COUNTIFS($C$2:C743,1,$D$2:D743,D743),COUNTIFS($C$2:$C$799,1,$D$2:$D$799,D743)+COUNTIFS($C$2:C743,2,$D$2:D743,D743))</f>
        <v>228</v>
      </c>
      <c r="F743" s="23" t="str">
        <f aca="false">D743&amp;" #"&amp;TEXT(E743,"000")</f>
        <v>신약 #228</v>
      </c>
      <c r="G743" s="30" t="s">
        <v>6530</v>
      </c>
      <c r="H743" s="30" t="s">
        <v>6531</v>
      </c>
      <c r="I743" s="23" t="s">
        <v>6565</v>
      </c>
      <c r="J743" s="24" t="s">
        <v>6566</v>
      </c>
      <c r="K743" s="23" t="s">
        <v>1085</v>
      </c>
      <c r="L743" s="24" t="s">
        <v>6567</v>
      </c>
      <c r="M743" s="24" t="s">
        <v>6568</v>
      </c>
      <c r="N743" s="23" t="s">
        <v>6569</v>
      </c>
      <c r="O743" s="24" t="s">
        <v>6570</v>
      </c>
      <c r="P743" s="24" t="s">
        <v>6571</v>
      </c>
      <c r="Q743" s="24" t="s">
        <v>6572</v>
      </c>
      <c r="R743" s="24"/>
      <c r="S743" s="24" t="s">
        <v>6432</v>
      </c>
      <c r="T743" s="24" t="str">
        <f aca="false">"["&amp;안내!$C$5&amp;" "&amp;F743&amp;"] "&amp;L743&amp;" | "&amp;J743</f>
        <v>[1분 성경 신약 #228] 두려워하는 마음이 아니요 | 딤후 1:1-18</v>
      </c>
      <c r="U743" s="26" t="n">
        <f aca="false">IF(D743="구약",IF(C743=1,안내!$C$9,안내!$C$10)+AD743-1,IF(C743=1,안내!$C$9,안내!$C$10)+7*INT((AD743-1)/4)+CHOOSE(MOD(AD743-1,4)+1,0,2,4,5))</f>
        <v>46795</v>
      </c>
      <c r="V743" s="23" t="str">
        <f aca="false">CHOOSE(WEEKDAY(U743,2),"월","화","수","목","금","토","일")</f>
        <v>토</v>
      </c>
      <c r="W743" s="24" t="str">
        <f aca="false">IFERROR(IF(INDEX($C$2:$C$799,MATCH(D743&amp;"#"&amp;(E743+1),$AC$2:$AC$799,0))=C743,"다음 편: ","시즌1 완결 · 시즌2 첫 편: ")&amp;INDEX($L$2:$L$799,MATCH(D743&amp;"#"&amp;(E743+1),$AC$2:$AC$799,0)),"신약 트랙 완결")</f>
        <v>다음 편: 진리의 말씀을 옳게 분별하며</v>
      </c>
      <c r="X743" s="23" t="s">
        <v>130</v>
      </c>
      <c r="Y743" s="23" t="s">
        <v>130</v>
      </c>
      <c r="Z743" s="23" t="s">
        <v>130</v>
      </c>
      <c r="AA743" s="23" t="s">
        <v>130</v>
      </c>
      <c r="AB743" s="24"/>
      <c r="AC743" s="23" t="str">
        <f aca="false">D743&amp;"#"&amp;E743</f>
        <v>신약#228</v>
      </c>
      <c r="AD743" s="23" t="n">
        <f aca="false">COUNTIFS($C$2:C743,C743,$D$2:D743,D743)</f>
        <v>124</v>
      </c>
    </row>
    <row r="744" customFormat="false" ht="26.85" hidden="false" customHeight="false" outlineLevel="0" collapsed="false">
      <c r="A744" s="23" t="n">
        <v>743</v>
      </c>
      <c r="B744" s="30" t="s">
        <v>6573</v>
      </c>
      <c r="C744" s="23" t="n">
        <v>2</v>
      </c>
      <c r="D744" s="23" t="s">
        <v>4656</v>
      </c>
      <c r="E744" s="23" t="n">
        <f aca="false">IF(C744=1,COUNTIFS($C$2:C744,1,$D$2:D744,D744),COUNTIFS($C$2:$C$799,1,$D$2:$D$799,D744)+COUNTIFS($C$2:C744,2,$D$2:D744,D744))</f>
        <v>229</v>
      </c>
      <c r="F744" s="23" t="str">
        <f aca="false">D744&amp;" #"&amp;TEXT(E744,"000")</f>
        <v>신약 #229</v>
      </c>
      <c r="G744" s="30" t="s">
        <v>6530</v>
      </c>
      <c r="H744" s="30" t="s">
        <v>6531</v>
      </c>
      <c r="I744" s="23" t="s">
        <v>6565</v>
      </c>
      <c r="J744" s="24" t="s">
        <v>6574</v>
      </c>
      <c r="K744" s="23" t="s">
        <v>1085</v>
      </c>
      <c r="L744" s="24" t="s">
        <v>6575</v>
      </c>
      <c r="M744" s="24" t="s">
        <v>6576</v>
      </c>
      <c r="N744" s="23" t="s">
        <v>6577</v>
      </c>
      <c r="O744" s="24" t="s">
        <v>6578</v>
      </c>
      <c r="P744" s="24" t="s">
        <v>6538</v>
      </c>
      <c r="Q744" s="24" t="s">
        <v>6579</v>
      </c>
      <c r="R744" s="24"/>
      <c r="S744" s="24" t="s">
        <v>6432</v>
      </c>
      <c r="T744" s="24" t="str">
        <f aca="false">"["&amp;안내!$C$5&amp;" "&amp;F744&amp;"] "&amp;L744&amp;" | "&amp;J744</f>
        <v>[1분 성경 신약 #229] 진리의 말씀을 옳게 분별하며 | 딤후 2:1-26</v>
      </c>
      <c r="U744" s="26" t="n">
        <f aca="false">IF(D744="구약",IF(C744=1,안내!$C$9,안내!$C$10)+AD744-1,IF(C744=1,안내!$C$9,안내!$C$10)+7*INT((AD744-1)/4)+CHOOSE(MOD(AD744-1,4)+1,0,2,4,5))</f>
        <v>46797</v>
      </c>
      <c r="V744" s="23" t="str">
        <f aca="false">CHOOSE(WEEKDAY(U744,2),"월","화","수","목","금","토","일")</f>
        <v>월</v>
      </c>
      <c r="W744" s="24" t="str">
        <f aca="false">IFERROR(IF(INDEX($C$2:$C$799,MATCH(D744&amp;"#"&amp;(E744+1),$AC$2:$AC$799,0))=C744,"다음 편: ","시즌1 완결 · 시즌2 첫 편: ")&amp;INDEX($L$2:$L$799,MATCH(D744&amp;"#"&amp;(E744+1),$AC$2:$AC$799,0)),"신약 트랙 완결")</f>
        <v>다음 편: 모든 성경은 하나님의 감동으로</v>
      </c>
      <c r="X744" s="23" t="s">
        <v>130</v>
      </c>
      <c r="Y744" s="23" t="s">
        <v>130</v>
      </c>
      <c r="Z744" s="23" t="s">
        <v>130</v>
      </c>
      <c r="AA744" s="23" t="s">
        <v>130</v>
      </c>
      <c r="AB744" s="24"/>
      <c r="AC744" s="23" t="str">
        <f aca="false">D744&amp;"#"&amp;E744</f>
        <v>신약#229</v>
      </c>
      <c r="AD744" s="23" t="n">
        <f aca="false">COUNTIFS($C$2:C744,C744,$D$2:D744,D744)</f>
        <v>125</v>
      </c>
    </row>
    <row r="745" customFormat="false" ht="39.55" hidden="false" customHeight="false" outlineLevel="0" collapsed="false">
      <c r="A745" s="23" t="n">
        <v>744</v>
      </c>
      <c r="B745" s="30" t="s">
        <v>6580</v>
      </c>
      <c r="C745" s="23" t="n">
        <v>2</v>
      </c>
      <c r="D745" s="23" t="s">
        <v>4656</v>
      </c>
      <c r="E745" s="23" t="n">
        <f aca="false">IF(C745=1,COUNTIFS($C$2:C745,1,$D$2:D745,D745),COUNTIFS($C$2:$C$799,1,$D$2:$D$799,D745)+COUNTIFS($C$2:C745,2,$D$2:D745,D745))</f>
        <v>230</v>
      </c>
      <c r="F745" s="23" t="str">
        <f aca="false">D745&amp;" #"&amp;TEXT(E745,"000")</f>
        <v>신약 #230</v>
      </c>
      <c r="G745" s="30" t="s">
        <v>6530</v>
      </c>
      <c r="H745" s="30" t="s">
        <v>6531</v>
      </c>
      <c r="I745" s="23" t="s">
        <v>6565</v>
      </c>
      <c r="J745" s="24" t="s">
        <v>6581</v>
      </c>
      <c r="K745" s="23" t="s">
        <v>1085</v>
      </c>
      <c r="L745" s="24" t="s">
        <v>6582</v>
      </c>
      <c r="M745" s="24" t="s">
        <v>6583</v>
      </c>
      <c r="N745" s="23" t="s">
        <v>6584</v>
      </c>
      <c r="O745" s="24" t="s">
        <v>6585</v>
      </c>
      <c r="P745" s="24" t="s">
        <v>6096</v>
      </c>
      <c r="Q745" s="24" t="s">
        <v>6586</v>
      </c>
      <c r="R745" s="25" t="s">
        <v>6587</v>
      </c>
      <c r="S745" s="24" t="s">
        <v>6432</v>
      </c>
      <c r="T745" s="24" t="str">
        <f aca="false">"["&amp;안내!$C$5&amp;" "&amp;F745&amp;"] "&amp;L745&amp;" | "&amp;J745</f>
        <v>[1분 성경 신약 #230] 모든 성경은 하나님의 감동으로 | 딤후 3:1-4:22</v>
      </c>
      <c r="U745" s="26" t="n">
        <f aca="false">IF(D745="구약",IF(C745=1,안내!$C$9,안내!$C$10)+AD745-1,IF(C745=1,안내!$C$9,안내!$C$10)+7*INT((AD745-1)/4)+CHOOSE(MOD(AD745-1,4)+1,0,2,4,5))</f>
        <v>46799</v>
      </c>
      <c r="V745" s="23" t="str">
        <f aca="false">CHOOSE(WEEKDAY(U745,2),"월","화","수","목","금","토","일")</f>
        <v>수</v>
      </c>
      <c r="W745" s="24" t="str">
        <f aca="false">IFERROR(IF(INDEX($C$2:$C$799,MATCH(D745&amp;"#"&amp;(E745+1),$AC$2:$AC$799,0))=C745,"다음 편: ","시즌1 완결 · 시즌2 첫 편: ")&amp;INDEX($L$2:$L$799,MATCH(D745&amp;"#"&amp;(E745+1),$AC$2:$AC$799,0)),"신약 트랙 완결")</f>
        <v>다음 편: 바른 교훈을 지키는 사람</v>
      </c>
      <c r="X745" s="23" t="s">
        <v>130</v>
      </c>
      <c r="Y745" s="23" t="s">
        <v>130</v>
      </c>
      <c r="Z745" s="23" t="s">
        <v>130</v>
      </c>
      <c r="AA745" s="23" t="s">
        <v>130</v>
      </c>
      <c r="AB745" s="24"/>
      <c r="AC745" s="23" t="str">
        <f aca="false">D745&amp;"#"&amp;E745</f>
        <v>신약#230</v>
      </c>
      <c r="AD745" s="23" t="n">
        <f aca="false">COUNTIFS($C$2:C745,C745,$D$2:D745,D745)</f>
        <v>126</v>
      </c>
    </row>
    <row r="746" customFormat="false" ht="26.85" hidden="false" customHeight="false" outlineLevel="0" collapsed="false">
      <c r="A746" s="23" t="n">
        <v>745</v>
      </c>
      <c r="B746" s="30" t="s">
        <v>6588</v>
      </c>
      <c r="C746" s="23" t="n">
        <v>2</v>
      </c>
      <c r="D746" s="23" t="s">
        <v>4656</v>
      </c>
      <c r="E746" s="23" t="n">
        <f aca="false">IF(C746=1,COUNTIFS($C$2:C746,1,$D$2:D746,D746),COUNTIFS($C$2:$C$799,1,$D$2:$D$799,D746)+COUNTIFS($C$2:C746,2,$D$2:D746,D746))</f>
        <v>231</v>
      </c>
      <c r="F746" s="23" t="str">
        <f aca="false">D746&amp;" #"&amp;TEXT(E746,"000")</f>
        <v>신약 #231</v>
      </c>
      <c r="G746" s="30" t="s">
        <v>6530</v>
      </c>
      <c r="H746" s="30" t="s">
        <v>6531</v>
      </c>
      <c r="I746" s="23" t="s">
        <v>6589</v>
      </c>
      <c r="J746" s="24" t="s">
        <v>6590</v>
      </c>
      <c r="K746" s="23" t="s">
        <v>1085</v>
      </c>
      <c r="L746" s="24" t="s">
        <v>6591</v>
      </c>
      <c r="M746" s="24" t="s">
        <v>6592</v>
      </c>
      <c r="N746" s="23" t="s">
        <v>6593</v>
      </c>
      <c r="O746" s="24" t="s">
        <v>6594</v>
      </c>
      <c r="P746" s="24" t="s">
        <v>6595</v>
      </c>
      <c r="Q746" s="24" t="s">
        <v>6596</v>
      </c>
      <c r="R746" s="24"/>
      <c r="S746" s="24" t="s">
        <v>6432</v>
      </c>
      <c r="T746" s="24" t="str">
        <f aca="false">"["&amp;안내!$C$5&amp;" "&amp;F746&amp;"] "&amp;L746&amp;" | "&amp;J746</f>
        <v>[1분 성경 신약 #231] 바른 교훈을 지키는 사람 | 딛 1:1-16</v>
      </c>
      <c r="U746" s="26" t="n">
        <f aca="false">IF(D746="구약",IF(C746=1,안내!$C$9,안내!$C$10)+AD746-1,IF(C746=1,안내!$C$9,안내!$C$10)+7*INT((AD746-1)/4)+CHOOSE(MOD(AD746-1,4)+1,0,2,4,5))</f>
        <v>46801</v>
      </c>
      <c r="V746" s="23" t="str">
        <f aca="false">CHOOSE(WEEKDAY(U746,2),"월","화","수","목","금","토","일")</f>
        <v>금</v>
      </c>
      <c r="W746" s="24" t="str">
        <f aca="false">IFERROR(IF(INDEX($C$2:$C$799,MATCH(D746&amp;"#"&amp;(E746+1),$AC$2:$AC$799,0))=C746,"다음 편: ","시즌1 완결 · 시즌2 첫 편: ")&amp;INDEX($L$2:$L$799,MATCH(D746&amp;"#"&amp;(E746+1),$AC$2:$AC$799,0)),"신약 트랙 완결")</f>
        <v>다음 편: 은혜가 나타나</v>
      </c>
      <c r="X746" s="23" t="s">
        <v>130</v>
      </c>
      <c r="Y746" s="23" t="s">
        <v>130</v>
      </c>
      <c r="Z746" s="23" t="s">
        <v>130</v>
      </c>
      <c r="AA746" s="23" t="s">
        <v>130</v>
      </c>
      <c r="AB746" s="24"/>
      <c r="AC746" s="23" t="str">
        <f aca="false">D746&amp;"#"&amp;E746</f>
        <v>신약#231</v>
      </c>
      <c r="AD746" s="23" t="n">
        <f aca="false">COUNTIFS($C$2:C746,C746,$D$2:D746,D746)</f>
        <v>127</v>
      </c>
    </row>
    <row r="747" customFormat="false" ht="39.55" hidden="false" customHeight="false" outlineLevel="0" collapsed="false">
      <c r="A747" s="23" t="n">
        <v>746</v>
      </c>
      <c r="B747" s="30" t="s">
        <v>6597</v>
      </c>
      <c r="C747" s="23" t="n">
        <v>2</v>
      </c>
      <c r="D747" s="23" t="s">
        <v>4656</v>
      </c>
      <c r="E747" s="23" t="n">
        <f aca="false">IF(C747=1,COUNTIFS($C$2:C747,1,$D$2:D747,D747),COUNTIFS($C$2:$C$799,1,$D$2:$D$799,D747)+COUNTIFS($C$2:C747,2,$D$2:D747,D747))</f>
        <v>232</v>
      </c>
      <c r="F747" s="23" t="str">
        <f aca="false">D747&amp;" #"&amp;TEXT(E747,"000")</f>
        <v>신약 #232</v>
      </c>
      <c r="G747" s="30" t="s">
        <v>6530</v>
      </c>
      <c r="H747" s="30" t="s">
        <v>6531</v>
      </c>
      <c r="I747" s="23" t="s">
        <v>6589</v>
      </c>
      <c r="J747" s="24" t="s">
        <v>6598</v>
      </c>
      <c r="K747" s="23" t="s">
        <v>1085</v>
      </c>
      <c r="L747" s="24" t="s">
        <v>6599</v>
      </c>
      <c r="M747" s="24" t="s">
        <v>6600</v>
      </c>
      <c r="N747" s="23" t="s">
        <v>6601</v>
      </c>
      <c r="O747" s="24" t="s">
        <v>6602</v>
      </c>
      <c r="P747" s="24" t="s">
        <v>6595</v>
      </c>
      <c r="Q747" s="24" t="s">
        <v>6603</v>
      </c>
      <c r="R747" s="25" t="s">
        <v>6389</v>
      </c>
      <c r="S747" s="24" t="s">
        <v>6432</v>
      </c>
      <c r="T747" s="24" t="str">
        <f aca="false">"["&amp;안내!$C$5&amp;" "&amp;F747&amp;"] "&amp;L747&amp;" | "&amp;J747</f>
        <v>[1분 성경 신약 #232] 은혜가 나타나 | 딛 2:1-3:15</v>
      </c>
      <c r="U747" s="26" t="n">
        <f aca="false">IF(D747="구약",IF(C747=1,안내!$C$9,안내!$C$10)+AD747-1,IF(C747=1,안내!$C$9,안내!$C$10)+7*INT((AD747-1)/4)+CHOOSE(MOD(AD747-1,4)+1,0,2,4,5))</f>
        <v>46802</v>
      </c>
      <c r="V747" s="23" t="str">
        <f aca="false">CHOOSE(WEEKDAY(U747,2),"월","화","수","목","금","토","일")</f>
        <v>토</v>
      </c>
      <c r="W747" s="24" t="str">
        <f aca="false">IFERROR(IF(INDEX($C$2:$C$799,MATCH(D747&amp;"#"&amp;(E747+1),$AC$2:$AC$799,0))=C747,"다음 편: ","시즌1 완결 · 시즌2 첫 편: ")&amp;INDEX($L$2:$L$799,MATCH(D747&amp;"#"&amp;(E747+1),$AC$2:$AC$799,0)),"신약 트랙 완결")</f>
        <v>다음 편: 도망친 노예 오네시모</v>
      </c>
      <c r="X747" s="23" t="s">
        <v>130</v>
      </c>
      <c r="Y747" s="23" t="s">
        <v>130</v>
      </c>
      <c r="Z747" s="23" t="s">
        <v>130</v>
      </c>
      <c r="AA747" s="23" t="s">
        <v>130</v>
      </c>
      <c r="AB747" s="24"/>
      <c r="AC747" s="23" t="str">
        <f aca="false">D747&amp;"#"&amp;E747</f>
        <v>신약#232</v>
      </c>
      <c r="AD747" s="23" t="n">
        <f aca="false">COUNTIFS($C$2:C747,C747,$D$2:D747,D747)</f>
        <v>128</v>
      </c>
    </row>
    <row r="748" customFormat="false" ht="26.85" hidden="false" customHeight="false" outlineLevel="0" collapsed="false">
      <c r="A748" s="23" t="n">
        <v>747</v>
      </c>
      <c r="B748" s="30" t="s">
        <v>6604</v>
      </c>
      <c r="C748" s="23" t="n">
        <v>2</v>
      </c>
      <c r="D748" s="23" t="s">
        <v>4656</v>
      </c>
      <c r="E748" s="23" t="n">
        <f aca="false">IF(C748=1,COUNTIFS($C$2:C748,1,$D$2:D748,D748),COUNTIFS($C$2:$C$799,1,$D$2:$D$799,D748)+COUNTIFS($C$2:C748,2,$D$2:D748,D748))</f>
        <v>233</v>
      </c>
      <c r="F748" s="23" t="str">
        <f aca="false">D748&amp;" #"&amp;TEXT(E748,"000")</f>
        <v>신약 #233</v>
      </c>
      <c r="G748" s="30" t="s">
        <v>6530</v>
      </c>
      <c r="H748" s="30" t="s">
        <v>6531</v>
      </c>
      <c r="I748" s="23" t="s">
        <v>6605</v>
      </c>
      <c r="J748" s="24" t="s">
        <v>6606</v>
      </c>
      <c r="K748" s="23" t="s">
        <v>1085</v>
      </c>
      <c r="L748" s="24" t="s">
        <v>6607</v>
      </c>
      <c r="M748" s="24" t="s">
        <v>6608</v>
      </c>
      <c r="N748" s="23" t="s">
        <v>6609</v>
      </c>
      <c r="O748" s="24" t="s">
        <v>6610</v>
      </c>
      <c r="P748" s="24" t="s">
        <v>6611</v>
      </c>
      <c r="Q748" s="24" t="s">
        <v>6612</v>
      </c>
      <c r="R748" s="25" t="s">
        <v>6613</v>
      </c>
      <c r="S748" s="24" t="s">
        <v>6432</v>
      </c>
      <c r="T748" s="24" t="str">
        <f aca="false">"["&amp;안내!$C$5&amp;" "&amp;F748&amp;"] "&amp;L748&amp;" | "&amp;J748</f>
        <v>[1분 성경 신약 #233] 도망친 노예 오네시모 | 몬 1:1-25</v>
      </c>
      <c r="U748" s="26" t="n">
        <f aca="false">IF(D748="구약",IF(C748=1,안내!$C$9,안내!$C$10)+AD748-1,IF(C748=1,안내!$C$9,안내!$C$10)+7*INT((AD748-1)/4)+CHOOSE(MOD(AD748-1,4)+1,0,2,4,5))</f>
        <v>46804</v>
      </c>
      <c r="V748" s="23" t="str">
        <f aca="false">CHOOSE(WEEKDAY(U748,2),"월","화","수","목","금","토","일")</f>
        <v>월</v>
      </c>
      <c r="W748" s="24" t="str">
        <f aca="false">IFERROR(IF(INDEX($C$2:$C$799,MATCH(D748&amp;"#"&amp;(E748+1),$AC$2:$AC$799,0))=C748,"다음 편: ","시즌1 완결 · 시즌2 첫 편: ")&amp;INDEX($L$2:$L$799,MATCH(D748&amp;"#"&amp;(E748+1),$AC$2:$AC$799,0)),"신약 트랙 완결")</f>
        <v>다음 편: 천사보다 뛰어나신 아들</v>
      </c>
      <c r="X748" s="23" t="s">
        <v>130</v>
      </c>
      <c r="Y748" s="23" t="s">
        <v>130</v>
      </c>
      <c r="Z748" s="23" t="s">
        <v>130</v>
      </c>
      <c r="AA748" s="23" t="s">
        <v>130</v>
      </c>
      <c r="AB748" s="24"/>
      <c r="AC748" s="23" t="str">
        <f aca="false">D748&amp;"#"&amp;E748</f>
        <v>신약#233</v>
      </c>
      <c r="AD748" s="23" t="n">
        <f aca="false">COUNTIFS($C$2:C748,C748,$D$2:D748,D748)</f>
        <v>129</v>
      </c>
    </row>
    <row r="749" customFormat="false" ht="26.85" hidden="false" customHeight="false" outlineLevel="0" collapsed="false">
      <c r="A749" s="23" t="n">
        <v>748</v>
      </c>
      <c r="B749" s="30" t="s">
        <v>6614</v>
      </c>
      <c r="C749" s="23" t="n">
        <v>2</v>
      </c>
      <c r="D749" s="23" t="s">
        <v>4656</v>
      </c>
      <c r="E749" s="23" t="n">
        <f aca="false">IF(C749=1,COUNTIFS($C$2:C749,1,$D$2:D749,D749),COUNTIFS($C$2:$C$799,1,$D$2:$D$799,D749)+COUNTIFS($C$2:C749,2,$D$2:D749,D749))</f>
        <v>234</v>
      </c>
      <c r="F749" s="23" t="str">
        <f aca="false">D749&amp;" #"&amp;TEXT(E749,"000")</f>
        <v>신약 #234</v>
      </c>
      <c r="G749" s="30" t="s">
        <v>6615</v>
      </c>
      <c r="H749" s="30" t="s">
        <v>6616</v>
      </c>
      <c r="I749" s="23" t="s">
        <v>6617</v>
      </c>
      <c r="J749" s="24" t="s">
        <v>6618</v>
      </c>
      <c r="K749" s="23" t="s">
        <v>1085</v>
      </c>
      <c r="L749" s="24" t="s">
        <v>6619</v>
      </c>
      <c r="M749" s="24" t="s">
        <v>6620</v>
      </c>
      <c r="N749" s="23" t="s">
        <v>6621</v>
      </c>
      <c r="O749" s="24" t="s">
        <v>6622</v>
      </c>
      <c r="P749" s="24" t="s">
        <v>6623</v>
      </c>
      <c r="Q749" s="24" t="s">
        <v>3513</v>
      </c>
      <c r="R749" s="25" t="s">
        <v>6624</v>
      </c>
      <c r="S749" s="24" t="s">
        <v>6432</v>
      </c>
      <c r="T749" s="24" t="str">
        <f aca="false">"["&amp;안내!$C$5&amp;" "&amp;F749&amp;"] "&amp;L749&amp;" | "&amp;J749</f>
        <v>[1분 성경 신약 #234] 천사보다 뛰어나신 아들 | 히 1:1-2:18</v>
      </c>
      <c r="U749" s="26" t="n">
        <f aca="false">IF(D749="구약",IF(C749=1,안내!$C$9,안내!$C$10)+AD749-1,IF(C749=1,안내!$C$9,안내!$C$10)+7*INT((AD749-1)/4)+CHOOSE(MOD(AD749-1,4)+1,0,2,4,5))</f>
        <v>46806</v>
      </c>
      <c r="V749" s="23" t="str">
        <f aca="false">CHOOSE(WEEKDAY(U749,2),"월","화","수","목","금","토","일")</f>
        <v>수</v>
      </c>
      <c r="W749" s="24" t="str">
        <f aca="false">IFERROR(IF(INDEX($C$2:$C$799,MATCH(D749&amp;"#"&amp;(E749+1),$AC$2:$AC$799,0))=C749,"다음 편: ","시즌1 완결 · 시즌2 첫 편: ")&amp;INDEX($L$2:$L$799,MATCH(D749&amp;"#"&amp;(E749+1),$AC$2:$AC$799,0)),"신약 트랙 완결")</f>
        <v>다음 편: 살아 있는 말씀</v>
      </c>
      <c r="X749" s="23" t="s">
        <v>130</v>
      </c>
      <c r="Y749" s="23" t="s">
        <v>130</v>
      </c>
      <c r="Z749" s="23" t="s">
        <v>130</v>
      </c>
      <c r="AA749" s="23" t="s">
        <v>130</v>
      </c>
      <c r="AB749" s="24"/>
      <c r="AC749" s="23" t="str">
        <f aca="false">D749&amp;"#"&amp;E749</f>
        <v>신약#234</v>
      </c>
      <c r="AD749" s="23" t="n">
        <f aca="false">COUNTIFS($C$2:C749,C749,$D$2:D749,D749)</f>
        <v>130</v>
      </c>
    </row>
    <row r="750" customFormat="false" ht="26.85" hidden="false" customHeight="false" outlineLevel="0" collapsed="false">
      <c r="A750" s="23" t="n">
        <v>749</v>
      </c>
      <c r="B750" s="30" t="s">
        <v>6625</v>
      </c>
      <c r="C750" s="23" t="n">
        <v>2</v>
      </c>
      <c r="D750" s="23" t="s">
        <v>4656</v>
      </c>
      <c r="E750" s="23" t="n">
        <f aca="false">IF(C750=1,COUNTIFS($C$2:C750,1,$D$2:D750,D750),COUNTIFS($C$2:$C$799,1,$D$2:$D$799,D750)+COUNTIFS($C$2:C750,2,$D$2:D750,D750))</f>
        <v>235</v>
      </c>
      <c r="F750" s="23" t="str">
        <f aca="false">D750&amp;" #"&amp;TEXT(E750,"000")</f>
        <v>신약 #235</v>
      </c>
      <c r="G750" s="30" t="s">
        <v>6615</v>
      </c>
      <c r="H750" s="30" t="s">
        <v>6616</v>
      </c>
      <c r="I750" s="23" t="s">
        <v>6617</v>
      </c>
      <c r="J750" s="24" t="s">
        <v>6626</v>
      </c>
      <c r="K750" s="23" t="s">
        <v>1085</v>
      </c>
      <c r="L750" s="24" t="s">
        <v>6627</v>
      </c>
      <c r="M750" s="24" t="s">
        <v>6628</v>
      </c>
      <c r="N750" s="23" t="s">
        <v>6629</v>
      </c>
      <c r="O750" s="24" t="s">
        <v>6630</v>
      </c>
      <c r="P750" s="24" t="s">
        <v>6631</v>
      </c>
      <c r="Q750" s="24" t="s">
        <v>6632</v>
      </c>
      <c r="R750" s="24"/>
      <c r="S750" s="24" t="s">
        <v>6432</v>
      </c>
      <c r="T750" s="24" t="str">
        <f aca="false">"["&amp;안내!$C$5&amp;" "&amp;F750&amp;"] "&amp;L750&amp;" | "&amp;J750</f>
        <v>[1분 성경 신약 #235] 살아 있는 말씀 | 히 3:1-4:13</v>
      </c>
      <c r="U750" s="26" t="n">
        <f aca="false">IF(D750="구약",IF(C750=1,안내!$C$9,안내!$C$10)+AD750-1,IF(C750=1,안내!$C$9,안내!$C$10)+7*INT((AD750-1)/4)+CHOOSE(MOD(AD750-1,4)+1,0,2,4,5))</f>
        <v>46808</v>
      </c>
      <c r="V750" s="23" t="str">
        <f aca="false">CHOOSE(WEEKDAY(U750,2),"월","화","수","목","금","토","일")</f>
        <v>금</v>
      </c>
      <c r="W750" s="24" t="str">
        <f aca="false">IFERROR(IF(INDEX($C$2:$C$799,MATCH(D750&amp;"#"&amp;(E750+1),$AC$2:$AC$799,0))=C750,"다음 편: ","시즌1 완결 · 시즌2 첫 편: ")&amp;INDEX($L$2:$L$799,MATCH(D750&amp;"#"&amp;(E750+1),$AC$2:$AC$799,0)),"신약 트랙 완결")</f>
        <v>다음 편: 큰 대제사장</v>
      </c>
      <c r="X750" s="23" t="s">
        <v>130</v>
      </c>
      <c r="Y750" s="23" t="s">
        <v>130</v>
      </c>
      <c r="Z750" s="23" t="s">
        <v>130</v>
      </c>
      <c r="AA750" s="23" t="s">
        <v>130</v>
      </c>
      <c r="AB750" s="24"/>
      <c r="AC750" s="23" t="str">
        <f aca="false">D750&amp;"#"&amp;E750</f>
        <v>신약#235</v>
      </c>
      <c r="AD750" s="23" t="n">
        <f aca="false">COUNTIFS($C$2:C750,C750,$D$2:D750,D750)</f>
        <v>131</v>
      </c>
    </row>
    <row r="751" customFormat="false" ht="26.85" hidden="false" customHeight="false" outlineLevel="0" collapsed="false">
      <c r="A751" s="23" t="n">
        <v>750</v>
      </c>
      <c r="B751" s="30" t="s">
        <v>6633</v>
      </c>
      <c r="C751" s="23" t="n">
        <v>2</v>
      </c>
      <c r="D751" s="23" t="s">
        <v>4656</v>
      </c>
      <c r="E751" s="23" t="n">
        <f aca="false">IF(C751=1,COUNTIFS($C$2:C751,1,$D$2:D751,D751),COUNTIFS($C$2:$C$799,1,$D$2:$D$799,D751)+COUNTIFS($C$2:C751,2,$D$2:D751,D751))</f>
        <v>236</v>
      </c>
      <c r="F751" s="23" t="str">
        <f aca="false">D751&amp;" #"&amp;TEXT(E751,"000")</f>
        <v>신약 #236</v>
      </c>
      <c r="G751" s="30" t="s">
        <v>6615</v>
      </c>
      <c r="H751" s="30" t="s">
        <v>6616</v>
      </c>
      <c r="I751" s="23" t="s">
        <v>6617</v>
      </c>
      <c r="J751" s="24" t="s">
        <v>6634</v>
      </c>
      <c r="K751" s="23" t="s">
        <v>1085</v>
      </c>
      <c r="L751" s="24" t="s">
        <v>6635</v>
      </c>
      <c r="M751" s="24" t="s">
        <v>6636</v>
      </c>
      <c r="N751" s="23" t="s">
        <v>6637</v>
      </c>
      <c r="O751" s="24" t="s">
        <v>6638</v>
      </c>
      <c r="P751" s="24" t="s">
        <v>6639</v>
      </c>
      <c r="Q751" s="24" t="s">
        <v>6640</v>
      </c>
      <c r="R751" s="24"/>
      <c r="S751" s="24" t="s">
        <v>6432</v>
      </c>
      <c r="T751" s="24" t="str">
        <f aca="false">"["&amp;안내!$C$5&amp;" "&amp;F751&amp;"] "&amp;L751&amp;" | "&amp;J751</f>
        <v>[1분 성경 신약 #236] 큰 대제사장 | 히 4:14-5:10</v>
      </c>
      <c r="U751" s="26" t="n">
        <f aca="false">IF(D751="구약",IF(C751=1,안내!$C$9,안내!$C$10)+AD751-1,IF(C751=1,안내!$C$9,안내!$C$10)+7*INT((AD751-1)/4)+CHOOSE(MOD(AD751-1,4)+1,0,2,4,5))</f>
        <v>46809</v>
      </c>
      <c r="V751" s="23" t="str">
        <f aca="false">CHOOSE(WEEKDAY(U751,2),"월","화","수","목","금","토","일")</f>
        <v>토</v>
      </c>
      <c r="W751" s="24" t="str">
        <f aca="false">IFERROR(IF(INDEX($C$2:$C$799,MATCH(D751&amp;"#"&amp;(E751+1),$AC$2:$AC$799,0))=C751,"다음 편: ","시즌1 완결 · 시즌2 첫 편: ")&amp;INDEX($L$2:$L$799,MATCH(D751&amp;"#"&amp;(E751+1),$AC$2:$AC$799,0)),"신약 트랙 완결")</f>
        <v>다음 편: 영혼의 닻</v>
      </c>
      <c r="X751" s="23" t="s">
        <v>130</v>
      </c>
      <c r="Y751" s="23" t="s">
        <v>130</v>
      </c>
      <c r="Z751" s="23" t="s">
        <v>130</v>
      </c>
      <c r="AA751" s="23" t="s">
        <v>130</v>
      </c>
      <c r="AB751" s="24"/>
      <c r="AC751" s="23" t="str">
        <f aca="false">D751&amp;"#"&amp;E751</f>
        <v>신약#236</v>
      </c>
      <c r="AD751" s="23" t="n">
        <f aca="false">COUNTIFS($C$2:C751,C751,$D$2:D751,D751)</f>
        <v>132</v>
      </c>
    </row>
    <row r="752" customFormat="false" ht="26.85" hidden="false" customHeight="false" outlineLevel="0" collapsed="false">
      <c r="A752" s="23" t="n">
        <v>751</v>
      </c>
      <c r="B752" s="30" t="s">
        <v>6641</v>
      </c>
      <c r="C752" s="23" t="n">
        <v>2</v>
      </c>
      <c r="D752" s="23" t="s">
        <v>4656</v>
      </c>
      <c r="E752" s="23" t="n">
        <f aca="false">IF(C752=1,COUNTIFS($C$2:C752,1,$D$2:D752,D752),COUNTIFS($C$2:$C$799,1,$D$2:$D$799,D752)+COUNTIFS($C$2:C752,2,$D$2:D752,D752))</f>
        <v>237</v>
      </c>
      <c r="F752" s="23" t="str">
        <f aca="false">D752&amp;" #"&amp;TEXT(E752,"000")</f>
        <v>신약 #237</v>
      </c>
      <c r="G752" s="30" t="s">
        <v>6615</v>
      </c>
      <c r="H752" s="30" t="s">
        <v>6616</v>
      </c>
      <c r="I752" s="23" t="s">
        <v>6617</v>
      </c>
      <c r="J752" s="24" t="s">
        <v>6642</v>
      </c>
      <c r="K752" s="23" t="s">
        <v>1085</v>
      </c>
      <c r="L752" s="24" t="s">
        <v>6643</v>
      </c>
      <c r="M752" s="24" t="s">
        <v>6644</v>
      </c>
      <c r="N752" s="23" t="s">
        <v>6645</v>
      </c>
      <c r="O752" s="24" t="s">
        <v>6646</v>
      </c>
      <c r="P752" s="24" t="s">
        <v>6647</v>
      </c>
      <c r="Q752" s="24" t="s">
        <v>6648</v>
      </c>
      <c r="R752" s="27" t="s">
        <v>6649</v>
      </c>
      <c r="S752" s="24" t="s">
        <v>6432</v>
      </c>
      <c r="T752" s="24" t="str">
        <f aca="false">"["&amp;안내!$C$5&amp;" "&amp;F752&amp;"] "&amp;L752&amp;" | "&amp;J752</f>
        <v>[1분 성경 신약 #237] 영혼의 닻 | 히 5:11-6:20</v>
      </c>
      <c r="U752" s="26" t="n">
        <f aca="false">IF(D752="구약",IF(C752=1,안내!$C$9,안내!$C$10)+AD752-1,IF(C752=1,안내!$C$9,안내!$C$10)+7*INT((AD752-1)/4)+CHOOSE(MOD(AD752-1,4)+1,0,2,4,5))</f>
        <v>46811</v>
      </c>
      <c r="V752" s="23" t="str">
        <f aca="false">CHOOSE(WEEKDAY(U752,2),"월","화","수","목","금","토","일")</f>
        <v>월</v>
      </c>
      <c r="W752" s="24" t="str">
        <f aca="false">IFERROR(IF(INDEX($C$2:$C$799,MATCH(D752&amp;"#"&amp;(E752+1),$AC$2:$AC$799,0))=C752,"다음 편: ","시즌1 완결 · 시즌2 첫 편: ")&amp;INDEX($L$2:$L$799,MATCH(D752&amp;"#"&amp;(E752+1),$AC$2:$AC$799,0)),"신약 트랙 완결")</f>
        <v>다음 편: 멜기세덱의 반차</v>
      </c>
      <c r="X752" s="23" t="s">
        <v>130</v>
      </c>
      <c r="Y752" s="23" t="s">
        <v>130</v>
      </c>
      <c r="Z752" s="23" t="s">
        <v>130</v>
      </c>
      <c r="AA752" s="23" t="s">
        <v>130</v>
      </c>
      <c r="AB752" s="24"/>
      <c r="AC752" s="23" t="str">
        <f aca="false">D752&amp;"#"&amp;E752</f>
        <v>신약#237</v>
      </c>
      <c r="AD752" s="23" t="n">
        <f aca="false">COUNTIFS($C$2:C752,C752,$D$2:D752,D752)</f>
        <v>133</v>
      </c>
    </row>
    <row r="753" customFormat="false" ht="26.85" hidden="false" customHeight="false" outlineLevel="0" collapsed="false">
      <c r="A753" s="23" t="n">
        <v>752</v>
      </c>
      <c r="B753" s="30" t="s">
        <v>6650</v>
      </c>
      <c r="C753" s="23" t="n">
        <v>2</v>
      </c>
      <c r="D753" s="23" t="s">
        <v>4656</v>
      </c>
      <c r="E753" s="23" t="n">
        <f aca="false">IF(C753=1,COUNTIFS($C$2:C753,1,$D$2:D753,D753),COUNTIFS($C$2:$C$799,1,$D$2:$D$799,D753)+COUNTIFS($C$2:C753,2,$D$2:D753,D753))</f>
        <v>238</v>
      </c>
      <c r="F753" s="23" t="str">
        <f aca="false">D753&amp;" #"&amp;TEXT(E753,"000")</f>
        <v>신약 #238</v>
      </c>
      <c r="G753" s="30" t="s">
        <v>6615</v>
      </c>
      <c r="H753" s="30" t="s">
        <v>6616</v>
      </c>
      <c r="I753" s="23" t="s">
        <v>6617</v>
      </c>
      <c r="J753" s="24" t="s">
        <v>6651</v>
      </c>
      <c r="K753" s="23" t="s">
        <v>1085</v>
      </c>
      <c r="L753" s="24" t="s">
        <v>6652</v>
      </c>
      <c r="M753" s="24" t="s">
        <v>6653</v>
      </c>
      <c r="N753" s="23" t="s">
        <v>6654</v>
      </c>
      <c r="O753" s="24" t="s">
        <v>6655</v>
      </c>
      <c r="P753" s="24" t="s">
        <v>6656</v>
      </c>
      <c r="Q753" s="24" t="s">
        <v>6657</v>
      </c>
      <c r="R753" s="24"/>
      <c r="S753" s="24" t="s">
        <v>6432</v>
      </c>
      <c r="T753" s="24" t="str">
        <f aca="false">"["&amp;안내!$C$5&amp;" "&amp;F753&amp;"] "&amp;L753&amp;" | "&amp;J753</f>
        <v>[1분 성경 신약 #238] 멜기세덱의 반차 | 히 7:1-28</v>
      </c>
      <c r="U753" s="26" t="n">
        <f aca="false">IF(D753="구약",IF(C753=1,안내!$C$9,안내!$C$10)+AD753-1,IF(C753=1,안내!$C$9,안내!$C$10)+7*INT((AD753-1)/4)+CHOOSE(MOD(AD753-1,4)+1,0,2,4,5))</f>
        <v>46813</v>
      </c>
      <c r="V753" s="23" t="str">
        <f aca="false">CHOOSE(WEEKDAY(U753,2),"월","화","수","목","금","토","일")</f>
        <v>수</v>
      </c>
      <c r="W753" s="24" t="str">
        <f aca="false">IFERROR(IF(INDEX($C$2:$C$799,MATCH(D753&amp;"#"&amp;(E753+1),$AC$2:$AC$799,0))=C753,"다음 편: ","시즌1 완결 · 시즌2 첫 편: ")&amp;INDEX($L$2:$L$799,MATCH(D753&amp;"#"&amp;(E753+1),$AC$2:$AC$799,0)),"신약 트랙 완결")</f>
        <v>다음 편: 단번에</v>
      </c>
      <c r="X753" s="23" t="s">
        <v>130</v>
      </c>
      <c r="Y753" s="23" t="s">
        <v>130</v>
      </c>
      <c r="Z753" s="23" t="s">
        <v>130</v>
      </c>
      <c r="AA753" s="23" t="s">
        <v>130</v>
      </c>
      <c r="AB753" s="24"/>
      <c r="AC753" s="23" t="str">
        <f aca="false">D753&amp;"#"&amp;E753</f>
        <v>신약#238</v>
      </c>
      <c r="AD753" s="23" t="n">
        <f aca="false">COUNTIFS($C$2:C753,C753,$D$2:D753,D753)</f>
        <v>134</v>
      </c>
    </row>
    <row r="754" customFormat="false" ht="26.85" hidden="false" customHeight="false" outlineLevel="0" collapsed="false">
      <c r="A754" s="23" t="n">
        <v>753</v>
      </c>
      <c r="B754" s="30" t="s">
        <v>6658</v>
      </c>
      <c r="C754" s="23" t="n">
        <v>2</v>
      </c>
      <c r="D754" s="23" t="s">
        <v>4656</v>
      </c>
      <c r="E754" s="23" t="n">
        <f aca="false">IF(C754=1,COUNTIFS($C$2:C754,1,$D$2:D754,D754),COUNTIFS($C$2:$C$799,1,$D$2:$D$799,D754)+COUNTIFS($C$2:C754,2,$D$2:D754,D754))</f>
        <v>239</v>
      </c>
      <c r="F754" s="23" t="str">
        <f aca="false">D754&amp;" #"&amp;TEXT(E754,"000")</f>
        <v>신약 #239</v>
      </c>
      <c r="G754" s="30" t="s">
        <v>6615</v>
      </c>
      <c r="H754" s="30" t="s">
        <v>6616</v>
      </c>
      <c r="I754" s="23" t="s">
        <v>6617</v>
      </c>
      <c r="J754" s="24" t="s">
        <v>6659</v>
      </c>
      <c r="K754" s="23" t="s">
        <v>1085</v>
      </c>
      <c r="L754" s="24" t="s">
        <v>6660</v>
      </c>
      <c r="M754" s="24" t="s">
        <v>6661</v>
      </c>
      <c r="N754" s="23" t="s">
        <v>6662</v>
      </c>
      <c r="O754" s="24" t="s">
        <v>6663</v>
      </c>
      <c r="P754" s="24" t="s">
        <v>6664</v>
      </c>
      <c r="Q754" s="24" t="s">
        <v>6665</v>
      </c>
      <c r="R754" s="25" t="s">
        <v>6666</v>
      </c>
      <c r="S754" s="24" t="s">
        <v>6432</v>
      </c>
      <c r="T754" s="24" t="str">
        <f aca="false">"["&amp;안내!$C$5&amp;" "&amp;F754&amp;"] "&amp;L754&amp;" | "&amp;J754</f>
        <v>[1분 성경 신약 #239] 단번에 | 히 8:1-10:18</v>
      </c>
      <c r="U754" s="26" t="n">
        <f aca="false">IF(D754="구약",IF(C754=1,안내!$C$9,안내!$C$10)+AD754-1,IF(C754=1,안내!$C$9,안내!$C$10)+7*INT((AD754-1)/4)+CHOOSE(MOD(AD754-1,4)+1,0,2,4,5))</f>
        <v>46815</v>
      </c>
      <c r="V754" s="23" t="str">
        <f aca="false">CHOOSE(WEEKDAY(U754,2),"월","화","수","목","금","토","일")</f>
        <v>금</v>
      </c>
      <c r="W754" s="24" t="str">
        <f aca="false">IFERROR(IF(INDEX($C$2:$C$799,MATCH(D754&amp;"#"&amp;(E754+1),$AC$2:$AC$799,0))=C754,"다음 편: ","시즌1 완결 · 시즌2 첫 편: ")&amp;INDEX($L$2:$L$799,MATCH(D754&amp;"#"&amp;(E754+1),$AC$2:$AC$799,0)),"신약 트랙 완결")</f>
        <v>다음 편: 모이기를 폐하지 말고</v>
      </c>
      <c r="X754" s="23" t="s">
        <v>130</v>
      </c>
      <c r="Y754" s="23" t="s">
        <v>130</v>
      </c>
      <c r="Z754" s="23" t="s">
        <v>130</v>
      </c>
      <c r="AA754" s="23" t="s">
        <v>130</v>
      </c>
      <c r="AB754" s="24"/>
      <c r="AC754" s="23" t="str">
        <f aca="false">D754&amp;"#"&amp;E754</f>
        <v>신약#239</v>
      </c>
      <c r="AD754" s="23" t="n">
        <f aca="false">COUNTIFS($C$2:C754,C754,$D$2:D754,D754)</f>
        <v>135</v>
      </c>
    </row>
    <row r="755" customFormat="false" ht="26.85" hidden="false" customHeight="false" outlineLevel="0" collapsed="false">
      <c r="A755" s="23" t="n">
        <v>754</v>
      </c>
      <c r="B755" s="30" t="s">
        <v>6667</v>
      </c>
      <c r="C755" s="23" t="n">
        <v>2</v>
      </c>
      <c r="D755" s="23" t="s">
        <v>4656</v>
      </c>
      <c r="E755" s="23" t="n">
        <f aca="false">IF(C755=1,COUNTIFS($C$2:C755,1,$D$2:D755,D755),COUNTIFS($C$2:$C$799,1,$D$2:$D$799,D755)+COUNTIFS($C$2:C755,2,$D$2:D755,D755))</f>
        <v>240</v>
      </c>
      <c r="F755" s="23" t="str">
        <f aca="false">D755&amp;" #"&amp;TEXT(E755,"000")</f>
        <v>신약 #240</v>
      </c>
      <c r="G755" s="30" t="s">
        <v>6615</v>
      </c>
      <c r="H755" s="30" t="s">
        <v>6616</v>
      </c>
      <c r="I755" s="23" t="s">
        <v>6617</v>
      </c>
      <c r="J755" s="24" t="s">
        <v>6668</v>
      </c>
      <c r="K755" s="23" t="s">
        <v>1085</v>
      </c>
      <c r="L755" s="24" t="s">
        <v>6669</v>
      </c>
      <c r="M755" s="24" t="s">
        <v>6670</v>
      </c>
      <c r="N755" s="23" t="s">
        <v>6671</v>
      </c>
      <c r="O755" s="24" t="s">
        <v>6672</v>
      </c>
      <c r="P755" s="24" t="s">
        <v>3465</v>
      </c>
      <c r="Q755" s="24" t="s">
        <v>6269</v>
      </c>
      <c r="R755" s="27" t="s">
        <v>6673</v>
      </c>
      <c r="S755" s="24" t="s">
        <v>6432</v>
      </c>
      <c r="T755" s="24" t="str">
        <f aca="false">"["&amp;안내!$C$5&amp;" "&amp;F755&amp;"] "&amp;L755&amp;" | "&amp;J755</f>
        <v>[1분 성경 신약 #240] 모이기를 폐하지 말고 | 히 10:19-39</v>
      </c>
      <c r="U755" s="26" t="n">
        <f aca="false">IF(D755="구약",IF(C755=1,안내!$C$9,안내!$C$10)+AD755-1,IF(C755=1,안내!$C$9,안내!$C$10)+7*INT((AD755-1)/4)+CHOOSE(MOD(AD755-1,4)+1,0,2,4,5))</f>
        <v>46816</v>
      </c>
      <c r="V755" s="23" t="str">
        <f aca="false">CHOOSE(WEEKDAY(U755,2),"월","화","수","목","금","토","일")</f>
        <v>토</v>
      </c>
      <c r="W755" s="24" t="str">
        <f aca="false">IFERROR(IF(INDEX($C$2:$C$799,MATCH(D755&amp;"#"&amp;(E755+1),$AC$2:$AC$799,0))=C755,"다음 편: ","시즌1 완결 · 시즌2 첫 편: ")&amp;INDEX($L$2:$L$799,MATCH(D755&amp;"#"&amp;(E755+1),$AC$2:$AC$799,0)),"신약 트랙 완결")</f>
        <v>다음 편: 믿음의 주요 또 온전하게 하시는 이</v>
      </c>
      <c r="X755" s="23" t="s">
        <v>130</v>
      </c>
      <c r="Y755" s="23" t="s">
        <v>130</v>
      </c>
      <c r="Z755" s="23" t="s">
        <v>130</v>
      </c>
      <c r="AA755" s="23" t="s">
        <v>130</v>
      </c>
      <c r="AB755" s="24"/>
      <c r="AC755" s="23" t="str">
        <f aca="false">D755&amp;"#"&amp;E755</f>
        <v>신약#240</v>
      </c>
      <c r="AD755" s="23" t="n">
        <f aca="false">COUNTIFS($C$2:C755,C755,$D$2:D755,D755)</f>
        <v>136</v>
      </c>
    </row>
    <row r="756" customFormat="false" ht="52.2" hidden="false" customHeight="false" outlineLevel="0" collapsed="false">
      <c r="A756" s="23" t="n">
        <v>755</v>
      </c>
      <c r="B756" s="30" t="s">
        <v>6674</v>
      </c>
      <c r="C756" s="20" t="n">
        <v>1</v>
      </c>
      <c r="D756" s="20" t="s">
        <v>4656</v>
      </c>
      <c r="E756" s="20" t="n">
        <f aca="false">IF(C756=1,COUNTIFS($C$2:C756,1,$D$2:D756,D756),COUNTIFS($C$2:$C$799,1,$D$2:$D$799,D756)+COUNTIFS($C$2:C756,2,$D$2:D756,D756))</f>
        <v>98</v>
      </c>
      <c r="F756" s="20" t="str">
        <f aca="false">D756&amp;" #"&amp;TEXT(E756,"000")</f>
        <v>신약 #098</v>
      </c>
      <c r="G756" s="30" t="s">
        <v>6615</v>
      </c>
      <c r="H756" s="30" t="s">
        <v>6675</v>
      </c>
      <c r="I756" s="23" t="s">
        <v>6617</v>
      </c>
      <c r="J756" s="24" t="s">
        <v>6676</v>
      </c>
      <c r="K756" s="23" t="s">
        <v>1085</v>
      </c>
      <c r="L756" s="24" t="s">
        <v>6677</v>
      </c>
      <c r="M756" s="24" t="s">
        <v>6678</v>
      </c>
      <c r="N756" s="23" t="s">
        <v>6679</v>
      </c>
      <c r="O756" s="24" t="s">
        <v>6680</v>
      </c>
      <c r="P756" s="24" t="s">
        <v>6681</v>
      </c>
      <c r="Q756" s="24" t="s">
        <v>6682</v>
      </c>
      <c r="R756" s="25" t="s">
        <v>6683</v>
      </c>
      <c r="S756" s="28" t="s">
        <v>6684</v>
      </c>
      <c r="T756" s="24" t="str">
        <f aca="false">"["&amp;안내!$C$5&amp;" "&amp;F756&amp;"] "&amp;L756&amp;" | "&amp;J756</f>
        <v>[1분 성경 신약 #098] 믿음장 | 히 11:1-40</v>
      </c>
      <c r="U756" s="26" t="n">
        <f aca="false">IF(D756="구약",IF(C756=1,안내!$C$9,안내!$C$10)+AD756-1,IF(C756=1,안내!$C$9,안내!$C$10)+7*INT((AD756-1)/4)+CHOOSE(MOD(AD756-1,4)+1,0,2,4,5))</f>
        <v>46561</v>
      </c>
      <c r="V756" s="23" t="str">
        <f aca="false">CHOOSE(WEEKDAY(U756,2),"월","화","수","목","금","토","일")</f>
        <v>수</v>
      </c>
      <c r="W756" s="24" t="str">
        <f aca="false">IFERROR(IF(INDEX($C$2:$C$799,MATCH(D756&amp;"#"&amp;(E756+1),$AC$2:$AC$799,0))=C756,"다음 편: ","시즌1 완결 · 시즌2 첫 편: ")&amp;INDEX($L$2:$L$799,MATCH(D756&amp;"#"&amp;(E756+1),$AC$2:$AC$799,0)),"신약 트랙 완결")</f>
        <v>다음 편: 문 밖에서 두드리시는 주님</v>
      </c>
      <c r="X756" s="23" t="s">
        <v>130</v>
      </c>
      <c r="Y756" s="23" t="s">
        <v>130</v>
      </c>
      <c r="Z756" s="23" t="s">
        <v>130</v>
      </c>
      <c r="AA756" s="23" t="s">
        <v>130</v>
      </c>
      <c r="AB756" s="24"/>
      <c r="AC756" s="23" t="str">
        <f aca="false">D756&amp;"#"&amp;E756</f>
        <v>신약#98</v>
      </c>
      <c r="AD756" s="23" t="n">
        <f aca="false">COUNTIFS($C$2:C756,C756,$D$2:D756,D756)</f>
        <v>98</v>
      </c>
    </row>
    <row r="757" customFormat="false" ht="26.85" hidden="false" customHeight="false" outlineLevel="0" collapsed="false">
      <c r="A757" s="23" t="n">
        <v>756</v>
      </c>
      <c r="B757" s="30" t="s">
        <v>6685</v>
      </c>
      <c r="C757" s="23" t="n">
        <v>2</v>
      </c>
      <c r="D757" s="23" t="s">
        <v>4656</v>
      </c>
      <c r="E757" s="23" t="n">
        <f aca="false">IF(C757=1,COUNTIFS($C$2:C757,1,$D$2:D757,D757),COUNTIFS($C$2:$C$799,1,$D$2:$D$799,D757)+COUNTIFS($C$2:C757,2,$D$2:D757,D757))</f>
        <v>241</v>
      </c>
      <c r="F757" s="23" t="str">
        <f aca="false">D757&amp;" #"&amp;TEXT(E757,"000")</f>
        <v>신약 #241</v>
      </c>
      <c r="G757" s="30" t="s">
        <v>6615</v>
      </c>
      <c r="H757" s="30" t="s">
        <v>6616</v>
      </c>
      <c r="I757" s="23" t="s">
        <v>6617</v>
      </c>
      <c r="J757" s="24" t="s">
        <v>6686</v>
      </c>
      <c r="K757" s="23" t="s">
        <v>1085</v>
      </c>
      <c r="L757" s="24" t="s">
        <v>6687</v>
      </c>
      <c r="M757" s="24" t="s">
        <v>6688</v>
      </c>
      <c r="N757" s="23" t="s">
        <v>6689</v>
      </c>
      <c r="O757" s="24" t="s">
        <v>6690</v>
      </c>
      <c r="P757" s="24" t="s">
        <v>6691</v>
      </c>
      <c r="Q757" s="24" t="s">
        <v>6692</v>
      </c>
      <c r="R757" s="24"/>
      <c r="S757" s="24" t="s">
        <v>6693</v>
      </c>
      <c r="T757" s="24" t="str">
        <f aca="false">"["&amp;안내!$C$5&amp;" "&amp;F757&amp;"] "&amp;L757&amp;" | "&amp;J757</f>
        <v>[1분 성경 신약 #241] 믿음의 주요 또 온전하게 하시는 이 | 히 12:1-29</v>
      </c>
      <c r="U757" s="26" t="n">
        <f aca="false">IF(D757="구약",IF(C757=1,안내!$C$9,안내!$C$10)+AD757-1,IF(C757=1,안내!$C$9,안내!$C$10)+7*INT((AD757-1)/4)+CHOOSE(MOD(AD757-1,4)+1,0,2,4,5))</f>
        <v>46818</v>
      </c>
      <c r="V757" s="23" t="str">
        <f aca="false">CHOOSE(WEEKDAY(U757,2),"월","화","수","목","금","토","일")</f>
        <v>월</v>
      </c>
      <c r="W757" s="24" t="str">
        <f aca="false">IFERROR(IF(INDEX($C$2:$C$799,MATCH(D757&amp;"#"&amp;(E757+1),$AC$2:$AC$799,0))=C757,"다음 편: ","시즌1 완결 · 시즌2 첫 편: ")&amp;INDEX($L$2:$L$799,MATCH(D757&amp;"#"&amp;(E757+1),$AC$2:$AC$799,0)),"신약 트랙 완결")</f>
        <v>다음 편: 어제나 오늘이나 영원토록</v>
      </c>
      <c r="X757" s="23" t="s">
        <v>130</v>
      </c>
      <c r="Y757" s="23" t="s">
        <v>130</v>
      </c>
      <c r="Z757" s="23" t="s">
        <v>130</v>
      </c>
      <c r="AA757" s="23" t="s">
        <v>130</v>
      </c>
      <c r="AB757" s="24"/>
      <c r="AC757" s="23" t="str">
        <f aca="false">D757&amp;"#"&amp;E757</f>
        <v>신약#241</v>
      </c>
      <c r="AD757" s="23" t="n">
        <f aca="false">COUNTIFS($C$2:C757,C757,$D$2:D757,D757)</f>
        <v>137</v>
      </c>
    </row>
    <row r="758" customFormat="false" ht="26.85" hidden="false" customHeight="false" outlineLevel="0" collapsed="false">
      <c r="A758" s="23" t="n">
        <v>757</v>
      </c>
      <c r="B758" s="30" t="s">
        <v>6694</v>
      </c>
      <c r="C758" s="23" t="n">
        <v>2</v>
      </c>
      <c r="D758" s="23" t="s">
        <v>4656</v>
      </c>
      <c r="E758" s="23" t="n">
        <f aca="false">IF(C758=1,COUNTIFS($C$2:C758,1,$D$2:D758,D758),COUNTIFS($C$2:$C$799,1,$D$2:$D$799,D758)+COUNTIFS($C$2:C758,2,$D$2:D758,D758))</f>
        <v>242</v>
      </c>
      <c r="F758" s="23" t="str">
        <f aca="false">D758&amp;" #"&amp;TEXT(E758,"000")</f>
        <v>신약 #242</v>
      </c>
      <c r="G758" s="30" t="s">
        <v>6615</v>
      </c>
      <c r="H758" s="30" t="s">
        <v>6616</v>
      </c>
      <c r="I758" s="23" t="s">
        <v>6617</v>
      </c>
      <c r="J758" s="24" t="s">
        <v>6695</v>
      </c>
      <c r="K758" s="23" t="s">
        <v>1085</v>
      </c>
      <c r="L758" s="24" t="s">
        <v>6696</v>
      </c>
      <c r="M758" s="24" t="s">
        <v>6697</v>
      </c>
      <c r="N758" s="23" t="s">
        <v>6698</v>
      </c>
      <c r="O758" s="24" t="s">
        <v>6699</v>
      </c>
      <c r="P758" s="24" t="s">
        <v>6700</v>
      </c>
      <c r="Q758" s="24" t="s">
        <v>6701</v>
      </c>
      <c r="R758" s="24"/>
      <c r="S758" s="24" t="s">
        <v>6693</v>
      </c>
      <c r="T758" s="24" t="str">
        <f aca="false">"["&amp;안내!$C$5&amp;" "&amp;F758&amp;"] "&amp;L758&amp;" | "&amp;J758</f>
        <v>[1분 성경 신약 #242] 어제나 오늘이나 영원토록 | 히 13:1-25</v>
      </c>
      <c r="U758" s="26" t="n">
        <f aca="false">IF(D758="구약",IF(C758=1,안내!$C$9,안내!$C$10)+AD758-1,IF(C758=1,안내!$C$9,안내!$C$10)+7*INT((AD758-1)/4)+CHOOSE(MOD(AD758-1,4)+1,0,2,4,5))</f>
        <v>46820</v>
      </c>
      <c r="V758" s="23" t="str">
        <f aca="false">CHOOSE(WEEKDAY(U758,2),"월","화","수","목","금","토","일")</f>
        <v>수</v>
      </c>
      <c r="W758" s="24" t="str">
        <f aca="false">IFERROR(IF(INDEX($C$2:$C$799,MATCH(D758&amp;"#"&amp;(E758+1),$AC$2:$AC$799,0))=C758,"다음 편: ","시즌1 완결 · 시즌2 첫 편: ")&amp;INDEX($L$2:$L$799,MATCH(D758&amp;"#"&amp;(E758+1),$AC$2:$AC$799,0)),"신약 트랙 완결")</f>
        <v>다음 편: 시험을 기쁘게</v>
      </c>
      <c r="X758" s="23" t="s">
        <v>130</v>
      </c>
      <c r="Y758" s="23" t="s">
        <v>130</v>
      </c>
      <c r="Z758" s="23" t="s">
        <v>130</v>
      </c>
      <c r="AA758" s="23" t="s">
        <v>130</v>
      </c>
      <c r="AB758" s="24"/>
      <c r="AC758" s="23" t="str">
        <f aca="false">D758&amp;"#"&amp;E758</f>
        <v>신약#242</v>
      </c>
      <c r="AD758" s="23" t="n">
        <f aca="false">COUNTIFS($C$2:C758,C758,$D$2:D758,D758)</f>
        <v>138</v>
      </c>
    </row>
    <row r="759" customFormat="false" ht="26.85" hidden="false" customHeight="false" outlineLevel="0" collapsed="false">
      <c r="A759" s="23" t="n">
        <v>758</v>
      </c>
      <c r="B759" s="30" t="s">
        <v>6702</v>
      </c>
      <c r="C759" s="23" t="n">
        <v>2</v>
      </c>
      <c r="D759" s="23" t="s">
        <v>4656</v>
      </c>
      <c r="E759" s="23" t="n">
        <f aca="false">IF(C759=1,COUNTIFS($C$2:C759,1,$D$2:D759,D759),COUNTIFS($C$2:$C$799,1,$D$2:$D$799,D759)+COUNTIFS($C$2:C759,2,$D$2:D759,D759))</f>
        <v>243</v>
      </c>
      <c r="F759" s="23" t="str">
        <f aca="false">D759&amp;" #"&amp;TEXT(E759,"000")</f>
        <v>신약 #243</v>
      </c>
      <c r="G759" s="30" t="s">
        <v>6703</v>
      </c>
      <c r="H759" s="30" t="s">
        <v>6704</v>
      </c>
      <c r="I759" s="23" t="s">
        <v>6705</v>
      </c>
      <c r="J759" s="24" t="s">
        <v>6706</v>
      </c>
      <c r="K759" s="23" t="s">
        <v>1085</v>
      </c>
      <c r="L759" s="24" t="s">
        <v>6707</v>
      </c>
      <c r="M759" s="24" t="s">
        <v>6708</v>
      </c>
      <c r="N759" s="23" t="s">
        <v>6709</v>
      </c>
      <c r="O759" s="24" t="s">
        <v>6710</v>
      </c>
      <c r="P759" s="24" t="s">
        <v>6711</v>
      </c>
      <c r="Q759" s="24" t="s">
        <v>6712</v>
      </c>
      <c r="R759" s="24"/>
      <c r="S759" s="24" t="s">
        <v>6693</v>
      </c>
      <c r="T759" s="24" t="str">
        <f aca="false">"["&amp;안내!$C$5&amp;" "&amp;F759&amp;"] "&amp;L759&amp;" | "&amp;J759</f>
        <v>[1분 성경 신약 #243] 시험을 기쁘게 | 약 1:1-18</v>
      </c>
      <c r="U759" s="26" t="n">
        <f aca="false">IF(D759="구약",IF(C759=1,안내!$C$9,안내!$C$10)+AD759-1,IF(C759=1,안내!$C$9,안내!$C$10)+7*INT((AD759-1)/4)+CHOOSE(MOD(AD759-1,4)+1,0,2,4,5))</f>
        <v>46822</v>
      </c>
      <c r="V759" s="23" t="str">
        <f aca="false">CHOOSE(WEEKDAY(U759,2),"월","화","수","목","금","토","일")</f>
        <v>금</v>
      </c>
      <c r="W759" s="24" t="str">
        <f aca="false">IFERROR(IF(INDEX($C$2:$C$799,MATCH(D759&amp;"#"&amp;(E759+1),$AC$2:$AC$799,0))=C759,"다음 편: ","시즌1 완결 · 시즌2 첫 편: ")&amp;INDEX($L$2:$L$799,MATCH(D759&amp;"#"&amp;(E759+1),$AC$2:$AC$799,0)),"신약 트랙 완결")</f>
        <v>다음 편: 듣기는 속히</v>
      </c>
      <c r="X759" s="23" t="s">
        <v>130</v>
      </c>
      <c r="Y759" s="23" t="s">
        <v>130</v>
      </c>
      <c r="Z759" s="23" t="s">
        <v>130</v>
      </c>
      <c r="AA759" s="23" t="s">
        <v>130</v>
      </c>
      <c r="AB759" s="24"/>
      <c r="AC759" s="23" t="str">
        <f aca="false">D759&amp;"#"&amp;E759</f>
        <v>신약#243</v>
      </c>
      <c r="AD759" s="23" t="n">
        <f aca="false">COUNTIFS($C$2:C759,C759,$D$2:D759,D759)</f>
        <v>139</v>
      </c>
    </row>
    <row r="760" customFormat="false" ht="26.85" hidden="false" customHeight="false" outlineLevel="0" collapsed="false">
      <c r="A760" s="23" t="n">
        <v>759</v>
      </c>
      <c r="B760" s="30" t="s">
        <v>6713</v>
      </c>
      <c r="C760" s="23" t="n">
        <v>2</v>
      </c>
      <c r="D760" s="23" t="s">
        <v>4656</v>
      </c>
      <c r="E760" s="23" t="n">
        <f aca="false">IF(C760=1,COUNTIFS($C$2:C760,1,$D$2:D760,D760),COUNTIFS($C$2:$C$799,1,$D$2:$D$799,D760)+COUNTIFS($C$2:C760,2,$D$2:D760,D760))</f>
        <v>244</v>
      </c>
      <c r="F760" s="23" t="str">
        <f aca="false">D760&amp;" #"&amp;TEXT(E760,"000")</f>
        <v>신약 #244</v>
      </c>
      <c r="G760" s="30" t="s">
        <v>6703</v>
      </c>
      <c r="H760" s="30" t="s">
        <v>6704</v>
      </c>
      <c r="I760" s="23" t="s">
        <v>6705</v>
      </c>
      <c r="J760" s="24" t="s">
        <v>6714</v>
      </c>
      <c r="K760" s="23" t="s">
        <v>1085</v>
      </c>
      <c r="L760" s="24" t="s">
        <v>6715</v>
      </c>
      <c r="M760" s="24" t="s">
        <v>6716</v>
      </c>
      <c r="N760" s="23" t="s">
        <v>6717</v>
      </c>
      <c r="O760" s="24" t="s">
        <v>6718</v>
      </c>
      <c r="P760" s="24" t="s">
        <v>6711</v>
      </c>
      <c r="Q760" s="24" t="s">
        <v>6719</v>
      </c>
      <c r="R760" s="24"/>
      <c r="S760" s="24" t="s">
        <v>6693</v>
      </c>
      <c r="T760" s="24" t="str">
        <f aca="false">"["&amp;안내!$C$5&amp;" "&amp;F760&amp;"] "&amp;L760&amp;" | "&amp;J760</f>
        <v>[1분 성경 신약 #244] 듣기는 속히 | 약 1:19-27</v>
      </c>
      <c r="U760" s="26" t="n">
        <f aca="false">IF(D760="구약",IF(C760=1,안내!$C$9,안내!$C$10)+AD760-1,IF(C760=1,안내!$C$9,안내!$C$10)+7*INT((AD760-1)/4)+CHOOSE(MOD(AD760-1,4)+1,0,2,4,5))</f>
        <v>46823</v>
      </c>
      <c r="V760" s="23" t="str">
        <f aca="false">CHOOSE(WEEKDAY(U760,2),"월","화","수","목","금","토","일")</f>
        <v>토</v>
      </c>
      <c r="W760" s="24" t="str">
        <f aca="false">IFERROR(IF(INDEX($C$2:$C$799,MATCH(D760&amp;"#"&amp;(E760+1),$AC$2:$AC$799,0))=C760,"다음 편: ","시즌1 완결 · 시즌2 첫 편: ")&amp;INDEX($L$2:$L$799,MATCH(D760&amp;"#"&amp;(E760+1),$AC$2:$AC$799,0)),"신약 트랙 완결")</f>
        <v>다음 편: 행함이 없는 믿음</v>
      </c>
      <c r="X760" s="23" t="s">
        <v>130</v>
      </c>
      <c r="Y760" s="23" t="s">
        <v>130</v>
      </c>
      <c r="Z760" s="23" t="s">
        <v>130</v>
      </c>
      <c r="AA760" s="23" t="s">
        <v>130</v>
      </c>
      <c r="AB760" s="24"/>
      <c r="AC760" s="23" t="str">
        <f aca="false">D760&amp;"#"&amp;E760</f>
        <v>신약#244</v>
      </c>
      <c r="AD760" s="23" t="n">
        <f aca="false">COUNTIFS($C$2:C760,C760,$D$2:D760,D760)</f>
        <v>140</v>
      </c>
    </row>
    <row r="761" customFormat="false" ht="26.85" hidden="false" customHeight="false" outlineLevel="0" collapsed="false">
      <c r="A761" s="23" t="n">
        <v>760</v>
      </c>
      <c r="B761" s="30" t="s">
        <v>6720</v>
      </c>
      <c r="C761" s="23" t="n">
        <v>2</v>
      </c>
      <c r="D761" s="23" t="s">
        <v>4656</v>
      </c>
      <c r="E761" s="23" t="n">
        <f aca="false">IF(C761=1,COUNTIFS($C$2:C761,1,$D$2:D761,D761),COUNTIFS($C$2:$C$799,1,$D$2:$D$799,D761)+COUNTIFS($C$2:C761,2,$D$2:D761,D761))</f>
        <v>245</v>
      </c>
      <c r="F761" s="23" t="str">
        <f aca="false">D761&amp;" #"&amp;TEXT(E761,"000")</f>
        <v>신약 #245</v>
      </c>
      <c r="G761" s="30" t="s">
        <v>6703</v>
      </c>
      <c r="H761" s="30" t="s">
        <v>6704</v>
      </c>
      <c r="I761" s="23" t="s">
        <v>6705</v>
      </c>
      <c r="J761" s="24" t="s">
        <v>6721</v>
      </c>
      <c r="K761" s="23" t="s">
        <v>1085</v>
      </c>
      <c r="L761" s="24" t="s">
        <v>6722</v>
      </c>
      <c r="M761" s="24" t="s">
        <v>6723</v>
      </c>
      <c r="N761" s="23" t="s">
        <v>6724</v>
      </c>
      <c r="O761" s="24" t="s">
        <v>6725</v>
      </c>
      <c r="P761" s="24" t="s">
        <v>6726</v>
      </c>
      <c r="Q761" s="24" t="s">
        <v>6727</v>
      </c>
      <c r="R761" s="25" t="s">
        <v>6728</v>
      </c>
      <c r="S761" s="24" t="s">
        <v>6693</v>
      </c>
      <c r="T761" s="24" t="str">
        <f aca="false">"["&amp;안내!$C$5&amp;" "&amp;F761&amp;"] "&amp;L761&amp;" | "&amp;J761</f>
        <v>[1분 성경 신약 #245] 행함이 없는 믿음 | 약 2:1-26</v>
      </c>
      <c r="U761" s="26" t="n">
        <f aca="false">IF(D761="구약",IF(C761=1,안내!$C$9,안내!$C$10)+AD761-1,IF(C761=1,안내!$C$9,안내!$C$10)+7*INT((AD761-1)/4)+CHOOSE(MOD(AD761-1,4)+1,0,2,4,5))</f>
        <v>46825</v>
      </c>
      <c r="V761" s="23" t="str">
        <f aca="false">CHOOSE(WEEKDAY(U761,2),"월","화","수","목","금","토","일")</f>
        <v>월</v>
      </c>
      <c r="W761" s="24" t="str">
        <f aca="false">IFERROR(IF(INDEX($C$2:$C$799,MATCH(D761&amp;"#"&amp;(E761+1),$AC$2:$AC$799,0))=C761,"다음 편: ","시즌1 완결 · 시즌2 첫 편: ")&amp;INDEX($L$2:$L$799,MATCH(D761&amp;"#"&amp;(E761+1),$AC$2:$AC$799,0)),"신약 트랙 완결")</f>
        <v>다음 편: 혀의 힘</v>
      </c>
      <c r="X761" s="23" t="s">
        <v>130</v>
      </c>
      <c r="Y761" s="23" t="s">
        <v>130</v>
      </c>
      <c r="Z761" s="23" t="s">
        <v>130</v>
      </c>
      <c r="AA761" s="23" t="s">
        <v>130</v>
      </c>
      <c r="AB761" s="24"/>
      <c r="AC761" s="23" t="str">
        <f aca="false">D761&amp;"#"&amp;E761</f>
        <v>신약#245</v>
      </c>
      <c r="AD761" s="23" t="n">
        <f aca="false">COUNTIFS($C$2:C761,C761,$D$2:D761,D761)</f>
        <v>141</v>
      </c>
    </row>
    <row r="762" customFormat="false" ht="26.85" hidden="false" customHeight="false" outlineLevel="0" collapsed="false">
      <c r="A762" s="23" t="n">
        <v>761</v>
      </c>
      <c r="B762" s="30" t="s">
        <v>6729</v>
      </c>
      <c r="C762" s="23" t="n">
        <v>2</v>
      </c>
      <c r="D762" s="23" t="s">
        <v>4656</v>
      </c>
      <c r="E762" s="23" t="n">
        <f aca="false">IF(C762=1,COUNTIFS($C$2:C762,1,$D$2:D762,D762),COUNTIFS($C$2:$C$799,1,$D$2:$D$799,D762)+COUNTIFS($C$2:C762,2,$D$2:D762,D762))</f>
        <v>246</v>
      </c>
      <c r="F762" s="23" t="str">
        <f aca="false">D762&amp;" #"&amp;TEXT(E762,"000")</f>
        <v>신약 #246</v>
      </c>
      <c r="G762" s="30" t="s">
        <v>6703</v>
      </c>
      <c r="H762" s="30" t="s">
        <v>6704</v>
      </c>
      <c r="I762" s="23" t="s">
        <v>6705</v>
      </c>
      <c r="J762" s="24" t="s">
        <v>6730</v>
      </c>
      <c r="K762" s="23" t="s">
        <v>1085</v>
      </c>
      <c r="L762" s="24" t="s">
        <v>6731</v>
      </c>
      <c r="M762" s="24" t="s">
        <v>6732</v>
      </c>
      <c r="N762" s="23" t="s">
        <v>6733</v>
      </c>
      <c r="O762" s="24" t="s">
        <v>6734</v>
      </c>
      <c r="P762" s="24" t="s">
        <v>6711</v>
      </c>
      <c r="Q762" s="24" t="s">
        <v>6735</v>
      </c>
      <c r="R762" s="24"/>
      <c r="S762" s="24" t="s">
        <v>6693</v>
      </c>
      <c r="T762" s="24" t="str">
        <f aca="false">"["&amp;안내!$C$5&amp;" "&amp;F762&amp;"] "&amp;L762&amp;" | "&amp;J762</f>
        <v>[1분 성경 신약 #246] 혀의 힘 | 약 3:1-18</v>
      </c>
      <c r="U762" s="26" t="n">
        <f aca="false">IF(D762="구약",IF(C762=1,안내!$C$9,안내!$C$10)+AD762-1,IF(C762=1,안내!$C$9,안내!$C$10)+7*INT((AD762-1)/4)+CHOOSE(MOD(AD762-1,4)+1,0,2,4,5))</f>
        <v>46827</v>
      </c>
      <c r="V762" s="23" t="str">
        <f aca="false">CHOOSE(WEEKDAY(U762,2),"월","화","수","목","금","토","일")</f>
        <v>수</v>
      </c>
      <c r="W762" s="24" t="str">
        <f aca="false">IFERROR(IF(INDEX($C$2:$C$799,MATCH(D762&amp;"#"&amp;(E762+1),$AC$2:$AC$799,0))=C762,"다음 편: ","시즌1 완결 · 시즌2 첫 편: ")&amp;INDEX($L$2:$L$799,MATCH(D762&amp;"#"&amp;(E762+1),$AC$2:$AC$799,0)),"신약 트랙 완결")</f>
        <v>다음 편: 하나님을 가까이하라</v>
      </c>
      <c r="X762" s="23" t="s">
        <v>130</v>
      </c>
      <c r="Y762" s="23" t="s">
        <v>130</v>
      </c>
      <c r="Z762" s="23" t="s">
        <v>130</v>
      </c>
      <c r="AA762" s="23" t="s">
        <v>130</v>
      </c>
      <c r="AB762" s="24"/>
      <c r="AC762" s="23" t="str">
        <f aca="false">D762&amp;"#"&amp;E762</f>
        <v>신약#246</v>
      </c>
      <c r="AD762" s="23" t="n">
        <f aca="false">COUNTIFS($C$2:C762,C762,$D$2:D762,D762)</f>
        <v>142</v>
      </c>
    </row>
    <row r="763" customFormat="false" ht="26.85" hidden="false" customHeight="false" outlineLevel="0" collapsed="false">
      <c r="A763" s="23" t="n">
        <v>762</v>
      </c>
      <c r="B763" s="30" t="s">
        <v>6736</v>
      </c>
      <c r="C763" s="23" t="n">
        <v>2</v>
      </c>
      <c r="D763" s="23" t="s">
        <v>4656</v>
      </c>
      <c r="E763" s="23" t="n">
        <f aca="false">IF(C763=1,COUNTIFS($C$2:C763,1,$D$2:D763,D763),COUNTIFS($C$2:$C$799,1,$D$2:$D$799,D763)+COUNTIFS($C$2:C763,2,$D$2:D763,D763))</f>
        <v>247</v>
      </c>
      <c r="F763" s="23" t="str">
        <f aca="false">D763&amp;" #"&amp;TEXT(E763,"000")</f>
        <v>신약 #247</v>
      </c>
      <c r="G763" s="30" t="s">
        <v>6703</v>
      </c>
      <c r="H763" s="30" t="s">
        <v>6704</v>
      </c>
      <c r="I763" s="23" t="s">
        <v>6705</v>
      </c>
      <c r="J763" s="24" t="s">
        <v>6737</v>
      </c>
      <c r="K763" s="23" t="s">
        <v>1085</v>
      </c>
      <c r="L763" s="24" t="s">
        <v>6738</v>
      </c>
      <c r="M763" s="24" t="s">
        <v>6739</v>
      </c>
      <c r="N763" s="23" t="s">
        <v>6740</v>
      </c>
      <c r="O763" s="24" t="s">
        <v>6741</v>
      </c>
      <c r="P763" s="24" t="s">
        <v>6742</v>
      </c>
      <c r="Q763" s="24" t="s">
        <v>6743</v>
      </c>
      <c r="R763" s="27" t="s">
        <v>6744</v>
      </c>
      <c r="S763" s="24" t="s">
        <v>6693</v>
      </c>
      <c r="T763" s="24" t="str">
        <f aca="false">"["&amp;안내!$C$5&amp;" "&amp;F763&amp;"] "&amp;L763&amp;" | "&amp;J763</f>
        <v>[1분 성경 신약 #247] 하나님을 가까이하라 | 약 4:1-5:20</v>
      </c>
      <c r="U763" s="26" t="n">
        <f aca="false">IF(D763="구약",IF(C763=1,안내!$C$9,안내!$C$10)+AD763-1,IF(C763=1,안내!$C$9,안내!$C$10)+7*INT((AD763-1)/4)+CHOOSE(MOD(AD763-1,4)+1,0,2,4,5))</f>
        <v>46829</v>
      </c>
      <c r="V763" s="23" t="str">
        <f aca="false">CHOOSE(WEEKDAY(U763,2),"월","화","수","목","금","토","일")</f>
        <v>금</v>
      </c>
      <c r="W763" s="24" t="str">
        <f aca="false">IFERROR(IF(INDEX($C$2:$C$799,MATCH(D763&amp;"#"&amp;(E763+1),$AC$2:$AC$799,0))=C763,"다음 편: ","시즌1 완결 · 시즌2 첫 편: ")&amp;INDEX($L$2:$L$799,MATCH(D763&amp;"#"&amp;(E763+1),$AC$2:$AC$799,0)),"신약 트랙 완결")</f>
        <v>다음 편: 산 소망</v>
      </c>
      <c r="X763" s="23" t="s">
        <v>130</v>
      </c>
      <c r="Y763" s="23" t="s">
        <v>130</v>
      </c>
      <c r="Z763" s="23" t="s">
        <v>130</v>
      </c>
      <c r="AA763" s="23" t="s">
        <v>130</v>
      </c>
      <c r="AB763" s="24"/>
      <c r="AC763" s="23" t="str">
        <f aca="false">D763&amp;"#"&amp;E763</f>
        <v>신약#247</v>
      </c>
      <c r="AD763" s="23" t="n">
        <f aca="false">COUNTIFS($C$2:C763,C763,$D$2:D763,D763)</f>
        <v>143</v>
      </c>
    </row>
    <row r="764" customFormat="false" ht="39.55" hidden="false" customHeight="false" outlineLevel="0" collapsed="false">
      <c r="A764" s="23" t="n">
        <v>763</v>
      </c>
      <c r="B764" s="30" t="s">
        <v>6745</v>
      </c>
      <c r="C764" s="23" t="n">
        <v>2</v>
      </c>
      <c r="D764" s="23" t="s">
        <v>4656</v>
      </c>
      <c r="E764" s="23" t="n">
        <f aca="false">IF(C764=1,COUNTIFS($C$2:C764,1,$D$2:D764,D764),COUNTIFS($C$2:$C$799,1,$D$2:$D$799,D764)+COUNTIFS($C$2:C764,2,$D$2:D764,D764))</f>
        <v>248</v>
      </c>
      <c r="F764" s="23" t="str">
        <f aca="false">D764&amp;" #"&amp;TEXT(E764,"000")</f>
        <v>신약 #248</v>
      </c>
      <c r="G764" s="30" t="s">
        <v>6703</v>
      </c>
      <c r="H764" s="30" t="s">
        <v>6704</v>
      </c>
      <c r="I764" s="23" t="s">
        <v>6746</v>
      </c>
      <c r="J764" s="24" t="s">
        <v>6747</v>
      </c>
      <c r="K764" s="23" t="s">
        <v>1085</v>
      </c>
      <c r="L764" s="24" t="s">
        <v>6748</v>
      </c>
      <c r="M764" s="24" t="s">
        <v>6749</v>
      </c>
      <c r="N764" s="23" t="s">
        <v>6750</v>
      </c>
      <c r="O764" s="24" t="s">
        <v>6751</v>
      </c>
      <c r="P764" s="24" t="s">
        <v>6752</v>
      </c>
      <c r="Q764" s="24" t="s">
        <v>6753</v>
      </c>
      <c r="R764" s="24"/>
      <c r="S764" s="24" t="s">
        <v>6693</v>
      </c>
      <c r="T764" s="24" t="str">
        <f aca="false">"["&amp;안내!$C$5&amp;" "&amp;F764&amp;"] "&amp;L764&amp;" | "&amp;J764</f>
        <v>[1분 성경 신약 #248] 산 소망 | 벧전 1:1-25</v>
      </c>
      <c r="U764" s="26" t="n">
        <f aca="false">IF(D764="구약",IF(C764=1,안내!$C$9,안내!$C$10)+AD764-1,IF(C764=1,안내!$C$9,안내!$C$10)+7*INT((AD764-1)/4)+CHOOSE(MOD(AD764-1,4)+1,0,2,4,5))</f>
        <v>46830</v>
      </c>
      <c r="V764" s="23" t="str">
        <f aca="false">CHOOSE(WEEKDAY(U764,2),"월","화","수","목","금","토","일")</f>
        <v>토</v>
      </c>
      <c r="W764" s="24" t="str">
        <f aca="false">IFERROR(IF(INDEX($C$2:$C$799,MATCH(D764&amp;"#"&amp;(E764+1),$AC$2:$AC$799,0))=C764,"다음 편: ","시즌1 완결 · 시즌2 첫 편: ")&amp;INDEX($L$2:$L$799,MATCH(D764&amp;"#"&amp;(E764+1),$AC$2:$AC$799,0)),"신약 트랙 완결")</f>
        <v>다음 편: 왕 같은 제사장</v>
      </c>
      <c r="X764" s="23" t="s">
        <v>130</v>
      </c>
      <c r="Y764" s="23" t="s">
        <v>130</v>
      </c>
      <c r="Z764" s="23" t="s">
        <v>130</v>
      </c>
      <c r="AA764" s="23" t="s">
        <v>130</v>
      </c>
      <c r="AB764" s="24"/>
      <c r="AC764" s="23" t="str">
        <f aca="false">D764&amp;"#"&amp;E764</f>
        <v>신약#248</v>
      </c>
      <c r="AD764" s="23" t="n">
        <f aca="false">COUNTIFS($C$2:C764,C764,$D$2:D764,D764)</f>
        <v>144</v>
      </c>
    </row>
    <row r="765" customFormat="false" ht="26.85" hidden="false" customHeight="false" outlineLevel="0" collapsed="false">
      <c r="A765" s="23" t="n">
        <v>764</v>
      </c>
      <c r="B765" s="30" t="s">
        <v>6754</v>
      </c>
      <c r="C765" s="23" t="n">
        <v>2</v>
      </c>
      <c r="D765" s="23" t="s">
        <v>4656</v>
      </c>
      <c r="E765" s="23" t="n">
        <f aca="false">IF(C765=1,COUNTIFS($C$2:C765,1,$D$2:D765,D765),COUNTIFS($C$2:$C$799,1,$D$2:$D$799,D765)+COUNTIFS($C$2:C765,2,$D$2:D765,D765))</f>
        <v>249</v>
      </c>
      <c r="F765" s="23" t="str">
        <f aca="false">D765&amp;" #"&amp;TEXT(E765,"000")</f>
        <v>신약 #249</v>
      </c>
      <c r="G765" s="30" t="s">
        <v>6703</v>
      </c>
      <c r="H765" s="30" t="s">
        <v>6704</v>
      </c>
      <c r="I765" s="23" t="s">
        <v>6746</v>
      </c>
      <c r="J765" s="24" t="s">
        <v>6755</v>
      </c>
      <c r="K765" s="23" t="s">
        <v>1085</v>
      </c>
      <c r="L765" s="24" t="s">
        <v>6756</v>
      </c>
      <c r="M765" s="24" t="s">
        <v>6757</v>
      </c>
      <c r="N765" s="23" t="s">
        <v>6758</v>
      </c>
      <c r="O765" s="24" t="s">
        <v>6759</v>
      </c>
      <c r="P765" s="24" t="s">
        <v>6752</v>
      </c>
      <c r="Q765" s="24" t="s">
        <v>6760</v>
      </c>
      <c r="R765" s="25" t="s">
        <v>6761</v>
      </c>
      <c r="S765" s="24" t="s">
        <v>6693</v>
      </c>
      <c r="T765" s="24" t="str">
        <f aca="false">"["&amp;안내!$C$5&amp;" "&amp;F765&amp;"] "&amp;L765&amp;" | "&amp;J765</f>
        <v>[1분 성경 신약 #249] 왕 같은 제사장 | 벧전 2:1-25</v>
      </c>
      <c r="U765" s="26" t="n">
        <f aca="false">IF(D765="구약",IF(C765=1,안내!$C$9,안내!$C$10)+AD765-1,IF(C765=1,안내!$C$9,안내!$C$10)+7*INT((AD765-1)/4)+CHOOSE(MOD(AD765-1,4)+1,0,2,4,5))</f>
        <v>46832</v>
      </c>
      <c r="V765" s="23" t="str">
        <f aca="false">CHOOSE(WEEKDAY(U765,2),"월","화","수","목","금","토","일")</f>
        <v>월</v>
      </c>
      <c r="W765" s="24" t="str">
        <f aca="false">IFERROR(IF(INDEX($C$2:$C$799,MATCH(D765&amp;"#"&amp;(E765+1),$AC$2:$AC$799,0))=C765,"다음 편: ","시즌1 완결 · 시즌2 첫 편: ")&amp;INDEX($L$2:$L$799,MATCH(D765&amp;"#"&amp;(E765+1),$AC$2:$AC$799,0)),"신약 트랙 완결")</f>
        <v>다음 편: 소망에 관한 이유</v>
      </c>
      <c r="X765" s="23" t="s">
        <v>130</v>
      </c>
      <c r="Y765" s="23" t="s">
        <v>130</v>
      </c>
      <c r="Z765" s="23" t="s">
        <v>130</v>
      </c>
      <c r="AA765" s="23" t="s">
        <v>130</v>
      </c>
      <c r="AB765" s="24"/>
      <c r="AC765" s="23" t="str">
        <f aca="false">D765&amp;"#"&amp;E765</f>
        <v>신약#249</v>
      </c>
      <c r="AD765" s="23" t="n">
        <f aca="false">COUNTIFS($C$2:C765,C765,$D$2:D765,D765)</f>
        <v>145</v>
      </c>
    </row>
    <row r="766" customFormat="false" ht="39.55" hidden="false" customHeight="false" outlineLevel="0" collapsed="false">
      <c r="A766" s="23" t="n">
        <v>765</v>
      </c>
      <c r="B766" s="30" t="s">
        <v>6762</v>
      </c>
      <c r="C766" s="23" t="n">
        <v>2</v>
      </c>
      <c r="D766" s="23" t="s">
        <v>4656</v>
      </c>
      <c r="E766" s="23" t="n">
        <f aca="false">IF(C766=1,COUNTIFS($C$2:C766,1,$D$2:D766,D766),COUNTIFS($C$2:$C$799,1,$D$2:$D$799,D766)+COUNTIFS($C$2:C766,2,$D$2:D766,D766))</f>
        <v>250</v>
      </c>
      <c r="F766" s="23" t="str">
        <f aca="false">D766&amp;" #"&amp;TEXT(E766,"000")</f>
        <v>신약 #250</v>
      </c>
      <c r="G766" s="30" t="s">
        <v>6703</v>
      </c>
      <c r="H766" s="30" t="s">
        <v>6704</v>
      </c>
      <c r="I766" s="23" t="s">
        <v>6746</v>
      </c>
      <c r="J766" s="24" t="s">
        <v>6763</v>
      </c>
      <c r="K766" s="23" t="s">
        <v>1085</v>
      </c>
      <c r="L766" s="24" t="s">
        <v>6764</v>
      </c>
      <c r="M766" s="24" t="s">
        <v>6765</v>
      </c>
      <c r="N766" s="23" t="s">
        <v>6766</v>
      </c>
      <c r="O766" s="24" t="s">
        <v>6767</v>
      </c>
      <c r="P766" s="24" t="s">
        <v>6752</v>
      </c>
      <c r="Q766" s="24" t="s">
        <v>6768</v>
      </c>
      <c r="R766" s="27" t="s">
        <v>6769</v>
      </c>
      <c r="S766" s="24" t="s">
        <v>6693</v>
      </c>
      <c r="T766" s="24" t="str">
        <f aca="false">"["&amp;안내!$C$5&amp;" "&amp;F766&amp;"] "&amp;L766&amp;" | "&amp;J766</f>
        <v>[1분 성경 신약 #250] 소망에 관한 이유 | 벧전 3:1-22</v>
      </c>
      <c r="U766" s="26" t="n">
        <f aca="false">IF(D766="구약",IF(C766=1,안내!$C$9,안내!$C$10)+AD766-1,IF(C766=1,안내!$C$9,안내!$C$10)+7*INT((AD766-1)/4)+CHOOSE(MOD(AD766-1,4)+1,0,2,4,5))</f>
        <v>46834</v>
      </c>
      <c r="V766" s="23" t="str">
        <f aca="false">CHOOSE(WEEKDAY(U766,2),"월","화","수","목","금","토","일")</f>
        <v>수</v>
      </c>
      <c r="W766" s="24" t="str">
        <f aca="false">IFERROR(IF(INDEX($C$2:$C$799,MATCH(D766&amp;"#"&amp;(E766+1),$AC$2:$AC$799,0))=C766,"다음 편: ","시즌1 완결 · 시즌2 첫 편: ")&amp;INDEX($L$2:$L$799,MATCH(D766&amp;"#"&amp;(E766+1),$AC$2:$AC$799,0)),"신약 트랙 완결")</f>
        <v>다음 편: 염려를 맡기라</v>
      </c>
      <c r="X766" s="23" t="s">
        <v>130</v>
      </c>
      <c r="Y766" s="23" t="s">
        <v>130</v>
      </c>
      <c r="Z766" s="23" t="s">
        <v>130</v>
      </c>
      <c r="AA766" s="23" t="s">
        <v>130</v>
      </c>
      <c r="AB766" s="24"/>
      <c r="AC766" s="23" t="str">
        <f aca="false">D766&amp;"#"&amp;E766</f>
        <v>신약#250</v>
      </c>
      <c r="AD766" s="23" t="n">
        <f aca="false">COUNTIFS($C$2:C766,C766,$D$2:D766,D766)</f>
        <v>146</v>
      </c>
    </row>
    <row r="767" customFormat="false" ht="26.85" hidden="false" customHeight="false" outlineLevel="0" collapsed="false">
      <c r="A767" s="23" t="n">
        <v>766</v>
      </c>
      <c r="B767" s="30" t="s">
        <v>6770</v>
      </c>
      <c r="C767" s="23" t="n">
        <v>2</v>
      </c>
      <c r="D767" s="23" t="s">
        <v>4656</v>
      </c>
      <c r="E767" s="23" t="n">
        <f aca="false">IF(C767=1,COUNTIFS($C$2:C767,1,$D$2:D767,D767),COUNTIFS($C$2:$C$799,1,$D$2:$D$799,D767)+COUNTIFS($C$2:C767,2,$D$2:D767,D767))</f>
        <v>251</v>
      </c>
      <c r="F767" s="23" t="str">
        <f aca="false">D767&amp;" #"&amp;TEXT(E767,"000")</f>
        <v>신약 #251</v>
      </c>
      <c r="G767" s="30" t="s">
        <v>6703</v>
      </c>
      <c r="H767" s="30" t="s">
        <v>6704</v>
      </c>
      <c r="I767" s="23" t="s">
        <v>6746</v>
      </c>
      <c r="J767" s="24" t="s">
        <v>6771</v>
      </c>
      <c r="K767" s="23" t="s">
        <v>1085</v>
      </c>
      <c r="L767" s="24" t="s">
        <v>6772</v>
      </c>
      <c r="M767" s="24" t="s">
        <v>6773</v>
      </c>
      <c r="N767" s="23" t="s">
        <v>6774</v>
      </c>
      <c r="O767" s="24" t="s">
        <v>6775</v>
      </c>
      <c r="P767" s="24" t="s">
        <v>6752</v>
      </c>
      <c r="Q767" s="24" t="s">
        <v>6776</v>
      </c>
      <c r="R767" s="24"/>
      <c r="S767" s="24" t="s">
        <v>6693</v>
      </c>
      <c r="T767" s="24" t="str">
        <f aca="false">"["&amp;안내!$C$5&amp;" "&amp;F767&amp;"] "&amp;L767&amp;" | "&amp;J767</f>
        <v>[1분 성경 신약 #251] 염려를 맡기라 | 벧전 4:1-5:14</v>
      </c>
      <c r="U767" s="26" t="n">
        <f aca="false">IF(D767="구약",IF(C767=1,안내!$C$9,안내!$C$10)+AD767-1,IF(C767=1,안내!$C$9,안내!$C$10)+7*INT((AD767-1)/4)+CHOOSE(MOD(AD767-1,4)+1,0,2,4,5))</f>
        <v>46836</v>
      </c>
      <c r="V767" s="23" t="str">
        <f aca="false">CHOOSE(WEEKDAY(U767,2),"월","화","수","목","금","토","일")</f>
        <v>금</v>
      </c>
      <c r="W767" s="24" t="str">
        <f aca="false">IFERROR(IF(INDEX($C$2:$C$799,MATCH(D767&amp;"#"&amp;(E767+1),$AC$2:$AC$799,0))=C767,"다음 편: ","시즌1 완결 · 시즌2 첫 편: ")&amp;INDEX($L$2:$L$799,MATCH(D767&amp;"#"&amp;(E767+1),$AC$2:$AC$799,0)),"신약 트랙 완결")</f>
        <v>다음 편: 사사로이 풀 것이 아니니</v>
      </c>
      <c r="X767" s="23" t="s">
        <v>130</v>
      </c>
      <c r="Y767" s="23" t="s">
        <v>130</v>
      </c>
      <c r="Z767" s="23" t="s">
        <v>130</v>
      </c>
      <c r="AA767" s="23" t="s">
        <v>130</v>
      </c>
      <c r="AB767" s="24"/>
      <c r="AC767" s="23" t="str">
        <f aca="false">D767&amp;"#"&amp;E767</f>
        <v>신약#251</v>
      </c>
      <c r="AD767" s="23" t="n">
        <f aca="false">COUNTIFS($C$2:C767,C767,$D$2:D767,D767)</f>
        <v>147</v>
      </c>
    </row>
    <row r="768" customFormat="false" ht="26.85" hidden="false" customHeight="false" outlineLevel="0" collapsed="false">
      <c r="A768" s="23" t="n">
        <v>767</v>
      </c>
      <c r="B768" s="30" t="s">
        <v>6777</v>
      </c>
      <c r="C768" s="23" t="n">
        <v>2</v>
      </c>
      <c r="D768" s="23" t="s">
        <v>4656</v>
      </c>
      <c r="E768" s="23" t="n">
        <f aca="false">IF(C768=1,COUNTIFS($C$2:C768,1,$D$2:D768,D768),COUNTIFS($C$2:$C$799,1,$D$2:$D$799,D768)+COUNTIFS($C$2:C768,2,$D$2:D768,D768))</f>
        <v>252</v>
      </c>
      <c r="F768" s="23" t="str">
        <f aca="false">D768&amp;" #"&amp;TEXT(E768,"000")</f>
        <v>신약 #252</v>
      </c>
      <c r="G768" s="30" t="s">
        <v>6703</v>
      </c>
      <c r="H768" s="30" t="s">
        <v>6704</v>
      </c>
      <c r="I768" s="23" t="s">
        <v>6778</v>
      </c>
      <c r="J768" s="24" t="s">
        <v>6779</v>
      </c>
      <c r="K768" s="23" t="s">
        <v>1085</v>
      </c>
      <c r="L768" s="24" t="s">
        <v>6780</v>
      </c>
      <c r="M768" s="24" t="s">
        <v>6781</v>
      </c>
      <c r="N768" s="23" t="s">
        <v>6782</v>
      </c>
      <c r="O768" s="24" t="s">
        <v>6783</v>
      </c>
      <c r="P768" s="24" t="s">
        <v>6752</v>
      </c>
      <c r="Q768" s="24" t="s">
        <v>6784</v>
      </c>
      <c r="R768" s="25" t="s">
        <v>6785</v>
      </c>
      <c r="S768" s="24" t="s">
        <v>6693</v>
      </c>
      <c r="T768" s="24" t="str">
        <f aca="false">"["&amp;안내!$C$5&amp;" "&amp;F768&amp;"] "&amp;L768&amp;" | "&amp;J768</f>
        <v>[1분 성경 신약 #252] 사사로이 풀 것이 아니니 | 벧후 1:1-21</v>
      </c>
      <c r="U768" s="26" t="n">
        <f aca="false">IF(D768="구약",IF(C768=1,안내!$C$9,안내!$C$10)+AD768-1,IF(C768=1,안내!$C$9,안내!$C$10)+7*INT((AD768-1)/4)+CHOOSE(MOD(AD768-1,4)+1,0,2,4,5))</f>
        <v>46837</v>
      </c>
      <c r="V768" s="23" t="str">
        <f aca="false">CHOOSE(WEEKDAY(U768,2),"월","화","수","목","금","토","일")</f>
        <v>토</v>
      </c>
      <c r="W768" s="24" t="str">
        <f aca="false">IFERROR(IF(INDEX($C$2:$C$799,MATCH(D768&amp;"#"&amp;(E768+1),$AC$2:$AC$799,0))=C768,"다음 편: ","시즌1 완결 · 시즌2 첫 편: ")&amp;INDEX($L$2:$L$799,MATCH(D768&amp;"#"&amp;(E768+1),$AC$2:$AC$799,0)),"신약 트랙 완결")</f>
        <v>다음 편: 거짓 선생들</v>
      </c>
      <c r="X768" s="23" t="s">
        <v>130</v>
      </c>
      <c r="Y768" s="23" t="s">
        <v>130</v>
      </c>
      <c r="Z768" s="23" t="s">
        <v>130</v>
      </c>
      <c r="AA768" s="23" t="s">
        <v>130</v>
      </c>
      <c r="AB768" s="24"/>
      <c r="AC768" s="23" t="str">
        <f aca="false">D768&amp;"#"&amp;E768</f>
        <v>신약#252</v>
      </c>
      <c r="AD768" s="23" t="n">
        <f aca="false">COUNTIFS($C$2:C768,C768,$D$2:D768,D768)</f>
        <v>148</v>
      </c>
    </row>
    <row r="769" customFormat="false" ht="15" hidden="false" customHeight="false" outlineLevel="0" collapsed="false">
      <c r="A769" s="23" t="n">
        <v>768</v>
      </c>
      <c r="B769" s="30" t="s">
        <v>6786</v>
      </c>
      <c r="C769" s="23" t="n">
        <v>2</v>
      </c>
      <c r="D769" s="23" t="s">
        <v>4656</v>
      </c>
      <c r="E769" s="23" t="n">
        <f aca="false">IF(C769=1,COUNTIFS($C$2:C769,1,$D$2:D769,D769),COUNTIFS($C$2:$C$799,1,$D$2:$D$799,D769)+COUNTIFS($C$2:C769,2,$D$2:D769,D769))</f>
        <v>253</v>
      </c>
      <c r="F769" s="23" t="str">
        <f aca="false">D769&amp;" #"&amp;TEXT(E769,"000")</f>
        <v>신약 #253</v>
      </c>
      <c r="G769" s="30" t="s">
        <v>6703</v>
      </c>
      <c r="H769" s="30" t="s">
        <v>6704</v>
      </c>
      <c r="I769" s="23" t="s">
        <v>6778</v>
      </c>
      <c r="J769" s="24" t="s">
        <v>6787</v>
      </c>
      <c r="K769" s="23" t="s">
        <v>1085</v>
      </c>
      <c r="L769" s="24" t="s">
        <v>6788</v>
      </c>
      <c r="M769" s="24" t="s">
        <v>6789</v>
      </c>
      <c r="N769" s="23" t="s">
        <v>6790</v>
      </c>
      <c r="O769" s="24" t="s">
        <v>6791</v>
      </c>
      <c r="P769" s="24" t="s">
        <v>6752</v>
      </c>
      <c r="Q769" s="24" t="s">
        <v>6792</v>
      </c>
      <c r="R769" s="25" t="s">
        <v>6793</v>
      </c>
      <c r="S769" s="24" t="s">
        <v>6693</v>
      </c>
      <c r="T769" s="24" t="str">
        <f aca="false">"["&amp;안내!$C$5&amp;" "&amp;F769&amp;"] "&amp;L769&amp;" | "&amp;J769</f>
        <v>[1분 성경 신약 #253] 거짓 선생들 | 벧후 2:1-22</v>
      </c>
      <c r="U769" s="26" t="n">
        <f aca="false">IF(D769="구약",IF(C769=1,안내!$C$9,안내!$C$10)+AD769-1,IF(C769=1,안내!$C$9,안내!$C$10)+7*INT((AD769-1)/4)+CHOOSE(MOD(AD769-1,4)+1,0,2,4,5))</f>
        <v>46839</v>
      </c>
      <c r="V769" s="23" t="str">
        <f aca="false">CHOOSE(WEEKDAY(U769,2),"월","화","수","목","금","토","일")</f>
        <v>월</v>
      </c>
      <c r="W769" s="24" t="str">
        <f aca="false">IFERROR(IF(INDEX($C$2:$C$799,MATCH(D769&amp;"#"&amp;(E769+1),$AC$2:$AC$799,0))=C769,"다음 편: ","시즌1 완결 · 시즌2 첫 편: ")&amp;INDEX($L$2:$L$799,MATCH(D769&amp;"#"&amp;(E769+1),$AC$2:$AC$799,0)),"신약 트랙 완결")</f>
        <v>다음 편: 천 년이 하루 같고</v>
      </c>
      <c r="X769" s="23" t="s">
        <v>130</v>
      </c>
      <c r="Y769" s="23" t="s">
        <v>130</v>
      </c>
      <c r="Z769" s="23" t="s">
        <v>130</v>
      </c>
      <c r="AA769" s="23" t="s">
        <v>130</v>
      </c>
      <c r="AB769" s="24"/>
      <c r="AC769" s="23" t="str">
        <f aca="false">D769&amp;"#"&amp;E769</f>
        <v>신약#253</v>
      </c>
      <c r="AD769" s="23" t="n">
        <f aca="false">COUNTIFS($C$2:C769,C769,$D$2:D769,D769)</f>
        <v>149</v>
      </c>
    </row>
    <row r="770" customFormat="false" ht="26.85" hidden="false" customHeight="false" outlineLevel="0" collapsed="false">
      <c r="A770" s="23" t="n">
        <v>769</v>
      </c>
      <c r="B770" s="30" t="s">
        <v>6794</v>
      </c>
      <c r="C770" s="23" t="n">
        <v>2</v>
      </c>
      <c r="D770" s="23" t="s">
        <v>4656</v>
      </c>
      <c r="E770" s="23" t="n">
        <f aca="false">IF(C770=1,COUNTIFS($C$2:C770,1,$D$2:D770,D770),COUNTIFS($C$2:$C$799,1,$D$2:$D$799,D770)+COUNTIFS($C$2:C770,2,$D$2:D770,D770))</f>
        <v>254</v>
      </c>
      <c r="F770" s="23" t="str">
        <f aca="false">D770&amp;" #"&amp;TEXT(E770,"000")</f>
        <v>신약 #254</v>
      </c>
      <c r="G770" s="30" t="s">
        <v>6703</v>
      </c>
      <c r="H770" s="30" t="s">
        <v>6704</v>
      </c>
      <c r="I770" s="23" t="s">
        <v>6778</v>
      </c>
      <c r="J770" s="24" t="s">
        <v>6795</v>
      </c>
      <c r="K770" s="23" t="s">
        <v>1085</v>
      </c>
      <c r="L770" s="24" t="s">
        <v>6796</v>
      </c>
      <c r="M770" s="24" t="s">
        <v>6797</v>
      </c>
      <c r="N770" s="23" t="s">
        <v>6798</v>
      </c>
      <c r="O770" s="24" t="s">
        <v>6799</v>
      </c>
      <c r="P770" s="24" t="s">
        <v>6752</v>
      </c>
      <c r="Q770" s="24" t="s">
        <v>6800</v>
      </c>
      <c r="R770" s="25" t="s">
        <v>6801</v>
      </c>
      <c r="S770" s="24" t="s">
        <v>6693</v>
      </c>
      <c r="T770" s="24" t="str">
        <f aca="false">"["&amp;안내!$C$5&amp;" "&amp;F770&amp;"] "&amp;L770&amp;" | "&amp;J770</f>
        <v>[1분 성경 신약 #254] 천 년이 하루 같고 | 벧후 3:1-18</v>
      </c>
      <c r="U770" s="26" t="n">
        <f aca="false">IF(D770="구약",IF(C770=1,안내!$C$9,안내!$C$10)+AD770-1,IF(C770=1,안내!$C$9,안내!$C$10)+7*INT((AD770-1)/4)+CHOOSE(MOD(AD770-1,4)+1,0,2,4,5))</f>
        <v>46841</v>
      </c>
      <c r="V770" s="23" t="str">
        <f aca="false">CHOOSE(WEEKDAY(U770,2),"월","화","수","목","금","토","일")</f>
        <v>수</v>
      </c>
      <c r="W770" s="24" t="str">
        <f aca="false">IFERROR(IF(INDEX($C$2:$C$799,MATCH(D770&amp;"#"&amp;(E770+1),$AC$2:$AC$799,0))=C770,"다음 편: ","시즌1 완결 · 시즌2 첫 편: ")&amp;INDEX($L$2:$L$799,MATCH(D770&amp;"#"&amp;(E770+1),$AC$2:$AC$799,0)),"신약 트랙 완결")</f>
        <v>다음 편: 빛 가운데 행하면</v>
      </c>
      <c r="X770" s="23" t="s">
        <v>130</v>
      </c>
      <c r="Y770" s="23" t="s">
        <v>130</v>
      </c>
      <c r="Z770" s="23" t="s">
        <v>130</v>
      </c>
      <c r="AA770" s="23" t="s">
        <v>130</v>
      </c>
      <c r="AB770" s="24"/>
      <c r="AC770" s="23" t="str">
        <f aca="false">D770&amp;"#"&amp;E770</f>
        <v>신약#254</v>
      </c>
      <c r="AD770" s="23" t="n">
        <f aca="false">COUNTIFS($C$2:C770,C770,$D$2:D770,D770)</f>
        <v>150</v>
      </c>
    </row>
    <row r="771" customFormat="false" ht="26.85" hidden="false" customHeight="false" outlineLevel="0" collapsed="false">
      <c r="A771" s="23" t="n">
        <v>770</v>
      </c>
      <c r="B771" s="30" t="s">
        <v>6802</v>
      </c>
      <c r="C771" s="23" t="n">
        <v>2</v>
      </c>
      <c r="D771" s="23" t="s">
        <v>4656</v>
      </c>
      <c r="E771" s="23" t="n">
        <f aca="false">IF(C771=1,COUNTIFS($C$2:C771,1,$D$2:D771,D771),COUNTIFS($C$2:$C$799,1,$D$2:$D$799,D771)+COUNTIFS($C$2:C771,2,$D$2:D771,D771))</f>
        <v>255</v>
      </c>
      <c r="F771" s="23" t="str">
        <f aca="false">D771&amp;" #"&amp;TEXT(E771,"000")</f>
        <v>신약 #255</v>
      </c>
      <c r="G771" s="30" t="s">
        <v>6803</v>
      </c>
      <c r="H771" s="30" t="s">
        <v>6804</v>
      </c>
      <c r="I771" s="23" t="s">
        <v>6805</v>
      </c>
      <c r="J771" s="24" t="s">
        <v>6806</v>
      </c>
      <c r="K771" s="23" t="s">
        <v>1085</v>
      </c>
      <c r="L771" s="24" t="s">
        <v>6807</v>
      </c>
      <c r="M771" s="24" t="s">
        <v>6808</v>
      </c>
      <c r="N771" s="23" t="s">
        <v>6809</v>
      </c>
      <c r="O771" s="24" t="s">
        <v>6810</v>
      </c>
      <c r="P771" s="24" t="s">
        <v>6811</v>
      </c>
      <c r="Q771" s="24" t="s">
        <v>6812</v>
      </c>
      <c r="R771" s="24"/>
      <c r="S771" s="24" t="s">
        <v>6693</v>
      </c>
      <c r="T771" s="24" t="str">
        <f aca="false">"["&amp;안내!$C$5&amp;" "&amp;F771&amp;"] "&amp;L771&amp;" | "&amp;J771</f>
        <v>[1분 성경 신약 #255] 빛 가운데 행하면 | 요일 1:1-2:14</v>
      </c>
      <c r="U771" s="26" t="n">
        <f aca="false">IF(D771="구약",IF(C771=1,안내!$C$9,안내!$C$10)+AD771-1,IF(C771=1,안내!$C$9,안내!$C$10)+7*INT((AD771-1)/4)+CHOOSE(MOD(AD771-1,4)+1,0,2,4,5))</f>
        <v>46843</v>
      </c>
      <c r="V771" s="23" t="str">
        <f aca="false">CHOOSE(WEEKDAY(U771,2),"월","화","수","목","금","토","일")</f>
        <v>금</v>
      </c>
      <c r="W771" s="24" t="str">
        <f aca="false">IFERROR(IF(INDEX($C$2:$C$799,MATCH(D771&amp;"#"&amp;(E771+1),$AC$2:$AC$799,0))=C771,"다음 편: ","시즌1 완결 · 시즌2 첫 편: ")&amp;INDEX($L$2:$L$799,MATCH(D771&amp;"#"&amp;(E771+1),$AC$2:$AC$799,0)),"신약 트랙 완결")</f>
        <v>다음 편: 하나님의 자녀라 일컬음을</v>
      </c>
      <c r="X771" s="23" t="s">
        <v>130</v>
      </c>
      <c r="Y771" s="23" t="s">
        <v>130</v>
      </c>
      <c r="Z771" s="23" t="s">
        <v>130</v>
      </c>
      <c r="AA771" s="23" t="s">
        <v>130</v>
      </c>
      <c r="AB771" s="24"/>
      <c r="AC771" s="23" t="str">
        <f aca="false">D771&amp;"#"&amp;E771</f>
        <v>신약#255</v>
      </c>
      <c r="AD771" s="23" t="n">
        <f aca="false">COUNTIFS($C$2:C771,C771,$D$2:D771,D771)</f>
        <v>151</v>
      </c>
    </row>
    <row r="772" customFormat="false" ht="26.85" hidden="false" customHeight="false" outlineLevel="0" collapsed="false">
      <c r="A772" s="23" t="n">
        <v>771</v>
      </c>
      <c r="B772" s="30" t="s">
        <v>6813</v>
      </c>
      <c r="C772" s="23" t="n">
        <v>2</v>
      </c>
      <c r="D772" s="23" t="s">
        <v>4656</v>
      </c>
      <c r="E772" s="23" t="n">
        <f aca="false">IF(C772=1,COUNTIFS($C$2:C772,1,$D$2:D772,D772),COUNTIFS($C$2:$C$799,1,$D$2:$D$799,D772)+COUNTIFS($C$2:C772,2,$D$2:D772,D772))</f>
        <v>256</v>
      </c>
      <c r="F772" s="23" t="str">
        <f aca="false">D772&amp;" #"&amp;TEXT(E772,"000")</f>
        <v>신약 #256</v>
      </c>
      <c r="G772" s="30" t="s">
        <v>6803</v>
      </c>
      <c r="H772" s="30" t="s">
        <v>6804</v>
      </c>
      <c r="I772" s="23" t="s">
        <v>6805</v>
      </c>
      <c r="J772" s="24" t="s">
        <v>6814</v>
      </c>
      <c r="K772" s="23" t="s">
        <v>1085</v>
      </c>
      <c r="L772" s="24" t="s">
        <v>6815</v>
      </c>
      <c r="M772" s="24" t="s">
        <v>6816</v>
      </c>
      <c r="N772" s="23" t="s">
        <v>6817</v>
      </c>
      <c r="O772" s="24" t="s">
        <v>6818</v>
      </c>
      <c r="P772" s="24" t="s">
        <v>6811</v>
      </c>
      <c r="Q772" s="24" t="s">
        <v>6819</v>
      </c>
      <c r="R772" s="24"/>
      <c r="S772" s="24" t="s">
        <v>6693</v>
      </c>
      <c r="T772" s="24" t="str">
        <f aca="false">"["&amp;안내!$C$5&amp;" "&amp;F772&amp;"] "&amp;L772&amp;" | "&amp;J772</f>
        <v>[1분 성경 신약 #256] 하나님의 자녀라 일컬음을 | 요일 2:15-3:24</v>
      </c>
      <c r="U772" s="26" t="n">
        <f aca="false">IF(D772="구약",IF(C772=1,안내!$C$9,안내!$C$10)+AD772-1,IF(C772=1,안내!$C$9,안내!$C$10)+7*INT((AD772-1)/4)+CHOOSE(MOD(AD772-1,4)+1,0,2,4,5))</f>
        <v>46844</v>
      </c>
      <c r="V772" s="23" t="str">
        <f aca="false">CHOOSE(WEEKDAY(U772,2),"월","화","수","목","금","토","일")</f>
        <v>토</v>
      </c>
      <c r="W772" s="24" t="str">
        <f aca="false">IFERROR(IF(INDEX($C$2:$C$799,MATCH(D772&amp;"#"&amp;(E772+1),$AC$2:$AC$799,0))=C772,"다음 편: ","시즌1 완결 · 시즌2 첫 편: ")&amp;INDEX($L$2:$L$799,MATCH(D772&amp;"#"&amp;(E772+1),$AC$2:$AC$799,0)),"신약 트랙 완결")</f>
        <v>다음 편: 하나님은 사랑이시라</v>
      </c>
      <c r="X772" s="23" t="s">
        <v>130</v>
      </c>
      <c r="Y772" s="23" t="s">
        <v>130</v>
      </c>
      <c r="Z772" s="23" t="s">
        <v>130</v>
      </c>
      <c r="AA772" s="23" t="s">
        <v>130</v>
      </c>
      <c r="AB772" s="24"/>
      <c r="AC772" s="23" t="str">
        <f aca="false">D772&amp;"#"&amp;E772</f>
        <v>신약#256</v>
      </c>
      <c r="AD772" s="23" t="n">
        <f aca="false">COUNTIFS($C$2:C772,C772,$D$2:D772,D772)</f>
        <v>152</v>
      </c>
    </row>
    <row r="773" customFormat="false" ht="25.35" hidden="false" customHeight="false" outlineLevel="0" collapsed="false">
      <c r="A773" s="23" t="n">
        <v>772</v>
      </c>
      <c r="B773" s="30" t="s">
        <v>6820</v>
      </c>
      <c r="C773" s="23" t="n">
        <v>2</v>
      </c>
      <c r="D773" s="23" t="s">
        <v>4656</v>
      </c>
      <c r="E773" s="23" t="n">
        <f aca="false">IF(C773=1,COUNTIFS($C$2:C773,1,$D$2:D773,D773),COUNTIFS($C$2:$C$799,1,$D$2:$D$799,D773)+COUNTIFS($C$2:C773,2,$D$2:D773,D773))</f>
        <v>257</v>
      </c>
      <c r="F773" s="23" t="str">
        <f aca="false">D773&amp;" #"&amp;TEXT(E773,"000")</f>
        <v>신약 #257</v>
      </c>
      <c r="G773" s="30" t="s">
        <v>6803</v>
      </c>
      <c r="H773" s="30" t="s">
        <v>6804</v>
      </c>
      <c r="I773" s="23" t="s">
        <v>6805</v>
      </c>
      <c r="J773" s="24" t="s">
        <v>6821</v>
      </c>
      <c r="K773" s="23" t="s">
        <v>1085</v>
      </c>
      <c r="L773" s="24" t="s">
        <v>6822</v>
      </c>
      <c r="M773" s="24" t="s">
        <v>6823</v>
      </c>
      <c r="N773" s="23" t="s">
        <v>6824</v>
      </c>
      <c r="O773" s="24" t="s">
        <v>6825</v>
      </c>
      <c r="P773" s="24" t="s">
        <v>6811</v>
      </c>
      <c r="Q773" s="24" t="s">
        <v>6826</v>
      </c>
      <c r="R773" s="27" t="s">
        <v>6827</v>
      </c>
      <c r="S773" s="24" t="s">
        <v>6693</v>
      </c>
      <c r="T773" s="24" t="str">
        <f aca="false">"["&amp;안내!$C$5&amp;" "&amp;F773&amp;"] "&amp;L773&amp;" | "&amp;J773</f>
        <v>[1분 성경 신약 #257] 하나님은 사랑이시라 | 요일 4:1-21</v>
      </c>
      <c r="U773" s="26" t="n">
        <f aca="false">IF(D773="구약",IF(C773=1,안내!$C$9,안내!$C$10)+AD773-1,IF(C773=1,안내!$C$9,안내!$C$10)+7*INT((AD773-1)/4)+CHOOSE(MOD(AD773-1,4)+1,0,2,4,5))</f>
        <v>46846</v>
      </c>
      <c r="V773" s="23" t="str">
        <f aca="false">CHOOSE(WEEKDAY(U773,2),"월","화","수","목","금","토","일")</f>
        <v>월</v>
      </c>
      <c r="W773" s="24" t="str">
        <f aca="false">IFERROR(IF(INDEX($C$2:$C$799,MATCH(D773&amp;"#"&amp;(E773+1),$AC$2:$AC$799,0))=C773,"다음 편: ","시즌1 완결 · 시즌2 첫 편: ")&amp;INDEX($L$2:$L$799,MATCH(D773&amp;"#"&amp;(E773+1),$AC$2:$AC$799,0)),"신약 트랙 완결")</f>
        <v>다음 편: 영생이 있음을 알게</v>
      </c>
      <c r="X773" s="23" t="s">
        <v>130</v>
      </c>
      <c r="Y773" s="23" t="s">
        <v>130</v>
      </c>
      <c r="Z773" s="23" t="s">
        <v>130</v>
      </c>
      <c r="AA773" s="23" t="s">
        <v>130</v>
      </c>
      <c r="AB773" s="24"/>
      <c r="AC773" s="23" t="str">
        <f aca="false">D773&amp;"#"&amp;E773</f>
        <v>신약#257</v>
      </c>
      <c r="AD773" s="23" t="n">
        <f aca="false">COUNTIFS($C$2:C773,C773,$D$2:D773,D773)</f>
        <v>153</v>
      </c>
    </row>
    <row r="774" customFormat="false" ht="26.85" hidden="false" customHeight="false" outlineLevel="0" collapsed="false">
      <c r="A774" s="23" t="n">
        <v>773</v>
      </c>
      <c r="B774" s="30" t="s">
        <v>6828</v>
      </c>
      <c r="C774" s="23" t="n">
        <v>2</v>
      </c>
      <c r="D774" s="23" t="s">
        <v>4656</v>
      </c>
      <c r="E774" s="23" t="n">
        <f aca="false">IF(C774=1,COUNTIFS($C$2:C774,1,$D$2:D774,D774),COUNTIFS($C$2:$C$799,1,$D$2:$D$799,D774)+COUNTIFS($C$2:C774,2,$D$2:D774,D774))</f>
        <v>258</v>
      </c>
      <c r="F774" s="23" t="str">
        <f aca="false">D774&amp;" #"&amp;TEXT(E774,"000")</f>
        <v>신약 #258</v>
      </c>
      <c r="G774" s="30" t="s">
        <v>6803</v>
      </c>
      <c r="H774" s="30" t="s">
        <v>6804</v>
      </c>
      <c r="I774" s="23" t="s">
        <v>6805</v>
      </c>
      <c r="J774" s="24" t="s">
        <v>6829</v>
      </c>
      <c r="K774" s="23" t="s">
        <v>1085</v>
      </c>
      <c r="L774" s="24" t="s">
        <v>6830</v>
      </c>
      <c r="M774" s="24" t="s">
        <v>6831</v>
      </c>
      <c r="N774" s="23" t="s">
        <v>6832</v>
      </c>
      <c r="O774" s="24" t="s">
        <v>6833</v>
      </c>
      <c r="P774" s="24" t="s">
        <v>6811</v>
      </c>
      <c r="Q774" s="24" t="s">
        <v>6834</v>
      </c>
      <c r="R774" s="25" t="s">
        <v>6835</v>
      </c>
      <c r="S774" s="24" t="s">
        <v>6693</v>
      </c>
      <c r="T774" s="24" t="str">
        <f aca="false">"["&amp;안내!$C$5&amp;" "&amp;F774&amp;"] "&amp;L774&amp;" | "&amp;J774</f>
        <v>[1분 성경 신약 #258] 영생이 있음을 알게 | 요일 5:1-21</v>
      </c>
      <c r="U774" s="26" t="n">
        <f aca="false">IF(D774="구약",IF(C774=1,안내!$C$9,안내!$C$10)+AD774-1,IF(C774=1,안내!$C$9,안내!$C$10)+7*INT((AD774-1)/4)+CHOOSE(MOD(AD774-1,4)+1,0,2,4,5))</f>
        <v>46848</v>
      </c>
      <c r="V774" s="23" t="str">
        <f aca="false">CHOOSE(WEEKDAY(U774,2),"월","화","수","목","금","토","일")</f>
        <v>수</v>
      </c>
      <c r="W774" s="24" t="str">
        <f aca="false">IFERROR(IF(INDEX($C$2:$C$799,MATCH(D774&amp;"#"&amp;(E774+1),$AC$2:$AC$799,0))=C774,"다음 편: ","시즌1 완결 · 시즌2 첫 편: ")&amp;INDEX($L$2:$L$799,MATCH(D774&amp;"#"&amp;(E774+1),$AC$2:$AC$799,0)),"신약 트랙 완결")</f>
        <v>다음 편: 진리 안에서 행하라</v>
      </c>
      <c r="X774" s="23" t="s">
        <v>130</v>
      </c>
      <c r="Y774" s="23" t="s">
        <v>130</v>
      </c>
      <c r="Z774" s="23" t="s">
        <v>130</v>
      </c>
      <c r="AA774" s="23" t="s">
        <v>130</v>
      </c>
      <c r="AB774" s="24"/>
      <c r="AC774" s="23" t="str">
        <f aca="false">D774&amp;"#"&amp;E774</f>
        <v>신약#258</v>
      </c>
      <c r="AD774" s="23" t="n">
        <f aca="false">COUNTIFS($C$2:C774,C774,$D$2:D774,D774)</f>
        <v>154</v>
      </c>
    </row>
    <row r="775" customFormat="false" ht="26.85" hidden="false" customHeight="false" outlineLevel="0" collapsed="false">
      <c r="A775" s="23" t="n">
        <v>774</v>
      </c>
      <c r="B775" s="30" t="s">
        <v>6836</v>
      </c>
      <c r="C775" s="23" t="n">
        <v>2</v>
      </c>
      <c r="D775" s="23" t="s">
        <v>4656</v>
      </c>
      <c r="E775" s="23" t="n">
        <f aca="false">IF(C775=1,COUNTIFS($C$2:C775,1,$D$2:D775,D775),COUNTIFS($C$2:$C$799,1,$D$2:$D$799,D775)+COUNTIFS($C$2:C775,2,$D$2:D775,D775))</f>
        <v>259</v>
      </c>
      <c r="F775" s="23" t="str">
        <f aca="false">D775&amp;" #"&amp;TEXT(E775,"000")</f>
        <v>신약 #259</v>
      </c>
      <c r="G775" s="30" t="s">
        <v>6803</v>
      </c>
      <c r="H775" s="30" t="s">
        <v>6804</v>
      </c>
      <c r="I775" s="23" t="s">
        <v>6837</v>
      </c>
      <c r="J775" s="24" t="s">
        <v>6838</v>
      </c>
      <c r="K775" s="23" t="s">
        <v>1085</v>
      </c>
      <c r="L775" s="24" t="s">
        <v>6839</v>
      </c>
      <c r="M775" s="24" t="s">
        <v>6840</v>
      </c>
      <c r="N775" s="23" t="s">
        <v>6841</v>
      </c>
      <c r="O775" s="24" t="s">
        <v>6842</v>
      </c>
      <c r="P775" s="24" t="s">
        <v>6843</v>
      </c>
      <c r="Q775" s="24" t="s">
        <v>6844</v>
      </c>
      <c r="R775" s="25" t="s">
        <v>6845</v>
      </c>
      <c r="S775" s="24" t="s">
        <v>6693</v>
      </c>
      <c r="T775" s="24" t="str">
        <f aca="false">"["&amp;안내!$C$5&amp;" "&amp;F775&amp;"] "&amp;L775&amp;" | "&amp;J775</f>
        <v>[1분 성경 신약 #259] 진리 안에서 행하라 | 요이 1:1-13</v>
      </c>
      <c r="U775" s="26" t="n">
        <f aca="false">IF(D775="구약",IF(C775=1,안내!$C$9,안내!$C$10)+AD775-1,IF(C775=1,안내!$C$9,안내!$C$10)+7*INT((AD775-1)/4)+CHOOSE(MOD(AD775-1,4)+1,0,2,4,5))</f>
        <v>46850</v>
      </c>
      <c r="V775" s="23" t="str">
        <f aca="false">CHOOSE(WEEKDAY(U775,2),"월","화","수","목","금","토","일")</f>
        <v>금</v>
      </c>
      <c r="W775" s="24" t="str">
        <f aca="false">IFERROR(IF(INDEX($C$2:$C$799,MATCH(D775&amp;"#"&amp;(E775+1),$AC$2:$AC$799,0))=C775,"다음 편: ","시즌1 완결 · 시즌2 첫 편: ")&amp;INDEX($L$2:$L$799,MATCH(D775&amp;"#"&amp;(E775+1),$AC$2:$AC$799,0)),"신약 트랙 완결")</f>
        <v>다음 편: 선한 것을 본받으라</v>
      </c>
      <c r="X775" s="23" t="s">
        <v>130</v>
      </c>
      <c r="Y775" s="23" t="s">
        <v>130</v>
      </c>
      <c r="Z775" s="23" t="s">
        <v>130</v>
      </c>
      <c r="AA775" s="23" t="s">
        <v>130</v>
      </c>
      <c r="AB775" s="24"/>
      <c r="AC775" s="23" t="str">
        <f aca="false">D775&amp;"#"&amp;E775</f>
        <v>신약#259</v>
      </c>
      <c r="AD775" s="23" t="n">
        <f aca="false">COUNTIFS($C$2:C775,C775,$D$2:D775,D775)</f>
        <v>155</v>
      </c>
    </row>
    <row r="776" customFormat="false" ht="26.85" hidden="false" customHeight="false" outlineLevel="0" collapsed="false">
      <c r="A776" s="23" t="n">
        <v>775</v>
      </c>
      <c r="B776" s="30" t="s">
        <v>6846</v>
      </c>
      <c r="C776" s="23" t="n">
        <v>2</v>
      </c>
      <c r="D776" s="23" t="s">
        <v>4656</v>
      </c>
      <c r="E776" s="23" t="n">
        <f aca="false">IF(C776=1,COUNTIFS($C$2:C776,1,$D$2:D776,D776),COUNTIFS($C$2:$C$799,1,$D$2:$D$799,D776)+COUNTIFS($C$2:C776,2,$D$2:D776,D776))</f>
        <v>260</v>
      </c>
      <c r="F776" s="23" t="str">
        <f aca="false">D776&amp;" #"&amp;TEXT(E776,"000")</f>
        <v>신약 #260</v>
      </c>
      <c r="G776" s="30" t="s">
        <v>6803</v>
      </c>
      <c r="H776" s="30" t="s">
        <v>6804</v>
      </c>
      <c r="I776" s="23" t="s">
        <v>6847</v>
      </c>
      <c r="J776" s="24" t="s">
        <v>6848</v>
      </c>
      <c r="K776" s="23" t="s">
        <v>1085</v>
      </c>
      <c r="L776" s="24" t="s">
        <v>6849</v>
      </c>
      <c r="M776" s="24" t="s">
        <v>6850</v>
      </c>
      <c r="N776" s="23" t="s">
        <v>6851</v>
      </c>
      <c r="O776" s="24" t="s">
        <v>6852</v>
      </c>
      <c r="P776" s="24" t="s">
        <v>6853</v>
      </c>
      <c r="Q776" s="24" t="s">
        <v>6854</v>
      </c>
      <c r="R776" s="27" t="s">
        <v>6855</v>
      </c>
      <c r="S776" s="24" t="s">
        <v>6693</v>
      </c>
      <c r="T776" s="24" t="str">
        <f aca="false">"["&amp;안내!$C$5&amp;" "&amp;F776&amp;"] "&amp;L776&amp;" | "&amp;J776</f>
        <v>[1분 성경 신약 #260] 선한 것을 본받으라 | 요삼 1:1-15</v>
      </c>
      <c r="U776" s="26" t="n">
        <f aca="false">IF(D776="구약",IF(C776=1,안내!$C$9,안내!$C$10)+AD776-1,IF(C776=1,안내!$C$9,안내!$C$10)+7*INT((AD776-1)/4)+CHOOSE(MOD(AD776-1,4)+1,0,2,4,5))</f>
        <v>46851</v>
      </c>
      <c r="V776" s="23" t="str">
        <f aca="false">CHOOSE(WEEKDAY(U776,2),"월","화","수","목","금","토","일")</f>
        <v>토</v>
      </c>
      <c r="W776" s="24" t="str">
        <f aca="false">IFERROR(IF(INDEX($C$2:$C$799,MATCH(D776&amp;"#"&amp;(E776+1),$AC$2:$AC$799,0))=C776,"다음 편: ","시즌1 완결 · 시즌2 첫 편: ")&amp;INDEX($L$2:$L$799,MATCH(D776&amp;"#"&amp;(E776+1),$AC$2:$AC$799,0)),"신약 트랙 완결")</f>
        <v>다음 편: 믿음의 도를 위하여 싸우라</v>
      </c>
      <c r="X776" s="23" t="s">
        <v>130</v>
      </c>
      <c r="Y776" s="23" t="s">
        <v>130</v>
      </c>
      <c r="Z776" s="23" t="s">
        <v>130</v>
      </c>
      <c r="AA776" s="23" t="s">
        <v>130</v>
      </c>
      <c r="AB776" s="24"/>
      <c r="AC776" s="23" t="str">
        <f aca="false">D776&amp;"#"&amp;E776</f>
        <v>신약#260</v>
      </c>
      <c r="AD776" s="23" t="n">
        <f aca="false">COUNTIFS($C$2:C776,C776,$D$2:D776,D776)</f>
        <v>156</v>
      </c>
    </row>
    <row r="777" customFormat="false" ht="26.85" hidden="false" customHeight="false" outlineLevel="0" collapsed="false">
      <c r="A777" s="23" t="n">
        <v>776</v>
      </c>
      <c r="B777" s="30" t="s">
        <v>6856</v>
      </c>
      <c r="C777" s="23" t="n">
        <v>2</v>
      </c>
      <c r="D777" s="23" t="s">
        <v>4656</v>
      </c>
      <c r="E777" s="23" t="n">
        <f aca="false">IF(C777=1,COUNTIFS($C$2:C777,1,$D$2:D777,D777),COUNTIFS($C$2:$C$799,1,$D$2:$D$799,D777)+COUNTIFS($C$2:C777,2,$D$2:D777,D777))</f>
        <v>261</v>
      </c>
      <c r="F777" s="23" t="str">
        <f aca="false">D777&amp;" #"&amp;TEXT(E777,"000")</f>
        <v>신약 #261</v>
      </c>
      <c r="G777" s="30" t="s">
        <v>6803</v>
      </c>
      <c r="H777" s="30" t="s">
        <v>6804</v>
      </c>
      <c r="I777" s="23" t="s">
        <v>6857</v>
      </c>
      <c r="J777" s="24" t="s">
        <v>6858</v>
      </c>
      <c r="K777" s="23" t="s">
        <v>1085</v>
      </c>
      <c r="L777" s="24" t="s">
        <v>6859</v>
      </c>
      <c r="M777" s="24" t="s">
        <v>6860</v>
      </c>
      <c r="N777" s="23" t="s">
        <v>6861</v>
      </c>
      <c r="O777" s="24" t="s">
        <v>6862</v>
      </c>
      <c r="P777" s="24" t="s">
        <v>6863</v>
      </c>
      <c r="Q777" s="24" t="s">
        <v>6864</v>
      </c>
      <c r="R777" s="27" t="s">
        <v>6865</v>
      </c>
      <c r="S777" s="24" t="s">
        <v>6693</v>
      </c>
      <c r="T777" s="24" t="str">
        <f aca="false">"["&amp;안내!$C$5&amp;" "&amp;F777&amp;"] "&amp;L777&amp;" | "&amp;J777</f>
        <v>[1분 성경 신약 #261] 믿음의 도를 위하여 싸우라 | 유 1:1-25</v>
      </c>
      <c r="U777" s="26" t="n">
        <f aca="false">IF(D777="구약",IF(C777=1,안내!$C$9,안내!$C$10)+AD777-1,IF(C777=1,안내!$C$9,안내!$C$10)+7*INT((AD777-1)/4)+CHOOSE(MOD(AD777-1,4)+1,0,2,4,5))</f>
        <v>46853</v>
      </c>
      <c r="V777" s="23" t="str">
        <f aca="false">CHOOSE(WEEKDAY(U777,2),"월","화","수","목","금","토","일")</f>
        <v>월</v>
      </c>
      <c r="W777" s="24" t="str">
        <f aca="false">IFERROR(IF(INDEX($C$2:$C$799,MATCH(D777&amp;"#"&amp;(E777+1),$AC$2:$AC$799,0))=C777,"다음 편: ","시즌1 완결 · 시즌2 첫 편: ")&amp;INDEX($L$2:$L$799,MATCH(D777&amp;"#"&amp;(E777+1),$AC$2:$AC$799,0)),"신약 트랙 완결")</f>
        <v>다음 편: 읽는 자와 듣는 자는 복이 있다</v>
      </c>
      <c r="X777" s="23" t="s">
        <v>130</v>
      </c>
      <c r="Y777" s="23" t="s">
        <v>130</v>
      </c>
      <c r="Z777" s="23" t="s">
        <v>130</v>
      </c>
      <c r="AA777" s="23" t="s">
        <v>130</v>
      </c>
      <c r="AB777" s="24"/>
      <c r="AC777" s="23" t="str">
        <f aca="false">D777&amp;"#"&amp;E777</f>
        <v>신약#261</v>
      </c>
      <c r="AD777" s="23" t="n">
        <f aca="false">COUNTIFS($C$2:C777,C777,$D$2:D777,D777)</f>
        <v>157</v>
      </c>
    </row>
    <row r="778" customFormat="false" ht="26.85" hidden="false" customHeight="false" outlineLevel="0" collapsed="false">
      <c r="A778" s="23" t="n">
        <v>777</v>
      </c>
      <c r="B778" s="30" t="s">
        <v>6866</v>
      </c>
      <c r="C778" s="23" t="n">
        <v>2</v>
      </c>
      <c r="D778" s="23" t="s">
        <v>4656</v>
      </c>
      <c r="E778" s="23" t="n">
        <f aca="false">IF(C778=1,COUNTIFS($C$2:C778,1,$D$2:D778,D778),COUNTIFS($C$2:$C$799,1,$D$2:$D$799,D778)+COUNTIFS($C$2:C778,2,$D$2:D778,D778))</f>
        <v>262</v>
      </c>
      <c r="F778" s="23" t="str">
        <f aca="false">D778&amp;" #"&amp;TEXT(E778,"000")</f>
        <v>신약 #262</v>
      </c>
      <c r="G778" s="30" t="s">
        <v>6867</v>
      </c>
      <c r="H778" s="30" t="s">
        <v>6868</v>
      </c>
      <c r="I778" s="23" t="s">
        <v>6869</v>
      </c>
      <c r="J778" s="24" t="s">
        <v>6870</v>
      </c>
      <c r="K778" s="23" t="s">
        <v>1085</v>
      </c>
      <c r="L778" s="24" t="s">
        <v>6871</v>
      </c>
      <c r="M778" s="24" t="s">
        <v>6872</v>
      </c>
      <c r="N778" s="23" t="s">
        <v>6873</v>
      </c>
      <c r="O778" s="24" t="s">
        <v>6874</v>
      </c>
      <c r="P778" s="24" t="s">
        <v>6811</v>
      </c>
      <c r="Q778" s="24" t="s">
        <v>6875</v>
      </c>
      <c r="R778" s="24"/>
      <c r="S778" s="24" t="s">
        <v>6693</v>
      </c>
      <c r="T778" s="24" t="str">
        <f aca="false">"["&amp;안내!$C$5&amp;" "&amp;F778&amp;"] "&amp;L778&amp;" | "&amp;J778</f>
        <v>[1분 성경 신약 #262] 읽는 자와 듣는 자는 복이 있다 | 계 1:1-8</v>
      </c>
      <c r="U778" s="26" t="n">
        <f aca="false">IF(D778="구약",IF(C778=1,안내!$C$9,안내!$C$10)+AD778-1,IF(C778=1,안내!$C$9,안내!$C$10)+7*INT((AD778-1)/4)+CHOOSE(MOD(AD778-1,4)+1,0,2,4,5))</f>
        <v>46855</v>
      </c>
      <c r="V778" s="23" t="str">
        <f aca="false">CHOOSE(WEEKDAY(U778,2),"월","화","수","목","금","토","일")</f>
        <v>수</v>
      </c>
      <c r="W778" s="24" t="str">
        <f aca="false">IFERROR(IF(INDEX($C$2:$C$799,MATCH(D778&amp;"#"&amp;(E778+1),$AC$2:$AC$799,0))=C778,"다음 편: ","시즌1 완결 · 시즌2 첫 편: ")&amp;INDEX($L$2:$L$799,MATCH(D778&amp;"#"&amp;(E778+1),$AC$2:$AC$799,0)),"신약 트랙 완결")</f>
        <v>다음 편: 일곱 금 촛대 사이의 인자</v>
      </c>
      <c r="X778" s="23" t="s">
        <v>130</v>
      </c>
      <c r="Y778" s="23" t="s">
        <v>130</v>
      </c>
      <c r="Z778" s="23" t="s">
        <v>130</v>
      </c>
      <c r="AA778" s="23" t="s">
        <v>130</v>
      </c>
      <c r="AB778" s="24"/>
      <c r="AC778" s="23" t="str">
        <f aca="false">D778&amp;"#"&amp;E778</f>
        <v>신약#262</v>
      </c>
      <c r="AD778" s="23" t="n">
        <f aca="false">COUNTIFS($C$2:C778,C778,$D$2:D778,D778)</f>
        <v>158</v>
      </c>
    </row>
    <row r="779" customFormat="false" ht="26.85" hidden="false" customHeight="false" outlineLevel="0" collapsed="false">
      <c r="A779" s="23" t="n">
        <v>778</v>
      </c>
      <c r="B779" s="30" t="s">
        <v>6876</v>
      </c>
      <c r="C779" s="23" t="n">
        <v>2</v>
      </c>
      <c r="D779" s="23" t="s">
        <v>4656</v>
      </c>
      <c r="E779" s="23" t="n">
        <f aca="false">IF(C779=1,COUNTIFS($C$2:C779,1,$D$2:D779,D779),COUNTIFS($C$2:$C$799,1,$D$2:$D$799,D779)+COUNTIFS($C$2:C779,2,$D$2:D779,D779))</f>
        <v>263</v>
      </c>
      <c r="F779" s="23" t="str">
        <f aca="false">D779&amp;" #"&amp;TEXT(E779,"000")</f>
        <v>신약 #263</v>
      </c>
      <c r="G779" s="30" t="s">
        <v>6867</v>
      </c>
      <c r="H779" s="30" t="s">
        <v>6868</v>
      </c>
      <c r="I779" s="23" t="s">
        <v>6869</v>
      </c>
      <c r="J779" s="24" t="s">
        <v>6877</v>
      </c>
      <c r="K779" s="23" t="s">
        <v>1085</v>
      </c>
      <c r="L779" s="24" t="s">
        <v>6878</v>
      </c>
      <c r="M779" s="24" t="s">
        <v>6879</v>
      </c>
      <c r="N779" s="23" t="s">
        <v>6880</v>
      </c>
      <c r="O779" s="24" t="s">
        <v>6881</v>
      </c>
      <c r="P779" s="24" t="s">
        <v>6882</v>
      </c>
      <c r="Q779" s="24" t="s">
        <v>6883</v>
      </c>
      <c r="R779" s="25" t="s">
        <v>6884</v>
      </c>
      <c r="S779" s="24" t="s">
        <v>6693</v>
      </c>
      <c r="T779" s="24" t="str">
        <f aca="false">"["&amp;안내!$C$5&amp;" "&amp;F779&amp;"] "&amp;L779&amp;" | "&amp;J779</f>
        <v>[1분 성경 신약 #263] 일곱 금 촛대 사이의 인자 | 계 1:9-20</v>
      </c>
      <c r="U779" s="26" t="n">
        <f aca="false">IF(D779="구약",IF(C779=1,안내!$C$9,안내!$C$10)+AD779-1,IF(C779=1,안내!$C$9,안내!$C$10)+7*INT((AD779-1)/4)+CHOOSE(MOD(AD779-1,4)+1,0,2,4,5))</f>
        <v>46857</v>
      </c>
      <c r="V779" s="23" t="str">
        <f aca="false">CHOOSE(WEEKDAY(U779,2),"월","화","수","목","금","토","일")</f>
        <v>금</v>
      </c>
      <c r="W779" s="24" t="str">
        <f aca="false">IFERROR(IF(INDEX($C$2:$C$799,MATCH(D779&amp;"#"&amp;(E779+1),$AC$2:$AC$799,0))=C779,"다음 편: ","시즌1 완결 · 시즌2 첫 편: ")&amp;INDEX($L$2:$L$799,MATCH(D779&amp;"#"&amp;(E779+1),$AC$2:$AC$799,0)),"신약 트랙 완결")</f>
        <v>다음 편: 처음 사랑을 버렸다</v>
      </c>
      <c r="X779" s="23" t="s">
        <v>130</v>
      </c>
      <c r="Y779" s="23" t="s">
        <v>130</v>
      </c>
      <c r="Z779" s="23" t="s">
        <v>130</v>
      </c>
      <c r="AA779" s="23" t="s">
        <v>130</v>
      </c>
      <c r="AB779" s="24"/>
      <c r="AC779" s="23" t="str">
        <f aca="false">D779&amp;"#"&amp;E779</f>
        <v>신약#263</v>
      </c>
      <c r="AD779" s="23" t="n">
        <f aca="false">COUNTIFS($C$2:C779,C779,$D$2:D779,D779)</f>
        <v>159</v>
      </c>
    </row>
    <row r="780" customFormat="false" ht="26.85" hidden="false" customHeight="false" outlineLevel="0" collapsed="false">
      <c r="A780" s="23" t="n">
        <v>779</v>
      </c>
      <c r="B780" s="30" t="s">
        <v>6885</v>
      </c>
      <c r="C780" s="23" t="n">
        <v>2</v>
      </c>
      <c r="D780" s="23" t="s">
        <v>4656</v>
      </c>
      <c r="E780" s="23" t="n">
        <f aca="false">IF(C780=1,COUNTIFS($C$2:C780,1,$D$2:D780,D780),COUNTIFS($C$2:$C$799,1,$D$2:$D$799,D780)+COUNTIFS($C$2:C780,2,$D$2:D780,D780))</f>
        <v>264</v>
      </c>
      <c r="F780" s="23" t="str">
        <f aca="false">D780&amp;" #"&amp;TEXT(E780,"000")</f>
        <v>신약 #264</v>
      </c>
      <c r="G780" s="30" t="s">
        <v>6867</v>
      </c>
      <c r="H780" s="30" t="s">
        <v>6868</v>
      </c>
      <c r="I780" s="23" t="s">
        <v>6869</v>
      </c>
      <c r="J780" s="24" t="s">
        <v>6886</v>
      </c>
      <c r="K780" s="23" t="s">
        <v>1085</v>
      </c>
      <c r="L780" s="24" t="s">
        <v>6887</v>
      </c>
      <c r="M780" s="24" t="s">
        <v>6888</v>
      </c>
      <c r="N780" s="23" t="s">
        <v>6889</v>
      </c>
      <c r="O780" s="24" t="s">
        <v>6890</v>
      </c>
      <c r="P780" s="24" t="s">
        <v>6891</v>
      </c>
      <c r="Q780" s="24" t="s">
        <v>6892</v>
      </c>
      <c r="R780" s="25" t="s">
        <v>6893</v>
      </c>
      <c r="S780" s="24" t="s">
        <v>6693</v>
      </c>
      <c r="T780" s="24" t="str">
        <f aca="false">"["&amp;안내!$C$5&amp;" "&amp;F780&amp;"] "&amp;L780&amp;" | "&amp;J780</f>
        <v>[1분 성경 신약 #264] 처음 사랑을 버렸다 | 계 2:1-17</v>
      </c>
      <c r="U780" s="26" t="n">
        <f aca="false">IF(D780="구약",IF(C780=1,안내!$C$9,안내!$C$10)+AD780-1,IF(C780=1,안내!$C$9,안내!$C$10)+7*INT((AD780-1)/4)+CHOOSE(MOD(AD780-1,4)+1,0,2,4,5))</f>
        <v>46858</v>
      </c>
      <c r="V780" s="23" t="str">
        <f aca="false">CHOOSE(WEEKDAY(U780,2),"월","화","수","목","금","토","일")</f>
        <v>토</v>
      </c>
      <c r="W780" s="24" t="str">
        <f aca="false">IFERROR(IF(INDEX($C$2:$C$799,MATCH(D780&amp;"#"&amp;(E780+1),$AC$2:$AC$799,0))=C780,"다음 편: ","시즌1 완결 · 시즌2 첫 편: ")&amp;INDEX($L$2:$L$799,MATCH(D780&amp;"#"&amp;(E780+1),$AC$2:$AC$799,0)),"신약 트랙 완결")</f>
        <v>다음 편: 흰옷을 입고 나와 함께</v>
      </c>
      <c r="X780" s="23" t="s">
        <v>130</v>
      </c>
      <c r="Y780" s="23" t="s">
        <v>130</v>
      </c>
      <c r="Z780" s="23" t="s">
        <v>130</v>
      </c>
      <c r="AA780" s="23" t="s">
        <v>130</v>
      </c>
      <c r="AB780" s="24"/>
      <c r="AC780" s="23" t="str">
        <f aca="false">D780&amp;"#"&amp;E780</f>
        <v>신약#264</v>
      </c>
      <c r="AD780" s="23" t="n">
        <f aca="false">COUNTIFS($C$2:C780,C780,$D$2:D780,D780)</f>
        <v>160</v>
      </c>
    </row>
    <row r="781" customFormat="false" ht="26.85" hidden="false" customHeight="false" outlineLevel="0" collapsed="false">
      <c r="A781" s="23" t="n">
        <v>780</v>
      </c>
      <c r="B781" s="30" t="s">
        <v>6894</v>
      </c>
      <c r="C781" s="23" t="n">
        <v>2</v>
      </c>
      <c r="D781" s="23" t="s">
        <v>4656</v>
      </c>
      <c r="E781" s="23" t="n">
        <f aca="false">IF(C781=1,COUNTIFS($C$2:C781,1,$D$2:D781,D781),COUNTIFS($C$2:$C$799,1,$D$2:$D$799,D781)+COUNTIFS($C$2:C781,2,$D$2:D781,D781))</f>
        <v>265</v>
      </c>
      <c r="F781" s="23" t="str">
        <f aca="false">D781&amp;" #"&amp;TEXT(E781,"000")</f>
        <v>신약 #265</v>
      </c>
      <c r="G781" s="30" t="s">
        <v>6867</v>
      </c>
      <c r="H781" s="30" t="s">
        <v>6868</v>
      </c>
      <c r="I781" s="23" t="s">
        <v>6869</v>
      </c>
      <c r="J781" s="24" t="s">
        <v>6895</v>
      </c>
      <c r="K781" s="23" t="s">
        <v>1085</v>
      </c>
      <c r="L781" s="24" t="s">
        <v>6896</v>
      </c>
      <c r="M781" s="24" t="s">
        <v>6897</v>
      </c>
      <c r="N781" s="23" t="s">
        <v>6898</v>
      </c>
      <c r="O781" s="24" t="s">
        <v>6899</v>
      </c>
      <c r="P781" s="24" t="s">
        <v>6900</v>
      </c>
      <c r="Q781" s="24" t="s">
        <v>6892</v>
      </c>
      <c r="R781" s="27" t="s">
        <v>6901</v>
      </c>
      <c r="S781" s="24" t="s">
        <v>6693</v>
      </c>
      <c r="T781" s="24" t="str">
        <f aca="false">"["&amp;안내!$C$5&amp;" "&amp;F781&amp;"] "&amp;L781&amp;" | "&amp;J781</f>
        <v>[1분 성경 신약 #265] 흰옷을 입고 나와 함께 | 계 2:18-3:6</v>
      </c>
      <c r="U781" s="26" t="n">
        <f aca="false">IF(D781="구약",IF(C781=1,안내!$C$9,안내!$C$10)+AD781-1,IF(C781=1,안내!$C$9,안내!$C$10)+7*INT((AD781-1)/4)+CHOOSE(MOD(AD781-1,4)+1,0,2,4,5))</f>
        <v>46860</v>
      </c>
      <c r="V781" s="23" t="str">
        <f aca="false">CHOOSE(WEEKDAY(U781,2),"월","화","수","목","금","토","일")</f>
        <v>월</v>
      </c>
      <c r="W781" s="24" t="str">
        <f aca="false">IFERROR(IF(INDEX($C$2:$C$799,MATCH(D781&amp;"#"&amp;(E781+1),$AC$2:$AC$799,0))=C781,"다음 편: ","시즌1 완결 · 시즌2 첫 편: ")&amp;INDEX($L$2:$L$799,MATCH(D781&amp;"#"&amp;(E781+1),$AC$2:$AC$799,0)),"신약 트랙 완결")</f>
        <v>다음 편: 하늘 보좌</v>
      </c>
      <c r="X781" s="23" t="s">
        <v>130</v>
      </c>
      <c r="Y781" s="23" t="s">
        <v>130</v>
      </c>
      <c r="Z781" s="23" t="s">
        <v>130</v>
      </c>
      <c r="AA781" s="23" t="s">
        <v>130</v>
      </c>
      <c r="AB781" s="24"/>
      <c r="AC781" s="23" t="str">
        <f aca="false">D781&amp;"#"&amp;E781</f>
        <v>신약#265</v>
      </c>
      <c r="AD781" s="23" t="n">
        <f aca="false">COUNTIFS($C$2:C781,C781,$D$2:D781,D781)</f>
        <v>161</v>
      </c>
    </row>
    <row r="782" customFormat="false" ht="52.2" hidden="false" customHeight="false" outlineLevel="0" collapsed="false">
      <c r="A782" s="23" t="n">
        <v>781</v>
      </c>
      <c r="B782" s="30" t="s">
        <v>6902</v>
      </c>
      <c r="C782" s="20" t="n">
        <v>1</v>
      </c>
      <c r="D782" s="20" t="s">
        <v>4656</v>
      </c>
      <c r="E782" s="20" t="n">
        <f aca="false">IF(C782=1,COUNTIFS($C$2:C782,1,$D$2:D782,D782),COUNTIFS($C$2:$C$799,1,$D$2:$D$799,D782)+COUNTIFS($C$2:C782,2,$D$2:D782,D782))</f>
        <v>99</v>
      </c>
      <c r="F782" s="20" t="str">
        <f aca="false">D782&amp;" #"&amp;TEXT(E782,"000")</f>
        <v>신약 #099</v>
      </c>
      <c r="G782" s="30" t="s">
        <v>6867</v>
      </c>
      <c r="H782" s="30" t="s">
        <v>6675</v>
      </c>
      <c r="I782" s="23" t="s">
        <v>6869</v>
      </c>
      <c r="J782" s="24" t="s">
        <v>6903</v>
      </c>
      <c r="K782" s="23" t="s">
        <v>1085</v>
      </c>
      <c r="L782" s="24" t="s">
        <v>6904</v>
      </c>
      <c r="M782" s="24" t="s">
        <v>6905</v>
      </c>
      <c r="N782" s="23" t="s">
        <v>6906</v>
      </c>
      <c r="O782" s="24" t="s">
        <v>6907</v>
      </c>
      <c r="P782" s="24" t="s">
        <v>6908</v>
      </c>
      <c r="Q782" s="24" t="s">
        <v>6909</v>
      </c>
      <c r="R782" s="24"/>
      <c r="S782" s="28" t="s">
        <v>6910</v>
      </c>
      <c r="T782" s="24" t="str">
        <f aca="false">"["&amp;안내!$C$5&amp;" "&amp;F782&amp;"] "&amp;L782&amp;" | "&amp;J782</f>
        <v>[1분 성경 신약 #099] 문 밖에서 두드리시는 주님 | 계 3:7-22</v>
      </c>
      <c r="U782" s="26" t="n">
        <f aca="false">IF(D782="구약",IF(C782=1,안내!$C$9,안내!$C$10)+AD782-1,IF(C782=1,안내!$C$9,안내!$C$10)+7*INT((AD782-1)/4)+CHOOSE(MOD(AD782-1,4)+1,0,2,4,5))</f>
        <v>46563</v>
      </c>
      <c r="V782" s="23" t="str">
        <f aca="false">CHOOSE(WEEKDAY(U782,2),"월","화","수","목","금","토","일")</f>
        <v>금</v>
      </c>
      <c r="W782" s="24" t="str">
        <f aca="false">IFERROR(IF(INDEX($C$2:$C$799,MATCH(D782&amp;"#"&amp;(E782+1),$AC$2:$AC$799,0))=C782,"다음 편: ","시즌1 완결 · 시즌2 첫 편: ")&amp;INDEX($L$2:$L$799,MATCH(D782&amp;"#"&amp;(E782+1),$AC$2:$AC$799,0)),"신약 트랙 완결")</f>
        <v>다음 편: 일찍 죽임을 당한 어린양</v>
      </c>
      <c r="X782" s="23" t="s">
        <v>130</v>
      </c>
      <c r="Y782" s="23" t="s">
        <v>130</v>
      </c>
      <c r="Z782" s="23" t="s">
        <v>130</v>
      </c>
      <c r="AA782" s="23" t="s">
        <v>130</v>
      </c>
      <c r="AB782" s="24"/>
      <c r="AC782" s="23" t="str">
        <f aca="false">D782&amp;"#"&amp;E782</f>
        <v>신약#99</v>
      </c>
      <c r="AD782" s="23" t="n">
        <f aca="false">COUNTIFS($C$2:C782,C782,$D$2:D782,D782)</f>
        <v>99</v>
      </c>
    </row>
    <row r="783" customFormat="false" ht="26.85" hidden="false" customHeight="false" outlineLevel="0" collapsed="false">
      <c r="A783" s="23" t="n">
        <v>782</v>
      </c>
      <c r="B783" s="30" t="s">
        <v>6911</v>
      </c>
      <c r="C783" s="23" t="n">
        <v>2</v>
      </c>
      <c r="D783" s="23" t="s">
        <v>4656</v>
      </c>
      <c r="E783" s="23" t="n">
        <f aca="false">IF(C783=1,COUNTIFS($C$2:C783,1,$D$2:D783,D783),COUNTIFS($C$2:$C$799,1,$D$2:$D$799,D783)+COUNTIFS($C$2:C783,2,$D$2:D783,D783))</f>
        <v>266</v>
      </c>
      <c r="F783" s="23" t="str">
        <f aca="false">D783&amp;" #"&amp;TEXT(E783,"000")</f>
        <v>신약 #266</v>
      </c>
      <c r="G783" s="30" t="s">
        <v>6867</v>
      </c>
      <c r="H783" s="30" t="s">
        <v>6868</v>
      </c>
      <c r="I783" s="23" t="s">
        <v>6869</v>
      </c>
      <c r="J783" s="24" t="s">
        <v>6912</v>
      </c>
      <c r="K783" s="23" t="s">
        <v>1085</v>
      </c>
      <c r="L783" s="24" t="s">
        <v>6913</v>
      </c>
      <c r="M783" s="24" t="s">
        <v>6914</v>
      </c>
      <c r="N783" s="23" t="s">
        <v>6915</v>
      </c>
      <c r="O783" s="24" t="s">
        <v>6916</v>
      </c>
      <c r="P783" s="24" t="s">
        <v>6917</v>
      </c>
      <c r="Q783" s="24" t="s">
        <v>6918</v>
      </c>
      <c r="R783" s="25" t="s">
        <v>6919</v>
      </c>
      <c r="S783" s="24" t="s">
        <v>6920</v>
      </c>
      <c r="T783" s="24" t="str">
        <f aca="false">"["&amp;안내!$C$5&amp;" "&amp;F783&amp;"] "&amp;L783&amp;" | "&amp;J783</f>
        <v>[1분 성경 신약 #266] 하늘 보좌 | 계 4:1-11</v>
      </c>
      <c r="U783" s="26" t="n">
        <f aca="false">IF(D783="구약",IF(C783=1,안내!$C$9,안내!$C$10)+AD783-1,IF(C783=1,안내!$C$9,안내!$C$10)+7*INT((AD783-1)/4)+CHOOSE(MOD(AD783-1,4)+1,0,2,4,5))</f>
        <v>46862</v>
      </c>
      <c r="V783" s="23" t="str">
        <f aca="false">CHOOSE(WEEKDAY(U783,2),"월","화","수","목","금","토","일")</f>
        <v>수</v>
      </c>
      <c r="W783" s="24" t="str">
        <f aca="false">IFERROR(IF(INDEX($C$2:$C$799,MATCH(D783&amp;"#"&amp;(E783+1),$AC$2:$AC$799,0))=C783,"다음 편: ","시즌1 완결 · 시즌2 첫 편: ")&amp;INDEX($L$2:$L$799,MATCH(D783&amp;"#"&amp;(E783+1),$AC$2:$AC$799,0)),"신약 트랙 완결")</f>
        <v>다음 편: 여섯 인</v>
      </c>
      <c r="X783" s="23" t="s">
        <v>130</v>
      </c>
      <c r="Y783" s="23" t="s">
        <v>130</v>
      </c>
      <c r="Z783" s="23" t="s">
        <v>130</v>
      </c>
      <c r="AA783" s="23" t="s">
        <v>130</v>
      </c>
      <c r="AB783" s="24"/>
      <c r="AC783" s="23" t="str">
        <f aca="false">D783&amp;"#"&amp;E783</f>
        <v>신약#266</v>
      </c>
      <c r="AD783" s="23" t="n">
        <f aca="false">COUNTIFS($C$2:C783,C783,$D$2:D783,D783)</f>
        <v>162</v>
      </c>
    </row>
    <row r="784" customFormat="false" ht="26.85" hidden="false" customHeight="false" outlineLevel="0" collapsed="false">
      <c r="A784" s="23" t="n">
        <v>783</v>
      </c>
      <c r="B784" s="30" t="s">
        <v>6921</v>
      </c>
      <c r="C784" s="20" t="n">
        <v>1</v>
      </c>
      <c r="D784" s="20" t="s">
        <v>4656</v>
      </c>
      <c r="E784" s="20" t="n">
        <f aca="false">IF(C784=1,COUNTIFS($C$2:C784,1,$D$2:D784,D784),COUNTIFS($C$2:$C$799,1,$D$2:$D$799,D784)+COUNTIFS($C$2:C784,2,$D$2:D784,D784))</f>
        <v>100</v>
      </c>
      <c r="F784" s="20" t="str">
        <f aca="false">D784&amp;" #"&amp;TEXT(E784,"000")</f>
        <v>신약 #100</v>
      </c>
      <c r="G784" s="30" t="s">
        <v>6867</v>
      </c>
      <c r="H784" s="30" t="s">
        <v>6675</v>
      </c>
      <c r="I784" s="23" t="s">
        <v>6869</v>
      </c>
      <c r="J784" s="24" t="s">
        <v>6922</v>
      </c>
      <c r="K784" s="23" t="s">
        <v>1085</v>
      </c>
      <c r="L784" s="24" t="s">
        <v>6923</v>
      </c>
      <c r="M784" s="24" t="s">
        <v>6924</v>
      </c>
      <c r="N784" s="23" t="s">
        <v>6925</v>
      </c>
      <c r="O784" s="24" t="s">
        <v>6926</v>
      </c>
      <c r="P784" s="24" t="s">
        <v>6927</v>
      </c>
      <c r="Q784" s="24" t="s">
        <v>6928</v>
      </c>
      <c r="R784" s="25" t="s">
        <v>6929</v>
      </c>
      <c r="S784" s="28" t="s">
        <v>6930</v>
      </c>
      <c r="T784" s="24" t="str">
        <f aca="false">"["&amp;안내!$C$5&amp;" "&amp;F784&amp;"] "&amp;L784&amp;" | "&amp;J784</f>
        <v>[1분 성경 신약 #100] 일찍 죽임을 당한 어린양 | 계 5:1-14</v>
      </c>
      <c r="U784" s="26" t="n">
        <f aca="false">IF(D784="구약",IF(C784=1,안내!$C$9,안내!$C$10)+AD784-1,IF(C784=1,안내!$C$9,안내!$C$10)+7*INT((AD784-1)/4)+CHOOSE(MOD(AD784-1,4)+1,0,2,4,5))</f>
        <v>46564</v>
      </c>
      <c r="V784" s="23" t="str">
        <f aca="false">CHOOSE(WEEKDAY(U784,2),"월","화","수","목","금","토","일")</f>
        <v>토</v>
      </c>
      <c r="W784" s="24" t="str">
        <f aca="false">IFERROR(IF(INDEX($C$2:$C$799,MATCH(D784&amp;"#"&amp;(E784+1),$AC$2:$AC$799,0))=C784,"다음 편: ","시즌1 완결 · 시즌2 첫 편: ")&amp;INDEX($L$2:$L$799,MATCH(D784&amp;"#"&amp;(E784+1),$AC$2:$AC$799,0)),"신약 트랙 완결")</f>
        <v>다음 편: 어린양의 혼인 잔치</v>
      </c>
      <c r="X784" s="23" t="s">
        <v>130</v>
      </c>
      <c r="Y784" s="23" t="s">
        <v>130</v>
      </c>
      <c r="Z784" s="23" t="s">
        <v>130</v>
      </c>
      <c r="AA784" s="23" t="s">
        <v>130</v>
      </c>
      <c r="AB784" s="24"/>
      <c r="AC784" s="23" t="str">
        <f aca="false">D784&amp;"#"&amp;E784</f>
        <v>신약#100</v>
      </c>
      <c r="AD784" s="23" t="n">
        <f aca="false">COUNTIFS($C$2:C784,C784,$D$2:D784,D784)</f>
        <v>100</v>
      </c>
    </row>
    <row r="785" customFormat="false" ht="26.85" hidden="false" customHeight="false" outlineLevel="0" collapsed="false">
      <c r="A785" s="23" t="n">
        <v>784</v>
      </c>
      <c r="B785" s="30" t="s">
        <v>6931</v>
      </c>
      <c r="C785" s="23" t="n">
        <v>2</v>
      </c>
      <c r="D785" s="23" t="s">
        <v>4656</v>
      </c>
      <c r="E785" s="23" t="n">
        <f aca="false">IF(C785=1,COUNTIFS($C$2:C785,1,$D$2:D785,D785),COUNTIFS($C$2:$C$799,1,$D$2:$D$799,D785)+COUNTIFS($C$2:C785,2,$D$2:D785,D785))</f>
        <v>267</v>
      </c>
      <c r="F785" s="23" t="str">
        <f aca="false">D785&amp;" #"&amp;TEXT(E785,"000")</f>
        <v>신약 #267</v>
      </c>
      <c r="G785" s="30" t="s">
        <v>6867</v>
      </c>
      <c r="H785" s="30" t="s">
        <v>6868</v>
      </c>
      <c r="I785" s="23" t="s">
        <v>6869</v>
      </c>
      <c r="J785" s="24" t="s">
        <v>6932</v>
      </c>
      <c r="K785" s="23" t="s">
        <v>1085</v>
      </c>
      <c r="L785" s="24" t="s">
        <v>6933</v>
      </c>
      <c r="M785" s="24" t="s">
        <v>6934</v>
      </c>
      <c r="N785" s="23" t="s">
        <v>6935</v>
      </c>
      <c r="O785" s="24" t="s">
        <v>6936</v>
      </c>
      <c r="P785" s="24" t="s">
        <v>6937</v>
      </c>
      <c r="Q785" s="24" t="s">
        <v>6938</v>
      </c>
      <c r="R785" s="25" t="s">
        <v>6939</v>
      </c>
      <c r="S785" s="24" t="s">
        <v>6940</v>
      </c>
      <c r="T785" s="24" t="str">
        <f aca="false">"["&amp;안내!$C$5&amp;" "&amp;F785&amp;"] "&amp;L785&amp;" | "&amp;J785</f>
        <v>[1분 성경 신약 #267] 여섯 인 | 계 6:1-17</v>
      </c>
      <c r="U785" s="26" t="n">
        <f aca="false">IF(D785="구약",IF(C785=1,안내!$C$9,안내!$C$10)+AD785-1,IF(C785=1,안내!$C$9,안내!$C$10)+7*INT((AD785-1)/4)+CHOOSE(MOD(AD785-1,4)+1,0,2,4,5))</f>
        <v>46864</v>
      </c>
      <c r="V785" s="23" t="str">
        <f aca="false">CHOOSE(WEEKDAY(U785,2),"월","화","수","목","금","토","일")</f>
        <v>금</v>
      </c>
      <c r="W785" s="24" t="str">
        <f aca="false">IFERROR(IF(INDEX($C$2:$C$799,MATCH(D785&amp;"#"&amp;(E785+1),$AC$2:$AC$799,0))=C785,"다음 편: ","시즌1 완결 · 시즌2 첫 편: ")&amp;INDEX($L$2:$L$799,MATCH(D785&amp;"#"&amp;(E785+1),$AC$2:$AC$799,0)),"신약 트랙 완결")</f>
        <v>다음 편: 흰옷 입은 큰 무리</v>
      </c>
      <c r="X785" s="23" t="s">
        <v>130</v>
      </c>
      <c r="Y785" s="23" t="s">
        <v>130</v>
      </c>
      <c r="Z785" s="23" t="s">
        <v>130</v>
      </c>
      <c r="AA785" s="23" t="s">
        <v>130</v>
      </c>
      <c r="AB785" s="24"/>
      <c r="AC785" s="23" t="str">
        <f aca="false">D785&amp;"#"&amp;E785</f>
        <v>신약#267</v>
      </c>
      <c r="AD785" s="23" t="n">
        <f aca="false">COUNTIFS($C$2:C785,C785,$D$2:D785,D785)</f>
        <v>163</v>
      </c>
    </row>
    <row r="786" customFormat="false" ht="39.55" hidden="false" customHeight="false" outlineLevel="0" collapsed="false">
      <c r="A786" s="23" t="n">
        <v>785</v>
      </c>
      <c r="B786" s="30" t="s">
        <v>6941</v>
      </c>
      <c r="C786" s="23" t="n">
        <v>2</v>
      </c>
      <c r="D786" s="23" t="s">
        <v>4656</v>
      </c>
      <c r="E786" s="23" t="n">
        <f aca="false">IF(C786=1,COUNTIFS($C$2:C786,1,$D$2:D786,D786),COUNTIFS($C$2:$C$799,1,$D$2:$D$799,D786)+COUNTIFS($C$2:C786,2,$D$2:D786,D786))</f>
        <v>268</v>
      </c>
      <c r="F786" s="23" t="str">
        <f aca="false">D786&amp;" #"&amp;TEXT(E786,"000")</f>
        <v>신약 #268</v>
      </c>
      <c r="G786" s="30" t="s">
        <v>6867</v>
      </c>
      <c r="H786" s="30" t="s">
        <v>6868</v>
      </c>
      <c r="I786" s="23" t="s">
        <v>6869</v>
      </c>
      <c r="J786" s="24" t="s">
        <v>6942</v>
      </c>
      <c r="K786" s="23" t="s">
        <v>1085</v>
      </c>
      <c r="L786" s="24" t="s">
        <v>6943</v>
      </c>
      <c r="M786" s="24" t="s">
        <v>6944</v>
      </c>
      <c r="N786" s="23" t="s">
        <v>6945</v>
      </c>
      <c r="O786" s="24" t="s">
        <v>6946</v>
      </c>
      <c r="P786" s="24" t="s">
        <v>6947</v>
      </c>
      <c r="Q786" s="24" t="s">
        <v>6948</v>
      </c>
      <c r="R786" s="27" t="s">
        <v>6949</v>
      </c>
      <c r="S786" s="24" t="s">
        <v>6940</v>
      </c>
      <c r="T786" s="24" t="str">
        <f aca="false">"["&amp;안내!$C$5&amp;" "&amp;F786&amp;"] "&amp;L786&amp;" | "&amp;J786</f>
        <v>[1분 성경 신약 #268] 흰옷 입은 큰 무리 | 계 7:1-17</v>
      </c>
      <c r="U786" s="26" t="n">
        <f aca="false">IF(D786="구약",IF(C786=1,안내!$C$9,안내!$C$10)+AD786-1,IF(C786=1,안내!$C$9,안내!$C$10)+7*INT((AD786-1)/4)+CHOOSE(MOD(AD786-1,4)+1,0,2,4,5))</f>
        <v>46865</v>
      </c>
      <c r="V786" s="23" t="str">
        <f aca="false">CHOOSE(WEEKDAY(U786,2),"월","화","수","목","금","토","일")</f>
        <v>토</v>
      </c>
      <c r="W786" s="24" t="str">
        <f aca="false">IFERROR(IF(INDEX($C$2:$C$799,MATCH(D786&amp;"#"&amp;(E786+1),$AC$2:$AC$799,0))=C786,"다음 편: ","시즌1 완결 · 시즌2 첫 편: ")&amp;INDEX($L$2:$L$799,MATCH(D786&amp;"#"&amp;(E786+1),$AC$2:$AC$799,0)),"신약 트랙 완결")</f>
        <v>다음 편: 일곱 나팔</v>
      </c>
      <c r="X786" s="23" t="s">
        <v>130</v>
      </c>
      <c r="Y786" s="23" t="s">
        <v>130</v>
      </c>
      <c r="Z786" s="23" t="s">
        <v>130</v>
      </c>
      <c r="AA786" s="23" t="s">
        <v>130</v>
      </c>
      <c r="AB786" s="24"/>
      <c r="AC786" s="23" t="str">
        <f aca="false">D786&amp;"#"&amp;E786</f>
        <v>신약#268</v>
      </c>
      <c r="AD786" s="23" t="n">
        <f aca="false">COUNTIFS($C$2:C786,C786,$D$2:D786,D786)</f>
        <v>164</v>
      </c>
    </row>
    <row r="787" customFormat="false" ht="26.85" hidden="false" customHeight="false" outlineLevel="0" collapsed="false">
      <c r="A787" s="23" t="n">
        <v>786</v>
      </c>
      <c r="B787" s="30" t="s">
        <v>6950</v>
      </c>
      <c r="C787" s="23" t="n">
        <v>2</v>
      </c>
      <c r="D787" s="23" t="s">
        <v>4656</v>
      </c>
      <c r="E787" s="23" t="n">
        <f aca="false">IF(C787=1,COUNTIFS($C$2:C787,1,$D$2:D787,D787),COUNTIFS($C$2:$C$799,1,$D$2:$D$799,D787)+COUNTIFS($C$2:C787,2,$D$2:D787,D787))</f>
        <v>269</v>
      </c>
      <c r="F787" s="23" t="str">
        <f aca="false">D787&amp;" #"&amp;TEXT(E787,"000")</f>
        <v>신약 #269</v>
      </c>
      <c r="G787" s="30" t="s">
        <v>6867</v>
      </c>
      <c r="H787" s="30" t="s">
        <v>6868</v>
      </c>
      <c r="I787" s="23" t="s">
        <v>6869</v>
      </c>
      <c r="J787" s="24" t="s">
        <v>6951</v>
      </c>
      <c r="K787" s="23" t="s">
        <v>1085</v>
      </c>
      <c r="L787" s="24" t="s">
        <v>6952</v>
      </c>
      <c r="M787" s="24" t="s">
        <v>6953</v>
      </c>
      <c r="N787" s="23" t="s">
        <v>6954</v>
      </c>
      <c r="O787" s="24" t="s">
        <v>6955</v>
      </c>
      <c r="P787" s="24" t="s">
        <v>6956</v>
      </c>
      <c r="Q787" s="24" t="s">
        <v>6957</v>
      </c>
      <c r="R787" s="25" t="s">
        <v>6958</v>
      </c>
      <c r="S787" s="24" t="s">
        <v>6940</v>
      </c>
      <c r="T787" s="24" t="str">
        <f aca="false">"["&amp;안내!$C$5&amp;" "&amp;F787&amp;"] "&amp;L787&amp;" | "&amp;J787</f>
        <v>[1분 성경 신약 #269] 일곱 나팔 | 계 8:1-9:21</v>
      </c>
      <c r="U787" s="26" t="n">
        <f aca="false">IF(D787="구약",IF(C787=1,안내!$C$9,안내!$C$10)+AD787-1,IF(C787=1,안내!$C$9,안내!$C$10)+7*INT((AD787-1)/4)+CHOOSE(MOD(AD787-1,4)+1,0,2,4,5))</f>
        <v>46867</v>
      </c>
      <c r="V787" s="23" t="str">
        <f aca="false">CHOOSE(WEEKDAY(U787,2),"월","화","수","목","금","토","일")</f>
        <v>월</v>
      </c>
      <c r="W787" s="24" t="str">
        <f aca="false">IFERROR(IF(INDEX($C$2:$C$799,MATCH(D787&amp;"#"&amp;(E787+1),$AC$2:$AC$799,0))=C787,"다음 편: ","시즌1 완결 · 시즌2 첫 편: ")&amp;INDEX($L$2:$L$799,MATCH(D787&amp;"#"&amp;(E787+1),$AC$2:$AC$799,0)),"신약 트랙 완결")</f>
        <v>다음 편: 세상 나라가 그리스도의 나라가 되다</v>
      </c>
      <c r="X787" s="23" t="s">
        <v>130</v>
      </c>
      <c r="Y787" s="23" t="s">
        <v>130</v>
      </c>
      <c r="Z787" s="23" t="s">
        <v>130</v>
      </c>
      <c r="AA787" s="23" t="s">
        <v>130</v>
      </c>
      <c r="AB787" s="24"/>
      <c r="AC787" s="23" t="str">
        <f aca="false">D787&amp;"#"&amp;E787</f>
        <v>신약#269</v>
      </c>
      <c r="AD787" s="23" t="n">
        <f aca="false">COUNTIFS($C$2:C787,C787,$D$2:D787,D787)</f>
        <v>165</v>
      </c>
    </row>
    <row r="788" customFormat="false" ht="26.85" hidden="false" customHeight="false" outlineLevel="0" collapsed="false">
      <c r="A788" s="23" t="n">
        <v>787</v>
      </c>
      <c r="B788" s="30" t="s">
        <v>6959</v>
      </c>
      <c r="C788" s="23" t="n">
        <v>2</v>
      </c>
      <c r="D788" s="23" t="s">
        <v>4656</v>
      </c>
      <c r="E788" s="23" t="n">
        <f aca="false">IF(C788=1,COUNTIFS($C$2:C788,1,$D$2:D788,D788),COUNTIFS($C$2:$C$799,1,$D$2:$D$799,D788)+COUNTIFS($C$2:C788,2,$D$2:D788,D788))</f>
        <v>270</v>
      </c>
      <c r="F788" s="23" t="str">
        <f aca="false">D788&amp;" #"&amp;TEXT(E788,"000")</f>
        <v>신약 #270</v>
      </c>
      <c r="G788" s="30" t="s">
        <v>6867</v>
      </c>
      <c r="H788" s="30" t="s">
        <v>6868</v>
      </c>
      <c r="I788" s="23" t="s">
        <v>6869</v>
      </c>
      <c r="J788" s="24" t="s">
        <v>6960</v>
      </c>
      <c r="K788" s="23" t="s">
        <v>1085</v>
      </c>
      <c r="L788" s="24" t="s">
        <v>6961</v>
      </c>
      <c r="M788" s="24" t="s">
        <v>6962</v>
      </c>
      <c r="N788" s="23" t="s">
        <v>6963</v>
      </c>
      <c r="O788" s="24" t="s">
        <v>6964</v>
      </c>
      <c r="P788" s="24" t="s">
        <v>6965</v>
      </c>
      <c r="Q788" s="24" t="s">
        <v>6966</v>
      </c>
      <c r="R788" s="25" t="s">
        <v>6967</v>
      </c>
      <c r="S788" s="24" t="s">
        <v>6940</v>
      </c>
      <c r="T788" s="24" t="str">
        <f aca="false">"["&amp;안내!$C$5&amp;" "&amp;F788&amp;"] "&amp;L788&amp;" | "&amp;J788</f>
        <v>[1분 성경 신약 #270] 세상 나라가 그리스도의 나라가 되다 | 계 10:1-11:19</v>
      </c>
      <c r="U788" s="26" t="n">
        <f aca="false">IF(D788="구약",IF(C788=1,안내!$C$9,안내!$C$10)+AD788-1,IF(C788=1,안내!$C$9,안내!$C$10)+7*INT((AD788-1)/4)+CHOOSE(MOD(AD788-1,4)+1,0,2,4,5))</f>
        <v>46869</v>
      </c>
      <c r="V788" s="23" t="str">
        <f aca="false">CHOOSE(WEEKDAY(U788,2),"월","화","수","목","금","토","일")</f>
        <v>수</v>
      </c>
      <c r="W788" s="24" t="str">
        <f aca="false">IFERROR(IF(INDEX($C$2:$C$799,MATCH(D788&amp;"#"&amp;(E788+1),$AC$2:$AC$799,0))=C788,"다음 편: ","시즌1 완결 · 시즌2 첫 편: ")&amp;INDEX($L$2:$L$799,MATCH(D788&amp;"#"&amp;(E788+1),$AC$2:$AC$799,0)),"신약 트랙 완결")</f>
        <v>다음 편: 여자와 용</v>
      </c>
      <c r="X788" s="23" t="s">
        <v>130</v>
      </c>
      <c r="Y788" s="23" t="s">
        <v>130</v>
      </c>
      <c r="Z788" s="23" t="s">
        <v>130</v>
      </c>
      <c r="AA788" s="23" t="s">
        <v>130</v>
      </c>
      <c r="AB788" s="24"/>
      <c r="AC788" s="23" t="str">
        <f aca="false">D788&amp;"#"&amp;E788</f>
        <v>신약#270</v>
      </c>
      <c r="AD788" s="23" t="n">
        <f aca="false">COUNTIFS($C$2:C788,C788,$D$2:D788,D788)</f>
        <v>166</v>
      </c>
    </row>
    <row r="789" customFormat="false" ht="26.85" hidden="false" customHeight="false" outlineLevel="0" collapsed="false">
      <c r="A789" s="23" t="n">
        <v>788</v>
      </c>
      <c r="B789" s="30" t="s">
        <v>6968</v>
      </c>
      <c r="C789" s="23" t="n">
        <v>2</v>
      </c>
      <c r="D789" s="23" t="s">
        <v>4656</v>
      </c>
      <c r="E789" s="23" t="n">
        <f aca="false">IF(C789=1,COUNTIFS($C$2:C789,1,$D$2:D789,D789),COUNTIFS($C$2:$C$799,1,$D$2:$D$799,D789)+COUNTIFS($C$2:C789,2,$D$2:D789,D789))</f>
        <v>271</v>
      </c>
      <c r="F789" s="23" t="str">
        <f aca="false">D789&amp;" #"&amp;TEXT(E789,"000")</f>
        <v>신약 #271</v>
      </c>
      <c r="G789" s="30" t="s">
        <v>6969</v>
      </c>
      <c r="H789" s="30" t="s">
        <v>6970</v>
      </c>
      <c r="I789" s="23" t="s">
        <v>6869</v>
      </c>
      <c r="J789" s="24" t="s">
        <v>6971</v>
      </c>
      <c r="K789" s="23" t="s">
        <v>1085</v>
      </c>
      <c r="L789" s="24" t="s">
        <v>6972</v>
      </c>
      <c r="M789" s="24" t="s">
        <v>6973</v>
      </c>
      <c r="N789" s="23" t="s">
        <v>6974</v>
      </c>
      <c r="O789" s="24" t="s">
        <v>6975</v>
      </c>
      <c r="P789" s="24" t="s">
        <v>6976</v>
      </c>
      <c r="Q789" s="24" t="s">
        <v>6977</v>
      </c>
      <c r="R789" s="27" t="s">
        <v>6978</v>
      </c>
      <c r="S789" s="24" t="s">
        <v>6940</v>
      </c>
      <c r="T789" s="24" t="str">
        <f aca="false">"["&amp;안내!$C$5&amp;" "&amp;F789&amp;"] "&amp;L789&amp;" | "&amp;J789</f>
        <v>[1분 성경 신약 #271] 여자와 용 | 계 12:1-17</v>
      </c>
      <c r="U789" s="26" t="n">
        <f aca="false">IF(D789="구약",IF(C789=1,안내!$C$9,안내!$C$10)+AD789-1,IF(C789=1,안내!$C$9,안내!$C$10)+7*INT((AD789-1)/4)+CHOOSE(MOD(AD789-1,4)+1,0,2,4,5))</f>
        <v>46871</v>
      </c>
      <c r="V789" s="23" t="str">
        <f aca="false">CHOOSE(WEEKDAY(U789,2),"월","화","수","목","금","토","일")</f>
        <v>금</v>
      </c>
      <c r="W789" s="24" t="str">
        <f aca="false">IFERROR(IF(INDEX($C$2:$C$799,MATCH(D789&amp;"#"&amp;(E789+1),$AC$2:$AC$799,0))=C789,"다음 편: ","시즌1 완결 · 시즌2 첫 편: ")&amp;INDEX($L$2:$L$799,MATCH(D789&amp;"#"&amp;(E789+1),$AC$2:$AC$799,0)),"신약 트랙 완결")</f>
        <v>다음 편: 두 짐승과 666</v>
      </c>
      <c r="X789" s="23" t="s">
        <v>130</v>
      </c>
      <c r="Y789" s="23" t="s">
        <v>130</v>
      </c>
      <c r="Z789" s="23" t="s">
        <v>130</v>
      </c>
      <c r="AA789" s="23" t="s">
        <v>130</v>
      </c>
      <c r="AB789" s="24"/>
      <c r="AC789" s="23" t="str">
        <f aca="false">D789&amp;"#"&amp;E789</f>
        <v>신약#271</v>
      </c>
      <c r="AD789" s="23" t="n">
        <f aca="false">COUNTIFS($C$2:C789,C789,$D$2:D789,D789)</f>
        <v>167</v>
      </c>
    </row>
    <row r="790" customFormat="false" ht="26.85" hidden="false" customHeight="false" outlineLevel="0" collapsed="false">
      <c r="A790" s="23" t="n">
        <v>789</v>
      </c>
      <c r="B790" s="30" t="s">
        <v>6979</v>
      </c>
      <c r="C790" s="23" t="n">
        <v>2</v>
      </c>
      <c r="D790" s="23" t="s">
        <v>4656</v>
      </c>
      <c r="E790" s="23" t="n">
        <f aca="false">IF(C790=1,COUNTIFS($C$2:C790,1,$D$2:D790,D790),COUNTIFS($C$2:$C$799,1,$D$2:$D$799,D790)+COUNTIFS($C$2:C790,2,$D$2:D790,D790))</f>
        <v>272</v>
      </c>
      <c r="F790" s="23" t="str">
        <f aca="false">D790&amp;" #"&amp;TEXT(E790,"000")</f>
        <v>신약 #272</v>
      </c>
      <c r="G790" s="30" t="s">
        <v>6969</v>
      </c>
      <c r="H790" s="30" t="s">
        <v>6970</v>
      </c>
      <c r="I790" s="23" t="s">
        <v>6869</v>
      </c>
      <c r="J790" s="24" t="s">
        <v>6980</v>
      </c>
      <c r="K790" s="23" t="s">
        <v>1085</v>
      </c>
      <c r="L790" s="24" t="s">
        <v>6981</v>
      </c>
      <c r="M790" s="24" t="s">
        <v>6982</v>
      </c>
      <c r="N790" s="23" t="s">
        <v>6983</v>
      </c>
      <c r="O790" s="24" t="s">
        <v>6984</v>
      </c>
      <c r="P790" s="24" t="s">
        <v>6985</v>
      </c>
      <c r="Q790" s="24" t="s">
        <v>6986</v>
      </c>
      <c r="R790" s="27" t="s">
        <v>6987</v>
      </c>
      <c r="S790" s="24" t="s">
        <v>6940</v>
      </c>
      <c r="T790" s="24" t="str">
        <f aca="false">"["&amp;안내!$C$5&amp;" "&amp;F790&amp;"] "&amp;L790&amp;" | "&amp;J790</f>
        <v>[1분 성경 신약 #272] 두 짐승과 666 | 계 13:1-18</v>
      </c>
      <c r="U790" s="26" t="n">
        <f aca="false">IF(D790="구약",IF(C790=1,안내!$C$9,안내!$C$10)+AD790-1,IF(C790=1,안내!$C$9,안내!$C$10)+7*INT((AD790-1)/4)+CHOOSE(MOD(AD790-1,4)+1,0,2,4,5))</f>
        <v>46872</v>
      </c>
      <c r="V790" s="23" t="str">
        <f aca="false">CHOOSE(WEEKDAY(U790,2),"월","화","수","목","금","토","일")</f>
        <v>토</v>
      </c>
      <c r="W790" s="24" t="str">
        <f aca="false">IFERROR(IF(INDEX($C$2:$C$799,MATCH(D790&amp;"#"&amp;(E790+1),$AC$2:$AC$799,0))=C790,"다음 편: ","시즌1 완결 · 시즌2 첫 편: ")&amp;INDEX($L$2:$L$799,MATCH(D790&amp;"#"&amp;(E790+1),$AC$2:$AC$799,0)),"신약 트랙 완결")</f>
        <v>다음 편: 주 안에서 죽는 자들은 복이 있도다</v>
      </c>
      <c r="X790" s="23" t="s">
        <v>130</v>
      </c>
      <c r="Y790" s="23" t="s">
        <v>130</v>
      </c>
      <c r="Z790" s="23" t="s">
        <v>130</v>
      </c>
      <c r="AA790" s="23" t="s">
        <v>130</v>
      </c>
      <c r="AB790" s="24"/>
      <c r="AC790" s="23" t="str">
        <f aca="false">D790&amp;"#"&amp;E790</f>
        <v>신약#272</v>
      </c>
      <c r="AD790" s="23" t="n">
        <f aca="false">COUNTIFS($C$2:C790,C790,$D$2:D790,D790)</f>
        <v>168</v>
      </c>
    </row>
    <row r="791" customFormat="false" ht="26.85" hidden="false" customHeight="false" outlineLevel="0" collapsed="false">
      <c r="A791" s="23" t="n">
        <v>790</v>
      </c>
      <c r="B791" s="30" t="s">
        <v>6988</v>
      </c>
      <c r="C791" s="23" t="n">
        <v>2</v>
      </c>
      <c r="D791" s="23" t="s">
        <v>4656</v>
      </c>
      <c r="E791" s="23" t="n">
        <f aca="false">IF(C791=1,COUNTIFS($C$2:C791,1,$D$2:D791,D791),COUNTIFS($C$2:$C$799,1,$D$2:$D$799,D791)+COUNTIFS($C$2:C791,2,$D$2:D791,D791))</f>
        <v>273</v>
      </c>
      <c r="F791" s="23" t="str">
        <f aca="false">D791&amp;" #"&amp;TEXT(E791,"000")</f>
        <v>신약 #273</v>
      </c>
      <c r="G791" s="30" t="s">
        <v>6969</v>
      </c>
      <c r="H791" s="30" t="s">
        <v>6970</v>
      </c>
      <c r="I791" s="23" t="s">
        <v>6869</v>
      </c>
      <c r="J791" s="24" t="s">
        <v>6989</v>
      </c>
      <c r="K791" s="23" t="s">
        <v>1085</v>
      </c>
      <c r="L791" s="24" t="s">
        <v>6990</v>
      </c>
      <c r="M791" s="24" t="s">
        <v>6991</v>
      </c>
      <c r="N791" s="23" t="s">
        <v>6992</v>
      </c>
      <c r="O791" s="24" t="s">
        <v>6993</v>
      </c>
      <c r="P791" s="24" t="s">
        <v>6994</v>
      </c>
      <c r="Q791" s="24" t="s">
        <v>6995</v>
      </c>
      <c r="R791" s="24"/>
      <c r="S791" s="24" t="s">
        <v>6940</v>
      </c>
      <c r="T791" s="24" t="str">
        <f aca="false">"["&amp;안내!$C$5&amp;" "&amp;F791&amp;"] "&amp;L791&amp;" | "&amp;J791</f>
        <v>[1분 성경 신약 #273] 주 안에서 죽는 자들은 복이 있도다 | 계 14:1-20</v>
      </c>
      <c r="U791" s="26" t="n">
        <f aca="false">IF(D791="구약",IF(C791=1,안내!$C$9,안내!$C$10)+AD791-1,IF(C791=1,안내!$C$9,안내!$C$10)+7*INT((AD791-1)/4)+CHOOSE(MOD(AD791-1,4)+1,0,2,4,5))</f>
        <v>46874</v>
      </c>
      <c r="V791" s="23" t="str">
        <f aca="false">CHOOSE(WEEKDAY(U791,2),"월","화","수","목","금","토","일")</f>
        <v>월</v>
      </c>
      <c r="W791" s="24" t="str">
        <f aca="false">IFERROR(IF(INDEX($C$2:$C$799,MATCH(D791&amp;"#"&amp;(E791+1),$AC$2:$AC$799,0))=C791,"다음 편: ","시즌1 완결 · 시즌2 첫 편: ")&amp;INDEX($L$2:$L$799,MATCH(D791&amp;"#"&amp;(E791+1),$AC$2:$AC$799,0)),"신약 트랙 완결")</f>
        <v>다음 편: 모세의 노래, 어린양의 노래</v>
      </c>
      <c r="X791" s="23" t="s">
        <v>130</v>
      </c>
      <c r="Y791" s="23" t="s">
        <v>130</v>
      </c>
      <c r="Z791" s="23" t="s">
        <v>130</v>
      </c>
      <c r="AA791" s="23" t="s">
        <v>130</v>
      </c>
      <c r="AB791" s="24"/>
      <c r="AC791" s="23" t="str">
        <f aca="false">D791&amp;"#"&amp;E791</f>
        <v>신약#273</v>
      </c>
      <c r="AD791" s="23" t="n">
        <f aca="false">COUNTIFS($C$2:C791,C791,$D$2:D791,D791)</f>
        <v>169</v>
      </c>
    </row>
    <row r="792" customFormat="false" ht="26.85" hidden="false" customHeight="false" outlineLevel="0" collapsed="false">
      <c r="A792" s="23" t="n">
        <v>791</v>
      </c>
      <c r="B792" s="30" t="s">
        <v>6996</v>
      </c>
      <c r="C792" s="23" t="n">
        <v>2</v>
      </c>
      <c r="D792" s="23" t="s">
        <v>4656</v>
      </c>
      <c r="E792" s="23" t="n">
        <f aca="false">IF(C792=1,COUNTIFS($C$2:C792,1,$D$2:D792,D792),COUNTIFS($C$2:$C$799,1,$D$2:$D$799,D792)+COUNTIFS($C$2:C792,2,$D$2:D792,D792))</f>
        <v>274</v>
      </c>
      <c r="F792" s="23" t="str">
        <f aca="false">D792&amp;" #"&amp;TEXT(E792,"000")</f>
        <v>신약 #274</v>
      </c>
      <c r="G792" s="30" t="s">
        <v>6969</v>
      </c>
      <c r="H792" s="30" t="s">
        <v>6970</v>
      </c>
      <c r="I792" s="23" t="s">
        <v>6869</v>
      </c>
      <c r="J792" s="24" t="s">
        <v>6997</v>
      </c>
      <c r="K792" s="23" t="s">
        <v>1085</v>
      </c>
      <c r="L792" s="24" t="s">
        <v>6998</v>
      </c>
      <c r="M792" s="24" t="s">
        <v>6999</v>
      </c>
      <c r="N792" s="23" t="s">
        <v>7000</v>
      </c>
      <c r="O792" s="24" t="s">
        <v>7001</v>
      </c>
      <c r="P792" s="24" t="s">
        <v>7002</v>
      </c>
      <c r="Q792" s="24" t="s">
        <v>7003</v>
      </c>
      <c r="R792" s="25" t="s">
        <v>6958</v>
      </c>
      <c r="S792" s="24" t="s">
        <v>6940</v>
      </c>
      <c r="T792" s="24" t="str">
        <f aca="false">"["&amp;안내!$C$5&amp;" "&amp;F792&amp;"] "&amp;L792&amp;" | "&amp;J792</f>
        <v>[1분 성경 신약 #274] 모세의 노래, 어린양의 노래 | 계 15:1-16:21</v>
      </c>
      <c r="U792" s="26" t="n">
        <f aca="false">IF(D792="구약",IF(C792=1,안내!$C$9,안내!$C$10)+AD792-1,IF(C792=1,안내!$C$9,안내!$C$10)+7*INT((AD792-1)/4)+CHOOSE(MOD(AD792-1,4)+1,0,2,4,5))</f>
        <v>46876</v>
      </c>
      <c r="V792" s="23" t="str">
        <f aca="false">CHOOSE(WEEKDAY(U792,2),"월","화","수","목","금","토","일")</f>
        <v>수</v>
      </c>
      <c r="W792" s="24" t="str">
        <f aca="false">IFERROR(IF(INDEX($C$2:$C$799,MATCH(D792&amp;"#"&amp;(E792+1),$AC$2:$AC$799,0))=C792,"다음 편: ","시즌1 완결 · 시즌2 첫 편: ")&amp;INDEX($L$2:$L$799,MATCH(D792&amp;"#"&amp;(E792+1),$AC$2:$AC$799,0)),"신약 트랙 완결")</f>
        <v>다음 편: 바벨론에서 나오라</v>
      </c>
      <c r="X792" s="23" t="s">
        <v>130</v>
      </c>
      <c r="Y792" s="23" t="s">
        <v>130</v>
      </c>
      <c r="Z792" s="23" t="s">
        <v>130</v>
      </c>
      <c r="AA792" s="23" t="s">
        <v>130</v>
      </c>
      <c r="AB792" s="24"/>
      <c r="AC792" s="23" t="str">
        <f aca="false">D792&amp;"#"&amp;E792</f>
        <v>신약#274</v>
      </c>
      <c r="AD792" s="23" t="n">
        <f aca="false">COUNTIFS($C$2:C792,C792,$D$2:D792,D792)</f>
        <v>170</v>
      </c>
    </row>
    <row r="793" customFormat="false" ht="26.85" hidden="false" customHeight="false" outlineLevel="0" collapsed="false">
      <c r="A793" s="23" t="n">
        <v>792</v>
      </c>
      <c r="B793" s="30" t="s">
        <v>7004</v>
      </c>
      <c r="C793" s="23" t="n">
        <v>2</v>
      </c>
      <c r="D793" s="23" t="s">
        <v>4656</v>
      </c>
      <c r="E793" s="23" t="n">
        <f aca="false">IF(C793=1,COUNTIFS($C$2:C793,1,$D$2:D793,D793),COUNTIFS($C$2:$C$799,1,$D$2:$D$799,D793)+COUNTIFS($C$2:C793,2,$D$2:D793,D793))</f>
        <v>275</v>
      </c>
      <c r="F793" s="23" t="str">
        <f aca="false">D793&amp;" #"&amp;TEXT(E793,"000")</f>
        <v>신약 #275</v>
      </c>
      <c r="G793" s="30" t="s">
        <v>6969</v>
      </c>
      <c r="H793" s="30" t="s">
        <v>6970</v>
      </c>
      <c r="I793" s="23" t="s">
        <v>6869</v>
      </c>
      <c r="J793" s="24" t="s">
        <v>7005</v>
      </c>
      <c r="K793" s="23" t="s">
        <v>1085</v>
      </c>
      <c r="L793" s="24" t="s">
        <v>7006</v>
      </c>
      <c r="M793" s="24" t="s">
        <v>7007</v>
      </c>
      <c r="N793" s="23" t="s">
        <v>7008</v>
      </c>
      <c r="O793" s="24" t="s">
        <v>7009</v>
      </c>
      <c r="P793" s="24" t="s">
        <v>7010</v>
      </c>
      <c r="Q793" s="24" t="s">
        <v>7011</v>
      </c>
      <c r="R793" s="25" t="s">
        <v>7012</v>
      </c>
      <c r="S793" s="24" t="s">
        <v>6940</v>
      </c>
      <c r="T793" s="24" t="str">
        <f aca="false">"["&amp;안내!$C$5&amp;" "&amp;F793&amp;"] "&amp;L793&amp;" | "&amp;J793</f>
        <v>[1분 성경 신약 #275] 바벨론에서 나오라 | 계 17:1-18:24</v>
      </c>
      <c r="U793" s="26" t="n">
        <f aca="false">IF(D793="구약",IF(C793=1,안내!$C$9,안내!$C$10)+AD793-1,IF(C793=1,안내!$C$9,안내!$C$10)+7*INT((AD793-1)/4)+CHOOSE(MOD(AD793-1,4)+1,0,2,4,5))</f>
        <v>46878</v>
      </c>
      <c r="V793" s="23" t="str">
        <f aca="false">CHOOSE(WEEKDAY(U793,2),"월","화","수","목","금","토","일")</f>
        <v>금</v>
      </c>
      <c r="W793" s="24" t="str">
        <f aca="false">IFERROR(IF(INDEX($C$2:$C$799,MATCH(D793&amp;"#"&amp;(E793+1),$AC$2:$AC$799,0))=C793,"다음 편: ","시즌1 완결 · 시즌2 첫 편: ")&amp;INDEX($L$2:$L$799,MATCH(D793&amp;"#"&amp;(E793+1),$AC$2:$AC$799,0)),"신약 트랙 완결")</f>
        <v>다음 편: 백마 탄 자</v>
      </c>
      <c r="X793" s="23" t="s">
        <v>130</v>
      </c>
      <c r="Y793" s="23" t="s">
        <v>130</v>
      </c>
      <c r="Z793" s="23" t="s">
        <v>130</v>
      </c>
      <c r="AA793" s="23" t="s">
        <v>130</v>
      </c>
      <c r="AB793" s="24"/>
      <c r="AC793" s="23" t="str">
        <f aca="false">D793&amp;"#"&amp;E793</f>
        <v>신약#275</v>
      </c>
      <c r="AD793" s="23" t="n">
        <f aca="false">COUNTIFS($C$2:C793,C793,$D$2:D793,D793)</f>
        <v>171</v>
      </c>
    </row>
    <row r="794" customFormat="false" ht="39.55" hidden="false" customHeight="false" outlineLevel="0" collapsed="false">
      <c r="A794" s="23" t="n">
        <v>793</v>
      </c>
      <c r="B794" s="30" t="s">
        <v>7013</v>
      </c>
      <c r="C794" s="20" t="n">
        <v>1</v>
      </c>
      <c r="D794" s="20" t="s">
        <v>4656</v>
      </c>
      <c r="E794" s="20" t="n">
        <f aca="false">IF(C794=1,COUNTIFS($C$2:C794,1,$D$2:D794,D794),COUNTIFS($C$2:$C$799,1,$D$2:$D$799,D794)+COUNTIFS($C$2:C794,2,$D$2:D794,D794))</f>
        <v>101</v>
      </c>
      <c r="F794" s="20" t="str">
        <f aca="false">D794&amp;" #"&amp;TEXT(E794,"000")</f>
        <v>신약 #101</v>
      </c>
      <c r="G794" s="30" t="s">
        <v>6969</v>
      </c>
      <c r="H794" s="30" t="s">
        <v>6675</v>
      </c>
      <c r="I794" s="23" t="s">
        <v>6869</v>
      </c>
      <c r="J794" s="24" t="s">
        <v>7014</v>
      </c>
      <c r="K794" s="23" t="s">
        <v>1085</v>
      </c>
      <c r="L794" s="24" t="s">
        <v>7015</v>
      </c>
      <c r="M794" s="24" t="s">
        <v>7016</v>
      </c>
      <c r="N794" s="23" t="s">
        <v>7017</v>
      </c>
      <c r="O794" s="24" t="s">
        <v>7018</v>
      </c>
      <c r="P794" s="24" t="s">
        <v>7019</v>
      </c>
      <c r="Q794" s="24" t="s">
        <v>7020</v>
      </c>
      <c r="R794" s="24"/>
      <c r="S794" s="28" t="s">
        <v>7021</v>
      </c>
      <c r="T794" s="24" t="str">
        <f aca="false">"["&amp;안내!$C$5&amp;" "&amp;F794&amp;"] "&amp;L794&amp;" | "&amp;J794</f>
        <v>[1분 성경 신약 #101] 어린양의 혼인 잔치 | 계 19:1-10</v>
      </c>
      <c r="U794" s="26" t="n">
        <f aca="false">IF(D794="구약",IF(C794=1,안내!$C$9,안내!$C$10)+AD794-1,IF(C794=1,안내!$C$9,안내!$C$10)+7*INT((AD794-1)/4)+CHOOSE(MOD(AD794-1,4)+1,0,2,4,5))</f>
        <v>46566</v>
      </c>
      <c r="V794" s="23" t="str">
        <f aca="false">CHOOSE(WEEKDAY(U794,2),"월","화","수","목","금","토","일")</f>
        <v>월</v>
      </c>
      <c r="W794" s="24" t="str">
        <f aca="false">IFERROR(IF(INDEX($C$2:$C$799,MATCH(D794&amp;"#"&amp;(E794+1),$AC$2:$AC$799,0))=C794,"다음 편: ","시즌1 완결 · 시즌2 첫 편: ")&amp;INDEX($L$2:$L$799,MATCH(D794&amp;"#"&amp;(E794+1),$AC$2:$AC$799,0)),"신약 트랙 완결")</f>
        <v>다음 편: 새 하늘과 새 땅</v>
      </c>
      <c r="X794" s="23" t="s">
        <v>130</v>
      </c>
      <c r="Y794" s="23" t="s">
        <v>130</v>
      </c>
      <c r="Z794" s="23" t="s">
        <v>130</v>
      </c>
      <c r="AA794" s="23" t="s">
        <v>130</v>
      </c>
      <c r="AB794" s="24"/>
      <c r="AC794" s="23" t="str">
        <f aca="false">D794&amp;"#"&amp;E794</f>
        <v>신약#101</v>
      </c>
      <c r="AD794" s="23" t="n">
        <f aca="false">COUNTIFS($C$2:C794,C794,$D$2:D794,D794)</f>
        <v>101</v>
      </c>
    </row>
    <row r="795" customFormat="false" ht="26.85" hidden="false" customHeight="false" outlineLevel="0" collapsed="false">
      <c r="A795" s="23" t="n">
        <v>794</v>
      </c>
      <c r="B795" s="30" t="s">
        <v>7022</v>
      </c>
      <c r="C795" s="23" t="n">
        <v>2</v>
      </c>
      <c r="D795" s="23" t="s">
        <v>4656</v>
      </c>
      <c r="E795" s="23" t="n">
        <f aca="false">IF(C795=1,COUNTIFS($C$2:C795,1,$D$2:D795,D795),COUNTIFS($C$2:$C$799,1,$D$2:$D$799,D795)+COUNTIFS($C$2:C795,2,$D$2:D795,D795))</f>
        <v>276</v>
      </c>
      <c r="F795" s="23" t="str">
        <f aca="false">D795&amp;" #"&amp;TEXT(E795,"000")</f>
        <v>신약 #276</v>
      </c>
      <c r="G795" s="30" t="s">
        <v>6969</v>
      </c>
      <c r="H795" s="30" t="s">
        <v>6970</v>
      </c>
      <c r="I795" s="23" t="s">
        <v>6869</v>
      </c>
      <c r="J795" s="24" t="s">
        <v>7023</v>
      </c>
      <c r="K795" s="23" t="s">
        <v>1085</v>
      </c>
      <c r="L795" s="24" t="s">
        <v>7024</v>
      </c>
      <c r="M795" s="24" t="s">
        <v>7025</v>
      </c>
      <c r="N795" s="23" t="s">
        <v>7026</v>
      </c>
      <c r="O795" s="24" t="s">
        <v>7027</v>
      </c>
      <c r="P795" s="24" t="s">
        <v>7028</v>
      </c>
      <c r="Q795" s="24" t="s">
        <v>7029</v>
      </c>
      <c r="R795" s="25" t="s">
        <v>7030</v>
      </c>
      <c r="S795" s="24" t="s">
        <v>7031</v>
      </c>
      <c r="T795" s="24" t="str">
        <f aca="false">"["&amp;안내!$C$5&amp;" "&amp;F795&amp;"] "&amp;L795&amp;" | "&amp;J795</f>
        <v>[1분 성경 신약 #276] 백마 탄 자 | 계 19:11-21</v>
      </c>
      <c r="U795" s="26" t="n">
        <f aca="false">IF(D795="구약",IF(C795=1,안내!$C$9,안내!$C$10)+AD795-1,IF(C795=1,안내!$C$9,안내!$C$10)+7*INT((AD795-1)/4)+CHOOSE(MOD(AD795-1,4)+1,0,2,4,5))</f>
        <v>46879</v>
      </c>
      <c r="V795" s="23" t="str">
        <f aca="false">CHOOSE(WEEKDAY(U795,2),"월","화","수","목","금","토","일")</f>
        <v>토</v>
      </c>
      <c r="W795" s="24" t="str">
        <f aca="false">IFERROR(IF(INDEX($C$2:$C$799,MATCH(D795&amp;"#"&amp;(E795+1),$AC$2:$AC$799,0))=C795,"다음 편: ","시즌1 완결 · 시즌2 첫 편: ")&amp;INDEX($L$2:$L$799,MATCH(D795&amp;"#"&amp;(E795+1),$AC$2:$AC$799,0)),"신약 트랙 완결")</f>
        <v>다음 편: 천 년과 흰 보좌 심판</v>
      </c>
      <c r="X795" s="23" t="s">
        <v>130</v>
      </c>
      <c r="Y795" s="23" t="s">
        <v>130</v>
      </c>
      <c r="Z795" s="23" t="s">
        <v>130</v>
      </c>
      <c r="AA795" s="23" t="s">
        <v>130</v>
      </c>
      <c r="AB795" s="24"/>
      <c r="AC795" s="23" t="str">
        <f aca="false">D795&amp;"#"&amp;E795</f>
        <v>신약#276</v>
      </c>
      <c r="AD795" s="23" t="n">
        <f aca="false">COUNTIFS($C$2:C795,C795,$D$2:D795,D795)</f>
        <v>172</v>
      </c>
    </row>
    <row r="796" customFormat="false" ht="39.55" hidden="false" customHeight="false" outlineLevel="0" collapsed="false">
      <c r="A796" s="23" t="n">
        <v>795</v>
      </c>
      <c r="B796" s="30" t="s">
        <v>7032</v>
      </c>
      <c r="C796" s="23" t="n">
        <v>2</v>
      </c>
      <c r="D796" s="23" t="s">
        <v>4656</v>
      </c>
      <c r="E796" s="23" t="n">
        <f aca="false">IF(C796=1,COUNTIFS($C$2:C796,1,$D$2:D796,D796),COUNTIFS($C$2:$C$799,1,$D$2:$D$799,D796)+COUNTIFS($C$2:C796,2,$D$2:D796,D796))</f>
        <v>277</v>
      </c>
      <c r="F796" s="23" t="str">
        <f aca="false">D796&amp;" #"&amp;TEXT(E796,"000")</f>
        <v>신약 #277</v>
      </c>
      <c r="G796" s="30" t="s">
        <v>6969</v>
      </c>
      <c r="H796" s="30" t="s">
        <v>6970</v>
      </c>
      <c r="I796" s="23" t="s">
        <v>6869</v>
      </c>
      <c r="J796" s="24" t="s">
        <v>7033</v>
      </c>
      <c r="K796" s="23" t="s">
        <v>1085</v>
      </c>
      <c r="L796" s="24" t="s">
        <v>7034</v>
      </c>
      <c r="M796" s="24" t="s">
        <v>7035</v>
      </c>
      <c r="N796" s="23" t="s">
        <v>7036</v>
      </c>
      <c r="O796" s="24" t="s">
        <v>7037</v>
      </c>
      <c r="P796" s="24" t="s">
        <v>7038</v>
      </c>
      <c r="Q796" s="24" t="s">
        <v>7039</v>
      </c>
      <c r="R796" s="25" t="s">
        <v>7040</v>
      </c>
      <c r="S796" s="24" t="s">
        <v>7031</v>
      </c>
      <c r="T796" s="24" t="str">
        <f aca="false">"["&amp;안내!$C$5&amp;" "&amp;F796&amp;"] "&amp;L796&amp;" | "&amp;J796</f>
        <v>[1분 성경 신약 #277] 천 년과 흰 보좌 심판 | 계 20:1-15</v>
      </c>
      <c r="U796" s="26" t="n">
        <f aca="false">IF(D796="구약",IF(C796=1,안내!$C$9,안내!$C$10)+AD796-1,IF(C796=1,안내!$C$9,안내!$C$10)+7*INT((AD796-1)/4)+CHOOSE(MOD(AD796-1,4)+1,0,2,4,5))</f>
        <v>46881</v>
      </c>
      <c r="V796" s="23" t="str">
        <f aca="false">CHOOSE(WEEKDAY(U796,2),"월","화","수","목","금","토","일")</f>
        <v>월</v>
      </c>
      <c r="W796" s="24" t="str">
        <f aca="false">IFERROR(IF(INDEX($C$2:$C$799,MATCH(D796&amp;"#"&amp;(E796+1),$AC$2:$AC$799,0))=C796,"다음 편: ","시즌1 완결 · 시즌2 첫 편: ")&amp;INDEX($L$2:$L$799,MATCH(D796&amp;"#"&amp;(E796+1),$AC$2:$AC$799,0)),"신약 트랙 완결")</f>
        <v>신약 트랙 완결</v>
      </c>
      <c r="X796" s="23" t="s">
        <v>130</v>
      </c>
      <c r="Y796" s="23" t="s">
        <v>130</v>
      </c>
      <c r="Z796" s="23" t="s">
        <v>130</v>
      </c>
      <c r="AA796" s="23" t="s">
        <v>130</v>
      </c>
      <c r="AB796" s="24"/>
      <c r="AC796" s="23" t="str">
        <f aca="false">D796&amp;"#"&amp;E796</f>
        <v>신약#277</v>
      </c>
      <c r="AD796" s="23" t="n">
        <f aca="false">COUNTIFS($C$2:C796,C796,$D$2:D796,D796)</f>
        <v>173</v>
      </c>
    </row>
    <row r="797" customFormat="false" ht="39.55" hidden="false" customHeight="false" outlineLevel="0" collapsed="false">
      <c r="A797" s="23" t="n">
        <v>796</v>
      </c>
      <c r="B797" s="30" t="s">
        <v>7041</v>
      </c>
      <c r="C797" s="20" t="n">
        <v>1</v>
      </c>
      <c r="D797" s="20" t="s">
        <v>4656</v>
      </c>
      <c r="E797" s="20" t="n">
        <f aca="false">IF(C797=1,COUNTIFS($C$2:C797,1,$D$2:D797,D797),COUNTIFS($C$2:$C$799,1,$D$2:$D$799,D797)+COUNTIFS($C$2:C797,2,$D$2:D797,D797))</f>
        <v>102</v>
      </c>
      <c r="F797" s="20" t="str">
        <f aca="false">D797&amp;" #"&amp;TEXT(E797,"000")</f>
        <v>신약 #102</v>
      </c>
      <c r="G797" s="30" t="s">
        <v>6969</v>
      </c>
      <c r="H797" s="30" t="s">
        <v>6675</v>
      </c>
      <c r="I797" s="23" t="s">
        <v>6869</v>
      </c>
      <c r="J797" s="24" t="s">
        <v>7042</v>
      </c>
      <c r="K797" s="23" t="s">
        <v>1085</v>
      </c>
      <c r="L797" s="24" t="s">
        <v>3933</v>
      </c>
      <c r="M797" s="24" t="s">
        <v>7043</v>
      </c>
      <c r="N797" s="23" t="s">
        <v>7044</v>
      </c>
      <c r="O797" s="24" t="s">
        <v>7045</v>
      </c>
      <c r="P797" s="24" t="s">
        <v>7046</v>
      </c>
      <c r="Q797" s="24" t="s">
        <v>3933</v>
      </c>
      <c r="R797" s="24"/>
      <c r="S797" s="28" t="s">
        <v>7047</v>
      </c>
      <c r="T797" s="24" t="str">
        <f aca="false">"["&amp;안내!$C$5&amp;" "&amp;F797&amp;"] "&amp;L797&amp;" | "&amp;J797</f>
        <v>[1분 성경 신약 #102] 새 하늘과 새 땅 | 계 21:1-8</v>
      </c>
      <c r="U797" s="26" t="n">
        <f aca="false">IF(D797="구약",IF(C797=1,안내!$C$9,안내!$C$10)+AD797-1,IF(C797=1,안내!$C$9,안내!$C$10)+7*INT((AD797-1)/4)+CHOOSE(MOD(AD797-1,4)+1,0,2,4,5))</f>
        <v>46568</v>
      </c>
      <c r="V797" s="23" t="str">
        <f aca="false">CHOOSE(WEEKDAY(U797,2),"월","화","수","목","금","토","일")</f>
        <v>수</v>
      </c>
      <c r="W797" s="24" t="str">
        <f aca="false">IFERROR(IF(INDEX($C$2:$C$799,MATCH(D797&amp;"#"&amp;(E797+1),$AC$2:$AC$799,0))=C797,"다음 편: ","시즌1 완결 · 시즌2 첫 편: ")&amp;INDEX($L$2:$L$799,MATCH(D797&amp;"#"&amp;(E797+1),$AC$2:$AC$799,0)),"신약 트랙 완결")</f>
        <v>다음 편: 새 예루살렘</v>
      </c>
      <c r="X797" s="23" t="s">
        <v>130</v>
      </c>
      <c r="Y797" s="23" t="s">
        <v>130</v>
      </c>
      <c r="Z797" s="23" t="s">
        <v>130</v>
      </c>
      <c r="AA797" s="23" t="s">
        <v>130</v>
      </c>
      <c r="AB797" s="24"/>
      <c r="AC797" s="23" t="str">
        <f aca="false">D797&amp;"#"&amp;E797</f>
        <v>신약#102</v>
      </c>
      <c r="AD797" s="23" t="n">
        <f aca="false">COUNTIFS($C$2:C797,C797,$D$2:D797,D797)</f>
        <v>102</v>
      </c>
    </row>
    <row r="798" customFormat="false" ht="26.85" hidden="false" customHeight="false" outlineLevel="0" collapsed="false">
      <c r="A798" s="23" t="n">
        <v>797</v>
      </c>
      <c r="B798" s="30" t="s">
        <v>7048</v>
      </c>
      <c r="C798" s="20" t="n">
        <v>1</v>
      </c>
      <c r="D798" s="20" t="s">
        <v>4656</v>
      </c>
      <c r="E798" s="20" t="n">
        <f aca="false">IF(C798=1,COUNTIFS($C$2:C798,1,$D$2:D798,D798),COUNTIFS($C$2:$C$799,1,$D$2:$D$799,D798)+COUNTIFS($C$2:C798,2,$D$2:D798,D798))</f>
        <v>103</v>
      </c>
      <c r="F798" s="20" t="str">
        <f aca="false">D798&amp;" #"&amp;TEXT(E798,"000")</f>
        <v>신약 #103</v>
      </c>
      <c r="G798" s="30" t="s">
        <v>6969</v>
      </c>
      <c r="H798" s="30" t="s">
        <v>6675</v>
      </c>
      <c r="I798" s="23" t="s">
        <v>6869</v>
      </c>
      <c r="J798" s="24" t="s">
        <v>7049</v>
      </c>
      <c r="K798" s="23" t="s">
        <v>1085</v>
      </c>
      <c r="L798" s="24" t="s">
        <v>7050</v>
      </c>
      <c r="M798" s="24" t="s">
        <v>7051</v>
      </c>
      <c r="N798" s="23" t="s">
        <v>7052</v>
      </c>
      <c r="O798" s="24" t="s">
        <v>7053</v>
      </c>
      <c r="P798" s="24" t="s">
        <v>7054</v>
      </c>
      <c r="Q798" s="24" t="s">
        <v>7055</v>
      </c>
      <c r="R798" s="25" t="s">
        <v>7056</v>
      </c>
      <c r="S798" s="24" t="s">
        <v>129</v>
      </c>
      <c r="T798" s="24" t="str">
        <f aca="false">"["&amp;안내!$C$5&amp;" "&amp;F798&amp;"] "&amp;L798&amp;" | "&amp;J798</f>
        <v>[1분 성경 신약 #103] 새 예루살렘 | 계 21:9-22:5</v>
      </c>
      <c r="U798" s="26" t="n">
        <f aca="false">IF(D798="구약",IF(C798=1,안내!$C$9,안내!$C$10)+AD798-1,IF(C798=1,안내!$C$9,안내!$C$10)+7*INT((AD798-1)/4)+CHOOSE(MOD(AD798-1,4)+1,0,2,4,5))</f>
        <v>46570</v>
      </c>
      <c r="V798" s="23" t="str">
        <f aca="false">CHOOSE(WEEKDAY(U798,2),"월","화","수","목","금","토","일")</f>
        <v>금</v>
      </c>
      <c r="W798" s="24" t="str">
        <f aca="false">IFERROR(IF(INDEX($C$2:$C$799,MATCH(D798&amp;"#"&amp;(E798+1),$AC$2:$AC$799,0))=C798,"다음 편: ","시즌1 완결 · 시즌2 첫 편: ")&amp;INDEX($L$2:$L$799,MATCH(D798&amp;"#"&amp;(E798+1),$AC$2:$AC$799,0)),"신약 트랙 완결")</f>
        <v>다음 편: 내가 속히 오리라</v>
      </c>
      <c r="X798" s="23" t="s">
        <v>130</v>
      </c>
      <c r="Y798" s="23" t="s">
        <v>130</v>
      </c>
      <c r="Z798" s="23" t="s">
        <v>130</v>
      </c>
      <c r="AA798" s="23" t="s">
        <v>130</v>
      </c>
      <c r="AB798" s="24"/>
      <c r="AC798" s="23" t="str">
        <f aca="false">D798&amp;"#"&amp;E798</f>
        <v>신약#103</v>
      </c>
      <c r="AD798" s="23" t="n">
        <f aca="false">COUNTIFS($C$2:C798,C798,$D$2:D798,D798)</f>
        <v>103</v>
      </c>
    </row>
    <row r="799" customFormat="false" ht="39.55" hidden="false" customHeight="false" outlineLevel="0" collapsed="false">
      <c r="A799" s="23" t="n">
        <v>798</v>
      </c>
      <c r="B799" s="30" t="s">
        <v>7057</v>
      </c>
      <c r="C799" s="20" t="n">
        <v>1</v>
      </c>
      <c r="D799" s="20" t="s">
        <v>4656</v>
      </c>
      <c r="E799" s="20" t="n">
        <f aca="false">IF(C799=1,COUNTIFS($C$2:C799,1,$D$2:D799,D799),COUNTIFS($C$2:$C$799,1,$D$2:$D$799,D799)+COUNTIFS($C$2:C799,2,$D$2:D799,D799))</f>
        <v>104</v>
      </c>
      <c r="F799" s="20" t="str">
        <f aca="false">D799&amp;" #"&amp;TEXT(E799,"000")</f>
        <v>신약 #104</v>
      </c>
      <c r="G799" s="30" t="s">
        <v>6969</v>
      </c>
      <c r="H799" s="30" t="s">
        <v>6675</v>
      </c>
      <c r="I799" s="23" t="s">
        <v>6869</v>
      </c>
      <c r="J799" s="24" t="s">
        <v>7058</v>
      </c>
      <c r="K799" s="23" t="s">
        <v>1085</v>
      </c>
      <c r="L799" s="24" t="s">
        <v>7059</v>
      </c>
      <c r="M799" s="24" t="s">
        <v>7060</v>
      </c>
      <c r="N799" s="23" t="s">
        <v>7061</v>
      </c>
      <c r="O799" s="24" t="s">
        <v>7062</v>
      </c>
      <c r="P799" s="24" t="s">
        <v>7063</v>
      </c>
      <c r="Q799" s="24" t="s">
        <v>7064</v>
      </c>
      <c r="R799" s="27" t="s">
        <v>7065</v>
      </c>
      <c r="S799" s="24" t="s">
        <v>129</v>
      </c>
      <c r="T799" s="24" t="str">
        <f aca="false">"["&amp;안내!$C$5&amp;" "&amp;F799&amp;"] "&amp;L799&amp;" | "&amp;J799</f>
        <v>[1분 성경 신약 #104] 내가 속히 오리라 | 계 22:6-21</v>
      </c>
      <c r="U799" s="26" t="n">
        <f aca="false">IF(D799="구약",IF(C799=1,안내!$C$9,안내!$C$10)+AD799-1,IF(C799=1,안내!$C$9,안내!$C$10)+7*INT((AD799-1)/4)+CHOOSE(MOD(AD799-1,4)+1,0,2,4,5))</f>
        <v>46571</v>
      </c>
      <c r="V799" s="23" t="str">
        <f aca="false">CHOOSE(WEEKDAY(U799,2),"월","화","수","목","금","토","일")</f>
        <v>토</v>
      </c>
      <c r="W799" s="24" t="str">
        <f aca="false">IFERROR(IF(INDEX($C$2:$C$799,MATCH(D799&amp;"#"&amp;(E799+1),$AC$2:$AC$799,0))=C799,"다음 편: ","시즌1 완결 · 시즌2 첫 편: ")&amp;INDEX($L$2:$L$799,MATCH(D799&amp;"#"&amp;(E799+1),$AC$2:$AC$799,0)),"신약 트랙 완결")</f>
        <v>시즌1 완결 · 시즌2 첫 편: 예수님의 족보</v>
      </c>
      <c r="X799" s="23" t="s">
        <v>130</v>
      </c>
      <c r="Y799" s="23" t="s">
        <v>130</v>
      </c>
      <c r="Z799" s="23" t="s">
        <v>130</v>
      </c>
      <c r="AA799" s="23" t="s">
        <v>130</v>
      </c>
      <c r="AB799" s="24"/>
      <c r="AC799" s="23" t="str">
        <f aca="false">D799&amp;"#"&amp;E799</f>
        <v>신약#104</v>
      </c>
      <c r="AD799" s="23" t="n">
        <f aca="false">COUNTIFS($C$2:C799,C799,$D$2:D799,D799)</f>
        <v>104</v>
      </c>
    </row>
  </sheetData>
  <autoFilter ref="A1:AD799"/>
  <dataValidations count="1">
    <dataValidation allowBlank="true" errorStyle="stop" operator="between" showDropDown="false" showErrorMessage="false" showInputMessage="false" sqref="X2:AA799" type="list">
      <formula1>"미착수,진행중,완료,보류"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5"/>
    <col collapsed="false" customWidth="true" hidden="false" outlineLevel="0" max="4" min="4" style="0" width="6"/>
    <col collapsed="false" customWidth="true" hidden="false" outlineLevel="0" max="5" min="5" style="0" width="34"/>
    <col collapsed="false" customWidth="true" hidden="false" outlineLevel="0" max="6" min="6" style="0" width="16"/>
    <col collapsed="false" customWidth="true" hidden="false" outlineLevel="0" max="7" min="7" style="0" width="26"/>
    <col collapsed="false" customWidth="true" hidden="false" outlineLevel="0" max="8" min="8" style="0" width="7"/>
    <col collapsed="false" customWidth="true" hidden="false" outlineLevel="0" max="10" min="9" style="0" width="9"/>
    <col collapsed="false" customWidth="true" hidden="false" outlineLevel="0" max="12" min="11" style="0" width="11"/>
    <col collapsed="false" customWidth="true" hidden="false" outlineLevel="0" max="13" min="13" style="0" width="32"/>
    <col collapsed="false" customWidth="true" hidden="false" outlineLevel="0" max="14" min="14" style="0" width="44"/>
    <col collapsed="false" customWidth="true" hidden="false" outlineLevel="0" max="15" min="15" style="0" width="32"/>
    <col collapsed="false" customWidth="true" hidden="false" outlineLevel="0" max="16" min="16" style="0" width="11"/>
    <col collapsed="false" customWidth="true" hidden="false" outlineLevel="0" max="17" min="17" style="0" width="5"/>
    <col collapsed="false" customWidth="true" hidden="false" outlineLevel="0" max="21" min="18" style="0" width="8"/>
    <col collapsed="false" customWidth="true" hidden="false" outlineLevel="0" max="22" min="22" style="0" width="16"/>
  </cols>
  <sheetData>
    <row r="1" customFormat="false" ht="30" hidden="false" customHeight="true" outlineLevel="0" collapsed="false">
      <c r="A1" s="16" t="s">
        <v>85</v>
      </c>
      <c r="B1" s="16" t="s">
        <v>7066</v>
      </c>
      <c r="C1" s="16" t="s">
        <v>87</v>
      </c>
      <c r="D1" s="16" t="s">
        <v>88</v>
      </c>
      <c r="E1" s="16" t="s">
        <v>7067</v>
      </c>
      <c r="F1" s="16" t="s">
        <v>7068</v>
      </c>
      <c r="G1" s="16" t="s">
        <v>7069</v>
      </c>
      <c r="H1" s="17" t="s">
        <v>7070</v>
      </c>
      <c r="I1" s="16" t="s">
        <v>7071</v>
      </c>
      <c r="J1" s="16" t="s">
        <v>7072</v>
      </c>
      <c r="K1" s="16" t="s">
        <v>7073</v>
      </c>
      <c r="L1" s="16" t="s">
        <v>7074</v>
      </c>
      <c r="M1" s="16" t="s">
        <v>7075</v>
      </c>
      <c r="N1" s="16" t="s">
        <v>7076</v>
      </c>
      <c r="O1" s="16" t="s">
        <v>7077</v>
      </c>
      <c r="P1" s="16" t="s">
        <v>7078</v>
      </c>
      <c r="Q1" s="16" t="s">
        <v>106</v>
      </c>
      <c r="R1" s="16" t="s">
        <v>108</v>
      </c>
      <c r="S1" s="16" t="s">
        <v>109</v>
      </c>
      <c r="T1" s="16" t="s">
        <v>110</v>
      </c>
      <c r="U1" s="16" t="s">
        <v>111</v>
      </c>
      <c r="V1" s="16" t="s">
        <v>112</v>
      </c>
    </row>
    <row r="2" customFormat="false" ht="26.85" hidden="false" customHeight="false" outlineLevel="0" collapsed="false">
      <c r="A2" s="23" t="n">
        <v>1</v>
      </c>
      <c r="B2" s="19" t="s">
        <v>118</v>
      </c>
      <c r="C2" s="20" t="n">
        <v>1</v>
      </c>
      <c r="D2" s="20" t="s">
        <v>116</v>
      </c>
      <c r="E2" s="24" t="s">
        <v>7079</v>
      </c>
      <c r="F2" s="29" t="s">
        <v>117</v>
      </c>
      <c r="G2" s="24" t="s">
        <v>7080</v>
      </c>
      <c r="H2" s="23" t="n">
        <f aca="false">COUNTIF(A타입_제작표!$H$2:$H$799,B2)</f>
        <v>10</v>
      </c>
      <c r="I2" s="23" t="n">
        <f aca="false">H2*안내!$C$7+안내!$C$8</f>
        <v>640</v>
      </c>
      <c r="J2" s="23" t="n">
        <f aca="false">ROUND(I2/60,1)</f>
        <v>10.7</v>
      </c>
      <c r="K2" s="23" t="str">
        <f aca="false">D2&amp;" #"&amp;TEXT(_xlfn.MINIFS(A타입_제작표!$E$2:$E$799,A타입_제작표!$H$2:$H$799,B2),"000")</f>
        <v>구약 #001</v>
      </c>
      <c r="L2" s="23" t="str">
        <f aca="false">D2&amp;" #"&amp;TEXT(_xlfn.MAXIFS(A타입_제작표!$E$2:$E$799,A타입_제작표!$H$2:$H$799,B2),"000")</f>
        <v>구약 #010</v>
      </c>
      <c r="M2" s="24" t="s">
        <v>7081</v>
      </c>
      <c r="N2" s="29" t="s">
        <v>7082</v>
      </c>
      <c r="O2" s="24" t="s">
        <v>7083</v>
      </c>
      <c r="P2" s="26" t="n">
        <f aca="false">_xlfn.MAXIFS(A타입_제작표!$U$2:$U$799,A타입_제작표!$H$2:$H$799,B2)+1</f>
        <v>46401</v>
      </c>
      <c r="Q2" s="23" t="str">
        <f aca="false">CHOOSE(WEEKDAY(P2,2),"월","화","수","목","금","토","일")</f>
        <v>목</v>
      </c>
      <c r="R2" s="23" t="s">
        <v>130</v>
      </c>
      <c r="S2" s="23" t="s">
        <v>130</v>
      </c>
      <c r="T2" s="23" t="s">
        <v>130</v>
      </c>
      <c r="U2" s="23" t="s">
        <v>130</v>
      </c>
      <c r="V2" s="24"/>
    </row>
    <row r="3" customFormat="false" ht="26.85" hidden="false" customHeight="false" outlineLevel="0" collapsed="false">
      <c r="A3" s="23" t="n">
        <v>2</v>
      </c>
      <c r="B3" s="19" t="s">
        <v>208</v>
      </c>
      <c r="C3" s="20" t="n">
        <v>1</v>
      </c>
      <c r="D3" s="20" t="s">
        <v>116</v>
      </c>
      <c r="E3" s="24" t="s">
        <v>7084</v>
      </c>
      <c r="F3" s="29" t="s">
        <v>207</v>
      </c>
      <c r="G3" s="24" t="s">
        <v>7085</v>
      </c>
      <c r="H3" s="23" t="n">
        <f aca="false">COUNTIF(A타입_제작표!$H$2:$H$799,B3)</f>
        <v>8</v>
      </c>
      <c r="I3" s="23" t="n">
        <f aca="false">H3*안내!$C$7+안내!$C$8</f>
        <v>536</v>
      </c>
      <c r="J3" s="23" t="n">
        <f aca="false">ROUND(I3/60,1)</f>
        <v>8.9</v>
      </c>
      <c r="K3" s="23" t="str">
        <f aca="false">D3&amp;" #"&amp;TEXT(_xlfn.MINIFS(A타입_제작표!$E$2:$E$799,A타입_제작표!$H$2:$H$799,B3),"000")</f>
        <v>구약 #011</v>
      </c>
      <c r="L3" s="23" t="str">
        <f aca="false">D3&amp;" #"&amp;TEXT(_xlfn.MAXIFS(A타입_제작표!$E$2:$E$799,A타입_제작표!$H$2:$H$799,B3),"000")</f>
        <v>구약 #018</v>
      </c>
      <c r="M3" s="24" t="s">
        <v>7086</v>
      </c>
      <c r="N3" s="24" t="s">
        <v>7087</v>
      </c>
      <c r="O3" s="24" t="s">
        <v>7088</v>
      </c>
      <c r="P3" s="26" t="n">
        <f aca="false">_xlfn.MAXIFS(A타입_제작표!$U$2:$U$799,A타입_제작표!$H$2:$H$799,B3)+1</f>
        <v>46409</v>
      </c>
      <c r="Q3" s="23" t="str">
        <f aca="false">CHOOSE(WEEKDAY(P3,2),"월","화","수","목","금","토","일")</f>
        <v>금</v>
      </c>
      <c r="R3" s="23" t="s">
        <v>130</v>
      </c>
      <c r="S3" s="23" t="s">
        <v>130</v>
      </c>
      <c r="T3" s="23" t="s">
        <v>130</v>
      </c>
      <c r="U3" s="23" t="s">
        <v>130</v>
      </c>
      <c r="V3" s="24"/>
    </row>
    <row r="4" customFormat="false" ht="63.4" hidden="false" customHeight="false" outlineLevel="0" collapsed="false">
      <c r="A4" s="23" t="n">
        <v>3</v>
      </c>
      <c r="B4" s="19" t="s">
        <v>326</v>
      </c>
      <c r="C4" s="20" t="n">
        <v>1</v>
      </c>
      <c r="D4" s="20" t="s">
        <v>116</v>
      </c>
      <c r="E4" s="24" t="s">
        <v>7089</v>
      </c>
      <c r="F4" s="29" t="s">
        <v>7090</v>
      </c>
      <c r="G4" s="24" t="s">
        <v>7091</v>
      </c>
      <c r="H4" s="23" t="n">
        <f aca="false">COUNTIF(A타입_제작표!$H$2:$H$799,B4)</f>
        <v>8</v>
      </c>
      <c r="I4" s="23" t="n">
        <f aca="false">H4*안내!$C$7+안내!$C$8</f>
        <v>536</v>
      </c>
      <c r="J4" s="23" t="n">
        <f aca="false">ROUND(I4/60,1)</f>
        <v>8.9</v>
      </c>
      <c r="K4" s="23" t="str">
        <f aca="false">D4&amp;" #"&amp;TEXT(_xlfn.MINIFS(A타입_제작표!$E$2:$E$799,A타입_제작표!$H$2:$H$799,B4),"000")</f>
        <v>구약 #019</v>
      </c>
      <c r="L4" s="23" t="str">
        <f aca="false">D4&amp;" #"&amp;TEXT(_xlfn.MAXIFS(A타입_제작표!$E$2:$E$799,A타입_제작표!$H$2:$H$799,B4),"000")</f>
        <v>구약 #026</v>
      </c>
      <c r="M4" s="24" t="s">
        <v>7092</v>
      </c>
      <c r="N4" s="24" t="s">
        <v>7093</v>
      </c>
      <c r="O4" s="24" t="s">
        <v>7094</v>
      </c>
      <c r="P4" s="26" t="n">
        <f aca="false">_xlfn.MAXIFS(A타입_제작표!$U$2:$U$799,A타입_제작표!$H$2:$H$799,B4)+1</f>
        <v>46417</v>
      </c>
      <c r="Q4" s="23" t="str">
        <f aca="false">CHOOSE(WEEKDAY(P4,2),"월","화","수","목","금","토","일")</f>
        <v>토</v>
      </c>
      <c r="R4" s="23" t="s">
        <v>130</v>
      </c>
      <c r="S4" s="23" t="s">
        <v>130</v>
      </c>
      <c r="T4" s="23" t="s">
        <v>130</v>
      </c>
      <c r="U4" s="23" t="s">
        <v>130</v>
      </c>
      <c r="V4" s="24"/>
    </row>
    <row r="5" customFormat="false" ht="52.2" hidden="false" customHeight="false" outlineLevel="0" collapsed="false">
      <c r="A5" s="23" t="n">
        <v>4</v>
      </c>
      <c r="B5" s="19" t="s">
        <v>526</v>
      </c>
      <c r="C5" s="20" t="n">
        <v>1</v>
      </c>
      <c r="D5" s="20" t="s">
        <v>116</v>
      </c>
      <c r="E5" s="24" t="s">
        <v>7095</v>
      </c>
      <c r="F5" s="29" t="s">
        <v>7096</v>
      </c>
      <c r="G5" s="24" t="s">
        <v>7097</v>
      </c>
      <c r="H5" s="23" t="n">
        <f aca="false">COUNTIF(A타입_제작표!$H$2:$H$799,B5)</f>
        <v>11</v>
      </c>
      <c r="I5" s="23" t="n">
        <f aca="false">H5*안내!$C$7+안내!$C$8</f>
        <v>692</v>
      </c>
      <c r="J5" s="23" t="n">
        <f aca="false">ROUND(I5/60,1)</f>
        <v>11.5</v>
      </c>
      <c r="K5" s="23" t="str">
        <f aca="false">D5&amp;" #"&amp;TEXT(_xlfn.MINIFS(A타입_제작표!$E$2:$E$799,A타입_제작표!$H$2:$H$799,B5),"000")</f>
        <v>구약 #027</v>
      </c>
      <c r="L5" s="23" t="str">
        <f aca="false">D5&amp;" #"&amp;TEXT(_xlfn.MAXIFS(A타입_제작표!$E$2:$E$799,A타입_제작표!$H$2:$H$799,B5),"000")</f>
        <v>구약 #037</v>
      </c>
      <c r="M5" s="24" t="s">
        <v>7098</v>
      </c>
      <c r="N5" s="24" t="s">
        <v>7099</v>
      </c>
      <c r="O5" s="24" t="s">
        <v>7100</v>
      </c>
      <c r="P5" s="26" t="n">
        <f aca="false">_xlfn.MAXIFS(A타입_제작표!$U$2:$U$799,A타입_제작표!$H$2:$H$799,B5)+1</f>
        <v>46428</v>
      </c>
      <c r="Q5" s="23" t="str">
        <f aca="false">CHOOSE(WEEKDAY(P5,2),"월","화","수","목","금","토","일")</f>
        <v>수</v>
      </c>
      <c r="R5" s="23" t="s">
        <v>130</v>
      </c>
      <c r="S5" s="23" t="s">
        <v>130</v>
      </c>
      <c r="T5" s="23" t="s">
        <v>130</v>
      </c>
      <c r="U5" s="23" t="s">
        <v>130</v>
      </c>
      <c r="V5" s="24"/>
    </row>
    <row r="6" customFormat="false" ht="52.2" hidden="false" customHeight="false" outlineLevel="0" collapsed="false">
      <c r="A6" s="23" t="n">
        <v>5</v>
      </c>
      <c r="B6" s="19" t="s">
        <v>723</v>
      </c>
      <c r="C6" s="20" t="n">
        <v>1</v>
      </c>
      <c r="D6" s="20" t="s">
        <v>116</v>
      </c>
      <c r="E6" s="24" t="s">
        <v>7101</v>
      </c>
      <c r="F6" s="29" t="s">
        <v>7102</v>
      </c>
      <c r="G6" s="24" t="s">
        <v>7103</v>
      </c>
      <c r="H6" s="23" t="n">
        <f aca="false">COUNTIF(A타입_제작표!$H$2:$H$799,B6)</f>
        <v>11</v>
      </c>
      <c r="I6" s="23" t="n">
        <f aca="false">H6*안내!$C$7+안내!$C$8</f>
        <v>692</v>
      </c>
      <c r="J6" s="23" t="n">
        <f aca="false">ROUND(I6/60,1)</f>
        <v>11.5</v>
      </c>
      <c r="K6" s="23" t="str">
        <f aca="false">D6&amp;" #"&amp;TEXT(_xlfn.MINIFS(A타입_제작표!$E$2:$E$799,A타입_제작표!$H$2:$H$799,B6),"000")</f>
        <v>구약 #038</v>
      </c>
      <c r="L6" s="23" t="str">
        <f aca="false">D6&amp;" #"&amp;TEXT(_xlfn.MAXIFS(A타입_제작표!$E$2:$E$799,A타입_제작표!$H$2:$H$799,B6),"000")</f>
        <v>구약 #048</v>
      </c>
      <c r="M6" s="24" t="s">
        <v>7104</v>
      </c>
      <c r="N6" s="24" t="s">
        <v>7105</v>
      </c>
      <c r="O6" s="24" t="s">
        <v>7106</v>
      </c>
      <c r="P6" s="26" t="n">
        <f aca="false">_xlfn.MAXIFS(A타입_제작표!$U$2:$U$799,A타입_제작표!$H$2:$H$799,B6)+1</f>
        <v>46439</v>
      </c>
      <c r="Q6" s="23" t="str">
        <f aca="false">CHOOSE(WEEKDAY(P6,2),"월","화","수","목","금","토","일")</f>
        <v>일</v>
      </c>
      <c r="R6" s="23" t="s">
        <v>130</v>
      </c>
      <c r="S6" s="23" t="s">
        <v>130</v>
      </c>
      <c r="T6" s="23" t="s">
        <v>130</v>
      </c>
      <c r="U6" s="23" t="s">
        <v>130</v>
      </c>
      <c r="V6" s="24"/>
    </row>
    <row r="7" customFormat="false" ht="52.2" hidden="false" customHeight="false" outlineLevel="0" collapsed="false">
      <c r="A7" s="23" t="n">
        <v>6</v>
      </c>
      <c r="B7" s="19" t="s">
        <v>892</v>
      </c>
      <c r="C7" s="20" t="n">
        <v>1</v>
      </c>
      <c r="D7" s="20" t="s">
        <v>116</v>
      </c>
      <c r="E7" s="24" t="s">
        <v>7107</v>
      </c>
      <c r="F7" s="29" t="s">
        <v>7108</v>
      </c>
      <c r="G7" s="24" t="s">
        <v>7109</v>
      </c>
      <c r="H7" s="23" t="n">
        <f aca="false">COUNTIF(A타입_제작표!$H$2:$H$799,B7)</f>
        <v>11</v>
      </c>
      <c r="I7" s="23" t="n">
        <f aca="false">H7*안내!$C$7+안내!$C$8</f>
        <v>692</v>
      </c>
      <c r="J7" s="23" t="n">
        <f aca="false">ROUND(I7/60,1)</f>
        <v>11.5</v>
      </c>
      <c r="K7" s="23" t="str">
        <f aca="false">D7&amp;" #"&amp;TEXT(_xlfn.MINIFS(A타입_제작표!$E$2:$E$799,A타입_제작표!$H$2:$H$799,B7),"000")</f>
        <v>구약 #049</v>
      </c>
      <c r="L7" s="23" t="str">
        <f aca="false">D7&amp;" #"&amp;TEXT(_xlfn.MAXIFS(A타입_제작표!$E$2:$E$799,A타입_제작표!$H$2:$H$799,B7),"000")</f>
        <v>구약 #059</v>
      </c>
      <c r="M7" s="24" t="s">
        <v>7110</v>
      </c>
      <c r="N7" s="24" t="s">
        <v>7111</v>
      </c>
      <c r="O7" s="24" t="s">
        <v>7112</v>
      </c>
      <c r="P7" s="26" t="n">
        <f aca="false">_xlfn.MAXIFS(A타입_제작표!$U$2:$U$799,A타입_제작표!$H$2:$H$799,B7)+1</f>
        <v>46450</v>
      </c>
      <c r="Q7" s="23" t="str">
        <f aca="false">CHOOSE(WEEKDAY(P7,2),"월","화","수","목","금","토","일")</f>
        <v>목</v>
      </c>
      <c r="R7" s="23" t="s">
        <v>130</v>
      </c>
      <c r="S7" s="23" t="s">
        <v>130</v>
      </c>
      <c r="T7" s="23" t="s">
        <v>130</v>
      </c>
      <c r="U7" s="23" t="s">
        <v>130</v>
      </c>
      <c r="V7" s="24"/>
    </row>
    <row r="8" customFormat="false" ht="74.6" hidden="false" customHeight="false" outlineLevel="0" collapsed="false">
      <c r="A8" s="23" t="n">
        <v>7</v>
      </c>
      <c r="B8" s="19" t="s">
        <v>1059</v>
      </c>
      <c r="C8" s="20" t="n">
        <v>1</v>
      </c>
      <c r="D8" s="20" t="s">
        <v>116</v>
      </c>
      <c r="E8" s="24" t="s">
        <v>7113</v>
      </c>
      <c r="F8" s="29" t="s">
        <v>7114</v>
      </c>
      <c r="G8" s="24" t="s">
        <v>7115</v>
      </c>
      <c r="H8" s="23" t="n">
        <f aca="false">COUNTIF(A타입_제작표!$H$2:$H$799,B8)</f>
        <v>7</v>
      </c>
      <c r="I8" s="23" t="n">
        <f aca="false">H8*안내!$C$7+안내!$C$8</f>
        <v>484</v>
      </c>
      <c r="J8" s="23" t="n">
        <f aca="false">ROUND(I8/60,1)</f>
        <v>8.1</v>
      </c>
      <c r="K8" s="23" t="str">
        <f aca="false">D8&amp;" #"&amp;TEXT(_xlfn.MINIFS(A타입_제작표!$E$2:$E$799,A타입_제작표!$H$2:$H$799,B8),"000")</f>
        <v>구약 #060</v>
      </c>
      <c r="L8" s="23" t="str">
        <f aca="false">D8&amp;" #"&amp;TEXT(_xlfn.MAXIFS(A타입_제작표!$E$2:$E$799,A타입_제작표!$H$2:$H$799,B8),"000")</f>
        <v>구약 #066</v>
      </c>
      <c r="M8" s="24" t="s">
        <v>7116</v>
      </c>
      <c r="N8" s="24" t="s">
        <v>7117</v>
      </c>
      <c r="O8" s="24" t="s">
        <v>7118</v>
      </c>
      <c r="P8" s="26" t="n">
        <f aca="false">_xlfn.MAXIFS(A타입_제작표!$U$2:$U$799,A타입_제작표!$H$2:$H$799,B8)+1</f>
        <v>46457</v>
      </c>
      <c r="Q8" s="23" t="str">
        <f aca="false">CHOOSE(WEEKDAY(P8,2),"월","화","수","목","금","토","일")</f>
        <v>목</v>
      </c>
      <c r="R8" s="23" t="s">
        <v>130</v>
      </c>
      <c r="S8" s="23" t="s">
        <v>130</v>
      </c>
      <c r="T8" s="23" t="s">
        <v>130</v>
      </c>
      <c r="U8" s="23" t="s">
        <v>130</v>
      </c>
      <c r="V8" s="24"/>
    </row>
    <row r="9" customFormat="false" ht="102.95" hidden="false" customHeight="false" outlineLevel="0" collapsed="false">
      <c r="A9" s="23" t="n">
        <v>8</v>
      </c>
      <c r="B9" s="19" t="s">
        <v>1344</v>
      </c>
      <c r="C9" s="20" t="n">
        <v>1</v>
      </c>
      <c r="D9" s="20" t="s">
        <v>116</v>
      </c>
      <c r="E9" s="24" t="s">
        <v>7119</v>
      </c>
      <c r="F9" s="29" t="s">
        <v>7120</v>
      </c>
      <c r="G9" s="24" t="s">
        <v>7121</v>
      </c>
      <c r="H9" s="23" t="n">
        <f aca="false">COUNTIF(A타입_제작표!$H$2:$H$799,B9)</f>
        <v>11</v>
      </c>
      <c r="I9" s="23" t="n">
        <f aca="false">H9*안내!$C$7+안내!$C$8</f>
        <v>692</v>
      </c>
      <c r="J9" s="23" t="n">
        <f aca="false">ROUND(I9/60,1)</f>
        <v>11.5</v>
      </c>
      <c r="K9" s="23" t="str">
        <f aca="false">D9&amp;" #"&amp;TEXT(_xlfn.MINIFS(A타입_제작표!$E$2:$E$799,A타입_제작표!$H$2:$H$799,B9),"000")</f>
        <v>구약 #067</v>
      </c>
      <c r="L9" s="23" t="str">
        <f aca="false">D9&amp;" #"&amp;TEXT(_xlfn.MAXIFS(A타입_제작표!$E$2:$E$799,A타입_제작표!$H$2:$H$799,B9),"000")</f>
        <v>구약 #077</v>
      </c>
      <c r="M9" s="24" t="s">
        <v>7122</v>
      </c>
      <c r="N9" s="24" t="s">
        <v>7123</v>
      </c>
      <c r="O9" s="24" t="s">
        <v>7124</v>
      </c>
      <c r="P9" s="26" t="n">
        <f aca="false">_xlfn.MAXIFS(A타입_제작표!$U$2:$U$799,A타입_제작표!$H$2:$H$799,B9)+1</f>
        <v>46468</v>
      </c>
      <c r="Q9" s="23" t="str">
        <f aca="false">CHOOSE(WEEKDAY(P9,2),"월","화","수","목","금","토","일")</f>
        <v>월</v>
      </c>
      <c r="R9" s="23" t="s">
        <v>130</v>
      </c>
      <c r="S9" s="23" t="s">
        <v>130</v>
      </c>
      <c r="T9" s="23" t="s">
        <v>130</v>
      </c>
      <c r="U9" s="23" t="s">
        <v>130</v>
      </c>
      <c r="V9" s="24"/>
    </row>
    <row r="10" customFormat="false" ht="64.9" hidden="false" customHeight="false" outlineLevel="0" collapsed="false">
      <c r="A10" s="23" t="n">
        <v>9</v>
      </c>
      <c r="B10" s="19" t="s">
        <v>1663</v>
      </c>
      <c r="C10" s="20" t="n">
        <v>1</v>
      </c>
      <c r="D10" s="20" t="s">
        <v>116</v>
      </c>
      <c r="E10" s="24" t="s">
        <v>7125</v>
      </c>
      <c r="F10" s="29" t="s">
        <v>7126</v>
      </c>
      <c r="G10" s="24" t="s">
        <v>7127</v>
      </c>
      <c r="H10" s="23" t="n">
        <f aca="false">COUNTIF(A타입_제작표!$H$2:$H$799,B10)</f>
        <v>8</v>
      </c>
      <c r="I10" s="23" t="n">
        <f aca="false">H10*안내!$C$7+안내!$C$8</f>
        <v>536</v>
      </c>
      <c r="J10" s="23" t="n">
        <f aca="false">ROUND(I10/60,1)</f>
        <v>8.9</v>
      </c>
      <c r="K10" s="23" t="str">
        <f aca="false">D10&amp;" #"&amp;TEXT(_xlfn.MINIFS(A타입_제작표!$E$2:$E$799,A타입_제작표!$H$2:$H$799,B10),"000")</f>
        <v>구약 #078</v>
      </c>
      <c r="L10" s="23" t="str">
        <f aca="false">D10&amp;" #"&amp;TEXT(_xlfn.MAXIFS(A타입_제작표!$E$2:$E$799,A타입_제작표!$H$2:$H$799,B10),"000")</f>
        <v>구약 #085</v>
      </c>
      <c r="M10" s="24" t="s">
        <v>7128</v>
      </c>
      <c r="N10" s="24" t="s">
        <v>7129</v>
      </c>
      <c r="O10" s="24" t="s">
        <v>7130</v>
      </c>
      <c r="P10" s="26" t="n">
        <f aca="false">_xlfn.MAXIFS(A타입_제작표!$U$2:$U$799,A타입_제작표!$H$2:$H$799,B10)+1</f>
        <v>46476</v>
      </c>
      <c r="Q10" s="23" t="str">
        <f aca="false">CHOOSE(WEEKDAY(P10,2),"월","화","수","목","금","토","일")</f>
        <v>화</v>
      </c>
      <c r="R10" s="23" t="s">
        <v>130</v>
      </c>
      <c r="S10" s="23" t="s">
        <v>130</v>
      </c>
      <c r="T10" s="23" t="s">
        <v>130</v>
      </c>
      <c r="U10" s="23" t="s">
        <v>130</v>
      </c>
      <c r="V10" s="24"/>
    </row>
    <row r="11" customFormat="false" ht="39.55" hidden="false" customHeight="false" outlineLevel="0" collapsed="false">
      <c r="A11" s="23" t="n">
        <v>10</v>
      </c>
      <c r="B11" s="19" t="s">
        <v>1914</v>
      </c>
      <c r="C11" s="20" t="n">
        <v>1</v>
      </c>
      <c r="D11" s="20" t="s">
        <v>116</v>
      </c>
      <c r="E11" s="24" t="s">
        <v>7131</v>
      </c>
      <c r="F11" s="29" t="s">
        <v>7132</v>
      </c>
      <c r="G11" s="24" t="s">
        <v>7133</v>
      </c>
      <c r="H11" s="23" t="n">
        <f aca="false">COUNTIF(A타입_제작표!$H$2:$H$799,B11)</f>
        <v>10</v>
      </c>
      <c r="I11" s="23" t="n">
        <f aca="false">H11*안내!$C$7+안내!$C$8</f>
        <v>640</v>
      </c>
      <c r="J11" s="23" t="n">
        <f aca="false">ROUND(I11/60,1)</f>
        <v>10.7</v>
      </c>
      <c r="K11" s="23" t="str">
        <f aca="false">D11&amp;" #"&amp;TEXT(_xlfn.MINIFS(A타입_제작표!$E$2:$E$799,A타입_제작표!$H$2:$H$799,B11),"000")</f>
        <v>구약 #086</v>
      </c>
      <c r="L11" s="23" t="str">
        <f aca="false">D11&amp;" #"&amp;TEXT(_xlfn.MAXIFS(A타입_제작표!$E$2:$E$799,A타입_제작표!$H$2:$H$799,B11),"000")</f>
        <v>구약 #095</v>
      </c>
      <c r="M11" s="24" t="s">
        <v>7134</v>
      </c>
      <c r="N11" s="24" t="s">
        <v>7135</v>
      </c>
      <c r="O11" s="24" t="s">
        <v>7136</v>
      </c>
      <c r="P11" s="26" t="n">
        <f aca="false">_xlfn.MAXIFS(A타입_제작표!$U$2:$U$799,A타입_제작표!$H$2:$H$799,B11)+1</f>
        <v>46486</v>
      </c>
      <c r="Q11" s="23" t="str">
        <f aca="false">CHOOSE(WEEKDAY(P11,2),"월","화","수","목","금","토","일")</f>
        <v>금</v>
      </c>
      <c r="R11" s="23" t="s">
        <v>130</v>
      </c>
      <c r="S11" s="23" t="s">
        <v>130</v>
      </c>
      <c r="T11" s="23" t="s">
        <v>130</v>
      </c>
      <c r="U11" s="23" t="s">
        <v>130</v>
      </c>
      <c r="V11" s="24"/>
    </row>
    <row r="12" customFormat="false" ht="50.7" hidden="false" customHeight="false" outlineLevel="0" collapsed="false">
      <c r="A12" s="23" t="n">
        <v>11</v>
      </c>
      <c r="B12" s="19" t="s">
        <v>2065</v>
      </c>
      <c r="C12" s="20" t="n">
        <v>1</v>
      </c>
      <c r="D12" s="20" t="s">
        <v>116</v>
      </c>
      <c r="E12" s="24" t="s">
        <v>7137</v>
      </c>
      <c r="F12" s="29" t="s">
        <v>7138</v>
      </c>
      <c r="G12" s="24" t="s">
        <v>7139</v>
      </c>
      <c r="H12" s="23" t="n">
        <f aca="false">COUNTIF(A타입_제작표!$H$2:$H$799,B12)</f>
        <v>9</v>
      </c>
      <c r="I12" s="23" t="n">
        <f aca="false">H12*안내!$C$7+안내!$C$8</f>
        <v>588</v>
      </c>
      <c r="J12" s="23" t="n">
        <f aca="false">ROUND(I12/60,1)</f>
        <v>9.8</v>
      </c>
      <c r="K12" s="23" t="str">
        <f aca="false">D12&amp;" #"&amp;TEXT(_xlfn.MINIFS(A타입_제작표!$E$2:$E$799,A타입_제작표!$H$2:$H$799,B12),"000")</f>
        <v>구약 #096</v>
      </c>
      <c r="L12" s="23" t="str">
        <f aca="false">D12&amp;" #"&amp;TEXT(_xlfn.MAXIFS(A타입_제작표!$E$2:$E$799,A타입_제작표!$H$2:$H$799,B12),"000")</f>
        <v>구약 #104</v>
      </c>
      <c r="M12" s="24" t="s">
        <v>7140</v>
      </c>
      <c r="N12" s="24" t="s">
        <v>7141</v>
      </c>
      <c r="O12" s="24" t="s">
        <v>7142</v>
      </c>
      <c r="P12" s="26" t="n">
        <f aca="false">_xlfn.MAXIFS(A타입_제작표!$U$2:$U$799,A타입_제작표!$H$2:$H$799,B12)+1</f>
        <v>46495</v>
      </c>
      <c r="Q12" s="23" t="str">
        <f aca="false">CHOOSE(WEEKDAY(P12,2),"월","화","수","목","금","토","일")</f>
        <v>일</v>
      </c>
      <c r="R12" s="23" t="s">
        <v>130</v>
      </c>
      <c r="S12" s="23" t="s">
        <v>130</v>
      </c>
      <c r="T12" s="23" t="s">
        <v>130</v>
      </c>
      <c r="U12" s="23" t="s">
        <v>130</v>
      </c>
      <c r="V12" s="24"/>
    </row>
    <row r="13" customFormat="false" ht="39.55" hidden="false" customHeight="false" outlineLevel="0" collapsed="false">
      <c r="A13" s="23" t="n">
        <v>12</v>
      </c>
      <c r="B13" s="19" t="s">
        <v>2296</v>
      </c>
      <c r="C13" s="20" t="n">
        <v>1</v>
      </c>
      <c r="D13" s="20" t="s">
        <v>116</v>
      </c>
      <c r="E13" s="24" t="s">
        <v>7143</v>
      </c>
      <c r="F13" s="29" t="s">
        <v>7144</v>
      </c>
      <c r="G13" s="24" t="s">
        <v>7145</v>
      </c>
      <c r="H13" s="23" t="n">
        <f aca="false">COUNTIF(A타입_제작표!$H$2:$H$799,B13)</f>
        <v>9</v>
      </c>
      <c r="I13" s="23" t="n">
        <f aca="false">H13*안내!$C$7+안내!$C$8</f>
        <v>588</v>
      </c>
      <c r="J13" s="23" t="n">
        <f aca="false">ROUND(I13/60,1)</f>
        <v>9.8</v>
      </c>
      <c r="K13" s="23" t="str">
        <f aca="false">D13&amp;" #"&amp;TEXT(_xlfn.MINIFS(A타입_제작표!$E$2:$E$799,A타입_제작표!$H$2:$H$799,B13),"000")</f>
        <v>구약 #105</v>
      </c>
      <c r="L13" s="23" t="str">
        <f aca="false">D13&amp;" #"&amp;TEXT(_xlfn.MAXIFS(A타입_제작표!$E$2:$E$799,A타입_제작표!$H$2:$H$799,B13),"000")</f>
        <v>구약 #113</v>
      </c>
      <c r="M13" s="24" t="s">
        <v>7146</v>
      </c>
      <c r="N13" s="24" t="s">
        <v>7147</v>
      </c>
      <c r="O13" s="24" t="s">
        <v>7148</v>
      </c>
      <c r="P13" s="26" t="n">
        <f aca="false">_xlfn.MAXIFS(A타입_제작표!$U$2:$U$799,A타입_제작표!$H$2:$H$799,B13)+1</f>
        <v>46504</v>
      </c>
      <c r="Q13" s="23" t="str">
        <f aca="false">CHOOSE(WEEKDAY(P13,2),"월","화","수","목","금","토","일")</f>
        <v>화</v>
      </c>
      <c r="R13" s="23" t="s">
        <v>130</v>
      </c>
      <c r="S13" s="23" t="s">
        <v>130</v>
      </c>
      <c r="T13" s="23" t="s">
        <v>130</v>
      </c>
      <c r="U13" s="23" t="s">
        <v>130</v>
      </c>
      <c r="V13" s="24"/>
    </row>
    <row r="14" customFormat="false" ht="52.2" hidden="false" customHeight="false" outlineLevel="0" collapsed="false">
      <c r="A14" s="23" t="n">
        <v>13</v>
      </c>
      <c r="B14" s="19" t="s">
        <v>2484</v>
      </c>
      <c r="C14" s="20" t="n">
        <v>1</v>
      </c>
      <c r="D14" s="20" t="s">
        <v>116</v>
      </c>
      <c r="E14" s="24" t="s">
        <v>7149</v>
      </c>
      <c r="F14" s="29" t="s">
        <v>7150</v>
      </c>
      <c r="G14" s="24" t="s">
        <v>7151</v>
      </c>
      <c r="H14" s="23" t="n">
        <f aca="false">COUNTIF(A타입_제작표!$H$2:$H$799,B14)</f>
        <v>8</v>
      </c>
      <c r="I14" s="23" t="n">
        <f aca="false">H14*안내!$C$7+안내!$C$8</f>
        <v>536</v>
      </c>
      <c r="J14" s="23" t="n">
        <f aca="false">ROUND(I14/60,1)</f>
        <v>8.9</v>
      </c>
      <c r="K14" s="23" t="str">
        <f aca="false">D14&amp;" #"&amp;TEXT(_xlfn.MINIFS(A타입_제작표!$E$2:$E$799,A타입_제작표!$H$2:$H$799,B14),"000")</f>
        <v>구약 #114</v>
      </c>
      <c r="L14" s="23" t="str">
        <f aca="false">D14&amp;" #"&amp;TEXT(_xlfn.MAXIFS(A타입_제작표!$E$2:$E$799,A타입_제작표!$H$2:$H$799,B14),"000")</f>
        <v>구약 #121</v>
      </c>
      <c r="M14" s="24" t="s">
        <v>7152</v>
      </c>
      <c r="N14" s="24" t="s">
        <v>7153</v>
      </c>
      <c r="O14" s="24" t="s">
        <v>7154</v>
      </c>
      <c r="P14" s="26" t="n">
        <f aca="false">_xlfn.MAXIFS(A타입_제작표!$U$2:$U$799,A타입_제작표!$H$2:$H$799,B14)+1</f>
        <v>46512</v>
      </c>
      <c r="Q14" s="23" t="str">
        <f aca="false">CHOOSE(WEEKDAY(P14,2),"월","화","수","목","금","토","일")</f>
        <v>수</v>
      </c>
      <c r="R14" s="23" t="s">
        <v>130</v>
      </c>
      <c r="S14" s="23" t="s">
        <v>130</v>
      </c>
      <c r="T14" s="23" t="s">
        <v>130</v>
      </c>
      <c r="U14" s="23" t="s">
        <v>130</v>
      </c>
      <c r="V14" s="24"/>
    </row>
    <row r="15" customFormat="false" ht="77.6" hidden="false" customHeight="false" outlineLevel="0" collapsed="false">
      <c r="A15" s="23" t="n">
        <v>14</v>
      </c>
      <c r="B15" s="19" t="s">
        <v>2644</v>
      </c>
      <c r="C15" s="20" t="n">
        <v>1</v>
      </c>
      <c r="D15" s="20" t="s">
        <v>116</v>
      </c>
      <c r="E15" s="24" t="s">
        <v>7155</v>
      </c>
      <c r="F15" s="29" t="s">
        <v>7156</v>
      </c>
      <c r="G15" s="24" t="s">
        <v>7157</v>
      </c>
      <c r="H15" s="23" t="n">
        <f aca="false">COUNTIF(A타입_제작표!$H$2:$H$799,B15)</f>
        <v>9</v>
      </c>
      <c r="I15" s="23" t="n">
        <f aca="false">H15*안내!$C$7+안내!$C$8</f>
        <v>588</v>
      </c>
      <c r="J15" s="23" t="n">
        <f aca="false">ROUND(I15/60,1)</f>
        <v>9.8</v>
      </c>
      <c r="K15" s="23" t="str">
        <f aca="false">D15&amp;" #"&amp;TEXT(_xlfn.MINIFS(A타입_제작표!$E$2:$E$799,A타입_제작표!$H$2:$H$799,B15),"000")</f>
        <v>구약 #122</v>
      </c>
      <c r="L15" s="23" t="str">
        <f aca="false">D15&amp;" #"&amp;TEXT(_xlfn.MAXIFS(A타입_제작표!$E$2:$E$799,A타입_제작표!$H$2:$H$799,B15),"000")</f>
        <v>구약 #130</v>
      </c>
      <c r="M15" s="24" t="s">
        <v>7158</v>
      </c>
      <c r="N15" s="24" t="s">
        <v>7159</v>
      </c>
      <c r="O15" s="24" t="s">
        <v>7160</v>
      </c>
      <c r="P15" s="26" t="n">
        <f aca="false">_xlfn.MAXIFS(A타입_제작표!$U$2:$U$799,A타입_제작표!$H$2:$H$799,B15)+1</f>
        <v>46521</v>
      </c>
      <c r="Q15" s="23" t="str">
        <f aca="false">CHOOSE(WEEKDAY(P15,2),"월","화","수","목","금","토","일")</f>
        <v>금</v>
      </c>
      <c r="R15" s="23" t="s">
        <v>130</v>
      </c>
      <c r="S15" s="23" t="s">
        <v>130</v>
      </c>
      <c r="T15" s="23" t="s">
        <v>130</v>
      </c>
      <c r="U15" s="23" t="s">
        <v>130</v>
      </c>
      <c r="V15" s="24"/>
    </row>
    <row r="16" customFormat="false" ht="77.6" hidden="false" customHeight="false" outlineLevel="0" collapsed="false">
      <c r="A16" s="23" t="n">
        <v>15</v>
      </c>
      <c r="B16" s="19" t="s">
        <v>2927</v>
      </c>
      <c r="C16" s="20" t="n">
        <v>1</v>
      </c>
      <c r="D16" s="20" t="s">
        <v>116</v>
      </c>
      <c r="E16" s="24" t="s">
        <v>7161</v>
      </c>
      <c r="F16" s="29" t="s">
        <v>7162</v>
      </c>
      <c r="G16" s="24" t="s">
        <v>7163</v>
      </c>
      <c r="H16" s="23" t="n">
        <f aca="false">COUNTIF(A타입_제작표!$H$2:$H$799,B16)</f>
        <v>8</v>
      </c>
      <c r="I16" s="23" t="n">
        <f aca="false">H16*안내!$C$7+안내!$C$8</f>
        <v>536</v>
      </c>
      <c r="J16" s="23" t="n">
        <f aca="false">ROUND(I16/60,1)</f>
        <v>8.9</v>
      </c>
      <c r="K16" s="23" t="str">
        <f aca="false">D16&amp;" #"&amp;TEXT(_xlfn.MINIFS(A타입_제작표!$E$2:$E$799,A타입_제작표!$H$2:$H$799,B16),"000")</f>
        <v>구약 #131</v>
      </c>
      <c r="L16" s="23" t="str">
        <f aca="false">D16&amp;" #"&amp;TEXT(_xlfn.MAXIFS(A타입_제작표!$E$2:$E$799,A타입_제작표!$H$2:$H$799,B16),"000")</f>
        <v>구약 #138</v>
      </c>
      <c r="M16" s="24" t="s">
        <v>7164</v>
      </c>
      <c r="N16" s="24" t="s">
        <v>7165</v>
      </c>
      <c r="O16" s="24" t="s">
        <v>7166</v>
      </c>
      <c r="P16" s="26" t="n">
        <f aca="false">_xlfn.MAXIFS(A타입_제작표!$U$2:$U$799,A타입_제작표!$H$2:$H$799,B16)+1</f>
        <v>46529</v>
      </c>
      <c r="Q16" s="23" t="str">
        <f aca="false">CHOOSE(WEEKDAY(P16,2),"월","화","수","목","금","토","일")</f>
        <v>토</v>
      </c>
      <c r="R16" s="23" t="s">
        <v>130</v>
      </c>
      <c r="S16" s="23" t="s">
        <v>130</v>
      </c>
      <c r="T16" s="23" t="s">
        <v>130</v>
      </c>
      <c r="U16" s="23" t="s">
        <v>130</v>
      </c>
      <c r="V16" s="24"/>
    </row>
    <row r="17" customFormat="false" ht="52.2" hidden="false" customHeight="false" outlineLevel="0" collapsed="false">
      <c r="A17" s="23" t="n">
        <v>16</v>
      </c>
      <c r="B17" s="19" t="s">
        <v>3140</v>
      </c>
      <c r="C17" s="20" t="n">
        <v>1</v>
      </c>
      <c r="D17" s="20" t="s">
        <v>116</v>
      </c>
      <c r="E17" s="24" t="s">
        <v>7167</v>
      </c>
      <c r="F17" s="29" t="s">
        <v>7168</v>
      </c>
      <c r="G17" s="24" t="s">
        <v>7169</v>
      </c>
      <c r="H17" s="23" t="n">
        <f aca="false">COUNTIF(A타입_제작표!$H$2:$H$799,B17)</f>
        <v>10</v>
      </c>
      <c r="I17" s="23" t="n">
        <f aca="false">H17*안내!$C$7+안내!$C$8</f>
        <v>640</v>
      </c>
      <c r="J17" s="23" t="n">
        <f aca="false">ROUND(I17/60,1)</f>
        <v>10.7</v>
      </c>
      <c r="K17" s="23" t="str">
        <f aca="false">D17&amp;" #"&amp;TEXT(_xlfn.MINIFS(A타입_제작표!$E$2:$E$799,A타입_제작표!$H$2:$H$799,B17),"000")</f>
        <v>구약 #139</v>
      </c>
      <c r="L17" s="23" t="str">
        <f aca="false">D17&amp;" #"&amp;TEXT(_xlfn.MAXIFS(A타입_제작표!$E$2:$E$799,A타입_제작표!$H$2:$H$799,B17),"000")</f>
        <v>구약 #148</v>
      </c>
      <c r="M17" s="24" t="s">
        <v>7170</v>
      </c>
      <c r="N17" s="24" t="s">
        <v>7171</v>
      </c>
      <c r="O17" s="24" t="s">
        <v>7172</v>
      </c>
      <c r="P17" s="26" t="n">
        <f aca="false">_xlfn.MAXIFS(A타입_제작표!$U$2:$U$799,A타입_제작표!$H$2:$H$799,B17)+1</f>
        <v>46539</v>
      </c>
      <c r="Q17" s="23" t="str">
        <f aca="false">CHOOSE(WEEKDAY(P17,2),"월","화","수","목","금","토","일")</f>
        <v>화</v>
      </c>
      <c r="R17" s="23" t="s">
        <v>130</v>
      </c>
      <c r="S17" s="23" t="s">
        <v>130</v>
      </c>
      <c r="T17" s="23" t="s">
        <v>130</v>
      </c>
      <c r="U17" s="23" t="s">
        <v>130</v>
      </c>
      <c r="V17" s="24"/>
    </row>
    <row r="18" customFormat="false" ht="90.25" hidden="false" customHeight="false" outlineLevel="0" collapsed="false">
      <c r="A18" s="23" t="n">
        <v>17</v>
      </c>
      <c r="B18" s="19" t="s">
        <v>3319</v>
      </c>
      <c r="C18" s="20" t="n">
        <v>1</v>
      </c>
      <c r="D18" s="20" t="s">
        <v>116</v>
      </c>
      <c r="E18" s="24" t="s">
        <v>7173</v>
      </c>
      <c r="F18" s="29" t="s">
        <v>7174</v>
      </c>
      <c r="G18" s="24" t="s">
        <v>7175</v>
      </c>
      <c r="H18" s="23" t="n">
        <f aca="false">COUNTIF(A타입_제작표!$H$2:$H$799,B18)</f>
        <v>7</v>
      </c>
      <c r="I18" s="23" t="n">
        <f aca="false">H18*안내!$C$7+안내!$C$8</f>
        <v>484</v>
      </c>
      <c r="J18" s="23" t="n">
        <f aca="false">ROUND(I18/60,1)</f>
        <v>8.1</v>
      </c>
      <c r="K18" s="23" t="str">
        <f aca="false">D18&amp;" #"&amp;TEXT(_xlfn.MINIFS(A타입_제작표!$E$2:$E$799,A타입_제작표!$H$2:$H$799,B18),"000")</f>
        <v>구약 #149</v>
      </c>
      <c r="L18" s="23" t="str">
        <f aca="false">D18&amp;" #"&amp;TEXT(_xlfn.MAXIFS(A타입_제작표!$E$2:$E$799,A타입_제작표!$H$2:$H$799,B18),"000")</f>
        <v>구약 #155</v>
      </c>
      <c r="M18" s="24" t="s">
        <v>7176</v>
      </c>
      <c r="N18" s="24" t="s">
        <v>7177</v>
      </c>
      <c r="O18" s="24" t="s">
        <v>7178</v>
      </c>
      <c r="P18" s="26" t="n">
        <f aca="false">_xlfn.MAXIFS(A타입_제작표!$U$2:$U$799,A타입_제작표!$H$2:$H$799,B18)+1</f>
        <v>46546</v>
      </c>
      <c r="Q18" s="23" t="str">
        <f aca="false">CHOOSE(WEEKDAY(P18,2),"월","화","수","목","금","토","일")</f>
        <v>화</v>
      </c>
      <c r="R18" s="23" t="s">
        <v>130</v>
      </c>
      <c r="S18" s="23" t="s">
        <v>130</v>
      </c>
      <c r="T18" s="23" t="s">
        <v>130</v>
      </c>
      <c r="U18" s="23" t="s">
        <v>130</v>
      </c>
      <c r="V18" s="24"/>
    </row>
    <row r="19" customFormat="false" ht="128.35" hidden="false" customHeight="false" outlineLevel="0" collapsed="false">
      <c r="A19" s="23" t="n">
        <v>18</v>
      </c>
      <c r="B19" s="19" t="s">
        <v>3659</v>
      </c>
      <c r="C19" s="20" t="n">
        <v>1</v>
      </c>
      <c r="D19" s="20" t="s">
        <v>116</v>
      </c>
      <c r="E19" s="24" t="s">
        <v>7179</v>
      </c>
      <c r="F19" s="29" t="s">
        <v>7180</v>
      </c>
      <c r="G19" s="24" t="s">
        <v>7181</v>
      </c>
      <c r="H19" s="23" t="n">
        <f aca="false">COUNTIF(A타입_제작표!$H$2:$H$799,B19)</f>
        <v>8</v>
      </c>
      <c r="I19" s="23" t="n">
        <f aca="false">H19*안내!$C$7+안내!$C$8</f>
        <v>536</v>
      </c>
      <c r="J19" s="23" t="n">
        <f aca="false">ROUND(I19/60,1)</f>
        <v>8.9</v>
      </c>
      <c r="K19" s="23" t="str">
        <f aca="false">D19&amp;" #"&amp;TEXT(_xlfn.MINIFS(A타입_제작표!$E$2:$E$799,A타입_제작표!$H$2:$H$799,B19),"000")</f>
        <v>구약 #156</v>
      </c>
      <c r="L19" s="23" t="str">
        <f aca="false">D19&amp;" #"&amp;TEXT(_xlfn.MAXIFS(A타입_제작표!$E$2:$E$799,A타입_제작표!$H$2:$H$799,B19),"000")</f>
        <v>구약 #163</v>
      </c>
      <c r="M19" s="24" t="s">
        <v>7182</v>
      </c>
      <c r="N19" s="24" t="s">
        <v>7183</v>
      </c>
      <c r="O19" s="24" t="s">
        <v>7184</v>
      </c>
      <c r="P19" s="26" t="n">
        <f aca="false">_xlfn.MAXIFS(A타입_제작표!$U$2:$U$799,A타입_제작표!$H$2:$H$799,B19)+1</f>
        <v>46554</v>
      </c>
      <c r="Q19" s="23" t="str">
        <f aca="false">CHOOSE(WEEKDAY(P19,2),"월","화","수","목","금","토","일")</f>
        <v>수</v>
      </c>
      <c r="R19" s="23" t="s">
        <v>130</v>
      </c>
      <c r="S19" s="23" t="s">
        <v>130</v>
      </c>
      <c r="T19" s="23" t="s">
        <v>130</v>
      </c>
      <c r="U19" s="23" t="s">
        <v>130</v>
      </c>
      <c r="V19" s="24"/>
    </row>
    <row r="20" customFormat="false" ht="76.1" hidden="false" customHeight="false" outlineLevel="0" collapsed="false">
      <c r="A20" s="23" t="n">
        <v>19</v>
      </c>
      <c r="B20" s="19" t="s">
        <v>4047</v>
      </c>
      <c r="C20" s="20" t="n">
        <v>1</v>
      </c>
      <c r="D20" s="20" t="s">
        <v>116</v>
      </c>
      <c r="E20" s="24" t="s">
        <v>7185</v>
      </c>
      <c r="F20" s="29" t="s">
        <v>7186</v>
      </c>
      <c r="G20" s="24" t="s">
        <v>7187</v>
      </c>
      <c r="H20" s="23" t="n">
        <f aca="false">COUNTIF(A타입_제작표!$H$2:$H$799,B20)</f>
        <v>11</v>
      </c>
      <c r="I20" s="23" t="n">
        <f aca="false">H20*안내!$C$7+안내!$C$8</f>
        <v>692</v>
      </c>
      <c r="J20" s="23" t="n">
        <f aca="false">ROUND(I20/60,1)</f>
        <v>11.5</v>
      </c>
      <c r="K20" s="23" t="str">
        <f aca="false">D20&amp;" #"&amp;TEXT(_xlfn.MINIFS(A타입_제작표!$E$2:$E$799,A타입_제작표!$H$2:$H$799,B20),"000")</f>
        <v>구약 #164</v>
      </c>
      <c r="L20" s="23" t="str">
        <f aca="false">D20&amp;" #"&amp;TEXT(_xlfn.MAXIFS(A타입_제작표!$E$2:$E$799,A타입_제작표!$H$2:$H$799,B20),"000")</f>
        <v>구약 #174</v>
      </c>
      <c r="M20" s="24" t="s">
        <v>7188</v>
      </c>
      <c r="N20" s="24" t="s">
        <v>7189</v>
      </c>
      <c r="O20" s="24" t="s">
        <v>7190</v>
      </c>
      <c r="P20" s="26" t="n">
        <f aca="false">_xlfn.MAXIFS(A타입_제작표!$U$2:$U$799,A타입_제작표!$H$2:$H$799,B20)+1</f>
        <v>46565</v>
      </c>
      <c r="Q20" s="23" t="str">
        <f aca="false">CHOOSE(WEEKDAY(P20,2),"월","화","수","목","금","토","일")</f>
        <v>일</v>
      </c>
      <c r="R20" s="23" t="s">
        <v>130</v>
      </c>
      <c r="S20" s="23" t="s">
        <v>130</v>
      </c>
      <c r="T20" s="23" t="s">
        <v>130</v>
      </c>
      <c r="U20" s="23" t="s">
        <v>130</v>
      </c>
      <c r="V20" s="24"/>
    </row>
    <row r="21" customFormat="false" ht="52.2" hidden="false" customHeight="false" outlineLevel="0" collapsed="false">
      <c r="A21" s="23" t="n">
        <v>20</v>
      </c>
      <c r="B21" s="19" t="s">
        <v>4458</v>
      </c>
      <c r="C21" s="20" t="n">
        <v>1</v>
      </c>
      <c r="D21" s="20" t="s">
        <v>116</v>
      </c>
      <c r="E21" s="24" t="s">
        <v>7191</v>
      </c>
      <c r="F21" s="29" t="s">
        <v>7192</v>
      </c>
      <c r="G21" s="24" t="s">
        <v>7193</v>
      </c>
      <c r="H21" s="23" t="n">
        <f aca="false">COUNTIF(A타입_제작표!$H$2:$H$799,B21)</f>
        <v>8</v>
      </c>
      <c r="I21" s="23" t="n">
        <f aca="false">H21*안내!$C$7+안내!$C$8</f>
        <v>536</v>
      </c>
      <c r="J21" s="23" t="n">
        <f aca="false">ROUND(I21/60,1)</f>
        <v>8.9</v>
      </c>
      <c r="K21" s="23" t="str">
        <f aca="false">D21&amp;" #"&amp;TEXT(_xlfn.MINIFS(A타입_제작표!$E$2:$E$799,A타입_제작표!$H$2:$H$799,B21),"000")</f>
        <v>구약 #175</v>
      </c>
      <c r="L21" s="23" t="str">
        <f aca="false">D21&amp;" #"&amp;TEXT(_xlfn.MAXIFS(A타입_제작표!$E$2:$E$799,A타입_제작표!$H$2:$H$799,B21),"000")</f>
        <v>구약 #182</v>
      </c>
      <c r="M21" s="24" t="s">
        <v>7194</v>
      </c>
      <c r="N21" s="24" t="s">
        <v>7195</v>
      </c>
      <c r="O21" s="24" t="s">
        <v>7196</v>
      </c>
      <c r="P21" s="26" t="n">
        <f aca="false">_xlfn.MAXIFS(A타입_제작표!$U$2:$U$799,A타입_제작표!$H$2:$H$799,B21)+1</f>
        <v>46573</v>
      </c>
      <c r="Q21" s="23" t="str">
        <f aca="false">CHOOSE(WEEKDAY(P21,2),"월","화","수","목","금","토","일")</f>
        <v>월</v>
      </c>
      <c r="R21" s="23" t="s">
        <v>130</v>
      </c>
      <c r="S21" s="23" t="s">
        <v>130</v>
      </c>
      <c r="T21" s="23" t="s">
        <v>130</v>
      </c>
      <c r="U21" s="23" t="s">
        <v>130</v>
      </c>
      <c r="V21" s="24"/>
    </row>
    <row r="22" customFormat="false" ht="39.55" hidden="false" customHeight="false" outlineLevel="0" collapsed="false">
      <c r="A22" s="23" t="n">
        <v>21</v>
      </c>
      <c r="B22" s="19" t="s">
        <v>4668</v>
      </c>
      <c r="C22" s="20" t="n">
        <v>1</v>
      </c>
      <c r="D22" s="20" t="s">
        <v>4656</v>
      </c>
      <c r="E22" s="24" t="s">
        <v>7197</v>
      </c>
      <c r="F22" s="29" t="s">
        <v>7198</v>
      </c>
      <c r="G22" s="24" t="s">
        <v>7199</v>
      </c>
      <c r="H22" s="23" t="n">
        <f aca="false">COUNTIF(A타입_제작표!$H$2:$H$799,B22)</f>
        <v>11</v>
      </c>
      <c r="I22" s="23" t="n">
        <f aca="false">H22*안내!$C$7+안내!$C$8</f>
        <v>692</v>
      </c>
      <c r="J22" s="23" t="n">
        <f aca="false">ROUND(I22/60,1)</f>
        <v>11.5</v>
      </c>
      <c r="K22" s="23" t="str">
        <f aca="false">D22&amp;" #"&amp;TEXT(_xlfn.MINIFS(A타입_제작표!$E$2:$E$799,A타입_제작표!$H$2:$H$799,B22),"000")</f>
        <v>신약 #001</v>
      </c>
      <c r="L22" s="23" t="str">
        <f aca="false">D22&amp;" #"&amp;TEXT(_xlfn.MAXIFS(A타입_제작표!$E$2:$E$799,A타입_제작표!$H$2:$H$799,B22),"000")</f>
        <v>신약 #011</v>
      </c>
      <c r="M22" s="24" t="s">
        <v>7200</v>
      </c>
      <c r="N22" s="24" t="s">
        <v>7201</v>
      </c>
      <c r="O22" s="24" t="s">
        <v>7202</v>
      </c>
      <c r="P22" s="26" t="n">
        <f aca="false">_xlfn.MAXIFS(A타입_제작표!$U$2:$U$799,A타입_제작표!$H$2:$H$799,B22)+1</f>
        <v>46410</v>
      </c>
      <c r="Q22" s="23" t="str">
        <f aca="false">CHOOSE(WEEKDAY(P22,2),"월","화","수","목","금","토","일")</f>
        <v>토</v>
      </c>
      <c r="R22" s="23" t="s">
        <v>130</v>
      </c>
      <c r="S22" s="23" t="s">
        <v>130</v>
      </c>
      <c r="T22" s="23" t="s">
        <v>130</v>
      </c>
      <c r="U22" s="23" t="s">
        <v>130</v>
      </c>
      <c r="V22" s="24"/>
    </row>
    <row r="23" customFormat="false" ht="39.55" hidden="false" customHeight="false" outlineLevel="0" collapsed="false">
      <c r="A23" s="23" t="n">
        <v>22</v>
      </c>
      <c r="B23" s="19" t="s">
        <v>4796</v>
      </c>
      <c r="C23" s="20" t="n">
        <v>1</v>
      </c>
      <c r="D23" s="20" t="s">
        <v>4656</v>
      </c>
      <c r="E23" s="24" t="s">
        <v>7203</v>
      </c>
      <c r="F23" s="29" t="s">
        <v>7204</v>
      </c>
      <c r="G23" s="24" t="s">
        <v>7205</v>
      </c>
      <c r="H23" s="23" t="n">
        <f aca="false">COUNTIF(A타입_제작표!$H$2:$H$799,B23)</f>
        <v>10</v>
      </c>
      <c r="I23" s="23" t="n">
        <f aca="false">H23*안내!$C$7+안내!$C$8</f>
        <v>640</v>
      </c>
      <c r="J23" s="23" t="n">
        <f aca="false">ROUND(I23/60,1)</f>
        <v>10.7</v>
      </c>
      <c r="K23" s="23" t="str">
        <f aca="false">D23&amp;" #"&amp;TEXT(_xlfn.MINIFS(A타입_제작표!$E$2:$E$799,A타입_제작표!$H$2:$H$799,B23),"000")</f>
        <v>신약 #012</v>
      </c>
      <c r="L23" s="23" t="str">
        <f aca="false">D23&amp;" #"&amp;TEXT(_xlfn.MAXIFS(A타입_제작표!$E$2:$E$799,A타입_제작표!$H$2:$H$799,B23),"000")</f>
        <v>신약 #021</v>
      </c>
      <c r="M23" s="24" t="s">
        <v>7206</v>
      </c>
      <c r="N23" s="24" t="s">
        <v>7207</v>
      </c>
      <c r="O23" s="24" t="s">
        <v>7208</v>
      </c>
      <c r="P23" s="26" t="n">
        <f aca="false">_xlfn.MAXIFS(A타입_제작표!$U$2:$U$799,A타입_제작표!$H$2:$H$799,B23)+1</f>
        <v>46427</v>
      </c>
      <c r="Q23" s="23" t="str">
        <f aca="false">CHOOSE(WEEKDAY(P23,2),"월","화","수","목","금","토","일")</f>
        <v>화</v>
      </c>
      <c r="R23" s="23" t="s">
        <v>130</v>
      </c>
      <c r="S23" s="23" t="s">
        <v>130</v>
      </c>
      <c r="T23" s="23" t="s">
        <v>130</v>
      </c>
      <c r="U23" s="23" t="s">
        <v>130</v>
      </c>
      <c r="V23" s="24"/>
    </row>
    <row r="24" customFormat="false" ht="39.55" hidden="false" customHeight="false" outlineLevel="0" collapsed="false">
      <c r="A24" s="23" t="n">
        <v>23</v>
      </c>
      <c r="B24" s="19" t="s">
        <v>4981</v>
      </c>
      <c r="C24" s="20" t="n">
        <v>1</v>
      </c>
      <c r="D24" s="20" t="s">
        <v>4656</v>
      </c>
      <c r="E24" s="24" t="s">
        <v>7209</v>
      </c>
      <c r="F24" s="29" t="s">
        <v>7210</v>
      </c>
      <c r="G24" s="24" t="s">
        <v>7211</v>
      </c>
      <c r="H24" s="23" t="n">
        <f aca="false">COUNTIF(A타입_제작표!$H$2:$H$799,B24)</f>
        <v>11</v>
      </c>
      <c r="I24" s="23" t="n">
        <f aca="false">H24*안내!$C$7+안내!$C$8</f>
        <v>692</v>
      </c>
      <c r="J24" s="23" t="n">
        <f aca="false">ROUND(I24/60,1)</f>
        <v>11.5</v>
      </c>
      <c r="K24" s="23" t="str">
        <f aca="false">D24&amp;" #"&amp;TEXT(_xlfn.MINIFS(A타입_제작표!$E$2:$E$799,A타입_제작표!$H$2:$H$799,B24),"000")</f>
        <v>신약 #022</v>
      </c>
      <c r="L24" s="23" t="str">
        <f aca="false">D24&amp;" #"&amp;TEXT(_xlfn.MAXIFS(A타입_제작표!$E$2:$E$799,A타입_제작표!$H$2:$H$799,B24),"000")</f>
        <v>신약 #032</v>
      </c>
      <c r="M24" s="24" t="s">
        <v>7212</v>
      </c>
      <c r="N24" s="24" t="s">
        <v>7213</v>
      </c>
      <c r="O24" s="24" t="s">
        <v>7214</v>
      </c>
      <c r="P24" s="26" t="n">
        <f aca="false">_xlfn.MAXIFS(A타입_제작표!$U$2:$U$799,A타입_제작표!$H$2:$H$799,B24)+1</f>
        <v>46446</v>
      </c>
      <c r="Q24" s="23" t="str">
        <f aca="false">CHOOSE(WEEKDAY(P24,2),"월","화","수","목","금","토","일")</f>
        <v>일</v>
      </c>
      <c r="R24" s="23" t="s">
        <v>130</v>
      </c>
      <c r="S24" s="23" t="s">
        <v>130</v>
      </c>
      <c r="T24" s="23" t="s">
        <v>130</v>
      </c>
      <c r="U24" s="23" t="s">
        <v>130</v>
      </c>
      <c r="V24" s="24"/>
    </row>
    <row r="25" customFormat="false" ht="26.85" hidden="false" customHeight="false" outlineLevel="0" collapsed="false">
      <c r="A25" s="23" t="n">
        <v>24</v>
      </c>
      <c r="B25" s="19" t="s">
        <v>5152</v>
      </c>
      <c r="C25" s="20" t="n">
        <v>1</v>
      </c>
      <c r="D25" s="20" t="s">
        <v>4656</v>
      </c>
      <c r="E25" s="24" t="s">
        <v>7215</v>
      </c>
      <c r="F25" s="29" t="s">
        <v>7216</v>
      </c>
      <c r="G25" s="24" t="s">
        <v>7217</v>
      </c>
      <c r="H25" s="23" t="n">
        <f aca="false">COUNTIF(A타입_제작표!$H$2:$H$799,B25)</f>
        <v>10</v>
      </c>
      <c r="I25" s="23" t="n">
        <f aca="false">H25*안내!$C$7+안내!$C$8</f>
        <v>640</v>
      </c>
      <c r="J25" s="23" t="n">
        <f aca="false">ROUND(I25/60,1)</f>
        <v>10.7</v>
      </c>
      <c r="K25" s="23" t="str">
        <f aca="false">D25&amp;" #"&amp;TEXT(_xlfn.MINIFS(A타입_제작표!$E$2:$E$799,A타입_제작표!$H$2:$H$799,B25),"000")</f>
        <v>신약 #033</v>
      </c>
      <c r="L25" s="23" t="str">
        <f aca="false">D25&amp;" #"&amp;TEXT(_xlfn.MAXIFS(A타입_제작표!$E$2:$E$799,A타입_제작표!$H$2:$H$799,B25),"000")</f>
        <v>신약 #042</v>
      </c>
      <c r="M25" s="24" t="s">
        <v>7218</v>
      </c>
      <c r="N25" s="24" t="s">
        <v>7219</v>
      </c>
      <c r="O25" s="24" t="s">
        <v>7220</v>
      </c>
      <c r="P25" s="26" t="n">
        <f aca="false">_xlfn.MAXIFS(A타입_제작표!$U$2:$U$799,A타입_제작표!$H$2:$H$799,B25)+1</f>
        <v>46464</v>
      </c>
      <c r="Q25" s="23" t="str">
        <f aca="false">CHOOSE(WEEKDAY(P25,2),"월","화","수","목","금","토","일")</f>
        <v>목</v>
      </c>
      <c r="R25" s="23" t="s">
        <v>130</v>
      </c>
      <c r="S25" s="23" t="s">
        <v>130</v>
      </c>
      <c r="T25" s="23" t="s">
        <v>130</v>
      </c>
      <c r="U25" s="23" t="s">
        <v>130</v>
      </c>
      <c r="V25" s="24"/>
    </row>
    <row r="26" customFormat="false" ht="39.55" hidden="false" customHeight="false" outlineLevel="0" collapsed="false">
      <c r="A26" s="23" t="n">
        <v>25</v>
      </c>
      <c r="B26" s="19" t="s">
        <v>5323</v>
      </c>
      <c r="C26" s="20" t="n">
        <v>1</v>
      </c>
      <c r="D26" s="20" t="s">
        <v>4656</v>
      </c>
      <c r="E26" s="24" t="s">
        <v>7221</v>
      </c>
      <c r="F26" s="29" t="s">
        <v>7222</v>
      </c>
      <c r="G26" s="24" t="s">
        <v>7223</v>
      </c>
      <c r="H26" s="23" t="n">
        <f aca="false">COUNTIF(A타입_제작표!$H$2:$H$799,B26)</f>
        <v>12</v>
      </c>
      <c r="I26" s="23" t="n">
        <f aca="false">H26*안내!$C$7+안내!$C$8</f>
        <v>744</v>
      </c>
      <c r="J26" s="23" t="n">
        <f aca="false">ROUND(I26/60,1)</f>
        <v>12.4</v>
      </c>
      <c r="K26" s="23" t="str">
        <f aca="false">D26&amp;" #"&amp;TEXT(_xlfn.MINIFS(A타입_제작표!$E$2:$E$799,A타입_제작표!$H$2:$H$799,B26),"000")</f>
        <v>신약 #043</v>
      </c>
      <c r="L26" s="23" t="str">
        <f aca="false">D26&amp;" #"&amp;TEXT(_xlfn.MAXIFS(A타입_제작표!$E$2:$E$799,A타입_제작표!$H$2:$H$799,B26),"000")</f>
        <v>신약 #054</v>
      </c>
      <c r="M26" s="24" t="s">
        <v>7224</v>
      </c>
      <c r="N26" s="24" t="s">
        <v>7225</v>
      </c>
      <c r="O26" s="24" t="s">
        <v>7226</v>
      </c>
      <c r="P26" s="26" t="n">
        <f aca="false">_xlfn.MAXIFS(A타입_제작표!$U$2:$U$799,A타입_제작표!$H$2:$H$799,B26)+1</f>
        <v>46485</v>
      </c>
      <c r="Q26" s="23" t="str">
        <f aca="false">CHOOSE(WEEKDAY(P26,2),"월","화","수","목","금","토","일")</f>
        <v>목</v>
      </c>
      <c r="R26" s="23" t="s">
        <v>130</v>
      </c>
      <c r="S26" s="23" t="s">
        <v>130</v>
      </c>
      <c r="T26" s="23" t="s">
        <v>130</v>
      </c>
      <c r="U26" s="23" t="s">
        <v>130</v>
      </c>
      <c r="V26" s="24"/>
    </row>
    <row r="27" customFormat="false" ht="26.85" hidden="false" customHeight="false" outlineLevel="0" collapsed="false">
      <c r="A27" s="23" t="n">
        <v>26</v>
      </c>
      <c r="B27" s="19" t="s">
        <v>5489</v>
      </c>
      <c r="C27" s="20" t="n">
        <v>1</v>
      </c>
      <c r="D27" s="20" t="s">
        <v>4656</v>
      </c>
      <c r="E27" s="24" t="s">
        <v>7227</v>
      </c>
      <c r="F27" s="29" t="s">
        <v>5488</v>
      </c>
      <c r="G27" s="24" t="s">
        <v>7228</v>
      </c>
      <c r="H27" s="23" t="n">
        <f aca="false">COUNTIF(A타입_제작표!$H$2:$H$799,B27)</f>
        <v>7</v>
      </c>
      <c r="I27" s="23" t="n">
        <f aca="false">H27*안내!$C$7+안내!$C$8</f>
        <v>484</v>
      </c>
      <c r="J27" s="23" t="n">
        <f aca="false">ROUND(I27/60,1)</f>
        <v>8.1</v>
      </c>
      <c r="K27" s="23" t="str">
        <f aca="false">D27&amp;" #"&amp;TEXT(_xlfn.MINIFS(A타입_제작표!$E$2:$E$799,A타입_제작표!$H$2:$H$799,B27),"000")</f>
        <v>신약 #055</v>
      </c>
      <c r="L27" s="23" t="str">
        <f aca="false">D27&amp;" #"&amp;TEXT(_xlfn.MAXIFS(A타입_제작표!$E$2:$E$799,A타입_제작표!$H$2:$H$799,B27),"000")</f>
        <v>신약 #061</v>
      </c>
      <c r="M27" s="24" t="s">
        <v>7229</v>
      </c>
      <c r="N27" s="24" t="s">
        <v>7230</v>
      </c>
      <c r="O27" s="24" t="s">
        <v>7231</v>
      </c>
      <c r="P27" s="26" t="n">
        <f aca="false">_xlfn.MAXIFS(A타입_제작표!$U$2:$U$799,A타입_제작표!$H$2:$H$799,B27)+1</f>
        <v>46497</v>
      </c>
      <c r="Q27" s="23" t="str">
        <f aca="false">CHOOSE(WEEKDAY(P27,2),"월","화","수","목","금","토","일")</f>
        <v>화</v>
      </c>
      <c r="R27" s="23" t="s">
        <v>130</v>
      </c>
      <c r="S27" s="23" t="s">
        <v>130</v>
      </c>
      <c r="T27" s="23" t="s">
        <v>130</v>
      </c>
      <c r="U27" s="23" t="s">
        <v>130</v>
      </c>
      <c r="V27" s="24"/>
    </row>
    <row r="28" customFormat="false" ht="39.55" hidden="false" customHeight="false" outlineLevel="0" collapsed="false">
      <c r="A28" s="23" t="n">
        <v>27</v>
      </c>
      <c r="B28" s="19" t="s">
        <v>5589</v>
      </c>
      <c r="C28" s="20" t="n">
        <v>1</v>
      </c>
      <c r="D28" s="20" t="s">
        <v>4656</v>
      </c>
      <c r="E28" s="24" t="s">
        <v>7232</v>
      </c>
      <c r="F28" s="29" t="s">
        <v>7233</v>
      </c>
      <c r="G28" s="24" t="s">
        <v>7234</v>
      </c>
      <c r="H28" s="23" t="n">
        <f aca="false">COUNTIF(A타입_제작표!$H$2:$H$799,B28)</f>
        <v>11</v>
      </c>
      <c r="I28" s="23" t="n">
        <f aca="false">H28*안내!$C$7+안내!$C$8</f>
        <v>692</v>
      </c>
      <c r="J28" s="23" t="n">
        <f aca="false">ROUND(I28/60,1)</f>
        <v>11.5</v>
      </c>
      <c r="K28" s="23" t="str">
        <f aca="false">D28&amp;" #"&amp;TEXT(_xlfn.MINIFS(A타입_제작표!$E$2:$E$799,A타입_제작표!$H$2:$H$799,B28),"000")</f>
        <v>신약 #062</v>
      </c>
      <c r="L28" s="23" t="str">
        <f aca="false">D28&amp;" #"&amp;TEXT(_xlfn.MAXIFS(A타입_제작표!$E$2:$E$799,A타입_제작표!$H$2:$H$799,B28),"000")</f>
        <v>신약 #072</v>
      </c>
      <c r="M28" s="24" t="s">
        <v>7235</v>
      </c>
      <c r="N28" s="29" t="s">
        <v>7236</v>
      </c>
      <c r="O28" s="24" t="s">
        <v>7237</v>
      </c>
      <c r="P28" s="26" t="n">
        <f aca="false">_xlfn.MAXIFS(A타입_제작표!$U$2:$U$799,A타입_제작표!$H$2:$H$799,B28)+1</f>
        <v>46516</v>
      </c>
      <c r="Q28" s="23" t="str">
        <f aca="false">CHOOSE(WEEKDAY(P28,2),"월","화","수","목","금","토","일")</f>
        <v>일</v>
      </c>
      <c r="R28" s="23" t="s">
        <v>130</v>
      </c>
      <c r="S28" s="23" t="s">
        <v>130</v>
      </c>
      <c r="T28" s="23" t="s">
        <v>130</v>
      </c>
      <c r="U28" s="23" t="s">
        <v>130</v>
      </c>
      <c r="V28" s="24"/>
    </row>
    <row r="29" customFormat="false" ht="39.55" hidden="false" customHeight="false" outlineLevel="0" collapsed="false">
      <c r="A29" s="23" t="n">
        <v>28</v>
      </c>
      <c r="B29" s="19" t="s">
        <v>5749</v>
      </c>
      <c r="C29" s="20" t="n">
        <v>1</v>
      </c>
      <c r="D29" s="20" t="s">
        <v>4656</v>
      </c>
      <c r="E29" s="24" t="s">
        <v>7238</v>
      </c>
      <c r="F29" s="29" t="s">
        <v>7239</v>
      </c>
      <c r="G29" s="24" t="s">
        <v>7240</v>
      </c>
      <c r="H29" s="23" t="n">
        <f aca="false">COUNTIF(A타입_제작표!$H$2:$H$799,B29)</f>
        <v>10</v>
      </c>
      <c r="I29" s="23" t="n">
        <f aca="false">H29*안내!$C$7+안내!$C$8</f>
        <v>640</v>
      </c>
      <c r="J29" s="23" t="n">
        <f aca="false">ROUND(I29/60,1)</f>
        <v>10.7</v>
      </c>
      <c r="K29" s="23" t="str">
        <f aca="false">D29&amp;" #"&amp;TEXT(_xlfn.MINIFS(A타입_제작표!$E$2:$E$799,A타입_제작표!$H$2:$H$799,B29),"000")</f>
        <v>신약 #073</v>
      </c>
      <c r="L29" s="23" t="str">
        <f aca="false">D29&amp;" #"&amp;TEXT(_xlfn.MAXIFS(A타입_제작표!$E$2:$E$799,A타입_제작표!$H$2:$H$799,B29),"000")</f>
        <v>신약 #082</v>
      </c>
      <c r="M29" s="24" t="s">
        <v>7241</v>
      </c>
      <c r="N29" s="24" t="s">
        <v>7242</v>
      </c>
      <c r="O29" s="24" t="s">
        <v>7243</v>
      </c>
      <c r="P29" s="26" t="n">
        <f aca="false">_xlfn.MAXIFS(A타입_제작표!$U$2:$U$799,A타입_제작표!$H$2:$H$799,B29)+1</f>
        <v>46534</v>
      </c>
      <c r="Q29" s="23" t="str">
        <f aca="false">CHOOSE(WEEKDAY(P29,2),"월","화","수","목","금","토","일")</f>
        <v>목</v>
      </c>
      <c r="R29" s="23" t="s">
        <v>130</v>
      </c>
      <c r="S29" s="23" t="s">
        <v>130</v>
      </c>
      <c r="T29" s="23" t="s">
        <v>130</v>
      </c>
      <c r="U29" s="23" t="s">
        <v>130</v>
      </c>
      <c r="V29" s="24"/>
    </row>
    <row r="30" customFormat="false" ht="26.85" hidden="false" customHeight="false" outlineLevel="0" collapsed="false">
      <c r="A30" s="23" t="n">
        <v>29</v>
      </c>
      <c r="B30" s="19" t="s">
        <v>5912</v>
      </c>
      <c r="C30" s="20" t="n">
        <v>1</v>
      </c>
      <c r="D30" s="20" t="s">
        <v>4656</v>
      </c>
      <c r="E30" s="24" t="s">
        <v>7244</v>
      </c>
      <c r="F30" s="29" t="s">
        <v>7245</v>
      </c>
      <c r="G30" s="24" t="s">
        <v>7246</v>
      </c>
      <c r="H30" s="23" t="n">
        <f aca="false">COUNTIF(A타입_제작표!$H$2:$H$799,B30)</f>
        <v>8</v>
      </c>
      <c r="I30" s="23" t="n">
        <f aca="false">H30*안내!$C$7+안내!$C$8</f>
        <v>536</v>
      </c>
      <c r="J30" s="23" t="n">
        <f aca="false">ROUND(I30/60,1)</f>
        <v>8.9</v>
      </c>
      <c r="K30" s="23" t="str">
        <f aca="false">D30&amp;" #"&amp;TEXT(_xlfn.MINIFS(A타입_제작표!$E$2:$E$799,A타입_제작표!$H$2:$H$799,B30),"000")</f>
        <v>신약 #083</v>
      </c>
      <c r="L30" s="23" t="str">
        <f aca="false">D30&amp;" #"&amp;TEXT(_xlfn.MAXIFS(A타입_제작표!$E$2:$E$799,A타입_제작표!$H$2:$H$799,B30),"000")</f>
        <v>신약 #090</v>
      </c>
      <c r="M30" s="24" t="s">
        <v>7247</v>
      </c>
      <c r="N30" s="24" t="s">
        <v>7248</v>
      </c>
      <c r="O30" s="24" t="s">
        <v>7249</v>
      </c>
      <c r="P30" s="26" t="n">
        <f aca="false">_xlfn.MAXIFS(A타입_제작표!$U$2:$U$799,A타입_제작표!$H$2:$H$799,B30)+1</f>
        <v>46548</v>
      </c>
      <c r="Q30" s="23" t="str">
        <f aca="false">CHOOSE(WEEKDAY(P30,2),"월","화","수","목","금","토","일")</f>
        <v>목</v>
      </c>
      <c r="R30" s="23" t="s">
        <v>130</v>
      </c>
      <c r="S30" s="23" t="s">
        <v>130</v>
      </c>
      <c r="T30" s="23" t="s">
        <v>130</v>
      </c>
      <c r="U30" s="23" t="s">
        <v>130</v>
      </c>
      <c r="V30" s="24"/>
    </row>
    <row r="31" customFormat="false" ht="77.6" hidden="false" customHeight="false" outlineLevel="0" collapsed="false">
      <c r="A31" s="23" t="n">
        <v>30</v>
      </c>
      <c r="B31" s="19" t="s">
        <v>6107</v>
      </c>
      <c r="C31" s="20" t="n">
        <v>1</v>
      </c>
      <c r="D31" s="20" t="s">
        <v>4656</v>
      </c>
      <c r="E31" s="24" t="s">
        <v>7250</v>
      </c>
      <c r="F31" s="29" t="s">
        <v>7251</v>
      </c>
      <c r="G31" s="24" t="s">
        <v>7252</v>
      </c>
      <c r="H31" s="23" t="n">
        <f aca="false">COUNTIF(A타입_제작표!$H$2:$H$799,B31)</f>
        <v>7</v>
      </c>
      <c r="I31" s="23" t="n">
        <f aca="false">H31*안내!$C$7+안내!$C$8</f>
        <v>484</v>
      </c>
      <c r="J31" s="23" t="n">
        <f aca="false">ROUND(I31/60,1)</f>
        <v>8.1</v>
      </c>
      <c r="K31" s="23" t="str">
        <f aca="false">D31&amp;" #"&amp;TEXT(_xlfn.MINIFS(A타입_제작표!$E$2:$E$799,A타입_제작표!$H$2:$H$799,B31),"000")</f>
        <v>신약 #091</v>
      </c>
      <c r="L31" s="23" t="str">
        <f aca="false">D31&amp;" #"&amp;TEXT(_xlfn.MAXIFS(A타입_제작표!$E$2:$E$799,A타입_제작표!$H$2:$H$799,B31),"000")</f>
        <v>신약 #097</v>
      </c>
      <c r="M31" s="24" t="s">
        <v>7253</v>
      </c>
      <c r="N31" s="24" t="s">
        <v>7254</v>
      </c>
      <c r="O31" s="24" t="s">
        <v>7255</v>
      </c>
      <c r="P31" s="26" t="n">
        <f aca="false">_xlfn.MAXIFS(A타입_제작표!$U$2:$U$799,A타입_제작표!$H$2:$H$799,B31)+1</f>
        <v>46560</v>
      </c>
      <c r="Q31" s="23" t="str">
        <f aca="false">CHOOSE(WEEKDAY(P31,2),"월","화","수","목","금","토","일")</f>
        <v>화</v>
      </c>
      <c r="R31" s="23" t="s">
        <v>130</v>
      </c>
      <c r="S31" s="23" t="s">
        <v>130</v>
      </c>
      <c r="T31" s="23" t="s">
        <v>130</v>
      </c>
      <c r="U31" s="23" t="s">
        <v>130</v>
      </c>
      <c r="V31" s="24"/>
    </row>
    <row r="32" customFormat="false" ht="77.6" hidden="false" customHeight="false" outlineLevel="0" collapsed="false">
      <c r="A32" s="23" t="n">
        <v>31</v>
      </c>
      <c r="B32" s="19" t="s">
        <v>6675</v>
      </c>
      <c r="C32" s="20" t="n">
        <v>1</v>
      </c>
      <c r="D32" s="20" t="s">
        <v>4656</v>
      </c>
      <c r="E32" s="24" t="s">
        <v>7256</v>
      </c>
      <c r="F32" s="29" t="s">
        <v>7257</v>
      </c>
      <c r="G32" s="24" t="s">
        <v>7258</v>
      </c>
      <c r="H32" s="23" t="n">
        <f aca="false">COUNTIF(A타입_제작표!$H$2:$H$799,B32)</f>
        <v>7</v>
      </c>
      <c r="I32" s="23" t="n">
        <f aca="false">H32*안내!$C$7+안내!$C$8</f>
        <v>484</v>
      </c>
      <c r="J32" s="23" t="n">
        <f aca="false">ROUND(I32/60,1)</f>
        <v>8.1</v>
      </c>
      <c r="K32" s="23" t="str">
        <f aca="false">D32&amp;" #"&amp;TEXT(_xlfn.MINIFS(A타입_제작표!$E$2:$E$799,A타입_제작표!$H$2:$H$799,B32),"000")</f>
        <v>신약 #098</v>
      </c>
      <c r="L32" s="23" t="str">
        <f aca="false">D32&amp;" #"&amp;TEXT(_xlfn.MAXIFS(A타입_제작표!$E$2:$E$799,A타입_제작표!$H$2:$H$799,B32),"000")</f>
        <v>신약 #104</v>
      </c>
      <c r="M32" s="24" t="s">
        <v>7259</v>
      </c>
      <c r="N32" s="24" t="s">
        <v>7260</v>
      </c>
      <c r="O32" s="24" t="s">
        <v>7261</v>
      </c>
      <c r="P32" s="26" t="n">
        <f aca="false">_xlfn.MAXIFS(A타입_제작표!$U$2:$U$799,A타입_제작표!$H$2:$H$799,B32)+1</f>
        <v>46572</v>
      </c>
      <c r="Q32" s="23" t="str">
        <f aca="false">CHOOSE(WEEKDAY(P32,2),"월","화","수","목","금","토","일")</f>
        <v>일</v>
      </c>
      <c r="R32" s="23" t="s">
        <v>130</v>
      </c>
      <c r="S32" s="23" t="s">
        <v>130</v>
      </c>
      <c r="T32" s="23" t="s">
        <v>130</v>
      </c>
      <c r="U32" s="23" t="s">
        <v>130</v>
      </c>
      <c r="V32" s="24"/>
    </row>
    <row r="33" customFormat="false" ht="50.7" hidden="false" customHeight="false" outlineLevel="0" collapsed="false">
      <c r="A33" s="23" t="n">
        <v>32</v>
      </c>
      <c r="B33" s="30" t="s">
        <v>218</v>
      </c>
      <c r="C33" s="23" t="n">
        <v>2</v>
      </c>
      <c r="D33" s="23" t="s">
        <v>116</v>
      </c>
      <c r="E33" s="24" t="s">
        <v>7262</v>
      </c>
      <c r="F33" s="29" t="s">
        <v>7263</v>
      </c>
      <c r="G33" s="24" t="s">
        <v>7264</v>
      </c>
      <c r="H33" s="23" t="n">
        <f aca="false">COUNTIF(A타입_제작표!$H$2:$H$799,B33)</f>
        <v>10</v>
      </c>
      <c r="I33" s="23" t="n">
        <f aca="false">H33*안내!$C$7+안내!$C$8</f>
        <v>640</v>
      </c>
      <c r="J33" s="23" t="n">
        <f aca="false">ROUND(I33/60,1)</f>
        <v>10.7</v>
      </c>
      <c r="K33" s="23" t="str">
        <f aca="false">D33&amp;" #"&amp;TEXT(_xlfn.MINIFS(A타입_제작표!$E$2:$E$799,A타입_제작표!$H$2:$H$799,B33),"000")</f>
        <v>구약 #183</v>
      </c>
      <c r="L33" s="23" t="str">
        <f aca="false">D33&amp;" #"&amp;TEXT(_xlfn.MAXIFS(A타입_제작표!$E$2:$E$799,A타입_제작표!$H$2:$H$799,B33),"000")</f>
        <v>구약 #192</v>
      </c>
      <c r="M33" s="24" t="s">
        <v>7086</v>
      </c>
      <c r="N33" s="24" t="s">
        <v>7265</v>
      </c>
      <c r="O33" s="24" t="s">
        <v>7266</v>
      </c>
      <c r="P33" s="26" t="n">
        <f aca="false">_xlfn.MAXIFS(A타입_제작표!$U$2:$U$799,A타입_제작표!$H$2:$H$799,B33)+1</f>
        <v>46590</v>
      </c>
      <c r="Q33" s="23" t="str">
        <f aca="false">CHOOSE(WEEKDAY(P33,2),"월","화","수","목","금","토","일")</f>
        <v>목</v>
      </c>
      <c r="R33" s="23" t="s">
        <v>130</v>
      </c>
      <c r="S33" s="23" t="s">
        <v>130</v>
      </c>
      <c r="T33" s="23" t="s">
        <v>130</v>
      </c>
      <c r="U33" s="23" t="s">
        <v>130</v>
      </c>
      <c r="V33" s="24"/>
    </row>
    <row r="34" customFormat="false" ht="39.55" hidden="false" customHeight="false" outlineLevel="0" collapsed="false">
      <c r="A34" s="23" t="n">
        <v>33</v>
      </c>
      <c r="B34" s="30" t="s">
        <v>402</v>
      </c>
      <c r="C34" s="23" t="n">
        <v>2</v>
      </c>
      <c r="D34" s="23" t="s">
        <v>116</v>
      </c>
      <c r="E34" s="24" t="s">
        <v>7267</v>
      </c>
      <c r="F34" s="29" t="s">
        <v>7268</v>
      </c>
      <c r="G34" s="24" t="s">
        <v>7269</v>
      </c>
      <c r="H34" s="23" t="n">
        <f aca="false">COUNTIF(A타입_제작표!$H$2:$H$799,B34)</f>
        <v>9</v>
      </c>
      <c r="I34" s="23" t="n">
        <f aca="false">H34*안내!$C$7+안내!$C$8</f>
        <v>588</v>
      </c>
      <c r="J34" s="23" t="n">
        <f aca="false">ROUND(I34/60,1)</f>
        <v>9.8</v>
      </c>
      <c r="K34" s="23" t="str">
        <f aca="false">D34&amp;" #"&amp;TEXT(_xlfn.MINIFS(A타입_제작표!$E$2:$E$799,A타입_제작표!$H$2:$H$799,B34),"000")</f>
        <v>구약 #193</v>
      </c>
      <c r="L34" s="23" t="str">
        <f aca="false">D34&amp;" #"&amp;TEXT(_xlfn.MAXIFS(A타입_제작표!$E$2:$E$799,A타입_제작표!$H$2:$H$799,B34),"000")</f>
        <v>구약 #201</v>
      </c>
      <c r="M34" s="24" t="s">
        <v>7270</v>
      </c>
      <c r="N34" s="24" t="s">
        <v>7271</v>
      </c>
      <c r="O34" s="24" t="s">
        <v>7272</v>
      </c>
      <c r="P34" s="26" t="n">
        <f aca="false">_xlfn.MAXIFS(A타입_제작표!$U$2:$U$799,A타입_제작표!$H$2:$H$799,B34)+1</f>
        <v>46599</v>
      </c>
      <c r="Q34" s="23" t="str">
        <f aca="false">CHOOSE(WEEKDAY(P34,2),"월","화","수","목","금","토","일")</f>
        <v>토</v>
      </c>
      <c r="R34" s="23" t="s">
        <v>130</v>
      </c>
      <c r="S34" s="23" t="s">
        <v>130</v>
      </c>
      <c r="T34" s="23" t="s">
        <v>130</v>
      </c>
      <c r="U34" s="23" t="s">
        <v>130</v>
      </c>
      <c r="V34" s="24"/>
    </row>
    <row r="35" customFormat="false" ht="26.85" hidden="false" customHeight="false" outlineLevel="0" collapsed="false">
      <c r="A35" s="23" t="n">
        <v>34</v>
      </c>
      <c r="B35" s="30" t="s">
        <v>535</v>
      </c>
      <c r="C35" s="23" t="n">
        <v>2</v>
      </c>
      <c r="D35" s="23" t="s">
        <v>116</v>
      </c>
      <c r="E35" s="24" t="s">
        <v>7273</v>
      </c>
      <c r="F35" s="29" t="s">
        <v>7274</v>
      </c>
      <c r="G35" s="24" t="s">
        <v>7275</v>
      </c>
      <c r="H35" s="23" t="n">
        <f aca="false">COUNTIF(A타입_제작표!$H$2:$H$799,B35)</f>
        <v>10</v>
      </c>
      <c r="I35" s="23" t="n">
        <f aca="false">H35*안내!$C$7+안내!$C$8</f>
        <v>640</v>
      </c>
      <c r="J35" s="23" t="n">
        <f aca="false">ROUND(I35/60,1)</f>
        <v>10.7</v>
      </c>
      <c r="K35" s="23" t="str">
        <f aca="false">D35&amp;" #"&amp;TEXT(_xlfn.MINIFS(A타입_제작표!$E$2:$E$799,A타입_제작표!$H$2:$H$799,B35),"000")</f>
        <v>구약 #202</v>
      </c>
      <c r="L35" s="23" t="str">
        <f aca="false">D35&amp;" #"&amp;TEXT(_xlfn.MAXIFS(A타입_제작표!$E$2:$E$799,A타입_제작표!$H$2:$H$799,B35),"000")</f>
        <v>구약 #211</v>
      </c>
      <c r="M35" s="24" t="s">
        <v>7098</v>
      </c>
      <c r="N35" s="24" t="s">
        <v>7276</v>
      </c>
      <c r="O35" s="24" t="s">
        <v>7100</v>
      </c>
      <c r="P35" s="26" t="n">
        <f aca="false">_xlfn.MAXIFS(A타입_제작표!$U$2:$U$799,A타입_제작표!$H$2:$H$799,B35)+1</f>
        <v>46609</v>
      </c>
      <c r="Q35" s="23" t="str">
        <f aca="false">CHOOSE(WEEKDAY(P35,2),"월","화","수","목","금","토","일")</f>
        <v>화</v>
      </c>
      <c r="R35" s="23" t="s">
        <v>130</v>
      </c>
      <c r="S35" s="23" t="s">
        <v>130</v>
      </c>
      <c r="T35" s="23" t="s">
        <v>130</v>
      </c>
      <c r="U35" s="23" t="s">
        <v>130</v>
      </c>
      <c r="V35" s="24"/>
    </row>
    <row r="36" customFormat="false" ht="52.2" hidden="false" customHeight="false" outlineLevel="0" collapsed="false">
      <c r="A36" s="23" t="n">
        <v>35</v>
      </c>
      <c r="B36" s="30" t="s">
        <v>676</v>
      </c>
      <c r="C36" s="23" t="n">
        <v>2</v>
      </c>
      <c r="D36" s="23" t="s">
        <v>116</v>
      </c>
      <c r="E36" s="24" t="s">
        <v>7277</v>
      </c>
      <c r="F36" s="29" t="s">
        <v>7278</v>
      </c>
      <c r="G36" s="24" t="s">
        <v>7279</v>
      </c>
      <c r="H36" s="23" t="n">
        <f aca="false">COUNTIF(A타입_제작표!$H$2:$H$799,B36)</f>
        <v>7</v>
      </c>
      <c r="I36" s="23" t="n">
        <f aca="false">H36*안내!$C$7+안내!$C$8</f>
        <v>484</v>
      </c>
      <c r="J36" s="23" t="n">
        <f aca="false">ROUND(I36/60,1)</f>
        <v>8.1</v>
      </c>
      <c r="K36" s="23" t="str">
        <f aca="false">D36&amp;" #"&amp;TEXT(_xlfn.MINIFS(A타입_제작표!$E$2:$E$799,A타입_제작표!$H$2:$H$799,B36),"000")</f>
        <v>구약 #212</v>
      </c>
      <c r="L36" s="23" t="str">
        <f aca="false">D36&amp;" #"&amp;TEXT(_xlfn.MAXIFS(A타입_제작표!$E$2:$E$799,A타입_제작표!$H$2:$H$799,B36),"000")</f>
        <v>구약 #218</v>
      </c>
      <c r="M36" s="24" t="s">
        <v>7280</v>
      </c>
      <c r="N36" s="24" t="s">
        <v>7281</v>
      </c>
      <c r="O36" s="24" t="s">
        <v>7282</v>
      </c>
      <c r="P36" s="26" t="n">
        <f aca="false">_xlfn.MAXIFS(A타입_제작표!$U$2:$U$799,A타입_제작표!$H$2:$H$799,B36)+1</f>
        <v>46616</v>
      </c>
      <c r="Q36" s="23" t="str">
        <f aca="false">CHOOSE(WEEKDAY(P36,2),"월","화","수","목","금","토","일")</f>
        <v>화</v>
      </c>
      <c r="R36" s="23" t="s">
        <v>130</v>
      </c>
      <c r="S36" s="23" t="s">
        <v>130</v>
      </c>
      <c r="T36" s="23" t="s">
        <v>130</v>
      </c>
      <c r="U36" s="23" t="s">
        <v>130</v>
      </c>
      <c r="V36" s="24"/>
    </row>
    <row r="37" customFormat="false" ht="52.2" hidden="false" customHeight="false" outlineLevel="0" collapsed="false">
      <c r="A37" s="23" t="n">
        <v>36</v>
      </c>
      <c r="B37" s="30" t="s">
        <v>863</v>
      </c>
      <c r="C37" s="23" t="n">
        <v>2</v>
      </c>
      <c r="D37" s="23" t="s">
        <v>116</v>
      </c>
      <c r="E37" s="24" t="s">
        <v>7283</v>
      </c>
      <c r="F37" s="29" t="s">
        <v>7284</v>
      </c>
      <c r="G37" s="24" t="s">
        <v>7285</v>
      </c>
      <c r="H37" s="23" t="n">
        <f aca="false">COUNTIF(A타입_제작표!$H$2:$H$799,B37)</f>
        <v>8</v>
      </c>
      <c r="I37" s="23" t="n">
        <f aca="false">H37*안내!$C$7+안내!$C$8</f>
        <v>536</v>
      </c>
      <c r="J37" s="23" t="n">
        <f aca="false">ROUND(I37/60,1)</f>
        <v>8.9</v>
      </c>
      <c r="K37" s="23" t="str">
        <f aca="false">D37&amp;" #"&amp;TEXT(_xlfn.MINIFS(A타입_제작표!$E$2:$E$799,A타입_제작표!$H$2:$H$799,B37),"000")</f>
        <v>구약 #219</v>
      </c>
      <c r="L37" s="23" t="str">
        <f aca="false">D37&amp;" #"&amp;TEXT(_xlfn.MAXIFS(A타입_제작표!$E$2:$E$799,A타입_제작표!$H$2:$H$799,B37),"000")</f>
        <v>구약 #226</v>
      </c>
      <c r="M37" s="24" t="s">
        <v>7286</v>
      </c>
      <c r="N37" s="24" t="s">
        <v>7287</v>
      </c>
      <c r="O37" s="24" t="s">
        <v>7288</v>
      </c>
      <c r="P37" s="26" t="n">
        <f aca="false">_xlfn.MAXIFS(A타입_제작표!$U$2:$U$799,A타입_제작표!$H$2:$H$799,B37)+1</f>
        <v>46624</v>
      </c>
      <c r="Q37" s="23" t="str">
        <f aca="false">CHOOSE(WEEKDAY(P37,2),"월","화","수","목","금","토","일")</f>
        <v>수</v>
      </c>
      <c r="R37" s="23" t="s">
        <v>130</v>
      </c>
      <c r="S37" s="23" t="s">
        <v>130</v>
      </c>
      <c r="T37" s="23" t="s">
        <v>130</v>
      </c>
      <c r="U37" s="23" t="s">
        <v>130</v>
      </c>
      <c r="V37" s="24"/>
    </row>
    <row r="38" customFormat="false" ht="76.1" hidden="false" customHeight="false" outlineLevel="0" collapsed="false">
      <c r="A38" s="23" t="n">
        <v>37</v>
      </c>
      <c r="B38" s="30" t="s">
        <v>1012</v>
      </c>
      <c r="C38" s="23" t="n">
        <v>2</v>
      </c>
      <c r="D38" s="23" t="s">
        <v>116</v>
      </c>
      <c r="E38" s="24" t="s">
        <v>7289</v>
      </c>
      <c r="F38" s="29" t="s">
        <v>7290</v>
      </c>
      <c r="G38" s="24" t="s">
        <v>7291</v>
      </c>
      <c r="H38" s="23" t="n">
        <f aca="false">COUNTIF(A타입_제작표!$H$2:$H$799,B38)</f>
        <v>11</v>
      </c>
      <c r="I38" s="23" t="n">
        <f aca="false">H38*안내!$C$7+안내!$C$8</f>
        <v>692</v>
      </c>
      <c r="J38" s="23" t="n">
        <f aca="false">ROUND(I38/60,1)</f>
        <v>11.5</v>
      </c>
      <c r="K38" s="23" t="str">
        <f aca="false">D38&amp;" #"&amp;TEXT(_xlfn.MINIFS(A타입_제작표!$E$2:$E$799,A타입_제작표!$H$2:$H$799,B38),"000")</f>
        <v>구약 #227</v>
      </c>
      <c r="L38" s="23" t="str">
        <f aca="false">D38&amp;" #"&amp;TEXT(_xlfn.MAXIFS(A타입_제작표!$E$2:$E$799,A타입_제작표!$H$2:$H$799,B38),"000")</f>
        <v>구약 #237</v>
      </c>
      <c r="M38" s="24" t="s">
        <v>7292</v>
      </c>
      <c r="N38" s="24" t="s">
        <v>7293</v>
      </c>
      <c r="O38" s="24" t="s">
        <v>7294</v>
      </c>
      <c r="P38" s="26" t="n">
        <f aca="false">_xlfn.MAXIFS(A타입_제작표!$U$2:$U$799,A타입_제작표!$H$2:$H$799,B38)+1</f>
        <v>46635</v>
      </c>
      <c r="Q38" s="23" t="str">
        <f aca="false">CHOOSE(WEEKDAY(P38,2),"월","화","수","목","금","토","일")</f>
        <v>일</v>
      </c>
      <c r="R38" s="23" t="s">
        <v>130</v>
      </c>
      <c r="S38" s="23" t="s">
        <v>130</v>
      </c>
      <c r="T38" s="23" t="s">
        <v>130</v>
      </c>
      <c r="U38" s="23" t="s">
        <v>130</v>
      </c>
      <c r="V38" s="24"/>
    </row>
    <row r="39" customFormat="false" ht="26.85" hidden="false" customHeight="false" outlineLevel="0" collapsed="false">
      <c r="A39" s="23" t="n">
        <v>38</v>
      </c>
      <c r="B39" s="30" t="s">
        <v>1193</v>
      </c>
      <c r="C39" s="23" t="n">
        <v>2</v>
      </c>
      <c r="D39" s="23" t="s">
        <v>116</v>
      </c>
      <c r="E39" s="24" t="s">
        <v>7295</v>
      </c>
      <c r="F39" s="29" t="s">
        <v>1192</v>
      </c>
      <c r="G39" s="24" t="s">
        <v>7296</v>
      </c>
      <c r="H39" s="23" t="n">
        <f aca="false">COUNTIF(A타입_제작표!$H$2:$H$799,B39)</f>
        <v>11</v>
      </c>
      <c r="I39" s="23" t="n">
        <f aca="false">H39*안내!$C$7+안내!$C$8</f>
        <v>692</v>
      </c>
      <c r="J39" s="23" t="n">
        <f aca="false">ROUND(I39/60,1)</f>
        <v>11.5</v>
      </c>
      <c r="K39" s="23" t="str">
        <f aca="false">D39&amp;" #"&amp;TEXT(_xlfn.MINIFS(A타입_제작표!$E$2:$E$799,A타입_제작표!$H$2:$H$799,B39),"000")</f>
        <v>구약 #238</v>
      </c>
      <c r="L39" s="23" t="str">
        <f aca="false">D39&amp;" #"&amp;TEXT(_xlfn.MAXIFS(A타입_제작표!$E$2:$E$799,A타입_제작표!$H$2:$H$799,B39),"000")</f>
        <v>구약 #248</v>
      </c>
      <c r="M39" s="24" t="s">
        <v>7297</v>
      </c>
      <c r="N39" s="24" t="s">
        <v>7298</v>
      </c>
      <c r="O39" s="24" t="s">
        <v>7299</v>
      </c>
      <c r="P39" s="26" t="n">
        <f aca="false">_xlfn.MAXIFS(A타입_제작표!$U$2:$U$799,A타입_제작표!$H$2:$H$799,B39)+1</f>
        <v>46646</v>
      </c>
      <c r="Q39" s="23" t="str">
        <f aca="false">CHOOSE(WEEKDAY(P39,2),"월","화","수","목","금","토","일")</f>
        <v>목</v>
      </c>
      <c r="R39" s="23" t="s">
        <v>130</v>
      </c>
      <c r="S39" s="23" t="s">
        <v>130</v>
      </c>
      <c r="T39" s="23" t="s">
        <v>130</v>
      </c>
      <c r="U39" s="23" t="s">
        <v>130</v>
      </c>
      <c r="V39" s="24"/>
    </row>
    <row r="40" customFormat="false" ht="52.2" hidden="false" customHeight="false" outlineLevel="0" collapsed="false">
      <c r="A40" s="23" t="n">
        <v>39</v>
      </c>
      <c r="B40" s="30" t="s">
        <v>1294</v>
      </c>
      <c r="C40" s="23" t="n">
        <v>2</v>
      </c>
      <c r="D40" s="23" t="s">
        <v>116</v>
      </c>
      <c r="E40" s="24" t="s">
        <v>7300</v>
      </c>
      <c r="F40" s="29" t="s">
        <v>7301</v>
      </c>
      <c r="G40" s="24" t="s">
        <v>7302</v>
      </c>
      <c r="H40" s="23" t="n">
        <f aca="false">COUNTIF(A타입_제작표!$H$2:$H$799,B40)</f>
        <v>9</v>
      </c>
      <c r="I40" s="23" t="n">
        <f aca="false">H40*안내!$C$7+안내!$C$8</f>
        <v>588</v>
      </c>
      <c r="J40" s="23" t="n">
        <f aca="false">ROUND(I40/60,1)</f>
        <v>9.8</v>
      </c>
      <c r="K40" s="23" t="str">
        <f aca="false">D40&amp;" #"&amp;TEXT(_xlfn.MINIFS(A타입_제작표!$E$2:$E$799,A타입_제작표!$H$2:$H$799,B40),"000")</f>
        <v>구약 #249</v>
      </c>
      <c r="L40" s="23" t="str">
        <f aca="false">D40&amp;" #"&amp;TEXT(_xlfn.MAXIFS(A타입_제작표!$E$2:$E$799,A타입_제작표!$H$2:$H$799,B40),"000")</f>
        <v>구약 #257</v>
      </c>
      <c r="M40" s="24" t="s">
        <v>7122</v>
      </c>
      <c r="N40" s="24" t="s">
        <v>7303</v>
      </c>
      <c r="O40" s="24" t="s">
        <v>7124</v>
      </c>
      <c r="P40" s="26" t="n">
        <f aca="false">_xlfn.MAXIFS(A타입_제작표!$U$2:$U$799,A타입_제작표!$H$2:$H$799,B40)+1</f>
        <v>46655</v>
      </c>
      <c r="Q40" s="23" t="str">
        <f aca="false">CHOOSE(WEEKDAY(P40,2),"월","화","수","목","금","토","일")</f>
        <v>토</v>
      </c>
      <c r="R40" s="23" t="s">
        <v>130</v>
      </c>
      <c r="S40" s="23" t="s">
        <v>130</v>
      </c>
      <c r="T40" s="23" t="s">
        <v>130</v>
      </c>
      <c r="U40" s="23" t="s">
        <v>130</v>
      </c>
      <c r="V40" s="24"/>
    </row>
    <row r="41" customFormat="false" ht="26.85" hidden="false" customHeight="false" outlineLevel="0" collapsed="false">
      <c r="A41" s="23" t="n">
        <v>40</v>
      </c>
      <c r="B41" s="30" t="s">
        <v>1387</v>
      </c>
      <c r="C41" s="23" t="n">
        <v>2</v>
      </c>
      <c r="D41" s="23" t="s">
        <v>116</v>
      </c>
      <c r="E41" s="24" t="s">
        <v>7304</v>
      </c>
      <c r="F41" s="29" t="s">
        <v>1362</v>
      </c>
      <c r="G41" s="24" t="s">
        <v>7305</v>
      </c>
      <c r="H41" s="23" t="n">
        <f aca="false">COUNTIF(A타입_제작표!$H$2:$H$799,B41)</f>
        <v>9</v>
      </c>
      <c r="I41" s="23" t="n">
        <f aca="false">H41*안내!$C$7+안내!$C$8</f>
        <v>588</v>
      </c>
      <c r="J41" s="23" t="n">
        <f aca="false">ROUND(I41/60,1)</f>
        <v>9.8</v>
      </c>
      <c r="K41" s="23" t="str">
        <f aca="false">D41&amp;" #"&amp;TEXT(_xlfn.MINIFS(A타입_제작표!$E$2:$E$799,A타입_제작표!$H$2:$H$799,B41),"000")</f>
        <v>구약 #258</v>
      </c>
      <c r="L41" s="23" t="str">
        <f aca="false">D41&amp;" #"&amp;TEXT(_xlfn.MAXIFS(A타입_제작표!$E$2:$E$799,A타입_제작표!$H$2:$H$799,B41),"000")</f>
        <v>구약 #266</v>
      </c>
      <c r="M41" s="24" t="s">
        <v>7306</v>
      </c>
      <c r="N41" s="24" t="s">
        <v>7307</v>
      </c>
      <c r="O41" s="24" t="s">
        <v>7308</v>
      </c>
      <c r="P41" s="26" t="n">
        <f aca="false">_xlfn.MAXIFS(A타입_제작표!$U$2:$U$799,A타입_제작표!$H$2:$H$799,B41)+1</f>
        <v>46664</v>
      </c>
      <c r="Q41" s="23" t="str">
        <f aca="false">CHOOSE(WEEKDAY(P41,2),"월","화","수","목","금","토","일")</f>
        <v>월</v>
      </c>
      <c r="R41" s="23" t="s">
        <v>130</v>
      </c>
      <c r="S41" s="23" t="s">
        <v>130</v>
      </c>
      <c r="T41" s="23" t="s">
        <v>130</v>
      </c>
      <c r="U41" s="23" t="s">
        <v>130</v>
      </c>
      <c r="V41" s="24"/>
    </row>
    <row r="42" customFormat="false" ht="26.85" hidden="false" customHeight="false" outlineLevel="0" collapsed="false">
      <c r="A42" s="23" t="n">
        <v>41</v>
      </c>
      <c r="B42" s="30" t="s">
        <v>1483</v>
      </c>
      <c r="C42" s="23" t="n">
        <v>2</v>
      </c>
      <c r="D42" s="23" t="s">
        <v>116</v>
      </c>
      <c r="E42" s="24" t="s">
        <v>7309</v>
      </c>
      <c r="F42" s="29" t="s">
        <v>1482</v>
      </c>
      <c r="G42" s="24" t="s">
        <v>7310</v>
      </c>
      <c r="H42" s="23" t="n">
        <f aca="false">COUNTIF(A타입_제작표!$H$2:$H$799,B42)</f>
        <v>12</v>
      </c>
      <c r="I42" s="23" t="n">
        <f aca="false">H42*안내!$C$7+안내!$C$8</f>
        <v>744</v>
      </c>
      <c r="J42" s="23" t="n">
        <f aca="false">ROUND(I42/60,1)</f>
        <v>12.4</v>
      </c>
      <c r="K42" s="23" t="str">
        <f aca="false">D42&amp;" #"&amp;TEXT(_xlfn.MINIFS(A타입_제작표!$E$2:$E$799,A타입_제작표!$H$2:$H$799,B42),"000")</f>
        <v>구약 #267</v>
      </c>
      <c r="L42" s="23" t="str">
        <f aca="false">D42&amp;" #"&amp;TEXT(_xlfn.MAXIFS(A타입_제작표!$E$2:$E$799,A타입_제작표!$H$2:$H$799,B42),"000")</f>
        <v>구약 #278</v>
      </c>
      <c r="M42" s="24" t="s">
        <v>7311</v>
      </c>
      <c r="N42" s="24" t="s">
        <v>7312</v>
      </c>
      <c r="O42" s="24" t="s">
        <v>7313</v>
      </c>
      <c r="P42" s="26" t="n">
        <f aca="false">_xlfn.MAXIFS(A타입_제작표!$U$2:$U$799,A타입_제작표!$H$2:$H$799,B42)+1</f>
        <v>46676</v>
      </c>
      <c r="Q42" s="23" t="str">
        <f aca="false">CHOOSE(WEEKDAY(P42,2),"월","화","수","목","금","토","일")</f>
        <v>토</v>
      </c>
      <c r="R42" s="23" t="s">
        <v>130</v>
      </c>
      <c r="S42" s="23" t="s">
        <v>130</v>
      </c>
      <c r="T42" s="23" t="s">
        <v>130</v>
      </c>
      <c r="U42" s="23" t="s">
        <v>130</v>
      </c>
      <c r="V42" s="24"/>
    </row>
    <row r="43" customFormat="false" ht="52.2" hidden="false" customHeight="false" outlineLevel="0" collapsed="false">
      <c r="A43" s="23" t="n">
        <v>42</v>
      </c>
      <c r="B43" s="30" t="s">
        <v>1616</v>
      </c>
      <c r="C43" s="23" t="n">
        <v>2</v>
      </c>
      <c r="D43" s="23" t="s">
        <v>116</v>
      </c>
      <c r="E43" s="24" t="s">
        <v>7314</v>
      </c>
      <c r="F43" s="29" t="s">
        <v>7315</v>
      </c>
      <c r="G43" s="24" t="s">
        <v>7316</v>
      </c>
      <c r="H43" s="23" t="n">
        <f aca="false">COUNTIF(A타입_제작표!$H$2:$H$799,B43)</f>
        <v>9</v>
      </c>
      <c r="I43" s="23" t="n">
        <f aca="false">H43*안내!$C$7+안내!$C$8</f>
        <v>588</v>
      </c>
      <c r="J43" s="23" t="n">
        <f aca="false">ROUND(I43/60,1)</f>
        <v>9.8</v>
      </c>
      <c r="K43" s="23" t="str">
        <f aca="false">D43&amp;" #"&amp;TEXT(_xlfn.MINIFS(A타입_제작표!$E$2:$E$799,A타입_제작표!$H$2:$H$799,B43),"000")</f>
        <v>구약 #279</v>
      </c>
      <c r="L43" s="23" t="str">
        <f aca="false">D43&amp;" #"&amp;TEXT(_xlfn.MAXIFS(A타입_제작표!$E$2:$E$799,A타입_제작표!$H$2:$H$799,B43),"000")</f>
        <v>구약 #287</v>
      </c>
      <c r="M43" s="24" t="s">
        <v>7317</v>
      </c>
      <c r="N43" s="24" t="s">
        <v>7318</v>
      </c>
      <c r="O43" s="24" t="s">
        <v>7319</v>
      </c>
      <c r="P43" s="26" t="n">
        <f aca="false">_xlfn.MAXIFS(A타입_제작표!$U$2:$U$799,A타입_제작표!$H$2:$H$799,B43)+1</f>
        <v>46685</v>
      </c>
      <c r="Q43" s="23" t="str">
        <f aca="false">CHOOSE(WEEKDAY(P43,2),"월","화","수","목","금","토","일")</f>
        <v>월</v>
      </c>
      <c r="R43" s="23" t="s">
        <v>130</v>
      </c>
      <c r="S43" s="23" t="s">
        <v>130</v>
      </c>
      <c r="T43" s="23" t="s">
        <v>130</v>
      </c>
      <c r="U43" s="23" t="s">
        <v>130</v>
      </c>
      <c r="V43" s="24"/>
    </row>
    <row r="44" customFormat="false" ht="39.55" hidden="false" customHeight="false" outlineLevel="0" collapsed="false">
      <c r="A44" s="23" t="n">
        <v>43</v>
      </c>
      <c r="B44" s="30" t="s">
        <v>1731</v>
      </c>
      <c r="C44" s="23" t="n">
        <v>2</v>
      </c>
      <c r="D44" s="23" t="s">
        <v>116</v>
      </c>
      <c r="E44" s="24" t="s">
        <v>7320</v>
      </c>
      <c r="F44" s="29" t="s">
        <v>7321</v>
      </c>
      <c r="G44" s="24" t="s">
        <v>7322</v>
      </c>
      <c r="H44" s="23" t="n">
        <f aca="false">COUNTIF(A타입_제작표!$H$2:$H$799,B44)</f>
        <v>14</v>
      </c>
      <c r="I44" s="23" t="n">
        <f aca="false">H44*안내!$C$7+안내!$C$8</f>
        <v>848</v>
      </c>
      <c r="J44" s="23" t="n">
        <f aca="false">ROUND(I44/60,1)</f>
        <v>14.1</v>
      </c>
      <c r="K44" s="23" t="str">
        <f aca="false">D44&amp;" #"&amp;TEXT(_xlfn.MINIFS(A타입_제작표!$E$2:$E$799,A타입_제작표!$H$2:$H$799,B44),"000")</f>
        <v>구약 #288</v>
      </c>
      <c r="L44" s="23" t="str">
        <f aca="false">D44&amp;" #"&amp;TEXT(_xlfn.MAXIFS(A타입_제작표!$E$2:$E$799,A타입_제작표!$H$2:$H$799,B44),"000")</f>
        <v>구약 #301</v>
      </c>
      <c r="M44" s="24" t="s">
        <v>7323</v>
      </c>
      <c r="N44" s="24" t="s">
        <v>7324</v>
      </c>
      <c r="O44" s="24" t="s">
        <v>7325</v>
      </c>
      <c r="P44" s="26" t="n">
        <f aca="false">_xlfn.MAXIFS(A타입_제작표!$U$2:$U$799,A타입_제작표!$H$2:$H$799,B44)+1</f>
        <v>46699</v>
      </c>
      <c r="Q44" s="23" t="str">
        <f aca="false">CHOOSE(WEEKDAY(P44,2),"월","화","수","목","금","토","일")</f>
        <v>월</v>
      </c>
      <c r="R44" s="23" t="s">
        <v>130</v>
      </c>
      <c r="S44" s="23" t="s">
        <v>130</v>
      </c>
      <c r="T44" s="23" t="s">
        <v>130</v>
      </c>
      <c r="U44" s="23" t="s">
        <v>130</v>
      </c>
      <c r="V44" s="24"/>
    </row>
    <row r="45" customFormat="false" ht="39.55" hidden="false" customHeight="false" outlineLevel="0" collapsed="false">
      <c r="A45" s="23" t="n">
        <v>44</v>
      </c>
      <c r="B45" s="30" t="s">
        <v>1933</v>
      </c>
      <c r="C45" s="23" t="n">
        <v>2</v>
      </c>
      <c r="D45" s="23" t="s">
        <v>116</v>
      </c>
      <c r="E45" s="24" t="s">
        <v>7131</v>
      </c>
      <c r="F45" s="29" t="s">
        <v>7132</v>
      </c>
      <c r="G45" s="24" t="s">
        <v>7326</v>
      </c>
      <c r="H45" s="23" t="n">
        <f aca="false">COUNTIF(A타입_제작표!$H$2:$H$799,B45)</f>
        <v>7</v>
      </c>
      <c r="I45" s="23" t="n">
        <f aca="false">H45*안내!$C$7+안내!$C$8</f>
        <v>484</v>
      </c>
      <c r="J45" s="23" t="n">
        <f aca="false">ROUND(I45/60,1)</f>
        <v>8.1</v>
      </c>
      <c r="K45" s="23" t="str">
        <f aca="false">D45&amp;" #"&amp;TEXT(_xlfn.MINIFS(A타입_제작표!$E$2:$E$799,A타입_제작표!$H$2:$H$799,B45),"000")</f>
        <v>구약 #302</v>
      </c>
      <c r="L45" s="23" t="str">
        <f aca="false">D45&amp;" #"&amp;TEXT(_xlfn.MAXIFS(A타입_제작표!$E$2:$E$799,A타입_제작표!$H$2:$H$799,B45),"000")</f>
        <v>구약 #308</v>
      </c>
      <c r="M45" s="24" t="s">
        <v>7134</v>
      </c>
      <c r="N45" s="24" t="s">
        <v>7135</v>
      </c>
      <c r="O45" s="24" t="s">
        <v>7136</v>
      </c>
      <c r="P45" s="26" t="n">
        <f aca="false">_xlfn.MAXIFS(A타입_제작표!$U$2:$U$799,A타입_제작표!$H$2:$H$799,B45)+1</f>
        <v>46706</v>
      </c>
      <c r="Q45" s="23" t="str">
        <f aca="false">CHOOSE(WEEKDAY(P45,2),"월","화","수","목","금","토","일")</f>
        <v>월</v>
      </c>
      <c r="R45" s="23" t="s">
        <v>130</v>
      </c>
      <c r="S45" s="23" t="s">
        <v>130</v>
      </c>
      <c r="T45" s="23" t="s">
        <v>130</v>
      </c>
      <c r="U45" s="23" t="s">
        <v>130</v>
      </c>
      <c r="V45" s="24"/>
    </row>
    <row r="46" customFormat="false" ht="52.2" hidden="false" customHeight="false" outlineLevel="0" collapsed="false">
      <c r="A46" s="23" t="n">
        <v>45</v>
      </c>
      <c r="B46" s="30" t="s">
        <v>2073</v>
      </c>
      <c r="C46" s="23" t="n">
        <v>2</v>
      </c>
      <c r="D46" s="23" t="s">
        <v>116</v>
      </c>
      <c r="E46" s="24" t="s">
        <v>7327</v>
      </c>
      <c r="F46" s="29" t="s">
        <v>7328</v>
      </c>
      <c r="G46" s="24" t="s">
        <v>7329</v>
      </c>
      <c r="H46" s="23" t="n">
        <f aca="false">COUNTIF(A타입_제작표!$H$2:$H$799,B46)</f>
        <v>12</v>
      </c>
      <c r="I46" s="23" t="n">
        <f aca="false">H46*안내!$C$7+안내!$C$8</f>
        <v>744</v>
      </c>
      <c r="J46" s="23" t="n">
        <f aca="false">ROUND(I46/60,1)</f>
        <v>12.4</v>
      </c>
      <c r="K46" s="23" t="str">
        <f aca="false">D46&amp;" #"&amp;TEXT(_xlfn.MINIFS(A타입_제작표!$E$2:$E$799,A타입_제작표!$H$2:$H$799,B46),"000")</f>
        <v>구약 #309</v>
      </c>
      <c r="L46" s="23" t="str">
        <f aca="false">D46&amp;" #"&amp;TEXT(_xlfn.MAXIFS(A타입_제작표!$E$2:$E$799,A타입_제작표!$H$2:$H$799,B46),"000")</f>
        <v>구약 #320</v>
      </c>
      <c r="M46" s="24" t="s">
        <v>7140</v>
      </c>
      <c r="N46" s="24" t="s">
        <v>7330</v>
      </c>
      <c r="O46" s="24" t="s">
        <v>7331</v>
      </c>
      <c r="P46" s="26" t="n">
        <f aca="false">_xlfn.MAXIFS(A타입_제작표!$U$2:$U$799,A타입_제작표!$H$2:$H$799,B46)+1</f>
        <v>46718</v>
      </c>
      <c r="Q46" s="23" t="str">
        <f aca="false">CHOOSE(WEEKDAY(P46,2),"월","화","수","목","금","토","일")</f>
        <v>토</v>
      </c>
      <c r="R46" s="23" t="s">
        <v>130</v>
      </c>
      <c r="S46" s="23" t="s">
        <v>130</v>
      </c>
      <c r="T46" s="23" t="s">
        <v>130</v>
      </c>
      <c r="U46" s="23" t="s">
        <v>130</v>
      </c>
      <c r="V46" s="24"/>
    </row>
    <row r="47" customFormat="false" ht="38.05" hidden="false" customHeight="false" outlineLevel="0" collapsed="false">
      <c r="A47" s="23" t="n">
        <v>46</v>
      </c>
      <c r="B47" s="30" t="s">
        <v>2223</v>
      </c>
      <c r="C47" s="23" t="n">
        <v>2</v>
      </c>
      <c r="D47" s="23" t="s">
        <v>116</v>
      </c>
      <c r="E47" s="24" t="s">
        <v>7332</v>
      </c>
      <c r="F47" s="29" t="s">
        <v>7333</v>
      </c>
      <c r="G47" s="24" t="s">
        <v>7334</v>
      </c>
      <c r="H47" s="23" t="n">
        <f aca="false">COUNTIF(A타입_제작표!$H$2:$H$799,B47)</f>
        <v>12</v>
      </c>
      <c r="I47" s="23" t="n">
        <f aca="false">H47*안내!$C$7+안내!$C$8</f>
        <v>744</v>
      </c>
      <c r="J47" s="23" t="n">
        <f aca="false">ROUND(I47/60,1)</f>
        <v>12.4</v>
      </c>
      <c r="K47" s="23" t="str">
        <f aca="false">D47&amp;" #"&amp;TEXT(_xlfn.MINIFS(A타입_제작표!$E$2:$E$799,A타입_제작표!$H$2:$H$799,B47),"000")</f>
        <v>구약 #321</v>
      </c>
      <c r="L47" s="23" t="str">
        <f aca="false">D47&amp;" #"&amp;TEXT(_xlfn.MAXIFS(A타입_제작표!$E$2:$E$799,A타입_제작표!$H$2:$H$799,B47),"000")</f>
        <v>구약 #332</v>
      </c>
      <c r="M47" s="24" t="s">
        <v>7335</v>
      </c>
      <c r="N47" s="24" t="s">
        <v>7336</v>
      </c>
      <c r="O47" s="24" t="s">
        <v>7337</v>
      </c>
      <c r="P47" s="26" t="n">
        <f aca="false">_xlfn.MAXIFS(A타입_제작표!$U$2:$U$799,A타입_제작표!$H$2:$H$799,B47)+1</f>
        <v>46730</v>
      </c>
      <c r="Q47" s="23" t="str">
        <f aca="false">CHOOSE(WEEKDAY(P47,2),"월","화","수","목","금","토","일")</f>
        <v>목</v>
      </c>
      <c r="R47" s="23" t="s">
        <v>130</v>
      </c>
      <c r="S47" s="23" t="s">
        <v>130</v>
      </c>
      <c r="T47" s="23" t="s">
        <v>130</v>
      </c>
      <c r="U47" s="23" t="s">
        <v>130</v>
      </c>
      <c r="V47" s="24"/>
    </row>
    <row r="48" customFormat="false" ht="52.2" hidden="false" customHeight="false" outlineLevel="0" collapsed="false">
      <c r="A48" s="23" t="n">
        <v>47</v>
      </c>
      <c r="B48" s="30" t="s">
        <v>2396</v>
      </c>
      <c r="C48" s="23" t="n">
        <v>2</v>
      </c>
      <c r="D48" s="23" t="s">
        <v>116</v>
      </c>
      <c r="E48" s="24" t="s">
        <v>7338</v>
      </c>
      <c r="F48" s="29" t="s">
        <v>7339</v>
      </c>
      <c r="G48" s="24" t="s">
        <v>7340</v>
      </c>
      <c r="H48" s="23" t="n">
        <f aca="false">COUNTIF(A타입_제작표!$H$2:$H$799,B48)</f>
        <v>8</v>
      </c>
      <c r="I48" s="23" t="n">
        <f aca="false">H48*안내!$C$7+안내!$C$8</f>
        <v>536</v>
      </c>
      <c r="J48" s="23" t="n">
        <f aca="false">ROUND(I48/60,1)</f>
        <v>8.9</v>
      </c>
      <c r="K48" s="23" t="str">
        <f aca="false">D48&amp;" #"&amp;TEXT(_xlfn.MINIFS(A타입_제작표!$E$2:$E$799,A타입_제작표!$H$2:$H$799,B48),"000")</f>
        <v>구약 #333</v>
      </c>
      <c r="L48" s="23" t="str">
        <f aca="false">D48&amp;" #"&amp;TEXT(_xlfn.MAXIFS(A타입_제작표!$E$2:$E$799,A타입_제작표!$H$2:$H$799,B48),"000")</f>
        <v>구약 #340</v>
      </c>
      <c r="M48" s="24" t="s">
        <v>7341</v>
      </c>
      <c r="N48" s="24" t="s">
        <v>7342</v>
      </c>
      <c r="O48" s="24" t="s">
        <v>7343</v>
      </c>
      <c r="P48" s="26" t="n">
        <f aca="false">_xlfn.MAXIFS(A타입_제작표!$U$2:$U$799,A타입_제작표!$H$2:$H$799,B48)+1</f>
        <v>46738</v>
      </c>
      <c r="Q48" s="23" t="str">
        <f aca="false">CHOOSE(WEEKDAY(P48,2),"월","화","수","목","금","토","일")</f>
        <v>금</v>
      </c>
      <c r="R48" s="23" t="s">
        <v>130</v>
      </c>
      <c r="S48" s="23" t="s">
        <v>130</v>
      </c>
      <c r="T48" s="23" t="s">
        <v>130</v>
      </c>
      <c r="U48" s="23" t="s">
        <v>130</v>
      </c>
      <c r="V48" s="24"/>
    </row>
    <row r="49" customFormat="false" ht="52.2" hidden="false" customHeight="false" outlineLevel="0" collapsed="false">
      <c r="A49" s="23" t="n">
        <v>48</v>
      </c>
      <c r="B49" s="30" t="s">
        <v>2569</v>
      </c>
      <c r="C49" s="23" t="n">
        <v>2</v>
      </c>
      <c r="D49" s="23" t="s">
        <v>116</v>
      </c>
      <c r="E49" s="24" t="s">
        <v>7344</v>
      </c>
      <c r="F49" s="29" t="s">
        <v>7345</v>
      </c>
      <c r="G49" s="24" t="s">
        <v>7346</v>
      </c>
      <c r="H49" s="23" t="n">
        <f aca="false">COUNTIF(A타입_제작표!$H$2:$H$799,B49)</f>
        <v>11</v>
      </c>
      <c r="I49" s="23" t="n">
        <f aca="false">H49*안내!$C$7+안내!$C$8</f>
        <v>692</v>
      </c>
      <c r="J49" s="23" t="n">
        <f aca="false">ROUND(I49/60,1)</f>
        <v>11.5</v>
      </c>
      <c r="K49" s="23" t="str">
        <f aca="false">D49&amp;" #"&amp;TEXT(_xlfn.MINIFS(A타입_제작표!$E$2:$E$799,A타입_제작표!$H$2:$H$799,B49),"000")</f>
        <v>구약 #341</v>
      </c>
      <c r="L49" s="23" t="str">
        <f aca="false">D49&amp;" #"&amp;TEXT(_xlfn.MAXIFS(A타입_제작표!$E$2:$E$799,A타입_제작표!$H$2:$H$799,B49),"000")</f>
        <v>구약 #351</v>
      </c>
      <c r="M49" s="24" t="s">
        <v>7347</v>
      </c>
      <c r="N49" s="24" t="s">
        <v>7348</v>
      </c>
      <c r="O49" s="24" t="s">
        <v>7349</v>
      </c>
      <c r="P49" s="26" t="n">
        <f aca="false">_xlfn.MAXIFS(A타입_제작표!$U$2:$U$799,A타입_제작표!$H$2:$H$799,B49)+1</f>
        <v>46749</v>
      </c>
      <c r="Q49" s="23" t="str">
        <f aca="false">CHOOSE(WEEKDAY(P49,2),"월","화","수","목","금","토","일")</f>
        <v>화</v>
      </c>
      <c r="R49" s="23" t="s">
        <v>130</v>
      </c>
      <c r="S49" s="23" t="s">
        <v>130</v>
      </c>
      <c r="T49" s="23" t="s">
        <v>130</v>
      </c>
      <c r="U49" s="23" t="s">
        <v>130</v>
      </c>
      <c r="V49" s="24"/>
    </row>
    <row r="50" customFormat="false" ht="52.2" hidden="false" customHeight="false" outlineLevel="0" collapsed="false">
      <c r="A50" s="23" t="n">
        <v>49</v>
      </c>
      <c r="B50" s="30" t="s">
        <v>2717</v>
      </c>
      <c r="C50" s="23" t="n">
        <v>2</v>
      </c>
      <c r="D50" s="23" t="s">
        <v>116</v>
      </c>
      <c r="E50" s="24" t="s">
        <v>7350</v>
      </c>
      <c r="F50" s="29" t="s">
        <v>7351</v>
      </c>
      <c r="G50" s="24" t="s">
        <v>7352</v>
      </c>
      <c r="H50" s="23" t="n">
        <f aca="false">COUNTIF(A타입_제작표!$H$2:$H$799,B50)</f>
        <v>10</v>
      </c>
      <c r="I50" s="23" t="n">
        <f aca="false">H50*안내!$C$7+안내!$C$8</f>
        <v>640</v>
      </c>
      <c r="J50" s="23" t="n">
        <f aca="false">ROUND(I50/60,1)</f>
        <v>10.7</v>
      </c>
      <c r="K50" s="23" t="str">
        <f aca="false">D50&amp;" #"&amp;TEXT(_xlfn.MINIFS(A타입_제작표!$E$2:$E$799,A타입_제작표!$H$2:$H$799,B50),"000")</f>
        <v>구약 #352</v>
      </c>
      <c r="L50" s="23" t="str">
        <f aca="false">D50&amp;" #"&amp;TEXT(_xlfn.MAXIFS(A타입_제작표!$E$2:$E$799,A타입_제작표!$H$2:$H$799,B50),"000")</f>
        <v>구약 #361</v>
      </c>
      <c r="M50" s="24" t="s">
        <v>7353</v>
      </c>
      <c r="N50" s="24" t="s">
        <v>7354</v>
      </c>
      <c r="O50" s="24" t="s">
        <v>7355</v>
      </c>
      <c r="P50" s="26" t="n">
        <f aca="false">_xlfn.MAXIFS(A타입_제작표!$U$2:$U$799,A타입_제작표!$H$2:$H$799,B50)+1</f>
        <v>46759</v>
      </c>
      <c r="Q50" s="23" t="str">
        <f aca="false">CHOOSE(WEEKDAY(P50,2),"월","화","수","목","금","토","일")</f>
        <v>금</v>
      </c>
      <c r="R50" s="23" t="s">
        <v>130</v>
      </c>
      <c r="S50" s="23" t="s">
        <v>130</v>
      </c>
      <c r="T50" s="23" t="s">
        <v>130</v>
      </c>
      <c r="U50" s="23" t="s">
        <v>130</v>
      </c>
      <c r="V50" s="24"/>
    </row>
    <row r="51" customFormat="false" ht="26.85" hidden="false" customHeight="false" outlineLevel="0" collapsed="false">
      <c r="A51" s="23" t="n">
        <v>50</v>
      </c>
      <c r="B51" s="30" t="s">
        <v>2851</v>
      </c>
      <c r="C51" s="23" t="n">
        <v>2</v>
      </c>
      <c r="D51" s="23" t="s">
        <v>116</v>
      </c>
      <c r="E51" s="24" t="s">
        <v>7356</v>
      </c>
      <c r="F51" s="29" t="s">
        <v>2850</v>
      </c>
      <c r="G51" s="24" t="s">
        <v>7357</v>
      </c>
      <c r="H51" s="23" t="n">
        <f aca="false">COUNTIF(A타입_제작표!$H$2:$H$799,B51)</f>
        <v>7</v>
      </c>
      <c r="I51" s="23" t="n">
        <f aca="false">H51*안내!$C$7+안내!$C$8</f>
        <v>484</v>
      </c>
      <c r="J51" s="23" t="n">
        <f aca="false">ROUND(I51/60,1)</f>
        <v>8.1</v>
      </c>
      <c r="K51" s="23" t="str">
        <f aca="false">D51&amp;" #"&amp;TEXT(_xlfn.MINIFS(A타입_제작표!$E$2:$E$799,A타입_제작표!$H$2:$H$799,B51),"000")</f>
        <v>구약 #362</v>
      </c>
      <c r="L51" s="23" t="str">
        <f aca="false">D51&amp;" #"&amp;TEXT(_xlfn.MAXIFS(A타입_제작표!$E$2:$E$799,A타입_제작표!$H$2:$H$799,B51),"000")</f>
        <v>구약 #368</v>
      </c>
      <c r="M51" s="24" t="s">
        <v>7358</v>
      </c>
      <c r="N51" s="24" t="s">
        <v>7359</v>
      </c>
      <c r="O51" s="24" t="s">
        <v>7360</v>
      </c>
      <c r="P51" s="26" t="n">
        <f aca="false">_xlfn.MAXIFS(A타입_제작표!$U$2:$U$799,A타입_제작표!$H$2:$H$799,B51)+1</f>
        <v>46766</v>
      </c>
      <c r="Q51" s="23" t="str">
        <f aca="false">CHOOSE(WEEKDAY(P51,2),"월","화","수","목","금","토","일")</f>
        <v>금</v>
      </c>
      <c r="R51" s="23" t="s">
        <v>130</v>
      </c>
      <c r="S51" s="23" t="s">
        <v>130</v>
      </c>
      <c r="T51" s="23" t="s">
        <v>130</v>
      </c>
      <c r="U51" s="23" t="s">
        <v>130</v>
      </c>
      <c r="V51" s="24"/>
    </row>
    <row r="52" customFormat="false" ht="52.2" hidden="false" customHeight="false" outlineLevel="0" collapsed="false">
      <c r="A52" s="23" t="n">
        <v>51</v>
      </c>
      <c r="B52" s="30" t="s">
        <v>2911</v>
      </c>
      <c r="C52" s="23" t="n">
        <v>2</v>
      </c>
      <c r="D52" s="23" t="s">
        <v>116</v>
      </c>
      <c r="E52" s="24" t="s">
        <v>7361</v>
      </c>
      <c r="F52" s="29" t="s">
        <v>7362</v>
      </c>
      <c r="G52" s="24" t="s">
        <v>7363</v>
      </c>
      <c r="H52" s="23" t="n">
        <f aca="false">COUNTIF(A타입_제작표!$H$2:$H$799,B52)</f>
        <v>12</v>
      </c>
      <c r="I52" s="23" t="n">
        <f aca="false">H52*안내!$C$7+안내!$C$8</f>
        <v>744</v>
      </c>
      <c r="J52" s="23" t="n">
        <f aca="false">ROUND(I52/60,1)</f>
        <v>12.4</v>
      </c>
      <c r="K52" s="23" t="str">
        <f aca="false">D52&amp;" #"&amp;TEXT(_xlfn.MINIFS(A타입_제작표!$E$2:$E$799,A타입_제작표!$H$2:$H$799,B52),"000")</f>
        <v>구약 #369</v>
      </c>
      <c r="L52" s="23" t="str">
        <f aca="false">D52&amp;" #"&amp;TEXT(_xlfn.MAXIFS(A타입_제작표!$E$2:$E$799,A타입_제작표!$H$2:$H$799,B52),"000")</f>
        <v>구약 #380</v>
      </c>
      <c r="M52" s="24" t="s">
        <v>7164</v>
      </c>
      <c r="N52" s="24" t="s">
        <v>7364</v>
      </c>
      <c r="O52" s="24" t="s">
        <v>7166</v>
      </c>
      <c r="P52" s="26" t="n">
        <f aca="false">_xlfn.MAXIFS(A타입_제작표!$U$2:$U$799,A타입_제작표!$H$2:$H$799,B52)+1</f>
        <v>46778</v>
      </c>
      <c r="Q52" s="23" t="str">
        <f aca="false">CHOOSE(WEEKDAY(P52,2),"월","화","수","목","금","토","일")</f>
        <v>수</v>
      </c>
      <c r="R52" s="23" t="s">
        <v>130</v>
      </c>
      <c r="S52" s="23" t="s">
        <v>130</v>
      </c>
      <c r="T52" s="23" t="s">
        <v>130</v>
      </c>
      <c r="U52" s="23" t="s">
        <v>130</v>
      </c>
      <c r="V52" s="24"/>
    </row>
    <row r="53" customFormat="false" ht="52.2" hidden="false" customHeight="false" outlineLevel="0" collapsed="false">
      <c r="A53" s="23" t="n">
        <v>52</v>
      </c>
      <c r="B53" s="30" t="s">
        <v>3068</v>
      </c>
      <c r="C53" s="23" t="n">
        <v>2</v>
      </c>
      <c r="D53" s="23" t="s">
        <v>116</v>
      </c>
      <c r="E53" s="24" t="s">
        <v>7365</v>
      </c>
      <c r="F53" s="29" t="s">
        <v>7366</v>
      </c>
      <c r="G53" s="24" t="s">
        <v>7367</v>
      </c>
      <c r="H53" s="23" t="n">
        <f aca="false">COUNTIF(A타입_제작표!$H$2:$H$799,B53)</f>
        <v>10</v>
      </c>
      <c r="I53" s="23" t="n">
        <f aca="false">H53*안내!$C$7+안내!$C$8</f>
        <v>640</v>
      </c>
      <c r="J53" s="23" t="n">
        <f aca="false">ROUND(I53/60,1)</f>
        <v>10.7</v>
      </c>
      <c r="K53" s="23" t="str">
        <f aca="false">D53&amp;" #"&amp;TEXT(_xlfn.MINIFS(A타입_제작표!$E$2:$E$799,A타입_제작표!$H$2:$H$799,B53),"000")</f>
        <v>구약 #381</v>
      </c>
      <c r="L53" s="23" t="str">
        <f aca="false">D53&amp;" #"&amp;TEXT(_xlfn.MAXIFS(A타입_제작표!$E$2:$E$799,A타입_제작표!$H$2:$H$799,B53),"000")</f>
        <v>구약 #390</v>
      </c>
      <c r="M53" s="24" t="s">
        <v>7368</v>
      </c>
      <c r="N53" s="24" t="s">
        <v>7369</v>
      </c>
      <c r="O53" s="24" t="s">
        <v>7370</v>
      </c>
      <c r="P53" s="26" t="n">
        <f aca="false">_xlfn.MAXIFS(A타입_제작표!$U$2:$U$799,A타입_제작표!$H$2:$H$799,B53)+1</f>
        <v>46788</v>
      </c>
      <c r="Q53" s="23" t="str">
        <f aca="false">CHOOSE(WEEKDAY(P53,2),"월","화","수","목","금","토","일")</f>
        <v>토</v>
      </c>
      <c r="R53" s="23" t="s">
        <v>130</v>
      </c>
      <c r="S53" s="23" t="s">
        <v>130</v>
      </c>
      <c r="T53" s="23" t="s">
        <v>130</v>
      </c>
      <c r="U53" s="23" t="s">
        <v>130</v>
      </c>
      <c r="V53" s="24"/>
    </row>
    <row r="54" customFormat="false" ht="52.2" hidden="false" customHeight="false" outlineLevel="0" collapsed="false">
      <c r="A54" s="23" t="n">
        <v>53</v>
      </c>
      <c r="B54" s="30" t="s">
        <v>3248</v>
      </c>
      <c r="C54" s="23" t="n">
        <v>2</v>
      </c>
      <c r="D54" s="23" t="s">
        <v>116</v>
      </c>
      <c r="E54" s="24" t="s">
        <v>7371</v>
      </c>
      <c r="F54" s="29" t="s">
        <v>7372</v>
      </c>
      <c r="G54" s="24" t="s">
        <v>7373</v>
      </c>
      <c r="H54" s="23" t="n">
        <f aca="false">COUNTIF(A타입_제작표!$H$2:$H$799,B54)</f>
        <v>11</v>
      </c>
      <c r="I54" s="23" t="n">
        <f aca="false">H54*안내!$C$7+안내!$C$8</f>
        <v>692</v>
      </c>
      <c r="J54" s="23" t="n">
        <f aca="false">ROUND(I54/60,1)</f>
        <v>11.5</v>
      </c>
      <c r="K54" s="23" t="str">
        <f aca="false">D54&amp;" #"&amp;TEXT(_xlfn.MINIFS(A타입_제작표!$E$2:$E$799,A타입_제작표!$H$2:$H$799,B54),"000")</f>
        <v>구약 #391</v>
      </c>
      <c r="L54" s="23" t="str">
        <f aca="false">D54&amp;" #"&amp;TEXT(_xlfn.MAXIFS(A타입_제작표!$E$2:$E$799,A타입_제작표!$H$2:$H$799,B54),"000")</f>
        <v>구약 #401</v>
      </c>
      <c r="M54" s="24" t="s">
        <v>7374</v>
      </c>
      <c r="N54" s="29" t="s">
        <v>7375</v>
      </c>
      <c r="O54" s="24" t="s">
        <v>7376</v>
      </c>
      <c r="P54" s="26" t="n">
        <f aca="false">_xlfn.MAXIFS(A타입_제작표!$U$2:$U$799,A타입_제작표!$H$2:$H$799,B54)+1</f>
        <v>46799</v>
      </c>
      <c r="Q54" s="23" t="str">
        <f aca="false">CHOOSE(WEEKDAY(P54,2),"월","화","수","목","금","토","일")</f>
        <v>수</v>
      </c>
      <c r="R54" s="23" t="s">
        <v>130</v>
      </c>
      <c r="S54" s="23" t="s">
        <v>130</v>
      </c>
      <c r="T54" s="23" t="s">
        <v>130</v>
      </c>
      <c r="U54" s="23" t="s">
        <v>130</v>
      </c>
      <c r="V54" s="24"/>
    </row>
    <row r="55" customFormat="false" ht="26.85" hidden="false" customHeight="false" outlineLevel="0" collapsed="false">
      <c r="A55" s="23" t="n">
        <v>54</v>
      </c>
      <c r="B55" s="30" t="s">
        <v>3389</v>
      </c>
      <c r="C55" s="23" t="n">
        <v>2</v>
      </c>
      <c r="D55" s="23" t="s">
        <v>116</v>
      </c>
      <c r="E55" s="24" t="s">
        <v>7377</v>
      </c>
      <c r="F55" s="29" t="s">
        <v>3388</v>
      </c>
      <c r="G55" s="24" t="s">
        <v>7378</v>
      </c>
      <c r="H55" s="23" t="n">
        <f aca="false">COUNTIF(A타입_제작표!$H$2:$H$799,B55)</f>
        <v>7</v>
      </c>
      <c r="I55" s="23" t="n">
        <f aca="false">H55*안내!$C$7+안내!$C$8</f>
        <v>484</v>
      </c>
      <c r="J55" s="23" t="n">
        <f aca="false">ROUND(I55/60,1)</f>
        <v>8.1</v>
      </c>
      <c r="K55" s="23" t="str">
        <f aca="false">D55&amp;" #"&amp;TEXT(_xlfn.MINIFS(A타입_제작표!$E$2:$E$799,A타입_제작표!$H$2:$H$799,B55),"000")</f>
        <v>구약 #402</v>
      </c>
      <c r="L55" s="23" t="str">
        <f aca="false">D55&amp;" #"&amp;TEXT(_xlfn.MAXIFS(A타입_제작표!$E$2:$E$799,A타입_제작표!$H$2:$H$799,B55),"000")</f>
        <v>구약 #408</v>
      </c>
      <c r="M55" s="24" t="s">
        <v>7379</v>
      </c>
      <c r="N55" s="29" t="s">
        <v>7380</v>
      </c>
      <c r="O55" s="24" t="s">
        <v>7381</v>
      </c>
      <c r="P55" s="26" t="n">
        <f aca="false">_xlfn.MAXIFS(A타입_제작표!$U$2:$U$799,A타입_제작표!$H$2:$H$799,B55)+1</f>
        <v>46806</v>
      </c>
      <c r="Q55" s="23" t="str">
        <f aca="false">CHOOSE(WEEKDAY(P55,2),"월","화","수","목","금","토","일")</f>
        <v>수</v>
      </c>
      <c r="R55" s="23" t="s">
        <v>130</v>
      </c>
      <c r="S55" s="23" t="s">
        <v>130</v>
      </c>
      <c r="T55" s="23" t="s">
        <v>130</v>
      </c>
      <c r="U55" s="23" t="s">
        <v>130</v>
      </c>
      <c r="V55" s="24"/>
    </row>
    <row r="56" customFormat="false" ht="26.85" hidden="false" customHeight="false" outlineLevel="0" collapsed="false">
      <c r="A56" s="23" t="n">
        <v>55</v>
      </c>
      <c r="B56" s="30" t="s">
        <v>3452</v>
      </c>
      <c r="C56" s="23" t="n">
        <v>2</v>
      </c>
      <c r="D56" s="23" t="s">
        <v>116</v>
      </c>
      <c r="E56" s="24" t="s">
        <v>7382</v>
      </c>
      <c r="F56" s="29" t="s">
        <v>3451</v>
      </c>
      <c r="G56" s="24" t="s">
        <v>7383</v>
      </c>
      <c r="H56" s="23" t="n">
        <f aca="false">COUNTIF(A타입_제작표!$H$2:$H$799,B56)</f>
        <v>7</v>
      </c>
      <c r="I56" s="23" t="n">
        <f aca="false">H56*안내!$C$7+안내!$C$8</f>
        <v>484</v>
      </c>
      <c r="J56" s="23" t="n">
        <f aca="false">ROUND(I56/60,1)</f>
        <v>8.1</v>
      </c>
      <c r="K56" s="23" t="str">
        <f aca="false">D56&amp;" #"&amp;TEXT(_xlfn.MINIFS(A타입_제작표!$E$2:$E$799,A타입_제작표!$H$2:$H$799,B56),"000")</f>
        <v>구약 #409</v>
      </c>
      <c r="L56" s="23" t="str">
        <f aca="false">D56&amp;" #"&amp;TEXT(_xlfn.MAXIFS(A타입_제작표!$E$2:$E$799,A타입_제작표!$H$2:$H$799,B56),"000")</f>
        <v>구약 #415</v>
      </c>
      <c r="M56" s="24" t="s">
        <v>7384</v>
      </c>
      <c r="N56" s="24" t="s">
        <v>7385</v>
      </c>
      <c r="O56" s="24" t="s">
        <v>7386</v>
      </c>
      <c r="P56" s="26" t="n">
        <f aca="false">_xlfn.MAXIFS(A타입_제작표!$U$2:$U$799,A타입_제작표!$H$2:$H$799,B56)+1</f>
        <v>46813</v>
      </c>
      <c r="Q56" s="23" t="str">
        <f aca="false">CHOOSE(WEEKDAY(P56,2),"월","화","수","목","금","토","일")</f>
        <v>수</v>
      </c>
      <c r="R56" s="23" t="s">
        <v>130</v>
      </c>
      <c r="S56" s="23" t="s">
        <v>130</v>
      </c>
      <c r="T56" s="23" t="s">
        <v>130</v>
      </c>
      <c r="U56" s="23" t="s">
        <v>130</v>
      </c>
      <c r="V56" s="24"/>
    </row>
    <row r="57" customFormat="false" ht="39.55" hidden="false" customHeight="false" outlineLevel="0" collapsed="false">
      <c r="A57" s="23" t="n">
        <v>56</v>
      </c>
      <c r="B57" s="30" t="s">
        <v>3506</v>
      </c>
      <c r="C57" s="23" t="n">
        <v>2</v>
      </c>
      <c r="D57" s="23" t="s">
        <v>116</v>
      </c>
      <c r="E57" s="24" t="s">
        <v>7387</v>
      </c>
      <c r="F57" s="29" t="s">
        <v>7388</v>
      </c>
      <c r="G57" s="24" t="s">
        <v>7389</v>
      </c>
      <c r="H57" s="23" t="n">
        <f aca="false">COUNTIF(A타입_제작표!$H$2:$H$799,B57)</f>
        <v>14</v>
      </c>
      <c r="I57" s="23" t="n">
        <f aca="false">H57*안내!$C$7+안내!$C$8</f>
        <v>848</v>
      </c>
      <c r="J57" s="23" t="n">
        <f aca="false">ROUND(I57/60,1)</f>
        <v>14.1</v>
      </c>
      <c r="K57" s="23" t="str">
        <f aca="false">D57&amp;" #"&amp;TEXT(_xlfn.MINIFS(A타입_제작표!$E$2:$E$799,A타입_제작표!$H$2:$H$799,B57),"000")</f>
        <v>구약 #416</v>
      </c>
      <c r="L57" s="23" t="str">
        <f aca="false">D57&amp;" #"&amp;TEXT(_xlfn.MAXIFS(A타입_제작표!$E$2:$E$799,A타입_제작표!$H$2:$H$799,B57),"000")</f>
        <v>구약 #429</v>
      </c>
      <c r="M57" s="24" t="s">
        <v>7390</v>
      </c>
      <c r="N57" s="29" t="s">
        <v>7391</v>
      </c>
      <c r="O57" s="24" t="s">
        <v>7392</v>
      </c>
      <c r="P57" s="26" t="n">
        <f aca="false">_xlfn.MAXIFS(A타입_제작표!$U$2:$U$799,A타입_제작표!$H$2:$H$799,B57)+1</f>
        <v>46827</v>
      </c>
      <c r="Q57" s="23" t="str">
        <f aca="false">CHOOSE(WEEKDAY(P57,2),"월","화","수","목","금","토","일")</f>
        <v>수</v>
      </c>
      <c r="R57" s="23" t="s">
        <v>130</v>
      </c>
      <c r="S57" s="23" t="s">
        <v>130</v>
      </c>
      <c r="T57" s="23" t="s">
        <v>130</v>
      </c>
      <c r="U57" s="23" t="s">
        <v>130</v>
      </c>
      <c r="V57" s="24"/>
    </row>
    <row r="58" customFormat="false" ht="26.85" hidden="false" customHeight="false" outlineLevel="0" collapsed="false">
      <c r="A58" s="23" t="n">
        <v>57</v>
      </c>
      <c r="B58" s="30" t="s">
        <v>3649</v>
      </c>
      <c r="C58" s="23" t="n">
        <v>2</v>
      </c>
      <c r="D58" s="23" t="s">
        <v>116</v>
      </c>
      <c r="E58" s="24" t="s">
        <v>7393</v>
      </c>
      <c r="F58" s="29" t="s">
        <v>3648</v>
      </c>
      <c r="G58" s="24" t="s">
        <v>7394</v>
      </c>
      <c r="H58" s="23" t="n">
        <f aca="false">COUNTIF(A타입_제작표!$H$2:$H$799,B58)</f>
        <v>7</v>
      </c>
      <c r="I58" s="23" t="n">
        <f aca="false">H58*안내!$C$7+안내!$C$8</f>
        <v>484</v>
      </c>
      <c r="J58" s="23" t="n">
        <f aca="false">ROUND(I58/60,1)</f>
        <v>8.1</v>
      </c>
      <c r="K58" s="23" t="str">
        <f aca="false">D58&amp;" #"&amp;TEXT(_xlfn.MINIFS(A타입_제작표!$E$2:$E$799,A타입_제작표!$H$2:$H$799,B58),"000")</f>
        <v>구약 #430</v>
      </c>
      <c r="L58" s="23" t="str">
        <f aca="false">D58&amp;" #"&amp;TEXT(_xlfn.MAXIFS(A타입_제작표!$E$2:$E$799,A타입_제작표!$H$2:$H$799,B58),"000")</f>
        <v>구약 #436</v>
      </c>
      <c r="M58" s="24" t="s">
        <v>7182</v>
      </c>
      <c r="N58" s="24" t="s">
        <v>7395</v>
      </c>
      <c r="O58" s="24" t="s">
        <v>7396</v>
      </c>
      <c r="P58" s="26" t="n">
        <f aca="false">_xlfn.MAXIFS(A타입_제작표!$U$2:$U$799,A타입_제작표!$H$2:$H$799,B58)+1</f>
        <v>46834</v>
      </c>
      <c r="Q58" s="23" t="str">
        <f aca="false">CHOOSE(WEEKDAY(P58,2),"월","화","수","목","금","토","일")</f>
        <v>수</v>
      </c>
      <c r="R58" s="23" t="s">
        <v>130</v>
      </c>
      <c r="S58" s="23" t="s">
        <v>130</v>
      </c>
      <c r="T58" s="23" t="s">
        <v>130</v>
      </c>
      <c r="U58" s="23" t="s">
        <v>130</v>
      </c>
      <c r="V58" s="24"/>
    </row>
    <row r="59" customFormat="false" ht="52.2" hidden="false" customHeight="false" outlineLevel="0" collapsed="false">
      <c r="A59" s="23" t="n">
        <v>58</v>
      </c>
      <c r="B59" s="30" t="s">
        <v>3719</v>
      </c>
      <c r="C59" s="23" t="n">
        <v>2</v>
      </c>
      <c r="D59" s="23" t="s">
        <v>116</v>
      </c>
      <c r="E59" s="24" t="s">
        <v>7397</v>
      </c>
      <c r="F59" s="29" t="s">
        <v>7398</v>
      </c>
      <c r="G59" s="24" t="s">
        <v>7399</v>
      </c>
      <c r="H59" s="23" t="n">
        <f aca="false">COUNTIF(A타입_제작표!$H$2:$H$799,B59)</f>
        <v>12</v>
      </c>
      <c r="I59" s="23" t="n">
        <f aca="false">H59*안내!$C$7+안내!$C$8</f>
        <v>744</v>
      </c>
      <c r="J59" s="23" t="n">
        <f aca="false">ROUND(I59/60,1)</f>
        <v>12.4</v>
      </c>
      <c r="K59" s="23" t="str">
        <f aca="false">D59&amp;" #"&amp;TEXT(_xlfn.MINIFS(A타입_제작표!$E$2:$E$799,A타입_제작표!$H$2:$H$799,B59),"000")</f>
        <v>구약 #437</v>
      </c>
      <c r="L59" s="23" t="str">
        <f aca="false">D59&amp;" #"&amp;TEXT(_xlfn.MAXIFS(A타입_제작표!$E$2:$E$799,A타입_제작표!$H$2:$H$799,B59),"000")</f>
        <v>구약 #448</v>
      </c>
      <c r="M59" s="24" t="s">
        <v>7400</v>
      </c>
      <c r="N59" s="24" t="s">
        <v>7401</v>
      </c>
      <c r="O59" s="24" t="s">
        <v>7402</v>
      </c>
      <c r="P59" s="26" t="n">
        <f aca="false">_xlfn.MAXIFS(A타입_제작표!$U$2:$U$799,A타입_제작표!$H$2:$H$799,B59)+1</f>
        <v>46846</v>
      </c>
      <c r="Q59" s="23" t="str">
        <f aca="false">CHOOSE(WEEKDAY(P59,2),"월","화","수","목","금","토","일")</f>
        <v>월</v>
      </c>
      <c r="R59" s="23" t="s">
        <v>130</v>
      </c>
      <c r="S59" s="23" t="s">
        <v>130</v>
      </c>
      <c r="T59" s="23" t="s">
        <v>130</v>
      </c>
      <c r="U59" s="23" t="s">
        <v>130</v>
      </c>
      <c r="V59" s="24"/>
    </row>
    <row r="60" customFormat="false" ht="26.85" hidden="false" customHeight="false" outlineLevel="0" collapsed="false">
      <c r="A60" s="23" t="n">
        <v>59</v>
      </c>
      <c r="B60" s="30" t="s">
        <v>3855</v>
      </c>
      <c r="C60" s="23" t="n">
        <v>2</v>
      </c>
      <c r="D60" s="23" t="s">
        <v>116</v>
      </c>
      <c r="E60" s="24" t="s">
        <v>7403</v>
      </c>
      <c r="F60" s="29" t="s">
        <v>3854</v>
      </c>
      <c r="G60" s="24" t="s">
        <v>7404</v>
      </c>
      <c r="H60" s="23" t="n">
        <f aca="false">COUNTIF(A타입_제작표!$H$2:$H$799,B60)</f>
        <v>9</v>
      </c>
      <c r="I60" s="23" t="n">
        <f aca="false">H60*안내!$C$7+안내!$C$8</f>
        <v>588</v>
      </c>
      <c r="J60" s="23" t="n">
        <f aca="false">ROUND(I60/60,1)</f>
        <v>9.8</v>
      </c>
      <c r="K60" s="23" t="str">
        <f aca="false">D60&amp;" #"&amp;TEXT(_xlfn.MINIFS(A타입_제작표!$E$2:$E$799,A타입_제작표!$H$2:$H$799,B60),"000")</f>
        <v>구약 #449</v>
      </c>
      <c r="L60" s="23" t="str">
        <f aca="false">D60&amp;" #"&amp;TEXT(_xlfn.MAXIFS(A타입_제작표!$E$2:$E$799,A타입_제작표!$H$2:$H$799,B60),"000")</f>
        <v>구약 #457</v>
      </c>
      <c r="M60" s="24" t="s">
        <v>7405</v>
      </c>
      <c r="N60" s="24" t="s">
        <v>7406</v>
      </c>
      <c r="O60" s="24" t="s">
        <v>7407</v>
      </c>
      <c r="P60" s="26" t="n">
        <f aca="false">_xlfn.MAXIFS(A타입_제작표!$U$2:$U$799,A타입_제작표!$H$2:$H$799,B60)+1</f>
        <v>46855</v>
      </c>
      <c r="Q60" s="23" t="str">
        <f aca="false">CHOOSE(WEEKDAY(P60,2),"월","화","수","목","금","토","일")</f>
        <v>수</v>
      </c>
      <c r="R60" s="23" t="s">
        <v>130</v>
      </c>
      <c r="S60" s="23" t="s">
        <v>130</v>
      </c>
      <c r="T60" s="23" t="s">
        <v>130</v>
      </c>
      <c r="U60" s="23" t="s">
        <v>130</v>
      </c>
      <c r="V60" s="24"/>
    </row>
    <row r="61" customFormat="false" ht="26.85" hidden="false" customHeight="false" outlineLevel="0" collapsed="false">
      <c r="A61" s="23" t="n">
        <v>60</v>
      </c>
      <c r="B61" s="30" t="s">
        <v>3950</v>
      </c>
      <c r="C61" s="23" t="n">
        <v>2</v>
      </c>
      <c r="D61" s="23" t="s">
        <v>116</v>
      </c>
      <c r="E61" s="24" t="s">
        <v>7408</v>
      </c>
      <c r="F61" s="29" t="s">
        <v>3939</v>
      </c>
      <c r="G61" s="24" t="s">
        <v>7409</v>
      </c>
      <c r="H61" s="23" t="n">
        <f aca="false">COUNTIF(A타입_제작표!$H$2:$H$799,B61)</f>
        <v>8</v>
      </c>
      <c r="I61" s="23" t="n">
        <f aca="false">H61*안내!$C$7+안내!$C$8</f>
        <v>536</v>
      </c>
      <c r="J61" s="23" t="n">
        <f aca="false">ROUND(I61/60,1)</f>
        <v>8.9</v>
      </c>
      <c r="K61" s="23" t="str">
        <f aca="false">D61&amp;" #"&amp;TEXT(_xlfn.MINIFS(A타입_제작표!$E$2:$E$799,A타입_제작표!$H$2:$H$799,B61),"000")</f>
        <v>구약 #458</v>
      </c>
      <c r="L61" s="23" t="str">
        <f aca="false">D61&amp;" #"&amp;TEXT(_xlfn.MAXIFS(A타입_제작표!$E$2:$E$799,A타입_제작표!$H$2:$H$799,B61),"000")</f>
        <v>구약 #465</v>
      </c>
      <c r="M61" s="24" t="s">
        <v>7410</v>
      </c>
      <c r="N61" s="24" t="s">
        <v>7411</v>
      </c>
      <c r="O61" s="24" t="s">
        <v>7412</v>
      </c>
      <c r="P61" s="26" t="n">
        <f aca="false">_xlfn.MAXIFS(A타입_제작표!$U$2:$U$799,A타입_제작표!$H$2:$H$799,B61)+1</f>
        <v>46863</v>
      </c>
      <c r="Q61" s="23" t="str">
        <f aca="false">CHOOSE(WEEKDAY(P61,2),"월","화","수","목","금","토","일")</f>
        <v>목</v>
      </c>
      <c r="R61" s="23" t="s">
        <v>130</v>
      </c>
      <c r="S61" s="23" t="s">
        <v>130</v>
      </c>
      <c r="T61" s="23" t="s">
        <v>130</v>
      </c>
      <c r="U61" s="23" t="s">
        <v>130</v>
      </c>
      <c r="V61" s="24"/>
    </row>
    <row r="62" customFormat="false" ht="26.85" hidden="false" customHeight="false" outlineLevel="0" collapsed="false">
      <c r="A62" s="23" t="n">
        <v>61</v>
      </c>
      <c r="B62" s="30" t="s">
        <v>4022</v>
      </c>
      <c r="C62" s="23" t="n">
        <v>2</v>
      </c>
      <c r="D62" s="23" t="s">
        <v>116</v>
      </c>
      <c r="E62" s="24" t="s">
        <v>7413</v>
      </c>
      <c r="F62" s="29" t="s">
        <v>4021</v>
      </c>
      <c r="G62" s="24" t="s">
        <v>7414</v>
      </c>
      <c r="H62" s="23" t="n">
        <f aca="false">COUNTIF(A타입_제작표!$H$2:$H$799,B62)</f>
        <v>10</v>
      </c>
      <c r="I62" s="23" t="n">
        <f aca="false">H62*안내!$C$7+안내!$C$8</f>
        <v>640</v>
      </c>
      <c r="J62" s="23" t="n">
        <f aca="false">ROUND(I62/60,1)</f>
        <v>10.7</v>
      </c>
      <c r="K62" s="23" t="str">
        <f aca="false">D62&amp;" #"&amp;TEXT(_xlfn.MINIFS(A타입_제작표!$E$2:$E$799,A타입_제작표!$H$2:$H$799,B62),"000")</f>
        <v>구약 #466</v>
      </c>
      <c r="L62" s="23" t="str">
        <f aca="false">D62&amp;" #"&amp;TEXT(_xlfn.MAXIFS(A타입_제작표!$E$2:$E$799,A타입_제작표!$H$2:$H$799,B62),"000")</f>
        <v>구약 #475</v>
      </c>
      <c r="M62" s="24" t="s">
        <v>7188</v>
      </c>
      <c r="N62" s="24" t="s">
        <v>7415</v>
      </c>
      <c r="O62" s="24" t="s">
        <v>7416</v>
      </c>
      <c r="P62" s="26" t="n">
        <f aca="false">_xlfn.MAXIFS(A타입_제작표!$U$2:$U$799,A타입_제작표!$H$2:$H$799,B62)+1</f>
        <v>46873</v>
      </c>
      <c r="Q62" s="23" t="str">
        <f aca="false">CHOOSE(WEEKDAY(P62,2),"월","화","수","목","금","토","일")</f>
        <v>일</v>
      </c>
      <c r="R62" s="23" t="s">
        <v>130</v>
      </c>
      <c r="S62" s="23" t="s">
        <v>130</v>
      </c>
      <c r="T62" s="23" t="s">
        <v>130</v>
      </c>
      <c r="U62" s="23" t="s">
        <v>130</v>
      </c>
      <c r="V62" s="24"/>
    </row>
    <row r="63" customFormat="false" ht="26.85" hidden="false" customHeight="false" outlineLevel="0" collapsed="false">
      <c r="A63" s="23" t="n">
        <v>62</v>
      </c>
      <c r="B63" s="30" t="s">
        <v>4136</v>
      </c>
      <c r="C63" s="23" t="n">
        <v>2</v>
      </c>
      <c r="D63" s="23" t="s">
        <v>116</v>
      </c>
      <c r="E63" s="24" t="s">
        <v>7417</v>
      </c>
      <c r="F63" s="29" t="s">
        <v>4135</v>
      </c>
      <c r="G63" s="24" t="s">
        <v>7418</v>
      </c>
      <c r="H63" s="23" t="n">
        <f aca="false">COUNTIF(A타입_제작표!$H$2:$H$799,B63)</f>
        <v>13</v>
      </c>
      <c r="I63" s="23" t="n">
        <f aca="false">H63*안내!$C$7+안내!$C$8</f>
        <v>796</v>
      </c>
      <c r="J63" s="23" t="n">
        <f aca="false">ROUND(I63/60,1)</f>
        <v>13.3</v>
      </c>
      <c r="K63" s="23" t="str">
        <f aca="false">D63&amp;" #"&amp;TEXT(_xlfn.MINIFS(A타입_제작표!$E$2:$E$799,A타입_제작표!$H$2:$H$799,B63),"000")</f>
        <v>구약 #476</v>
      </c>
      <c r="L63" s="23" t="str">
        <f aca="false">D63&amp;" #"&amp;TEXT(_xlfn.MAXIFS(A타입_제작표!$E$2:$E$799,A타입_제작표!$H$2:$H$799,B63),"000")</f>
        <v>구약 #488</v>
      </c>
      <c r="M63" s="24" t="s">
        <v>7419</v>
      </c>
      <c r="N63" s="24" t="s">
        <v>7420</v>
      </c>
      <c r="O63" s="24" t="s">
        <v>7421</v>
      </c>
      <c r="P63" s="26" t="n">
        <f aca="false">_xlfn.MAXIFS(A타입_제작표!$U$2:$U$799,A타입_제작표!$H$2:$H$799,B63)+1</f>
        <v>46886</v>
      </c>
      <c r="Q63" s="23" t="str">
        <f aca="false">CHOOSE(WEEKDAY(P63,2),"월","화","수","목","금","토","일")</f>
        <v>토</v>
      </c>
      <c r="R63" s="23" t="s">
        <v>130</v>
      </c>
      <c r="S63" s="23" t="s">
        <v>130</v>
      </c>
      <c r="T63" s="23" t="s">
        <v>130</v>
      </c>
      <c r="U63" s="23" t="s">
        <v>130</v>
      </c>
      <c r="V63" s="24"/>
    </row>
    <row r="64" customFormat="false" ht="52.2" hidden="false" customHeight="false" outlineLevel="0" collapsed="false">
      <c r="A64" s="23" t="n">
        <v>63</v>
      </c>
      <c r="B64" s="30" t="s">
        <v>4260</v>
      </c>
      <c r="C64" s="23" t="n">
        <v>2</v>
      </c>
      <c r="D64" s="23" t="s">
        <v>116</v>
      </c>
      <c r="E64" s="24" t="s">
        <v>7422</v>
      </c>
      <c r="F64" s="29" t="s">
        <v>7423</v>
      </c>
      <c r="G64" s="24" t="s">
        <v>7424</v>
      </c>
      <c r="H64" s="23" t="n">
        <f aca="false">COUNTIF(A타입_제작표!$H$2:$H$799,B64)</f>
        <v>8</v>
      </c>
      <c r="I64" s="23" t="n">
        <f aca="false">H64*안내!$C$7+안내!$C$8</f>
        <v>536</v>
      </c>
      <c r="J64" s="23" t="n">
        <f aca="false">ROUND(I64/60,1)</f>
        <v>8.9</v>
      </c>
      <c r="K64" s="23" t="str">
        <f aca="false">D64&amp;" #"&amp;TEXT(_xlfn.MINIFS(A타입_제작표!$E$2:$E$799,A타입_제작표!$H$2:$H$799,B64),"000")</f>
        <v>구약 #489</v>
      </c>
      <c r="L64" s="23" t="str">
        <f aca="false">D64&amp;" #"&amp;TEXT(_xlfn.MAXIFS(A타입_제작표!$E$2:$E$799,A타입_제작표!$H$2:$H$799,B64),"000")</f>
        <v>구약 #496</v>
      </c>
      <c r="M64" s="24" t="s">
        <v>7425</v>
      </c>
      <c r="N64" s="24" t="s">
        <v>7426</v>
      </c>
      <c r="O64" s="24" t="s">
        <v>7427</v>
      </c>
      <c r="P64" s="26" t="n">
        <f aca="false">_xlfn.MAXIFS(A타입_제작표!$U$2:$U$799,A타입_제작표!$H$2:$H$799,B64)+1</f>
        <v>46894</v>
      </c>
      <c r="Q64" s="23" t="str">
        <f aca="false">CHOOSE(WEEKDAY(P64,2),"월","화","수","목","금","토","일")</f>
        <v>일</v>
      </c>
      <c r="R64" s="23" t="s">
        <v>130</v>
      </c>
      <c r="S64" s="23" t="s">
        <v>130</v>
      </c>
      <c r="T64" s="23" t="s">
        <v>130</v>
      </c>
      <c r="U64" s="23" t="s">
        <v>130</v>
      </c>
      <c r="V64" s="24"/>
    </row>
    <row r="65" customFormat="false" ht="26.85" hidden="false" customHeight="false" outlineLevel="0" collapsed="false">
      <c r="A65" s="23" t="n">
        <v>64</v>
      </c>
      <c r="B65" s="30" t="s">
        <v>4380</v>
      </c>
      <c r="C65" s="23" t="n">
        <v>2</v>
      </c>
      <c r="D65" s="23" t="s">
        <v>116</v>
      </c>
      <c r="E65" s="24" t="s">
        <v>7428</v>
      </c>
      <c r="F65" s="29" t="s">
        <v>4362</v>
      </c>
      <c r="G65" s="24" t="s">
        <v>7429</v>
      </c>
      <c r="H65" s="23" t="n">
        <f aca="false">COUNTIF(A타입_제작표!$H$2:$H$799,B65)</f>
        <v>9</v>
      </c>
      <c r="I65" s="23" t="n">
        <f aca="false">H65*안내!$C$7+안내!$C$8</f>
        <v>588</v>
      </c>
      <c r="J65" s="23" t="n">
        <f aca="false">ROUND(I65/60,1)</f>
        <v>9.8</v>
      </c>
      <c r="K65" s="23" t="str">
        <f aca="false">D65&amp;" #"&amp;TEXT(_xlfn.MINIFS(A타입_제작표!$E$2:$E$799,A타입_제작표!$H$2:$H$799,B65),"000")</f>
        <v>구약 #497</v>
      </c>
      <c r="L65" s="23" t="str">
        <f aca="false">D65&amp;" #"&amp;TEXT(_xlfn.MAXIFS(A타입_제작표!$E$2:$E$799,A타입_제작표!$H$2:$H$799,B65),"000")</f>
        <v>구약 #505</v>
      </c>
      <c r="M65" s="24" t="s">
        <v>7430</v>
      </c>
      <c r="N65" s="24" t="s">
        <v>7431</v>
      </c>
      <c r="O65" s="24" t="s">
        <v>7432</v>
      </c>
      <c r="P65" s="26" t="n">
        <f aca="false">_xlfn.MAXIFS(A타입_제작표!$U$2:$U$799,A타입_제작표!$H$2:$H$799,B65)+1</f>
        <v>46903</v>
      </c>
      <c r="Q65" s="23" t="str">
        <f aca="false">CHOOSE(WEEKDAY(P65,2),"월","화","수","목","금","토","일")</f>
        <v>화</v>
      </c>
      <c r="R65" s="23" t="s">
        <v>130</v>
      </c>
      <c r="S65" s="23" t="s">
        <v>130</v>
      </c>
      <c r="T65" s="23" t="s">
        <v>130</v>
      </c>
      <c r="U65" s="23" t="s">
        <v>130</v>
      </c>
      <c r="V65" s="24"/>
    </row>
    <row r="66" customFormat="false" ht="52.2" hidden="false" customHeight="false" outlineLevel="0" collapsed="false">
      <c r="A66" s="23" t="n">
        <v>65</v>
      </c>
      <c r="B66" s="30" t="s">
        <v>4449</v>
      </c>
      <c r="C66" s="23" t="n">
        <v>2</v>
      </c>
      <c r="D66" s="23" t="s">
        <v>116</v>
      </c>
      <c r="E66" s="24" t="s">
        <v>7191</v>
      </c>
      <c r="F66" s="29" t="s">
        <v>7192</v>
      </c>
      <c r="G66" s="24" t="s">
        <v>7433</v>
      </c>
      <c r="H66" s="23" t="n">
        <f aca="false">COUNTIF(A타입_제작표!$H$2:$H$799,B66)</f>
        <v>8</v>
      </c>
      <c r="I66" s="23" t="n">
        <f aca="false">H66*안내!$C$7+안내!$C$8</f>
        <v>536</v>
      </c>
      <c r="J66" s="23" t="n">
        <f aca="false">ROUND(I66/60,1)</f>
        <v>8.9</v>
      </c>
      <c r="K66" s="23" t="str">
        <f aca="false">D66&amp;" #"&amp;TEXT(_xlfn.MINIFS(A타입_제작표!$E$2:$E$799,A타입_제작표!$H$2:$H$799,B66),"000")</f>
        <v>구약 #506</v>
      </c>
      <c r="L66" s="23" t="str">
        <f aca="false">D66&amp;" #"&amp;TEXT(_xlfn.MAXIFS(A타입_제작표!$E$2:$E$799,A타입_제작표!$H$2:$H$799,B66),"000")</f>
        <v>구약 #513</v>
      </c>
      <c r="M66" s="24" t="s">
        <v>7194</v>
      </c>
      <c r="N66" s="24" t="s">
        <v>7195</v>
      </c>
      <c r="O66" s="24" t="s">
        <v>7196</v>
      </c>
      <c r="P66" s="26" t="n">
        <f aca="false">_xlfn.MAXIFS(A타입_제작표!$U$2:$U$799,A타입_제작표!$H$2:$H$799,B66)+1</f>
        <v>46911</v>
      </c>
      <c r="Q66" s="23" t="str">
        <f aca="false">CHOOSE(WEEKDAY(P66,2),"월","화","수","목","금","토","일")</f>
        <v>수</v>
      </c>
      <c r="R66" s="23" t="s">
        <v>130</v>
      </c>
      <c r="S66" s="23" t="s">
        <v>130</v>
      </c>
      <c r="T66" s="23" t="s">
        <v>130</v>
      </c>
      <c r="U66" s="23" t="s">
        <v>130</v>
      </c>
      <c r="V66" s="24"/>
    </row>
    <row r="67" customFormat="false" ht="26.85" hidden="false" customHeight="false" outlineLevel="0" collapsed="false">
      <c r="A67" s="23" t="n">
        <v>66</v>
      </c>
      <c r="B67" s="30" t="s">
        <v>4577</v>
      </c>
      <c r="C67" s="23" t="n">
        <v>2</v>
      </c>
      <c r="D67" s="23" t="s">
        <v>116</v>
      </c>
      <c r="E67" s="24" t="s">
        <v>7434</v>
      </c>
      <c r="F67" s="29" t="s">
        <v>4536</v>
      </c>
      <c r="G67" s="24" t="s">
        <v>7435</v>
      </c>
      <c r="H67" s="23" t="n">
        <f aca="false">COUNTIF(A타입_제작표!$H$2:$H$799,B67)</f>
        <v>8</v>
      </c>
      <c r="I67" s="23" t="n">
        <f aca="false">H67*안내!$C$7+안내!$C$8</f>
        <v>536</v>
      </c>
      <c r="J67" s="23" t="n">
        <f aca="false">ROUND(I67/60,1)</f>
        <v>8.9</v>
      </c>
      <c r="K67" s="23" t="str">
        <f aca="false">D67&amp;" #"&amp;TEXT(_xlfn.MINIFS(A타입_제작표!$E$2:$E$799,A타입_제작표!$H$2:$H$799,B67),"000")</f>
        <v>구약 #514</v>
      </c>
      <c r="L67" s="23" t="str">
        <f aca="false">D67&amp;" #"&amp;TEXT(_xlfn.MAXIFS(A타입_제작표!$E$2:$E$799,A타입_제작표!$H$2:$H$799,B67),"000")</f>
        <v>구약 #521</v>
      </c>
      <c r="M67" s="24" t="s">
        <v>7436</v>
      </c>
      <c r="N67" s="24" t="s">
        <v>7437</v>
      </c>
      <c r="O67" s="24" t="s">
        <v>7438</v>
      </c>
      <c r="P67" s="26" t="n">
        <f aca="false">_xlfn.MAXIFS(A타입_제작표!$U$2:$U$799,A타입_제작표!$H$2:$H$799,B67)+1</f>
        <v>46919</v>
      </c>
      <c r="Q67" s="23" t="str">
        <f aca="false">CHOOSE(WEEKDAY(P67,2),"월","화","수","목","금","토","일")</f>
        <v>목</v>
      </c>
      <c r="R67" s="23" t="s">
        <v>130</v>
      </c>
      <c r="S67" s="23" t="s">
        <v>130</v>
      </c>
      <c r="T67" s="23" t="s">
        <v>130</v>
      </c>
      <c r="U67" s="23" t="s">
        <v>130</v>
      </c>
      <c r="V67" s="24"/>
    </row>
    <row r="68" customFormat="false" ht="50.7" hidden="false" customHeight="false" outlineLevel="0" collapsed="false">
      <c r="A68" s="23" t="n">
        <v>67</v>
      </c>
      <c r="B68" s="30" t="s">
        <v>4658</v>
      </c>
      <c r="C68" s="23" t="n">
        <v>2</v>
      </c>
      <c r="D68" s="23" t="s">
        <v>4656</v>
      </c>
      <c r="E68" s="24" t="s">
        <v>7439</v>
      </c>
      <c r="F68" s="29" t="s">
        <v>7440</v>
      </c>
      <c r="G68" s="24" t="s">
        <v>7441</v>
      </c>
      <c r="H68" s="23" t="n">
        <f aca="false">COUNTIF(A타입_제작표!$H$2:$H$799,B68)</f>
        <v>11</v>
      </c>
      <c r="I68" s="23" t="n">
        <f aca="false">H68*안내!$C$7+안내!$C$8</f>
        <v>692</v>
      </c>
      <c r="J68" s="23" t="n">
        <f aca="false">ROUND(I68/60,1)</f>
        <v>11.5</v>
      </c>
      <c r="K68" s="23" t="str">
        <f aca="false">D68&amp;" #"&amp;TEXT(_xlfn.MINIFS(A타입_제작표!$E$2:$E$799,A타입_제작표!$H$2:$H$799,B68),"000")</f>
        <v>신약 #105</v>
      </c>
      <c r="L68" s="23" t="str">
        <f aca="false">D68&amp;" #"&amp;TEXT(_xlfn.MAXIFS(A타입_제작표!$E$2:$E$799,A타입_제작표!$H$2:$H$799,B68),"000")</f>
        <v>신약 #115</v>
      </c>
      <c r="M68" s="24" t="s">
        <v>7200</v>
      </c>
      <c r="N68" s="24" t="s">
        <v>7442</v>
      </c>
      <c r="O68" s="24" t="s">
        <v>7202</v>
      </c>
      <c r="P68" s="26" t="n">
        <f aca="false">_xlfn.MAXIFS(A타입_제작표!$U$2:$U$799,A타입_제작표!$H$2:$H$799,B68)+1</f>
        <v>46599</v>
      </c>
      <c r="Q68" s="23" t="str">
        <f aca="false">CHOOSE(WEEKDAY(P68,2),"월","화","수","목","금","토","일")</f>
        <v>토</v>
      </c>
      <c r="R68" s="23" t="s">
        <v>130</v>
      </c>
      <c r="S68" s="23" t="s">
        <v>130</v>
      </c>
      <c r="T68" s="23" t="s">
        <v>130</v>
      </c>
      <c r="U68" s="23" t="s">
        <v>130</v>
      </c>
      <c r="V68" s="24"/>
    </row>
    <row r="69" customFormat="false" ht="52.2" hidden="false" customHeight="false" outlineLevel="0" collapsed="false">
      <c r="A69" s="23" t="n">
        <v>68</v>
      </c>
      <c r="B69" s="30" t="s">
        <v>4885</v>
      </c>
      <c r="C69" s="23" t="n">
        <v>2</v>
      </c>
      <c r="D69" s="23" t="s">
        <v>4656</v>
      </c>
      <c r="E69" s="24" t="s">
        <v>7443</v>
      </c>
      <c r="F69" s="29" t="s">
        <v>7444</v>
      </c>
      <c r="G69" s="24" t="s">
        <v>7445</v>
      </c>
      <c r="H69" s="23" t="n">
        <f aca="false">COUNTIF(A타입_제작표!$H$2:$H$799,B69)</f>
        <v>11</v>
      </c>
      <c r="I69" s="23" t="n">
        <f aca="false">H69*안내!$C$7+안내!$C$8</f>
        <v>692</v>
      </c>
      <c r="J69" s="23" t="n">
        <f aca="false">ROUND(I69/60,1)</f>
        <v>11.5</v>
      </c>
      <c r="K69" s="23" t="str">
        <f aca="false">D69&amp;" #"&amp;TEXT(_xlfn.MINIFS(A타입_제작표!$E$2:$E$799,A타입_제작표!$H$2:$H$799,B69),"000")</f>
        <v>신약 #116</v>
      </c>
      <c r="L69" s="23" t="str">
        <f aca="false">D69&amp;" #"&amp;TEXT(_xlfn.MAXIFS(A타입_제작표!$E$2:$E$799,A타입_제작표!$H$2:$H$799,B69),"000")</f>
        <v>신약 #126</v>
      </c>
      <c r="M69" s="24" t="s">
        <v>7446</v>
      </c>
      <c r="N69" s="29" t="s">
        <v>7447</v>
      </c>
      <c r="O69" s="24" t="s">
        <v>7448</v>
      </c>
      <c r="P69" s="26" t="n">
        <f aca="false">_xlfn.MAXIFS(A타입_제작표!$U$2:$U$799,A타입_제작표!$H$2:$H$799,B69)+1</f>
        <v>46618</v>
      </c>
      <c r="Q69" s="23" t="str">
        <f aca="false">CHOOSE(WEEKDAY(P69,2),"월","화","수","목","금","토","일")</f>
        <v>목</v>
      </c>
      <c r="R69" s="23" t="s">
        <v>130</v>
      </c>
      <c r="S69" s="23" t="s">
        <v>130</v>
      </c>
      <c r="T69" s="23" t="s">
        <v>130</v>
      </c>
      <c r="U69" s="23" t="s">
        <v>130</v>
      </c>
      <c r="V69" s="24"/>
    </row>
    <row r="70" customFormat="false" ht="26.85" hidden="false" customHeight="false" outlineLevel="0" collapsed="false">
      <c r="A70" s="23" t="n">
        <v>69</v>
      </c>
      <c r="B70" s="30" t="s">
        <v>5058</v>
      </c>
      <c r="C70" s="23" t="n">
        <v>2</v>
      </c>
      <c r="D70" s="23" t="s">
        <v>4656</v>
      </c>
      <c r="E70" s="24" t="s">
        <v>7449</v>
      </c>
      <c r="F70" s="29" t="s">
        <v>7450</v>
      </c>
      <c r="G70" s="24" t="s">
        <v>7451</v>
      </c>
      <c r="H70" s="23" t="n">
        <f aca="false">COUNTIF(A타입_제작표!$H$2:$H$799,B70)</f>
        <v>8</v>
      </c>
      <c r="I70" s="23" t="n">
        <f aca="false">H70*안내!$C$7+안내!$C$8</f>
        <v>536</v>
      </c>
      <c r="J70" s="23" t="n">
        <f aca="false">ROUND(I70/60,1)</f>
        <v>8.9</v>
      </c>
      <c r="K70" s="23" t="str">
        <f aca="false">D70&amp;" #"&amp;TEXT(_xlfn.MINIFS(A타입_제작표!$E$2:$E$799,A타입_제작표!$H$2:$H$799,B70),"000")</f>
        <v>신약 #127</v>
      </c>
      <c r="L70" s="23" t="str">
        <f aca="false">D70&amp;" #"&amp;TEXT(_xlfn.MAXIFS(A타입_제작표!$E$2:$E$799,A타입_제작표!$H$2:$H$799,B70),"000")</f>
        <v>신약 #134</v>
      </c>
      <c r="M70" s="24" t="s">
        <v>7452</v>
      </c>
      <c r="N70" s="24" t="s">
        <v>7453</v>
      </c>
      <c r="O70" s="24" t="s">
        <v>7454</v>
      </c>
      <c r="P70" s="26" t="n">
        <f aca="false">_xlfn.MAXIFS(A타입_제작표!$U$2:$U$799,A타입_제작표!$H$2:$H$799,B70)+1</f>
        <v>46632</v>
      </c>
      <c r="Q70" s="23" t="str">
        <f aca="false">CHOOSE(WEEKDAY(P70,2),"월","화","수","목","금","토","일")</f>
        <v>목</v>
      </c>
      <c r="R70" s="23" t="s">
        <v>130</v>
      </c>
      <c r="S70" s="23" t="s">
        <v>130</v>
      </c>
      <c r="T70" s="23" t="s">
        <v>130</v>
      </c>
      <c r="U70" s="23" t="s">
        <v>130</v>
      </c>
      <c r="V70" s="24"/>
    </row>
    <row r="71" customFormat="false" ht="26.85" hidden="false" customHeight="false" outlineLevel="0" collapsed="false">
      <c r="A71" s="23" t="n">
        <v>70</v>
      </c>
      <c r="B71" s="30" t="s">
        <v>5261</v>
      </c>
      <c r="C71" s="23" t="n">
        <v>2</v>
      </c>
      <c r="D71" s="23" t="s">
        <v>4656</v>
      </c>
      <c r="E71" s="24" t="s">
        <v>7455</v>
      </c>
      <c r="F71" s="29" t="s">
        <v>7456</v>
      </c>
      <c r="G71" s="24" t="s">
        <v>7457</v>
      </c>
      <c r="H71" s="23" t="n">
        <f aca="false">COUNTIF(A타입_제작표!$H$2:$H$799,B71)</f>
        <v>9</v>
      </c>
      <c r="I71" s="23" t="n">
        <f aca="false">H71*안내!$C$7+안내!$C$8</f>
        <v>588</v>
      </c>
      <c r="J71" s="23" t="n">
        <f aca="false">ROUND(I71/60,1)</f>
        <v>9.8</v>
      </c>
      <c r="K71" s="23" t="str">
        <f aca="false">D71&amp;" #"&amp;TEXT(_xlfn.MINIFS(A타입_제작표!$E$2:$E$799,A타입_제작표!$H$2:$H$799,B71),"000")</f>
        <v>신약 #135</v>
      </c>
      <c r="L71" s="23" t="str">
        <f aca="false">D71&amp;" #"&amp;TEXT(_xlfn.MAXIFS(A타입_제작표!$E$2:$E$799,A타입_제작표!$H$2:$H$799,B71),"000")</f>
        <v>신약 #143</v>
      </c>
      <c r="M71" s="24" t="s">
        <v>7458</v>
      </c>
      <c r="N71" s="24" t="s">
        <v>7459</v>
      </c>
      <c r="O71" s="24" t="s">
        <v>7460</v>
      </c>
      <c r="P71" s="26" t="n">
        <f aca="false">_xlfn.MAXIFS(A타입_제작표!$U$2:$U$799,A타입_제작표!$H$2:$H$799,B71)+1</f>
        <v>46648</v>
      </c>
      <c r="Q71" s="23" t="str">
        <f aca="false">CHOOSE(WEEKDAY(P71,2),"월","화","수","목","금","토","일")</f>
        <v>토</v>
      </c>
      <c r="R71" s="23" t="s">
        <v>130</v>
      </c>
      <c r="S71" s="23" t="s">
        <v>130</v>
      </c>
      <c r="T71" s="23" t="s">
        <v>130</v>
      </c>
      <c r="U71" s="23" t="s">
        <v>130</v>
      </c>
      <c r="V71" s="24"/>
    </row>
    <row r="72" customFormat="false" ht="64.9" hidden="false" customHeight="false" outlineLevel="0" collapsed="false">
      <c r="A72" s="23" t="n">
        <v>71</v>
      </c>
      <c r="B72" s="30" t="s">
        <v>5420</v>
      </c>
      <c r="C72" s="23" t="n">
        <v>2</v>
      </c>
      <c r="D72" s="23" t="s">
        <v>4656</v>
      </c>
      <c r="E72" s="24" t="s">
        <v>7461</v>
      </c>
      <c r="F72" s="29" t="s">
        <v>7462</v>
      </c>
      <c r="G72" s="24" t="s">
        <v>7463</v>
      </c>
      <c r="H72" s="23" t="n">
        <f aca="false">COUNTIF(A타입_제작표!$H$2:$H$799,B72)</f>
        <v>9</v>
      </c>
      <c r="I72" s="23" t="n">
        <f aca="false">H72*안내!$C$7+안내!$C$8</f>
        <v>588</v>
      </c>
      <c r="J72" s="23" t="n">
        <f aca="false">ROUND(I72/60,1)</f>
        <v>9.8</v>
      </c>
      <c r="K72" s="23" t="str">
        <f aca="false">D72&amp;" #"&amp;TEXT(_xlfn.MINIFS(A타입_제작표!$E$2:$E$799,A타입_제작표!$H$2:$H$799,B72),"000")</f>
        <v>신약 #144</v>
      </c>
      <c r="L72" s="23" t="str">
        <f aca="false">D72&amp;" #"&amp;TEXT(_xlfn.MAXIFS(A타입_제작표!$E$2:$E$799,A타입_제작표!$H$2:$H$799,B72),"000")</f>
        <v>신약 #152</v>
      </c>
      <c r="M72" s="24" t="s">
        <v>7464</v>
      </c>
      <c r="N72" s="24" t="s">
        <v>7465</v>
      </c>
      <c r="O72" s="24" t="s">
        <v>7466</v>
      </c>
      <c r="P72" s="26" t="n">
        <f aca="false">_xlfn.MAXIFS(A타입_제작표!$U$2:$U$799,A타입_제작표!$H$2:$H$799,B72)+1</f>
        <v>46663</v>
      </c>
      <c r="Q72" s="23" t="str">
        <f aca="false">CHOOSE(WEEKDAY(P72,2),"월","화","수","목","금","토","일")</f>
        <v>일</v>
      </c>
      <c r="R72" s="23" t="s">
        <v>130</v>
      </c>
      <c r="S72" s="23" t="s">
        <v>130</v>
      </c>
      <c r="T72" s="23" t="s">
        <v>130</v>
      </c>
      <c r="U72" s="23" t="s">
        <v>130</v>
      </c>
      <c r="V72" s="24"/>
    </row>
    <row r="73" customFormat="false" ht="26.85" hidden="false" customHeight="false" outlineLevel="0" collapsed="false">
      <c r="A73" s="23" t="n">
        <v>72</v>
      </c>
      <c r="B73" s="30" t="s">
        <v>5658</v>
      </c>
      <c r="C73" s="23" t="n">
        <v>2</v>
      </c>
      <c r="D73" s="23" t="s">
        <v>4656</v>
      </c>
      <c r="E73" s="24" t="s">
        <v>7467</v>
      </c>
      <c r="F73" s="29" t="s">
        <v>7468</v>
      </c>
      <c r="G73" s="24" t="s">
        <v>7469</v>
      </c>
      <c r="H73" s="23" t="n">
        <f aca="false">COUNTIF(A타입_제작표!$H$2:$H$799,B73)</f>
        <v>9</v>
      </c>
      <c r="I73" s="23" t="n">
        <f aca="false">H73*안내!$C$7+안내!$C$8</f>
        <v>588</v>
      </c>
      <c r="J73" s="23" t="n">
        <f aca="false">ROUND(I73/60,1)</f>
        <v>9.8</v>
      </c>
      <c r="K73" s="23" t="str">
        <f aca="false">D73&amp;" #"&amp;TEXT(_xlfn.MINIFS(A타입_제작표!$E$2:$E$799,A타입_제작표!$H$2:$H$799,B73),"000")</f>
        <v>신약 #153</v>
      </c>
      <c r="L73" s="23" t="str">
        <f aca="false">D73&amp;" #"&amp;TEXT(_xlfn.MAXIFS(A타입_제작표!$E$2:$E$799,A타입_제작표!$H$2:$H$799,B73),"000")</f>
        <v>신약 #161</v>
      </c>
      <c r="M73" s="24" t="s">
        <v>7470</v>
      </c>
      <c r="N73" s="24" t="s">
        <v>7471</v>
      </c>
      <c r="O73" s="24" t="s">
        <v>7472</v>
      </c>
      <c r="P73" s="26" t="n">
        <f aca="false">_xlfn.MAXIFS(A타입_제작표!$U$2:$U$799,A타입_제작표!$H$2:$H$799,B73)+1</f>
        <v>46679</v>
      </c>
      <c r="Q73" s="23" t="str">
        <f aca="false">CHOOSE(WEEKDAY(P73,2),"월","화","수","목","금","토","일")</f>
        <v>화</v>
      </c>
      <c r="R73" s="23" t="s">
        <v>130</v>
      </c>
      <c r="S73" s="23" t="s">
        <v>130</v>
      </c>
      <c r="T73" s="23" t="s">
        <v>130</v>
      </c>
      <c r="U73" s="23" t="s">
        <v>130</v>
      </c>
      <c r="V73" s="24"/>
    </row>
    <row r="74" customFormat="false" ht="39.55" hidden="false" customHeight="false" outlineLevel="0" collapsed="false">
      <c r="A74" s="23" t="n">
        <v>73</v>
      </c>
      <c r="B74" s="30" t="s">
        <v>5839</v>
      </c>
      <c r="C74" s="23" t="n">
        <v>2</v>
      </c>
      <c r="D74" s="23" t="s">
        <v>4656</v>
      </c>
      <c r="E74" s="24" t="s">
        <v>7473</v>
      </c>
      <c r="F74" s="29" t="s">
        <v>7474</v>
      </c>
      <c r="G74" s="24" t="s">
        <v>7475</v>
      </c>
      <c r="H74" s="23" t="n">
        <f aca="false">COUNTIF(A타입_제작표!$H$2:$H$799,B74)</f>
        <v>10</v>
      </c>
      <c r="I74" s="23" t="n">
        <f aca="false">H74*안내!$C$7+안내!$C$8</f>
        <v>640</v>
      </c>
      <c r="J74" s="23" t="n">
        <f aca="false">ROUND(I74/60,1)</f>
        <v>10.7</v>
      </c>
      <c r="K74" s="23" t="str">
        <f aca="false">D74&amp;" #"&amp;TEXT(_xlfn.MINIFS(A타입_제작표!$E$2:$E$799,A타입_제작표!$H$2:$H$799,B74),"000")</f>
        <v>신약 #162</v>
      </c>
      <c r="L74" s="23" t="str">
        <f aca="false">D74&amp;" #"&amp;TEXT(_xlfn.MAXIFS(A타입_제작표!$E$2:$E$799,A타입_제작표!$H$2:$H$799,B74),"000")</f>
        <v>신약 #171</v>
      </c>
      <c r="M74" s="24" t="s">
        <v>7476</v>
      </c>
      <c r="N74" s="24" t="s">
        <v>7477</v>
      </c>
      <c r="O74" s="24" t="s">
        <v>7478</v>
      </c>
      <c r="P74" s="26" t="n">
        <f aca="false">_xlfn.MAXIFS(A타입_제작표!$U$2:$U$799,A타입_제작표!$H$2:$H$799,B74)+1</f>
        <v>46697</v>
      </c>
      <c r="Q74" s="23" t="str">
        <f aca="false">CHOOSE(WEEKDAY(P74,2),"월","화","수","목","금","토","일")</f>
        <v>토</v>
      </c>
      <c r="R74" s="23" t="s">
        <v>130</v>
      </c>
      <c r="S74" s="23" t="s">
        <v>130</v>
      </c>
      <c r="T74" s="23" t="s">
        <v>130</v>
      </c>
      <c r="U74" s="23" t="s">
        <v>130</v>
      </c>
      <c r="V74" s="24"/>
    </row>
    <row r="75" customFormat="false" ht="39.55" hidden="false" customHeight="false" outlineLevel="0" collapsed="false">
      <c r="A75" s="23" t="n">
        <v>74</v>
      </c>
      <c r="B75" s="30" t="s">
        <v>6011</v>
      </c>
      <c r="C75" s="23" t="n">
        <v>2</v>
      </c>
      <c r="D75" s="23" t="s">
        <v>4656</v>
      </c>
      <c r="E75" s="24" t="s">
        <v>7479</v>
      </c>
      <c r="F75" s="29" t="s">
        <v>7480</v>
      </c>
      <c r="G75" s="24" t="s">
        <v>7481</v>
      </c>
      <c r="H75" s="23" t="n">
        <f aca="false">COUNTIF(A타입_제작표!$H$2:$H$799,B75)</f>
        <v>8</v>
      </c>
      <c r="I75" s="23" t="n">
        <f aca="false">H75*안내!$C$7+안내!$C$8</f>
        <v>536</v>
      </c>
      <c r="J75" s="23" t="n">
        <f aca="false">ROUND(I75/60,1)</f>
        <v>8.9</v>
      </c>
      <c r="K75" s="23" t="str">
        <f aca="false">D75&amp;" #"&amp;TEXT(_xlfn.MINIFS(A타입_제작표!$E$2:$E$799,A타입_제작표!$H$2:$H$799,B75),"000")</f>
        <v>신약 #172</v>
      </c>
      <c r="L75" s="23" t="str">
        <f aca="false">D75&amp;" #"&amp;TEXT(_xlfn.MAXIFS(A타입_제작표!$E$2:$E$799,A타입_제작표!$H$2:$H$799,B75),"000")</f>
        <v>신약 #179</v>
      </c>
      <c r="M75" s="24" t="s">
        <v>7482</v>
      </c>
      <c r="N75" s="24" t="s">
        <v>7483</v>
      </c>
      <c r="O75" s="24" t="s">
        <v>7484</v>
      </c>
      <c r="P75" s="26" t="n">
        <f aca="false">_xlfn.MAXIFS(A타입_제작표!$U$2:$U$799,A타입_제작표!$H$2:$H$799,B75)+1</f>
        <v>46711</v>
      </c>
      <c r="Q75" s="23" t="str">
        <f aca="false">CHOOSE(WEEKDAY(P75,2),"월","화","수","목","금","토","일")</f>
        <v>토</v>
      </c>
      <c r="R75" s="23" t="s">
        <v>130</v>
      </c>
      <c r="S75" s="23" t="s">
        <v>130</v>
      </c>
      <c r="T75" s="23" t="s">
        <v>130</v>
      </c>
      <c r="U75" s="23" t="s">
        <v>130</v>
      </c>
      <c r="V75" s="24"/>
    </row>
    <row r="76" customFormat="false" ht="26.85" hidden="false" customHeight="false" outlineLevel="0" collapsed="false">
      <c r="A76" s="23" t="n">
        <v>75</v>
      </c>
      <c r="B76" s="30" t="s">
        <v>6116</v>
      </c>
      <c r="C76" s="23" t="n">
        <v>2</v>
      </c>
      <c r="D76" s="23" t="s">
        <v>4656</v>
      </c>
      <c r="E76" s="24" t="s">
        <v>7485</v>
      </c>
      <c r="F76" s="29" t="s">
        <v>6089</v>
      </c>
      <c r="G76" s="24" t="s">
        <v>7486</v>
      </c>
      <c r="H76" s="23" t="n">
        <f aca="false">COUNTIF(A타입_제작표!$H$2:$H$799,B76)</f>
        <v>9</v>
      </c>
      <c r="I76" s="23" t="n">
        <f aca="false">H76*안내!$C$7+안내!$C$8</f>
        <v>588</v>
      </c>
      <c r="J76" s="23" t="n">
        <f aca="false">ROUND(I76/60,1)</f>
        <v>9.8</v>
      </c>
      <c r="K76" s="23" t="str">
        <f aca="false">D76&amp;" #"&amp;TEXT(_xlfn.MINIFS(A타입_제작표!$E$2:$E$799,A타입_제작표!$H$2:$H$799,B76),"000")</f>
        <v>신약 #180</v>
      </c>
      <c r="L76" s="23" t="str">
        <f aca="false">D76&amp;" #"&amp;TEXT(_xlfn.MAXIFS(A타입_제작표!$E$2:$E$799,A타입_제작표!$H$2:$H$799,B76),"000")</f>
        <v>신약 #188</v>
      </c>
      <c r="M76" s="24" t="s">
        <v>7253</v>
      </c>
      <c r="N76" s="24" t="s">
        <v>7487</v>
      </c>
      <c r="O76" s="24" t="s">
        <v>7488</v>
      </c>
      <c r="P76" s="26" t="n">
        <f aca="false">_xlfn.MAXIFS(A타입_제작표!$U$2:$U$799,A타입_제작표!$H$2:$H$799,B76)+1</f>
        <v>46726</v>
      </c>
      <c r="Q76" s="23" t="str">
        <f aca="false">CHOOSE(WEEKDAY(P76,2),"월","화","수","목","금","토","일")</f>
        <v>일</v>
      </c>
      <c r="R76" s="23" t="s">
        <v>130</v>
      </c>
      <c r="S76" s="23" t="s">
        <v>130</v>
      </c>
      <c r="T76" s="23" t="s">
        <v>130</v>
      </c>
      <c r="U76" s="23" t="s">
        <v>130</v>
      </c>
      <c r="V76" s="24"/>
    </row>
    <row r="77" customFormat="false" ht="26.85" hidden="false" customHeight="false" outlineLevel="0" collapsed="false">
      <c r="A77" s="23" t="n">
        <v>76</v>
      </c>
      <c r="B77" s="30" t="s">
        <v>6198</v>
      </c>
      <c r="C77" s="23" t="n">
        <v>2</v>
      </c>
      <c r="D77" s="23" t="s">
        <v>4656</v>
      </c>
      <c r="E77" s="24" t="s">
        <v>7489</v>
      </c>
      <c r="F77" s="29" t="s">
        <v>6197</v>
      </c>
      <c r="G77" s="24" t="s">
        <v>7490</v>
      </c>
      <c r="H77" s="23" t="n">
        <f aca="false">COUNTIF(A타입_제작표!$H$2:$H$799,B77)</f>
        <v>8</v>
      </c>
      <c r="I77" s="23" t="n">
        <f aca="false">H77*안내!$C$7+안내!$C$8</f>
        <v>536</v>
      </c>
      <c r="J77" s="23" t="n">
        <f aca="false">ROUND(I77/60,1)</f>
        <v>8.9</v>
      </c>
      <c r="K77" s="23" t="str">
        <f aca="false">D77&amp;" #"&amp;TEXT(_xlfn.MINIFS(A타입_제작표!$E$2:$E$799,A타입_제작표!$H$2:$H$799,B77),"000")</f>
        <v>신약 #189</v>
      </c>
      <c r="L77" s="23" t="str">
        <f aca="false">D77&amp;" #"&amp;TEXT(_xlfn.MAXIFS(A타입_제작표!$E$2:$E$799,A타입_제작표!$H$2:$H$799,B77),"000")</f>
        <v>신약 #196</v>
      </c>
      <c r="M77" s="24" t="s">
        <v>7491</v>
      </c>
      <c r="N77" s="24" t="s">
        <v>7492</v>
      </c>
      <c r="O77" s="24" t="s">
        <v>7493</v>
      </c>
      <c r="P77" s="26" t="n">
        <f aca="false">_xlfn.MAXIFS(A타입_제작표!$U$2:$U$799,A타입_제작표!$H$2:$H$799,B77)+1</f>
        <v>46740</v>
      </c>
      <c r="Q77" s="23" t="str">
        <f aca="false">CHOOSE(WEEKDAY(P77,2),"월","화","수","목","금","토","일")</f>
        <v>일</v>
      </c>
      <c r="R77" s="23" t="s">
        <v>130</v>
      </c>
      <c r="S77" s="23" t="s">
        <v>130</v>
      </c>
      <c r="T77" s="23" t="s">
        <v>130</v>
      </c>
      <c r="U77" s="23" t="s">
        <v>130</v>
      </c>
      <c r="V77" s="24"/>
    </row>
    <row r="78" customFormat="false" ht="26.85" hidden="false" customHeight="false" outlineLevel="0" collapsed="false">
      <c r="A78" s="23" t="n">
        <v>77</v>
      </c>
      <c r="B78" s="30" t="s">
        <v>6284</v>
      </c>
      <c r="C78" s="23" t="n">
        <v>2</v>
      </c>
      <c r="D78" s="23" t="s">
        <v>4656</v>
      </c>
      <c r="E78" s="24" t="s">
        <v>7494</v>
      </c>
      <c r="F78" s="29" t="s">
        <v>6283</v>
      </c>
      <c r="G78" s="24" t="s">
        <v>7495</v>
      </c>
      <c r="H78" s="23" t="n">
        <f aca="false">COUNTIF(A타입_제작표!$H$2:$H$799,B78)</f>
        <v>10</v>
      </c>
      <c r="I78" s="23" t="n">
        <f aca="false">H78*안내!$C$7+안내!$C$8</f>
        <v>640</v>
      </c>
      <c r="J78" s="23" t="n">
        <f aca="false">ROUND(I78/60,1)</f>
        <v>10.7</v>
      </c>
      <c r="K78" s="23" t="str">
        <f aca="false">D78&amp;" #"&amp;TEXT(_xlfn.MINIFS(A타입_제작표!$E$2:$E$799,A타입_제작표!$H$2:$H$799,B78),"000")</f>
        <v>신약 #197</v>
      </c>
      <c r="L78" s="23" t="str">
        <f aca="false">D78&amp;" #"&amp;TEXT(_xlfn.MAXIFS(A타입_제작표!$E$2:$E$799,A타입_제작표!$H$2:$H$799,B78),"000")</f>
        <v>신약 #206</v>
      </c>
      <c r="M78" s="24" t="s">
        <v>7496</v>
      </c>
      <c r="N78" s="24" t="s">
        <v>7497</v>
      </c>
      <c r="O78" s="24" t="s">
        <v>7498</v>
      </c>
      <c r="P78" s="26" t="n">
        <f aca="false">_xlfn.MAXIFS(A타입_제작표!$U$2:$U$799,A타입_제작표!$H$2:$H$799,B78)+1</f>
        <v>46758</v>
      </c>
      <c r="Q78" s="23" t="str">
        <f aca="false">CHOOSE(WEEKDAY(P78,2),"월","화","수","목","금","토","일")</f>
        <v>목</v>
      </c>
      <c r="R78" s="23" t="s">
        <v>130</v>
      </c>
      <c r="S78" s="23" t="s">
        <v>130</v>
      </c>
      <c r="T78" s="23" t="s">
        <v>130</v>
      </c>
      <c r="U78" s="23" t="s">
        <v>130</v>
      </c>
      <c r="V78" s="24"/>
    </row>
    <row r="79" customFormat="false" ht="26.85" hidden="false" customHeight="false" outlineLevel="0" collapsed="false">
      <c r="A79" s="23" t="n">
        <v>78</v>
      </c>
      <c r="B79" s="30" t="s">
        <v>6373</v>
      </c>
      <c r="C79" s="23" t="n">
        <v>2</v>
      </c>
      <c r="D79" s="23" t="s">
        <v>4656</v>
      </c>
      <c r="E79" s="24" t="s">
        <v>7499</v>
      </c>
      <c r="F79" s="29" t="s">
        <v>6372</v>
      </c>
      <c r="G79" s="24" t="s">
        <v>7500</v>
      </c>
      <c r="H79" s="23" t="n">
        <f aca="false">COUNTIF(A타입_제작표!$H$2:$H$799,B79)</f>
        <v>8</v>
      </c>
      <c r="I79" s="23" t="n">
        <f aca="false">H79*안내!$C$7+안내!$C$8</f>
        <v>536</v>
      </c>
      <c r="J79" s="23" t="n">
        <f aca="false">ROUND(I79/60,1)</f>
        <v>8.9</v>
      </c>
      <c r="K79" s="23" t="str">
        <f aca="false">D79&amp;" #"&amp;TEXT(_xlfn.MINIFS(A타입_제작표!$E$2:$E$799,A타입_제작표!$H$2:$H$799,B79),"000")</f>
        <v>신약 #207</v>
      </c>
      <c r="L79" s="23" t="str">
        <f aca="false">D79&amp;" #"&amp;TEXT(_xlfn.MAXIFS(A타입_제작표!$E$2:$E$799,A타입_제작표!$H$2:$H$799,B79),"000")</f>
        <v>신약 #214</v>
      </c>
      <c r="M79" s="24" t="s">
        <v>7501</v>
      </c>
      <c r="N79" s="24" t="s">
        <v>7502</v>
      </c>
      <c r="O79" s="24" t="s">
        <v>7503</v>
      </c>
      <c r="P79" s="26" t="n">
        <f aca="false">_xlfn.MAXIFS(A타입_제작표!$U$2:$U$799,A타입_제작표!$H$2:$H$799,B79)+1</f>
        <v>46772</v>
      </c>
      <c r="Q79" s="23" t="str">
        <f aca="false">CHOOSE(WEEKDAY(P79,2),"월","화","수","목","금","토","일")</f>
        <v>목</v>
      </c>
      <c r="R79" s="23" t="s">
        <v>130</v>
      </c>
      <c r="S79" s="23" t="s">
        <v>130</v>
      </c>
      <c r="T79" s="23" t="s">
        <v>130</v>
      </c>
      <c r="U79" s="23" t="s">
        <v>130</v>
      </c>
      <c r="V79" s="24"/>
    </row>
    <row r="80" customFormat="false" ht="26.85" hidden="false" customHeight="false" outlineLevel="0" collapsed="false">
      <c r="A80" s="23" t="n">
        <v>79</v>
      </c>
      <c r="B80" s="30" t="s">
        <v>6459</v>
      </c>
      <c r="C80" s="23" t="n">
        <v>2</v>
      </c>
      <c r="D80" s="23" t="s">
        <v>4656</v>
      </c>
      <c r="E80" s="24" t="s">
        <v>7504</v>
      </c>
      <c r="F80" s="29" t="s">
        <v>6458</v>
      </c>
      <c r="G80" s="24" t="s">
        <v>7505</v>
      </c>
      <c r="H80" s="23" t="n">
        <f aca="false">COUNTIF(A타입_제작표!$H$2:$H$799,B80)</f>
        <v>9</v>
      </c>
      <c r="I80" s="23" t="n">
        <f aca="false">H80*안내!$C$7+안내!$C$8</f>
        <v>588</v>
      </c>
      <c r="J80" s="23" t="n">
        <f aca="false">ROUND(I80/60,1)</f>
        <v>9.8</v>
      </c>
      <c r="K80" s="23" t="str">
        <f aca="false">D80&amp;" #"&amp;TEXT(_xlfn.MINIFS(A타입_제작표!$E$2:$E$799,A타입_제작표!$H$2:$H$799,B80),"000")</f>
        <v>신약 #215</v>
      </c>
      <c r="L80" s="23" t="str">
        <f aca="false">D80&amp;" #"&amp;TEXT(_xlfn.MAXIFS(A타입_제작표!$E$2:$E$799,A타입_제작표!$H$2:$H$799,B80),"000")</f>
        <v>신약 #223</v>
      </c>
      <c r="M80" s="24" t="s">
        <v>7506</v>
      </c>
      <c r="N80" s="24" t="s">
        <v>7507</v>
      </c>
      <c r="O80" s="24" t="s">
        <v>7508</v>
      </c>
      <c r="P80" s="26" t="n">
        <f aca="false">_xlfn.MAXIFS(A타입_제작표!$U$2:$U$799,A타입_제작표!$H$2:$H$799,B80)+1</f>
        <v>46788</v>
      </c>
      <c r="Q80" s="23" t="str">
        <f aca="false">CHOOSE(WEEKDAY(P80,2),"월","화","수","목","금","토","일")</f>
        <v>토</v>
      </c>
      <c r="R80" s="23" t="s">
        <v>130</v>
      </c>
      <c r="S80" s="23" t="s">
        <v>130</v>
      </c>
      <c r="T80" s="23" t="s">
        <v>130</v>
      </c>
      <c r="U80" s="23" t="s">
        <v>130</v>
      </c>
      <c r="V80" s="24"/>
    </row>
    <row r="81" customFormat="false" ht="26.85" hidden="false" customHeight="false" outlineLevel="0" collapsed="false">
      <c r="A81" s="23" t="n">
        <v>80</v>
      </c>
      <c r="B81" s="30" t="s">
        <v>6531</v>
      </c>
      <c r="C81" s="23" t="n">
        <v>2</v>
      </c>
      <c r="D81" s="23" t="s">
        <v>4656</v>
      </c>
      <c r="E81" s="24" t="s">
        <v>7509</v>
      </c>
      <c r="F81" s="29" t="s">
        <v>6530</v>
      </c>
      <c r="G81" s="24" t="s">
        <v>7510</v>
      </c>
      <c r="H81" s="23" t="n">
        <f aca="false">COUNTIF(A타입_제작표!$H$2:$H$799,B81)</f>
        <v>10</v>
      </c>
      <c r="I81" s="23" t="n">
        <f aca="false">H81*안내!$C$7+안내!$C$8</f>
        <v>640</v>
      </c>
      <c r="J81" s="23" t="n">
        <f aca="false">ROUND(I81/60,1)</f>
        <v>10.7</v>
      </c>
      <c r="K81" s="23" t="str">
        <f aca="false">D81&amp;" #"&amp;TEXT(_xlfn.MINIFS(A타입_제작표!$E$2:$E$799,A타입_제작표!$H$2:$H$799,B81),"000")</f>
        <v>신약 #224</v>
      </c>
      <c r="L81" s="23" t="str">
        <f aca="false">D81&amp;" #"&amp;TEXT(_xlfn.MAXIFS(A타입_제작표!$E$2:$E$799,A타입_제작표!$H$2:$H$799,B81),"000")</f>
        <v>신약 #233</v>
      </c>
      <c r="M81" s="24" t="s">
        <v>7511</v>
      </c>
      <c r="N81" s="24" t="s">
        <v>7512</v>
      </c>
      <c r="O81" s="24" t="s">
        <v>7513</v>
      </c>
      <c r="P81" s="26" t="n">
        <f aca="false">_xlfn.MAXIFS(A타입_제작표!$U$2:$U$799,A타입_제작표!$H$2:$H$799,B81)+1</f>
        <v>46805</v>
      </c>
      <c r="Q81" s="23" t="str">
        <f aca="false">CHOOSE(WEEKDAY(P81,2),"월","화","수","목","금","토","일")</f>
        <v>화</v>
      </c>
      <c r="R81" s="23" t="s">
        <v>130</v>
      </c>
      <c r="S81" s="23" t="s">
        <v>130</v>
      </c>
      <c r="T81" s="23" t="s">
        <v>130</v>
      </c>
      <c r="U81" s="23" t="s">
        <v>130</v>
      </c>
      <c r="V81" s="24"/>
    </row>
    <row r="82" customFormat="false" ht="26.85" hidden="false" customHeight="false" outlineLevel="0" collapsed="false">
      <c r="A82" s="23" t="n">
        <v>81</v>
      </c>
      <c r="B82" s="30" t="s">
        <v>6616</v>
      </c>
      <c r="C82" s="23" t="n">
        <v>2</v>
      </c>
      <c r="D82" s="23" t="s">
        <v>4656</v>
      </c>
      <c r="E82" s="24" t="s">
        <v>7514</v>
      </c>
      <c r="F82" s="29" t="s">
        <v>6615</v>
      </c>
      <c r="G82" s="24" t="s">
        <v>7515</v>
      </c>
      <c r="H82" s="23" t="n">
        <f aca="false">COUNTIF(A타입_제작표!$H$2:$H$799,B82)</f>
        <v>9</v>
      </c>
      <c r="I82" s="23" t="n">
        <f aca="false">H82*안내!$C$7+안내!$C$8</f>
        <v>588</v>
      </c>
      <c r="J82" s="23" t="n">
        <f aca="false">ROUND(I82/60,1)</f>
        <v>9.8</v>
      </c>
      <c r="K82" s="23" t="str">
        <f aca="false">D82&amp;" #"&amp;TEXT(_xlfn.MINIFS(A타입_제작표!$E$2:$E$799,A타입_제작표!$H$2:$H$799,B82),"000")</f>
        <v>신약 #234</v>
      </c>
      <c r="L82" s="23" t="str">
        <f aca="false">D82&amp;" #"&amp;TEXT(_xlfn.MAXIFS(A타입_제작표!$E$2:$E$799,A타입_제작표!$H$2:$H$799,B82),"000")</f>
        <v>신약 #242</v>
      </c>
      <c r="M82" s="24" t="s">
        <v>7259</v>
      </c>
      <c r="N82" s="24" t="s">
        <v>7516</v>
      </c>
      <c r="O82" s="24" t="s">
        <v>7517</v>
      </c>
      <c r="P82" s="26" t="n">
        <f aca="false">_xlfn.MAXIFS(A타입_제작표!$U$2:$U$799,A타입_제작표!$H$2:$H$799,B82)+1</f>
        <v>46821</v>
      </c>
      <c r="Q82" s="23" t="str">
        <f aca="false">CHOOSE(WEEKDAY(P82,2),"월","화","수","목","금","토","일")</f>
        <v>목</v>
      </c>
      <c r="R82" s="23" t="s">
        <v>130</v>
      </c>
      <c r="S82" s="23" t="s">
        <v>130</v>
      </c>
      <c r="T82" s="23" t="s">
        <v>130</v>
      </c>
      <c r="U82" s="23" t="s">
        <v>130</v>
      </c>
      <c r="V82" s="24"/>
    </row>
    <row r="83" customFormat="false" ht="26.85" hidden="false" customHeight="false" outlineLevel="0" collapsed="false">
      <c r="A83" s="23" t="n">
        <v>82</v>
      </c>
      <c r="B83" s="30" t="s">
        <v>6704</v>
      </c>
      <c r="C83" s="23" t="n">
        <v>2</v>
      </c>
      <c r="D83" s="23" t="s">
        <v>4656</v>
      </c>
      <c r="E83" s="24" t="s">
        <v>7518</v>
      </c>
      <c r="F83" s="29" t="s">
        <v>6703</v>
      </c>
      <c r="G83" s="24" t="s">
        <v>7519</v>
      </c>
      <c r="H83" s="23" t="n">
        <f aca="false">COUNTIF(A타입_제작표!$H$2:$H$799,B83)</f>
        <v>12</v>
      </c>
      <c r="I83" s="23" t="n">
        <f aca="false">H83*안내!$C$7+안내!$C$8</f>
        <v>744</v>
      </c>
      <c r="J83" s="23" t="n">
        <f aca="false">ROUND(I83/60,1)</f>
        <v>12.4</v>
      </c>
      <c r="K83" s="23" t="str">
        <f aca="false">D83&amp;" #"&amp;TEXT(_xlfn.MINIFS(A타입_제작표!$E$2:$E$799,A타입_제작표!$H$2:$H$799,B83),"000")</f>
        <v>신약 #243</v>
      </c>
      <c r="L83" s="23" t="str">
        <f aca="false">D83&amp;" #"&amp;TEXT(_xlfn.MAXIFS(A타입_제작표!$E$2:$E$799,A타입_제작표!$H$2:$H$799,B83),"000")</f>
        <v>신약 #254</v>
      </c>
      <c r="M83" s="24" t="s">
        <v>7520</v>
      </c>
      <c r="N83" s="24" t="s">
        <v>7521</v>
      </c>
      <c r="O83" s="24" t="s">
        <v>7522</v>
      </c>
      <c r="P83" s="26" t="n">
        <f aca="false">_xlfn.MAXIFS(A타입_제작표!$U$2:$U$799,A타입_제작표!$H$2:$H$799,B83)+1</f>
        <v>46842</v>
      </c>
      <c r="Q83" s="23" t="str">
        <f aca="false">CHOOSE(WEEKDAY(P83,2),"월","화","수","목","금","토","일")</f>
        <v>목</v>
      </c>
      <c r="R83" s="23" t="s">
        <v>130</v>
      </c>
      <c r="S83" s="23" t="s">
        <v>130</v>
      </c>
      <c r="T83" s="23" t="s">
        <v>130</v>
      </c>
      <c r="U83" s="23" t="s">
        <v>130</v>
      </c>
      <c r="V83" s="24"/>
    </row>
    <row r="84" customFormat="false" ht="26.85" hidden="false" customHeight="false" outlineLevel="0" collapsed="false">
      <c r="A84" s="23" t="n">
        <v>83</v>
      </c>
      <c r="B84" s="30" t="s">
        <v>6804</v>
      </c>
      <c r="C84" s="23" t="n">
        <v>2</v>
      </c>
      <c r="D84" s="23" t="s">
        <v>4656</v>
      </c>
      <c r="E84" s="24" t="s">
        <v>7523</v>
      </c>
      <c r="F84" s="29" t="s">
        <v>6803</v>
      </c>
      <c r="G84" s="24" t="s">
        <v>7524</v>
      </c>
      <c r="H84" s="23" t="n">
        <f aca="false">COUNTIF(A타입_제작표!$H$2:$H$799,B84)</f>
        <v>7</v>
      </c>
      <c r="I84" s="23" t="n">
        <f aca="false">H84*안내!$C$7+안내!$C$8</f>
        <v>484</v>
      </c>
      <c r="J84" s="23" t="n">
        <f aca="false">ROUND(I84/60,1)</f>
        <v>8.1</v>
      </c>
      <c r="K84" s="23" t="str">
        <f aca="false">D84&amp;" #"&amp;TEXT(_xlfn.MINIFS(A타입_제작표!$E$2:$E$799,A타입_제작표!$H$2:$H$799,B84),"000")</f>
        <v>신약 #255</v>
      </c>
      <c r="L84" s="23" t="str">
        <f aca="false">D84&amp;" #"&amp;TEXT(_xlfn.MAXIFS(A타입_제작표!$E$2:$E$799,A타입_제작표!$H$2:$H$799,B84),"000")</f>
        <v>신약 #261</v>
      </c>
      <c r="M84" s="24" t="s">
        <v>7525</v>
      </c>
      <c r="N84" s="24" t="s">
        <v>7526</v>
      </c>
      <c r="O84" s="24" t="s">
        <v>7527</v>
      </c>
      <c r="P84" s="26" t="n">
        <f aca="false">_xlfn.MAXIFS(A타입_제작표!$U$2:$U$799,A타입_제작표!$H$2:$H$799,B84)+1</f>
        <v>46854</v>
      </c>
      <c r="Q84" s="23" t="str">
        <f aca="false">CHOOSE(WEEKDAY(P84,2),"월","화","수","목","금","토","일")</f>
        <v>화</v>
      </c>
      <c r="R84" s="23" t="s">
        <v>130</v>
      </c>
      <c r="S84" s="23" t="s">
        <v>130</v>
      </c>
      <c r="T84" s="23" t="s">
        <v>130</v>
      </c>
      <c r="U84" s="23" t="s">
        <v>130</v>
      </c>
      <c r="V84" s="24"/>
    </row>
    <row r="85" customFormat="false" ht="26.85" hidden="false" customHeight="false" outlineLevel="0" collapsed="false">
      <c r="A85" s="23" t="n">
        <v>84</v>
      </c>
      <c r="B85" s="30" t="s">
        <v>6868</v>
      </c>
      <c r="C85" s="23" t="n">
        <v>2</v>
      </c>
      <c r="D85" s="23" t="s">
        <v>4656</v>
      </c>
      <c r="E85" s="24" t="s">
        <v>7528</v>
      </c>
      <c r="F85" s="29" t="s">
        <v>6867</v>
      </c>
      <c r="G85" s="24" t="s">
        <v>7529</v>
      </c>
      <c r="H85" s="23" t="n">
        <f aca="false">COUNTIF(A타입_제작표!$H$2:$H$799,B85)</f>
        <v>9</v>
      </c>
      <c r="I85" s="23" t="n">
        <f aca="false">H85*안내!$C$7+안내!$C$8</f>
        <v>588</v>
      </c>
      <c r="J85" s="23" t="n">
        <f aca="false">ROUND(I85/60,1)</f>
        <v>9.8</v>
      </c>
      <c r="K85" s="23" t="str">
        <f aca="false">D85&amp;" #"&amp;TEXT(_xlfn.MINIFS(A타입_제작표!$E$2:$E$799,A타입_제작표!$H$2:$H$799,B85),"000")</f>
        <v>신약 #262</v>
      </c>
      <c r="L85" s="23" t="str">
        <f aca="false">D85&amp;" #"&amp;TEXT(_xlfn.MAXIFS(A타입_제작표!$E$2:$E$799,A타입_제작표!$H$2:$H$799,B85),"000")</f>
        <v>신약 #270</v>
      </c>
      <c r="M85" s="24" t="s">
        <v>7530</v>
      </c>
      <c r="N85" s="24" t="s">
        <v>7531</v>
      </c>
      <c r="O85" s="24" t="s">
        <v>7532</v>
      </c>
      <c r="P85" s="26" t="n">
        <f aca="false">_xlfn.MAXIFS(A타입_제작표!$U$2:$U$799,A타입_제작표!$H$2:$H$799,B85)+1</f>
        <v>46870</v>
      </c>
      <c r="Q85" s="23" t="str">
        <f aca="false">CHOOSE(WEEKDAY(P85,2),"월","화","수","목","금","토","일")</f>
        <v>목</v>
      </c>
      <c r="R85" s="23" t="s">
        <v>130</v>
      </c>
      <c r="S85" s="23" t="s">
        <v>130</v>
      </c>
      <c r="T85" s="23" t="s">
        <v>130</v>
      </c>
      <c r="U85" s="23" t="s">
        <v>130</v>
      </c>
      <c r="V85" s="24"/>
    </row>
    <row r="86" customFormat="false" ht="26.85" hidden="false" customHeight="false" outlineLevel="0" collapsed="false">
      <c r="A86" s="23" t="n">
        <v>85</v>
      </c>
      <c r="B86" s="30" t="s">
        <v>6970</v>
      </c>
      <c r="C86" s="23" t="n">
        <v>2</v>
      </c>
      <c r="D86" s="23" t="s">
        <v>4656</v>
      </c>
      <c r="E86" s="24" t="s">
        <v>7533</v>
      </c>
      <c r="F86" s="29" t="s">
        <v>6969</v>
      </c>
      <c r="G86" s="24" t="s">
        <v>7534</v>
      </c>
      <c r="H86" s="23" t="n">
        <f aca="false">COUNTIF(A타입_제작표!$H$2:$H$799,B86)</f>
        <v>7</v>
      </c>
      <c r="I86" s="23" t="n">
        <f aca="false">H86*안내!$C$7+안내!$C$8</f>
        <v>484</v>
      </c>
      <c r="J86" s="23" t="n">
        <f aca="false">ROUND(I86/60,1)</f>
        <v>8.1</v>
      </c>
      <c r="K86" s="23" t="str">
        <f aca="false">D86&amp;" #"&amp;TEXT(_xlfn.MINIFS(A타입_제작표!$E$2:$E$799,A타입_제작표!$H$2:$H$799,B86),"000")</f>
        <v>신약 #271</v>
      </c>
      <c r="L86" s="23" t="str">
        <f aca="false">D86&amp;" #"&amp;TEXT(_xlfn.MAXIFS(A타입_제작표!$E$2:$E$799,A타입_제작표!$H$2:$H$799,B86),"000")</f>
        <v>신약 #277</v>
      </c>
      <c r="M86" s="24" t="s">
        <v>7535</v>
      </c>
      <c r="N86" s="24" t="s">
        <v>7536</v>
      </c>
      <c r="O86" s="24" t="s">
        <v>7537</v>
      </c>
      <c r="P86" s="26" t="n">
        <f aca="false">_xlfn.MAXIFS(A타입_제작표!$U$2:$U$799,A타입_제작표!$H$2:$H$799,B86)+1</f>
        <v>46882</v>
      </c>
      <c r="Q86" s="23" t="str">
        <f aca="false">CHOOSE(WEEKDAY(P86,2),"월","화","수","목","금","토","일")</f>
        <v>화</v>
      </c>
      <c r="R86" s="23" t="s">
        <v>130</v>
      </c>
      <c r="S86" s="23" t="s">
        <v>130</v>
      </c>
      <c r="T86" s="23" t="s">
        <v>130</v>
      </c>
      <c r="U86" s="23" t="s">
        <v>130</v>
      </c>
      <c r="V86" s="24"/>
    </row>
  </sheetData>
  <autoFilter ref="A1:V86"/>
  <dataValidations count="1">
    <dataValidation allowBlank="true" errorStyle="stop" operator="between" showDropDown="false" showErrorMessage="false" showInputMessage="false" sqref="R2:U86" type="list">
      <formula1>"미착수,진행중,완료,보류"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11" min="8" style="0" width="9"/>
    <col collapsed="false" customWidth="true" hidden="false" outlineLevel="0" max="12" min="12" style="0" width="32"/>
    <col collapsed="false" customWidth="true" hidden="false" outlineLevel="0" max="13" min="13" style="0" width="40"/>
    <col collapsed="false" customWidth="true" hidden="false" outlineLevel="0" max="14" min="14" style="0" width="32"/>
    <col collapsed="false" customWidth="true" hidden="false" outlineLevel="0" max="15" min="15" style="0" width="30"/>
    <col collapsed="false" customWidth="true" hidden="false" outlineLevel="0" max="16" min="16" style="0" width="12"/>
    <col collapsed="false" customWidth="true" hidden="false" outlineLevel="0" max="20" min="17" style="0" width="8"/>
    <col collapsed="false" customWidth="true" hidden="false" outlineLevel="0" max="21" min="21" style="0" width="16"/>
  </cols>
  <sheetData>
    <row r="1" customFormat="false" ht="30" hidden="false" customHeight="true" outlineLevel="0" collapsed="false">
      <c r="A1" s="16" t="s">
        <v>85</v>
      </c>
      <c r="B1" s="17" t="s">
        <v>7538</v>
      </c>
      <c r="C1" s="16" t="s">
        <v>7067</v>
      </c>
      <c r="D1" s="16" t="s">
        <v>7539</v>
      </c>
      <c r="E1" s="16" t="s">
        <v>7069</v>
      </c>
      <c r="F1" s="17" t="s">
        <v>7070</v>
      </c>
      <c r="G1" s="16" t="s">
        <v>7540</v>
      </c>
      <c r="H1" s="16" t="s">
        <v>7071</v>
      </c>
      <c r="I1" s="16" t="s">
        <v>7072</v>
      </c>
      <c r="J1" s="16" t="s">
        <v>7541</v>
      </c>
      <c r="K1" s="16" t="s">
        <v>7542</v>
      </c>
      <c r="L1" s="16" t="s">
        <v>7075</v>
      </c>
      <c r="M1" s="16" t="s">
        <v>7076</v>
      </c>
      <c r="N1" s="16" t="s">
        <v>7077</v>
      </c>
      <c r="O1" s="16" t="s">
        <v>7543</v>
      </c>
      <c r="P1" s="16" t="s">
        <v>7544</v>
      </c>
      <c r="Q1" s="16" t="s">
        <v>108</v>
      </c>
      <c r="R1" s="16" t="s">
        <v>109</v>
      </c>
      <c r="S1" s="16" t="s">
        <v>110</v>
      </c>
      <c r="T1" s="16" t="s">
        <v>111</v>
      </c>
      <c r="U1" s="16" t="s">
        <v>112</v>
      </c>
    </row>
    <row r="2" customFormat="false" ht="26.85" hidden="false" customHeight="false" outlineLevel="0" collapsed="false">
      <c r="A2" s="23" t="n">
        <v>1</v>
      </c>
      <c r="B2" s="30" t="s">
        <v>117</v>
      </c>
      <c r="C2" s="24" t="s">
        <v>7079</v>
      </c>
      <c r="D2" s="24" t="s">
        <v>119</v>
      </c>
      <c r="E2" s="24" t="s">
        <v>7080</v>
      </c>
      <c r="F2" s="23" t="n">
        <f aca="false">COUNTIF(A타입_제작표!$G$2:$G$799,B2)</f>
        <v>10</v>
      </c>
      <c r="G2" s="23" t="n">
        <f aca="false">COUNTIFS(A타입_제작표!$G$2:$G$799,B2,A타입_제작표!$C$2:$C$799,1)</f>
        <v>10</v>
      </c>
      <c r="H2" s="23" t="n">
        <f aca="false">F2*안내!$C$7+안내!$C$8</f>
        <v>640</v>
      </c>
      <c r="I2" s="23" t="n">
        <f aca="false">ROUND(H2/60,1)</f>
        <v>10.7</v>
      </c>
      <c r="J2" s="23" t="str">
        <f aca="false">INDEX(A타입_제작표!$B$2:$B$799,MATCH(B2,A타입_제작표!$G$2:$G$799,0))</f>
        <v>A0001</v>
      </c>
      <c r="K2" s="23" t="str">
        <f aca="false">INDEX(A타입_제작표!$B$2:$B$799,MATCH(B2,A타입_제작표!$G$2:$G$799,0)+F2-1)</f>
        <v>A0010</v>
      </c>
      <c r="L2" s="24" t="s">
        <v>7081</v>
      </c>
      <c r="M2" s="29" t="s">
        <v>7082</v>
      </c>
      <c r="N2" s="24" t="s">
        <v>7083</v>
      </c>
      <c r="O2" s="24"/>
      <c r="P2" s="26" t="n">
        <f aca="false">_xlfn.MAXIFS(A타입_제작표!$U$2:$U$799,A타입_제작표!$G$2:$G$799,B2)</f>
        <v>46400</v>
      </c>
      <c r="Q2" s="23" t="s">
        <v>130</v>
      </c>
      <c r="R2" s="23" t="s">
        <v>130</v>
      </c>
      <c r="S2" s="23" t="s">
        <v>130</v>
      </c>
      <c r="T2" s="23" t="s">
        <v>130</v>
      </c>
      <c r="U2" s="24"/>
    </row>
    <row r="3" customFormat="false" ht="26.85" hidden="false" customHeight="false" outlineLevel="0" collapsed="false">
      <c r="A3" s="23" t="n">
        <v>2</v>
      </c>
      <c r="B3" s="30" t="s">
        <v>207</v>
      </c>
      <c r="C3" s="24" t="s">
        <v>7084</v>
      </c>
      <c r="D3" s="24" t="s">
        <v>119</v>
      </c>
      <c r="E3" s="24" t="s">
        <v>7545</v>
      </c>
      <c r="F3" s="23" t="n">
        <f aca="false">COUNTIF(A타입_제작표!$G$2:$G$799,B3)</f>
        <v>13</v>
      </c>
      <c r="G3" s="23" t="n">
        <f aca="false">COUNTIFS(A타입_제작표!$G$2:$G$799,B3,A타입_제작표!$C$2:$C$799,1)</f>
        <v>8</v>
      </c>
      <c r="H3" s="23" t="n">
        <f aca="false">F3*안내!$C$7+안내!$C$8</f>
        <v>796</v>
      </c>
      <c r="I3" s="23" t="n">
        <f aca="false">ROUND(H3/60,1)</f>
        <v>13.3</v>
      </c>
      <c r="J3" s="23" t="str">
        <f aca="false">INDEX(A타입_제작표!$B$2:$B$799,MATCH(B3,A타입_제작표!$G$2:$G$799,0))</f>
        <v>A0011</v>
      </c>
      <c r="K3" s="23" t="str">
        <f aca="false">INDEX(A타입_제작표!$B$2:$B$799,MATCH(B3,A타입_제작표!$G$2:$G$799,0)+F3-1)</f>
        <v>A0023</v>
      </c>
      <c r="L3" s="24" t="s">
        <v>7086</v>
      </c>
      <c r="M3" s="24" t="s">
        <v>7087</v>
      </c>
      <c r="N3" s="24" t="s">
        <v>7088</v>
      </c>
      <c r="O3" s="24"/>
      <c r="P3" s="26" t="n">
        <f aca="false">_xlfn.MAXIFS(A타입_제작표!$U$2:$U$799,A타입_제작표!$G$2:$G$799,B3)</f>
        <v>46584</v>
      </c>
      <c r="Q3" s="23" t="s">
        <v>130</v>
      </c>
      <c r="R3" s="23" t="s">
        <v>130</v>
      </c>
      <c r="S3" s="23" t="s">
        <v>130</v>
      </c>
      <c r="T3" s="23" t="s">
        <v>130</v>
      </c>
      <c r="U3" s="24"/>
    </row>
    <row r="4" customFormat="false" ht="26.85" hidden="false" customHeight="false" outlineLevel="0" collapsed="false">
      <c r="A4" s="23" t="n">
        <v>3</v>
      </c>
      <c r="B4" s="30" t="s">
        <v>325</v>
      </c>
      <c r="C4" s="24" t="s">
        <v>7546</v>
      </c>
      <c r="D4" s="24" t="s">
        <v>119</v>
      </c>
      <c r="E4" s="24" t="s">
        <v>7547</v>
      </c>
      <c r="F4" s="23" t="n">
        <f aca="false">COUNTIF(A타입_제작표!$G$2:$G$799,B4)</f>
        <v>7</v>
      </c>
      <c r="G4" s="23" t="n">
        <f aca="false">COUNTIFS(A타입_제작표!$G$2:$G$799,B4,A타입_제작표!$C$2:$C$799,1)</f>
        <v>2</v>
      </c>
      <c r="H4" s="23" t="n">
        <f aca="false">F4*안내!$C$7+안내!$C$8</f>
        <v>484</v>
      </c>
      <c r="I4" s="23" t="n">
        <f aca="false">ROUND(H4/60,1)</f>
        <v>8.1</v>
      </c>
      <c r="J4" s="23" t="str">
        <f aca="false">INDEX(A타입_제작표!$B$2:$B$799,MATCH(B4,A타입_제작표!$G$2:$G$799,0))</f>
        <v>A0024</v>
      </c>
      <c r="K4" s="23" t="str">
        <f aca="false">INDEX(A타입_제작표!$B$2:$B$799,MATCH(B4,A타입_제작표!$G$2:$G$799,0)+F4-1)</f>
        <v>A0030</v>
      </c>
      <c r="L4" s="24" t="s">
        <v>7092</v>
      </c>
      <c r="M4" s="24" t="s">
        <v>7548</v>
      </c>
      <c r="N4" s="24" t="s">
        <v>7549</v>
      </c>
      <c r="O4" s="24"/>
      <c r="P4" s="26" t="n">
        <f aca="false">_xlfn.MAXIFS(A타입_제작표!$U$2:$U$799,A타입_제작표!$G$2:$G$799,B4)</f>
        <v>46589</v>
      </c>
      <c r="Q4" s="23" t="s">
        <v>130</v>
      </c>
      <c r="R4" s="23" t="s">
        <v>130</v>
      </c>
      <c r="S4" s="23" t="s">
        <v>130</v>
      </c>
      <c r="T4" s="23" t="s">
        <v>130</v>
      </c>
      <c r="U4" s="24"/>
    </row>
    <row r="5" customFormat="false" ht="26.85" hidden="false" customHeight="false" outlineLevel="0" collapsed="false">
      <c r="A5" s="23" t="n">
        <v>4</v>
      </c>
      <c r="B5" s="30" t="s">
        <v>391</v>
      </c>
      <c r="C5" s="24" t="s">
        <v>7550</v>
      </c>
      <c r="D5" s="24" t="s">
        <v>119</v>
      </c>
      <c r="E5" s="24" t="s">
        <v>7551</v>
      </c>
      <c r="F5" s="23" t="n">
        <f aca="false">COUNTIF(A타입_제작표!$G$2:$G$799,B5)</f>
        <v>8</v>
      </c>
      <c r="G5" s="23" t="n">
        <f aca="false">COUNTIFS(A타입_제작표!$G$2:$G$799,B5,A타입_제작표!$C$2:$C$799,1)</f>
        <v>3</v>
      </c>
      <c r="H5" s="23" t="n">
        <f aca="false">F5*안내!$C$7+안내!$C$8</f>
        <v>536</v>
      </c>
      <c r="I5" s="23" t="n">
        <f aca="false">ROUND(H5/60,1)</f>
        <v>8.9</v>
      </c>
      <c r="J5" s="23" t="str">
        <f aca="false">INDEX(A타입_제작표!$B$2:$B$799,MATCH(B5,A타입_제작표!$G$2:$G$799,0))</f>
        <v>A0031</v>
      </c>
      <c r="K5" s="23" t="str">
        <f aca="false">INDEX(A타입_제작표!$B$2:$B$799,MATCH(B5,A타입_제작표!$G$2:$G$799,0)+F5-1)</f>
        <v>A0038</v>
      </c>
      <c r="L5" s="24" t="s">
        <v>7270</v>
      </c>
      <c r="M5" s="24" t="s">
        <v>7552</v>
      </c>
      <c r="N5" s="24" t="s">
        <v>7553</v>
      </c>
      <c r="O5" s="24"/>
      <c r="P5" s="26" t="n">
        <f aca="false">_xlfn.MAXIFS(A타입_제작표!$U$2:$U$799,A타입_제작표!$G$2:$G$799,B5)</f>
        <v>46594</v>
      </c>
      <c r="Q5" s="23" t="s">
        <v>130</v>
      </c>
      <c r="R5" s="23" t="s">
        <v>130</v>
      </c>
      <c r="S5" s="23" t="s">
        <v>130</v>
      </c>
      <c r="T5" s="23" t="s">
        <v>130</v>
      </c>
      <c r="U5" s="24"/>
    </row>
    <row r="6" customFormat="false" ht="26.85" hidden="false" customHeight="false" outlineLevel="0" collapsed="false">
      <c r="A6" s="23" t="n">
        <v>5</v>
      </c>
      <c r="B6" s="30" t="s">
        <v>465</v>
      </c>
      <c r="C6" s="24" t="s">
        <v>7554</v>
      </c>
      <c r="D6" s="24" t="s">
        <v>119</v>
      </c>
      <c r="E6" s="24" t="s">
        <v>7555</v>
      </c>
      <c r="F6" s="23" t="n">
        <f aca="false">COUNTIF(A타입_제작표!$G$2:$G$799,B6)</f>
        <v>7</v>
      </c>
      <c r="G6" s="23" t="n">
        <f aca="false">COUNTIFS(A타입_제작표!$G$2:$G$799,B6,A타입_제작표!$C$2:$C$799,1)</f>
        <v>3</v>
      </c>
      <c r="H6" s="23" t="n">
        <f aca="false">F6*안내!$C$7+안내!$C$8</f>
        <v>484</v>
      </c>
      <c r="I6" s="23" t="n">
        <f aca="false">ROUND(H6/60,1)</f>
        <v>8.1</v>
      </c>
      <c r="J6" s="23" t="str">
        <f aca="false">INDEX(A타입_제작표!$B$2:$B$799,MATCH(B6,A타입_제작표!$G$2:$G$799,0))</f>
        <v>A0039</v>
      </c>
      <c r="K6" s="23" t="str">
        <f aca="false">INDEX(A타입_제작표!$B$2:$B$799,MATCH(B6,A타입_제작표!$G$2:$G$799,0)+F6-1)</f>
        <v>A0045</v>
      </c>
      <c r="L6" s="24" t="s">
        <v>7556</v>
      </c>
      <c r="M6" s="24" t="s">
        <v>7557</v>
      </c>
      <c r="N6" s="24" t="s">
        <v>7558</v>
      </c>
      <c r="O6" s="24"/>
      <c r="P6" s="26" t="n">
        <f aca="false">_xlfn.MAXIFS(A타입_제작표!$U$2:$U$799,A타입_제작표!$G$2:$G$799,B6)</f>
        <v>46598</v>
      </c>
      <c r="Q6" s="23" t="s">
        <v>130</v>
      </c>
      <c r="R6" s="23" t="s">
        <v>130</v>
      </c>
      <c r="S6" s="23" t="s">
        <v>130</v>
      </c>
      <c r="T6" s="23" t="s">
        <v>130</v>
      </c>
      <c r="U6" s="24"/>
    </row>
    <row r="7" customFormat="false" ht="15" hidden="false" customHeight="false" outlineLevel="0" collapsed="false">
      <c r="A7" s="23" t="n">
        <v>6</v>
      </c>
      <c r="B7" s="30" t="s">
        <v>525</v>
      </c>
      <c r="C7" s="24" t="s">
        <v>7559</v>
      </c>
      <c r="D7" s="24" t="s">
        <v>119</v>
      </c>
      <c r="E7" s="24" t="s">
        <v>7560</v>
      </c>
      <c r="F7" s="23" t="n">
        <f aca="false">COUNTIF(A타입_제작표!$G$2:$G$799,B7)</f>
        <v>8</v>
      </c>
      <c r="G7" s="23" t="n">
        <f aca="false">COUNTIFS(A타입_제작표!$G$2:$G$799,B7,A타입_제작표!$C$2:$C$799,1)</f>
        <v>3</v>
      </c>
      <c r="H7" s="23" t="n">
        <f aca="false">F7*안내!$C$7+안내!$C$8</f>
        <v>536</v>
      </c>
      <c r="I7" s="23" t="n">
        <f aca="false">ROUND(H7/60,1)</f>
        <v>8.9</v>
      </c>
      <c r="J7" s="23" t="str">
        <f aca="false">INDEX(A타입_제작표!$B$2:$B$799,MATCH(B7,A타입_제작표!$G$2:$G$799,0))</f>
        <v>A0046</v>
      </c>
      <c r="K7" s="23" t="str">
        <f aca="false">INDEX(A타입_제작표!$B$2:$B$799,MATCH(B7,A타입_제작표!$G$2:$G$799,0)+F7-1)</f>
        <v>A0053</v>
      </c>
      <c r="L7" s="24" t="s">
        <v>7098</v>
      </c>
      <c r="M7" s="24" t="s">
        <v>7561</v>
      </c>
      <c r="N7" s="24" t="s">
        <v>7562</v>
      </c>
      <c r="O7" s="24"/>
      <c r="P7" s="26" t="n">
        <f aca="false">_xlfn.MAXIFS(A타입_제작표!$U$2:$U$799,A타입_제작표!$G$2:$G$799,B7)</f>
        <v>46603</v>
      </c>
      <c r="Q7" s="23" t="s">
        <v>130</v>
      </c>
      <c r="R7" s="23" t="s">
        <v>130</v>
      </c>
      <c r="S7" s="23" t="s">
        <v>130</v>
      </c>
      <c r="T7" s="23" t="s">
        <v>130</v>
      </c>
      <c r="U7" s="24"/>
    </row>
    <row r="8" customFormat="false" ht="26.85" hidden="false" customHeight="false" outlineLevel="0" collapsed="false">
      <c r="A8" s="23" t="n">
        <v>7</v>
      </c>
      <c r="B8" s="30" t="s">
        <v>597</v>
      </c>
      <c r="C8" s="24" t="s">
        <v>7563</v>
      </c>
      <c r="D8" s="24" t="s">
        <v>119</v>
      </c>
      <c r="E8" s="24" t="s">
        <v>7564</v>
      </c>
      <c r="F8" s="23" t="n">
        <f aca="false">COUNTIF(A타입_제작표!$G$2:$G$799,B8)</f>
        <v>7</v>
      </c>
      <c r="G8" s="23" t="n">
        <f aca="false">COUNTIFS(A타입_제작표!$G$2:$G$799,B8,A타입_제작표!$C$2:$C$799,1)</f>
        <v>2</v>
      </c>
      <c r="H8" s="23" t="n">
        <f aca="false">F8*안내!$C$7+안내!$C$8</f>
        <v>484</v>
      </c>
      <c r="I8" s="23" t="n">
        <f aca="false">ROUND(H8/60,1)</f>
        <v>8.1</v>
      </c>
      <c r="J8" s="23" t="str">
        <f aca="false">INDEX(A타입_제작표!$B$2:$B$799,MATCH(B8,A타입_제작표!$G$2:$G$799,0))</f>
        <v>A0054</v>
      </c>
      <c r="K8" s="23" t="str">
        <f aca="false">INDEX(A타입_제작표!$B$2:$B$799,MATCH(B8,A타입_제작표!$G$2:$G$799,0)+F8-1)</f>
        <v>A0060</v>
      </c>
      <c r="L8" s="24" t="s">
        <v>7565</v>
      </c>
      <c r="M8" s="24" t="s">
        <v>7566</v>
      </c>
      <c r="N8" s="24" t="s">
        <v>7567</v>
      </c>
      <c r="O8" s="24"/>
      <c r="P8" s="26" t="n">
        <f aca="false">_xlfn.MAXIFS(A타입_제작표!$U$2:$U$799,A타입_제작표!$G$2:$G$799,B8)</f>
        <v>46608</v>
      </c>
      <c r="Q8" s="23" t="s">
        <v>130</v>
      </c>
      <c r="R8" s="23" t="s">
        <v>130</v>
      </c>
      <c r="S8" s="23" t="s">
        <v>130</v>
      </c>
      <c r="T8" s="23" t="s">
        <v>130</v>
      </c>
      <c r="U8" s="24"/>
    </row>
    <row r="9" customFormat="false" ht="26.85" hidden="false" customHeight="false" outlineLevel="0" collapsed="false">
      <c r="A9" s="23" t="n">
        <v>8</v>
      </c>
      <c r="B9" s="30" t="s">
        <v>658</v>
      </c>
      <c r="C9" s="24" t="s">
        <v>7568</v>
      </c>
      <c r="D9" s="24" t="s">
        <v>119</v>
      </c>
      <c r="E9" s="24" t="s">
        <v>7569</v>
      </c>
      <c r="F9" s="23" t="n">
        <f aca="false">COUNTIF(A타입_제작표!$G$2:$G$799,B9)</f>
        <v>7</v>
      </c>
      <c r="G9" s="23" t="n">
        <f aca="false">COUNTIFS(A타입_제작표!$G$2:$G$799,B9,A타입_제작표!$C$2:$C$799,1)</f>
        <v>6</v>
      </c>
      <c r="H9" s="23" t="n">
        <f aca="false">F9*안내!$C$7+안내!$C$8</f>
        <v>484</v>
      </c>
      <c r="I9" s="23" t="n">
        <f aca="false">ROUND(H9/60,1)</f>
        <v>8.1</v>
      </c>
      <c r="J9" s="23" t="str">
        <f aca="false">INDEX(A타입_제작표!$B$2:$B$799,MATCH(B9,A타입_제작표!$G$2:$G$799,0))</f>
        <v>A0061</v>
      </c>
      <c r="K9" s="23" t="str">
        <f aca="false">INDEX(A타입_제작표!$B$2:$B$799,MATCH(B9,A타입_제작표!$G$2:$G$799,0)+F9-1)</f>
        <v>A0067</v>
      </c>
      <c r="L9" s="24" t="s">
        <v>7280</v>
      </c>
      <c r="M9" s="24" t="s">
        <v>7570</v>
      </c>
      <c r="N9" s="24" t="s">
        <v>7571</v>
      </c>
      <c r="O9" s="24"/>
      <c r="P9" s="26" t="n">
        <f aca="false">_xlfn.MAXIFS(A타입_제작표!$U$2:$U$799,A타입_제작표!$G$2:$G$799,B9)</f>
        <v>46609</v>
      </c>
      <c r="Q9" s="23" t="s">
        <v>130</v>
      </c>
      <c r="R9" s="23" t="s">
        <v>130</v>
      </c>
      <c r="S9" s="23" t="s">
        <v>130</v>
      </c>
      <c r="T9" s="23" t="s">
        <v>130</v>
      </c>
      <c r="U9" s="24"/>
    </row>
    <row r="10" customFormat="false" ht="26.85" hidden="false" customHeight="false" outlineLevel="0" collapsed="false">
      <c r="A10" s="23" t="n">
        <v>9</v>
      </c>
      <c r="B10" s="30" t="s">
        <v>722</v>
      </c>
      <c r="C10" s="24" t="s">
        <v>7572</v>
      </c>
      <c r="D10" s="24" t="s">
        <v>119</v>
      </c>
      <c r="E10" s="24" t="s">
        <v>7573</v>
      </c>
      <c r="F10" s="23" t="n">
        <f aca="false">COUNTIF(A타입_제작표!$G$2:$G$799,B10)</f>
        <v>11</v>
      </c>
      <c r="G10" s="23" t="n">
        <f aca="false">COUNTIFS(A타입_제작표!$G$2:$G$799,B10,A타입_제작표!$C$2:$C$799,1)</f>
        <v>5</v>
      </c>
      <c r="H10" s="23" t="n">
        <f aca="false">F10*안내!$C$7+안내!$C$8</f>
        <v>692</v>
      </c>
      <c r="I10" s="23" t="n">
        <f aca="false">ROUND(H10/60,1)</f>
        <v>11.5</v>
      </c>
      <c r="J10" s="23" t="str">
        <f aca="false">INDEX(A타입_제작표!$B$2:$B$799,MATCH(B10,A타입_제작표!$G$2:$G$799,0))</f>
        <v>A0068</v>
      </c>
      <c r="K10" s="23" t="str">
        <f aca="false">INDEX(A타입_제작표!$B$2:$B$799,MATCH(B10,A타입_제작표!$G$2:$G$799,0)+F10-1)</f>
        <v>A0078</v>
      </c>
      <c r="L10" s="24" t="s">
        <v>7104</v>
      </c>
      <c r="M10" s="24" t="s">
        <v>7574</v>
      </c>
      <c r="N10" s="24" t="s">
        <v>7575</v>
      </c>
      <c r="O10" s="24"/>
      <c r="P10" s="26" t="n">
        <f aca="false">_xlfn.MAXIFS(A타입_제작표!$U$2:$U$799,A타입_제작표!$G$2:$G$799,B10)</f>
        <v>46615</v>
      </c>
      <c r="Q10" s="23" t="s">
        <v>130</v>
      </c>
      <c r="R10" s="23" t="s">
        <v>130</v>
      </c>
      <c r="S10" s="23" t="s">
        <v>130</v>
      </c>
      <c r="T10" s="23" t="s">
        <v>130</v>
      </c>
      <c r="U10" s="24"/>
    </row>
    <row r="11" customFormat="false" ht="26.85" hidden="false" customHeight="false" outlineLevel="0" collapsed="false">
      <c r="A11" s="23" t="n">
        <v>10</v>
      </c>
      <c r="B11" s="30" t="s">
        <v>818</v>
      </c>
      <c r="C11" s="24" t="s">
        <v>7576</v>
      </c>
      <c r="D11" s="24" t="s">
        <v>819</v>
      </c>
      <c r="E11" s="24" t="s">
        <v>7577</v>
      </c>
      <c r="F11" s="23" t="n">
        <f aca="false">COUNTIF(A타입_제작표!$G$2:$G$799,B11)</f>
        <v>8</v>
      </c>
      <c r="G11" s="23" t="n">
        <f aca="false">COUNTIFS(A타입_제작표!$G$2:$G$799,B11,A타입_제작표!$C$2:$C$799,1)</f>
        <v>6</v>
      </c>
      <c r="H11" s="23" t="n">
        <f aca="false">F11*안내!$C$7+안내!$C$8</f>
        <v>536</v>
      </c>
      <c r="I11" s="23" t="n">
        <f aca="false">ROUND(H11/60,1)</f>
        <v>8.9</v>
      </c>
      <c r="J11" s="23" t="str">
        <f aca="false">INDEX(A타입_제작표!$B$2:$B$799,MATCH(B11,A타입_제작표!$G$2:$G$799,0))</f>
        <v>A0079</v>
      </c>
      <c r="K11" s="23" t="str">
        <f aca="false">INDEX(A타입_제작표!$B$2:$B$799,MATCH(B11,A타입_제작표!$G$2:$G$799,0)+F11-1)</f>
        <v>A0086</v>
      </c>
      <c r="L11" s="24" t="s">
        <v>7286</v>
      </c>
      <c r="M11" s="24" t="s">
        <v>7578</v>
      </c>
      <c r="N11" s="24" t="s">
        <v>7579</v>
      </c>
      <c r="O11" s="24"/>
      <c r="P11" s="26" t="n">
        <f aca="false">_xlfn.MAXIFS(A타입_제작표!$U$2:$U$799,A타입_제작표!$G$2:$G$799,B11)</f>
        <v>46617</v>
      </c>
      <c r="Q11" s="23" t="s">
        <v>130</v>
      </c>
      <c r="R11" s="23" t="s">
        <v>130</v>
      </c>
      <c r="S11" s="23" t="s">
        <v>130</v>
      </c>
      <c r="T11" s="23" t="s">
        <v>130</v>
      </c>
      <c r="U11" s="24"/>
    </row>
    <row r="12" customFormat="false" ht="26.85" hidden="false" customHeight="false" outlineLevel="0" collapsed="false">
      <c r="A12" s="23" t="n">
        <v>11</v>
      </c>
      <c r="B12" s="30" t="s">
        <v>891</v>
      </c>
      <c r="C12" s="24" t="s">
        <v>7580</v>
      </c>
      <c r="D12" s="24" t="s">
        <v>819</v>
      </c>
      <c r="E12" s="24" t="s">
        <v>7581</v>
      </c>
      <c r="F12" s="23" t="n">
        <f aca="false">COUNTIF(A타입_제작표!$G$2:$G$799,B12)</f>
        <v>11</v>
      </c>
      <c r="G12" s="23" t="n">
        <f aca="false">COUNTIFS(A타입_제작표!$G$2:$G$799,B12,A타입_제작표!$C$2:$C$799,1)</f>
        <v>5</v>
      </c>
      <c r="H12" s="23" t="n">
        <f aca="false">F12*안내!$C$7+안내!$C$8</f>
        <v>692</v>
      </c>
      <c r="I12" s="23" t="n">
        <f aca="false">ROUND(H12/60,1)</f>
        <v>11.5</v>
      </c>
      <c r="J12" s="23" t="str">
        <f aca="false">INDEX(A타입_제작표!$B$2:$B$799,MATCH(B12,A타입_제작표!$G$2:$G$799,0))</f>
        <v>A0087</v>
      </c>
      <c r="K12" s="23" t="str">
        <f aca="false">INDEX(A타입_제작표!$B$2:$B$799,MATCH(B12,A타입_제작표!$G$2:$G$799,0)+F12-1)</f>
        <v>A0097</v>
      </c>
      <c r="L12" s="24" t="s">
        <v>7110</v>
      </c>
      <c r="M12" s="24" t="s">
        <v>7582</v>
      </c>
      <c r="N12" s="24" t="s">
        <v>7583</v>
      </c>
      <c r="O12" s="24"/>
      <c r="P12" s="26" t="n">
        <f aca="false">_xlfn.MAXIFS(A타입_제작표!$U$2:$U$799,A타입_제작표!$G$2:$G$799,B12)</f>
        <v>46623</v>
      </c>
      <c r="Q12" s="23" t="s">
        <v>130</v>
      </c>
      <c r="R12" s="23" t="s">
        <v>130</v>
      </c>
      <c r="S12" s="23" t="s">
        <v>130</v>
      </c>
      <c r="T12" s="23" t="s">
        <v>130</v>
      </c>
      <c r="U12" s="24"/>
    </row>
    <row r="13" customFormat="false" ht="26.85" hidden="false" customHeight="false" outlineLevel="0" collapsed="false">
      <c r="A13" s="23" t="n">
        <v>12</v>
      </c>
      <c r="B13" s="30" t="s">
        <v>985</v>
      </c>
      <c r="C13" s="24" t="s">
        <v>7584</v>
      </c>
      <c r="D13" s="24" t="s">
        <v>819</v>
      </c>
      <c r="E13" s="24" t="s">
        <v>7585</v>
      </c>
      <c r="F13" s="23" t="n">
        <f aca="false">COUNTIF(A타입_제작표!$G$2:$G$799,B13)</f>
        <v>8</v>
      </c>
      <c r="G13" s="23" t="n">
        <f aca="false">COUNTIFS(A타입_제작표!$G$2:$G$799,B13,A타입_제작표!$C$2:$C$799,1)</f>
        <v>6</v>
      </c>
      <c r="H13" s="23" t="n">
        <f aca="false">F13*안내!$C$7+안내!$C$8</f>
        <v>536</v>
      </c>
      <c r="I13" s="23" t="n">
        <f aca="false">ROUND(H13/60,1)</f>
        <v>8.9</v>
      </c>
      <c r="J13" s="23" t="str">
        <f aca="false">INDEX(A타입_제작표!$B$2:$B$799,MATCH(B13,A타입_제작표!$G$2:$G$799,0))</f>
        <v>A0098</v>
      </c>
      <c r="K13" s="23" t="str">
        <f aca="false">INDEX(A타입_제작표!$B$2:$B$799,MATCH(B13,A타입_제작표!$G$2:$G$799,0)+F13-1)</f>
        <v>A0105</v>
      </c>
      <c r="L13" s="24" t="s">
        <v>7292</v>
      </c>
      <c r="M13" s="24" t="s">
        <v>7586</v>
      </c>
      <c r="N13" s="24" t="s">
        <v>7587</v>
      </c>
      <c r="O13" s="24"/>
      <c r="P13" s="26" t="n">
        <f aca="false">_xlfn.MAXIFS(A타입_제작표!$U$2:$U$799,A타입_제작표!$G$2:$G$799,B13)</f>
        <v>46625</v>
      </c>
      <c r="Q13" s="23" t="s">
        <v>130</v>
      </c>
      <c r="R13" s="23" t="s">
        <v>130</v>
      </c>
      <c r="S13" s="23" t="s">
        <v>130</v>
      </c>
      <c r="T13" s="23" t="s">
        <v>130</v>
      </c>
      <c r="U13" s="24"/>
    </row>
    <row r="14" customFormat="false" ht="26.85" hidden="false" customHeight="false" outlineLevel="0" collapsed="false">
      <c r="A14" s="23" t="n">
        <v>13</v>
      </c>
      <c r="B14" s="30" t="s">
        <v>1058</v>
      </c>
      <c r="C14" s="24" t="s">
        <v>7588</v>
      </c>
      <c r="D14" s="24" t="s">
        <v>819</v>
      </c>
      <c r="E14" s="24" t="s">
        <v>7589</v>
      </c>
      <c r="F14" s="23" t="n">
        <f aca="false">COUNTIF(A타입_제작표!$G$2:$G$799,B14)</f>
        <v>8</v>
      </c>
      <c r="G14" s="23" t="n">
        <f aca="false">COUNTIFS(A타입_제작표!$G$2:$G$799,B14,A타입_제작표!$C$2:$C$799,1)</f>
        <v>4</v>
      </c>
      <c r="H14" s="23" t="n">
        <f aca="false">F14*안내!$C$7+안내!$C$8</f>
        <v>536</v>
      </c>
      <c r="I14" s="23" t="n">
        <f aca="false">ROUND(H14/60,1)</f>
        <v>8.9</v>
      </c>
      <c r="J14" s="23" t="str">
        <f aca="false">INDEX(A타입_제작표!$B$2:$B$799,MATCH(B14,A타입_제작표!$G$2:$G$799,0))</f>
        <v>A0106</v>
      </c>
      <c r="K14" s="23" t="str">
        <f aca="false">INDEX(A타입_제작표!$B$2:$B$799,MATCH(B14,A타입_제작표!$G$2:$G$799,0)+F14-1)</f>
        <v>A0113</v>
      </c>
      <c r="L14" s="24" t="s">
        <v>7116</v>
      </c>
      <c r="M14" s="24" t="s">
        <v>7590</v>
      </c>
      <c r="N14" s="24" t="s">
        <v>7591</v>
      </c>
      <c r="O14" s="24"/>
      <c r="P14" s="26" t="n">
        <f aca="false">_xlfn.MAXIFS(A타입_제작표!$U$2:$U$799,A타입_제작표!$G$2:$G$799,B14)</f>
        <v>46629</v>
      </c>
      <c r="Q14" s="23" t="s">
        <v>130</v>
      </c>
      <c r="R14" s="23" t="s">
        <v>130</v>
      </c>
      <c r="S14" s="23" t="s">
        <v>130</v>
      </c>
      <c r="T14" s="23" t="s">
        <v>130</v>
      </c>
      <c r="U14" s="24"/>
    </row>
    <row r="15" customFormat="false" ht="26.85" hidden="false" customHeight="false" outlineLevel="0" collapsed="false">
      <c r="A15" s="23" t="n">
        <v>14</v>
      </c>
      <c r="B15" s="30" t="s">
        <v>1131</v>
      </c>
      <c r="C15" s="24" t="s">
        <v>7592</v>
      </c>
      <c r="D15" s="24" t="s">
        <v>819</v>
      </c>
      <c r="E15" s="24" t="s">
        <v>7593</v>
      </c>
      <c r="F15" s="23" t="n">
        <f aca="false">COUNTIF(A타입_제작표!$G$2:$G$799,B15)</f>
        <v>7</v>
      </c>
      <c r="G15" s="23" t="n">
        <f aca="false">COUNTIFS(A타입_제작표!$G$2:$G$799,B15,A타입_제작표!$C$2:$C$799,1)</f>
        <v>2</v>
      </c>
      <c r="H15" s="23" t="n">
        <f aca="false">F15*안내!$C$7+안내!$C$8</f>
        <v>484</v>
      </c>
      <c r="I15" s="23" t="n">
        <f aca="false">ROUND(H15/60,1)</f>
        <v>8.1</v>
      </c>
      <c r="J15" s="23" t="str">
        <f aca="false">INDEX(A타입_제작표!$B$2:$B$799,MATCH(B15,A타입_제작표!$G$2:$G$799,0))</f>
        <v>A0114</v>
      </c>
      <c r="K15" s="23" t="str">
        <f aca="false">INDEX(A타입_제작표!$B$2:$B$799,MATCH(B15,A타입_제작표!$G$2:$G$799,0)+F15-1)</f>
        <v>A0120</v>
      </c>
      <c r="L15" s="24" t="s">
        <v>7594</v>
      </c>
      <c r="M15" s="24" t="s">
        <v>7595</v>
      </c>
      <c r="N15" s="24" t="s">
        <v>7596</v>
      </c>
      <c r="O15" s="24"/>
      <c r="P15" s="26" t="n">
        <f aca="false">_xlfn.MAXIFS(A타입_제작표!$U$2:$U$799,A타입_제작표!$G$2:$G$799,B15)</f>
        <v>46634</v>
      </c>
      <c r="Q15" s="23" t="s">
        <v>130</v>
      </c>
      <c r="R15" s="23" t="s">
        <v>130</v>
      </c>
      <c r="S15" s="23" t="s">
        <v>130</v>
      </c>
      <c r="T15" s="23" t="s">
        <v>130</v>
      </c>
      <c r="U15" s="24"/>
    </row>
    <row r="16" customFormat="false" ht="26.85" hidden="false" customHeight="false" outlineLevel="0" collapsed="false">
      <c r="A16" s="23" t="n">
        <v>15</v>
      </c>
      <c r="B16" s="30" t="s">
        <v>1192</v>
      </c>
      <c r="C16" s="24" t="s">
        <v>7295</v>
      </c>
      <c r="D16" s="24" t="s">
        <v>1194</v>
      </c>
      <c r="E16" s="24" t="s">
        <v>7296</v>
      </c>
      <c r="F16" s="23" t="n">
        <f aca="false">COUNTIF(A타입_제작표!$G$2:$G$799,B16)</f>
        <v>12</v>
      </c>
      <c r="G16" s="23" t="n">
        <f aca="false">COUNTIFS(A타입_제작표!$G$2:$G$799,B16,A타입_제작표!$C$2:$C$799,1)</f>
        <v>1</v>
      </c>
      <c r="H16" s="23" t="n">
        <f aca="false">F16*안내!$C$7+안내!$C$8</f>
        <v>744</v>
      </c>
      <c r="I16" s="23" t="n">
        <f aca="false">ROUND(H16/60,1)</f>
        <v>12.4</v>
      </c>
      <c r="J16" s="23" t="str">
        <f aca="false">INDEX(A타입_제작표!$B$2:$B$799,MATCH(B16,A타입_제작표!$G$2:$G$799,0))</f>
        <v>A0121</v>
      </c>
      <c r="K16" s="23" t="str">
        <f aca="false">INDEX(A타입_제작표!$B$2:$B$799,MATCH(B16,A타입_제작표!$G$2:$G$799,0)+F16-1)</f>
        <v>A0132</v>
      </c>
      <c r="L16" s="24" t="s">
        <v>7297</v>
      </c>
      <c r="M16" s="24" t="s">
        <v>7298</v>
      </c>
      <c r="N16" s="24" t="s">
        <v>7299</v>
      </c>
      <c r="O16" s="24"/>
      <c r="P16" s="26" t="n">
        <f aca="false">_xlfn.MAXIFS(A타입_제작표!$U$2:$U$799,A타입_제작표!$G$2:$G$799,B16)</f>
        <v>46645</v>
      </c>
      <c r="Q16" s="23" t="s">
        <v>130</v>
      </c>
      <c r="R16" s="23" t="s">
        <v>130</v>
      </c>
      <c r="S16" s="23" t="s">
        <v>130</v>
      </c>
      <c r="T16" s="23" t="s">
        <v>130</v>
      </c>
      <c r="U16" s="24"/>
    </row>
    <row r="17" customFormat="false" ht="26.85" hidden="false" customHeight="false" outlineLevel="0" collapsed="false">
      <c r="A17" s="23" t="n">
        <v>16</v>
      </c>
      <c r="B17" s="30" t="s">
        <v>1293</v>
      </c>
      <c r="C17" s="24" t="s">
        <v>7597</v>
      </c>
      <c r="D17" s="24" t="s">
        <v>1295</v>
      </c>
      <c r="E17" s="24" t="s">
        <v>7598</v>
      </c>
      <c r="F17" s="23" t="n">
        <f aca="false">COUNTIF(A타입_제작표!$G$2:$G$799,B17)</f>
        <v>8</v>
      </c>
      <c r="G17" s="23" t="n">
        <f aca="false">COUNTIFS(A타입_제작표!$G$2:$G$799,B17,A타입_제작표!$C$2:$C$799,1)</f>
        <v>2</v>
      </c>
      <c r="H17" s="23" t="n">
        <f aca="false">F17*안내!$C$7+안내!$C$8</f>
        <v>536</v>
      </c>
      <c r="I17" s="23" t="n">
        <f aca="false">ROUND(H17/60,1)</f>
        <v>8.9</v>
      </c>
      <c r="J17" s="23" t="str">
        <f aca="false">INDEX(A타입_제작표!$B$2:$B$799,MATCH(B17,A타입_제작표!$G$2:$G$799,0))</f>
        <v>A0133</v>
      </c>
      <c r="K17" s="23" t="str">
        <f aca="false">INDEX(A타입_제작표!$B$2:$B$799,MATCH(B17,A타입_제작표!$G$2:$G$799,0)+F17-1)</f>
        <v>A0140</v>
      </c>
      <c r="L17" s="24" t="s">
        <v>7122</v>
      </c>
      <c r="M17" s="24" t="s">
        <v>7599</v>
      </c>
      <c r="N17" s="24" t="s">
        <v>7600</v>
      </c>
      <c r="O17" s="24"/>
      <c r="P17" s="26" t="n">
        <f aca="false">_xlfn.MAXIFS(A타입_제작표!$U$2:$U$799,A타입_제작표!$G$2:$G$799,B17)</f>
        <v>46651</v>
      </c>
      <c r="Q17" s="23" t="s">
        <v>130</v>
      </c>
      <c r="R17" s="23" t="s">
        <v>130</v>
      </c>
      <c r="S17" s="23" t="s">
        <v>130</v>
      </c>
      <c r="T17" s="23" t="s">
        <v>130</v>
      </c>
      <c r="U17" s="24"/>
    </row>
    <row r="18" customFormat="false" ht="26.85" hidden="false" customHeight="false" outlineLevel="0" collapsed="false">
      <c r="A18" s="23" t="n">
        <v>17</v>
      </c>
      <c r="B18" s="30" t="s">
        <v>1362</v>
      </c>
      <c r="C18" s="24" t="s">
        <v>7304</v>
      </c>
      <c r="D18" s="24" t="s">
        <v>1295</v>
      </c>
      <c r="E18" s="24" t="s">
        <v>7601</v>
      </c>
      <c r="F18" s="23" t="n">
        <f aca="false">COUNTIF(A타입_제작표!$G$2:$G$799,B18)</f>
        <v>14</v>
      </c>
      <c r="G18" s="23" t="n">
        <f aca="false">COUNTIFS(A타입_제작표!$G$2:$G$799,B18,A타입_제작표!$C$2:$C$799,1)</f>
        <v>2</v>
      </c>
      <c r="H18" s="23" t="n">
        <f aca="false">F18*안내!$C$7+안내!$C$8</f>
        <v>848</v>
      </c>
      <c r="I18" s="23" t="n">
        <f aca="false">ROUND(H18/60,1)</f>
        <v>14.1</v>
      </c>
      <c r="J18" s="23" t="str">
        <f aca="false">INDEX(A타입_제작표!$B$2:$B$799,MATCH(B18,A타입_제작표!$G$2:$G$799,0))</f>
        <v>A0141</v>
      </c>
      <c r="K18" s="23" t="str">
        <f aca="false">INDEX(A타입_제작표!$B$2:$B$799,MATCH(B18,A타입_제작표!$G$2:$G$799,0)+F18-1)</f>
        <v>A0154</v>
      </c>
      <c r="L18" s="24" t="s">
        <v>7306</v>
      </c>
      <c r="M18" s="24" t="s">
        <v>7307</v>
      </c>
      <c r="N18" s="24" t="s">
        <v>7308</v>
      </c>
      <c r="O18" s="24"/>
      <c r="P18" s="26" t="n">
        <f aca="false">_xlfn.MAXIFS(A타입_제작표!$U$2:$U$799,A타입_제작표!$G$2:$G$799,B18)</f>
        <v>46663</v>
      </c>
      <c r="Q18" s="23" t="s">
        <v>130</v>
      </c>
      <c r="R18" s="23" t="s">
        <v>130</v>
      </c>
      <c r="S18" s="23" t="s">
        <v>130</v>
      </c>
      <c r="T18" s="23" t="s">
        <v>130</v>
      </c>
      <c r="U18" s="24"/>
    </row>
    <row r="19" customFormat="false" ht="26.85" hidden="false" customHeight="false" outlineLevel="0" collapsed="false">
      <c r="A19" s="23" t="n">
        <v>18</v>
      </c>
      <c r="B19" s="30" t="s">
        <v>1482</v>
      </c>
      <c r="C19" s="24" t="s">
        <v>7309</v>
      </c>
      <c r="D19" s="24" t="s">
        <v>1484</v>
      </c>
      <c r="E19" s="24" t="s">
        <v>7602</v>
      </c>
      <c r="F19" s="23" t="n">
        <f aca="false">COUNTIF(A타입_제작표!$G$2:$G$799,B19)</f>
        <v>14</v>
      </c>
      <c r="G19" s="23" t="n">
        <f aca="false">COUNTIFS(A타입_제작표!$G$2:$G$799,B19,A타입_제작표!$C$2:$C$799,1)</f>
        <v>2</v>
      </c>
      <c r="H19" s="23" t="n">
        <f aca="false">F19*안내!$C$7+안내!$C$8</f>
        <v>848</v>
      </c>
      <c r="I19" s="23" t="n">
        <f aca="false">ROUND(H19/60,1)</f>
        <v>14.1</v>
      </c>
      <c r="J19" s="23" t="str">
        <f aca="false">INDEX(A타입_제작표!$B$2:$B$799,MATCH(B19,A타입_제작표!$G$2:$G$799,0))</f>
        <v>A0155</v>
      </c>
      <c r="K19" s="23" t="str">
        <f aca="false">INDEX(A타입_제작표!$B$2:$B$799,MATCH(B19,A타입_제작표!$G$2:$G$799,0)+F19-1)</f>
        <v>A0168</v>
      </c>
      <c r="L19" s="24" t="s">
        <v>7311</v>
      </c>
      <c r="M19" s="24" t="s">
        <v>7312</v>
      </c>
      <c r="N19" s="24" t="s">
        <v>7313</v>
      </c>
      <c r="O19" s="24"/>
      <c r="P19" s="26" t="n">
        <f aca="false">_xlfn.MAXIFS(A타입_제작표!$U$2:$U$799,A타입_제작표!$G$2:$G$799,B19)</f>
        <v>46675</v>
      </c>
      <c r="Q19" s="23" t="s">
        <v>130</v>
      </c>
      <c r="R19" s="23" t="s">
        <v>130</v>
      </c>
      <c r="S19" s="23" t="s">
        <v>130</v>
      </c>
      <c r="T19" s="23" t="s">
        <v>130</v>
      </c>
      <c r="U19" s="24"/>
    </row>
    <row r="20" customFormat="false" ht="39.55" hidden="false" customHeight="false" outlineLevel="0" collapsed="false">
      <c r="A20" s="23" t="n">
        <v>19</v>
      </c>
      <c r="B20" s="30" t="s">
        <v>1590</v>
      </c>
      <c r="C20" s="24" t="s">
        <v>7603</v>
      </c>
      <c r="D20" s="24" t="s">
        <v>1591</v>
      </c>
      <c r="E20" s="24" t="s">
        <v>7604</v>
      </c>
      <c r="F20" s="23" t="n">
        <f aca="false">COUNTIF(A타입_제작표!$G$2:$G$799,B20)</f>
        <v>7</v>
      </c>
      <c r="G20" s="23" t="n">
        <f aca="false">COUNTIFS(A타입_제작표!$G$2:$G$799,B20,A타입_제작표!$C$2:$C$799,1)</f>
        <v>5</v>
      </c>
      <c r="H20" s="23" t="n">
        <f aca="false">F20*안내!$C$7+안내!$C$8</f>
        <v>484</v>
      </c>
      <c r="I20" s="23" t="n">
        <f aca="false">ROUND(H20/60,1)</f>
        <v>8.1</v>
      </c>
      <c r="J20" s="23" t="str">
        <f aca="false">INDEX(A타입_제작표!$B$2:$B$799,MATCH(B20,A타입_제작표!$G$2:$G$799,0))</f>
        <v>A0169</v>
      </c>
      <c r="K20" s="23" t="str">
        <f aca="false">INDEX(A타입_제작표!$B$2:$B$799,MATCH(B20,A타입_제작표!$G$2:$G$799,0)+F20-1)</f>
        <v>A0175</v>
      </c>
      <c r="L20" s="24" t="s">
        <v>7317</v>
      </c>
      <c r="M20" s="24" t="s">
        <v>7605</v>
      </c>
      <c r="N20" s="24" t="s">
        <v>7606</v>
      </c>
      <c r="O20" s="24"/>
      <c r="P20" s="26" t="n">
        <f aca="false">_xlfn.MAXIFS(A타입_제작표!$U$2:$U$799,A타입_제작표!$G$2:$G$799,B20)</f>
        <v>46677</v>
      </c>
      <c r="Q20" s="23" t="s">
        <v>130</v>
      </c>
      <c r="R20" s="23" t="s">
        <v>130</v>
      </c>
      <c r="S20" s="23" t="s">
        <v>130</v>
      </c>
      <c r="T20" s="23" t="s">
        <v>130</v>
      </c>
      <c r="U20" s="24"/>
    </row>
    <row r="21" customFormat="false" ht="26.85" hidden="false" customHeight="false" outlineLevel="0" collapsed="false">
      <c r="A21" s="23" t="n">
        <v>20</v>
      </c>
      <c r="B21" s="30" t="s">
        <v>1654</v>
      </c>
      <c r="C21" s="24" t="s">
        <v>7607</v>
      </c>
      <c r="D21" s="24" t="s">
        <v>1591</v>
      </c>
      <c r="E21" s="24" t="s">
        <v>7608</v>
      </c>
      <c r="F21" s="23" t="n">
        <f aca="false">COUNTIF(A타입_제작표!$G$2:$G$799,B21)</f>
        <v>9</v>
      </c>
      <c r="G21" s="23" t="n">
        <f aca="false">COUNTIFS(A타입_제작표!$G$2:$G$799,B21,A타입_제작표!$C$2:$C$799,1)</f>
        <v>2</v>
      </c>
      <c r="H21" s="23" t="n">
        <f aca="false">F21*안내!$C$7+안내!$C$8</f>
        <v>588</v>
      </c>
      <c r="I21" s="23" t="n">
        <f aca="false">ROUND(H21/60,1)</f>
        <v>9.8</v>
      </c>
      <c r="J21" s="23" t="str">
        <f aca="false">INDEX(A타입_제작표!$B$2:$B$799,MATCH(B21,A타입_제작표!$G$2:$G$799,0))</f>
        <v>A0176</v>
      </c>
      <c r="K21" s="23" t="str">
        <f aca="false">INDEX(A타입_제작표!$B$2:$B$799,MATCH(B21,A타입_제작표!$G$2:$G$799,0)+F21-1)</f>
        <v>A0184</v>
      </c>
      <c r="L21" s="24" t="s">
        <v>7128</v>
      </c>
      <c r="M21" s="24" t="s">
        <v>7609</v>
      </c>
      <c r="N21" s="24" t="s">
        <v>7610</v>
      </c>
      <c r="O21" s="24"/>
      <c r="P21" s="26" t="n">
        <f aca="false">_xlfn.MAXIFS(A타입_제작표!$U$2:$U$799,A타입_제작표!$G$2:$G$799,B21)</f>
        <v>46684</v>
      </c>
      <c r="Q21" s="23" t="s">
        <v>130</v>
      </c>
      <c r="R21" s="23" t="s">
        <v>130</v>
      </c>
      <c r="S21" s="23" t="s">
        <v>130</v>
      </c>
      <c r="T21" s="23" t="s">
        <v>130</v>
      </c>
      <c r="U21" s="24"/>
    </row>
    <row r="22" customFormat="false" ht="26.85" hidden="false" customHeight="false" outlineLevel="0" collapsed="false">
      <c r="A22" s="23" t="n">
        <v>21</v>
      </c>
      <c r="B22" s="30" t="s">
        <v>1730</v>
      </c>
      <c r="C22" s="24" t="s">
        <v>7611</v>
      </c>
      <c r="D22" s="24" t="s">
        <v>1732</v>
      </c>
      <c r="E22" s="24" t="s">
        <v>7612</v>
      </c>
      <c r="F22" s="23" t="n">
        <f aca="false">COUNTIF(A타입_제작표!$G$2:$G$799,B22)</f>
        <v>9</v>
      </c>
      <c r="G22" s="23" t="n">
        <f aca="false">COUNTIFS(A타입_제작표!$G$2:$G$799,B22,A타입_제작표!$C$2:$C$799,1)</f>
        <v>3</v>
      </c>
      <c r="H22" s="23" t="n">
        <f aca="false">F22*안내!$C$7+안내!$C$8</f>
        <v>588</v>
      </c>
      <c r="I22" s="23" t="n">
        <f aca="false">ROUND(H22/60,1)</f>
        <v>9.8</v>
      </c>
      <c r="J22" s="23" t="str">
        <f aca="false">INDEX(A타입_제작표!$B$2:$B$799,MATCH(B22,A타입_제작표!$G$2:$G$799,0))</f>
        <v>A0185</v>
      </c>
      <c r="K22" s="23" t="str">
        <f aca="false">INDEX(A타입_제작표!$B$2:$B$799,MATCH(B22,A타입_제작표!$G$2:$G$799,0)+F22-1)</f>
        <v>A0193</v>
      </c>
      <c r="L22" s="24" t="s">
        <v>7323</v>
      </c>
      <c r="M22" s="24" t="s">
        <v>7613</v>
      </c>
      <c r="N22" s="24" t="s">
        <v>7614</v>
      </c>
      <c r="O22" s="24"/>
      <c r="P22" s="26" t="n">
        <f aca="false">_xlfn.MAXIFS(A타입_제작표!$U$2:$U$799,A타입_제작표!$G$2:$G$799,B22)</f>
        <v>46690</v>
      </c>
      <c r="Q22" s="23" t="s">
        <v>130</v>
      </c>
      <c r="R22" s="23" t="s">
        <v>130</v>
      </c>
      <c r="S22" s="23" t="s">
        <v>130</v>
      </c>
      <c r="T22" s="23" t="s">
        <v>130</v>
      </c>
      <c r="U22" s="24"/>
    </row>
    <row r="23" customFormat="false" ht="26.85" hidden="false" customHeight="false" outlineLevel="0" collapsed="false">
      <c r="A23" s="23" t="n">
        <v>22</v>
      </c>
      <c r="B23" s="30" t="s">
        <v>1814</v>
      </c>
      <c r="C23" s="24" t="s">
        <v>7615</v>
      </c>
      <c r="D23" s="24" t="s">
        <v>1732</v>
      </c>
      <c r="E23" s="24" t="s">
        <v>7616</v>
      </c>
      <c r="F23" s="23" t="n">
        <f aca="false">COUNTIF(A타입_제작표!$G$2:$G$799,B23)</f>
        <v>11</v>
      </c>
      <c r="G23" s="23" t="n">
        <f aca="false">COUNTIFS(A타입_제작표!$G$2:$G$799,B23,A타입_제작표!$C$2:$C$799,1)</f>
        <v>3</v>
      </c>
      <c r="H23" s="23" t="n">
        <f aca="false">F23*안내!$C$7+안내!$C$8</f>
        <v>692</v>
      </c>
      <c r="I23" s="23" t="n">
        <f aca="false">ROUND(H23/60,1)</f>
        <v>11.5</v>
      </c>
      <c r="J23" s="23" t="str">
        <f aca="false">INDEX(A타입_제작표!$B$2:$B$799,MATCH(B23,A타입_제작표!$G$2:$G$799,0))</f>
        <v>A0194</v>
      </c>
      <c r="K23" s="23" t="str">
        <f aca="false">INDEX(A타입_제작표!$B$2:$B$799,MATCH(B23,A타입_제작표!$G$2:$G$799,0)+F23-1)</f>
        <v>A0204</v>
      </c>
      <c r="L23" s="24" t="s">
        <v>7617</v>
      </c>
      <c r="M23" s="24" t="s">
        <v>7618</v>
      </c>
      <c r="N23" s="24" t="s">
        <v>7619</v>
      </c>
      <c r="O23" s="24"/>
      <c r="P23" s="26" t="n">
        <f aca="false">_xlfn.MAXIFS(A타입_제작표!$U$2:$U$799,A타입_제작표!$G$2:$G$799,B23)</f>
        <v>46698</v>
      </c>
      <c r="Q23" s="23" t="s">
        <v>130</v>
      </c>
      <c r="R23" s="23" t="s">
        <v>130</v>
      </c>
      <c r="S23" s="23" t="s">
        <v>130</v>
      </c>
      <c r="T23" s="23" t="s">
        <v>130</v>
      </c>
      <c r="U23" s="24"/>
    </row>
    <row r="24" customFormat="false" ht="26.85" hidden="false" customHeight="false" outlineLevel="0" collapsed="false">
      <c r="A24" s="23" t="n">
        <v>23</v>
      </c>
      <c r="B24" s="30" t="s">
        <v>1913</v>
      </c>
      <c r="C24" s="24" t="s">
        <v>7620</v>
      </c>
      <c r="D24" s="24" t="s">
        <v>7621</v>
      </c>
      <c r="E24" s="24" t="s">
        <v>7622</v>
      </c>
      <c r="F24" s="23" t="n">
        <f aca="false">COUNTIF(A타입_제작표!$G$2:$G$799,B24)</f>
        <v>8</v>
      </c>
      <c r="G24" s="23" t="n">
        <f aca="false">COUNTIFS(A타입_제작표!$G$2:$G$799,B24,A타입_제작표!$C$2:$C$799,1)</f>
        <v>6</v>
      </c>
      <c r="H24" s="23" t="n">
        <f aca="false">F24*안내!$C$7+안내!$C$8</f>
        <v>536</v>
      </c>
      <c r="I24" s="23" t="n">
        <f aca="false">ROUND(H24/60,1)</f>
        <v>8.9</v>
      </c>
      <c r="J24" s="23" t="str">
        <f aca="false">INDEX(A타입_제작표!$B$2:$B$799,MATCH(B24,A타입_제작표!$G$2:$G$799,0))</f>
        <v>A0205</v>
      </c>
      <c r="K24" s="23" t="str">
        <f aca="false">INDEX(A타입_제작표!$B$2:$B$799,MATCH(B24,A타입_제작표!$G$2:$G$799,0)+F24-1)</f>
        <v>A0212</v>
      </c>
      <c r="L24" s="24" t="s">
        <v>7134</v>
      </c>
      <c r="M24" s="24" t="s">
        <v>7623</v>
      </c>
      <c r="N24" s="24" t="s">
        <v>7624</v>
      </c>
      <c r="O24" s="24"/>
      <c r="P24" s="26" t="n">
        <f aca="false">_xlfn.MAXIFS(A타입_제작표!$U$2:$U$799,A타입_제작표!$G$2:$G$799,B24)</f>
        <v>46700</v>
      </c>
      <c r="Q24" s="23" t="s">
        <v>130</v>
      </c>
      <c r="R24" s="23" t="s">
        <v>130</v>
      </c>
      <c r="S24" s="23" t="s">
        <v>130</v>
      </c>
      <c r="T24" s="23" t="s">
        <v>130</v>
      </c>
      <c r="U24" s="24"/>
    </row>
    <row r="25" customFormat="false" ht="26.85" hidden="false" customHeight="false" outlineLevel="0" collapsed="false">
      <c r="A25" s="23" t="n">
        <v>24</v>
      </c>
      <c r="B25" s="30" t="s">
        <v>1988</v>
      </c>
      <c r="C25" s="24" t="s">
        <v>7625</v>
      </c>
      <c r="D25" s="24" t="s">
        <v>1962</v>
      </c>
      <c r="E25" s="24" t="s">
        <v>7626</v>
      </c>
      <c r="F25" s="23" t="n">
        <f aca="false">COUNTIF(A타입_제작표!$G$2:$G$799,B25)</f>
        <v>9</v>
      </c>
      <c r="G25" s="23" t="n">
        <f aca="false">COUNTIFS(A타입_제작표!$G$2:$G$799,B25,A타입_제작표!$C$2:$C$799,1)</f>
        <v>4</v>
      </c>
      <c r="H25" s="23" t="n">
        <f aca="false">F25*안내!$C$7+안내!$C$8</f>
        <v>588</v>
      </c>
      <c r="I25" s="23" t="n">
        <f aca="false">ROUND(H25/60,1)</f>
        <v>9.8</v>
      </c>
      <c r="J25" s="23" t="str">
        <f aca="false">INDEX(A타입_제작표!$B$2:$B$799,MATCH(B25,A타입_제작표!$G$2:$G$799,0))</f>
        <v>A0213</v>
      </c>
      <c r="K25" s="23" t="str">
        <f aca="false">INDEX(A타입_제작표!$B$2:$B$799,MATCH(B25,A타입_제작표!$G$2:$G$799,0)+F25-1)</f>
        <v>A0221</v>
      </c>
      <c r="L25" s="24" t="s">
        <v>7627</v>
      </c>
      <c r="M25" s="24" t="s">
        <v>7628</v>
      </c>
      <c r="N25" s="24" t="s">
        <v>7629</v>
      </c>
      <c r="O25" s="24"/>
      <c r="P25" s="26" t="n">
        <f aca="false">_xlfn.MAXIFS(A타입_제작표!$U$2:$U$799,A타입_제작표!$G$2:$G$799,B25)</f>
        <v>46705</v>
      </c>
      <c r="Q25" s="23" t="s">
        <v>130</v>
      </c>
      <c r="R25" s="23" t="s">
        <v>130</v>
      </c>
      <c r="S25" s="23" t="s">
        <v>130</v>
      </c>
      <c r="T25" s="23" t="s">
        <v>130</v>
      </c>
      <c r="U25" s="24"/>
    </row>
    <row r="26" customFormat="false" ht="26.85" hidden="false" customHeight="false" outlineLevel="0" collapsed="false">
      <c r="A26" s="23" t="n">
        <v>25</v>
      </c>
      <c r="B26" s="30" t="s">
        <v>2064</v>
      </c>
      <c r="C26" s="24" t="s">
        <v>7630</v>
      </c>
      <c r="D26" s="24" t="s">
        <v>1962</v>
      </c>
      <c r="E26" s="24" t="s">
        <v>7631</v>
      </c>
      <c r="F26" s="23" t="n">
        <f aca="false">COUNTIF(A타입_제작표!$G$2:$G$799,B26)</f>
        <v>10</v>
      </c>
      <c r="G26" s="23" t="n">
        <f aca="false">COUNTIFS(A타입_제작표!$G$2:$G$799,B26,A타입_제작표!$C$2:$C$799,1)</f>
        <v>6</v>
      </c>
      <c r="H26" s="23" t="n">
        <f aca="false">F26*안내!$C$7+안내!$C$8</f>
        <v>640</v>
      </c>
      <c r="I26" s="23" t="n">
        <f aca="false">ROUND(H26/60,1)</f>
        <v>10.7</v>
      </c>
      <c r="J26" s="23" t="str">
        <f aca="false">INDEX(A타입_제작표!$B$2:$B$799,MATCH(B26,A타입_제작표!$G$2:$G$799,0))</f>
        <v>A0222</v>
      </c>
      <c r="K26" s="23" t="str">
        <f aca="false">INDEX(A타입_제작표!$B$2:$B$799,MATCH(B26,A타입_제작표!$G$2:$G$799,0)+F26-1)</f>
        <v>A0231</v>
      </c>
      <c r="L26" s="24" t="s">
        <v>7140</v>
      </c>
      <c r="M26" s="24" t="s">
        <v>7632</v>
      </c>
      <c r="N26" s="24" t="s">
        <v>7633</v>
      </c>
      <c r="O26" s="24"/>
      <c r="P26" s="26" t="n">
        <f aca="false">_xlfn.MAXIFS(A타입_제작표!$U$2:$U$799,A타입_제작표!$G$2:$G$799,B26)</f>
        <v>46709</v>
      </c>
      <c r="Q26" s="23" t="s">
        <v>130</v>
      </c>
      <c r="R26" s="23" t="s">
        <v>130</v>
      </c>
      <c r="S26" s="23" t="s">
        <v>130</v>
      </c>
      <c r="T26" s="23" t="s">
        <v>130</v>
      </c>
      <c r="U26" s="24"/>
    </row>
    <row r="27" customFormat="false" ht="26.85" hidden="false" customHeight="false" outlineLevel="0" collapsed="false">
      <c r="A27" s="23" t="n">
        <v>26</v>
      </c>
      <c r="B27" s="30" t="s">
        <v>2153</v>
      </c>
      <c r="C27" s="24" t="s">
        <v>7634</v>
      </c>
      <c r="D27" s="24" t="s">
        <v>7635</v>
      </c>
      <c r="E27" s="24" t="s">
        <v>7636</v>
      </c>
      <c r="F27" s="23" t="n">
        <f aca="false">COUNTIF(A타입_제작표!$G$2:$G$799,B27)</f>
        <v>8</v>
      </c>
      <c r="G27" s="23" t="n">
        <f aca="false">COUNTIFS(A타입_제작표!$G$2:$G$799,B27,A타입_제작표!$C$2:$C$799,1)</f>
        <v>0</v>
      </c>
      <c r="H27" s="23" t="n">
        <f aca="false">F27*안내!$C$7+안내!$C$8</f>
        <v>536</v>
      </c>
      <c r="I27" s="23" t="n">
        <f aca="false">ROUND(H27/60,1)</f>
        <v>8.9</v>
      </c>
      <c r="J27" s="23" t="str">
        <f aca="false">INDEX(A타입_제작표!$B$2:$B$799,MATCH(B27,A타입_제작표!$G$2:$G$799,0))</f>
        <v>A0232</v>
      </c>
      <c r="K27" s="23" t="str">
        <f aca="false">INDEX(A타입_제작표!$B$2:$B$799,MATCH(B27,A타입_제작표!$G$2:$G$799,0)+F27-1)</f>
        <v>A0239</v>
      </c>
      <c r="L27" s="24" t="s">
        <v>7637</v>
      </c>
      <c r="M27" s="24" t="s">
        <v>7638</v>
      </c>
      <c r="N27" s="24" t="s">
        <v>7639</v>
      </c>
      <c r="O27" s="24"/>
      <c r="P27" s="26" t="n">
        <f aca="false">_xlfn.MAXIFS(A타입_제작표!$U$2:$U$799,A타입_제작표!$G$2:$G$799,B27)</f>
        <v>46717</v>
      </c>
      <c r="Q27" s="23" t="s">
        <v>130</v>
      </c>
      <c r="R27" s="23" t="s">
        <v>130</v>
      </c>
      <c r="S27" s="23" t="s">
        <v>130</v>
      </c>
      <c r="T27" s="23" t="s">
        <v>130</v>
      </c>
      <c r="U27" s="24"/>
    </row>
    <row r="28" customFormat="false" ht="26.85" hidden="false" customHeight="false" outlineLevel="0" collapsed="false">
      <c r="A28" s="23" t="n">
        <v>27</v>
      </c>
      <c r="B28" s="30" t="s">
        <v>2222</v>
      </c>
      <c r="C28" s="24" t="s">
        <v>7640</v>
      </c>
      <c r="D28" s="24" t="s">
        <v>2205</v>
      </c>
      <c r="E28" s="24" t="s">
        <v>7641</v>
      </c>
      <c r="F28" s="23" t="n">
        <f aca="false">COUNTIF(A타입_제작표!$G$2:$G$799,B28)</f>
        <v>8</v>
      </c>
      <c r="G28" s="23" t="n">
        <f aca="false">COUNTIFS(A타입_제작표!$G$2:$G$799,B28,A타입_제작표!$C$2:$C$799,1)</f>
        <v>3</v>
      </c>
      <c r="H28" s="23" t="n">
        <f aca="false">F28*안내!$C$7+안내!$C$8</f>
        <v>536</v>
      </c>
      <c r="I28" s="23" t="n">
        <f aca="false">ROUND(H28/60,1)</f>
        <v>8.9</v>
      </c>
      <c r="J28" s="23" t="str">
        <f aca="false">INDEX(A타입_제작표!$B$2:$B$799,MATCH(B28,A타입_제작표!$G$2:$G$799,0))</f>
        <v>A0240</v>
      </c>
      <c r="K28" s="23" t="str">
        <f aca="false">INDEX(A타입_제작표!$B$2:$B$799,MATCH(B28,A타입_제작표!$G$2:$G$799,0)+F28-1)</f>
        <v>A0247</v>
      </c>
      <c r="L28" s="24" t="s">
        <v>7335</v>
      </c>
      <c r="M28" s="24" t="s">
        <v>7642</v>
      </c>
      <c r="N28" s="24" t="s">
        <v>7643</v>
      </c>
      <c r="O28" s="24"/>
      <c r="P28" s="26" t="n">
        <f aca="false">_xlfn.MAXIFS(A타입_제작표!$U$2:$U$799,A타입_제작표!$G$2:$G$799,B28)</f>
        <v>46722</v>
      </c>
      <c r="Q28" s="23" t="s">
        <v>130</v>
      </c>
      <c r="R28" s="23" t="s">
        <v>130</v>
      </c>
      <c r="S28" s="23" t="s">
        <v>130</v>
      </c>
      <c r="T28" s="23" t="s">
        <v>130</v>
      </c>
      <c r="U28" s="24"/>
    </row>
    <row r="29" customFormat="false" ht="26.85" hidden="false" customHeight="false" outlineLevel="0" collapsed="false">
      <c r="A29" s="23" t="n">
        <v>28</v>
      </c>
      <c r="B29" s="30" t="s">
        <v>2295</v>
      </c>
      <c r="C29" s="24" t="s">
        <v>7644</v>
      </c>
      <c r="D29" s="24" t="s">
        <v>2205</v>
      </c>
      <c r="E29" s="24" t="s">
        <v>7645</v>
      </c>
      <c r="F29" s="23" t="n">
        <f aca="false">COUNTIF(A타입_제작표!$G$2:$G$799,B29)</f>
        <v>11</v>
      </c>
      <c r="G29" s="23" t="n">
        <f aca="false">COUNTIFS(A타입_제작표!$G$2:$G$799,B29,A타입_제작표!$C$2:$C$799,1)</f>
        <v>4</v>
      </c>
      <c r="H29" s="23" t="n">
        <f aca="false">F29*안내!$C$7+안내!$C$8</f>
        <v>692</v>
      </c>
      <c r="I29" s="23" t="n">
        <f aca="false">ROUND(H29/60,1)</f>
        <v>11.5</v>
      </c>
      <c r="J29" s="23" t="str">
        <f aca="false">INDEX(A타입_제작표!$B$2:$B$799,MATCH(B29,A타입_제작표!$G$2:$G$799,0))</f>
        <v>A0248</v>
      </c>
      <c r="K29" s="23" t="str">
        <f aca="false">INDEX(A타입_제작표!$B$2:$B$799,MATCH(B29,A타입_제작표!$G$2:$G$799,0)+F29-1)</f>
        <v>A0258</v>
      </c>
      <c r="L29" s="24" t="s">
        <v>7146</v>
      </c>
      <c r="M29" s="24" t="s">
        <v>7646</v>
      </c>
      <c r="N29" s="24" t="s">
        <v>7647</v>
      </c>
      <c r="O29" s="24"/>
      <c r="P29" s="26" t="n">
        <f aca="false">_xlfn.MAXIFS(A타입_제작표!$U$2:$U$799,A타입_제작표!$G$2:$G$799,B29)</f>
        <v>46729</v>
      </c>
      <c r="Q29" s="23" t="s">
        <v>130</v>
      </c>
      <c r="R29" s="23" t="s">
        <v>130</v>
      </c>
      <c r="S29" s="23" t="s">
        <v>130</v>
      </c>
      <c r="T29" s="23" t="s">
        <v>130</v>
      </c>
      <c r="U29" s="24"/>
    </row>
    <row r="30" customFormat="false" ht="26.85" hidden="false" customHeight="false" outlineLevel="0" collapsed="false">
      <c r="A30" s="23" t="n">
        <v>29</v>
      </c>
      <c r="B30" s="30" t="s">
        <v>2395</v>
      </c>
      <c r="C30" s="24" t="s">
        <v>7648</v>
      </c>
      <c r="D30" s="24" t="s">
        <v>2397</v>
      </c>
      <c r="E30" s="24" t="s">
        <v>7649</v>
      </c>
      <c r="F30" s="23" t="n">
        <f aca="false">COUNTIF(A타입_제작표!$G$2:$G$799,B30)</f>
        <v>10</v>
      </c>
      <c r="G30" s="23" t="n">
        <f aca="false">COUNTIFS(A타입_제작표!$G$2:$G$799,B30,A타입_제작표!$C$2:$C$799,1)</f>
        <v>5</v>
      </c>
      <c r="H30" s="23" t="n">
        <f aca="false">F30*안내!$C$7+안내!$C$8</f>
        <v>640</v>
      </c>
      <c r="I30" s="23" t="n">
        <f aca="false">ROUND(H30/60,1)</f>
        <v>10.7</v>
      </c>
      <c r="J30" s="23" t="str">
        <f aca="false">INDEX(A타입_제작표!$B$2:$B$799,MATCH(B30,A타입_제작표!$G$2:$G$799,0))</f>
        <v>A0259</v>
      </c>
      <c r="K30" s="23" t="str">
        <f aca="false">INDEX(A타입_제작표!$B$2:$B$799,MATCH(B30,A타입_제작표!$G$2:$G$799,0)+F30-1)</f>
        <v>A0268</v>
      </c>
      <c r="L30" s="24" t="s">
        <v>7341</v>
      </c>
      <c r="M30" s="24" t="s">
        <v>7650</v>
      </c>
      <c r="N30" s="24" t="s">
        <v>7651</v>
      </c>
      <c r="O30" s="24"/>
      <c r="P30" s="26" t="n">
        <f aca="false">_xlfn.MAXIFS(A타입_제작표!$U$2:$U$799,A타입_제작표!$G$2:$G$799,B30)</f>
        <v>46734</v>
      </c>
      <c r="Q30" s="23" t="s">
        <v>130</v>
      </c>
      <c r="R30" s="23" t="s">
        <v>130</v>
      </c>
      <c r="S30" s="23" t="s">
        <v>130</v>
      </c>
      <c r="T30" s="23" t="s">
        <v>130</v>
      </c>
      <c r="U30" s="24"/>
    </row>
    <row r="31" customFormat="false" ht="26.85" hidden="false" customHeight="false" outlineLevel="0" collapsed="false">
      <c r="A31" s="23" t="n">
        <v>30</v>
      </c>
      <c r="B31" s="30" t="s">
        <v>2483</v>
      </c>
      <c r="C31" s="24" t="s">
        <v>7652</v>
      </c>
      <c r="D31" s="24" t="s">
        <v>2397</v>
      </c>
      <c r="E31" s="24" t="s">
        <v>7653</v>
      </c>
      <c r="F31" s="23" t="n">
        <f aca="false">COUNTIF(A타입_제작표!$G$2:$G$799,B31)</f>
        <v>8</v>
      </c>
      <c r="G31" s="23" t="n">
        <f aca="false">COUNTIFS(A타입_제작표!$G$2:$G$799,B31,A타입_제작표!$C$2:$C$799,1)</f>
        <v>5</v>
      </c>
      <c r="H31" s="23" t="n">
        <f aca="false">F31*안내!$C$7+안내!$C$8</f>
        <v>536</v>
      </c>
      <c r="I31" s="23" t="n">
        <f aca="false">ROUND(H31/60,1)</f>
        <v>8.9</v>
      </c>
      <c r="J31" s="23" t="str">
        <f aca="false">INDEX(A타입_제작표!$B$2:$B$799,MATCH(B31,A타입_제작표!$G$2:$G$799,0))</f>
        <v>A0269</v>
      </c>
      <c r="K31" s="23" t="str">
        <f aca="false">INDEX(A타입_제작표!$B$2:$B$799,MATCH(B31,A타입_제작표!$G$2:$G$799,0)+F31-1)</f>
        <v>A0276</v>
      </c>
      <c r="L31" s="24" t="s">
        <v>7152</v>
      </c>
      <c r="M31" s="24" t="s">
        <v>7654</v>
      </c>
      <c r="N31" s="24" t="s">
        <v>7655</v>
      </c>
      <c r="O31" s="24"/>
      <c r="P31" s="26" t="n">
        <f aca="false">_xlfn.MAXIFS(A타입_제작표!$U$2:$U$799,A타입_제작표!$G$2:$G$799,B31)</f>
        <v>46737</v>
      </c>
      <c r="Q31" s="23" t="s">
        <v>130</v>
      </c>
      <c r="R31" s="23" t="s">
        <v>130</v>
      </c>
      <c r="S31" s="23" t="s">
        <v>130</v>
      </c>
      <c r="T31" s="23" t="s">
        <v>130</v>
      </c>
      <c r="U31" s="24"/>
    </row>
    <row r="32" customFormat="false" ht="26.85" hidden="false" customHeight="false" outlineLevel="0" collapsed="false">
      <c r="A32" s="23" t="n">
        <v>31</v>
      </c>
      <c r="B32" s="30" t="s">
        <v>2551</v>
      </c>
      <c r="C32" s="24" t="s">
        <v>7656</v>
      </c>
      <c r="D32" s="24" t="s">
        <v>7657</v>
      </c>
      <c r="E32" s="24" t="s">
        <v>7658</v>
      </c>
      <c r="F32" s="23" t="n">
        <f aca="false">COUNTIF(A타입_제작표!$G$2:$G$799,B32)</f>
        <v>8</v>
      </c>
      <c r="G32" s="23" t="n">
        <f aca="false">COUNTIFS(A타입_제작표!$G$2:$G$799,B32,A타입_제작표!$C$2:$C$799,1)</f>
        <v>3</v>
      </c>
      <c r="H32" s="23" t="n">
        <f aca="false">F32*안내!$C$7+안내!$C$8</f>
        <v>536</v>
      </c>
      <c r="I32" s="23" t="n">
        <f aca="false">ROUND(H32/60,1)</f>
        <v>8.9</v>
      </c>
      <c r="J32" s="23" t="str">
        <f aca="false">INDEX(A타입_제작표!$B$2:$B$799,MATCH(B32,A타입_제작표!$G$2:$G$799,0))</f>
        <v>A0277</v>
      </c>
      <c r="K32" s="23" t="str">
        <f aca="false">INDEX(A타입_제작표!$B$2:$B$799,MATCH(B32,A타입_제작표!$G$2:$G$799,0)+F32-1)</f>
        <v>A0284</v>
      </c>
      <c r="L32" s="24" t="s">
        <v>7347</v>
      </c>
      <c r="M32" s="24" t="s">
        <v>7659</v>
      </c>
      <c r="N32" s="24" t="s">
        <v>7660</v>
      </c>
      <c r="O32" s="24"/>
      <c r="P32" s="26" t="n">
        <f aca="false">_xlfn.MAXIFS(A타입_제작표!$U$2:$U$799,A타입_제작표!$G$2:$G$799,B32)</f>
        <v>46742</v>
      </c>
      <c r="Q32" s="23" t="s">
        <v>130</v>
      </c>
      <c r="R32" s="23" t="s">
        <v>130</v>
      </c>
      <c r="S32" s="23" t="s">
        <v>130</v>
      </c>
      <c r="T32" s="23" t="s">
        <v>130</v>
      </c>
      <c r="U32" s="24"/>
    </row>
    <row r="33" customFormat="false" ht="26.85" hidden="false" customHeight="false" outlineLevel="0" collapsed="false">
      <c r="A33" s="23" t="n">
        <v>32</v>
      </c>
      <c r="B33" s="30" t="s">
        <v>2626</v>
      </c>
      <c r="C33" s="24" t="s">
        <v>7661</v>
      </c>
      <c r="D33" s="24" t="s">
        <v>2596</v>
      </c>
      <c r="E33" s="24" t="s">
        <v>7662</v>
      </c>
      <c r="F33" s="23" t="n">
        <f aca="false">COUNTIF(A타입_제작표!$G$2:$G$799,B33)</f>
        <v>10</v>
      </c>
      <c r="G33" s="23" t="n">
        <f aca="false">COUNTIFS(A타입_제작표!$G$2:$G$799,B33,A타입_제작표!$C$2:$C$799,1)</f>
        <v>4</v>
      </c>
      <c r="H33" s="23" t="n">
        <f aca="false">F33*안내!$C$7+안내!$C$8</f>
        <v>640</v>
      </c>
      <c r="I33" s="23" t="n">
        <f aca="false">ROUND(H33/60,1)</f>
        <v>10.7</v>
      </c>
      <c r="J33" s="23" t="str">
        <f aca="false">INDEX(A타입_제작표!$B$2:$B$799,MATCH(B33,A타입_제작표!$G$2:$G$799,0))</f>
        <v>A0285</v>
      </c>
      <c r="K33" s="23" t="str">
        <f aca="false">INDEX(A타입_제작표!$B$2:$B$799,MATCH(B33,A타입_제작표!$G$2:$G$799,0)+F33-1)</f>
        <v>A0294</v>
      </c>
      <c r="L33" s="24" t="s">
        <v>7158</v>
      </c>
      <c r="M33" s="24" t="s">
        <v>7663</v>
      </c>
      <c r="N33" s="24" t="s">
        <v>7664</v>
      </c>
      <c r="O33" s="24"/>
      <c r="P33" s="26" t="n">
        <f aca="false">_xlfn.MAXIFS(A타입_제작표!$U$2:$U$799,A타입_제작표!$G$2:$G$799,B33)</f>
        <v>46748</v>
      </c>
      <c r="Q33" s="23" t="s">
        <v>130</v>
      </c>
      <c r="R33" s="23" t="s">
        <v>130</v>
      </c>
      <c r="S33" s="23" t="s">
        <v>130</v>
      </c>
      <c r="T33" s="23" t="s">
        <v>130</v>
      </c>
      <c r="U33" s="24"/>
    </row>
    <row r="34" customFormat="false" ht="26.85" hidden="false" customHeight="false" outlineLevel="0" collapsed="false">
      <c r="A34" s="23" t="n">
        <v>33</v>
      </c>
      <c r="B34" s="30" t="s">
        <v>2716</v>
      </c>
      <c r="C34" s="24" t="s">
        <v>2770</v>
      </c>
      <c r="D34" s="24" t="s">
        <v>2596</v>
      </c>
      <c r="E34" s="24" t="s">
        <v>7665</v>
      </c>
      <c r="F34" s="23" t="n">
        <f aca="false">COUNTIF(A타입_제작표!$G$2:$G$799,B34)</f>
        <v>7</v>
      </c>
      <c r="G34" s="23" t="n">
        <f aca="false">COUNTIFS(A타입_제작표!$G$2:$G$799,B34,A타입_제작표!$C$2:$C$799,1)</f>
        <v>2</v>
      </c>
      <c r="H34" s="23" t="n">
        <f aca="false">F34*안내!$C$7+안내!$C$8</f>
        <v>484</v>
      </c>
      <c r="I34" s="23" t="n">
        <f aca="false">ROUND(H34/60,1)</f>
        <v>8.1</v>
      </c>
      <c r="J34" s="23" t="str">
        <f aca="false">INDEX(A타입_제작표!$B$2:$B$799,MATCH(B34,A타입_제작표!$G$2:$G$799,0))</f>
        <v>A0295</v>
      </c>
      <c r="K34" s="23" t="str">
        <f aca="false">INDEX(A타입_제작표!$B$2:$B$799,MATCH(B34,A타입_제작표!$G$2:$G$799,0)+F34-1)</f>
        <v>A0301</v>
      </c>
      <c r="L34" s="24" t="s">
        <v>7353</v>
      </c>
      <c r="M34" s="24" t="s">
        <v>7666</v>
      </c>
      <c r="N34" s="24" t="s">
        <v>7667</v>
      </c>
      <c r="O34" s="24"/>
      <c r="P34" s="26" t="n">
        <f aca="false">_xlfn.MAXIFS(A타입_제작표!$U$2:$U$799,A타입_제작표!$G$2:$G$799,B34)</f>
        <v>46753</v>
      </c>
      <c r="Q34" s="23" t="s">
        <v>130</v>
      </c>
      <c r="R34" s="23" t="s">
        <v>130</v>
      </c>
      <c r="S34" s="23" t="s">
        <v>130</v>
      </c>
      <c r="T34" s="23" t="s">
        <v>130</v>
      </c>
      <c r="U34" s="24"/>
    </row>
    <row r="35" customFormat="false" ht="26.85" hidden="false" customHeight="false" outlineLevel="0" collapsed="false">
      <c r="A35" s="23" t="n">
        <v>34</v>
      </c>
      <c r="B35" s="30" t="s">
        <v>2778</v>
      </c>
      <c r="C35" s="24" t="s">
        <v>7668</v>
      </c>
      <c r="D35" s="24" t="s">
        <v>2596</v>
      </c>
      <c r="E35" s="24" t="s">
        <v>7669</v>
      </c>
      <c r="F35" s="23" t="n">
        <f aca="false">COUNTIF(A타입_제작표!$G$2:$G$799,B35)</f>
        <v>8</v>
      </c>
      <c r="G35" s="23" t="n">
        <f aca="false">COUNTIFS(A타입_제작표!$G$2:$G$799,B35,A타입_제작표!$C$2:$C$799,1)</f>
        <v>3</v>
      </c>
      <c r="H35" s="23" t="n">
        <f aca="false">F35*안내!$C$7+안내!$C$8</f>
        <v>536</v>
      </c>
      <c r="I35" s="23" t="n">
        <f aca="false">ROUND(H35/60,1)</f>
        <v>8.9</v>
      </c>
      <c r="J35" s="23" t="str">
        <f aca="false">INDEX(A타입_제작표!$B$2:$B$799,MATCH(B35,A타입_제작표!$G$2:$G$799,0))</f>
        <v>A0302</v>
      </c>
      <c r="K35" s="23" t="str">
        <f aca="false">INDEX(A타입_제작표!$B$2:$B$799,MATCH(B35,A타입_제작표!$G$2:$G$799,0)+F35-1)</f>
        <v>A0309</v>
      </c>
      <c r="L35" s="24" t="s">
        <v>7670</v>
      </c>
      <c r="M35" s="24" t="s">
        <v>7671</v>
      </c>
      <c r="N35" s="24" t="s">
        <v>7672</v>
      </c>
      <c r="O35" s="24"/>
      <c r="P35" s="26" t="n">
        <f aca="false">_xlfn.MAXIFS(A타입_제작표!$U$2:$U$799,A타입_제작표!$G$2:$G$799,B35)</f>
        <v>46758</v>
      </c>
      <c r="Q35" s="23" t="s">
        <v>130</v>
      </c>
      <c r="R35" s="23" t="s">
        <v>130</v>
      </c>
      <c r="S35" s="23" t="s">
        <v>130</v>
      </c>
      <c r="T35" s="23" t="s">
        <v>130</v>
      </c>
      <c r="U35" s="24"/>
    </row>
    <row r="36" customFormat="false" ht="26.85" hidden="false" customHeight="false" outlineLevel="0" collapsed="false">
      <c r="A36" s="23" t="n">
        <v>35</v>
      </c>
      <c r="B36" s="30" t="s">
        <v>2850</v>
      </c>
      <c r="C36" s="24" t="s">
        <v>7356</v>
      </c>
      <c r="D36" s="24" t="s">
        <v>2852</v>
      </c>
      <c r="E36" s="24" t="s">
        <v>7357</v>
      </c>
      <c r="F36" s="23" t="n">
        <f aca="false">COUNTIF(A타입_제작표!$G$2:$G$799,B36)</f>
        <v>7</v>
      </c>
      <c r="G36" s="23" t="n">
        <f aca="false">COUNTIFS(A타입_제작표!$G$2:$G$799,B36,A타입_제작표!$C$2:$C$799,1)</f>
        <v>0</v>
      </c>
      <c r="H36" s="23" t="n">
        <f aca="false">F36*안내!$C$7+안내!$C$8</f>
        <v>484</v>
      </c>
      <c r="I36" s="23" t="n">
        <f aca="false">ROUND(H36/60,1)</f>
        <v>8.1</v>
      </c>
      <c r="J36" s="23" t="str">
        <f aca="false">INDEX(A타입_제작표!$B$2:$B$799,MATCH(B36,A타입_제작표!$G$2:$G$799,0))</f>
        <v>A0310</v>
      </c>
      <c r="K36" s="23" t="str">
        <f aca="false">INDEX(A타입_제작표!$B$2:$B$799,MATCH(B36,A타입_제작표!$G$2:$G$799,0)+F36-1)</f>
        <v>A0316</v>
      </c>
      <c r="L36" s="24" t="s">
        <v>7358</v>
      </c>
      <c r="M36" s="24" t="s">
        <v>7359</v>
      </c>
      <c r="N36" s="24" t="s">
        <v>7360</v>
      </c>
      <c r="O36" s="24"/>
      <c r="P36" s="26" t="n">
        <f aca="false">_xlfn.MAXIFS(A타입_제작표!$U$2:$U$799,A타입_제작표!$G$2:$G$799,B36)</f>
        <v>46765</v>
      </c>
      <c r="Q36" s="23" t="s">
        <v>130</v>
      </c>
      <c r="R36" s="23" t="s">
        <v>130</v>
      </c>
      <c r="S36" s="23" t="s">
        <v>130</v>
      </c>
      <c r="T36" s="23" t="s">
        <v>130</v>
      </c>
      <c r="U36" s="24"/>
    </row>
    <row r="37" customFormat="false" ht="26.85" hidden="false" customHeight="false" outlineLevel="0" collapsed="false">
      <c r="A37" s="23" t="n">
        <v>36</v>
      </c>
      <c r="B37" s="30" t="s">
        <v>2910</v>
      </c>
      <c r="C37" s="24" t="s">
        <v>7673</v>
      </c>
      <c r="D37" s="24" t="s">
        <v>2912</v>
      </c>
      <c r="E37" s="24" t="s">
        <v>7674</v>
      </c>
      <c r="F37" s="23" t="n">
        <f aca="false">COUNTIF(A타입_제작표!$G$2:$G$799,B37)</f>
        <v>8</v>
      </c>
      <c r="G37" s="23" t="n">
        <f aca="false">COUNTIFS(A타입_제작표!$G$2:$G$799,B37,A타입_제작표!$C$2:$C$799,1)</f>
        <v>2</v>
      </c>
      <c r="H37" s="23" t="n">
        <f aca="false">F37*안내!$C$7+안내!$C$8</f>
        <v>536</v>
      </c>
      <c r="I37" s="23" t="n">
        <f aca="false">ROUND(H37/60,1)</f>
        <v>8.9</v>
      </c>
      <c r="J37" s="23" t="str">
        <f aca="false">INDEX(A타입_제작표!$B$2:$B$799,MATCH(B37,A타입_제작표!$G$2:$G$799,0))</f>
        <v>A0317</v>
      </c>
      <c r="K37" s="23" t="str">
        <f aca="false">INDEX(A타입_제작표!$B$2:$B$799,MATCH(B37,A타입_제작표!$G$2:$G$799,0)+F37-1)</f>
        <v>A0324</v>
      </c>
      <c r="L37" s="24" t="s">
        <v>7164</v>
      </c>
      <c r="M37" s="24" t="s">
        <v>7675</v>
      </c>
      <c r="N37" s="24" t="s">
        <v>7676</v>
      </c>
      <c r="O37" s="24"/>
      <c r="P37" s="26" t="n">
        <f aca="false">_xlfn.MAXIFS(A타입_제작표!$U$2:$U$799,A타입_제작표!$G$2:$G$799,B37)</f>
        <v>46771</v>
      </c>
      <c r="Q37" s="23" t="s">
        <v>130</v>
      </c>
      <c r="R37" s="23" t="s">
        <v>130</v>
      </c>
      <c r="S37" s="23" t="s">
        <v>130</v>
      </c>
      <c r="T37" s="23" t="s">
        <v>130</v>
      </c>
      <c r="U37" s="24"/>
    </row>
    <row r="38" customFormat="false" ht="26.85" hidden="false" customHeight="false" outlineLevel="0" collapsed="false">
      <c r="A38" s="23" t="n">
        <v>37</v>
      </c>
      <c r="B38" s="30" t="s">
        <v>2979</v>
      </c>
      <c r="C38" s="24" t="s">
        <v>7677</v>
      </c>
      <c r="D38" s="24" t="s">
        <v>2980</v>
      </c>
      <c r="E38" s="24" t="s">
        <v>7678</v>
      </c>
      <c r="F38" s="23" t="n">
        <f aca="false">COUNTIF(A타입_제작표!$G$2:$G$799,B38)</f>
        <v>8</v>
      </c>
      <c r="G38" s="23" t="n">
        <f aca="false">COUNTIFS(A타입_제작표!$G$2:$G$799,B38,A타입_제작표!$C$2:$C$799,1)</f>
        <v>2</v>
      </c>
      <c r="H38" s="23" t="n">
        <f aca="false">F38*안내!$C$7+안내!$C$8</f>
        <v>536</v>
      </c>
      <c r="I38" s="23" t="n">
        <f aca="false">ROUND(H38/60,1)</f>
        <v>8.9</v>
      </c>
      <c r="J38" s="23" t="str">
        <f aca="false">INDEX(A타입_제작표!$B$2:$B$799,MATCH(B38,A타입_제작표!$G$2:$G$799,0))</f>
        <v>A0325</v>
      </c>
      <c r="K38" s="23" t="str">
        <f aca="false">INDEX(A타입_제작표!$B$2:$B$799,MATCH(B38,A타입_제작표!$G$2:$G$799,0)+F38-1)</f>
        <v>A0332</v>
      </c>
      <c r="L38" s="24" t="s">
        <v>7679</v>
      </c>
      <c r="M38" s="24" t="s">
        <v>7680</v>
      </c>
      <c r="N38" s="24" t="s">
        <v>7681</v>
      </c>
      <c r="O38" s="24"/>
      <c r="P38" s="26" t="n">
        <f aca="false">_xlfn.MAXIFS(A타입_제작표!$U$2:$U$799,A타입_제작표!$G$2:$G$799,B38)</f>
        <v>46777</v>
      </c>
      <c r="Q38" s="23" t="s">
        <v>130</v>
      </c>
      <c r="R38" s="23" t="s">
        <v>130</v>
      </c>
      <c r="S38" s="23" t="s">
        <v>130</v>
      </c>
      <c r="T38" s="23" t="s">
        <v>130</v>
      </c>
      <c r="U38" s="24"/>
    </row>
    <row r="39" customFormat="false" ht="26.85" hidden="false" customHeight="false" outlineLevel="0" collapsed="false">
      <c r="A39" s="23" t="n">
        <v>38</v>
      </c>
      <c r="B39" s="30" t="s">
        <v>3049</v>
      </c>
      <c r="C39" s="24" t="s">
        <v>7682</v>
      </c>
      <c r="D39" s="24" t="s">
        <v>3050</v>
      </c>
      <c r="E39" s="24" t="s">
        <v>7683</v>
      </c>
      <c r="F39" s="23" t="n">
        <f aca="false">COUNTIF(A타입_제작표!$G$2:$G$799,B39)</f>
        <v>9</v>
      </c>
      <c r="G39" s="23" t="n">
        <f aca="false">COUNTIFS(A타입_제작표!$G$2:$G$799,B39,A타입_제작표!$C$2:$C$799,1)</f>
        <v>4</v>
      </c>
      <c r="H39" s="23" t="n">
        <f aca="false">F39*안내!$C$7+안내!$C$8</f>
        <v>588</v>
      </c>
      <c r="I39" s="23" t="n">
        <f aca="false">ROUND(H39/60,1)</f>
        <v>9.8</v>
      </c>
      <c r="J39" s="23" t="str">
        <f aca="false">INDEX(A타입_제작표!$B$2:$B$799,MATCH(B39,A타입_제작표!$G$2:$G$799,0))</f>
        <v>A0333</v>
      </c>
      <c r="K39" s="23" t="str">
        <f aca="false">INDEX(A타입_제작표!$B$2:$B$799,MATCH(B39,A타입_제작표!$G$2:$G$799,0)+F39-1)</f>
        <v>A0341</v>
      </c>
      <c r="L39" s="24" t="s">
        <v>7368</v>
      </c>
      <c r="M39" s="24" t="s">
        <v>7684</v>
      </c>
      <c r="N39" s="24" t="s">
        <v>7685</v>
      </c>
      <c r="O39" s="24"/>
      <c r="P39" s="26" t="n">
        <f aca="false">_xlfn.MAXIFS(A타입_제작표!$U$2:$U$799,A타입_제작표!$G$2:$G$799,B39)</f>
        <v>46782</v>
      </c>
      <c r="Q39" s="23" t="s">
        <v>130</v>
      </c>
      <c r="R39" s="23" t="s">
        <v>130</v>
      </c>
      <c r="S39" s="23" t="s">
        <v>130</v>
      </c>
      <c r="T39" s="23" t="s">
        <v>130</v>
      </c>
      <c r="U39" s="24"/>
    </row>
    <row r="40" customFormat="false" ht="26.85" hidden="false" customHeight="false" outlineLevel="0" collapsed="false">
      <c r="A40" s="23" t="n">
        <v>39</v>
      </c>
      <c r="B40" s="30" t="s">
        <v>3129</v>
      </c>
      <c r="C40" s="24" t="s">
        <v>7686</v>
      </c>
      <c r="D40" s="24" t="s">
        <v>3130</v>
      </c>
      <c r="E40" s="24" t="s">
        <v>7687</v>
      </c>
      <c r="F40" s="23" t="n">
        <f aca="false">COUNTIF(A타입_제작표!$G$2:$G$799,B40)</f>
        <v>10</v>
      </c>
      <c r="G40" s="23" t="n">
        <f aca="false">COUNTIFS(A타입_제작표!$G$2:$G$799,B40,A타입_제작표!$C$2:$C$799,1)</f>
        <v>5</v>
      </c>
      <c r="H40" s="23" t="n">
        <f aca="false">F40*안내!$C$7+안내!$C$8</f>
        <v>640</v>
      </c>
      <c r="I40" s="23" t="n">
        <f aca="false">ROUND(H40/60,1)</f>
        <v>10.7</v>
      </c>
      <c r="J40" s="23" t="str">
        <f aca="false">INDEX(A타입_제작표!$B$2:$B$799,MATCH(B40,A타입_제작표!$G$2:$G$799,0))</f>
        <v>A0342</v>
      </c>
      <c r="K40" s="23" t="str">
        <f aca="false">INDEX(A타입_제작표!$B$2:$B$799,MATCH(B40,A타입_제작표!$G$2:$G$799,0)+F40-1)</f>
        <v>A0351</v>
      </c>
      <c r="L40" s="24" t="s">
        <v>7170</v>
      </c>
      <c r="M40" s="24" t="s">
        <v>7688</v>
      </c>
      <c r="N40" s="24" t="s">
        <v>7689</v>
      </c>
      <c r="O40" s="24"/>
      <c r="P40" s="26" t="n">
        <f aca="false">_xlfn.MAXIFS(A타입_제작표!$U$2:$U$799,A타입_제작표!$G$2:$G$799,B40)</f>
        <v>46787</v>
      </c>
      <c r="Q40" s="23" t="s">
        <v>130</v>
      </c>
      <c r="R40" s="23" t="s">
        <v>130</v>
      </c>
      <c r="S40" s="23" t="s">
        <v>130</v>
      </c>
      <c r="T40" s="23" t="s">
        <v>130</v>
      </c>
      <c r="U40" s="24"/>
    </row>
    <row r="41" customFormat="false" ht="26.85" hidden="false" customHeight="false" outlineLevel="0" collapsed="false">
      <c r="A41" s="23" t="n">
        <v>40</v>
      </c>
      <c r="B41" s="30" t="s">
        <v>3218</v>
      </c>
      <c r="C41" s="24" t="s">
        <v>7690</v>
      </c>
      <c r="D41" s="24" t="s">
        <v>3219</v>
      </c>
      <c r="E41" s="24" t="s">
        <v>7691</v>
      </c>
      <c r="F41" s="23" t="n">
        <f aca="false">COUNTIF(A타입_제작표!$G$2:$G$799,B41)</f>
        <v>11</v>
      </c>
      <c r="G41" s="23" t="n">
        <f aca="false">COUNTIFS(A타입_제작표!$G$2:$G$799,B41,A타입_제작표!$C$2:$C$799,1)</f>
        <v>5</v>
      </c>
      <c r="H41" s="23" t="n">
        <f aca="false">F41*안내!$C$7+안내!$C$8</f>
        <v>692</v>
      </c>
      <c r="I41" s="23" t="n">
        <f aca="false">ROUND(H41/60,1)</f>
        <v>11.5</v>
      </c>
      <c r="J41" s="23" t="str">
        <f aca="false">INDEX(A타입_제작표!$B$2:$B$799,MATCH(B41,A타입_제작표!$G$2:$G$799,0))</f>
        <v>A0352</v>
      </c>
      <c r="K41" s="23" t="str">
        <f aca="false">INDEX(A타입_제작표!$B$2:$B$799,MATCH(B41,A타입_제작표!$G$2:$G$799,0)+F41-1)</f>
        <v>A0362</v>
      </c>
      <c r="L41" s="24" t="s">
        <v>7374</v>
      </c>
      <c r="M41" s="29" t="s">
        <v>7692</v>
      </c>
      <c r="N41" s="24" t="s">
        <v>7693</v>
      </c>
      <c r="O41" s="24"/>
      <c r="P41" s="26" t="n">
        <f aca="false">_xlfn.MAXIFS(A타입_제작표!$U$2:$U$799,A타입_제작표!$G$2:$G$799,B41)</f>
        <v>46793</v>
      </c>
      <c r="Q41" s="23" t="s">
        <v>130</v>
      </c>
      <c r="R41" s="23" t="s">
        <v>130</v>
      </c>
      <c r="S41" s="23" t="s">
        <v>130</v>
      </c>
      <c r="T41" s="23" t="s">
        <v>130</v>
      </c>
      <c r="U41" s="24"/>
    </row>
    <row r="42" customFormat="false" ht="26.85" hidden="false" customHeight="false" outlineLevel="0" collapsed="false">
      <c r="A42" s="23" t="n">
        <v>41</v>
      </c>
      <c r="B42" s="30" t="s">
        <v>3318</v>
      </c>
      <c r="C42" s="24" t="s">
        <v>7694</v>
      </c>
      <c r="D42" s="24" t="s">
        <v>3320</v>
      </c>
      <c r="E42" s="24" t="s">
        <v>7695</v>
      </c>
      <c r="F42" s="23" t="n">
        <f aca="false">COUNTIF(A타입_제작표!$G$2:$G$799,B42)</f>
        <v>8</v>
      </c>
      <c r="G42" s="23" t="n">
        <f aca="false">COUNTIFS(A타입_제작표!$G$2:$G$799,B42,A타입_제작표!$C$2:$C$799,1)</f>
        <v>3</v>
      </c>
      <c r="H42" s="23" t="n">
        <f aca="false">F42*안내!$C$7+안내!$C$8</f>
        <v>536</v>
      </c>
      <c r="I42" s="23" t="n">
        <f aca="false">ROUND(H42/60,1)</f>
        <v>8.9</v>
      </c>
      <c r="J42" s="23" t="str">
        <f aca="false">INDEX(A타입_제작표!$B$2:$B$799,MATCH(B42,A타입_제작표!$G$2:$G$799,0))</f>
        <v>A0363</v>
      </c>
      <c r="K42" s="23" t="str">
        <f aca="false">INDEX(A타입_제작표!$B$2:$B$799,MATCH(B42,A타입_제작표!$G$2:$G$799,0)+F42-1)</f>
        <v>A0370</v>
      </c>
      <c r="L42" s="24" t="s">
        <v>7176</v>
      </c>
      <c r="M42" s="24" t="s">
        <v>7696</v>
      </c>
      <c r="N42" s="24" t="s">
        <v>7697</v>
      </c>
      <c r="O42" s="24"/>
      <c r="P42" s="26" t="n">
        <f aca="false">_xlfn.MAXIFS(A타입_제작표!$U$2:$U$799,A타입_제작표!$G$2:$G$799,B42)</f>
        <v>46798</v>
      </c>
      <c r="Q42" s="23" t="s">
        <v>130</v>
      </c>
      <c r="R42" s="23" t="s">
        <v>130</v>
      </c>
      <c r="S42" s="23" t="s">
        <v>130</v>
      </c>
      <c r="T42" s="23" t="s">
        <v>130</v>
      </c>
      <c r="U42" s="24"/>
    </row>
    <row r="43" customFormat="false" ht="26.85" hidden="false" customHeight="false" outlineLevel="0" collapsed="false">
      <c r="A43" s="23" t="n">
        <v>42</v>
      </c>
      <c r="B43" s="30" t="s">
        <v>3388</v>
      </c>
      <c r="C43" s="24" t="s">
        <v>7377</v>
      </c>
      <c r="D43" s="24" t="s">
        <v>3320</v>
      </c>
      <c r="E43" s="24" t="s">
        <v>7378</v>
      </c>
      <c r="F43" s="23" t="n">
        <f aca="false">COUNTIF(A타입_제작표!$G$2:$G$799,B43)</f>
        <v>8</v>
      </c>
      <c r="G43" s="23" t="n">
        <f aca="false">COUNTIFS(A타입_제작표!$G$2:$G$799,B43,A타입_제작표!$C$2:$C$799,1)</f>
        <v>1</v>
      </c>
      <c r="H43" s="23" t="n">
        <f aca="false">F43*안내!$C$7+안내!$C$8</f>
        <v>536</v>
      </c>
      <c r="I43" s="23" t="n">
        <f aca="false">ROUND(H43/60,1)</f>
        <v>8.9</v>
      </c>
      <c r="J43" s="23" t="str">
        <f aca="false">INDEX(A타입_제작표!$B$2:$B$799,MATCH(B43,A타입_제작표!$G$2:$G$799,0))</f>
        <v>A0371</v>
      </c>
      <c r="K43" s="23" t="str">
        <f aca="false">INDEX(A타입_제작표!$B$2:$B$799,MATCH(B43,A타입_제작표!$G$2:$G$799,0)+F43-1)</f>
        <v>A0378</v>
      </c>
      <c r="L43" s="24" t="s">
        <v>7379</v>
      </c>
      <c r="M43" s="29" t="s">
        <v>7380</v>
      </c>
      <c r="N43" s="24" t="s">
        <v>7381</v>
      </c>
      <c r="O43" s="24"/>
      <c r="P43" s="26" t="n">
        <f aca="false">_xlfn.MAXIFS(A타입_제작표!$U$2:$U$799,A타입_제작표!$G$2:$G$799,B43)</f>
        <v>46805</v>
      </c>
      <c r="Q43" s="23" t="s">
        <v>130</v>
      </c>
      <c r="R43" s="23" t="s">
        <v>130</v>
      </c>
      <c r="S43" s="23" t="s">
        <v>130</v>
      </c>
      <c r="T43" s="23" t="s">
        <v>130</v>
      </c>
      <c r="U43" s="24"/>
    </row>
    <row r="44" customFormat="false" ht="26.85" hidden="false" customHeight="false" outlineLevel="0" collapsed="false">
      <c r="A44" s="23" t="n">
        <v>43</v>
      </c>
      <c r="B44" s="30" t="s">
        <v>3451</v>
      </c>
      <c r="C44" s="24" t="s">
        <v>7382</v>
      </c>
      <c r="D44" s="24" t="s">
        <v>3320</v>
      </c>
      <c r="E44" s="24" t="s">
        <v>7383</v>
      </c>
      <c r="F44" s="23" t="n">
        <f aca="false">COUNTIF(A타입_제작표!$G$2:$G$799,B44)</f>
        <v>7</v>
      </c>
      <c r="G44" s="23" t="n">
        <f aca="false">COUNTIFS(A타입_제작표!$G$2:$G$799,B44,A타입_제작표!$C$2:$C$799,1)</f>
        <v>0</v>
      </c>
      <c r="H44" s="23" t="n">
        <f aca="false">F44*안내!$C$7+안내!$C$8</f>
        <v>484</v>
      </c>
      <c r="I44" s="23" t="n">
        <f aca="false">ROUND(H44/60,1)</f>
        <v>8.1</v>
      </c>
      <c r="J44" s="23" t="str">
        <f aca="false">INDEX(A타입_제작표!$B$2:$B$799,MATCH(B44,A타입_제작표!$G$2:$G$799,0))</f>
        <v>A0379</v>
      </c>
      <c r="K44" s="23" t="str">
        <f aca="false">INDEX(A타입_제작표!$B$2:$B$799,MATCH(B44,A타입_제작표!$G$2:$G$799,0)+F44-1)</f>
        <v>A0385</v>
      </c>
      <c r="L44" s="24" t="s">
        <v>7384</v>
      </c>
      <c r="M44" s="24" t="s">
        <v>7385</v>
      </c>
      <c r="N44" s="24" t="s">
        <v>7386</v>
      </c>
      <c r="O44" s="24"/>
      <c r="P44" s="26" t="n">
        <f aca="false">_xlfn.MAXIFS(A타입_제작표!$U$2:$U$799,A타입_제작표!$G$2:$G$799,B44)</f>
        <v>46812</v>
      </c>
      <c r="Q44" s="23" t="s">
        <v>130</v>
      </c>
      <c r="R44" s="23" t="s">
        <v>130</v>
      </c>
      <c r="S44" s="23" t="s">
        <v>130</v>
      </c>
      <c r="T44" s="23" t="s">
        <v>130</v>
      </c>
      <c r="U44" s="24"/>
    </row>
    <row r="45" customFormat="false" ht="26.85" hidden="false" customHeight="false" outlineLevel="0" collapsed="false">
      <c r="A45" s="23" t="n">
        <v>44</v>
      </c>
      <c r="B45" s="30" t="s">
        <v>3505</v>
      </c>
      <c r="C45" s="24" t="s">
        <v>7698</v>
      </c>
      <c r="D45" s="24" t="s">
        <v>3320</v>
      </c>
      <c r="E45" s="24" t="s">
        <v>7699</v>
      </c>
      <c r="F45" s="23" t="n">
        <f aca="false">COUNTIF(A타입_제작표!$G$2:$G$799,B45)</f>
        <v>8</v>
      </c>
      <c r="G45" s="23" t="n">
        <f aca="false">COUNTIFS(A타입_제작표!$G$2:$G$799,B45,A타입_제작표!$C$2:$C$799,1)</f>
        <v>2</v>
      </c>
      <c r="H45" s="23" t="n">
        <f aca="false">F45*안내!$C$7+안내!$C$8</f>
        <v>536</v>
      </c>
      <c r="I45" s="23" t="n">
        <f aca="false">ROUND(H45/60,1)</f>
        <v>8.9</v>
      </c>
      <c r="J45" s="23" t="str">
        <f aca="false">INDEX(A타입_제작표!$B$2:$B$799,MATCH(B45,A타입_제작표!$G$2:$G$799,0))</f>
        <v>A0386</v>
      </c>
      <c r="K45" s="23" t="str">
        <f aca="false">INDEX(A타입_제작표!$B$2:$B$799,MATCH(B45,A타입_제작표!$G$2:$G$799,0)+F45-1)</f>
        <v>A0393</v>
      </c>
      <c r="L45" s="24" t="s">
        <v>7390</v>
      </c>
      <c r="M45" s="29" t="s">
        <v>7700</v>
      </c>
      <c r="N45" s="24" t="s">
        <v>7701</v>
      </c>
      <c r="O45" s="24"/>
      <c r="P45" s="26" t="n">
        <f aca="false">_xlfn.MAXIFS(A타입_제작표!$U$2:$U$799,A타입_제작표!$G$2:$G$799,B45)</f>
        <v>46818</v>
      </c>
      <c r="Q45" s="23" t="s">
        <v>130</v>
      </c>
      <c r="R45" s="23" t="s">
        <v>130</v>
      </c>
      <c r="S45" s="23" t="s">
        <v>130</v>
      </c>
      <c r="T45" s="23" t="s">
        <v>130</v>
      </c>
      <c r="U45" s="24"/>
    </row>
    <row r="46" customFormat="false" ht="26.85" hidden="false" customHeight="false" outlineLevel="0" collapsed="false">
      <c r="A46" s="23" t="n">
        <v>45</v>
      </c>
      <c r="B46" s="30" t="s">
        <v>3572</v>
      </c>
      <c r="C46" s="24" t="s">
        <v>7702</v>
      </c>
      <c r="D46" s="24" t="s">
        <v>3573</v>
      </c>
      <c r="E46" s="24" t="s">
        <v>7703</v>
      </c>
      <c r="F46" s="23" t="n">
        <f aca="false">COUNTIF(A타입_제작표!$G$2:$G$799,B46)</f>
        <v>9</v>
      </c>
      <c r="G46" s="23" t="n">
        <f aca="false">COUNTIFS(A타입_제작표!$G$2:$G$799,B46,A타입_제작표!$C$2:$C$799,1)</f>
        <v>1</v>
      </c>
      <c r="H46" s="23" t="n">
        <f aca="false">F46*안내!$C$7+안내!$C$8</f>
        <v>588</v>
      </c>
      <c r="I46" s="23" t="n">
        <f aca="false">ROUND(H46/60,1)</f>
        <v>9.8</v>
      </c>
      <c r="J46" s="23" t="str">
        <f aca="false">INDEX(A타입_제작표!$B$2:$B$799,MATCH(B46,A타입_제작표!$G$2:$G$799,0))</f>
        <v>A0394</v>
      </c>
      <c r="K46" s="23" t="str">
        <f aca="false">INDEX(A타입_제작표!$B$2:$B$799,MATCH(B46,A타입_제작표!$G$2:$G$799,0)+F46-1)</f>
        <v>A0402</v>
      </c>
      <c r="L46" s="24" t="s">
        <v>7704</v>
      </c>
      <c r="M46" s="24" t="s">
        <v>7705</v>
      </c>
      <c r="N46" s="24" t="s">
        <v>7706</v>
      </c>
      <c r="O46" s="24"/>
      <c r="P46" s="26" t="n">
        <f aca="false">_xlfn.MAXIFS(A타입_제작표!$U$2:$U$799,A타입_제작표!$G$2:$G$799,B46)</f>
        <v>46826</v>
      </c>
      <c r="Q46" s="23" t="s">
        <v>130</v>
      </c>
      <c r="R46" s="23" t="s">
        <v>130</v>
      </c>
      <c r="S46" s="23" t="s">
        <v>130</v>
      </c>
      <c r="T46" s="23" t="s">
        <v>130</v>
      </c>
      <c r="U46" s="24"/>
    </row>
    <row r="47" customFormat="false" ht="26.85" hidden="false" customHeight="false" outlineLevel="0" collapsed="false">
      <c r="A47" s="23" t="n">
        <v>46</v>
      </c>
      <c r="B47" s="30" t="s">
        <v>3648</v>
      </c>
      <c r="C47" s="24" t="s">
        <v>7393</v>
      </c>
      <c r="D47" s="24" t="s">
        <v>7707</v>
      </c>
      <c r="E47" s="24" t="s">
        <v>7394</v>
      </c>
      <c r="F47" s="23" t="n">
        <f aca="false">COUNTIF(A타입_제작표!$G$2:$G$799,B47)</f>
        <v>8</v>
      </c>
      <c r="G47" s="23" t="n">
        <f aca="false">COUNTIFS(A타입_제작표!$G$2:$G$799,B47,A타입_제작표!$C$2:$C$799,1)</f>
        <v>1</v>
      </c>
      <c r="H47" s="23" t="n">
        <f aca="false">F47*안내!$C$7+안내!$C$8</f>
        <v>536</v>
      </c>
      <c r="I47" s="23" t="n">
        <f aca="false">ROUND(H47/60,1)</f>
        <v>8.9</v>
      </c>
      <c r="J47" s="23" t="str">
        <f aca="false">INDEX(A타입_제작표!$B$2:$B$799,MATCH(B47,A타입_제작표!$G$2:$G$799,0))</f>
        <v>A0403</v>
      </c>
      <c r="K47" s="23" t="str">
        <f aca="false">INDEX(A타입_제작표!$B$2:$B$799,MATCH(B47,A타입_제작표!$G$2:$G$799,0)+F47-1)</f>
        <v>A0410</v>
      </c>
      <c r="L47" s="24" t="s">
        <v>7182</v>
      </c>
      <c r="M47" s="24" t="s">
        <v>7395</v>
      </c>
      <c r="N47" s="24" t="s">
        <v>7396</v>
      </c>
      <c r="O47" s="24"/>
      <c r="P47" s="26" t="n">
        <f aca="false">_xlfn.MAXIFS(A타입_제작표!$U$2:$U$799,A타입_제작표!$G$2:$G$799,B47)</f>
        <v>46833</v>
      </c>
      <c r="Q47" s="23" t="s">
        <v>130</v>
      </c>
      <c r="R47" s="23" t="s">
        <v>130</v>
      </c>
      <c r="S47" s="23" t="s">
        <v>130</v>
      </c>
      <c r="T47" s="23" t="s">
        <v>130</v>
      </c>
      <c r="U47" s="24"/>
    </row>
    <row r="48" customFormat="false" ht="26.85" hidden="false" customHeight="false" outlineLevel="0" collapsed="false">
      <c r="A48" s="23" t="n">
        <v>47</v>
      </c>
      <c r="B48" s="30" t="s">
        <v>3718</v>
      </c>
      <c r="C48" s="24" t="s">
        <v>7708</v>
      </c>
      <c r="D48" s="24" t="s">
        <v>3720</v>
      </c>
      <c r="E48" s="24" t="s">
        <v>7709</v>
      </c>
      <c r="F48" s="23" t="n">
        <f aca="false">COUNTIF(A타입_제작표!$G$2:$G$799,B48)</f>
        <v>8</v>
      </c>
      <c r="G48" s="23" t="n">
        <f aca="false">COUNTIFS(A타입_제작표!$G$2:$G$799,B48,A타입_제작표!$C$2:$C$799,1)</f>
        <v>3</v>
      </c>
      <c r="H48" s="23" t="n">
        <f aca="false">F48*안내!$C$7+안내!$C$8</f>
        <v>536</v>
      </c>
      <c r="I48" s="23" t="n">
        <f aca="false">ROUND(H48/60,1)</f>
        <v>8.9</v>
      </c>
      <c r="J48" s="23" t="str">
        <f aca="false">INDEX(A타입_제작표!$B$2:$B$799,MATCH(B48,A타입_제작표!$G$2:$G$799,0))</f>
        <v>A0411</v>
      </c>
      <c r="K48" s="23" t="str">
        <f aca="false">INDEX(A타입_제작표!$B$2:$B$799,MATCH(B48,A타입_제작표!$G$2:$G$799,0)+F48-1)</f>
        <v>A0418</v>
      </c>
      <c r="L48" s="24" t="s">
        <v>7400</v>
      </c>
      <c r="M48" s="24" t="s">
        <v>7710</v>
      </c>
      <c r="N48" s="24" t="s">
        <v>7711</v>
      </c>
      <c r="O48" s="24"/>
      <c r="P48" s="26" t="n">
        <f aca="false">_xlfn.MAXIFS(A타입_제작표!$U$2:$U$799,A타입_제작표!$G$2:$G$799,B48)</f>
        <v>46838</v>
      </c>
      <c r="Q48" s="23" t="s">
        <v>130</v>
      </c>
      <c r="R48" s="23" t="s">
        <v>130</v>
      </c>
      <c r="S48" s="23" t="s">
        <v>130</v>
      </c>
      <c r="T48" s="23" t="s">
        <v>130</v>
      </c>
      <c r="U48" s="24"/>
    </row>
    <row r="49" customFormat="false" ht="26.85" hidden="false" customHeight="false" outlineLevel="0" collapsed="false">
      <c r="A49" s="23" t="n">
        <v>48</v>
      </c>
      <c r="B49" s="30" t="s">
        <v>3789</v>
      </c>
      <c r="C49" s="24" t="s">
        <v>7712</v>
      </c>
      <c r="D49" s="24" t="s">
        <v>3720</v>
      </c>
      <c r="E49" s="24" t="s">
        <v>7713</v>
      </c>
      <c r="F49" s="23" t="n">
        <f aca="false">COUNTIF(A타입_제작표!$G$2:$G$799,B49)</f>
        <v>8</v>
      </c>
      <c r="G49" s="23" t="n">
        <f aca="false">COUNTIFS(A타입_제작표!$G$2:$G$799,B49,A타입_제작표!$C$2:$C$799,1)</f>
        <v>1</v>
      </c>
      <c r="H49" s="23" t="n">
        <f aca="false">F49*안내!$C$7+안내!$C$8</f>
        <v>536</v>
      </c>
      <c r="I49" s="23" t="n">
        <f aca="false">ROUND(H49/60,1)</f>
        <v>8.9</v>
      </c>
      <c r="J49" s="23" t="str">
        <f aca="false">INDEX(A타입_제작표!$B$2:$B$799,MATCH(B49,A타입_제작표!$G$2:$G$799,0))</f>
        <v>A0419</v>
      </c>
      <c r="K49" s="23" t="str">
        <f aca="false">INDEX(A타입_제작표!$B$2:$B$799,MATCH(B49,A타입_제작표!$G$2:$G$799,0)+F49-1)</f>
        <v>A0426</v>
      </c>
      <c r="L49" s="24" t="s">
        <v>7714</v>
      </c>
      <c r="M49" s="24" t="s">
        <v>7715</v>
      </c>
      <c r="N49" s="24" t="s">
        <v>7716</v>
      </c>
      <c r="O49" s="24"/>
      <c r="P49" s="26" t="n">
        <f aca="false">_xlfn.MAXIFS(A타입_제작표!$U$2:$U$799,A타입_제작표!$G$2:$G$799,B49)</f>
        <v>46845</v>
      </c>
      <c r="Q49" s="23" t="s">
        <v>130</v>
      </c>
      <c r="R49" s="23" t="s">
        <v>130</v>
      </c>
      <c r="S49" s="23" t="s">
        <v>130</v>
      </c>
      <c r="T49" s="23" t="s">
        <v>130</v>
      </c>
      <c r="U49" s="24"/>
    </row>
    <row r="50" customFormat="false" ht="26.85" hidden="false" customHeight="false" outlineLevel="0" collapsed="false">
      <c r="A50" s="23" t="n">
        <v>49</v>
      </c>
      <c r="B50" s="30" t="s">
        <v>3854</v>
      </c>
      <c r="C50" s="24" t="s">
        <v>7403</v>
      </c>
      <c r="D50" s="24" t="s">
        <v>3720</v>
      </c>
      <c r="E50" s="24" t="s">
        <v>7404</v>
      </c>
      <c r="F50" s="23" t="n">
        <f aca="false">COUNTIF(A타입_제작표!$G$2:$G$799,B50)</f>
        <v>10</v>
      </c>
      <c r="G50" s="23" t="n">
        <f aca="false">COUNTIFS(A타입_제작표!$G$2:$G$799,B50,A타입_제작표!$C$2:$C$799,1)</f>
        <v>1</v>
      </c>
      <c r="H50" s="23" t="n">
        <f aca="false">F50*안내!$C$7+안내!$C$8</f>
        <v>640</v>
      </c>
      <c r="I50" s="23" t="n">
        <f aca="false">ROUND(H50/60,1)</f>
        <v>10.7</v>
      </c>
      <c r="J50" s="23" t="str">
        <f aca="false">INDEX(A타입_제작표!$B$2:$B$799,MATCH(B50,A타입_제작표!$G$2:$G$799,0))</f>
        <v>A0427</v>
      </c>
      <c r="K50" s="23" t="str">
        <f aca="false">INDEX(A타입_제작표!$B$2:$B$799,MATCH(B50,A타입_제작표!$G$2:$G$799,0)+F50-1)</f>
        <v>A0436</v>
      </c>
      <c r="L50" s="24" t="s">
        <v>7405</v>
      </c>
      <c r="M50" s="24" t="s">
        <v>7406</v>
      </c>
      <c r="N50" s="24" t="s">
        <v>7407</v>
      </c>
      <c r="O50" s="24"/>
      <c r="P50" s="26" t="n">
        <f aca="false">_xlfn.MAXIFS(A타입_제작표!$U$2:$U$799,A타입_제작표!$G$2:$G$799,B50)</f>
        <v>46854</v>
      </c>
      <c r="Q50" s="23" t="s">
        <v>130</v>
      </c>
      <c r="R50" s="23" t="s">
        <v>130</v>
      </c>
      <c r="S50" s="23" t="s">
        <v>130</v>
      </c>
      <c r="T50" s="23" t="s">
        <v>130</v>
      </c>
      <c r="U50" s="24"/>
    </row>
    <row r="51" customFormat="false" ht="26.85" hidden="false" customHeight="false" outlineLevel="0" collapsed="false">
      <c r="A51" s="23" t="n">
        <v>50</v>
      </c>
      <c r="B51" s="30" t="s">
        <v>3939</v>
      </c>
      <c r="C51" s="24" t="s">
        <v>7408</v>
      </c>
      <c r="D51" s="24" t="s">
        <v>3940</v>
      </c>
      <c r="E51" s="24" t="s">
        <v>7717</v>
      </c>
      <c r="F51" s="23" t="n">
        <f aca="false">COUNTIF(A타입_제작표!$G$2:$G$799,B51)</f>
        <v>10</v>
      </c>
      <c r="G51" s="23" t="n">
        <f aca="false">COUNTIFS(A타입_제작표!$G$2:$G$799,B51,A타입_제작표!$C$2:$C$799,1)</f>
        <v>2</v>
      </c>
      <c r="H51" s="23" t="n">
        <f aca="false">F51*안내!$C$7+안내!$C$8</f>
        <v>640</v>
      </c>
      <c r="I51" s="23" t="n">
        <f aca="false">ROUND(H51/60,1)</f>
        <v>10.7</v>
      </c>
      <c r="J51" s="23" t="str">
        <f aca="false">INDEX(A타입_제작표!$B$2:$B$799,MATCH(B51,A타입_제작표!$G$2:$G$799,0))</f>
        <v>A0437</v>
      </c>
      <c r="K51" s="23" t="str">
        <f aca="false">INDEX(A타입_제작표!$B$2:$B$799,MATCH(B51,A타입_제작표!$G$2:$G$799,0)+F51-1)</f>
        <v>A0446</v>
      </c>
      <c r="L51" s="24" t="s">
        <v>7410</v>
      </c>
      <c r="M51" s="24" t="s">
        <v>7411</v>
      </c>
      <c r="N51" s="24" t="s">
        <v>7412</v>
      </c>
      <c r="O51" s="24"/>
      <c r="P51" s="26" t="n">
        <f aca="false">_xlfn.MAXIFS(A타입_제작표!$U$2:$U$799,A타입_제작표!$G$2:$G$799,B51)</f>
        <v>46862</v>
      </c>
      <c r="Q51" s="23" t="s">
        <v>130</v>
      </c>
      <c r="R51" s="23" t="s">
        <v>130</v>
      </c>
      <c r="S51" s="23" t="s">
        <v>130</v>
      </c>
      <c r="T51" s="23" t="s">
        <v>130</v>
      </c>
      <c r="U51" s="24"/>
    </row>
    <row r="52" customFormat="false" ht="26.85" hidden="false" customHeight="false" outlineLevel="0" collapsed="false">
      <c r="A52" s="23" t="n">
        <v>51</v>
      </c>
      <c r="B52" s="30" t="s">
        <v>4021</v>
      </c>
      <c r="C52" s="24" t="s">
        <v>7413</v>
      </c>
      <c r="D52" s="24" t="s">
        <v>7718</v>
      </c>
      <c r="E52" s="24" t="s">
        <v>7414</v>
      </c>
      <c r="F52" s="23" t="n">
        <f aca="false">COUNTIF(A타입_제작표!$G$2:$G$799,B52)</f>
        <v>13</v>
      </c>
      <c r="G52" s="23" t="n">
        <f aca="false">COUNTIFS(A타입_제작표!$G$2:$G$799,B52,A타입_제작표!$C$2:$C$799,1)</f>
        <v>3</v>
      </c>
      <c r="H52" s="23" t="n">
        <f aca="false">F52*안내!$C$7+안내!$C$8</f>
        <v>796</v>
      </c>
      <c r="I52" s="23" t="n">
        <f aca="false">ROUND(H52/60,1)</f>
        <v>13.3</v>
      </c>
      <c r="J52" s="23" t="str">
        <f aca="false">INDEX(A타입_제작표!$B$2:$B$799,MATCH(B52,A타입_제작표!$G$2:$G$799,0))</f>
        <v>A0447</v>
      </c>
      <c r="K52" s="23" t="str">
        <f aca="false">INDEX(A타입_제작표!$B$2:$B$799,MATCH(B52,A타입_제작표!$G$2:$G$799,0)+F52-1)</f>
        <v>A0459</v>
      </c>
      <c r="L52" s="24" t="s">
        <v>7188</v>
      </c>
      <c r="M52" s="24" t="s">
        <v>7415</v>
      </c>
      <c r="N52" s="24" t="s">
        <v>7416</v>
      </c>
      <c r="O52" s="24"/>
      <c r="P52" s="26" t="n">
        <f aca="false">_xlfn.MAXIFS(A타입_제작표!$U$2:$U$799,A타입_제작표!$G$2:$G$799,B52)</f>
        <v>46872</v>
      </c>
      <c r="Q52" s="23" t="s">
        <v>130</v>
      </c>
      <c r="R52" s="23" t="s">
        <v>130</v>
      </c>
      <c r="S52" s="23" t="s">
        <v>130</v>
      </c>
      <c r="T52" s="23" t="s">
        <v>130</v>
      </c>
      <c r="U52" s="24"/>
    </row>
    <row r="53" customFormat="false" ht="26.85" hidden="false" customHeight="false" outlineLevel="0" collapsed="false">
      <c r="A53" s="23" t="n">
        <v>52</v>
      </c>
      <c r="B53" s="30" t="s">
        <v>4135</v>
      </c>
      <c r="C53" s="24" t="s">
        <v>7417</v>
      </c>
      <c r="D53" s="24" t="s">
        <v>4137</v>
      </c>
      <c r="E53" s="24" t="s">
        <v>7418</v>
      </c>
      <c r="F53" s="23" t="n">
        <f aca="false">COUNTIF(A타입_제작표!$G$2:$G$799,B53)</f>
        <v>14</v>
      </c>
      <c r="G53" s="23" t="n">
        <f aca="false">COUNTIFS(A타입_제작표!$G$2:$G$799,B53,A타입_제작표!$C$2:$C$799,1)</f>
        <v>1</v>
      </c>
      <c r="H53" s="23" t="n">
        <f aca="false">F53*안내!$C$7+안내!$C$8</f>
        <v>848</v>
      </c>
      <c r="I53" s="23" t="n">
        <f aca="false">ROUND(H53/60,1)</f>
        <v>14.1</v>
      </c>
      <c r="J53" s="23" t="str">
        <f aca="false">INDEX(A타입_제작표!$B$2:$B$799,MATCH(B53,A타입_제작표!$G$2:$G$799,0))</f>
        <v>A0460</v>
      </c>
      <c r="K53" s="23" t="str">
        <f aca="false">INDEX(A타입_제작표!$B$2:$B$799,MATCH(B53,A타입_제작표!$G$2:$G$799,0)+F53-1)</f>
        <v>A0473</v>
      </c>
      <c r="L53" s="24" t="s">
        <v>7419</v>
      </c>
      <c r="M53" s="24" t="s">
        <v>7420</v>
      </c>
      <c r="N53" s="24" t="s">
        <v>7421</v>
      </c>
      <c r="O53" s="24"/>
      <c r="P53" s="26" t="n">
        <f aca="false">_xlfn.MAXIFS(A타입_제작표!$U$2:$U$799,A타입_제작표!$G$2:$G$799,B53)</f>
        <v>46885</v>
      </c>
      <c r="Q53" s="23" t="s">
        <v>130</v>
      </c>
      <c r="R53" s="23" t="s">
        <v>130</v>
      </c>
      <c r="S53" s="23" t="s">
        <v>130</v>
      </c>
      <c r="T53" s="23" t="s">
        <v>130</v>
      </c>
      <c r="U53" s="24"/>
    </row>
    <row r="54" customFormat="false" ht="26.85" hidden="false" customHeight="false" outlineLevel="0" collapsed="false">
      <c r="A54" s="23" t="n">
        <v>53</v>
      </c>
      <c r="B54" s="30" t="s">
        <v>4249</v>
      </c>
      <c r="C54" s="24" t="s">
        <v>7719</v>
      </c>
      <c r="D54" s="24" t="s">
        <v>4250</v>
      </c>
      <c r="E54" s="24" t="s">
        <v>7720</v>
      </c>
      <c r="F54" s="23" t="n">
        <f aca="false">COUNTIF(A타입_제작표!$G$2:$G$799,B54)</f>
        <v>13</v>
      </c>
      <c r="G54" s="23" t="n">
        <f aca="false">COUNTIFS(A타입_제작표!$G$2:$G$799,B54,A타입_제작표!$C$2:$C$799,1)</f>
        <v>7</v>
      </c>
      <c r="H54" s="23" t="n">
        <f aca="false">F54*안내!$C$7+안내!$C$8</f>
        <v>796</v>
      </c>
      <c r="I54" s="23" t="n">
        <f aca="false">ROUND(H54/60,1)</f>
        <v>13.3</v>
      </c>
      <c r="J54" s="23" t="str">
        <f aca="false">INDEX(A타입_제작표!$B$2:$B$799,MATCH(B54,A타입_제작표!$G$2:$G$799,0))</f>
        <v>A0474</v>
      </c>
      <c r="K54" s="23" t="str">
        <f aca="false">INDEX(A타입_제작표!$B$2:$B$799,MATCH(B54,A타입_제작표!$G$2:$G$799,0)+F54-1)</f>
        <v>A0486</v>
      </c>
      <c r="L54" s="24" t="s">
        <v>7425</v>
      </c>
      <c r="M54" s="24" t="s">
        <v>7721</v>
      </c>
      <c r="N54" s="24" t="s">
        <v>7722</v>
      </c>
      <c r="O54" s="24"/>
      <c r="P54" s="26" t="n">
        <f aca="false">_xlfn.MAXIFS(A타입_제작표!$U$2:$U$799,A타입_제작표!$G$2:$G$799,B54)</f>
        <v>46891</v>
      </c>
      <c r="Q54" s="23" t="s">
        <v>130</v>
      </c>
      <c r="R54" s="23" t="s">
        <v>130</v>
      </c>
      <c r="S54" s="23" t="s">
        <v>130</v>
      </c>
      <c r="T54" s="23" t="s">
        <v>130</v>
      </c>
      <c r="U54" s="24"/>
    </row>
    <row r="55" customFormat="false" ht="26.85" hidden="false" customHeight="false" outlineLevel="0" collapsed="false">
      <c r="A55" s="23" t="n">
        <v>54</v>
      </c>
      <c r="B55" s="30" t="s">
        <v>4362</v>
      </c>
      <c r="C55" s="24" t="s">
        <v>7428</v>
      </c>
      <c r="D55" s="24" t="s">
        <v>7723</v>
      </c>
      <c r="E55" s="24" t="s">
        <v>7724</v>
      </c>
      <c r="F55" s="23" t="n">
        <f aca="false">COUNTIF(A타입_제작표!$G$2:$G$799,B55)</f>
        <v>11</v>
      </c>
      <c r="G55" s="23" t="n">
        <f aca="false">COUNTIFS(A타입_제작표!$G$2:$G$799,B55,A타입_제작표!$C$2:$C$799,1)</f>
        <v>0</v>
      </c>
      <c r="H55" s="23" t="n">
        <f aca="false">F55*안내!$C$7+안내!$C$8</f>
        <v>692</v>
      </c>
      <c r="I55" s="23" t="n">
        <f aca="false">ROUND(H55/60,1)</f>
        <v>11.5</v>
      </c>
      <c r="J55" s="23" t="str">
        <f aca="false">INDEX(A타입_제작표!$B$2:$B$799,MATCH(B55,A타입_제작표!$G$2:$G$799,0))</f>
        <v>A0487</v>
      </c>
      <c r="K55" s="23" t="str">
        <f aca="false">INDEX(A타입_제작표!$B$2:$B$799,MATCH(B55,A타입_제작표!$G$2:$G$799,0)+F55-1)</f>
        <v>A0497</v>
      </c>
      <c r="L55" s="24" t="s">
        <v>7430</v>
      </c>
      <c r="M55" s="24" t="s">
        <v>7431</v>
      </c>
      <c r="N55" s="24" t="s">
        <v>7432</v>
      </c>
      <c r="O55" s="24"/>
      <c r="P55" s="26" t="n">
        <f aca="false">_xlfn.MAXIFS(A타입_제작표!$U$2:$U$799,A타입_제작표!$G$2:$G$799,B55)</f>
        <v>46902</v>
      </c>
      <c r="Q55" s="23" t="s">
        <v>130</v>
      </c>
      <c r="R55" s="23" t="s">
        <v>130</v>
      </c>
      <c r="S55" s="23" t="s">
        <v>130</v>
      </c>
      <c r="T55" s="23" t="s">
        <v>130</v>
      </c>
      <c r="U55" s="24"/>
    </row>
    <row r="56" customFormat="false" ht="26.85" hidden="false" customHeight="false" outlineLevel="0" collapsed="false">
      <c r="A56" s="23" t="n">
        <v>55</v>
      </c>
      <c r="B56" s="30" t="s">
        <v>4448</v>
      </c>
      <c r="C56" s="24" t="s">
        <v>7725</v>
      </c>
      <c r="D56" s="24" t="s">
        <v>7726</v>
      </c>
      <c r="E56" s="24" t="s">
        <v>7727</v>
      </c>
      <c r="F56" s="23" t="n">
        <f aca="false">COUNTIF(A타입_제작표!$G$2:$G$799,B56)</f>
        <v>10</v>
      </c>
      <c r="G56" s="23" t="n">
        <f aca="false">COUNTIFS(A타입_제작표!$G$2:$G$799,B56,A타입_제작표!$C$2:$C$799,1)</f>
        <v>6</v>
      </c>
      <c r="H56" s="23" t="n">
        <f aca="false">F56*안내!$C$7+안내!$C$8</f>
        <v>640</v>
      </c>
      <c r="I56" s="23" t="n">
        <f aca="false">ROUND(H56/60,1)</f>
        <v>10.7</v>
      </c>
      <c r="J56" s="23" t="str">
        <f aca="false">INDEX(A타입_제작표!$B$2:$B$799,MATCH(B56,A타입_제작표!$G$2:$G$799,0))</f>
        <v>A0498</v>
      </c>
      <c r="K56" s="23" t="str">
        <f aca="false">INDEX(A타입_제작표!$B$2:$B$799,MATCH(B56,A타입_제작표!$G$2:$G$799,0)+F56-1)</f>
        <v>A0507</v>
      </c>
      <c r="L56" s="24" t="s">
        <v>7194</v>
      </c>
      <c r="M56" s="24" t="s">
        <v>7728</v>
      </c>
      <c r="N56" s="24" t="s">
        <v>7729</v>
      </c>
      <c r="O56" s="24"/>
      <c r="P56" s="26" t="n">
        <f aca="false">_xlfn.MAXIFS(A타입_제작표!$U$2:$U$799,A타입_제작표!$G$2:$G$799,B56)</f>
        <v>46906</v>
      </c>
      <c r="Q56" s="23" t="s">
        <v>130</v>
      </c>
      <c r="R56" s="23" t="s">
        <v>130</v>
      </c>
      <c r="S56" s="23" t="s">
        <v>130</v>
      </c>
      <c r="T56" s="23" t="s">
        <v>130</v>
      </c>
      <c r="U56" s="24"/>
    </row>
    <row r="57" customFormat="false" ht="26.85" hidden="false" customHeight="false" outlineLevel="0" collapsed="false">
      <c r="A57" s="23" t="n">
        <v>56</v>
      </c>
      <c r="B57" s="30" t="s">
        <v>4536</v>
      </c>
      <c r="C57" s="24" t="s">
        <v>7434</v>
      </c>
      <c r="D57" s="24" t="s">
        <v>7730</v>
      </c>
      <c r="E57" s="24" t="s">
        <v>7731</v>
      </c>
      <c r="F57" s="23" t="n">
        <f aca="false">COUNTIF(A타입_제작표!$G$2:$G$799,B57)</f>
        <v>14</v>
      </c>
      <c r="G57" s="23" t="n">
        <f aca="false">COUNTIFS(A타입_제작표!$G$2:$G$799,B57,A타입_제작표!$C$2:$C$799,1)</f>
        <v>2</v>
      </c>
      <c r="H57" s="23" t="n">
        <f aca="false">F57*안내!$C$7+안내!$C$8</f>
        <v>848</v>
      </c>
      <c r="I57" s="23" t="n">
        <f aca="false">ROUND(H57/60,1)</f>
        <v>14.1</v>
      </c>
      <c r="J57" s="23" t="str">
        <f aca="false">INDEX(A타입_제작표!$B$2:$B$799,MATCH(B57,A타입_제작표!$G$2:$G$799,0))</f>
        <v>A0508</v>
      </c>
      <c r="K57" s="23" t="str">
        <f aca="false">INDEX(A타입_제작표!$B$2:$B$799,MATCH(B57,A타입_제작표!$G$2:$G$799,0)+F57-1)</f>
        <v>A0521</v>
      </c>
      <c r="L57" s="24" t="s">
        <v>7436</v>
      </c>
      <c r="M57" s="24" t="s">
        <v>7437</v>
      </c>
      <c r="N57" s="24" t="s">
        <v>7438</v>
      </c>
      <c r="O57" s="24"/>
      <c r="P57" s="26" t="n">
        <f aca="false">_xlfn.MAXIFS(A타입_제작표!$U$2:$U$799,A타입_제작표!$G$2:$G$799,B57)</f>
        <v>46918</v>
      </c>
      <c r="Q57" s="23" t="s">
        <v>130</v>
      </c>
      <c r="R57" s="23" t="s">
        <v>130</v>
      </c>
      <c r="S57" s="23" t="s">
        <v>130</v>
      </c>
      <c r="T57" s="23" t="s">
        <v>130</v>
      </c>
      <c r="U57" s="24"/>
    </row>
    <row r="58" customFormat="false" ht="26.85" hidden="false" customHeight="false" outlineLevel="0" collapsed="false">
      <c r="A58" s="23" t="n">
        <v>57</v>
      </c>
      <c r="B58" s="30" t="s">
        <v>4657</v>
      </c>
      <c r="C58" s="24" t="s">
        <v>7732</v>
      </c>
      <c r="D58" s="24" t="s">
        <v>4659</v>
      </c>
      <c r="E58" s="24" t="s">
        <v>7733</v>
      </c>
      <c r="F58" s="23" t="n">
        <f aca="false">COUNTIF(A타입_제작표!$G$2:$G$799,B58)</f>
        <v>8</v>
      </c>
      <c r="G58" s="23" t="n">
        <f aca="false">COUNTIFS(A타입_제작표!$G$2:$G$799,B58,A타입_제작표!$C$2:$C$799,1)</f>
        <v>6</v>
      </c>
      <c r="H58" s="23" t="n">
        <f aca="false">F58*안내!$C$7+안내!$C$8</f>
        <v>536</v>
      </c>
      <c r="I58" s="23" t="n">
        <f aca="false">ROUND(H58/60,1)</f>
        <v>8.9</v>
      </c>
      <c r="J58" s="23" t="str">
        <f aca="false">INDEX(A타입_제작표!$B$2:$B$799,MATCH(B58,A타입_제작표!$G$2:$G$799,0))</f>
        <v>A0522</v>
      </c>
      <c r="K58" s="23" t="str">
        <f aca="false">INDEX(A타입_제작표!$B$2:$B$799,MATCH(B58,A타입_제작표!$G$2:$G$799,0)+F58-1)</f>
        <v>A0529</v>
      </c>
      <c r="L58" s="24" t="s">
        <v>7200</v>
      </c>
      <c r="M58" s="24" t="s">
        <v>7734</v>
      </c>
      <c r="N58" s="24" t="s">
        <v>7735</v>
      </c>
      <c r="O58" s="24"/>
      <c r="P58" s="26" t="n">
        <f aca="false">_xlfn.MAXIFS(A타입_제작표!$U$2:$U$799,A타입_제작표!$G$2:$G$799,B58)</f>
        <v>46582</v>
      </c>
      <c r="Q58" s="23" t="s">
        <v>130</v>
      </c>
      <c r="R58" s="23" t="s">
        <v>130</v>
      </c>
      <c r="S58" s="23" t="s">
        <v>130</v>
      </c>
      <c r="T58" s="23" t="s">
        <v>130</v>
      </c>
      <c r="U58" s="24"/>
    </row>
    <row r="59" customFormat="false" ht="15" hidden="false" customHeight="false" outlineLevel="0" collapsed="false">
      <c r="A59" s="23" t="n">
        <v>58</v>
      </c>
      <c r="B59" s="30" t="s">
        <v>4733</v>
      </c>
      <c r="C59" s="24" t="s">
        <v>7736</v>
      </c>
      <c r="D59" s="24" t="s">
        <v>4659</v>
      </c>
      <c r="E59" s="24" t="s">
        <v>7737</v>
      </c>
      <c r="F59" s="23" t="n">
        <f aca="false">COUNTIF(A타입_제작표!$G$2:$G$799,B59)</f>
        <v>8</v>
      </c>
      <c r="G59" s="23" t="n">
        <f aca="false">COUNTIFS(A타입_제작표!$G$2:$G$799,B59,A타입_제작표!$C$2:$C$799,1)</f>
        <v>5</v>
      </c>
      <c r="H59" s="23" t="n">
        <f aca="false">F59*안내!$C$7+안내!$C$8</f>
        <v>536</v>
      </c>
      <c r="I59" s="23" t="n">
        <f aca="false">ROUND(H59/60,1)</f>
        <v>8.9</v>
      </c>
      <c r="J59" s="23" t="str">
        <f aca="false">INDEX(A타입_제작표!$B$2:$B$799,MATCH(B59,A타입_제작표!$G$2:$G$799,0))</f>
        <v>A0530</v>
      </c>
      <c r="K59" s="23" t="str">
        <f aca="false">INDEX(A타입_제작표!$B$2:$B$799,MATCH(B59,A타입_제작표!$G$2:$G$799,0)+F59-1)</f>
        <v>A0537</v>
      </c>
      <c r="L59" s="24" t="s">
        <v>7738</v>
      </c>
      <c r="M59" s="24" t="s">
        <v>7739</v>
      </c>
      <c r="N59" s="24" t="s">
        <v>7740</v>
      </c>
      <c r="O59" s="24"/>
      <c r="P59" s="26" t="n">
        <f aca="false">_xlfn.MAXIFS(A타입_제작표!$U$2:$U$799,A타입_제작표!$G$2:$G$799,B59)</f>
        <v>46587</v>
      </c>
      <c r="Q59" s="23" t="s">
        <v>130</v>
      </c>
      <c r="R59" s="23" t="s">
        <v>130</v>
      </c>
      <c r="S59" s="23" t="s">
        <v>130</v>
      </c>
      <c r="T59" s="23" t="s">
        <v>130</v>
      </c>
      <c r="U59" s="24"/>
    </row>
    <row r="60" customFormat="false" ht="26.85" hidden="false" customHeight="false" outlineLevel="0" collapsed="false">
      <c r="A60" s="23" t="n">
        <v>59</v>
      </c>
      <c r="B60" s="30" t="s">
        <v>4795</v>
      </c>
      <c r="C60" s="24" t="s">
        <v>7741</v>
      </c>
      <c r="D60" s="24" t="s">
        <v>4659</v>
      </c>
      <c r="E60" s="24" t="s">
        <v>7742</v>
      </c>
      <c r="F60" s="23" t="n">
        <f aca="false">COUNTIF(A타입_제작표!$G$2:$G$799,B60)</f>
        <v>10</v>
      </c>
      <c r="G60" s="23" t="n">
        <f aca="false">COUNTIFS(A타입_제작표!$G$2:$G$799,B60,A타입_제작표!$C$2:$C$799,1)</f>
        <v>4</v>
      </c>
      <c r="H60" s="23" t="n">
        <f aca="false">F60*안내!$C$7+안내!$C$8</f>
        <v>640</v>
      </c>
      <c r="I60" s="23" t="n">
        <f aca="false">ROUND(H60/60,1)</f>
        <v>10.7</v>
      </c>
      <c r="J60" s="23" t="str">
        <f aca="false">INDEX(A타입_제작표!$B$2:$B$799,MATCH(B60,A타입_제작표!$G$2:$G$799,0))</f>
        <v>A0538</v>
      </c>
      <c r="K60" s="23" t="str">
        <f aca="false">INDEX(A타입_제작표!$B$2:$B$799,MATCH(B60,A타입_제작표!$G$2:$G$799,0)+F60-1)</f>
        <v>A0547</v>
      </c>
      <c r="L60" s="24" t="s">
        <v>7206</v>
      </c>
      <c r="M60" s="24" t="s">
        <v>7743</v>
      </c>
      <c r="N60" s="24" t="s">
        <v>7744</v>
      </c>
      <c r="O60" s="24"/>
      <c r="P60" s="26" t="n">
        <f aca="false">_xlfn.MAXIFS(A타입_제작표!$U$2:$U$799,A타입_제작표!$G$2:$G$799,B60)</f>
        <v>46598</v>
      </c>
      <c r="Q60" s="23" t="s">
        <v>130</v>
      </c>
      <c r="R60" s="23" t="s">
        <v>130</v>
      </c>
      <c r="S60" s="23" t="s">
        <v>130</v>
      </c>
      <c r="T60" s="23" t="s">
        <v>130</v>
      </c>
      <c r="U60" s="24"/>
    </row>
    <row r="61" customFormat="false" ht="26.85" hidden="false" customHeight="false" outlineLevel="0" collapsed="false">
      <c r="A61" s="23" t="n">
        <v>60</v>
      </c>
      <c r="B61" s="30" t="s">
        <v>4884</v>
      </c>
      <c r="C61" s="24" t="s">
        <v>7745</v>
      </c>
      <c r="D61" s="24" t="s">
        <v>4659</v>
      </c>
      <c r="E61" s="24" t="s">
        <v>7746</v>
      </c>
      <c r="F61" s="23" t="n">
        <f aca="false">COUNTIF(A타입_제작표!$G$2:$G$799,B61)</f>
        <v>11</v>
      </c>
      <c r="G61" s="23" t="n">
        <f aca="false">COUNTIFS(A타입_제작표!$G$2:$G$799,B61,A타입_제작표!$C$2:$C$799,1)</f>
        <v>6</v>
      </c>
      <c r="H61" s="23" t="n">
        <f aca="false">F61*안내!$C$7+안내!$C$8</f>
        <v>692</v>
      </c>
      <c r="I61" s="23" t="n">
        <f aca="false">ROUND(H61/60,1)</f>
        <v>11.5</v>
      </c>
      <c r="J61" s="23" t="str">
        <f aca="false">INDEX(A타입_제작표!$B$2:$B$799,MATCH(B61,A타입_제작표!$G$2:$G$799,0))</f>
        <v>A0548</v>
      </c>
      <c r="K61" s="23" t="str">
        <f aca="false">INDEX(A타입_제작표!$B$2:$B$799,MATCH(B61,A타입_제작표!$G$2:$G$799,0)+F61-1)</f>
        <v>A0558</v>
      </c>
      <c r="L61" s="24" t="s">
        <v>7446</v>
      </c>
      <c r="M61" s="29" t="s">
        <v>7747</v>
      </c>
      <c r="N61" s="24" t="s">
        <v>7748</v>
      </c>
      <c r="O61" s="24"/>
      <c r="P61" s="26" t="n">
        <f aca="false">_xlfn.MAXIFS(A타입_제작표!$U$2:$U$799,A타입_제작표!$G$2:$G$799,B61)</f>
        <v>46606</v>
      </c>
      <c r="Q61" s="23" t="s">
        <v>130</v>
      </c>
      <c r="R61" s="23" t="s">
        <v>130</v>
      </c>
      <c r="S61" s="23" t="s">
        <v>130</v>
      </c>
      <c r="T61" s="23" t="s">
        <v>130</v>
      </c>
      <c r="U61" s="24"/>
    </row>
    <row r="62" customFormat="false" ht="26.85" hidden="false" customHeight="false" outlineLevel="0" collapsed="false">
      <c r="A62" s="23" t="n">
        <v>61</v>
      </c>
      <c r="B62" s="30" t="s">
        <v>4980</v>
      </c>
      <c r="C62" s="24" t="s">
        <v>7749</v>
      </c>
      <c r="D62" s="24" t="s">
        <v>4659</v>
      </c>
      <c r="E62" s="24" t="s">
        <v>7750</v>
      </c>
      <c r="F62" s="23" t="n">
        <f aca="false">COUNTIF(A타입_제작표!$G$2:$G$799,B62)</f>
        <v>9</v>
      </c>
      <c r="G62" s="23" t="n">
        <f aca="false">COUNTIFS(A타입_제작표!$G$2:$G$799,B62,A타입_제작표!$C$2:$C$799,1)</f>
        <v>3</v>
      </c>
      <c r="H62" s="23" t="n">
        <f aca="false">F62*안내!$C$7+안내!$C$8</f>
        <v>588</v>
      </c>
      <c r="I62" s="23" t="n">
        <f aca="false">ROUND(H62/60,1)</f>
        <v>9.8</v>
      </c>
      <c r="J62" s="23" t="str">
        <f aca="false">INDEX(A타입_제작표!$B$2:$B$799,MATCH(B62,A타입_제작표!$G$2:$G$799,0))</f>
        <v>A0559</v>
      </c>
      <c r="K62" s="23" t="str">
        <f aca="false">INDEX(A타입_제작표!$B$2:$B$799,MATCH(B62,A타입_제작표!$G$2:$G$799,0)+F62-1)</f>
        <v>A0567</v>
      </c>
      <c r="L62" s="24" t="s">
        <v>7212</v>
      </c>
      <c r="M62" s="24" t="s">
        <v>7751</v>
      </c>
      <c r="N62" s="24" t="s">
        <v>7752</v>
      </c>
      <c r="O62" s="24"/>
      <c r="P62" s="26" t="n">
        <f aca="false">_xlfn.MAXIFS(A타입_제작표!$U$2:$U$799,A타입_제작표!$G$2:$G$799,B62)</f>
        <v>46617</v>
      </c>
      <c r="Q62" s="23" t="s">
        <v>130</v>
      </c>
      <c r="R62" s="23" t="s">
        <v>130</v>
      </c>
      <c r="S62" s="23" t="s">
        <v>130</v>
      </c>
      <c r="T62" s="23" t="s">
        <v>130</v>
      </c>
      <c r="U62" s="24"/>
    </row>
    <row r="63" customFormat="false" ht="15" hidden="false" customHeight="false" outlineLevel="0" collapsed="false">
      <c r="A63" s="23" t="n">
        <v>62</v>
      </c>
      <c r="B63" s="30" t="s">
        <v>5057</v>
      </c>
      <c r="C63" s="24" t="s">
        <v>7753</v>
      </c>
      <c r="D63" s="24" t="s">
        <v>4659</v>
      </c>
      <c r="E63" s="24" t="s">
        <v>7754</v>
      </c>
      <c r="F63" s="23" t="n">
        <f aca="false">COUNTIF(A타입_제작표!$G$2:$G$799,B63)</f>
        <v>9</v>
      </c>
      <c r="G63" s="23" t="n">
        <f aca="false">COUNTIFS(A타입_제작표!$G$2:$G$799,B63,A타입_제작표!$C$2:$C$799,1)</f>
        <v>8</v>
      </c>
      <c r="H63" s="23" t="n">
        <f aca="false">F63*안내!$C$7+안내!$C$8</f>
        <v>588</v>
      </c>
      <c r="I63" s="23" t="n">
        <f aca="false">ROUND(H63/60,1)</f>
        <v>9.8</v>
      </c>
      <c r="J63" s="23" t="str">
        <f aca="false">INDEX(A타입_제작표!$B$2:$B$799,MATCH(B63,A타입_제작표!$G$2:$G$799,0))</f>
        <v>A0568</v>
      </c>
      <c r="K63" s="23" t="str">
        <f aca="false">INDEX(A타입_제작표!$B$2:$B$799,MATCH(B63,A타입_제작표!$G$2:$G$799,0)+F63-1)</f>
        <v>A0576</v>
      </c>
      <c r="L63" s="24" t="s">
        <v>7452</v>
      </c>
      <c r="M63" s="24" t="s">
        <v>7755</v>
      </c>
      <c r="N63" s="24" t="s">
        <v>7756</v>
      </c>
      <c r="O63" s="24"/>
      <c r="P63" s="26" t="n">
        <f aca="false">_xlfn.MAXIFS(A타입_제작표!$U$2:$U$799,A타입_제작표!$G$2:$G$799,B63)</f>
        <v>46619</v>
      </c>
      <c r="Q63" s="23" t="s">
        <v>130</v>
      </c>
      <c r="R63" s="23" t="s">
        <v>130</v>
      </c>
      <c r="S63" s="23" t="s">
        <v>130</v>
      </c>
      <c r="T63" s="23" t="s">
        <v>130</v>
      </c>
      <c r="U63" s="24"/>
    </row>
    <row r="64" customFormat="false" ht="26.85" hidden="false" customHeight="false" outlineLevel="0" collapsed="false">
      <c r="A64" s="23" t="n">
        <v>63</v>
      </c>
      <c r="B64" s="30" t="s">
        <v>5133</v>
      </c>
      <c r="C64" s="24" t="s">
        <v>7757</v>
      </c>
      <c r="D64" s="24" t="s">
        <v>5134</v>
      </c>
      <c r="E64" s="24" t="s">
        <v>7758</v>
      </c>
      <c r="F64" s="23" t="n">
        <f aca="false">COUNTIF(A타입_제작표!$G$2:$G$799,B64)</f>
        <v>12</v>
      </c>
      <c r="G64" s="23" t="n">
        <f aca="false">COUNTIFS(A타입_제작표!$G$2:$G$799,B64,A타입_제작표!$C$2:$C$799,1)</f>
        <v>5</v>
      </c>
      <c r="H64" s="23" t="n">
        <f aca="false">F64*안내!$C$7+안내!$C$8</f>
        <v>744</v>
      </c>
      <c r="I64" s="23" t="n">
        <f aca="false">ROUND(H64/60,1)</f>
        <v>12.4</v>
      </c>
      <c r="J64" s="23" t="str">
        <f aca="false">INDEX(A타입_제작표!$B$2:$B$799,MATCH(B64,A타입_제작표!$G$2:$G$799,0))</f>
        <v>A0577</v>
      </c>
      <c r="K64" s="23" t="str">
        <f aca="false">INDEX(A타입_제작표!$B$2:$B$799,MATCH(B64,A타입_제작표!$G$2:$G$799,0)+F64-1)</f>
        <v>A0588</v>
      </c>
      <c r="L64" s="24" t="s">
        <v>7218</v>
      </c>
      <c r="M64" s="24" t="s">
        <v>7759</v>
      </c>
      <c r="N64" s="24" t="s">
        <v>7760</v>
      </c>
      <c r="O64" s="24"/>
      <c r="P64" s="26" t="n">
        <f aca="false">_xlfn.MAXIFS(A타입_제작표!$U$2:$U$799,A타입_제작표!$G$2:$G$799,B64)</f>
        <v>46631</v>
      </c>
      <c r="Q64" s="23" t="s">
        <v>130</v>
      </c>
      <c r="R64" s="23" t="s">
        <v>130</v>
      </c>
      <c r="S64" s="23" t="s">
        <v>130</v>
      </c>
      <c r="T64" s="23" t="s">
        <v>130</v>
      </c>
      <c r="U64" s="24"/>
    </row>
    <row r="65" customFormat="false" ht="15" hidden="false" customHeight="false" outlineLevel="0" collapsed="false">
      <c r="A65" s="23" t="n">
        <v>64</v>
      </c>
      <c r="B65" s="30" t="s">
        <v>5241</v>
      </c>
      <c r="C65" s="24" t="s">
        <v>7761</v>
      </c>
      <c r="D65" s="24" t="s">
        <v>5242</v>
      </c>
      <c r="E65" s="24" t="s">
        <v>7762</v>
      </c>
      <c r="F65" s="23" t="n">
        <f aca="false">COUNTIF(A타입_제작표!$G$2:$G$799,B65)</f>
        <v>8</v>
      </c>
      <c r="G65" s="23" t="n">
        <f aca="false">COUNTIFS(A타입_제작표!$G$2:$G$799,B65,A타입_제작표!$C$2:$C$799,1)</f>
        <v>5</v>
      </c>
      <c r="H65" s="23" t="n">
        <f aca="false">F65*안내!$C$7+안내!$C$8</f>
        <v>536</v>
      </c>
      <c r="I65" s="23" t="n">
        <f aca="false">ROUND(H65/60,1)</f>
        <v>8.9</v>
      </c>
      <c r="J65" s="23" t="str">
        <f aca="false">INDEX(A타입_제작표!$B$2:$B$799,MATCH(B65,A타입_제작표!$G$2:$G$799,0))</f>
        <v>A0589</v>
      </c>
      <c r="K65" s="23" t="str">
        <f aca="false">INDEX(A타입_제작표!$B$2:$B$799,MATCH(B65,A타입_제작표!$G$2:$G$799,0)+F65-1)</f>
        <v>A0596</v>
      </c>
      <c r="L65" s="24" t="s">
        <v>7458</v>
      </c>
      <c r="M65" s="24" t="s">
        <v>7763</v>
      </c>
      <c r="N65" s="24" t="s">
        <v>7764</v>
      </c>
      <c r="O65" s="24"/>
      <c r="P65" s="26" t="n">
        <f aca="false">_xlfn.MAXIFS(A타입_제작표!$U$2:$U$799,A타입_제작표!$G$2:$G$799,B65)</f>
        <v>46636</v>
      </c>
      <c r="Q65" s="23" t="s">
        <v>130</v>
      </c>
      <c r="R65" s="23" t="s">
        <v>130</v>
      </c>
      <c r="S65" s="23" t="s">
        <v>130</v>
      </c>
      <c r="T65" s="23" t="s">
        <v>130</v>
      </c>
      <c r="U65" s="24"/>
    </row>
    <row r="66" customFormat="false" ht="26.85" hidden="false" customHeight="false" outlineLevel="0" collapsed="false">
      <c r="A66" s="23" t="n">
        <v>65</v>
      </c>
      <c r="B66" s="30" t="s">
        <v>5314</v>
      </c>
      <c r="C66" s="24" t="s">
        <v>7765</v>
      </c>
      <c r="D66" s="24" t="s">
        <v>5242</v>
      </c>
      <c r="E66" s="24" t="s">
        <v>7766</v>
      </c>
      <c r="F66" s="23" t="n">
        <f aca="false">COUNTIF(A타입_제작표!$G$2:$G$799,B66)</f>
        <v>10</v>
      </c>
      <c r="G66" s="23" t="n">
        <f aca="false">COUNTIFS(A타입_제작표!$G$2:$G$799,B66,A타입_제작표!$C$2:$C$799,1)</f>
        <v>4</v>
      </c>
      <c r="H66" s="23" t="n">
        <f aca="false">F66*안내!$C$7+안내!$C$8</f>
        <v>640</v>
      </c>
      <c r="I66" s="23" t="n">
        <f aca="false">ROUND(H66/60,1)</f>
        <v>10.7</v>
      </c>
      <c r="J66" s="23" t="str">
        <f aca="false">INDEX(A타입_제작표!$B$2:$B$799,MATCH(B66,A타입_제작표!$G$2:$G$799,0))</f>
        <v>A0597</v>
      </c>
      <c r="K66" s="23" t="str">
        <f aca="false">INDEX(A타입_제작표!$B$2:$B$799,MATCH(B66,A타입_제작표!$G$2:$G$799,0)+F66-1)</f>
        <v>A0606</v>
      </c>
      <c r="L66" s="24" t="s">
        <v>7224</v>
      </c>
      <c r="M66" s="24" t="s">
        <v>7767</v>
      </c>
      <c r="N66" s="24" t="s">
        <v>7768</v>
      </c>
      <c r="O66" s="24"/>
      <c r="P66" s="26" t="n">
        <f aca="false">_xlfn.MAXIFS(A타입_제작표!$U$2:$U$799,A타입_제작표!$G$2:$G$799,B66)</f>
        <v>46647</v>
      </c>
      <c r="Q66" s="23" t="s">
        <v>130</v>
      </c>
      <c r="R66" s="23" t="s">
        <v>130</v>
      </c>
      <c r="S66" s="23" t="s">
        <v>130</v>
      </c>
      <c r="T66" s="23" t="s">
        <v>130</v>
      </c>
      <c r="U66" s="24"/>
    </row>
    <row r="67" customFormat="false" ht="26.85" hidden="false" customHeight="false" outlineLevel="0" collapsed="false">
      <c r="A67" s="23" t="n">
        <v>66</v>
      </c>
      <c r="B67" s="30" t="s">
        <v>5402</v>
      </c>
      <c r="C67" s="24" t="s">
        <v>7769</v>
      </c>
      <c r="D67" s="24" t="s">
        <v>5242</v>
      </c>
      <c r="E67" s="24" t="s">
        <v>7770</v>
      </c>
      <c r="F67" s="23" t="n">
        <f aca="false">COUNTIF(A타입_제작표!$G$2:$G$799,B67)</f>
        <v>10</v>
      </c>
      <c r="G67" s="23" t="n">
        <f aca="false">COUNTIFS(A타입_제작표!$G$2:$G$799,B67,A타입_제작표!$C$2:$C$799,1)</f>
        <v>8</v>
      </c>
      <c r="H67" s="23" t="n">
        <f aca="false">F67*안내!$C$7+안내!$C$8</f>
        <v>640</v>
      </c>
      <c r="I67" s="23" t="n">
        <f aca="false">ROUND(H67/60,1)</f>
        <v>10.7</v>
      </c>
      <c r="J67" s="23" t="str">
        <f aca="false">INDEX(A타입_제작표!$B$2:$B$799,MATCH(B67,A타입_제작표!$G$2:$G$799,0))</f>
        <v>A0607</v>
      </c>
      <c r="K67" s="23" t="str">
        <f aca="false">INDEX(A타입_제작표!$B$2:$B$799,MATCH(B67,A타입_제작표!$G$2:$G$799,0)+F67-1)</f>
        <v>A0616</v>
      </c>
      <c r="L67" s="24" t="s">
        <v>7464</v>
      </c>
      <c r="M67" s="24" t="s">
        <v>7771</v>
      </c>
      <c r="N67" s="24" t="s">
        <v>7772</v>
      </c>
      <c r="O67" s="24"/>
      <c r="P67" s="26" t="n">
        <f aca="false">_xlfn.MAXIFS(A타입_제작표!$U$2:$U$799,A타입_제작표!$G$2:$G$799,B67)</f>
        <v>46650</v>
      </c>
      <c r="Q67" s="23" t="s">
        <v>130</v>
      </c>
      <c r="R67" s="23" t="s">
        <v>130</v>
      </c>
      <c r="S67" s="23" t="s">
        <v>130</v>
      </c>
      <c r="T67" s="23" t="s">
        <v>130</v>
      </c>
      <c r="U67" s="24"/>
    </row>
    <row r="68" customFormat="false" ht="26.85" hidden="false" customHeight="false" outlineLevel="0" collapsed="false">
      <c r="A68" s="23" t="n">
        <v>67</v>
      </c>
      <c r="B68" s="30" t="s">
        <v>5488</v>
      </c>
      <c r="C68" s="24" t="s">
        <v>7227</v>
      </c>
      <c r="D68" s="24" t="s">
        <v>5490</v>
      </c>
      <c r="E68" s="24" t="s">
        <v>7228</v>
      </c>
      <c r="F68" s="23" t="n">
        <f aca="false">COUNTIF(A타입_제작표!$G$2:$G$799,B68)</f>
        <v>10</v>
      </c>
      <c r="G68" s="23" t="n">
        <f aca="false">COUNTIFS(A타입_제작표!$G$2:$G$799,B68,A타입_제작표!$C$2:$C$799,1)</f>
        <v>7</v>
      </c>
      <c r="H68" s="23" t="n">
        <f aca="false">F68*안내!$C$7+안내!$C$8</f>
        <v>640</v>
      </c>
      <c r="I68" s="23" t="n">
        <f aca="false">ROUND(H68/60,1)</f>
        <v>10.7</v>
      </c>
      <c r="J68" s="23" t="str">
        <f aca="false">INDEX(A타입_제작표!$B$2:$B$799,MATCH(B68,A타입_제작표!$G$2:$G$799,0))</f>
        <v>A0617</v>
      </c>
      <c r="K68" s="23" t="str">
        <f aca="false">INDEX(A타입_제작표!$B$2:$B$799,MATCH(B68,A타입_제작표!$G$2:$G$799,0)+F68-1)</f>
        <v>A0626</v>
      </c>
      <c r="L68" s="24" t="s">
        <v>7229</v>
      </c>
      <c r="M68" s="24" t="s">
        <v>7230</v>
      </c>
      <c r="N68" s="24" t="s">
        <v>7231</v>
      </c>
      <c r="O68" s="24"/>
      <c r="P68" s="26" t="n">
        <f aca="false">_xlfn.MAXIFS(A타입_제작표!$U$2:$U$799,A타입_제작표!$G$2:$G$799,B68)</f>
        <v>46655</v>
      </c>
      <c r="Q68" s="23" t="s">
        <v>130</v>
      </c>
      <c r="R68" s="23" t="s">
        <v>130</v>
      </c>
      <c r="S68" s="23" t="s">
        <v>130</v>
      </c>
      <c r="T68" s="23" t="s">
        <v>130</v>
      </c>
      <c r="U68" s="24"/>
    </row>
    <row r="69" customFormat="false" ht="26.85" hidden="false" customHeight="false" outlineLevel="0" collapsed="false">
      <c r="A69" s="23" t="n">
        <v>68</v>
      </c>
      <c r="B69" s="30" t="s">
        <v>5580</v>
      </c>
      <c r="C69" s="24" t="s">
        <v>7773</v>
      </c>
      <c r="D69" s="24" t="s">
        <v>5490</v>
      </c>
      <c r="E69" s="24" t="s">
        <v>7774</v>
      </c>
      <c r="F69" s="23" t="n">
        <f aca="false">COUNTIF(A타입_제작표!$G$2:$G$799,B69)</f>
        <v>8</v>
      </c>
      <c r="G69" s="23" t="n">
        <f aca="false">COUNTIFS(A타입_제작표!$G$2:$G$799,B69,A타입_제작표!$C$2:$C$799,1)</f>
        <v>4</v>
      </c>
      <c r="H69" s="23" t="n">
        <f aca="false">F69*안내!$C$7+안내!$C$8</f>
        <v>536</v>
      </c>
      <c r="I69" s="23" t="n">
        <f aca="false">ROUND(H69/60,1)</f>
        <v>8.9</v>
      </c>
      <c r="J69" s="23" t="str">
        <f aca="false">INDEX(A타입_제작표!$B$2:$B$799,MATCH(B69,A타입_제작표!$G$2:$G$799,0))</f>
        <v>A0627</v>
      </c>
      <c r="K69" s="23" t="str">
        <f aca="false">INDEX(A타입_제작표!$B$2:$B$799,MATCH(B69,A타입_제작표!$G$2:$G$799,0)+F69-1)</f>
        <v>A0634</v>
      </c>
      <c r="L69" s="24" t="s">
        <v>7235</v>
      </c>
      <c r="M69" s="29" t="s">
        <v>7775</v>
      </c>
      <c r="N69" s="24" t="s">
        <v>7776</v>
      </c>
      <c r="O69" s="24"/>
      <c r="P69" s="26" t="n">
        <f aca="false">_xlfn.MAXIFS(A타입_제작표!$U$2:$U$799,A타입_제작표!$G$2:$G$799,B69)</f>
        <v>46662</v>
      </c>
      <c r="Q69" s="23" t="s">
        <v>130</v>
      </c>
      <c r="R69" s="23" t="s">
        <v>130</v>
      </c>
      <c r="S69" s="23" t="s">
        <v>130</v>
      </c>
      <c r="T69" s="23" t="s">
        <v>130</v>
      </c>
      <c r="U69" s="24"/>
    </row>
    <row r="70" customFormat="false" ht="15" hidden="false" customHeight="false" outlineLevel="0" collapsed="false">
      <c r="A70" s="23" t="n">
        <v>69</v>
      </c>
      <c r="B70" s="30" t="s">
        <v>5649</v>
      </c>
      <c r="C70" s="24" t="s">
        <v>7777</v>
      </c>
      <c r="D70" s="24" t="s">
        <v>5490</v>
      </c>
      <c r="E70" s="24" t="s">
        <v>7778</v>
      </c>
      <c r="F70" s="23" t="n">
        <f aca="false">COUNTIF(A타입_제작표!$G$2:$G$799,B70)</f>
        <v>12</v>
      </c>
      <c r="G70" s="23" t="n">
        <f aca="false">COUNTIFS(A타입_제작표!$G$2:$G$799,B70,A타입_제작표!$C$2:$C$799,1)</f>
        <v>7</v>
      </c>
      <c r="H70" s="23" t="n">
        <f aca="false">F70*안내!$C$7+안내!$C$8</f>
        <v>744</v>
      </c>
      <c r="I70" s="23" t="n">
        <f aca="false">ROUND(H70/60,1)</f>
        <v>12.4</v>
      </c>
      <c r="J70" s="23" t="str">
        <f aca="false">INDEX(A타입_제작표!$B$2:$B$799,MATCH(B70,A타입_제작표!$G$2:$G$799,0))</f>
        <v>A0635</v>
      </c>
      <c r="K70" s="23" t="str">
        <f aca="false">INDEX(A타입_제작표!$B$2:$B$799,MATCH(B70,A타입_제작표!$G$2:$G$799,0)+F70-1)</f>
        <v>A0646</v>
      </c>
      <c r="L70" s="24" t="s">
        <v>7470</v>
      </c>
      <c r="M70" s="24" t="s">
        <v>7779</v>
      </c>
      <c r="N70" s="24" t="s">
        <v>7780</v>
      </c>
      <c r="O70" s="24"/>
      <c r="P70" s="26" t="n">
        <f aca="false">_xlfn.MAXIFS(A타입_제작표!$U$2:$U$799,A타입_제작표!$G$2:$G$799,B70)</f>
        <v>46671</v>
      </c>
      <c r="Q70" s="23" t="s">
        <v>130</v>
      </c>
      <c r="R70" s="23" t="s">
        <v>130</v>
      </c>
      <c r="S70" s="23" t="s">
        <v>130</v>
      </c>
      <c r="T70" s="23" t="s">
        <v>130</v>
      </c>
      <c r="U70" s="24"/>
    </row>
    <row r="71" customFormat="false" ht="26.85" hidden="false" customHeight="false" outlineLevel="0" collapsed="false">
      <c r="A71" s="23" t="n">
        <v>70</v>
      </c>
      <c r="B71" s="30" t="s">
        <v>5748</v>
      </c>
      <c r="C71" s="24" t="s">
        <v>7781</v>
      </c>
      <c r="D71" s="24" t="s">
        <v>5750</v>
      </c>
      <c r="E71" s="24" t="s">
        <v>7782</v>
      </c>
      <c r="F71" s="23" t="n">
        <f aca="false">COUNTIF(A타입_제작표!$G$2:$G$799,B71)</f>
        <v>10</v>
      </c>
      <c r="G71" s="23" t="n">
        <f aca="false">COUNTIFS(A타입_제작표!$G$2:$G$799,B71,A타입_제작표!$C$2:$C$799,1)</f>
        <v>6</v>
      </c>
      <c r="H71" s="23" t="n">
        <f aca="false">F71*안내!$C$7+안내!$C$8</f>
        <v>640</v>
      </c>
      <c r="I71" s="23" t="n">
        <f aca="false">ROUND(H71/60,1)</f>
        <v>10.7</v>
      </c>
      <c r="J71" s="23" t="str">
        <f aca="false">INDEX(A타입_제작표!$B$2:$B$799,MATCH(B71,A타입_제작표!$G$2:$G$799,0))</f>
        <v>A0647</v>
      </c>
      <c r="K71" s="23" t="str">
        <f aca="false">INDEX(A타입_제작표!$B$2:$B$799,MATCH(B71,A타입_제작표!$G$2:$G$799,0)+F71-1)</f>
        <v>A0656</v>
      </c>
      <c r="L71" s="24" t="s">
        <v>7241</v>
      </c>
      <c r="M71" s="24" t="s">
        <v>7783</v>
      </c>
      <c r="N71" s="24" t="s">
        <v>7784</v>
      </c>
      <c r="O71" s="24"/>
      <c r="P71" s="26" t="n">
        <f aca="false">_xlfn.MAXIFS(A타입_제작표!$U$2:$U$799,A타입_제작표!$G$2:$G$799,B71)</f>
        <v>46678</v>
      </c>
      <c r="Q71" s="23" t="s">
        <v>130</v>
      </c>
      <c r="R71" s="23" t="s">
        <v>130</v>
      </c>
      <c r="S71" s="23" t="s">
        <v>130</v>
      </c>
      <c r="T71" s="23" t="s">
        <v>130</v>
      </c>
      <c r="U71" s="24"/>
    </row>
    <row r="72" customFormat="false" ht="26.85" hidden="false" customHeight="false" outlineLevel="0" collapsed="false">
      <c r="A72" s="23" t="n">
        <v>71</v>
      </c>
      <c r="B72" s="30" t="s">
        <v>5838</v>
      </c>
      <c r="C72" s="24" t="s">
        <v>7785</v>
      </c>
      <c r="D72" s="24" t="s">
        <v>5750</v>
      </c>
      <c r="E72" s="24" t="s">
        <v>7786</v>
      </c>
      <c r="F72" s="23" t="n">
        <f aca="false">COUNTIF(A타입_제작표!$G$2:$G$799,B72)</f>
        <v>8</v>
      </c>
      <c r="G72" s="23" t="n">
        <f aca="false">COUNTIFS(A타입_제작표!$G$2:$G$799,B72,A타입_제작표!$C$2:$C$799,1)</f>
        <v>4</v>
      </c>
      <c r="H72" s="23" t="n">
        <f aca="false">F72*안내!$C$7+안내!$C$8</f>
        <v>536</v>
      </c>
      <c r="I72" s="23" t="n">
        <f aca="false">ROUND(H72/60,1)</f>
        <v>8.9</v>
      </c>
      <c r="J72" s="23" t="str">
        <f aca="false">INDEX(A타입_제작표!$B$2:$B$799,MATCH(B72,A타입_제작표!$G$2:$G$799,0))</f>
        <v>A0657</v>
      </c>
      <c r="K72" s="23" t="str">
        <f aca="false">INDEX(A타입_제작표!$B$2:$B$799,MATCH(B72,A타입_제작표!$G$2:$G$799,0)+F72-1)</f>
        <v>A0664</v>
      </c>
      <c r="L72" s="24" t="s">
        <v>7476</v>
      </c>
      <c r="M72" s="24" t="s">
        <v>7787</v>
      </c>
      <c r="N72" s="24" t="s">
        <v>7788</v>
      </c>
      <c r="O72" s="24"/>
      <c r="P72" s="26" t="n">
        <f aca="false">_xlfn.MAXIFS(A타입_제작표!$U$2:$U$799,A타입_제작표!$G$2:$G$799,B72)</f>
        <v>46685</v>
      </c>
      <c r="Q72" s="23" t="s">
        <v>130</v>
      </c>
      <c r="R72" s="23" t="s">
        <v>130</v>
      </c>
      <c r="S72" s="23" t="s">
        <v>130</v>
      </c>
      <c r="T72" s="23" t="s">
        <v>130</v>
      </c>
      <c r="U72" s="24"/>
    </row>
    <row r="73" customFormat="false" ht="26.85" hidden="false" customHeight="false" outlineLevel="0" collapsed="false">
      <c r="A73" s="23" t="n">
        <v>72</v>
      </c>
      <c r="B73" s="30" t="s">
        <v>5911</v>
      </c>
      <c r="C73" s="24" t="s">
        <v>7789</v>
      </c>
      <c r="D73" s="24" t="s">
        <v>5750</v>
      </c>
      <c r="E73" s="24" t="s">
        <v>7790</v>
      </c>
      <c r="F73" s="23" t="n">
        <f aca="false">COUNTIF(A타입_제작표!$G$2:$G$799,B73)</f>
        <v>11</v>
      </c>
      <c r="G73" s="23" t="n">
        <f aca="false">COUNTIFS(A타입_제작표!$G$2:$G$799,B73,A타입_제작표!$C$2:$C$799,1)</f>
        <v>5</v>
      </c>
      <c r="H73" s="23" t="n">
        <f aca="false">F73*안내!$C$7+안내!$C$8</f>
        <v>692</v>
      </c>
      <c r="I73" s="23" t="n">
        <f aca="false">ROUND(H73/60,1)</f>
        <v>11.5</v>
      </c>
      <c r="J73" s="23" t="str">
        <f aca="false">INDEX(A타입_제작표!$B$2:$B$799,MATCH(B73,A타입_제작표!$G$2:$G$799,0))</f>
        <v>A0665</v>
      </c>
      <c r="K73" s="23" t="str">
        <f aca="false">INDEX(A타입_제작표!$B$2:$B$799,MATCH(B73,A타입_제작표!$G$2:$G$799,0)+F73-1)</f>
        <v>A0675</v>
      </c>
      <c r="L73" s="24" t="s">
        <v>7247</v>
      </c>
      <c r="M73" s="24" t="s">
        <v>7791</v>
      </c>
      <c r="N73" s="24" t="s">
        <v>7792</v>
      </c>
      <c r="O73" s="24"/>
      <c r="P73" s="26" t="n">
        <f aca="false">_xlfn.MAXIFS(A타입_제작표!$U$2:$U$799,A타입_제작표!$G$2:$G$799,B73)</f>
        <v>46696</v>
      </c>
      <c r="Q73" s="23" t="s">
        <v>130</v>
      </c>
      <c r="R73" s="23" t="s">
        <v>130</v>
      </c>
      <c r="S73" s="23" t="s">
        <v>130</v>
      </c>
      <c r="T73" s="23" t="s">
        <v>130</v>
      </c>
      <c r="U73" s="24"/>
    </row>
    <row r="74" customFormat="false" ht="26.85" hidden="false" customHeight="false" outlineLevel="0" collapsed="false">
      <c r="A74" s="23" t="n">
        <v>73</v>
      </c>
      <c r="B74" s="30" t="s">
        <v>6010</v>
      </c>
      <c r="C74" s="24" t="s">
        <v>7793</v>
      </c>
      <c r="D74" s="24" t="s">
        <v>5750</v>
      </c>
      <c r="E74" s="24" t="s">
        <v>7794</v>
      </c>
      <c r="F74" s="23" t="n">
        <f aca="false">COUNTIF(A타입_제작표!$G$2:$G$799,B74)</f>
        <v>9</v>
      </c>
      <c r="G74" s="23" t="n">
        <f aca="false">COUNTIFS(A타입_제작표!$G$2:$G$799,B74,A타입_제작표!$C$2:$C$799,1)</f>
        <v>3</v>
      </c>
      <c r="H74" s="23" t="n">
        <f aca="false">F74*안내!$C$7+안내!$C$8</f>
        <v>588</v>
      </c>
      <c r="I74" s="23" t="n">
        <f aca="false">ROUND(H74/60,1)</f>
        <v>9.8</v>
      </c>
      <c r="J74" s="23" t="str">
        <f aca="false">INDEX(A타입_제작표!$B$2:$B$799,MATCH(B74,A타입_제작표!$G$2:$G$799,0))</f>
        <v>A0676</v>
      </c>
      <c r="K74" s="23" t="str">
        <f aca="false">INDEX(A타입_제작표!$B$2:$B$799,MATCH(B74,A타입_제작표!$G$2:$G$799,0)+F74-1)</f>
        <v>A0684</v>
      </c>
      <c r="L74" s="24" t="s">
        <v>7482</v>
      </c>
      <c r="M74" s="24" t="s">
        <v>7795</v>
      </c>
      <c r="N74" s="24" t="s">
        <v>7796</v>
      </c>
      <c r="O74" s="24"/>
      <c r="P74" s="26" t="n">
        <f aca="false">_xlfn.MAXIFS(A타입_제작표!$U$2:$U$799,A타입_제작표!$G$2:$G$799,B74)</f>
        <v>46706</v>
      </c>
      <c r="Q74" s="23" t="s">
        <v>130</v>
      </c>
      <c r="R74" s="23" t="s">
        <v>130</v>
      </c>
      <c r="S74" s="23" t="s">
        <v>130</v>
      </c>
      <c r="T74" s="23" t="s">
        <v>130</v>
      </c>
      <c r="U74" s="24"/>
    </row>
    <row r="75" customFormat="false" ht="26.85" hidden="false" customHeight="false" outlineLevel="0" collapsed="false">
      <c r="A75" s="23" t="n">
        <v>74</v>
      </c>
      <c r="B75" s="30" t="s">
        <v>6089</v>
      </c>
      <c r="C75" s="24" t="s">
        <v>7485</v>
      </c>
      <c r="D75" s="24" t="s">
        <v>6090</v>
      </c>
      <c r="E75" s="24" t="s">
        <v>7797</v>
      </c>
      <c r="F75" s="23" t="n">
        <f aca="false">COUNTIF(A타입_제작표!$G$2:$G$799,B75)</f>
        <v>13</v>
      </c>
      <c r="G75" s="23" t="n">
        <f aca="false">COUNTIFS(A타입_제작표!$G$2:$G$799,B75,A타입_제작표!$C$2:$C$799,1)</f>
        <v>2</v>
      </c>
      <c r="H75" s="23" t="n">
        <f aca="false">F75*안내!$C$7+안내!$C$8</f>
        <v>796</v>
      </c>
      <c r="I75" s="23" t="n">
        <f aca="false">ROUND(H75/60,1)</f>
        <v>13.3</v>
      </c>
      <c r="J75" s="23" t="str">
        <f aca="false">INDEX(A타입_제작표!$B$2:$B$799,MATCH(B75,A타입_제작표!$G$2:$G$799,0))</f>
        <v>A0685</v>
      </c>
      <c r="K75" s="23" t="str">
        <f aca="false">INDEX(A타입_제작표!$B$2:$B$799,MATCH(B75,A타입_제작표!$G$2:$G$799,0)+F75-1)</f>
        <v>A0697</v>
      </c>
      <c r="L75" s="24" t="s">
        <v>7253</v>
      </c>
      <c r="M75" s="24" t="s">
        <v>7487</v>
      </c>
      <c r="N75" s="24" t="s">
        <v>7488</v>
      </c>
      <c r="O75" s="24"/>
      <c r="P75" s="26" t="n">
        <f aca="false">_xlfn.MAXIFS(A타입_제작표!$U$2:$U$799,A타입_제작표!$G$2:$G$799,B75)</f>
        <v>46725</v>
      </c>
      <c r="Q75" s="23" t="s">
        <v>130</v>
      </c>
      <c r="R75" s="23" t="s">
        <v>130</v>
      </c>
      <c r="S75" s="23" t="s">
        <v>130</v>
      </c>
      <c r="T75" s="23" t="s">
        <v>130</v>
      </c>
      <c r="U75" s="24"/>
    </row>
    <row r="76" customFormat="false" ht="26.85" hidden="false" customHeight="false" outlineLevel="0" collapsed="false">
      <c r="A76" s="23" t="n">
        <v>75</v>
      </c>
      <c r="B76" s="30" t="s">
        <v>6197</v>
      </c>
      <c r="C76" s="24" t="s">
        <v>7489</v>
      </c>
      <c r="D76" s="24" t="s">
        <v>6199</v>
      </c>
      <c r="E76" s="24" t="s">
        <v>7798</v>
      </c>
      <c r="F76" s="23" t="n">
        <f aca="false">COUNTIF(A타입_제작표!$G$2:$G$799,B76)</f>
        <v>10</v>
      </c>
      <c r="G76" s="23" t="n">
        <f aca="false">COUNTIFS(A타입_제작표!$G$2:$G$799,B76,A타입_제작표!$C$2:$C$799,1)</f>
        <v>2</v>
      </c>
      <c r="H76" s="23" t="n">
        <f aca="false">F76*안내!$C$7+안내!$C$8</f>
        <v>640</v>
      </c>
      <c r="I76" s="23" t="n">
        <f aca="false">ROUND(H76/60,1)</f>
        <v>10.7</v>
      </c>
      <c r="J76" s="23" t="str">
        <f aca="false">INDEX(A타입_제작표!$B$2:$B$799,MATCH(B76,A타입_제작표!$G$2:$G$799,0))</f>
        <v>A0698</v>
      </c>
      <c r="K76" s="23" t="str">
        <f aca="false">INDEX(A타입_제작표!$B$2:$B$799,MATCH(B76,A타입_제작표!$G$2:$G$799,0)+F76-1)</f>
        <v>A0707</v>
      </c>
      <c r="L76" s="24" t="s">
        <v>7491</v>
      </c>
      <c r="M76" s="24" t="s">
        <v>7492</v>
      </c>
      <c r="N76" s="24" t="s">
        <v>7493</v>
      </c>
      <c r="O76" s="24"/>
      <c r="P76" s="26" t="n">
        <f aca="false">_xlfn.MAXIFS(A타입_제작표!$U$2:$U$799,A타입_제작표!$G$2:$G$799,B76)</f>
        <v>46739</v>
      </c>
      <c r="Q76" s="23" t="s">
        <v>130</v>
      </c>
      <c r="R76" s="23" t="s">
        <v>130</v>
      </c>
      <c r="S76" s="23" t="s">
        <v>130</v>
      </c>
      <c r="T76" s="23" t="s">
        <v>130</v>
      </c>
      <c r="U76" s="24"/>
    </row>
    <row r="77" customFormat="false" ht="26.85" hidden="false" customHeight="false" outlineLevel="0" collapsed="false">
      <c r="A77" s="23" t="n">
        <v>76</v>
      </c>
      <c r="B77" s="30" t="s">
        <v>6283</v>
      </c>
      <c r="C77" s="24" t="s">
        <v>7494</v>
      </c>
      <c r="D77" s="24" t="s">
        <v>7799</v>
      </c>
      <c r="E77" s="24" t="s">
        <v>7495</v>
      </c>
      <c r="F77" s="23" t="n">
        <f aca="false">COUNTIF(A타입_제작표!$G$2:$G$799,B77)</f>
        <v>11</v>
      </c>
      <c r="G77" s="23" t="n">
        <f aca="false">COUNTIFS(A타입_제작표!$G$2:$G$799,B77,A타입_제작표!$C$2:$C$799,1)</f>
        <v>1</v>
      </c>
      <c r="H77" s="23" t="n">
        <f aca="false">F77*안내!$C$7+안내!$C$8</f>
        <v>692</v>
      </c>
      <c r="I77" s="23" t="n">
        <f aca="false">ROUND(H77/60,1)</f>
        <v>11.5</v>
      </c>
      <c r="J77" s="23" t="str">
        <f aca="false">INDEX(A타입_제작표!$B$2:$B$799,MATCH(B77,A타입_제작표!$G$2:$G$799,0))</f>
        <v>A0708</v>
      </c>
      <c r="K77" s="23" t="str">
        <f aca="false">INDEX(A타입_제작표!$B$2:$B$799,MATCH(B77,A타입_제작표!$G$2:$G$799,0)+F77-1)</f>
        <v>A0718</v>
      </c>
      <c r="L77" s="24" t="s">
        <v>7496</v>
      </c>
      <c r="M77" s="24" t="s">
        <v>7497</v>
      </c>
      <c r="N77" s="24" t="s">
        <v>7498</v>
      </c>
      <c r="O77" s="24"/>
      <c r="P77" s="26" t="n">
        <f aca="false">_xlfn.MAXIFS(A타입_제작표!$U$2:$U$799,A타입_제작표!$G$2:$G$799,B77)</f>
        <v>46757</v>
      </c>
      <c r="Q77" s="23" t="s">
        <v>130</v>
      </c>
      <c r="R77" s="23" t="s">
        <v>130</v>
      </c>
      <c r="S77" s="23" t="s">
        <v>130</v>
      </c>
      <c r="T77" s="23" t="s">
        <v>130</v>
      </c>
      <c r="U77" s="24"/>
    </row>
    <row r="78" customFormat="false" ht="26.85" hidden="false" customHeight="false" outlineLevel="0" collapsed="false">
      <c r="A78" s="23" t="n">
        <v>77</v>
      </c>
      <c r="B78" s="30" t="s">
        <v>6372</v>
      </c>
      <c r="C78" s="24" t="s">
        <v>7499</v>
      </c>
      <c r="D78" s="24" t="s">
        <v>7800</v>
      </c>
      <c r="E78" s="24" t="s">
        <v>7500</v>
      </c>
      <c r="F78" s="23" t="n">
        <f aca="false">COUNTIF(A타입_제작표!$G$2:$G$799,B78)</f>
        <v>10</v>
      </c>
      <c r="G78" s="23" t="n">
        <f aca="false">COUNTIFS(A타입_제작표!$G$2:$G$799,B78,A타입_제작표!$C$2:$C$799,1)</f>
        <v>2</v>
      </c>
      <c r="H78" s="23" t="n">
        <f aca="false">F78*안내!$C$7+안내!$C$8</f>
        <v>640</v>
      </c>
      <c r="I78" s="23" t="n">
        <f aca="false">ROUND(H78/60,1)</f>
        <v>10.7</v>
      </c>
      <c r="J78" s="23" t="str">
        <f aca="false">INDEX(A타입_제작표!$B$2:$B$799,MATCH(B78,A타입_제작표!$G$2:$G$799,0))</f>
        <v>A0719</v>
      </c>
      <c r="K78" s="23" t="str">
        <f aca="false">INDEX(A타입_제작표!$B$2:$B$799,MATCH(B78,A타입_제작표!$G$2:$G$799,0)+F78-1)</f>
        <v>A0728</v>
      </c>
      <c r="L78" s="24" t="s">
        <v>7501</v>
      </c>
      <c r="M78" s="24" t="s">
        <v>7502</v>
      </c>
      <c r="N78" s="24" t="s">
        <v>7503</v>
      </c>
      <c r="O78" s="24"/>
      <c r="P78" s="26" t="n">
        <f aca="false">_xlfn.MAXIFS(A타입_제작표!$U$2:$U$799,A타입_제작표!$G$2:$G$799,B78)</f>
        <v>46771</v>
      </c>
      <c r="Q78" s="23" t="s">
        <v>130</v>
      </c>
      <c r="R78" s="23" t="s">
        <v>130</v>
      </c>
      <c r="S78" s="23" t="s">
        <v>130</v>
      </c>
      <c r="T78" s="23" t="s">
        <v>130</v>
      </c>
      <c r="U78" s="24"/>
    </row>
    <row r="79" customFormat="false" ht="39.55" hidden="false" customHeight="false" outlineLevel="0" collapsed="false">
      <c r="A79" s="23" t="n">
        <v>78</v>
      </c>
      <c r="B79" s="30" t="s">
        <v>6458</v>
      </c>
      <c r="C79" s="24" t="s">
        <v>7504</v>
      </c>
      <c r="D79" s="24" t="s">
        <v>7801</v>
      </c>
      <c r="E79" s="24" t="s">
        <v>7505</v>
      </c>
      <c r="F79" s="23" t="n">
        <f aca="false">COUNTIF(A타입_제작표!$G$2:$G$799,B79)</f>
        <v>9</v>
      </c>
      <c r="G79" s="23" t="n">
        <f aca="false">COUNTIFS(A타입_제작표!$G$2:$G$799,B79,A타입_제작표!$C$2:$C$799,1)</f>
        <v>0</v>
      </c>
      <c r="H79" s="23" t="n">
        <f aca="false">F79*안내!$C$7+안내!$C$8</f>
        <v>588</v>
      </c>
      <c r="I79" s="23" t="n">
        <f aca="false">ROUND(H79/60,1)</f>
        <v>9.8</v>
      </c>
      <c r="J79" s="23" t="str">
        <f aca="false">INDEX(A타입_제작표!$B$2:$B$799,MATCH(B79,A타입_제작표!$G$2:$G$799,0))</f>
        <v>A0729</v>
      </c>
      <c r="K79" s="23" t="str">
        <f aca="false">INDEX(A타입_제작표!$B$2:$B$799,MATCH(B79,A타입_제작표!$G$2:$G$799,0)+F79-1)</f>
        <v>A0737</v>
      </c>
      <c r="L79" s="24" t="s">
        <v>7506</v>
      </c>
      <c r="M79" s="24" t="s">
        <v>7507</v>
      </c>
      <c r="N79" s="24" t="s">
        <v>7508</v>
      </c>
      <c r="O79" s="24"/>
      <c r="P79" s="26" t="n">
        <f aca="false">_xlfn.MAXIFS(A타입_제작표!$U$2:$U$799,A타입_제작표!$G$2:$G$799,B79)</f>
        <v>46787</v>
      </c>
      <c r="Q79" s="23" t="s">
        <v>130</v>
      </c>
      <c r="R79" s="23" t="s">
        <v>130</v>
      </c>
      <c r="S79" s="23" t="s">
        <v>130</v>
      </c>
      <c r="T79" s="23" t="s">
        <v>130</v>
      </c>
      <c r="U79" s="24"/>
    </row>
    <row r="80" customFormat="false" ht="39.55" hidden="false" customHeight="false" outlineLevel="0" collapsed="false">
      <c r="A80" s="23" t="n">
        <v>79</v>
      </c>
      <c r="B80" s="30" t="s">
        <v>6530</v>
      </c>
      <c r="C80" s="24" t="s">
        <v>7509</v>
      </c>
      <c r="D80" s="24" t="s">
        <v>7802</v>
      </c>
      <c r="E80" s="24" t="s">
        <v>7510</v>
      </c>
      <c r="F80" s="23" t="n">
        <f aca="false">COUNTIF(A타입_제작표!$G$2:$G$799,B80)</f>
        <v>10</v>
      </c>
      <c r="G80" s="23" t="n">
        <f aca="false">COUNTIFS(A타입_제작표!$G$2:$G$799,B80,A타입_제작표!$C$2:$C$799,1)</f>
        <v>0</v>
      </c>
      <c r="H80" s="23" t="n">
        <f aca="false">F80*안내!$C$7+안내!$C$8</f>
        <v>640</v>
      </c>
      <c r="I80" s="23" t="n">
        <f aca="false">ROUND(H80/60,1)</f>
        <v>10.7</v>
      </c>
      <c r="J80" s="23" t="str">
        <f aca="false">INDEX(A타입_제작표!$B$2:$B$799,MATCH(B80,A타입_제작표!$G$2:$G$799,0))</f>
        <v>A0738</v>
      </c>
      <c r="K80" s="23" t="str">
        <f aca="false">INDEX(A타입_제작표!$B$2:$B$799,MATCH(B80,A타입_제작표!$G$2:$G$799,0)+F80-1)</f>
        <v>A0747</v>
      </c>
      <c r="L80" s="24" t="s">
        <v>7511</v>
      </c>
      <c r="M80" s="24" t="s">
        <v>7512</v>
      </c>
      <c r="N80" s="24" t="s">
        <v>7513</v>
      </c>
      <c r="O80" s="24"/>
      <c r="P80" s="26" t="n">
        <f aca="false">_xlfn.MAXIFS(A타입_제작표!$U$2:$U$799,A타입_제작표!$G$2:$G$799,B80)</f>
        <v>46804</v>
      </c>
      <c r="Q80" s="23" t="s">
        <v>130</v>
      </c>
      <c r="R80" s="23" t="s">
        <v>130</v>
      </c>
      <c r="S80" s="23" t="s">
        <v>130</v>
      </c>
      <c r="T80" s="23" t="s">
        <v>130</v>
      </c>
      <c r="U80" s="24"/>
    </row>
    <row r="81" customFormat="false" ht="26.85" hidden="false" customHeight="false" outlineLevel="0" collapsed="false">
      <c r="A81" s="23" t="n">
        <v>80</v>
      </c>
      <c r="B81" s="30" t="s">
        <v>6615</v>
      </c>
      <c r="C81" s="24" t="s">
        <v>7514</v>
      </c>
      <c r="D81" s="24" t="s">
        <v>6617</v>
      </c>
      <c r="E81" s="24" t="s">
        <v>7515</v>
      </c>
      <c r="F81" s="23" t="n">
        <f aca="false">COUNTIF(A타입_제작표!$G$2:$G$799,B81)</f>
        <v>10</v>
      </c>
      <c r="G81" s="23" t="n">
        <f aca="false">COUNTIFS(A타입_제작표!$G$2:$G$799,B81,A타입_제작표!$C$2:$C$799,1)</f>
        <v>1</v>
      </c>
      <c r="H81" s="23" t="n">
        <f aca="false">F81*안내!$C$7+안내!$C$8</f>
        <v>640</v>
      </c>
      <c r="I81" s="23" t="n">
        <f aca="false">ROUND(H81/60,1)</f>
        <v>10.7</v>
      </c>
      <c r="J81" s="23" t="str">
        <f aca="false">INDEX(A타입_제작표!$B$2:$B$799,MATCH(B81,A타입_제작표!$G$2:$G$799,0))</f>
        <v>A0748</v>
      </c>
      <c r="K81" s="23" t="str">
        <f aca="false">INDEX(A타입_제작표!$B$2:$B$799,MATCH(B81,A타입_제작표!$G$2:$G$799,0)+F81-1)</f>
        <v>A0757</v>
      </c>
      <c r="L81" s="24" t="s">
        <v>7259</v>
      </c>
      <c r="M81" s="24" t="s">
        <v>7516</v>
      </c>
      <c r="N81" s="24" t="s">
        <v>7517</v>
      </c>
      <c r="O81" s="24"/>
      <c r="P81" s="26" t="n">
        <f aca="false">_xlfn.MAXIFS(A타입_제작표!$U$2:$U$799,A타입_제작표!$G$2:$G$799,B81)</f>
        <v>46820</v>
      </c>
      <c r="Q81" s="23" t="s">
        <v>130</v>
      </c>
      <c r="R81" s="23" t="s">
        <v>130</v>
      </c>
      <c r="S81" s="23" t="s">
        <v>130</v>
      </c>
      <c r="T81" s="23" t="s">
        <v>130</v>
      </c>
      <c r="U81" s="24"/>
    </row>
    <row r="82" customFormat="false" ht="39.55" hidden="false" customHeight="false" outlineLevel="0" collapsed="false">
      <c r="A82" s="23" t="n">
        <v>81</v>
      </c>
      <c r="B82" s="30" t="s">
        <v>6703</v>
      </c>
      <c r="C82" s="24" t="s">
        <v>7518</v>
      </c>
      <c r="D82" s="24" t="s">
        <v>7803</v>
      </c>
      <c r="E82" s="24" t="s">
        <v>7519</v>
      </c>
      <c r="F82" s="23" t="n">
        <f aca="false">COUNTIF(A타입_제작표!$G$2:$G$799,B82)</f>
        <v>12</v>
      </c>
      <c r="G82" s="23" t="n">
        <f aca="false">COUNTIFS(A타입_제작표!$G$2:$G$799,B82,A타입_제작표!$C$2:$C$799,1)</f>
        <v>0</v>
      </c>
      <c r="H82" s="23" t="n">
        <f aca="false">F82*안내!$C$7+안내!$C$8</f>
        <v>744</v>
      </c>
      <c r="I82" s="23" t="n">
        <f aca="false">ROUND(H82/60,1)</f>
        <v>12.4</v>
      </c>
      <c r="J82" s="23" t="str">
        <f aca="false">INDEX(A타입_제작표!$B$2:$B$799,MATCH(B82,A타입_제작표!$G$2:$G$799,0))</f>
        <v>A0758</v>
      </c>
      <c r="K82" s="23" t="str">
        <f aca="false">INDEX(A타입_제작표!$B$2:$B$799,MATCH(B82,A타입_제작표!$G$2:$G$799,0)+F82-1)</f>
        <v>A0769</v>
      </c>
      <c r="L82" s="24" t="s">
        <v>7520</v>
      </c>
      <c r="M82" s="24" t="s">
        <v>7521</v>
      </c>
      <c r="N82" s="24" t="s">
        <v>7522</v>
      </c>
      <c r="O82" s="24"/>
      <c r="P82" s="26" t="n">
        <f aca="false">_xlfn.MAXIFS(A타입_제작표!$U$2:$U$799,A타입_제작표!$G$2:$G$799,B82)</f>
        <v>46841</v>
      </c>
      <c r="Q82" s="23" t="s">
        <v>130</v>
      </c>
      <c r="R82" s="23" t="s">
        <v>130</v>
      </c>
      <c r="S82" s="23" t="s">
        <v>130</v>
      </c>
      <c r="T82" s="23" t="s">
        <v>130</v>
      </c>
      <c r="U82" s="24"/>
    </row>
    <row r="83" customFormat="false" ht="26.85" hidden="false" customHeight="false" outlineLevel="0" collapsed="false">
      <c r="A83" s="23" t="n">
        <v>82</v>
      </c>
      <c r="B83" s="30" t="s">
        <v>6803</v>
      </c>
      <c r="C83" s="24" t="s">
        <v>7523</v>
      </c>
      <c r="D83" s="24" t="s">
        <v>7804</v>
      </c>
      <c r="E83" s="24" t="s">
        <v>7524</v>
      </c>
      <c r="F83" s="23" t="n">
        <f aca="false">COUNTIF(A타입_제작표!$G$2:$G$799,B83)</f>
        <v>7</v>
      </c>
      <c r="G83" s="23" t="n">
        <f aca="false">COUNTIFS(A타입_제작표!$G$2:$G$799,B83,A타입_제작표!$C$2:$C$799,1)</f>
        <v>0</v>
      </c>
      <c r="H83" s="23" t="n">
        <f aca="false">F83*안내!$C$7+안내!$C$8</f>
        <v>484</v>
      </c>
      <c r="I83" s="23" t="n">
        <f aca="false">ROUND(H83/60,1)</f>
        <v>8.1</v>
      </c>
      <c r="J83" s="23" t="str">
        <f aca="false">INDEX(A타입_제작표!$B$2:$B$799,MATCH(B83,A타입_제작표!$G$2:$G$799,0))</f>
        <v>A0770</v>
      </c>
      <c r="K83" s="23" t="str">
        <f aca="false">INDEX(A타입_제작표!$B$2:$B$799,MATCH(B83,A타입_제작표!$G$2:$G$799,0)+F83-1)</f>
        <v>A0776</v>
      </c>
      <c r="L83" s="24" t="s">
        <v>7525</v>
      </c>
      <c r="M83" s="24" t="s">
        <v>7526</v>
      </c>
      <c r="N83" s="24" t="s">
        <v>7527</v>
      </c>
      <c r="O83" s="24"/>
      <c r="P83" s="26" t="n">
        <f aca="false">_xlfn.MAXIFS(A타입_제작표!$U$2:$U$799,A타입_제작표!$G$2:$G$799,B83)</f>
        <v>46853</v>
      </c>
      <c r="Q83" s="23" t="s">
        <v>130</v>
      </c>
      <c r="R83" s="23" t="s">
        <v>130</v>
      </c>
      <c r="S83" s="23" t="s">
        <v>130</v>
      </c>
      <c r="T83" s="23" t="s">
        <v>130</v>
      </c>
      <c r="U83" s="24"/>
    </row>
    <row r="84" customFormat="false" ht="52.2" hidden="false" customHeight="false" outlineLevel="0" collapsed="false">
      <c r="A84" s="23" t="n">
        <v>83</v>
      </c>
      <c r="B84" s="30" t="s">
        <v>6867</v>
      </c>
      <c r="C84" s="24" t="s">
        <v>7528</v>
      </c>
      <c r="D84" s="24" t="s">
        <v>6869</v>
      </c>
      <c r="E84" s="24" t="s">
        <v>7529</v>
      </c>
      <c r="F84" s="23" t="n">
        <f aca="false">COUNTIF(A타입_제작표!$G$2:$G$799,B84)</f>
        <v>11</v>
      </c>
      <c r="G84" s="23" t="n">
        <f aca="false">COUNTIFS(A타입_제작표!$G$2:$G$799,B84,A타입_제작표!$C$2:$C$799,1)</f>
        <v>2</v>
      </c>
      <c r="H84" s="23" t="n">
        <f aca="false">F84*안내!$C$7+안내!$C$8</f>
        <v>692</v>
      </c>
      <c r="I84" s="23" t="n">
        <f aca="false">ROUND(H84/60,1)</f>
        <v>11.5</v>
      </c>
      <c r="J84" s="23" t="str">
        <f aca="false">INDEX(A타입_제작표!$B$2:$B$799,MATCH(B84,A타입_제작표!$G$2:$G$799,0))</f>
        <v>A0777</v>
      </c>
      <c r="K84" s="23" t="str">
        <f aca="false">INDEX(A타입_제작표!$B$2:$B$799,MATCH(B84,A타입_제작표!$G$2:$G$799,0)+F84-1)</f>
        <v>A0787</v>
      </c>
      <c r="L84" s="24" t="s">
        <v>7530</v>
      </c>
      <c r="M84" s="24" t="s">
        <v>7531</v>
      </c>
      <c r="N84" s="24" t="s">
        <v>7532</v>
      </c>
      <c r="O84" s="24" t="s">
        <v>7805</v>
      </c>
      <c r="P84" s="26" t="n">
        <f aca="false">_xlfn.MAXIFS(A타입_제작표!$U$2:$U$799,A타입_제작표!$G$2:$G$799,B84)</f>
        <v>46869</v>
      </c>
      <c r="Q84" s="23" t="s">
        <v>130</v>
      </c>
      <c r="R84" s="23" t="s">
        <v>130</v>
      </c>
      <c r="S84" s="23" t="s">
        <v>130</v>
      </c>
      <c r="T84" s="23" t="s">
        <v>130</v>
      </c>
      <c r="U84" s="24"/>
    </row>
    <row r="85" customFormat="false" ht="26.85" hidden="false" customHeight="false" outlineLevel="0" collapsed="false">
      <c r="A85" s="23" t="n">
        <v>84</v>
      </c>
      <c r="B85" s="30" t="s">
        <v>6969</v>
      </c>
      <c r="C85" s="24" t="s">
        <v>7533</v>
      </c>
      <c r="D85" s="24" t="s">
        <v>6869</v>
      </c>
      <c r="E85" s="24" t="s">
        <v>7806</v>
      </c>
      <c r="F85" s="23" t="n">
        <f aca="false">COUNTIF(A타입_제작표!$G$2:$G$799,B85)</f>
        <v>11</v>
      </c>
      <c r="G85" s="23" t="n">
        <f aca="false">COUNTIFS(A타입_제작표!$G$2:$G$799,B85,A타입_제작표!$C$2:$C$799,1)</f>
        <v>4</v>
      </c>
      <c r="H85" s="23" t="n">
        <f aca="false">F85*안내!$C$7+안내!$C$8</f>
        <v>692</v>
      </c>
      <c r="I85" s="23" t="n">
        <f aca="false">ROUND(H85/60,1)</f>
        <v>11.5</v>
      </c>
      <c r="J85" s="23" t="str">
        <f aca="false">INDEX(A타입_제작표!$B$2:$B$799,MATCH(B85,A타입_제작표!$G$2:$G$799,0))</f>
        <v>A0788</v>
      </c>
      <c r="K85" s="23" t="str">
        <f aca="false">INDEX(A타입_제작표!$B$2:$B$799,MATCH(B85,A타입_제작표!$G$2:$G$799,0)+F85-1)</f>
        <v>A0798</v>
      </c>
      <c r="L85" s="24" t="s">
        <v>7535</v>
      </c>
      <c r="M85" s="24" t="s">
        <v>7536</v>
      </c>
      <c r="N85" s="24" t="s">
        <v>7537</v>
      </c>
      <c r="O85" s="24"/>
      <c r="P85" s="26" t="n">
        <f aca="false">_xlfn.MAXIFS(A타입_제작표!$U$2:$U$799,A타입_제작표!$G$2:$G$799,B85)</f>
        <v>46881</v>
      </c>
      <c r="Q85" s="23" t="s">
        <v>130</v>
      </c>
      <c r="R85" s="23" t="s">
        <v>130</v>
      </c>
      <c r="S85" s="23" t="s">
        <v>130</v>
      </c>
      <c r="T85" s="23" t="s">
        <v>130</v>
      </c>
      <c r="U85" s="24"/>
    </row>
  </sheetData>
  <autoFilter ref="A1:U85"/>
  <dataValidations count="1">
    <dataValidation allowBlank="true" errorStyle="stop" operator="between" showDropDown="false" showErrorMessage="false" showInputMessage="false" sqref="Q2:T85" type="list">
      <formula1>"미착수,진행중,완료,보류"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  <col collapsed="false" customWidth="true" hidden="false" outlineLevel="0" max="5" min="4" style="0" width="12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40"/>
  </cols>
  <sheetData>
    <row r="1" customFormat="false" ht="19.7" hidden="false" customHeight="false" outlineLevel="0" collapsed="false">
      <c r="A1" s="1" t="s">
        <v>7807</v>
      </c>
    </row>
    <row r="2" customFormat="false" ht="15" hidden="false" customHeight="false" outlineLevel="0" collapsed="false">
      <c r="A2" s="2" t="s">
        <v>7808</v>
      </c>
    </row>
    <row r="4" customFormat="false" ht="16.4" hidden="false" customHeight="false" outlineLevel="0" collapsed="false">
      <c r="A4" s="31" t="s">
        <v>7809</v>
      </c>
      <c r="B4" s="4"/>
      <c r="C4" s="4"/>
      <c r="D4" s="4"/>
      <c r="E4" s="4"/>
    </row>
    <row r="5" customFormat="false" ht="15" hidden="false" customHeight="false" outlineLevel="0" collapsed="false">
      <c r="A5" s="32" t="s">
        <v>7810</v>
      </c>
      <c r="B5" s="32" t="s">
        <v>7811</v>
      </c>
      <c r="C5" s="32" t="s">
        <v>7812</v>
      </c>
      <c r="D5" s="32" t="s">
        <v>7813</v>
      </c>
    </row>
    <row r="6" customFormat="false" ht="15" hidden="false" customHeight="false" outlineLevel="0" collapsed="false">
      <c r="A6" s="33" t="s">
        <v>34</v>
      </c>
      <c r="B6" s="33" t="n">
        <f aca="false">COUNTA(A타입_제작표!$B$2:$B$799)</f>
        <v>798</v>
      </c>
      <c r="C6" s="33" t="n">
        <v>798</v>
      </c>
      <c r="D6" s="34" t="str">
        <f aca="false">IF(B6=C6,"정상","확인 필요")</f>
        <v>정상</v>
      </c>
    </row>
    <row r="7" customFormat="false" ht="15" hidden="false" customHeight="false" outlineLevel="0" collapsed="false">
      <c r="A7" s="33" t="s">
        <v>7814</v>
      </c>
      <c r="B7" s="33" t="n">
        <f aca="false">COUNTIF(A타입_제작표!$C$2:$C$799,1)</f>
        <v>286</v>
      </c>
      <c r="C7" s="33" t="n">
        <v>286</v>
      </c>
      <c r="D7" s="34" t="str">
        <f aca="false">IF(B7=C7,"정상","확인 필요")</f>
        <v>정상</v>
      </c>
    </row>
    <row r="8" customFormat="false" ht="15" hidden="false" customHeight="false" outlineLevel="0" collapsed="false">
      <c r="A8" s="33" t="s">
        <v>7815</v>
      </c>
      <c r="B8" s="33" t="n">
        <f aca="false">COUNTIF(A타입_제작표!$C$2:$C$799,2)</f>
        <v>512</v>
      </c>
      <c r="C8" s="33" t="n">
        <v>512</v>
      </c>
      <c r="D8" s="34" t="str">
        <f aca="false">IF(B8=C8,"정상","확인 필요")</f>
        <v>정상</v>
      </c>
    </row>
    <row r="9" customFormat="false" ht="15" hidden="false" customHeight="false" outlineLevel="0" collapsed="false">
      <c r="A9" s="33" t="s">
        <v>7816</v>
      </c>
      <c r="B9" s="33" t="n">
        <f aca="false">COUNTIF(A타입_제작표!$C$2:$C$799,1)+COUNTIF(A타입_제작표!$C$2:$C$799,2)</f>
        <v>798</v>
      </c>
      <c r="C9" s="33" t="n">
        <f aca="false">COUNTA(A타입_제작표!$B$2:$B$799)</f>
        <v>798</v>
      </c>
      <c r="D9" s="34" t="str">
        <f aca="false">IF(B9=C9,"정상","확인 필요")</f>
        <v>정상</v>
      </c>
    </row>
    <row r="10" customFormat="false" ht="15" hidden="false" customHeight="false" outlineLevel="0" collapsed="false">
      <c r="A10" s="33" t="s">
        <v>7817</v>
      </c>
      <c r="B10" s="33" t="n">
        <f aca="false">COUNTA(A타입_제작표!$B$2:$B$799)-COUNTIF(A타입_제작표!$C$2:$C$799,1)-COUNTIF(A타입_제작표!$C$2:$C$799,2)</f>
        <v>0</v>
      </c>
      <c r="C10" s="33" t="n">
        <v>0</v>
      </c>
      <c r="D10" s="34" t="str">
        <f aca="false">IF(B10=C10,"정상","확인 필요")</f>
        <v>정상</v>
      </c>
    </row>
    <row r="11" customFormat="false" ht="15" hidden="false" customHeight="false" outlineLevel="0" collapsed="false">
      <c r="A11" s="11" t="s">
        <v>7818</v>
      </c>
      <c r="B11" s="33" t="n">
        <f aca="false">SUMPRODUCT((COUNTIF(A타입_제작표!$B$2:$B$799,A타입_제작표!$B$2:$B$799)&gt;1)*1)</f>
        <v>0</v>
      </c>
      <c r="C11" s="33" t="n">
        <v>0</v>
      </c>
      <c r="D11" s="34" t="str">
        <f aca="false">IF(B11=C11,"정상","확인 필요")</f>
        <v>정상</v>
      </c>
    </row>
    <row r="12" customFormat="false" ht="15" hidden="false" customHeight="false" outlineLevel="0" collapsed="false">
      <c r="A12" s="33" t="s">
        <v>7819</v>
      </c>
      <c r="B12" s="33" t="n">
        <f aca="false">SUMPRODUCT((COUNTIF(A타입_제작표!$AC$2:$AC$799,A타입_제작표!$AC$2:$AC$799)&gt;1)*1)</f>
        <v>0</v>
      </c>
      <c r="C12" s="33" t="n">
        <v>0</v>
      </c>
      <c r="D12" s="34" t="str">
        <f aca="false">IF(B12=C12,"정상","확인 필요")</f>
        <v>정상</v>
      </c>
    </row>
    <row r="13" customFormat="false" ht="15" hidden="false" customHeight="false" outlineLevel="0" collapsed="false">
      <c r="A13" s="33" t="s">
        <v>7820</v>
      </c>
      <c r="B13" s="33" t="n">
        <f aca="false">_xlfn.MAXIFS(A타입_제작표!$E$2:$E$799,A타입_제작표!$D$2:$D$799,"구약")</f>
        <v>521</v>
      </c>
      <c r="C13" s="33" t="n">
        <f aca="false">COUNTIF(A타입_제작표!$D$2:$D$799,"구약")</f>
        <v>521</v>
      </c>
      <c r="D13" s="34" t="str">
        <f aca="false">IF(B13=C13,"정상","확인 필요")</f>
        <v>정상</v>
      </c>
    </row>
    <row r="14" customFormat="false" ht="15" hidden="false" customHeight="false" outlineLevel="0" collapsed="false">
      <c r="A14" s="33" t="s">
        <v>7821</v>
      </c>
      <c r="B14" s="33" t="n">
        <f aca="false">_xlfn.MAXIFS(A타입_제작표!$E$2:$E$799,A타입_제작표!$D$2:$D$799,"신약")</f>
        <v>277</v>
      </c>
      <c r="C14" s="33" t="n">
        <f aca="false">COUNTIF(A타입_제작표!$D$2:$D$799,"신약")</f>
        <v>277</v>
      </c>
      <c r="D14" s="34" t="str">
        <f aca="false">IF(B14=C14,"정상","확인 필요")</f>
        <v>정상</v>
      </c>
    </row>
    <row r="15" customFormat="false" ht="15" hidden="false" customHeight="false" outlineLevel="0" collapsed="false">
      <c r="A15" s="33" t="s">
        <v>7822</v>
      </c>
      <c r="B15" s="33" t="n">
        <f aca="false">COUNTIFS(A타입_제작표!$C$2:$C$799,1,A타입_제작표!$D$2:$D$799,"구약")</f>
        <v>182</v>
      </c>
      <c r="C15" s="33" t="n">
        <f aca="false">안내!$C$11</f>
        <v>182</v>
      </c>
      <c r="D15" s="34" t="str">
        <f aca="false">IF(B15=C15,"정상","확인 필요")</f>
        <v>정상</v>
      </c>
    </row>
    <row r="16" customFormat="false" ht="15" hidden="false" customHeight="false" outlineLevel="0" collapsed="false">
      <c r="A16" s="33" t="s">
        <v>7823</v>
      </c>
      <c r="B16" s="33" t="n">
        <f aca="false">COUNTIFS(A타입_제작표!$C$2:$C$799,1,A타입_제작표!$D$2:$D$799,"신약")</f>
        <v>104</v>
      </c>
      <c r="C16" s="33" t="n">
        <f aca="false">안내!$C$12</f>
        <v>104</v>
      </c>
      <c r="D16" s="34" t="str">
        <f aca="false">IF(B16=C16,"정상","확인 필요")</f>
        <v>정상</v>
      </c>
    </row>
    <row r="17" customFormat="false" ht="15" hidden="false" customHeight="false" outlineLevel="0" collapsed="false">
      <c r="A17" s="33" t="s">
        <v>7824</v>
      </c>
      <c r="B17" s="33" t="n">
        <f aca="false">SUMPRODUCT((COUNTIFS(A타입_제작표!$D$2:$D$799,A타입_제작표!$D$2:$D$799,A타입_제작표!$U$2:$U$799,A타입_제작표!$U$2:$U$799)&gt;1)*1)</f>
        <v>0</v>
      </c>
      <c r="C17" s="33" t="n">
        <v>0</v>
      </c>
      <c r="D17" s="34" t="str">
        <f aca="false">IF(B17=C17,"정상","확인 필요")</f>
        <v>정상</v>
      </c>
    </row>
    <row r="18" customFormat="false" ht="15" hidden="false" customHeight="false" outlineLevel="0" collapsed="false">
      <c r="A18" s="33" t="s">
        <v>7825</v>
      </c>
      <c r="B18" s="33" t="n">
        <f aca="false">COUNTA(A타입_제작표!$B$2:$B$799)-SUMPRODUCT(COUNTIF(A타입_제작표!$H$2:$H$799,롱폼_시즌별!$B$2:$B$86))</f>
        <v>0</v>
      </c>
      <c r="C18" s="33" t="n">
        <v>0</v>
      </c>
      <c r="D18" s="34" t="str">
        <f aca="false">IF(B18=C18,"정상","확인 필요")</f>
        <v>정상</v>
      </c>
    </row>
    <row r="19" customFormat="false" ht="15" hidden="false" customHeight="false" outlineLevel="0" collapsed="false">
      <c r="A19" s="33" t="s">
        <v>7826</v>
      </c>
      <c r="B19" s="33" t="n">
        <f aca="false">COUNTA(A타입_제작표!$B$2:$B$799)-SUMPRODUCT(COUNTIF(A타입_제작표!$G$2:$G$799,롱폼_통합본!$B$2:$B$85))</f>
        <v>0</v>
      </c>
      <c r="C19" s="33" t="n">
        <v>0</v>
      </c>
      <c r="D19" s="34" t="str">
        <f aca="false">IF(B19=C19,"정상","확인 필요")</f>
        <v>정상</v>
      </c>
    </row>
    <row r="20" customFormat="false" ht="15" hidden="false" customHeight="false" outlineLevel="0" collapsed="false">
      <c r="A20" s="33" t="s">
        <v>7827</v>
      </c>
      <c r="B20" s="33" t="n">
        <f aca="false">IF(안내!$C$10&gt;_xlfn.MAXIFS(A타입_제작표!$U$2:$U$799,A타입_제작표!$C$2:$C$799,1),1,0)</f>
        <v>1</v>
      </c>
      <c r="C20" s="33" t="n">
        <v>1</v>
      </c>
      <c r="D20" s="34" t="str">
        <f aca="false">IF(B20=C20,"정상","확인 필요")</f>
        <v>정상</v>
      </c>
    </row>
    <row r="21" customFormat="false" ht="15" hidden="false" customHeight="false" outlineLevel="0" collapsed="false">
      <c r="A21" s="33" t="s">
        <v>7828</v>
      </c>
      <c r="B21" s="33" t="n">
        <f aca="false">(WEEKDAY(안내!$C$9,2)=1)+(WEEKDAY(안내!$C$10,2)=1)</f>
        <v>2</v>
      </c>
      <c r="C21" s="33" t="n">
        <v>2</v>
      </c>
      <c r="D21" s="34" t="str">
        <f aca="false">IF(B21=C21,"정상","확인 필요")</f>
        <v>정상</v>
      </c>
    </row>
    <row r="22" customFormat="false" ht="15" hidden="false" customHeight="false" outlineLevel="0" collapsed="false">
      <c r="A22" s="5" t="s">
        <v>7829</v>
      </c>
      <c r="D22" s="35" t="str">
        <f aca="false">IF(COUNTIF(D6:D21,"정상")=16,"모두 정상","확인 필요 있음")</f>
        <v>모두 정상</v>
      </c>
    </row>
    <row r="25" customFormat="false" ht="16.4" hidden="false" customHeight="false" outlineLevel="0" collapsed="false">
      <c r="A25" s="31" t="s">
        <v>7830</v>
      </c>
      <c r="B25" s="4"/>
      <c r="C25" s="4"/>
      <c r="D25" s="4"/>
      <c r="E25" s="4"/>
      <c r="F25" s="4"/>
      <c r="G25" s="4"/>
      <c r="H25" s="4"/>
      <c r="I25" s="4"/>
    </row>
    <row r="26" customFormat="false" ht="15" hidden="false" customHeight="false" outlineLevel="0" collapsed="false">
      <c r="A26" s="36" t="s">
        <v>93</v>
      </c>
      <c r="B26" s="36" t="s">
        <v>7831</v>
      </c>
      <c r="C26" s="36" t="s">
        <v>7832</v>
      </c>
      <c r="D26" s="37" t="s">
        <v>7833</v>
      </c>
      <c r="E26" s="36" t="s">
        <v>7834</v>
      </c>
      <c r="F26" s="36" t="s">
        <v>7835</v>
      </c>
      <c r="G26" s="36" t="s">
        <v>7836</v>
      </c>
      <c r="H26" s="36" t="s">
        <v>7813</v>
      </c>
      <c r="I26" s="36" t="s">
        <v>7837</v>
      </c>
    </row>
    <row r="27" customFormat="false" ht="15" hidden="false" customHeight="false" outlineLevel="0" collapsed="false">
      <c r="A27" s="38" t="s">
        <v>119</v>
      </c>
      <c r="B27" s="38" t="n">
        <v>50</v>
      </c>
      <c r="C27" s="38" t="n">
        <v>50</v>
      </c>
      <c r="D27" s="38" t="n">
        <f aca="false">COUNTIF(A타입_제작표!$I$2:$I$799,A27)</f>
        <v>78</v>
      </c>
      <c r="E27" s="38" t="n">
        <f aca="false">COUNTIFS(A타입_제작표!$I$2:$I$799,A27,A타입_제작표!$C$2:$C$799,1)</f>
        <v>42</v>
      </c>
      <c r="F27" s="38" t="n">
        <f aca="false">COUNTIFS(A타입_제작표!$I$2:$I$799,A27,A타입_제작표!$C$2:$C$799,2)</f>
        <v>36</v>
      </c>
      <c r="G27" s="38" t="n">
        <f aca="false">E27+F27</f>
        <v>78</v>
      </c>
      <c r="H27" s="39" t="str">
        <f aca="false">IF(G27=D27,"정상","확인 필요")</f>
        <v>정상</v>
      </c>
      <c r="I27" s="24" t="s">
        <v>7838</v>
      </c>
    </row>
    <row r="28" customFormat="false" ht="15" hidden="false" customHeight="false" outlineLevel="0" collapsed="false">
      <c r="A28" s="38" t="s">
        <v>819</v>
      </c>
      <c r="B28" s="38" t="n">
        <v>40</v>
      </c>
      <c r="C28" s="38" t="n">
        <v>40</v>
      </c>
      <c r="D28" s="38" t="n">
        <f aca="false">COUNTIF(A타입_제작표!$I$2:$I$799,A28)</f>
        <v>42</v>
      </c>
      <c r="E28" s="38" t="n">
        <f aca="false">COUNTIFS(A타입_제작표!$I$2:$I$799,A28,A타입_제작표!$C$2:$C$799,1)</f>
        <v>23</v>
      </c>
      <c r="F28" s="38" t="n">
        <f aca="false">COUNTIFS(A타입_제작표!$I$2:$I$799,A28,A타입_제작표!$C$2:$C$799,2)</f>
        <v>19</v>
      </c>
      <c r="G28" s="38" t="n">
        <f aca="false">E28+F28</f>
        <v>42</v>
      </c>
      <c r="H28" s="39" t="str">
        <f aca="false">IF(G28=D28,"정상","확인 필요")</f>
        <v>정상</v>
      </c>
      <c r="I28" s="24" t="s">
        <v>7838</v>
      </c>
    </row>
    <row r="29" customFormat="false" ht="15" hidden="false" customHeight="false" outlineLevel="0" collapsed="false">
      <c r="A29" s="38" t="s">
        <v>1194</v>
      </c>
      <c r="B29" s="38" t="n">
        <v>27</v>
      </c>
      <c r="C29" s="38" t="n">
        <v>27</v>
      </c>
      <c r="D29" s="38" t="n">
        <f aca="false">COUNTIF(A타입_제작표!$I$2:$I$799,A29)</f>
        <v>12</v>
      </c>
      <c r="E29" s="38" t="n">
        <f aca="false">COUNTIFS(A타입_제작표!$I$2:$I$799,A29,A타입_제작표!$C$2:$C$799,1)</f>
        <v>1</v>
      </c>
      <c r="F29" s="38" t="n">
        <f aca="false">COUNTIFS(A타입_제작표!$I$2:$I$799,A29,A타입_제작표!$C$2:$C$799,2)</f>
        <v>11</v>
      </c>
      <c r="G29" s="38" t="n">
        <f aca="false">E29+F29</f>
        <v>12</v>
      </c>
      <c r="H29" s="39" t="str">
        <f aca="false">IF(G29=D29,"정상","확인 필요")</f>
        <v>정상</v>
      </c>
      <c r="I29" s="24" t="s">
        <v>7838</v>
      </c>
    </row>
    <row r="30" customFormat="false" ht="15" hidden="false" customHeight="false" outlineLevel="0" collapsed="false">
      <c r="A30" s="38" t="s">
        <v>1295</v>
      </c>
      <c r="B30" s="38" t="n">
        <v>36</v>
      </c>
      <c r="C30" s="38" t="n">
        <v>36</v>
      </c>
      <c r="D30" s="38" t="n">
        <f aca="false">COUNTIF(A타입_제작표!$I$2:$I$799,A30)</f>
        <v>22</v>
      </c>
      <c r="E30" s="38" t="n">
        <f aca="false">COUNTIFS(A타입_제작표!$I$2:$I$799,A30,A타입_제작표!$C$2:$C$799,1)</f>
        <v>4</v>
      </c>
      <c r="F30" s="38" t="n">
        <f aca="false">COUNTIFS(A타입_제작표!$I$2:$I$799,A30,A타입_제작표!$C$2:$C$799,2)</f>
        <v>18</v>
      </c>
      <c r="G30" s="38" t="n">
        <f aca="false">E30+F30</f>
        <v>22</v>
      </c>
      <c r="H30" s="39" t="str">
        <f aca="false">IF(G30=D30,"정상","확인 필요")</f>
        <v>정상</v>
      </c>
      <c r="I30" s="24" t="s">
        <v>7838</v>
      </c>
    </row>
    <row r="31" customFormat="false" ht="15" hidden="false" customHeight="false" outlineLevel="0" collapsed="false">
      <c r="A31" s="38" t="s">
        <v>1484</v>
      </c>
      <c r="B31" s="38" t="n">
        <v>34</v>
      </c>
      <c r="C31" s="38" t="n">
        <v>34</v>
      </c>
      <c r="D31" s="38" t="n">
        <f aca="false">COUNTIF(A타입_제작표!$I$2:$I$799,A31)</f>
        <v>14</v>
      </c>
      <c r="E31" s="38" t="n">
        <f aca="false">COUNTIFS(A타입_제작표!$I$2:$I$799,A31,A타입_제작표!$C$2:$C$799,1)</f>
        <v>2</v>
      </c>
      <c r="F31" s="38" t="n">
        <f aca="false">COUNTIFS(A타입_제작표!$I$2:$I$799,A31,A타입_제작표!$C$2:$C$799,2)</f>
        <v>12</v>
      </c>
      <c r="G31" s="38" t="n">
        <f aca="false">E31+F31</f>
        <v>14</v>
      </c>
      <c r="H31" s="39" t="str">
        <f aca="false">IF(G31=D31,"정상","확인 필요")</f>
        <v>정상</v>
      </c>
      <c r="I31" s="24" t="s">
        <v>7838</v>
      </c>
    </row>
    <row r="32" customFormat="false" ht="15" hidden="false" customHeight="false" outlineLevel="0" collapsed="false">
      <c r="A32" s="38" t="s">
        <v>1591</v>
      </c>
      <c r="B32" s="38" t="n">
        <v>24</v>
      </c>
      <c r="C32" s="38" t="n">
        <v>24</v>
      </c>
      <c r="D32" s="38" t="n">
        <f aca="false">COUNTIF(A타입_제작표!$I$2:$I$799,A32)</f>
        <v>16</v>
      </c>
      <c r="E32" s="38" t="n">
        <f aca="false">COUNTIFS(A타입_제작표!$I$2:$I$799,A32,A타입_제작표!$C$2:$C$799,1)</f>
        <v>7</v>
      </c>
      <c r="F32" s="38" t="n">
        <f aca="false">COUNTIFS(A타입_제작표!$I$2:$I$799,A32,A타입_제작표!$C$2:$C$799,2)</f>
        <v>9</v>
      </c>
      <c r="G32" s="38" t="n">
        <f aca="false">E32+F32</f>
        <v>16</v>
      </c>
      <c r="H32" s="39" t="str">
        <f aca="false">IF(G32=D32,"정상","확인 필요")</f>
        <v>정상</v>
      </c>
      <c r="I32" s="24" t="s">
        <v>7838</v>
      </c>
    </row>
    <row r="33" customFormat="false" ht="15" hidden="false" customHeight="false" outlineLevel="0" collapsed="false">
      <c r="A33" s="38" t="s">
        <v>1732</v>
      </c>
      <c r="B33" s="38" t="n">
        <v>21</v>
      </c>
      <c r="C33" s="38" t="n">
        <v>21</v>
      </c>
      <c r="D33" s="38" t="n">
        <f aca="false">COUNTIF(A타입_제작표!$I$2:$I$799,A33)</f>
        <v>20</v>
      </c>
      <c r="E33" s="38" t="n">
        <f aca="false">COUNTIFS(A타입_제작표!$I$2:$I$799,A33,A타입_제작표!$C$2:$C$799,1)</f>
        <v>6</v>
      </c>
      <c r="F33" s="38" t="n">
        <f aca="false">COUNTIFS(A타입_제작표!$I$2:$I$799,A33,A타입_제작표!$C$2:$C$799,2)</f>
        <v>14</v>
      </c>
      <c r="G33" s="38" t="n">
        <f aca="false">E33+F33</f>
        <v>20</v>
      </c>
      <c r="H33" s="39" t="str">
        <f aca="false">IF(G33=D33,"정상","확인 필요")</f>
        <v>정상</v>
      </c>
      <c r="I33" s="24" t="s">
        <v>7838</v>
      </c>
    </row>
    <row r="34" customFormat="false" ht="15" hidden="false" customHeight="false" outlineLevel="0" collapsed="false">
      <c r="A34" s="38" t="s">
        <v>1915</v>
      </c>
      <c r="B34" s="38" t="n">
        <v>4</v>
      </c>
      <c r="C34" s="38" t="n">
        <v>4</v>
      </c>
      <c r="D34" s="38" t="n">
        <f aca="false">COUNTIF(A타입_제작표!$I$2:$I$799,A34)</f>
        <v>5</v>
      </c>
      <c r="E34" s="38" t="n">
        <f aca="false">COUNTIFS(A타입_제작표!$I$2:$I$799,A34,A타입_제작표!$C$2:$C$799,1)</f>
        <v>4</v>
      </c>
      <c r="F34" s="38" t="n">
        <f aca="false">COUNTIFS(A타입_제작표!$I$2:$I$799,A34,A타입_제작표!$C$2:$C$799,2)</f>
        <v>1</v>
      </c>
      <c r="G34" s="38" t="n">
        <f aca="false">E34+F34</f>
        <v>5</v>
      </c>
      <c r="H34" s="39" t="str">
        <f aca="false">IF(G34=D34,"정상","확인 필요")</f>
        <v>정상</v>
      </c>
      <c r="I34" s="24" t="s">
        <v>7838</v>
      </c>
    </row>
    <row r="35" customFormat="false" ht="15" hidden="false" customHeight="false" outlineLevel="0" collapsed="false">
      <c r="A35" s="38" t="s">
        <v>1962</v>
      </c>
      <c r="B35" s="38" t="n">
        <v>31</v>
      </c>
      <c r="C35" s="38" t="n">
        <v>31</v>
      </c>
      <c r="D35" s="38" t="n">
        <f aca="false">COUNTIF(A타입_제작표!$I$2:$I$799,A35)</f>
        <v>28</v>
      </c>
      <c r="E35" s="38" t="n">
        <f aca="false">COUNTIFS(A타입_제작표!$I$2:$I$799,A35,A타입_제작표!$C$2:$C$799,1)</f>
        <v>12</v>
      </c>
      <c r="F35" s="38" t="n">
        <f aca="false">COUNTIFS(A타입_제작표!$I$2:$I$799,A35,A타입_제작표!$C$2:$C$799,2)</f>
        <v>16</v>
      </c>
      <c r="G35" s="38" t="n">
        <f aca="false">E35+F35</f>
        <v>28</v>
      </c>
      <c r="H35" s="39" t="str">
        <f aca="false">IF(G35=D35,"정상","확인 필요")</f>
        <v>정상</v>
      </c>
      <c r="I35" s="24" t="s">
        <v>7838</v>
      </c>
    </row>
    <row r="36" customFormat="false" ht="15" hidden="false" customHeight="false" outlineLevel="0" collapsed="false">
      <c r="A36" s="38" t="s">
        <v>2205</v>
      </c>
      <c r="B36" s="38" t="n">
        <v>24</v>
      </c>
      <c r="C36" s="38" t="n">
        <v>24</v>
      </c>
      <c r="D36" s="38" t="n">
        <f aca="false">COUNTIF(A타입_제작표!$I$2:$I$799,A36)</f>
        <v>21</v>
      </c>
      <c r="E36" s="38" t="n">
        <f aca="false">COUNTIFS(A타입_제작표!$I$2:$I$799,A36,A타입_제작표!$C$2:$C$799,1)</f>
        <v>7</v>
      </c>
      <c r="F36" s="38" t="n">
        <f aca="false">COUNTIFS(A타입_제작표!$I$2:$I$799,A36,A타입_제작표!$C$2:$C$799,2)</f>
        <v>14</v>
      </c>
      <c r="G36" s="38" t="n">
        <f aca="false">E36+F36</f>
        <v>21</v>
      </c>
      <c r="H36" s="39" t="str">
        <f aca="false">IF(G36=D36,"정상","확인 필요")</f>
        <v>정상</v>
      </c>
      <c r="I36" s="24" t="s">
        <v>7838</v>
      </c>
    </row>
    <row r="37" customFormat="false" ht="15" hidden="false" customHeight="false" outlineLevel="0" collapsed="false">
      <c r="A37" s="38" t="s">
        <v>2397</v>
      </c>
      <c r="B37" s="38" t="n">
        <v>22</v>
      </c>
      <c r="C37" s="38" t="n">
        <v>22</v>
      </c>
      <c r="D37" s="38" t="n">
        <f aca="false">COUNTIF(A타입_제작표!$I$2:$I$799,A37)</f>
        <v>23</v>
      </c>
      <c r="E37" s="38" t="n">
        <f aca="false">COUNTIFS(A타입_제작표!$I$2:$I$799,A37,A타입_제작표!$C$2:$C$799,1)</f>
        <v>12</v>
      </c>
      <c r="F37" s="38" t="n">
        <f aca="false">COUNTIFS(A타입_제작표!$I$2:$I$799,A37,A타입_제작표!$C$2:$C$799,2)</f>
        <v>11</v>
      </c>
      <c r="G37" s="38" t="n">
        <f aca="false">E37+F37</f>
        <v>23</v>
      </c>
      <c r="H37" s="39" t="str">
        <f aca="false">IF(G37=D37,"정상","확인 필요")</f>
        <v>정상</v>
      </c>
      <c r="I37" s="24" t="s">
        <v>7838</v>
      </c>
    </row>
    <row r="38" customFormat="false" ht="15" hidden="false" customHeight="false" outlineLevel="0" collapsed="false">
      <c r="A38" s="38" t="s">
        <v>2596</v>
      </c>
      <c r="B38" s="38" t="n">
        <v>25</v>
      </c>
      <c r="C38" s="38" t="n">
        <v>25</v>
      </c>
      <c r="D38" s="38" t="n">
        <f aca="false">COUNTIF(A타입_제작표!$I$2:$I$799,A38)</f>
        <v>28</v>
      </c>
      <c r="E38" s="38" t="n">
        <f aca="false">COUNTIFS(A타입_제작표!$I$2:$I$799,A38,A타입_제작표!$C$2:$C$799,1)</f>
        <v>10</v>
      </c>
      <c r="F38" s="38" t="n">
        <f aca="false">COUNTIFS(A타입_제작표!$I$2:$I$799,A38,A타입_제작표!$C$2:$C$799,2)</f>
        <v>18</v>
      </c>
      <c r="G38" s="38" t="n">
        <f aca="false">E38+F38</f>
        <v>28</v>
      </c>
      <c r="H38" s="39" t="str">
        <f aca="false">IF(G38=D38,"정상","확인 필요")</f>
        <v>정상</v>
      </c>
      <c r="I38" s="24" t="s">
        <v>7838</v>
      </c>
    </row>
    <row r="39" customFormat="false" ht="15" hidden="false" customHeight="false" outlineLevel="0" collapsed="false">
      <c r="A39" s="38" t="s">
        <v>2852</v>
      </c>
      <c r="B39" s="38" t="n">
        <v>29</v>
      </c>
      <c r="C39" s="38" t="n">
        <v>29</v>
      </c>
      <c r="D39" s="38" t="n">
        <f aca="false">COUNTIF(A타입_제작표!$I$2:$I$799,A39)</f>
        <v>7</v>
      </c>
      <c r="E39" s="38" t="n">
        <f aca="false">COUNTIFS(A타입_제작표!$I$2:$I$799,A39,A타입_제작표!$C$2:$C$799,1)</f>
        <v>0</v>
      </c>
      <c r="F39" s="38" t="n">
        <f aca="false">COUNTIFS(A타입_제작표!$I$2:$I$799,A39,A타입_제작표!$C$2:$C$799,2)</f>
        <v>7</v>
      </c>
      <c r="G39" s="38" t="n">
        <f aca="false">E39+F39</f>
        <v>7</v>
      </c>
      <c r="H39" s="39" t="str">
        <f aca="false">IF(G39=D39,"정상","확인 필요")</f>
        <v>정상</v>
      </c>
      <c r="I39" s="24" t="s">
        <v>7838</v>
      </c>
    </row>
    <row r="40" customFormat="false" ht="15" hidden="false" customHeight="false" outlineLevel="0" collapsed="false">
      <c r="A40" s="38" t="s">
        <v>2912</v>
      </c>
      <c r="B40" s="38" t="n">
        <v>36</v>
      </c>
      <c r="C40" s="38" t="n">
        <v>36</v>
      </c>
      <c r="D40" s="38" t="n">
        <f aca="false">COUNTIF(A타입_제작표!$I$2:$I$799,A40)</f>
        <v>8</v>
      </c>
      <c r="E40" s="38" t="n">
        <f aca="false">COUNTIFS(A타입_제작표!$I$2:$I$799,A40,A타입_제작표!$C$2:$C$799,1)</f>
        <v>2</v>
      </c>
      <c r="F40" s="38" t="n">
        <f aca="false">COUNTIFS(A타입_제작표!$I$2:$I$799,A40,A타입_제작표!$C$2:$C$799,2)</f>
        <v>6</v>
      </c>
      <c r="G40" s="38" t="n">
        <f aca="false">E40+F40</f>
        <v>8</v>
      </c>
      <c r="H40" s="39" t="str">
        <f aca="false">IF(G40=D40,"정상","확인 필요")</f>
        <v>정상</v>
      </c>
      <c r="I40" s="24" t="s">
        <v>7838</v>
      </c>
    </row>
    <row r="41" customFormat="false" ht="15" hidden="false" customHeight="false" outlineLevel="0" collapsed="false">
      <c r="A41" s="38" t="s">
        <v>2980</v>
      </c>
      <c r="B41" s="38" t="n">
        <v>10</v>
      </c>
      <c r="C41" s="38" t="n">
        <v>10</v>
      </c>
      <c r="D41" s="38" t="n">
        <f aca="false">COUNTIF(A타입_제작표!$I$2:$I$799,A41)</f>
        <v>8</v>
      </c>
      <c r="E41" s="38" t="n">
        <f aca="false">COUNTIFS(A타입_제작표!$I$2:$I$799,A41,A타입_제작표!$C$2:$C$799,1)</f>
        <v>2</v>
      </c>
      <c r="F41" s="38" t="n">
        <f aca="false">COUNTIFS(A타입_제작표!$I$2:$I$799,A41,A타입_제작표!$C$2:$C$799,2)</f>
        <v>6</v>
      </c>
      <c r="G41" s="38" t="n">
        <f aca="false">E41+F41</f>
        <v>8</v>
      </c>
      <c r="H41" s="39" t="str">
        <f aca="false">IF(G41=D41,"정상","확인 필요")</f>
        <v>정상</v>
      </c>
      <c r="I41" s="24" t="s">
        <v>7838</v>
      </c>
    </row>
    <row r="42" customFormat="false" ht="15" hidden="false" customHeight="false" outlineLevel="0" collapsed="false">
      <c r="A42" s="38" t="s">
        <v>3050</v>
      </c>
      <c r="B42" s="38" t="n">
        <v>13</v>
      </c>
      <c r="C42" s="38" t="n">
        <v>13</v>
      </c>
      <c r="D42" s="38" t="n">
        <f aca="false">COUNTIF(A타입_제작표!$I$2:$I$799,A42)</f>
        <v>9</v>
      </c>
      <c r="E42" s="38" t="n">
        <f aca="false">COUNTIFS(A타입_제작표!$I$2:$I$799,A42,A타입_제작표!$C$2:$C$799,1)</f>
        <v>4</v>
      </c>
      <c r="F42" s="38" t="n">
        <f aca="false">COUNTIFS(A타입_제작표!$I$2:$I$799,A42,A타입_제작표!$C$2:$C$799,2)</f>
        <v>5</v>
      </c>
      <c r="G42" s="38" t="n">
        <f aca="false">E42+F42</f>
        <v>9</v>
      </c>
      <c r="H42" s="39" t="str">
        <f aca="false">IF(G42=D42,"정상","확인 필요")</f>
        <v>정상</v>
      </c>
      <c r="I42" s="24" t="s">
        <v>7838</v>
      </c>
    </row>
    <row r="43" customFormat="false" ht="15" hidden="false" customHeight="false" outlineLevel="0" collapsed="false">
      <c r="A43" s="38" t="s">
        <v>3130</v>
      </c>
      <c r="B43" s="38" t="n">
        <v>10</v>
      </c>
      <c r="C43" s="38" t="n">
        <v>10</v>
      </c>
      <c r="D43" s="38" t="n">
        <f aca="false">COUNTIF(A타입_제작표!$I$2:$I$799,A43)</f>
        <v>10</v>
      </c>
      <c r="E43" s="38" t="n">
        <f aca="false">COUNTIFS(A타입_제작표!$I$2:$I$799,A43,A타입_제작표!$C$2:$C$799,1)</f>
        <v>5</v>
      </c>
      <c r="F43" s="38" t="n">
        <f aca="false">COUNTIFS(A타입_제작표!$I$2:$I$799,A43,A타입_제작표!$C$2:$C$799,2)</f>
        <v>5</v>
      </c>
      <c r="G43" s="38" t="n">
        <f aca="false">E43+F43</f>
        <v>10</v>
      </c>
      <c r="H43" s="39" t="str">
        <f aca="false">IF(G43=D43,"정상","확인 필요")</f>
        <v>정상</v>
      </c>
      <c r="I43" s="24" t="s">
        <v>7838</v>
      </c>
    </row>
    <row r="44" customFormat="false" ht="15" hidden="false" customHeight="false" outlineLevel="0" collapsed="false">
      <c r="A44" s="38" t="s">
        <v>3219</v>
      </c>
      <c r="B44" s="38" t="n">
        <v>42</v>
      </c>
      <c r="C44" s="38" t="n">
        <v>42</v>
      </c>
      <c r="D44" s="38" t="n">
        <f aca="false">COUNTIF(A타입_제작표!$I$2:$I$799,A44)</f>
        <v>11</v>
      </c>
      <c r="E44" s="38" t="n">
        <f aca="false">COUNTIFS(A타입_제작표!$I$2:$I$799,A44,A타입_제작표!$C$2:$C$799,1)</f>
        <v>5</v>
      </c>
      <c r="F44" s="38" t="n">
        <f aca="false">COUNTIFS(A타입_제작표!$I$2:$I$799,A44,A타입_제작표!$C$2:$C$799,2)</f>
        <v>6</v>
      </c>
      <c r="G44" s="38" t="n">
        <f aca="false">E44+F44</f>
        <v>11</v>
      </c>
      <c r="H44" s="39" t="str">
        <f aca="false">IF(G44=D44,"정상","확인 필요")</f>
        <v>정상</v>
      </c>
      <c r="I44" s="24" t="s">
        <v>7838</v>
      </c>
    </row>
    <row r="45" customFormat="false" ht="26.85" hidden="false" customHeight="false" outlineLevel="0" collapsed="false">
      <c r="A45" s="38" t="s">
        <v>3320</v>
      </c>
      <c r="B45" s="38" t="n">
        <v>150</v>
      </c>
      <c r="C45" s="38" t="n">
        <v>31</v>
      </c>
      <c r="D45" s="38" t="n">
        <f aca="false">COUNTIF(A타입_제작표!$I$2:$I$799,A45)</f>
        <v>31</v>
      </c>
      <c r="E45" s="38" t="n">
        <f aca="false">COUNTIFS(A타입_제작표!$I$2:$I$799,A45,A타입_제작표!$C$2:$C$799,1)</f>
        <v>6</v>
      </c>
      <c r="F45" s="38" t="n">
        <f aca="false">COUNTIFS(A타입_제작표!$I$2:$I$799,A45,A타입_제작표!$C$2:$C$799,2)</f>
        <v>25</v>
      </c>
      <c r="G45" s="38" t="n">
        <f aca="false">E45+F45</f>
        <v>31</v>
      </c>
      <c r="H45" s="39" t="str">
        <f aca="false">IF(G45=D45,"정상","확인 필요")</f>
        <v>정상</v>
      </c>
      <c r="I45" s="25" t="s">
        <v>7839</v>
      </c>
    </row>
    <row r="46" customFormat="false" ht="15" hidden="false" customHeight="false" outlineLevel="0" collapsed="false">
      <c r="A46" s="38" t="s">
        <v>3573</v>
      </c>
      <c r="B46" s="38" t="n">
        <v>31</v>
      </c>
      <c r="C46" s="38" t="n">
        <v>31</v>
      </c>
      <c r="D46" s="38" t="n">
        <f aca="false">COUNTIF(A타입_제작표!$I$2:$I$799,A46)</f>
        <v>9</v>
      </c>
      <c r="E46" s="38" t="n">
        <f aca="false">COUNTIFS(A타입_제작표!$I$2:$I$799,A46,A타입_제작표!$C$2:$C$799,1)</f>
        <v>1</v>
      </c>
      <c r="F46" s="38" t="n">
        <f aca="false">COUNTIFS(A타입_제작표!$I$2:$I$799,A46,A타입_제작표!$C$2:$C$799,2)</f>
        <v>8</v>
      </c>
      <c r="G46" s="38" t="n">
        <f aca="false">E46+F46</f>
        <v>9</v>
      </c>
      <c r="H46" s="39" t="str">
        <f aca="false">IF(G46=D46,"정상","확인 필요")</f>
        <v>정상</v>
      </c>
      <c r="I46" s="24" t="s">
        <v>7838</v>
      </c>
    </row>
    <row r="47" customFormat="false" ht="15" hidden="false" customHeight="false" outlineLevel="0" collapsed="false">
      <c r="A47" s="38" t="s">
        <v>3650</v>
      </c>
      <c r="B47" s="38" t="n">
        <v>12</v>
      </c>
      <c r="C47" s="38" t="n">
        <v>12</v>
      </c>
      <c r="D47" s="38" t="n">
        <f aca="false">COUNTIF(A타입_제작표!$I$2:$I$799,A47)</f>
        <v>5</v>
      </c>
      <c r="E47" s="38" t="n">
        <f aca="false">COUNTIFS(A타입_제작표!$I$2:$I$799,A47,A타입_제작표!$C$2:$C$799,1)</f>
        <v>1</v>
      </c>
      <c r="F47" s="38" t="n">
        <f aca="false">COUNTIFS(A타입_제작표!$I$2:$I$799,A47,A타입_제작표!$C$2:$C$799,2)</f>
        <v>4</v>
      </c>
      <c r="G47" s="38" t="n">
        <f aca="false">E47+F47</f>
        <v>5</v>
      </c>
      <c r="H47" s="39" t="str">
        <f aca="false">IF(G47=D47,"정상","확인 필요")</f>
        <v>정상</v>
      </c>
      <c r="I47" s="24" t="s">
        <v>7838</v>
      </c>
    </row>
    <row r="48" customFormat="false" ht="15" hidden="false" customHeight="false" outlineLevel="0" collapsed="false">
      <c r="A48" s="38" t="s">
        <v>3692</v>
      </c>
      <c r="B48" s="38" t="n">
        <v>8</v>
      </c>
      <c r="C48" s="38" t="n">
        <v>8</v>
      </c>
      <c r="D48" s="38" t="n">
        <f aca="false">COUNTIF(A타입_제작표!$I$2:$I$799,A48)</f>
        <v>3</v>
      </c>
      <c r="E48" s="38" t="n">
        <f aca="false">COUNTIFS(A타입_제작표!$I$2:$I$799,A48,A타입_제작표!$C$2:$C$799,1)</f>
        <v>0</v>
      </c>
      <c r="F48" s="38" t="n">
        <f aca="false">COUNTIFS(A타입_제작표!$I$2:$I$799,A48,A타입_제작표!$C$2:$C$799,2)</f>
        <v>3</v>
      </c>
      <c r="G48" s="38" t="n">
        <f aca="false">E48+F48</f>
        <v>3</v>
      </c>
      <c r="H48" s="39" t="str">
        <f aca="false">IF(G48=D48,"정상","확인 필요")</f>
        <v>정상</v>
      </c>
      <c r="I48" s="24" t="s">
        <v>7838</v>
      </c>
    </row>
    <row r="49" customFormat="false" ht="15" hidden="false" customHeight="false" outlineLevel="0" collapsed="false">
      <c r="A49" s="38" t="s">
        <v>3720</v>
      </c>
      <c r="B49" s="38" t="n">
        <v>66</v>
      </c>
      <c r="C49" s="38" t="n">
        <v>66</v>
      </c>
      <c r="D49" s="38" t="n">
        <f aca="false">COUNTIF(A타입_제작표!$I$2:$I$799,A49)</f>
        <v>26</v>
      </c>
      <c r="E49" s="38" t="n">
        <f aca="false">COUNTIFS(A타입_제작표!$I$2:$I$799,A49,A타입_제작표!$C$2:$C$799,1)</f>
        <v>5</v>
      </c>
      <c r="F49" s="38" t="n">
        <f aca="false">COUNTIFS(A타입_제작표!$I$2:$I$799,A49,A타입_제작표!$C$2:$C$799,2)</f>
        <v>21</v>
      </c>
      <c r="G49" s="38" t="n">
        <f aca="false">E49+F49</f>
        <v>26</v>
      </c>
      <c r="H49" s="39" t="str">
        <f aca="false">IF(G49=D49,"정상","확인 필요")</f>
        <v>정상</v>
      </c>
      <c r="I49" s="24" t="s">
        <v>7838</v>
      </c>
    </row>
    <row r="50" customFormat="false" ht="15" hidden="false" customHeight="false" outlineLevel="0" collapsed="false">
      <c r="A50" s="38" t="s">
        <v>3940</v>
      </c>
      <c r="B50" s="38" t="n">
        <v>52</v>
      </c>
      <c r="C50" s="38" t="n">
        <v>52</v>
      </c>
      <c r="D50" s="38" t="n">
        <f aca="false">COUNTIF(A타입_제작표!$I$2:$I$799,A50)</f>
        <v>20</v>
      </c>
      <c r="E50" s="38" t="n">
        <f aca="false">COUNTIFS(A타입_제작표!$I$2:$I$799,A50,A타입_제작표!$C$2:$C$799,1)</f>
        <v>4</v>
      </c>
      <c r="F50" s="38" t="n">
        <f aca="false">COUNTIFS(A타입_제작표!$I$2:$I$799,A50,A타입_제작표!$C$2:$C$799,2)</f>
        <v>16</v>
      </c>
      <c r="G50" s="38" t="n">
        <f aca="false">E50+F50</f>
        <v>20</v>
      </c>
      <c r="H50" s="39" t="str">
        <f aca="false">IF(G50=D50,"정상","확인 필요")</f>
        <v>정상</v>
      </c>
      <c r="I50" s="24" t="s">
        <v>7838</v>
      </c>
    </row>
    <row r="51" customFormat="false" ht="15" hidden="false" customHeight="false" outlineLevel="0" collapsed="false">
      <c r="A51" s="38" t="s">
        <v>4109</v>
      </c>
      <c r="B51" s="38" t="n">
        <v>5</v>
      </c>
      <c r="C51" s="38" t="n">
        <v>5</v>
      </c>
      <c r="D51" s="38" t="n">
        <f aca="false">COUNTIF(A타입_제작표!$I$2:$I$799,A51)</f>
        <v>3</v>
      </c>
      <c r="E51" s="38" t="n">
        <f aca="false">COUNTIFS(A타입_제작표!$I$2:$I$799,A51,A타입_제작표!$C$2:$C$799,1)</f>
        <v>1</v>
      </c>
      <c r="F51" s="38" t="n">
        <f aca="false">COUNTIFS(A타입_제작표!$I$2:$I$799,A51,A타입_제작표!$C$2:$C$799,2)</f>
        <v>2</v>
      </c>
      <c r="G51" s="38" t="n">
        <f aca="false">E51+F51</f>
        <v>3</v>
      </c>
      <c r="H51" s="39" t="str">
        <f aca="false">IF(G51=D51,"정상","확인 필요")</f>
        <v>정상</v>
      </c>
      <c r="I51" s="24" t="s">
        <v>7838</v>
      </c>
    </row>
    <row r="52" customFormat="false" ht="15" hidden="false" customHeight="false" outlineLevel="0" collapsed="false">
      <c r="A52" s="38" t="s">
        <v>4137</v>
      </c>
      <c r="B52" s="38" t="n">
        <v>48</v>
      </c>
      <c r="C52" s="38" t="n">
        <v>48</v>
      </c>
      <c r="D52" s="38" t="n">
        <f aca="false">COUNTIF(A타입_제작표!$I$2:$I$799,A52)</f>
        <v>14</v>
      </c>
      <c r="E52" s="38" t="n">
        <f aca="false">COUNTIFS(A타입_제작표!$I$2:$I$799,A52,A타입_제작표!$C$2:$C$799,1)</f>
        <v>1</v>
      </c>
      <c r="F52" s="38" t="n">
        <f aca="false">COUNTIFS(A타입_제작표!$I$2:$I$799,A52,A타입_제작표!$C$2:$C$799,2)</f>
        <v>13</v>
      </c>
      <c r="G52" s="38" t="n">
        <f aca="false">E52+F52</f>
        <v>14</v>
      </c>
      <c r="H52" s="39" t="str">
        <f aca="false">IF(G52=D52,"정상","확인 필요")</f>
        <v>정상</v>
      </c>
      <c r="I52" s="24" t="s">
        <v>7838</v>
      </c>
    </row>
    <row r="53" customFormat="false" ht="15" hidden="false" customHeight="false" outlineLevel="0" collapsed="false">
      <c r="A53" s="38" t="s">
        <v>4250</v>
      </c>
      <c r="B53" s="38" t="n">
        <v>12</v>
      </c>
      <c r="C53" s="38" t="n">
        <v>12</v>
      </c>
      <c r="D53" s="38" t="n">
        <f aca="false">COUNTIF(A타입_제작표!$I$2:$I$799,A53)</f>
        <v>13</v>
      </c>
      <c r="E53" s="38" t="n">
        <f aca="false">COUNTIFS(A타입_제작표!$I$2:$I$799,A53,A타입_제작표!$C$2:$C$799,1)</f>
        <v>7</v>
      </c>
      <c r="F53" s="38" t="n">
        <f aca="false">COUNTIFS(A타입_제작표!$I$2:$I$799,A53,A타입_제작표!$C$2:$C$799,2)</f>
        <v>6</v>
      </c>
      <c r="G53" s="38" t="n">
        <f aca="false">E53+F53</f>
        <v>13</v>
      </c>
      <c r="H53" s="39" t="str">
        <f aca="false">IF(G53=D53,"정상","확인 필요")</f>
        <v>정상</v>
      </c>
      <c r="I53" s="24" t="s">
        <v>7838</v>
      </c>
    </row>
    <row r="54" customFormat="false" ht="15" hidden="false" customHeight="false" outlineLevel="0" collapsed="false">
      <c r="A54" s="38" t="s">
        <v>4363</v>
      </c>
      <c r="B54" s="38" t="n">
        <v>14</v>
      </c>
      <c r="C54" s="38" t="n">
        <v>14</v>
      </c>
      <c r="D54" s="38" t="n">
        <f aca="false">COUNTIF(A타입_제작표!$I$2:$I$799,A54)</f>
        <v>4</v>
      </c>
      <c r="E54" s="38" t="n">
        <f aca="false">COUNTIFS(A타입_제작표!$I$2:$I$799,A54,A타입_제작표!$C$2:$C$799,1)</f>
        <v>0</v>
      </c>
      <c r="F54" s="38" t="n">
        <f aca="false">COUNTIFS(A타입_제작표!$I$2:$I$799,A54,A타입_제작표!$C$2:$C$799,2)</f>
        <v>4</v>
      </c>
      <c r="G54" s="38" t="n">
        <f aca="false">E54+F54</f>
        <v>4</v>
      </c>
      <c r="H54" s="39" t="str">
        <f aca="false">IF(G54=D54,"정상","확인 필요")</f>
        <v>정상</v>
      </c>
      <c r="I54" s="24" t="s">
        <v>7838</v>
      </c>
    </row>
    <row r="55" customFormat="false" ht="15" hidden="false" customHeight="false" outlineLevel="0" collapsed="false">
      <c r="A55" s="38" t="s">
        <v>4395</v>
      </c>
      <c r="B55" s="38" t="n">
        <v>3</v>
      </c>
      <c r="C55" s="38" t="n">
        <v>3</v>
      </c>
      <c r="D55" s="38" t="n">
        <f aca="false">COUNTIF(A타입_제작표!$I$2:$I$799,A55)</f>
        <v>3</v>
      </c>
      <c r="E55" s="38" t="n">
        <f aca="false">COUNTIFS(A타입_제작표!$I$2:$I$799,A55,A타입_제작표!$C$2:$C$799,1)</f>
        <v>0</v>
      </c>
      <c r="F55" s="38" t="n">
        <f aca="false">COUNTIFS(A타입_제작표!$I$2:$I$799,A55,A타입_제작표!$C$2:$C$799,2)</f>
        <v>3</v>
      </c>
      <c r="G55" s="38" t="n">
        <f aca="false">E55+F55</f>
        <v>3</v>
      </c>
      <c r="H55" s="39" t="str">
        <f aca="false">IF(G55=D55,"정상","확인 필요")</f>
        <v>정상</v>
      </c>
      <c r="I55" s="24" t="s">
        <v>7838</v>
      </c>
    </row>
    <row r="56" customFormat="false" ht="15" hidden="false" customHeight="false" outlineLevel="0" collapsed="false">
      <c r="A56" s="38" t="s">
        <v>4418</v>
      </c>
      <c r="B56" s="38" t="n">
        <v>9</v>
      </c>
      <c r="C56" s="38" t="n">
        <v>9</v>
      </c>
      <c r="D56" s="38" t="n">
        <f aca="false">COUNTIF(A타입_제작표!$I$2:$I$799,A56)</f>
        <v>4</v>
      </c>
      <c r="E56" s="38" t="n">
        <f aca="false">COUNTIFS(A타입_제작표!$I$2:$I$799,A56,A타입_제작표!$C$2:$C$799,1)</f>
        <v>0</v>
      </c>
      <c r="F56" s="38" t="n">
        <f aca="false">COUNTIFS(A타입_제작표!$I$2:$I$799,A56,A타입_제작표!$C$2:$C$799,2)</f>
        <v>4</v>
      </c>
      <c r="G56" s="38" t="n">
        <f aca="false">E56+F56</f>
        <v>4</v>
      </c>
      <c r="H56" s="39" t="str">
        <f aca="false">IF(G56=D56,"정상","확인 필요")</f>
        <v>정상</v>
      </c>
      <c r="I56" s="24" t="s">
        <v>7838</v>
      </c>
    </row>
    <row r="57" customFormat="false" ht="15" hidden="false" customHeight="false" outlineLevel="0" collapsed="false">
      <c r="A57" s="38" t="s">
        <v>4450</v>
      </c>
      <c r="B57" s="38" t="n">
        <v>1</v>
      </c>
      <c r="C57" s="38" t="n">
        <v>1</v>
      </c>
      <c r="D57" s="38" t="n">
        <f aca="false">COUNTIF(A타입_제작표!$I$2:$I$799,A57)</f>
        <v>1</v>
      </c>
      <c r="E57" s="38" t="n">
        <f aca="false">COUNTIFS(A타입_제작표!$I$2:$I$799,A57,A타입_제작표!$C$2:$C$799,1)</f>
        <v>0</v>
      </c>
      <c r="F57" s="38" t="n">
        <f aca="false">COUNTIFS(A타입_제작표!$I$2:$I$799,A57,A타입_제작표!$C$2:$C$799,2)</f>
        <v>1</v>
      </c>
      <c r="G57" s="38" t="n">
        <f aca="false">E57+F57</f>
        <v>1</v>
      </c>
      <c r="H57" s="39" t="str">
        <f aca="false">IF(G57=D57,"정상","확인 필요")</f>
        <v>정상</v>
      </c>
      <c r="I57" s="24" t="s">
        <v>7838</v>
      </c>
    </row>
    <row r="58" customFormat="false" ht="15" hidden="false" customHeight="false" outlineLevel="0" collapsed="false">
      <c r="A58" s="38" t="s">
        <v>4459</v>
      </c>
      <c r="B58" s="38" t="n">
        <v>4</v>
      </c>
      <c r="C58" s="38" t="n">
        <v>4</v>
      </c>
      <c r="D58" s="38" t="n">
        <f aca="false">COUNTIF(A타입_제작표!$I$2:$I$799,A58)</f>
        <v>5</v>
      </c>
      <c r="E58" s="38" t="n">
        <f aca="false">COUNTIFS(A타입_제작표!$I$2:$I$799,A58,A타입_제작표!$C$2:$C$799,1)</f>
        <v>5</v>
      </c>
      <c r="F58" s="38" t="n">
        <f aca="false">COUNTIFS(A타입_제작표!$I$2:$I$799,A58,A타입_제작표!$C$2:$C$799,2)</f>
        <v>0</v>
      </c>
      <c r="G58" s="38" t="n">
        <f aca="false">E58+F58</f>
        <v>5</v>
      </c>
      <c r="H58" s="39" t="str">
        <f aca="false">IF(G58=D58,"정상","확인 필요")</f>
        <v>정상</v>
      </c>
      <c r="I58" s="24" t="s">
        <v>7838</v>
      </c>
    </row>
    <row r="59" customFormat="false" ht="15" hidden="false" customHeight="false" outlineLevel="0" collapsed="false">
      <c r="A59" s="38" t="s">
        <v>4501</v>
      </c>
      <c r="B59" s="38" t="n">
        <v>7</v>
      </c>
      <c r="C59" s="38" t="n">
        <v>7</v>
      </c>
      <c r="D59" s="38" t="n">
        <f aca="false">COUNTIF(A타입_제작표!$I$2:$I$799,A59)</f>
        <v>3</v>
      </c>
      <c r="E59" s="38" t="n">
        <f aca="false">COUNTIFS(A타입_제작표!$I$2:$I$799,A59,A타입_제작표!$C$2:$C$799,1)</f>
        <v>1</v>
      </c>
      <c r="F59" s="38" t="n">
        <f aca="false">COUNTIFS(A타입_제작표!$I$2:$I$799,A59,A타입_제작표!$C$2:$C$799,2)</f>
        <v>2</v>
      </c>
      <c r="G59" s="38" t="n">
        <f aca="false">E59+F59</f>
        <v>3</v>
      </c>
      <c r="H59" s="39" t="str">
        <f aca="false">IF(G59=D59,"정상","확인 필요")</f>
        <v>정상</v>
      </c>
      <c r="I59" s="24" t="s">
        <v>7838</v>
      </c>
    </row>
    <row r="60" customFormat="false" ht="15" hidden="false" customHeight="false" outlineLevel="0" collapsed="false">
      <c r="A60" s="38" t="s">
        <v>4527</v>
      </c>
      <c r="B60" s="38" t="n">
        <v>3</v>
      </c>
      <c r="C60" s="38" t="n">
        <v>3</v>
      </c>
      <c r="D60" s="38" t="n">
        <f aca="false">COUNTIF(A타입_제작표!$I$2:$I$799,A60)</f>
        <v>1</v>
      </c>
      <c r="E60" s="38" t="n">
        <f aca="false">COUNTIFS(A타입_제작표!$I$2:$I$799,A60,A타입_제작표!$C$2:$C$799,1)</f>
        <v>0</v>
      </c>
      <c r="F60" s="38" t="n">
        <f aca="false">COUNTIFS(A타입_제작표!$I$2:$I$799,A60,A타입_제작표!$C$2:$C$799,2)</f>
        <v>1</v>
      </c>
      <c r="G60" s="38" t="n">
        <f aca="false">E60+F60</f>
        <v>1</v>
      </c>
      <c r="H60" s="39" t="str">
        <f aca="false">IF(G60=D60,"정상","확인 필요")</f>
        <v>정상</v>
      </c>
      <c r="I60" s="24" t="s">
        <v>7838</v>
      </c>
    </row>
    <row r="61" customFormat="false" ht="15" hidden="false" customHeight="false" outlineLevel="0" collapsed="false">
      <c r="A61" s="38" t="s">
        <v>4537</v>
      </c>
      <c r="B61" s="38" t="n">
        <v>3</v>
      </c>
      <c r="C61" s="38" t="n">
        <v>3</v>
      </c>
      <c r="D61" s="38" t="n">
        <f aca="false">COUNTIF(A타입_제작표!$I$2:$I$799,A61)</f>
        <v>3</v>
      </c>
      <c r="E61" s="38" t="n">
        <f aca="false">COUNTIFS(A타입_제작표!$I$2:$I$799,A61,A타입_제작표!$C$2:$C$799,1)</f>
        <v>1</v>
      </c>
      <c r="F61" s="38" t="n">
        <f aca="false">COUNTIFS(A타입_제작표!$I$2:$I$799,A61,A타입_제작표!$C$2:$C$799,2)</f>
        <v>2</v>
      </c>
      <c r="G61" s="38" t="n">
        <f aca="false">E61+F61</f>
        <v>3</v>
      </c>
      <c r="H61" s="39" t="str">
        <f aca="false">IF(G61=D61,"정상","확인 필요")</f>
        <v>정상</v>
      </c>
      <c r="I61" s="24" t="s">
        <v>7838</v>
      </c>
    </row>
    <row r="62" customFormat="false" ht="15" hidden="false" customHeight="false" outlineLevel="0" collapsed="false">
      <c r="A62" s="38" t="s">
        <v>4562</v>
      </c>
      <c r="B62" s="38" t="n">
        <v>3</v>
      </c>
      <c r="C62" s="38" t="n">
        <v>3</v>
      </c>
      <c r="D62" s="38" t="n">
        <f aca="false">COUNTIF(A타입_제작표!$I$2:$I$799,A62)</f>
        <v>2</v>
      </c>
      <c r="E62" s="38" t="n">
        <f aca="false">COUNTIFS(A타입_제작표!$I$2:$I$799,A62,A타입_제작표!$C$2:$C$799,1)</f>
        <v>0</v>
      </c>
      <c r="F62" s="38" t="n">
        <f aca="false">COUNTIFS(A타입_제작표!$I$2:$I$799,A62,A타입_제작표!$C$2:$C$799,2)</f>
        <v>2</v>
      </c>
      <c r="G62" s="38" t="n">
        <f aca="false">E62+F62</f>
        <v>2</v>
      </c>
      <c r="H62" s="39" t="str">
        <f aca="false">IF(G62=D62,"정상","확인 필요")</f>
        <v>정상</v>
      </c>
      <c r="I62" s="24" t="s">
        <v>7838</v>
      </c>
    </row>
    <row r="63" customFormat="false" ht="15" hidden="false" customHeight="false" outlineLevel="0" collapsed="false">
      <c r="A63" s="38" t="s">
        <v>4578</v>
      </c>
      <c r="B63" s="38" t="n">
        <v>2</v>
      </c>
      <c r="C63" s="38" t="n">
        <v>2</v>
      </c>
      <c r="D63" s="38" t="n">
        <f aca="false">COUNTIF(A타입_제작표!$I$2:$I$799,A63)</f>
        <v>2</v>
      </c>
      <c r="E63" s="38" t="n">
        <f aca="false">COUNTIFS(A타입_제작표!$I$2:$I$799,A63,A타입_제작표!$C$2:$C$799,1)</f>
        <v>0</v>
      </c>
      <c r="F63" s="38" t="n">
        <f aca="false">COUNTIFS(A타입_제작표!$I$2:$I$799,A63,A타입_제작표!$C$2:$C$799,2)</f>
        <v>2</v>
      </c>
      <c r="G63" s="38" t="n">
        <f aca="false">E63+F63</f>
        <v>2</v>
      </c>
      <c r="H63" s="39" t="str">
        <f aca="false">IF(G63=D63,"정상","확인 필요")</f>
        <v>정상</v>
      </c>
      <c r="I63" s="24" t="s">
        <v>7838</v>
      </c>
    </row>
    <row r="64" customFormat="false" ht="15" hidden="false" customHeight="false" outlineLevel="0" collapsed="false">
      <c r="A64" s="38" t="s">
        <v>4595</v>
      </c>
      <c r="B64" s="38" t="n">
        <v>14</v>
      </c>
      <c r="C64" s="38" t="n">
        <v>14</v>
      </c>
      <c r="D64" s="38" t="n">
        <f aca="false">COUNTIF(A타입_제작표!$I$2:$I$799,A64)</f>
        <v>4</v>
      </c>
      <c r="E64" s="38" t="n">
        <f aca="false">COUNTIFS(A타입_제작표!$I$2:$I$799,A64,A타입_제작표!$C$2:$C$799,1)</f>
        <v>0</v>
      </c>
      <c r="F64" s="38" t="n">
        <f aca="false">COUNTIFS(A타입_제작표!$I$2:$I$799,A64,A타입_제작표!$C$2:$C$799,2)</f>
        <v>4</v>
      </c>
      <c r="G64" s="38" t="n">
        <f aca="false">E64+F64</f>
        <v>4</v>
      </c>
      <c r="H64" s="39" t="str">
        <f aca="false">IF(G64=D64,"정상","확인 필요")</f>
        <v>정상</v>
      </c>
      <c r="I64" s="24" t="s">
        <v>7838</v>
      </c>
    </row>
    <row r="65" customFormat="false" ht="15" hidden="false" customHeight="false" outlineLevel="0" collapsed="false">
      <c r="A65" s="38" t="s">
        <v>4629</v>
      </c>
      <c r="B65" s="38" t="n">
        <v>4</v>
      </c>
      <c r="C65" s="38" t="n">
        <v>4</v>
      </c>
      <c r="D65" s="38" t="n">
        <f aca="false">COUNTIF(A타입_제작표!$I$2:$I$799,A65)</f>
        <v>3</v>
      </c>
      <c r="E65" s="38" t="n">
        <f aca="false">COUNTIFS(A타입_제작표!$I$2:$I$799,A65,A타입_제작표!$C$2:$C$799,1)</f>
        <v>1</v>
      </c>
      <c r="F65" s="38" t="n">
        <f aca="false">COUNTIFS(A타입_제작표!$I$2:$I$799,A65,A타입_제작표!$C$2:$C$799,2)</f>
        <v>2</v>
      </c>
      <c r="G65" s="38" t="n">
        <f aca="false">E65+F65</f>
        <v>3</v>
      </c>
      <c r="H65" s="39" t="str">
        <f aca="false">IF(G65=D65,"정상","확인 필요")</f>
        <v>정상</v>
      </c>
      <c r="I65" s="24" t="s">
        <v>7838</v>
      </c>
    </row>
    <row r="66" customFormat="false" ht="15" hidden="false" customHeight="false" outlineLevel="0" collapsed="false">
      <c r="A66" s="38" t="s">
        <v>4659</v>
      </c>
      <c r="B66" s="38" t="n">
        <v>28</v>
      </c>
      <c r="C66" s="38" t="n">
        <v>28</v>
      </c>
      <c r="D66" s="38" t="n">
        <f aca="false">COUNTIF(A타입_제작표!$I$2:$I$799,A66)</f>
        <v>55</v>
      </c>
      <c r="E66" s="38" t="n">
        <f aca="false">COUNTIFS(A타입_제작표!$I$2:$I$799,A66,A타입_제작표!$C$2:$C$799,1)</f>
        <v>32</v>
      </c>
      <c r="F66" s="38" t="n">
        <f aca="false">COUNTIFS(A타입_제작표!$I$2:$I$799,A66,A타입_제작표!$C$2:$C$799,2)</f>
        <v>23</v>
      </c>
      <c r="G66" s="38" t="n">
        <f aca="false">E66+F66</f>
        <v>55</v>
      </c>
      <c r="H66" s="39" t="str">
        <f aca="false">IF(G66=D66,"정상","확인 필요")</f>
        <v>정상</v>
      </c>
      <c r="I66" s="24" t="s">
        <v>7838</v>
      </c>
    </row>
    <row r="67" customFormat="false" ht="26.85" hidden="false" customHeight="false" outlineLevel="0" collapsed="false">
      <c r="A67" s="38" t="s">
        <v>5134</v>
      </c>
      <c r="B67" s="38" t="n">
        <v>16</v>
      </c>
      <c r="C67" s="38" t="n">
        <v>10</v>
      </c>
      <c r="D67" s="38" t="n">
        <f aca="false">COUNTIF(A타입_제작표!$I$2:$I$799,A67)</f>
        <v>12</v>
      </c>
      <c r="E67" s="38" t="n">
        <f aca="false">COUNTIFS(A타입_제작표!$I$2:$I$799,A67,A타입_제작표!$C$2:$C$799,1)</f>
        <v>5</v>
      </c>
      <c r="F67" s="38" t="n">
        <f aca="false">COUNTIFS(A타입_제작표!$I$2:$I$799,A67,A타입_제작표!$C$2:$C$799,2)</f>
        <v>7</v>
      </c>
      <c r="G67" s="38" t="n">
        <f aca="false">E67+F67</f>
        <v>12</v>
      </c>
      <c r="H67" s="39" t="str">
        <f aca="false">IF(G67=D67,"정상","확인 필요")</f>
        <v>정상</v>
      </c>
      <c r="I67" s="27" t="s">
        <v>7840</v>
      </c>
    </row>
    <row r="68" customFormat="false" ht="26.85" hidden="false" customHeight="false" outlineLevel="0" collapsed="false">
      <c r="A68" s="38" t="s">
        <v>5242</v>
      </c>
      <c r="B68" s="38" t="n">
        <v>24</v>
      </c>
      <c r="C68" s="38" t="n">
        <v>18</v>
      </c>
      <c r="D68" s="38" t="n">
        <f aca="false">COUNTIF(A타입_제작표!$I$2:$I$799,A68)</f>
        <v>28</v>
      </c>
      <c r="E68" s="38" t="n">
        <f aca="false">COUNTIFS(A타입_제작표!$I$2:$I$799,A68,A타입_제작표!$C$2:$C$799,1)</f>
        <v>17</v>
      </c>
      <c r="F68" s="38" t="n">
        <f aca="false">COUNTIFS(A타입_제작표!$I$2:$I$799,A68,A타입_제작표!$C$2:$C$799,2)</f>
        <v>11</v>
      </c>
      <c r="G68" s="38" t="n">
        <f aca="false">E68+F68</f>
        <v>28</v>
      </c>
      <c r="H68" s="39" t="str">
        <f aca="false">IF(G68=D68,"정상","확인 필요")</f>
        <v>정상</v>
      </c>
      <c r="I68" s="27" t="s">
        <v>7841</v>
      </c>
    </row>
    <row r="69" customFormat="false" ht="15" hidden="false" customHeight="false" outlineLevel="0" collapsed="false">
      <c r="A69" s="38" t="s">
        <v>5490</v>
      </c>
      <c r="B69" s="38" t="n">
        <v>21</v>
      </c>
      <c r="C69" s="38" t="n">
        <v>21</v>
      </c>
      <c r="D69" s="38" t="n">
        <f aca="false">COUNTIF(A타입_제작표!$I$2:$I$799,A69)</f>
        <v>30</v>
      </c>
      <c r="E69" s="38" t="n">
        <f aca="false">COUNTIFS(A타입_제작표!$I$2:$I$799,A69,A타입_제작표!$C$2:$C$799,1)</f>
        <v>18</v>
      </c>
      <c r="F69" s="38" t="n">
        <f aca="false">COUNTIFS(A타입_제작표!$I$2:$I$799,A69,A타입_제작표!$C$2:$C$799,2)</f>
        <v>12</v>
      </c>
      <c r="G69" s="38" t="n">
        <f aca="false">E69+F69</f>
        <v>30</v>
      </c>
      <c r="H69" s="39" t="str">
        <f aca="false">IF(G69=D69,"정상","확인 필요")</f>
        <v>정상</v>
      </c>
      <c r="I69" s="24" t="s">
        <v>7838</v>
      </c>
    </row>
    <row r="70" customFormat="false" ht="15" hidden="false" customHeight="false" outlineLevel="0" collapsed="false">
      <c r="A70" s="38" t="s">
        <v>5750</v>
      </c>
      <c r="B70" s="38" t="n">
        <v>28</v>
      </c>
      <c r="C70" s="38" t="n">
        <v>28</v>
      </c>
      <c r="D70" s="38" t="n">
        <f aca="false">COUNTIF(A타입_제작표!$I$2:$I$799,A70)</f>
        <v>38</v>
      </c>
      <c r="E70" s="38" t="n">
        <f aca="false">COUNTIFS(A타입_제작표!$I$2:$I$799,A70,A타입_제작표!$C$2:$C$799,1)</f>
        <v>18</v>
      </c>
      <c r="F70" s="38" t="n">
        <f aca="false">COUNTIFS(A타입_제작표!$I$2:$I$799,A70,A타입_제작표!$C$2:$C$799,2)</f>
        <v>20</v>
      </c>
      <c r="G70" s="38" t="n">
        <f aca="false">E70+F70</f>
        <v>38</v>
      </c>
      <c r="H70" s="39" t="str">
        <f aca="false">IF(G70=D70,"정상","확인 필요")</f>
        <v>정상</v>
      </c>
      <c r="I70" s="24" t="s">
        <v>7838</v>
      </c>
    </row>
    <row r="71" customFormat="false" ht="15" hidden="false" customHeight="false" outlineLevel="0" collapsed="false">
      <c r="A71" s="38" t="s">
        <v>6090</v>
      </c>
      <c r="B71" s="38" t="n">
        <v>16</v>
      </c>
      <c r="C71" s="38" t="n">
        <v>16</v>
      </c>
      <c r="D71" s="38" t="n">
        <f aca="false">COUNTIF(A타입_제작표!$I$2:$I$799,A71)</f>
        <v>13</v>
      </c>
      <c r="E71" s="38" t="n">
        <f aca="false">COUNTIFS(A타입_제작표!$I$2:$I$799,A71,A타입_제작표!$C$2:$C$799,1)</f>
        <v>2</v>
      </c>
      <c r="F71" s="38" t="n">
        <f aca="false">COUNTIFS(A타입_제작표!$I$2:$I$799,A71,A타입_제작표!$C$2:$C$799,2)</f>
        <v>11</v>
      </c>
      <c r="G71" s="38" t="n">
        <f aca="false">E71+F71</f>
        <v>13</v>
      </c>
      <c r="H71" s="39" t="str">
        <f aca="false">IF(G71=D71,"정상","확인 필요")</f>
        <v>정상</v>
      </c>
      <c r="I71" s="24" t="s">
        <v>7838</v>
      </c>
    </row>
    <row r="72" customFormat="false" ht="15" hidden="false" customHeight="false" outlineLevel="0" collapsed="false">
      <c r="A72" s="38" t="s">
        <v>6199</v>
      </c>
      <c r="B72" s="38" t="n">
        <v>16</v>
      </c>
      <c r="C72" s="38" t="n">
        <v>16</v>
      </c>
      <c r="D72" s="38" t="n">
        <f aca="false">COUNTIF(A타입_제작표!$I$2:$I$799,A72)</f>
        <v>10</v>
      </c>
      <c r="E72" s="38" t="n">
        <f aca="false">COUNTIFS(A타입_제작표!$I$2:$I$799,A72,A타입_제작표!$C$2:$C$799,1)</f>
        <v>2</v>
      </c>
      <c r="F72" s="38" t="n">
        <f aca="false">COUNTIFS(A타입_제작표!$I$2:$I$799,A72,A타입_제작표!$C$2:$C$799,2)</f>
        <v>8</v>
      </c>
      <c r="G72" s="38" t="n">
        <f aca="false">E72+F72</f>
        <v>10</v>
      </c>
      <c r="H72" s="39" t="str">
        <f aca="false">IF(G72=D72,"정상","확인 필요")</f>
        <v>정상</v>
      </c>
      <c r="I72" s="24" t="s">
        <v>7838</v>
      </c>
    </row>
    <row r="73" customFormat="false" ht="15" hidden="false" customHeight="false" outlineLevel="0" collapsed="false">
      <c r="A73" s="38" t="s">
        <v>6285</v>
      </c>
      <c r="B73" s="38" t="n">
        <v>13</v>
      </c>
      <c r="C73" s="38" t="n">
        <v>13</v>
      </c>
      <c r="D73" s="38" t="n">
        <f aca="false">COUNTIF(A타입_제작표!$I$2:$I$799,A73)</f>
        <v>6</v>
      </c>
      <c r="E73" s="38" t="n">
        <f aca="false">COUNTIFS(A타입_제작표!$I$2:$I$799,A73,A타입_제작표!$C$2:$C$799,1)</f>
        <v>0</v>
      </c>
      <c r="F73" s="38" t="n">
        <f aca="false">COUNTIFS(A타입_제작표!$I$2:$I$799,A73,A타입_제작표!$C$2:$C$799,2)</f>
        <v>6</v>
      </c>
      <c r="G73" s="38" t="n">
        <f aca="false">E73+F73</f>
        <v>6</v>
      </c>
      <c r="H73" s="39" t="str">
        <f aca="false">IF(G73=D73,"정상","확인 필요")</f>
        <v>정상</v>
      </c>
      <c r="I73" s="24" t="s">
        <v>7838</v>
      </c>
    </row>
    <row r="74" customFormat="false" ht="15" hidden="false" customHeight="false" outlineLevel="0" collapsed="false">
      <c r="A74" s="38" t="s">
        <v>6331</v>
      </c>
      <c r="B74" s="38" t="n">
        <v>6</v>
      </c>
      <c r="C74" s="38" t="n">
        <v>6</v>
      </c>
      <c r="D74" s="38" t="n">
        <f aca="false">COUNTIF(A타입_제작표!$I$2:$I$799,A74)</f>
        <v>5</v>
      </c>
      <c r="E74" s="38" t="n">
        <f aca="false">COUNTIFS(A타입_제작표!$I$2:$I$799,A74,A타입_제작표!$C$2:$C$799,1)</f>
        <v>1</v>
      </c>
      <c r="F74" s="38" t="n">
        <f aca="false">COUNTIFS(A타입_제작표!$I$2:$I$799,A74,A타입_제작표!$C$2:$C$799,2)</f>
        <v>4</v>
      </c>
      <c r="G74" s="38" t="n">
        <f aca="false">E74+F74</f>
        <v>5</v>
      </c>
      <c r="H74" s="39" t="str">
        <f aca="false">IF(G74=D74,"정상","확인 필요")</f>
        <v>정상</v>
      </c>
      <c r="I74" s="24" t="s">
        <v>7838</v>
      </c>
    </row>
    <row r="75" customFormat="false" ht="15" hidden="false" customHeight="false" outlineLevel="0" collapsed="false">
      <c r="A75" s="38" t="s">
        <v>6374</v>
      </c>
      <c r="B75" s="38" t="n">
        <v>6</v>
      </c>
      <c r="C75" s="38" t="n">
        <v>6</v>
      </c>
      <c r="D75" s="38" t="n">
        <f aca="false">COUNTIF(A타입_제작표!$I$2:$I$799,A75)</f>
        <v>6</v>
      </c>
      <c r="E75" s="38" t="n">
        <f aca="false">COUNTIFS(A타입_제작표!$I$2:$I$799,A75,A타입_제작표!$C$2:$C$799,1)</f>
        <v>2</v>
      </c>
      <c r="F75" s="38" t="n">
        <f aca="false">COUNTIFS(A타입_제작표!$I$2:$I$799,A75,A타입_제작표!$C$2:$C$799,2)</f>
        <v>4</v>
      </c>
      <c r="G75" s="38" t="n">
        <f aca="false">E75+F75</f>
        <v>6</v>
      </c>
      <c r="H75" s="39" t="str">
        <f aca="false">IF(G75=D75,"정상","확인 필요")</f>
        <v>정상</v>
      </c>
      <c r="I75" s="24" t="s">
        <v>7838</v>
      </c>
    </row>
    <row r="76" customFormat="false" ht="15" hidden="false" customHeight="false" outlineLevel="0" collapsed="false">
      <c r="A76" s="38" t="s">
        <v>6425</v>
      </c>
      <c r="B76" s="38" t="n">
        <v>4</v>
      </c>
      <c r="C76" s="38" t="n">
        <v>4</v>
      </c>
      <c r="D76" s="38" t="n">
        <f aca="false">COUNTIF(A타입_제작표!$I$2:$I$799,A76)</f>
        <v>4</v>
      </c>
      <c r="E76" s="38" t="n">
        <f aca="false">COUNTIFS(A타입_제작표!$I$2:$I$799,A76,A타입_제작표!$C$2:$C$799,1)</f>
        <v>0</v>
      </c>
      <c r="F76" s="38" t="n">
        <f aca="false">COUNTIFS(A타입_제작표!$I$2:$I$799,A76,A타입_제작표!$C$2:$C$799,2)</f>
        <v>4</v>
      </c>
      <c r="G76" s="38" t="n">
        <f aca="false">E76+F76</f>
        <v>4</v>
      </c>
      <c r="H76" s="39" t="str">
        <f aca="false">IF(G76=D76,"정상","확인 필요")</f>
        <v>정상</v>
      </c>
      <c r="I76" s="24" t="s">
        <v>7838</v>
      </c>
    </row>
    <row r="77" customFormat="false" ht="15" hidden="false" customHeight="false" outlineLevel="0" collapsed="false">
      <c r="A77" s="38" t="s">
        <v>6460</v>
      </c>
      <c r="B77" s="38" t="n">
        <v>4</v>
      </c>
      <c r="C77" s="38" t="n">
        <v>4</v>
      </c>
      <c r="D77" s="38" t="n">
        <f aca="false">COUNTIF(A타입_제작표!$I$2:$I$799,A77)</f>
        <v>4</v>
      </c>
      <c r="E77" s="38" t="n">
        <f aca="false">COUNTIFS(A타입_제작표!$I$2:$I$799,A77,A타입_제작표!$C$2:$C$799,1)</f>
        <v>0</v>
      </c>
      <c r="F77" s="38" t="n">
        <f aca="false">COUNTIFS(A타입_제작표!$I$2:$I$799,A77,A타입_제작표!$C$2:$C$799,2)</f>
        <v>4</v>
      </c>
      <c r="G77" s="38" t="n">
        <f aca="false">E77+F77</f>
        <v>4</v>
      </c>
      <c r="H77" s="39" t="str">
        <f aca="false">IF(G77=D77,"정상","확인 필요")</f>
        <v>정상</v>
      </c>
      <c r="I77" s="24" t="s">
        <v>7838</v>
      </c>
    </row>
    <row r="78" customFormat="false" ht="15" hidden="false" customHeight="false" outlineLevel="0" collapsed="false">
      <c r="A78" s="38" t="s">
        <v>6490</v>
      </c>
      <c r="B78" s="38" t="n">
        <v>5</v>
      </c>
      <c r="C78" s="38" t="n">
        <v>5</v>
      </c>
      <c r="D78" s="38" t="n">
        <f aca="false">COUNTIF(A타입_제작표!$I$2:$I$799,A78)</f>
        <v>3</v>
      </c>
      <c r="E78" s="38" t="n">
        <f aca="false">COUNTIFS(A타입_제작표!$I$2:$I$799,A78,A타입_제작표!$C$2:$C$799,1)</f>
        <v>0</v>
      </c>
      <c r="F78" s="38" t="n">
        <f aca="false">COUNTIFS(A타입_제작표!$I$2:$I$799,A78,A타입_제작표!$C$2:$C$799,2)</f>
        <v>3</v>
      </c>
      <c r="G78" s="38" t="n">
        <f aca="false">E78+F78</f>
        <v>3</v>
      </c>
      <c r="H78" s="39" t="str">
        <f aca="false">IF(G78=D78,"정상","확인 필요")</f>
        <v>정상</v>
      </c>
      <c r="I78" s="24" t="s">
        <v>7838</v>
      </c>
    </row>
    <row r="79" customFormat="false" ht="15" hidden="false" customHeight="false" outlineLevel="0" collapsed="false">
      <c r="A79" s="38" t="s">
        <v>6514</v>
      </c>
      <c r="B79" s="38" t="n">
        <v>3</v>
      </c>
      <c r="C79" s="38" t="n">
        <v>3</v>
      </c>
      <c r="D79" s="38" t="n">
        <f aca="false">COUNTIF(A타입_제작표!$I$2:$I$799,A79)</f>
        <v>2</v>
      </c>
      <c r="E79" s="38" t="n">
        <f aca="false">COUNTIFS(A타입_제작표!$I$2:$I$799,A79,A타입_제작표!$C$2:$C$799,1)</f>
        <v>0</v>
      </c>
      <c r="F79" s="38" t="n">
        <f aca="false">COUNTIFS(A타입_제작표!$I$2:$I$799,A79,A타입_제작표!$C$2:$C$799,2)</f>
        <v>2</v>
      </c>
      <c r="G79" s="38" t="n">
        <f aca="false">E79+F79</f>
        <v>2</v>
      </c>
      <c r="H79" s="39" t="str">
        <f aca="false">IF(G79=D79,"정상","확인 필요")</f>
        <v>정상</v>
      </c>
      <c r="I79" s="24" t="s">
        <v>7838</v>
      </c>
    </row>
    <row r="80" customFormat="false" ht="15" hidden="false" customHeight="false" outlineLevel="0" collapsed="false">
      <c r="A80" s="38" t="s">
        <v>6532</v>
      </c>
      <c r="B80" s="38" t="n">
        <v>6</v>
      </c>
      <c r="C80" s="38" t="n">
        <v>6</v>
      </c>
      <c r="D80" s="38" t="n">
        <f aca="false">COUNTIF(A타입_제작표!$I$2:$I$799,A80)</f>
        <v>4</v>
      </c>
      <c r="E80" s="38" t="n">
        <f aca="false">COUNTIFS(A타입_제작표!$I$2:$I$799,A80,A타입_제작표!$C$2:$C$799,1)</f>
        <v>0</v>
      </c>
      <c r="F80" s="38" t="n">
        <f aca="false">COUNTIFS(A타입_제작표!$I$2:$I$799,A80,A타입_제작표!$C$2:$C$799,2)</f>
        <v>4</v>
      </c>
      <c r="G80" s="38" t="n">
        <f aca="false">E80+F80</f>
        <v>4</v>
      </c>
      <c r="H80" s="39" t="str">
        <f aca="false">IF(G80=D80,"정상","확인 필요")</f>
        <v>정상</v>
      </c>
      <c r="I80" s="24" t="s">
        <v>7838</v>
      </c>
    </row>
    <row r="81" customFormat="false" ht="15" hidden="false" customHeight="false" outlineLevel="0" collapsed="false">
      <c r="A81" s="38" t="s">
        <v>6565</v>
      </c>
      <c r="B81" s="38" t="n">
        <v>4</v>
      </c>
      <c r="C81" s="38" t="n">
        <v>4</v>
      </c>
      <c r="D81" s="38" t="n">
        <f aca="false">COUNTIF(A타입_제작표!$I$2:$I$799,A81)</f>
        <v>3</v>
      </c>
      <c r="E81" s="38" t="n">
        <f aca="false">COUNTIFS(A타입_제작표!$I$2:$I$799,A81,A타입_제작표!$C$2:$C$799,1)</f>
        <v>0</v>
      </c>
      <c r="F81" s="38" t="n">
        <f aca="false">COUNTIFS(A타입_제작표!$I$2:$I$799,A81,A타입_제작표!$C$2:$C$799,2)</f>
        <v>3</v>
      </c>
      <c r="G81" s="38" t="n">
        <f aca="false">E81+F81</f>
        <v>3</v>
      </c>
      <c r="H81" s="39" t="str">
        <f aca="false">IF(G81=D81,"정상","확인 필요")</f>
        <v>정상</v>
      </c>
      <c r="I81" s="24" t="s">
        <v>7838</v>
      </c>
    </row>
    <row r="82" customFormat="false" ht="15" hidden="false" customHeight="false" outlineLevel="0" collapsed="false">
      <c r="A82" s="38" t="s">
        <v>6589</v>
      </c>
      <c r="B82" s="38" t="n">
        <v>3</v>
      </c>
      <c r="C82" s="38" t="n">
        <v>3</v>
      </c>
      <c r="D82" s="38" t="n">
        <f aca="false">COUNTIF(A타입_제작표!$I$2:$I$799,A82)</f>
        <v>2</v>
      </c>
      <c r="E82" s="38" t="n">
        <f aca="false">COUNTIFS(A타입_제작표!$I$2:$I$799,A82,A타입_제작표!$C$2:$C$799,1)</f>
        <v>0</v>
      </c>
      <c r="F82" s="38" t="n">
        <f aca="false">COUNTIFS(A타입_제작표!$I$2:$I$799,A82,A타입_제작표!$C$2:$C$799,2)</f>
        <v>2</v>
      </c>
      <c r="G82" s="38" t="n">
        <f aca="false">E82+F82</f>
        <v>2</v>
      </c>
      <c r="H82" s="39" t="str">
        <f aca="false">IF(G82=D82,"정상","확인 필요")</f>
        <v>정상</v>
      </c>
      <c r="I82" s="24" t="s">
        <v>7838</v>
      </c>
    </row>
    <row r="83" customFormat="false" ht="15" hidden="false" customHeight="false" outlineLevel="0" collapsed="false">
      <c r="A83" s="38" t="s">
        <v>6605</v>
      </c>
      <c r="B83" s="38" t="n">
        <v>1</v>
      </c>
      <c r="C83" s="38" t="n">
        <v>1</v>
      </c>
      <c r="D83" s="38" t="n">
        <f aca="false">COUNTIF(A타입_제작표!$I$2:$I$799,A83)</f>
        <v>1</v>
      </c>
      <c r="E83" s="38" t="n">
        <f aca="false">COUNTIFS(A타입_제작표!$I$2:$I$799,A83,A타입_제작표!$C$2:$C$799,1)</f>
        <v>0</v>
      </c>
      <c r="F83" s="38" t="n">
        <f aca="false">COUNTIFS(A타입_제작표!$I$2:$I$799,A83,A타입_제작표!$C$2:$C$799,2)</f>
        <v>1</v>
      </c>
      <c r="G83" s="38" t="n">
        <f aca="false">E83+F83</f>
        <v>1</v>
      </c>
      <c r="H83" s="39" t="str">
        <f aca="false">IF(G83=D83,"정상","확인 필요")</f>
        <v>정상</v>
      </c>
      <c r="I83" s="24" t="s">
        <v>7838</v>
      </c>
    </row>
    <row r="84" customFormat="false" ht="15" hidden="false" customHeight="false" outlineLevel="0" collapsed="false">
      <c r="A84" s="38" t="s">
        <v>6617</v>
      </c>
      <c r="B84" s="38" t="n">
        <v>13</v>
      </c>
      <c r="C84" s="38" t="n">
        <v>13</v>
      </c>
      <c r="D84" s="38" t="n">
        <f aca="false">COUNTIF(A타입_제작표!$I$2:$I$799,A84)</f>
        <v>10</v>
      </c>
      <c r="E84" s="38" t="n">
        <f aca="false">COUNTIFS(A타입_제작표!$I$2:$I$799,A84,A타입_제작표!$C$2:$C$799,1)</f>
        <v>1</v>
      </c>
      <c r="F84" s="38" t="n">
        <f aca="false">COUNTIFS(A타입_제작표!$I$2:$I$799,A84,A타입_제작표!$C$2:$C$799,2)</f>
        <v>9</v>
      </c>
      <c r="G84" s="38" t="n">
        <f aca="false">E84+F84</f>
        <v>10</v>
      </c>
      <c r="H84" s="39" t="str">
        <f aca="false">IF(G84=D84,"정상","확인 필요")</f>
        <v>정상</v>
      </c>
      <c r="I84" s="24" t="s">
        <v>7838</v>
      </c>
    </row>
    <row r="85" customFormat="false" ht="15" hidden="false" customHeight="false" outlineLevel="0" collapsed="false">
      <c r="A85" s="38" t="s">
        <v>6705</v>
      </c>
      <c r="B85" s="38" t="n">
        <v>5</v>
      </c>
      <c r="C85" s="38" t="n">
        <v>5</v>
      </c>
      <c r="D85" s="38" t="n">
        <f aca="false">COUNTIF(A타입_제작표!$I$2:$I$799,A85)</f>
        <v>5</v>
      </c>
      <c r="E85" s="38" t="n">
        <f aca="false">COUNTIFS(A타입_제작표!$I$2:$I$799,A85,A타입_제작표!$C$2:$C$799,1)</f>
        <v>0</v>
      </c>
      <c r="F85" s="38" t="n">
        <f aca="false">COUNTIFS(A타입_제작표!$I$2:$I$799,A85,A타입_제작표!$C$2:$C$799,2)</f>
        <v>5</v>
      </c>
      <c r="G85" s="38" t="n">
        <f aca="false">E85+F85</f>
        <v>5</v>
      </c>
      <c r="H85" s="39" t="str">
        <f aca="false">IF(G85=D85,"정상","확인 필요")</f>
        <v>정상</v>
      </c>
      <c r="I85" s="24" t="s">
        <v>7838</v>
      </c>
    </row>
    <row r="86" customFormat="false" ht="15" hidden="false" customHeight="false" outlineLevel="0" collapsed="false">
      <c r="A86" s="38" t="s">
        <v>6746</v>
      </c>
      <c r="B86" s="38" t="n">
        <v>5</v>
      </c>
      <c r="C86" s="38" t="n">
        <v>5</v>
      </c>
      <c r="D86" s="38" t="n">
        <f aca="false">COUNTIF(A타입_제작표!$I$2:$I$799,A86)</f>
        <v>4</v>
      </c>
      <c r="E86" s="38" t="n">
        <f aca="false">COUNTIFS(A타입_제작표!$I$2:$I$799,A86,A타입_제작표!$C$2:$C$799,1)</f>
        <v>0</v>
      </c>
      <c r="F86" s="38" t="n">
        <f aca="false">COUNTIFS(A타입_제작표!$I$2:$I$799,A86,A타입_제작표!$C$2:$C$799,2)</f>
        <v>4</v>
      </c>
      <c r="G86" s="38" t="n">
        <f aca="false">E86+F86</f>
        <v>4</v>
      </c>
      <c r="H86" s="39" t="str">
        <f aca="false">IF(G86=D86,"정상","확인 필요")</f>
        <v>정상</v>
      </c>
      <c r="I86" s="24" t="s">
        <v>7838</v>
      </c>
    </row>
    <row r="87" customFormat="false" ht="15" hidden="false" customHeight="false" outlineLevel="0" collapsed="false">
      <c r="A87" s="38" t="s">
        <v>6778</v>
      </c>
      <c r="B87" s="38" t="n">
        <v>3</v>
      </c>
      <c r="C87" s="38" t="n">
        <v>3</v>
      </c>
      <c r="D87" s="38" t="n">
        <f aca="false">COUNTIF(A타입_제작표!$I$2:$I$799,A87)</f>
        <v>3</v>
      </c>
      <c r="E87" s="38" t="n">
        <f aca="false">COUNTIFS(A타입_제작표!$I$2:$I$799,A87,A타입_제작표!$C$2:$C$799,1)</f>
        <v>0</v>
      </c>
      <c r="F87" s="38" t="n">
        <f aca="false">COUNTIFS(A타입_제작표!$I$2:$I$799,A87,A타입_제작표!$C$2:$C$799,2)</f>
        <v>3</v>
      </c>
      <c r="G87" s="38" t="n">
        <f aca="false">E87+F87</f>
        <v>3</v>
      </c>
      <c r="H87" s="39" t="str">
        <f aca="false">IF(G87=D87,"정상","확인 필요")</f>
        <v>정상</v>
      </c>
      <c r="I87" s="24" t="s">
        <v>7838</v>
      </c>
    </row>
    <row r="88" customFormat="false" ht="15" hidden="false" customHeight="false" outlineLevel="0" collapsed="false">
      <c r="A88" s="38" t="s">
        <v>6805</v>
      </c>
      <c r="B88" s="38" t="n">
        <v>5</v>
      </c>
      <c r="C88" s="38" t="n">
        <v>5</v>
      </c>
      <c r="D88" s="38" t="n">
        <f aca="false">COUNTIF(A타입_제작표!$I$2:$I$799,A88)</f>
        <v>4</v>
      </c>
      <c r="E88" s="38" t="n">
        <f aca="false">COUNTIFS(A타입_제작표!$I$2:$I$799,A88,A타입_제작표!$C$2:$C$799,1)</f>
        <v>0</v>
      </c>
      <c r="F88" s="38" t="n">
        <f aca="false">COUNTIFS(A타입_제작표!$I$2:$I$799,A88,A타입_제작표!$C$2:$C$799,2)</f>
        <v>4</v>
      </c>
      <c r="G88" s="38" t="n">
        <f aca="false">E88+F88</f>
        <v>4</v>
      </c>
      <c r="H88" s="39" t="str">
        <f aca="false">IF(G88=D88,"정상","확인 필요")</f>
        <v>정상</v>
      </c>
      <c r="I88" s="24" t="s">
        <v>7838</v>
      </c>
    </row>
    <row r="89" customFormat="false" ht="15" hidden="false" customHeight="false" outlineLevel="0" collapsed="false">
      <c r="A89" s="38" t="s">
        <v>6837</v>
      </c>
      <c r="B89" s="38" t="n">
        <v>1</v>
      </c>
      <c r="C89" s="38" t="n">
        <v>1</v>
      </c>
      <c r="D89" s="38" t="n">
        <f aca="false">COUNTIF(A타입_제작표!$I$2:$I$799,A89)</f>
        <v>1</v>
      </c>
      <c r="E89" s="38" t="n">
        <f aca="false">COUNTIFS(A타입_제작표!$I$2:$I$799,A89,A타입_제작표!$C$2:$C$799,1)</f>
        <v>0</v>
      </c>
      <c r="F89" s="38" t="n">
        <f aca="false">COUNTIFS(A타입_제작표!$I$2:$I$799,A89,A타입_제작표!$C$2:$C$799,2)</f>
        <v>1</v>
      </c>
      <c r="G89" s="38" t="n">
        <f aca="false">E89+F89</f>
        <v>1</v>
      </c>
      <c r="H89" s="39" t="str">
        <f aca="false">IF(G89=D89,"정상","확인 필요")</f>
        <v>정상</v>
      </c>
      <c r="I89" s="24" t="s">
        <v>7838</v>
      </c>
    </row>
    <row r="90" customFormat="false" ht="15" hidden="false" customHeight="false" outlineLevel="0" collapsed="false">
      <c r="A90" s="38" t="s">
        <v>6847</v>
      </c>
      <c r="B90" s="38" t="n">
        <v>1</v>
      </c>
      <c r="C90" s="38" t="n">
        <v>1</v>
      </c>
      <c r="D90" s="38" t="n">
        <f aca="false">COUNTIF(A타입_제작표!$I$2:$I$799,A90)</f>
        <v>1</v>
      </c>
      <c r="E90" s="38" t="n">
        <f aca="false">COUNTIFS(A타입_제작표!$I$2:$I$799,A90,A타입_제작표!$C$2:$C$799,1)</f>
        <v>0</v>
      </c>
      <c r="F90" s="38" t="n">
        <f aca="false">COUNTIFS(A타입_제작표!$I$2:$I$799,A90,A타입_제작표!$C$2:$C$799,2)</f>
        <v>1</v>
      </c>
      <c r="G90" s="38" t="n">
        <f aca="false">E90+F90</f>
        <v>1</v>
      </c>
      <c r="H90" s="39" t="str">
        <f aca="false">IF(G90=D90,"정상","확인 필요")</f>
        <v>정상</v>
      </c>
      <c r="I90" s="24" t="s">
        <v>7838</v>
      </c>
    </row>
    <row r="91" customFormat="false" ht="15" hidden="false" customHeight="false" outlineLevel="0" collapsed="false">
      <c r="A91" s="38" t="s">
        <v>6857</v>
      </c>
      <c r="B91" s="38" t="n">
        <v>1</v>
      </c>
      <c r="C91" s="38" t="n">
        <v>1</v>
      </c>
      <c r="D91" s="38" t="n">
        <f aca="false">COUNTIF(A타입_제작표!$I$2:$I$799,A91)</f>
        <v>1</v>
      </c>
      <c r="E91" s="38" t="n">
        <f aca="false">COUNTIFS(A타입_제작표!$I$2:$I$799,A91,A타입_제작표!$C$2:$C$799,1)</f>
        <v>0</v>
      </c>
      <c r="F91" s="38" t="n">
        <f aca="false">COUNTIFS(A타입_제작표!$I$2:$I$799,A91,A타입_제작표!$C$2:$C$799,2)</f>
        <v>1</v>
      </c>
      <c r="G91" s="38" t="n">
        <f aca="false">E91+F91</f>
        <v>1</v>
      </c>
      <c r="H91" s="39" t="str">
        <f aca="false">IF(G91=D91,"정상","확인 필요")</f>
        <v>정상</v>
      </c>
      <c r="I91" s="24" t="s">
        <v>7838</v>
      </c>
    </row>
    <row r="92" customFormat="false" ht="15" hidden="false" customHeight="false" outlineLevel="0" collapsed="false">
      <c r="A92" s="38" t="s">
        <v>6869</v>
      </c>
      <c r="B92" s="38" t="n">
        <v>22</v>
      </c>
      <c r="C92" s="38" t="n">
        <v>22</v>
      </c>
      <c r="D92" s="38" t="n">
        <f aca="false">COUNTIF(A타입_제작표!$I$2:$I$799,A92)</f>
        <v>22</v>
      </c>
      <c r="E92" s="38" t="n">
        <f aca="false">COUNTIFS(A타입_제작표!$I$2:$I$799,A92,A타입_제작표!$C$2:$C$799,1)</f>
        <v>6</v>
      </c>
      <c r="F92" s="38" t="n">
        <f aca="false">COUNTIFS(A타입_제작표!$I$2:$I$799,A92,A타입_제작표!$C$2:$C$799,2)</f>
        <v>16</v>
      </c>
      <c r="G92" s="38" t="n">
        <f aca="false">E92+F92</f>
        <v>22</v>
      </c>
      <c r="H92" s="39" t="str">
        <f aca="false">IF(G92=D92,"정상","확인 필요")</f>
        <v>정상</v>
      </c>
      <c r="I92" s="24" t="s">
        <v>7838</v>
      </c>
    </row>
    <row r="95" customFormat="false" ht="16.4" hidden="false" customHeight="false" outlineLevel="0" collapsed="false">
      <c r="A95" s="31" t="s">
        <v>7842</v>
      </c>
      <c r="B95" s="4"/>
      <c r="C95" s="4"/>
      <c r="D95" s="4"/>
      <c r="E95" s="4"/>
      <c r="F95" s="4"/>
      <c r="G95" s="4"/>
      <c r="H95" s="4"/>
      <c r="I95" s="4"/>
    </row>
    <row r="96" customFormat="false" ht="15" hidden="false" customHeight="false" outlineLevel="0" collapsed="false">
      <c r="A96" s="32" t="s">
        <v>88</v>
      </c>
      <c r="B96" s="32" t="s">
        <v>7843</v>
      </c>
      <c r="C96" s="32" t="s">
        <v>7844</v>
      </c>
      <c r="D96" s="32" t="s">
        <v>7845</v>
      </c>
      <c r="E96" s="32" t="s">
        <v>7846</v>
      </c>
    </row>
    <row r="97" customFormat="false" ht="15" hidden="false" customHeight="false" outlineLevel="0" collapsed="false">
      <c r="A97" s="33" t="s">
        <v>116</v>
      </c>
      <c r="B97" s="33" t="n">
        <v>182</v>
      </c>
      <c r="C97" s="33" t="n">
        <v>83</v>
      </c>
      <c r="D97" s="33" t="n">
        <v>99</v>
      </c>
      <c r="E97" s="11" t="s">
        <v>7847</v>
      </c>
    </row>
    <row r="98" customFormat="false" ht="15" hidden="false" customHeight="false" outlineLevel="0" collapsed="false">
      <c r="A98" s="33" t="s">
        <v>4656</v>
      </c>
      <c r="B98" s="33" t="n">
        <v>104</v>
      </c>
      <c r="C98" s="33" t="n">
        <v>49</v>
      </c>
      <c r="D98" s="33" t="n">
        <v>55</v>
      </c>
      <c r="E98" s="11" t="s">
        <v>7848</v>
      </c>
    </row>
    <row r="100" customFormat="false" ht="15" hidden="false" customHeight="false" outlineLevel="0" collapsed="false">
      <c r="A100" s="7" t="s">
        <v>7849</v>
      </c>
    </row>
    <row r="101" customFormat="false" ht="15" hidden="false" customHeight="false" outlineLevel="0" collapsed="false">
      <c r="A101" s="7" t="s">
        <v>7850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9" min="8" style="0" width="7"/>
    <col collapsed="false" customWidth="true" hidden="false" outlineLevel="0" max="13" min="10" style="0" width="10"/>
    <col collapsed="false" customWidth="true" hidden="false" outlineLevel="0" max="14" min="14" style="0" width="50"/>
  </cols>
  <sheetData>
    <row r="1" customFormat="false" ht="30" hidden="false" customHeight="true" outlineLevel="0" collapsed="false">
      <c r="A1" s="16" t="s">
        <v>7851</v>
      </c>
      <c r="B1" s="16" t="s">
        <v>93</v>
      </c>
      <c r="C1" s="16" t="s">
        <v>7852</v>
      </c>
      <c r="D1" s="16" t="s">
        <v>7853</v>
      </c>
      <c r="E1" s="16" t="s">
        <v>7854</v>
      </c>
      <c r="F1" s="16" t="s">
        <v>7831</v>
      </c>
      <c r="G1" s="17" t="s">
        <v>7070</v>
      </c>
      <c r="H1" s="16" t="s">
        <v>7855</v>
      </c>
      <c r="I1" s="16" t="s">
        <v>7856</v>
      </c>
      <c r="J1" s="16" t="s">
        <v>7857</v>
      </c>
      <c r="K1" s="16" t="s">
        <v>7858</v>
      </c>
      <c r="L1" s="16" t="s">
        <v>7859</v>
      </c>
      <c r="M1" s="16" t="s">
        <v>7860</v>
      </c>
      <c r="N1" s="16" t="s">
        <v>7861</v>
      </c>
    </row>
    <row r="2" customFormat="false" ht="15" hidden="false" customHeight="false" outlineLevel="0" collapsed="false">
      <c r="A2" s="23" t="n">
        <v>1</v>
      </c>
      <c r="B2" s="23" t="s">
        <v>119</v>
      </c>
      <c r="C2" s="23" t="s">
        <v>7862</v>
      </c>
      <c r="D2" s="23" t="s">
        <v>116</v>
      </c>
      <c r="E2" s="23" t="s">
        <v>7863</v>
      </c>
      <c r="F2" s="23" t="n">
        <v>50</v>
      </c>
      <c r="G2" s="23" t="n">
        <f aca="false">COUNTIF(A타입_제작표!$I$2:$I$799,B2)</f>
        <v>78</v>
      </c>
      <c r="H2" s="23" t="n">
        <f aca="false">COUNTIFS(A타입_제작표!$I$2:$I$799,B2,A타입_제작표!$C$2:$C$799,1)</f>
        <v>42</v>
      </c>
      <c r="I2" s="23" t="n">
        <f aca="false">COUNTIFS(A타입_제작표!$I$2:$I$799,B2,A타입_제작표!$C$2:$C$799,2)</f>
        <v>36</v>
      </c>
      <c r="J2" s="23" t="n">
        <f aca="false">SUMPRODUCT((A타입_제작표!$I$2:$I$799=B2)/COUNTIFS(A타입_제작표!$I$2:$I$799,A타입_제작표!$I$2:$I$799,A타입_제작표!$G$2:$G$799,A타입_제작표!$G$2:$G$799))</f>
        <v>9</v>
      </c>
      <c r="K2" s="23" t="n">
        <f aca="false">ROUND(G2*안내!$C$6/60,1)</f>
        <v>78</v>
      </c>
      <c r="L2" s="23" t="n">
        <f aca="false">_xlfn.MINIFS(A타입_제작표!$A$2:$A$799,A타입_제작표!$I$2:$I$799,B2)</f>
        <v>1</v>
      </c>
      <c r="M2" s="23" t="n">
        <f aca="false">_xlfn.MAXIFS(A타입_제작표!$A$2:$A$799,A타입_제작표!$I$2:$I$799,B2)</f>
        <v>78</v>
      </c>
      <c r="N2" s="24" t="s">
        <v>7864</v>
      </c>
    </row>
    <row r="3" customFormat="false" ht="15" hidden="false" customHeight="false" outlineLevel="0" collapsed="false">
      <c r="A3" s="23" t="n">
        <v>2</v>
      </c>
      <c r="B3" s="23" t="s">
        <v>819</v>
      </c>
      <c r="C3" s="23" t="s">
        <v>7865</v>
      </c>
      <c r="D3" s="23" t="s">
        <v>116</v>
      </c>
      <c r="E3" s="23" t="s">
        <v>7863</v>
      </c>
      <c r="F3" s="23" t="n">
        <v>40</v>
      </c>
      <c r="G3" s="23" t="n">
        <f aca="false">COUNTIF(A타입_제작표!$I$2:$I$799,B3)</f>
        <v>42</v>
      </c>
      <c r="H3" s="23" t="n">
        <f aca="false">COUNTIFS(A타입_제작표!$I$2:$I$799,B3,A타입_제작표!$C$2:$C$799,1)</f>
        <v>23</v>
      </c>
      <c r="I3" s="23" t="n">
        <f aca="false">COUNTIFS(A타입_제작표!$I$2:$I$799,B3,A타입_제작표!$C$2:$C$799,2)</f>
        <v>19</v>
      </c>
      <c r="J3" s="23" t="n">
        <f aca="false">SUMPRODUCT((A타입_제작표!$I$2:$I$799=B3)/COUNTIFS(A타입_제작표!$I$2:$I$799,A타입_제작표!$I$2:$I$799,A타입_제작표!$G$2:$G$799,A타입_제작표!$G$2:$G$799))</f>
        <v>5</v>
      </c>
      <c r="K3" s="23" t="n">
        <f aca="false">ROUND(G3*안내!$C$6/60,1)</f>
        <v>42</v>
      </c>
      <c r="L3" s="23" t="n">
        <f aca="false">_xlfn.MINIFS(A타입_제작표!$A$2:$A$799,A타입_제작표!$I$2:$I$799,B3)</f>
        <v>79</v>
      </c>
      <c r="M3" s="23" t="n">
        <f aca="false">_xlfn.MAXIFS(A타입_제작표!$A$2:$A$799,A타입_제작표!$I$2:$I$799,B3)</f>
        <v>120</v>
      </c>
      <c r="N3" s="24" t="s">
        <v>7864</v>
      </c>
    </row>
    <row r="4" customFormat="false" ht="15" hidden="false" customHeight="false" outlineLevel="0" collapsed="false">
      <c r="A4" s="23" t="n">
        <v>3</v>
      </c>
      <c r="B4" s="23" t="s">
        <v>1194</v>
      </c>
      <c r="C4" s="23" t="s">
        <v>7866</v>
      </c>
      <c r="D4" s="23" t="s">
        <v>116</v>
      </c>
      <c r="E4" s="23" t="s">
        <v>7863</v>
      </c>
      <c r="F4" s="23" t="n">
        <v>27</v>
      </c>
      <c r="G4" s="23" t="n">
        <f aca="false">COUNTIF(A타입_제작표!$I$2:$I$799,B4)</f>
        <v>12</v>
      </c>
      <c r="H4" s="23" t="n">
        <f aca="false">COUNTIFS(A타입_제작표!$I$2:$I$799,B4,A타입_제작표!$C$2:$C$799,1)</f>
        <v>1</v>
      </c>
      <c r="I4" s="23" t="n">
        <f aca="false">COUNTIFS(A타입_제작표!$I$2:$I$799,B4,A타입_제작표!$C$2:$C$799,2)</f>
        <v>11</v>
      </c>
      <c r="J4" s="23" t="n">
        <f aca="false">SUMPRODUCT((A타입_제작표!$I$2:$I$799=B4)/COUNTIFS(A타입_제작표!$I$2:$I$799,A타입_제작표!$I$2:$I$799,A타입_제작표!$G$2:$G$799,A타입_제작표!$G$2:$G$799))</f>
        <v>1</v>
      </c>
      <c r="K4" s="23" t="n">
        <f aca="false">ROUND(G4*안내!$C$6/60,1)</f>
        <v>12</v>
      </c>
      <c r="L4" s="23" t="n">
        <f aca="false">_xlfn.MINIFS(A타입_제작표!$A$2:$A$799,A타입_제작표!$I$2:$I$799,B4)</f>
        <v>121</v>
      </c>
      <c r="M4" s="23" t="n">
        <f aca="false">_xlfn.MAXIFS(A타입_제작표!$A$2:$A$799,A타입_제작표!$I$2:$I$799,B4)</f>
        <v>132</v>
      </c>
      <c r="N4" s="24" t="s">
        <v>7864</v>
      </c>
    </row>
    <row r="5" customFormat="false" ht="15" hidden="false" customHeight="false" outlineLevel="0" collapsed="false">
      <c r="A5" s="23" t="n">
        <v>4</v>
      </c>
      <c r="B5" s="23" t="s">
        <v>1295</v>
      </c>
      <c r="C5" s="23" t="s">
        <v>7867</v>
      </c>
      <c r="D5" s="23" t="s">
        <v>116</v>
      </c>
      <c r="E5" s="23" t="s">
        <v>7863</v>
      </c>
      <c r="F5" s="23" t="n">
        <v>36</v>
      </c>
      <c r="G5" s="23" t="n">
        <f aca="false">COUNTIF(A타입_제작표!$I$2:$I$799,B5)</f>
        <v>22</v>
      </c>
      <c r="H5" s="23" t="n">
        <f aca="false">COUNTIFS(A타입_제작표!$I$2:$I$799,B5,A타입_제작표!$C$2:$C$799,1)</f>
        <v>4</v>
      </c>
      <c r="I5" s="23" t="n">
        <f aca="false">COUNTIFS(A타입_제작표!$I$2:$I$799,B5,A타입_제작표!$C$2:$C$799,2)</f>
        <v>18</v>
      </c>
      <c r="J5" s="23" t="n">
        <f aca="false">SUMPRODUCT((A타입_제작표!$I$2:$I$799=B5)/COUNTIFS(A타입_제작표!$I$2:$I$799,A타입_제작표!$I$2:$I$799,A타입_제작표!$G$2:$G$799,A타입_제작표!$G$2:$G$799))</f>
        <v>2</v>
      </c>
      <c r="K5" s="23" t="n">
        <f aca="false">ROUND(G5*안내!$C$6/60,1)</f>
        <v>22</v>
      </c>
      <c r="L5" s="23" t="n">
        <f aca="false">_xlfn.MINIFS(A타입_제작표!$A$2:$A$799,A타입_제작표!$I$2:$I$799,B5)</f>
        <v>133</v>
      </c>
      <c r="M5" s="23" t="n">
        <f aca="false">_xlfn.MAXIFS(A타입_제작표!$A$2:$A$799,A타입_제작표!$I$2:$I$799,B5)</f>
        <v>154</v>
      </c>
      <c r="N5" s="24" t="s">
        <v>7864</v>
      </c>
    </row>
    <row r="6" customFormat="false" ht="15" hidden="false" customHeight="false" outlineLevel="0" collapsed="false">
      <c r="A6" s="23" t="n">
        <v>5</v>
      </c>
      <c r="B6" s="23" t="s">
        <v>1484</v>
      </c>
      <c r="C6" s="23" t="s">
        <v>7868</v>
      </c>
      <c r="D6" s="23" t="s">
        <v>116</v>
      </c>
      <c r="E6" s="23" t="s">
        <v>7863</v>
      </c>
      <c r="F6" s="23" t="n">
        <v>34</v>
      </c>
      <c r="G6" s="23" t="n">
        <f aca="false">COUNTIF(A타입_제작표!$I$2:$I$799,B6)</f>
        <v>14</v>
      </c>
      <c r="H6" s="23" t="n">
        <f aca="false">COUNTIFS(A타입_제작표!$I$2:$I$799,B6,A타입_제작표!$C$2:$C$799,1)</f>
        <v>2</v>
      </c>
      <c r="I6" s="23" t="n">
        <f aca="false">COUNTIFS(A타입_제작표!$I$2:$I$799,B6,A타입_제작표!$C$2:$C$799,2)</f>
        <v>12</v>
      </c>
      <c r="J6" s="23" t="n">
        <f aca="false">SUMPRODUCT((A타입_제작표!$I$2:$I$799=B6)/COUNTIFS(A타입_제작표!$I$2:$I$799,A타입_제작표!$I$2:$I$799,A타입_제작표!$G$2:$G$799,A타입_제작표!$G$2:$G$799))</f>
        <v>1</v>
      </c>
      <c r="K6" s="23" t="n">
        <f aca="false">ROUND(G6*안내!$C$6/60,1)</f>
        <v>14</v>
      </c>
      <c r="L6" s="23" t="n">
        <f aca="false">_xlfn.MINIFS(A타입_제작표!$A$2:$A$799,A타입_제작표!$I$2:$I$799,B6)</f>
        <v>155</v>
      </c>
      <c r="M6" s="23" t="n">
        <f aca="false">_xlfn.MAXIFS(A타입_제작표!$A$2:$A$799,A타입_제작표!$I$2:$I$799,B6)</f>
        <v>168</v>
      </c>
      <c r="N6" s="24" t="s">
        <v>7864</v>
      </c>
    </row>
    <row r="7" customFormat="false" ht="15" hidden="false" customHeight="false" outlineLevel="0" collapsed="false">
      <c r="A7" s="23" t="n">
        <v>6</v>
      </c>
      <c r="B7" s="23" t="s">
        <v>1591</v>
      </c>
      <c r="C7" s="23" t="s">
        <v>7869</v>
      </c>
      <c r="D7" s="23" t="s">
        <v>116</v>
      </c>
      <c r="E7" s="23" t="s">
        <v>7870</v>
      </c>
      <c r="F7" s="23" t="n">
        <v>24</v>
      </c>
      <c r="G7" s="23" t="n">
        <f aca="false">COUNTIF(A타입_제작표!$I$2:$I$799,B7)</f>
        <v>16</v>
      </c>
      <c r="H7" s="23" t="n">
        <f aca="false">COUNTIFS(A타입_제작표!$I$2:$I$799,B7,A타입_제작표!$C$2:$C$799,1)</f>
        <v>7</v>
      </c>
      <c r="I7" s="23" t="n">
        <f aca="false">COUNTIFS(A타입_제작표!$I$2:$I$799,B7,A타입_제작표!$C$2:$C$799,2)</f>
        <v>9</v>
      </c>
      <c r="J7" s="23" t="n">
        <f aca="false">SUMPRODUCT((A타입_제작표!$I$2:$I$799=B7)/COUNTIFS(A타입_제작표!$I$2:$I$799,A타입_제작표!$I$2:$I$799,A타입_제작표!$G$2:$G$799,A타입_제작표!$G$2:$G$799))</f>
        <v>2</v>
      </c>
      <c r="K7" s="23" t="n">
        <f aca="false">ROUND(G7*안내!$C$6/60,1)</f>
        <v>16</v>
      </c>
      <c r="L7" s="23" t="n">
        <f aca="false">_xlfn.MINIFS(A타입_제작표!$A$2:$A$799,A타입_제작표!$I$2:$I$799,B7)</f>
        <v>169</v>
      </c>
      <c r="M7" s="23" t="n">
        <f aca="false">_xlfn.MAXIFS(A타입_제작표!$A$2:$A$799,A타입_제작표!$I$2:$I$799,B7)</f>
        <v>184</v>
      </c>
      <c r="N7" s="24" t="s">
        <v>7864</v>
      </c>
    </row>
    <row r="8" customFormat="false" ht="15" hidden="false" customHeight="false" outlineLevel="0" collapsed="false">
      <c r="A8" s="23" t="n">
        <v>7</v>
      </c>
      <c r="B8" s="23" t="s">
        <v>1732</v>
      </c>
      <c r="C8" s="23" t="s">
        <v>7871</v>
      </c>
      <c r="D8" s="23" t="s">
        <v>116</v>
      </c>
      <c r="E8" s="23" t="s">
        <v>7870</v>
      </c>
      <c r="F8" s="23" t="n">
        <v>21</v>
      </c>
      <c r="G8" s="23" t="n">
        <f aca="false">COUNTIF(A타입_제작표!$I$2:$I$799,B8)</f>
        <v>20</v>
      </c>
      <c r="H8" s="23" t="n">
        <f aca="false">COUNTIFS(A타입_제작표!$I$2:$I$799,B8,A타입_제작표!$C$2:$C$799,1)</f>
        <v>6</v>
      </c>
      <c r="I8" s="23" t="n">
        <f aca="false">COUNTIFS(A타입_제작표!$I$2:$I$799,B8,A타입_제작표!$C$2:$C$799,2)</f>
        <v>14</v>
      </c>
      <c r="J8" s="23" t="n">
        <f aca="false">SUMPRODUCT((A타입_제작표!$I$2:$I$799=B8)/COUNTIFS(A타입_제작표!$I$2:$I$799,A타입_제작표!$I$2:$I$799,A타입_제작표!$G$2:$G$799,A타입_제작표!$G$2:$G$799))</f>
        <v>2</v>
      </c>
      <c r="K8" s="23" t="n">
        <f aca="false">ROUND(G8*안내!$C$6/60,1)</f>
        <v>20</v>
      </c>
      <c r="L8" s="23" t="n">
        <f aca="false">_xlfn.MINIFS(A타입_제작표!$A$2:$A$799,A타입_제작표!$I$2:$I$799,B8)</f>
        <v>185</v>
      </c>
      <c r="M8" s="23" t="n">
        <f aca="false">_xlfn.MAXIFS(A타입_제작표!$A$2:$A$799,A타입_제작표!$I$2:$I$799,B8)</f>
        <v>204</v>
      </c>
      <c r="N8" s="24" t="s">
        <v>7864</v>
      </c>
    </row>
    <row r="9" customFormat="false" ht="15" hidden="false" customHeight="false" outlineLevel="0" collapsed="false">
      <c r="A9" s="23" t="n">
        <v>8</v>
      </c>
      <c r="B9" s="23" t="s">
        <v>1915</v>
      </c>
      <c r="C9" s="23" t="s">
        <v>7872</v>
      </c>
      <c r="D9" s="23" t="s">
        <v>116</v>
      </c>
      <c r="E9" s="23" t="s">
        <v>7870</v>
      </c>
      <c r="F9" s="23" t="n">
        <v>4</v>
      </c>
      <c r="G9" s="23" t="n">
        <f aca="false">COUNTIF(A타입_제작표!$I$2:$I$799,B9)</f>
        <v>5</v>
      </c>
      <c r="H9" s="23" t="n">
        <f aca="false">COUNTIFS(A타입_제작표!$I$2:$I$799,B9,A타입_제작표!$C$2:$C$799,1)</f>
        <v>4</v>
      </c>
      <c r="I9" s="23" t="n">
        <f aca="false">COUNTIFS(A타입_제작표!$I$2:$I$799,B9,A타입_제작표!$C$2:$C$799,2)</f>
        <v>1</v>
      </c>
      <c r="J9" s="23" t="n">
        <f aca="false">SUMPRODUCT((A타입_제작표!$I$2:$I$799=B9)/COUNTIFS(A타입_제작표!$I$2:$I$799,A타입_제작표!$I$2:$I$799,A타입_제작표!$G$2:$G$799,A타입_제작표!$G$2:$G$799))</f>
        <v>1</v>
      </c>
      <c r="K9" s="23" t="n">
        <f aca="false">ROUND(G9*안내!$C$6/60,1)</f>
        <v>5</v>
      </c>
      <c r="L9" s="23" t="n">
        <f aca="false">_xlfn.MINIFS(A타입_제작표!$A$2:$A$799,A타입_제작표!$I$2:$I$799,B9)</f>
        <v>205</v>
      </c>
      <c r="M9" s="23" t="n">
        <f aca="false">_xlfn.MAXIFS(A타입_제작표!$A$2:$A$799,A타입_제작표!$I$2:$I$799,B9)</f>
        <v>209</v>
      </c>
      <c r="N9" s="24" t="s">
        <v>7864</v>
      </c>
    </row>
    <row r="10" customFormat="false" ht="15" hidden="false" customHeight="false" outlineLevel="0" collapsed="false">
      <c r="A10" s="23" t="n">
        <v>9</v>
      </c>
      <c r="B10" s="23" t="s">
        <v>1962</v>
      </c>
      <c r="C10" s="23" t="s">
        <v>7873</v>
      </c>
      <c r="D10" s="23" t="s">
        <v>116</v>
      </c>
      <c r="E10" s="23" t="s">
        <v>7870</v>
      </c>
      <c r="F10" s="23" t="n">
        <v>31</v>
      </c>
      <c r="G10" s="23" t="n">
        <f aca="false">COUNTIF(A타입_제작표!$I$2:$I$799,B10)</f>
        <v>28</v>
      </c>
      <c r="H10" s="23" t="n">
        <f aca="false">COUNTIFS(A타입_제작표!$I$2:$I$799,B10,A타입_제작표!$C$2:$C$799,1)</f>
        <v>12</v>
      </c>
      <c r="I10" s="23" t="n">
        <f aca="false">COUNTIFS(A타입_제작표!$I$2:$I$799,B10,A타입_제작표!$C$2:$C$799,2)</f>
        <v>16</v>
      </c>
      <c r="J10" s="23" t="n">
        <f aca="false">SUMPRODUCT((A타입_제작표!$I$2:$I$799=B10)/COUNTIFS(A타입_제작표!$I$2:$I$799,A타입_제작표!$I$2:$I$799,A타입_제작표!$G$2:$G$799,A타입_제작표!$G$2:$G$799))</f>
        <v>4</v>
      </c>
      <c r="K10" s="23" t="n">
        <f aca="false">ROUND(G10*안내!$C$6/60,1)</f>
        <v>28</v>
      </c>
      <c r="L10" s="23" t="n">
        <f aca="false">_xlfn.MINIFS(A타입_제작표!$A$2:$A$799,A타입_제작표!$I$2:$I$799,B10)</f>
        <v>210</v>
      </c>
      <c r="M10" s="23" t="n">
        <f aca="false">_xlfn.MAXIFS(A타입_제작표!$A$2:$A$799,A타입_제작표!$I$2:$I$799,B10)</f>
        <v>237</v>
      </c>
      <c r="N10" s="24" t="s">
        <v>7864</v>
      </c>
    </row>
    <row r="11" customFormat="false" ht="15" hidden="false" customHeight="false" outlineLevel="0" collapsed="false">
      <c r="A11" s="23" t="n">
        <v>10</v>
      </c>
      <c r="B11" s="23" t="s">
        <v>2205</v>
      </c>
      <c r="C11" s="23" t="s">
        <v>7874</v>
      </c>
      <c r="D11" s="23" t="s">
        <v>116</v>
      </c>
      <c r="E11" s="23" t="s">
        <v>7870</v>
      </c>
      <c r="F11" s="23" t="n">
        <v>24</v>
      </c>
      <c r="G11" s="23" t="n">
        <f aca="false">COUNTIF(A타입_제작표!$I$2:$I$799,B11)</f>
        <v>21</v>
      </c>
      <c r="H11" s="23" t="n">
        <f aca="false">COUNTIFS(A타입_제작표!$I$2:$I$799,B11,A타입_제작표!$C$2:$C$799,1)</f>
        <v>7</v>
      </c>
      <c r="I11" s="23" t="n">
        <f aca="false">COUNTIFS(A타입_제작표!$I$2:$I$799,B11,A타입_제작표!$C$2:$C$799,2)</f>
        <v>14</v>
      </c>
      <c r="J11" s="23" t="n">
        <f aca="false">SUMPRODUCT((A타입_제작표!$I$2:$I$799=B11)/COUNTIFS(A타입_제작표!$I$2:$I$799,A타입_제작표!$I$2:$I$799,A타입_제작표!$G$2:$G$799,A타입_제작표!$G$2:$G$799))</f>
        <v>3</v>
      </c>
      <c r="K11" s="23" t="n">
        <f aca="false">ROUND(G11*안내!$C$6/60,1)</f>
        <v>21</v>
      </c>
      <c r="L11" s="23" t="n">
        <f aca="false">_xlfn.MINIFS(A타입_제작표!$A$2:$A$799,A타입_제작표!$I$2:$I$799,B11)</f>
        <v>238</v>
      </c>
      <c r="M11" s="23" t="n">
        <f aca="false">_xlfn.MAXIFS(A타입_제작표!$A$2:$A$799,A타입_제작표!$I$2:$I$799,B11)</f>
        <v>258</v>
      </c>
      <c r="N11" s="24" t="s">
        <v>7864</v>
      </c>
    </row>
    <row r="12" customFormat="false" ht="15" hidden="false" customHeight="false" outlineLevel="0" collapsed="false">
      <c r="A12" s="23" t="n">
        <v>11</v>
      </c>
      <c r="B12" s="23" t="s">
        <v>2397</v>
      </c>
      <c r="C12" s="23" t="s">
        <v>7875</v>
      </c>
      <c r="D12" s="23" t="s">
        <v>116</v>
      </c>
      <c r="E12" s="23" t="s">
        <v>7870</v>
      </c>
      <c r="F12" s="23" t="n">
        <v>22</v>
      </c>
      <c r="G12" s="23" t="n">
        <f aca="false">COUNTIF(A타입_제작표!$I$2:$I$799,B12)</f>
        <v>23</v>
      </c>
      <c r="H12" s="23" t="n">
        <f aca="false">COUNTIFS(A타입_제작표!$I$2:$I$799,B12,A타입_제작표!$C$2:$C$799,1)</f>
        <v>12</v>
      </c>
      <c r="I12" s="23" t="n">
        <f aca="false">COUNTIFS(A타입_제작표!$I$2:$I$799,B12,A타입_제작표!$C$2:$C$799,2)</f>
        <v>11</v>
      </c>
      <c r="J12" s="23" t="n">
        <f aca="false">SUMPRODUCT((A타입_제작표!$I$2:$I$799=B12)/COUNTIFS(A타입_제작표!$I$2:$I$799,A타입_제작표!$I$2:$I$799,A타입_제작표!$G$2:$G$799,A타입_제작표!$G$2:$G$799))</f>
        <v>3</v>
      </c>
      <c r="K12" s="23" t="n">
        <f aca="false">ROUND(G12*안내!$C$6/60,1)</f>
        <v>23</v>
      </c>
      <c r="L12" s="23" t="n">
        <f aca="false">_xlfn.MINIFS(A타입_제작표!$A$2:$A$799,A타입_제작표!$I$2:$I$799,B12)</f>
        <v>259</v>
      </c>
      <c r="M12" s="23" t="n">
        <f aca="false">_xlfn.MAXIFS(A타입_제작표!$A$2:$A$799,A타입_제작표!$I$2:$I$799,B12)</f>
        <v>281</v>
      </c>
      <c r="N12" s="24" t="s">
        <v>7864</v>
      </c>
    </row>
    <row r="13" customFormat="false" ht="15" hidden="false" customHeight="false" outlineLevel="0" collapsed="false">
      <c r="A13" s="23" t="n">
        <v>12</v>
      </c>
      <c r="B13" s="23" t="s">
        <v>2596</v>
      </c>
      <c r="C13" s="23" t="s">
        <v>7876</v>
      </c>
      <c r="D13" s="23" t="s">
        <v>116</v>
      </c>
      <c r="E13" s="23" t="s">
        <v>7870</v>
      </c>
      <c r="F13" s="23" t="n">
        <v>25</v>
      </c>
      <c r="G13" s="23" t="n">
        <f aca="false">COUNTIF(A타입_제작표!$I$2:$I$799,B13)</f>
        <v>28</v>
      </c>
      <c r="H13" s="23" t="n">
        <f aca="false">COUNTIFS(A타입_제작표!$I$2:$I$799,B13,A타입_제작표!$C$2:$C$799,1)</f>
        <v>10</v>
      </c>
      <c r="I13" s="23" t="n">
        <f aca="false">COUNTIFS(A타입_제작표!$I$2:$I$799,B13,A타입_제작표!$C$2:$C$799,2)</f>
        <v>18</v>
      </c>
      <c r="J13" s="23" t="n">
        <f aca="false">SUMPRODUCT((A타입_제작표!$I$2:$I$799=B13)/COUNTIFS(A타입_제작표!$I$2:$I$799,A타입_제작표!$I$2:$I$799,A타입_제작표!$G$2:$G$799,A타입_제작표!$G$2:$G$799))</f>
        <v>4</v>
      </c>
      <c r="K13" s="23" t="n">
        <f aca="false">ROUND(G13*안내!$C$6/60,1)</f>
        <v>28</v>
      </c>
      <c r="L13" s="23" t="n">
        <f aca="false">_xlfn.MINIFS(A타입_제작표!$A$2:$A$799,A타입_제작표!$I$2:$I$799,B13)</f>
        <v>282</v>
      </c>
      <c r="M13" s="23" t="n">
        <f aca="false">_xlfn.MAXIFS(A타입_제작표!$A$2:$A$799,A타입_제작표!$I$2:$I$799,B13)</f>
        <v>309</v>
      </c>
      <c r="N13" s="24" t="s">
        <v>7864</v>
      </c>
    </row>
    <row r="14" customFormat="false" ht="15" hidden="false" customHeight="false" outlineLevel="0" collapsed="false">
      <c r="A14" s="23" t="n">
        <v>13</v>
      </c>
      <c r="B14" s="23" t="s">
        <v>2852</v>
      </c>
      <c r="C14" s="23" t="s">
        <v>7877</v>
      </c>
      <c r="D14" s="23" t="s">
        <v>116</v>
      </c>
      <c r="E14" s="23" t="s">
        <v>7870</v>
      </c>
      <c r="F14" s="23" t="n">
        <v>29</v>
      </c>
      <c r="G14" s="23" t="n">
        <f aca="false">COUNTIF(A타입_제작표!$I$2:$I$799,B14)</f>
        <v>7</v>
      </c>
      <c r="H14" s="23" t="n">
        <f aca="false">COUNTIFS(A타입_제작표!$I$2:$I$799,B14,A타입_제작표!$C$2:$C$799,1)</f>
        <v>0</v>
      </c>
      <c r="I14" s="23" t="n">
        <f aca="false">COUNTIFS(A타입_제작표!$I$2:$I$799,B14,A타입_제작표!$C$2:$C$799,2)</f>
        <v>7</v>
      </c>
      <c r="J14" s="23" t="n">
        <f aca="false">SUMPRODUCT((A타입_제작표!$I$2:$I$799=B14)/COUNTIFS(A타입_제작표!$I$2:$I$799,A타입_제작표!$I$2:$I$799,A타입_제작표!$G$2:$G$799,A타입_제작표!$G$2:$G$799))</f>
        <v>1</v>
      </c>
      <c r="K14" s="23" t="n">
        <f aca="false">ROUND(G14*안내!$C$6/60,1)</f>
        <v>7</v>
      </c>
      <c r="L14" s="23" t="n">
        <f aca="false">_xlfn.MINIFS(A타입_제작표!$A$2:$A$799,A타입_제작표!$I$2:$I$799,B14)</f>
        <v>310</v>
      </c>
      <c r="M14" s="23" t="n">
        <f aca="false">_xlfn.MAXIFS(A타입_제작표!$A$2:$A$799,A타입_제작표!$I$2:$I$799,B14)</f>
        <v>316</v>
      </c>
      <c r="N14" s="24" t="s">
        <v>7878</v>
      </c>
    </row>
    <row r="15" customFormat="false" ht="15" hidden="false" customHeight="false" outlineLevel="0" collapsed="false">
      <c r="A15" s="23" t="n">
        <v>14</v>
      </c>
      <c r="B15" s="23" t="s">
        <v>2912</v>
      </c>
      <c r="C15" s="23" t="s">
        <v>7879</v>
      </c>
      <c r="D15" s="23" t="s">
        <v>116</v>
      </c>
      <c r="E15" s="23" t="s">
        <v>7870</v>
      </c>
      <c r="F15" s="23" t="n">
        <v>36</v>
      </c>
      <c r="G15" s="23" t="n">
        <f aca="false">COUNTIF(A타입_제작표!$I$2:$I$799,B15)</f>
        <v>8</v>
      </c>
      <c r="H15" s="23" t="n">
        <f aca="false">COUNTIFS(A타입_제작표!$I$2:$I$799,B15,A타입_제작표!$C$2:$C$799,1)</f>
        <v>2</v>
      </c>
      <c r="I15" s="23" t="n">
        <f aca="false">COUNTIFS(A타입_제작표!$I$2:$I$799,B15,A타입_제작표!$C$2:$C$799,2)</f>
        <v>6</v>
      </c>
      <c r="J15" s="23" t="n">
        <f aca="false">SUMPRODUCT((A타입_제작표!$I$2:$I$799=B15)/COUNTIFS(A타입_제작표!$I$2:$I$799,A타입_제작표!$I$2:$I$799,A타입_제작표!$G$2:$G$799,A타입_제작표!$G$2:$G$799))</f>
        <v>1</v>
      </c>
      <c r="K15" s="23" t="n">
        <f aca="false">ROUND(G15*안내!$C$6/60,1)</f>
        <v>8</v>
      </c>
      <c r="L15" s="23" t="n">
        <f aca="false">_xlfn.MINIFS(A타입_제작표!$A$2:$A$799,A타입_제작표!$I$2:$I$799,B15)</f>
        <v>317</v>
      </c>
      <c r="M15" s="23" t="n">
        <f aca="false">_xlfn.MAXIFS(A타입_제작표!$A$2:$A$799,A타입_제작표!$I$2:$I$799,B15)</f>
        <v>324</v>
      </c>
      <c r="N15" s="24" t="s">
        <v>7880</v>
      </c>
    </row>
    <row r="16" customFormat="false" ht="15" hidden="false" customHeight="false" outlineLevel="0" collapsed="false">
      <c r="A16" s="23" t="n">
        <v>15</v>
      </c>
      <c r="B16" s="23" t="s">
        <v>2980</v>
      </c>
      <c r="C16" s="23" t="s">
        <v>7881</v>
      </c>
      <c r="D16" s="23" t="s">
        <v>116</v>
      </c>
      <c r="E16" s="23" t="s">
        <v>7870</v>
      </c>
      <c r="F16" s="23" t="n">
        <v>10</v>
      </c>
      <c r="G16" s="23" t="n">
        <f aca="false">COUNTIF(A타입_제작표!$I$2:$I$799,B16)</f>
        <v>8</v>
      </c>
      <c r="H16" s="23" t="n">
        <f aca="false">COUNTIFS(A타입_제작표!$I$2:$I$799,B16,A타입_제작표!$C$2:$C$799,1)</f>
        <v>2</v>
      </c>
      <c r="I16" s="23" t="n">
        <f aca="false">COUNTIFS(A타입_제작표!$I$2:$I$799,B16,A타입_제작표!$C$2:$C$799,2)</f>
        <v>6</v>
      </c>
      <c r="J16" s="23" t="n">
        <f aca="false">SUMPRODUCT((A타입_제작표!$I$2:$I$799=B16)/COUNTIFS(A타입_제작표!$I$2:$I$799,A타입_제작표!$I$2:$I$799,A타입_제작표!$G$2:$G$799,A타입_제작표!$G$2:$G$799))</f>
        <v>1</v>
      </c>
      <c r="K16" s="23" t="n">
        <f aca="false">ROUND(G16*안내!$C$6/60,1)</f>
        <v>8</v>
      </c>
      <c r="L16" s="23" t="n">
        <f aca="false">_xlfn.MINIFS(A타입_제작표!$A$2:$A$799,A타입_제작표!$I$2:$I$799,B16)</f>
        <v>325</v>
      </c>
      <c r="M16" s="23" t="n">
        <f aca="false">_xlfn.MAXIFS(A타입_제작표!$A$2:$A$799,A타입_제작표!$I$2:$I$799,B16)</f>
        <v>332</v>
      </c>
      <c r="N16" s="24" t="s">
        <v>7864</v>
      </c>
    </row>
    <row r="17" customFormat="false" ht="15" hidden="false" customHeight="false" outlineLevel="0" collapsed="false">
      <c r="A17" s="23" t="n">
        <v>16</v>
      </c>
      <c r="B17" s="23" t="s">
        <v>3050</v>
      </c>
      <c r="C17" s="23" t="s">
        <v>7882</v>
      </c>
      <c r="D17" s="23" t="s">
        <v>116</v>
      </c>
      <c r="E17" s="23" t="s">
        <v>7870</v>
      </c>
      <c r="F17" s="23" t="n">
        <v>13</v>
      </c>
      <c r="G17" s="23" t="n">
        <f aca="false">COUNTIF(A타입_제작표!$I$2:$I$799,B17)</f>
        <v>9</v>
      </c>
      <c r="H17" s="23" t="n">
        <f aca="false">COUNTIFS(A타입_제작표!$I$2:$I$799,B17,A타입_제작표!$C$2:$C$799,1)</f>
        <v>4</v>
      </c>
      <c r="I17" s="23" t="n">
        <f aca="false">COUNTIFS(A타입_제작표!$I$2:$I$799,B17,A타입_제작표!$C$2:$C$799,2)</f>
        <v>5</v>
      </c>
      <c r="J17" s="23" t="n">
        <f aca="false">SUMPRODUCT((A타입_제작표!$I$2:$I$799=B17)/COUNTIFS(A타입_제작표!$I$2:$I$799,A타입_제작표!$I$2:$I$799,A타입_제작표!$G$2:$G$799,A타입_제작표!$G$2:$G$799))</f>
        <v>1</v>
      </c>
      <c r="K17" s="23" t="n">
        <f aca="false">ROUND(G17*안내!$C$6/60,1)</f>
        <v>9</v>
      </c>
      <c r="L17" s="23" t="n">
        <f aca="false">_xlfn.MINIFS(A타입_제작표!$A$2:$A$799,A타입_제작표!$I$2:$I$799,B17)</f>
        <v>333</v>
      </c>
      <c r="M17" s="23" t="n">
        <f aca="false">_xlfn.MAXIFS(A타입_제작표!$A$2:$A$799,A타입_제작표!$I$2:$I$799,B17)</f>
        <v>341</v>
      </c>
      <c r="N17" s="24" t="s">
        <v>7864</v>
      </c>
    </row>
    <row r="18" customFormat="false" ht="15" hidden="false" customHeight="false" outlineLevel="0" collapsed="false">
      <c r="A18" s="23" t="n">
        <v>17</v>
      </c>
      <c r="B18" s="23" t="s">
        <v>3130</v>
      </c>
      <c r="C18" s="23" t="s">
        <v>7883</v>
      </c>
      <c r="D18" s="23" t="s">
        <v>116</v>
      </c>
      <c r="E18" s="23" t="s">
        <v>7870</v>
      </c>
      <c r="F18" s="23" t="n">
        <v>10</v>
      </c>
      <c r="G18" s="23" t="n">
        <f aca="false">COUNTIF(A타입_제작표!$I$2:$I$799,B18)</f>
        <v>10</v>
      </c>
      <c r="H18" s="23" t="n">
        <f aca="false">COUNTIFS(A타입_제작표!$I$2:$I$799,B18,A타입_제작표!$C$2:$C$799,1)</f>
        <v>5</v>
      </c>
      <c r="I18" s="23" t="n">
        <f aca="false">COUNTIFS(A타입_제작표!$I$2:$I$799,B18,A타입_제작표!$C$2:$C$799,2)</f>
        <v>5</v>
      </c>
      <c r="J18" s="23" t="n">
        <f aca="false">SUMPRODUCT((A타입_제작표!$I$2:$I$799=B18)/COUNTIFS(A타입_제작표!$I$2:$I$799,A타입_제작표!$I$2:$I$799,A타입_제작표!$G$2:$G$799,A타입_제작표!$G$2:$G$799))</f>
        <v>1</v>
      </c>
      <c r="K18" s="23" t="n">
        <f aca="false">ROUND(G18*안내!$C$6/60,1)</f>
        <v>10</v>
      </c>
      <c r="L18" s="23" t="n">
        <f aca="false">_xlfn.MINIFS(A타입_제작표!$A$2:$A$799,A타입_제작표!$I$2:$I$799,B18)</f>
        <v>342</v>
      </c>
      <c r="M18" s="23" t="n">
        <f aca="false">_xlfn.MAXIFS(A타입_제작표!$A$2:$A$799,A타입_제작표!$I$2:$I$799,B18)</f>
        <v>351</v>
      </c>
      <c r="N18" s="24" t="s">
        <v>7864</v>
      </c>
    </row>
    <row r="19" customFormat="false" ht="15" hidden="false" customHeight="false" outlineLevel="0" collapsed="false">
      <c r="A19" s="23" t="n">
        <v>18</v>
      </c>
      <c r="B19" s="23" t="s">
        <v>3219</v>
      </c>
      <c r="C19" s="23" t="s">
        <v>3254</v>
      </c>
      <c r="D19" s="23" t="s">
        <v>116</v>
      </c>
      <c r="E19" s="23" t="s">
        <v>7884</v>
      </c>
      <c r="F19" s="23" t="n">
        <v>42</v>
      </c>
      <c r="G19" s="23" t="n">
        <f aca="false">COUNTIF(A타입_제작표!$I$2:$I$799,B19)</f>
        <v>11</v>
      </c>
      <c r="H19" s="23" t="n">
        <f aca="false">COUNTIFS(A타입_제작표!$I$2:$I$799,B19,A타입_제작표!$C$2:$C$799,1)</f>
        <v>5</v>
      </c>
      <c r="I19" s="23" t="n">
        <f aca="false">COUNTIFS(A타입_제작표!$I$2:$I$799,B19,A타입_제작표!$C$2:$C$799,2)</f>
        <v>6</v>
      </c>
      <c r="J19" s="23" t="n">
        <f aca="false">SUMPRODUCT((A타입_제작표!$I$2:$I$799=B19)/COUNTIFS(A타입_제작표!$I$2:$I$799,A타입_제작표!$I$2:$I$799,A타입_제작표!$G$2:$G$799,A타입_제작표!$G$2:$G$799))</f>
        <v>1</v>
      </c>
      <c r="K19" s="23" t="n">
        <f aca="false">ROUND(G19*안내!$C$6/60,1)</f>
        <v>11</v>
      </c>
      <c r="L19" s="23" t="n">
        <f aca="false">_xlfn.MINIFS(A타입_제작표!$A$2:$A$799,A타입_제작표!$I$2:$I$799,B19)</f>
        <v>352</v>
      </c>
      <c r="M19" s="23" t="n">
        <f aca="false">_xlfn.MAXIFS(A타입_제작표!$A$2:$A$799,A타입_제작표!$I$2:$I$799,B19)</f>
        <v>362</v>
      </c>
      <c r="N19" s="24" t="s">
        <v>7864</v>
      </c>
    </row>
    <row r="20" customFormat="false" ht="15" hidden="false" customHeight="false" outlineLevel="0" collapsed="false">
      <c r="A20" s="23" t="n">
        <v>19</v>
      </c>
      <c r="B20" s="23" t="s">
        <v>3320</v>
      </c>
      <c r="C20" s="23" t="s">
        <v>7885</v>
      </c>
      <c r="D20" s="23" t="s">
        <v>116</v>
      </c>
      <c r="E20" s="23" t="s">
        <v>7884</v>
      </c>
      <c r="F20" s="23" t="n">
        <v>150</v>
      </c>
      <c r="G20" s="23" t="n">
        <f aca="false">COUNTIF(A타입_제작표!$I$2:$I$799,B20)</f>
        <v>31</v>
      </c>
      <c r="H20" s="23" t="n">
        <f aca="false">COUNTIFS(A타입_제작표!$I$2:$I$799,B20,A타입_제작표!$C$2:$C$799,1)</f>
        <v>6</v>
      </c>
      <c r="I20" s="23" t="n">
        <f aca="false">COUNTIFS(A타입_제작표!$I$2:$I$799,B20,A타입_제작표!$C$2:$C$799,2)</f>
        <v>25</v>
      </c>
      <c r="J20" s="23" t="n">
        <f aca="false">SUMPRODUCT((A타입_제작표!$I$2:$I$799=B20)/COUNTIFS(A타입_제작표!$I$2:$I$799,A타입_제작표!$I$2:$I$799,A타입_제작표!$G$2:$G$799,A타입_제작표!$G$2:$G$799))</f>
        <v>4</v>
      </c>
      <c r="K20" s="23" t="n">
        <f aca="false">ROUND(G20*안내!$C$6/60,1)</f>
        <v>31</v>
      </c>
      <c r="L20" s="23" t="n">
        <f aca="false">_xlfn.MINIFS(A타입_제작표!$A$2:$A$799,A타입_제작표!$I$2:$I$799,B20)</f>
        <v>363</v>
      </c>
      <c r="M20" s="23" t="n">
        <f aca="false">_xlfn.MAXIFS(A타입_제작표!$A$2:$A$799,A타입_제작표!$I$2:$I$799,B20)</f>
        <v>393</v>
      </c>
      <c r="N20" s="29" t="s">
        <v>7886</v>
      </c>
    </row>
    <row r="21" customFormat="false" ht="15" hidden="false" customHeight="false" outlineLevel="0" collapsed="false">
      <c r="A21" s="23" t="n">
        <v>20</v>
      </c>
      <c r="B21" s="23" t="s">
        <v>3573</v>
      </c>
      <c r="C21" s="23" t="s">
        <v>7887</v>
      </c>
      <c r="D21" s="23" t="s">
        <v>116</v>
      </c>
      <c r="E21" s="23" t="s">
        <v>7884</v>
      </c>
      <c r="F21" s="23" t="n">
        <v>31</v>
      </c>
      <c r="G21" s="23" t="n">
        <f aca="false">COUNTIF(A타입_제작표!$I$2:$I$799,B21)</f>
        <v>9</v>
      </c>
      <c r="H21" s="23" t="n">
        <f aca="false">COUNTIFS(A타입_제작표!$I$2:$I$799,B21,A타입_제작표!$C$2:$C$799,1)</f>
        <v>1</v>
      </c>
      <c r="I21" s="23" t="n">
        <f aca="false">COUNTIFS(A타입_제작표!$I$2:$I$799,B21,A타입_제작표!$C$2:$C$799,2)</f>
        <v>8</v>
      </c>
      <c r="J21" s="23" t="n">
        <f aca="false">SUMPRODUCT((A타입_제작표!$I$2:$I$799=B21)/COUNTIFS(A타입_제작표!$I$2:$I$799,A타입_제작표!$I$2:$I$799,A타입_제작표!$G$2:$G$799,A타입_제작표!$G$2:$G$799))</f>
        <v>1</v>
      </c>
      <c r="K21" s="23" t="n">
        <f aca="false">ROUND(G21*안내!$C$6/60,1)</f>
        <v>9</v>
      </c>
      <c r="L21" s="23" t="n">
        <f aca="false">_xlfn.MINIFS(A타입_제작표!$A$2:$A$799,A타입_제작표!$I$2:$I$799,B21)</f>
        <v>394</v>
      </c>
      <c r="M21" s="23" t="n">
        <f aca="false">_xlfn.MAXIFS(A타입_제작표!$A$2:$A$799,A타입_제작표!$I$2:$I$799,B21)</f>
        <v>402</v>
      </c>
      <c r="N21" s="24" t="s">
        <v>7864</v>
      </c>
    </row>
    <row r="22" customFormat="false" ht="15" hidden="false" customHeight="false" outlineLevel="0" collapsed="false">
      <c r="A22" s="23" t="n">
        <v>21</v>
      </c>
      <c r="B22" s="23" t="s">
        <v>3650</v>
      </c>
      <c r="C22" s="23" t="s">
        <v>7888</v>
      </c>
      <c r="D22" s="23" t="s">
        <v>116</v>
      </c>
      <c r="E22" s="23" t="s">
        <v>7884</v>
      </c>
      <c r="F22" s="23" t="n">
        <v>12</v>
      </c>
      <c r="G22" s="23" t="n">
        <f aca="false">COUNTIF(A타입_제작표!$I$2:$I$799,B22)</f>
        <v>5</v>
      </c>
      <c r="H22" s="23" t="n">
        <f aca="false">COUNTIFS(A타입_제작표!$I$2:$I$799,B22,A타입_제작표!$C$2:$C$799,1)</f>
        <v>1</v>
      </c>
      <c r="I22" s="23" t="n">
        <f aca="false">COUNTIFS(A타입_제작표!$I$2:$I$799,B22,A타입_제작표!$C$2:$C$799,2)</f>
        <v>4</v>
      </c>
      <c r="J22" s="23" t="n">
        <f aca="false">SUMPRODUCT((A타입_제작표!$I$2:$I$799=B22)/COUNTIFS(A타입_제작표!$I$2:$I$799,A타입_제작표!$I$2:$I$799,A타입_제작표!$G$2:$G$799,A타입_제작표!$G$2:$G$799))</f>
        <v>1</v>
      </c>
      <c r="K22" s="23" t="n">
        <f aca="false">ROUND(G22*안내!$C$6/60,1)</f>
        <v>5</v>
      </c>
      <c r="L22" s="23" t="n">
        <f aca="false">_xlfn.MINIFS(A타입_제작표!$A$2:$A$799,A타입_제작표!$I$2:$I$799,B22)</f>
        <v>403</v>
      </c>
      <c r="M22" s="23" t="n">
        <f aca="false">_xlfn.MAXIFS(A타입_제작표!$A$2:$A$799,A타입_제작표!$I$2:$I$799,B22)</f>
        <v>407</v>
      </c>
      <c r="N22" s="24" t="s">
        <v>7864</v>
      </c>
    </row>
    <row r="23" customFormat="false" ht="15" hidden="false" customHeight="false" outlineLevel="0" collapsed="false">
      <c r="A23" s="23" t="n">
        <v>22</v>
      </c>
      <c r="B23" s="23" t="s">
        <v>3692</v>
      </c>
      <c r="C23" s="23" t="s">
        <v>7889</v>
      </c>
      <c r="D23" s="23" t="s">
        <v>116</v>
      </c>
      <c r="E23" s="23" t="s">
        <v>7884</v>
      </c>
      <c r="F23" s="23" t="n">
        <v>8</v>
      </c>
      <c r="G23" s="23" t="n">
        <f aca="false">COUNTIF(A타입_제작표!$I$2:$I$799,B23)</f>
        <v>3</v>
      </c>
      <c r="H23" s="23" t="n">
        <f aca="false">COUNTIFS(A타입_제작표!$I$2:$I$799,B23,A타입_제작표!$C$2:$C$799,1)</f>
        <v>0</v>
      </c>
      <c r="I23" s="23" t="n">
        <f aca="false">COUNTIFS(A타입_제작표!$I$2:$I$799,B23,A타입_제작표!$C$2:$C$799,2)</f>
        <v>3</v>
      </c>
      <c r="J23" s="23" t="n">
        <f aca="false">SUMPRODUCT((A타입_제작표!$I$2:$I$799=B23)/COUNTIFS(A타입_제작표!$I$2:$I$799,A타입_제작표!$I$2:$I$799,A타입_제작표!$G$2:$G$799,A타입_제작표!$G$2:$G$799))</f>
        <v>1</v>
      </c>
      <c r="K23" s="23" t="n">
        <f aca="false">ROUND(G23*안내!$C$6/60,1)</f>
        <v>3</v>
      </c>
      <c r="L23" s="23" t="n">
        <f aca="false">_xlfn.MINIFS(A타입_제작표!$A$2:$A$799,A타입_제작표!$I$2:$I$799,B23)</f>
        <v>408</v>
      </c>
      <c r="M23" s="23" t="n">
        <f aca="false">_xlfn.MAXIFS(A타입_제작표!$A$2:$A$799,A타입_제작표!$I$2:$I$799,B23)</f>
        <v>410</v>
      </c>
      <c r="N23" s="24" t="s">
        <v>7864</v>
      </c>
    </row>
    <row r="24" customFormat="false" ht="15" hidden="false" customHeight="false" outlineLevel="0" collapsed="false">
      <c r="A24" s="23" t="n">
        <v>23</v>
      </c>
      <c r="B24" s="23" t="s">
        <v>3720</v>
      </c>
      <c r="C24" s="23" t="s">
        <v>7890</v>
      </c>
      <c r="D24" s="23" t="s">
        <v>116</v>
      </c>
      <c r="E24" s="23" t="s">
        <v>7891</v>
      </c>
      <c r="F24" s="23" t="n">
        <v>66</v>
      </c>
      <c r="G24" s="23" t="n">
        <f aca="false">COUNTIF(A타입_제작표!$I$2:$I$799,B24)</f>
        <v>26</v>
      </c>
      <c r="H24" s="23" t="n">
        <f aca="false">COUNTIFS(A타입_제작표!$I$2:$I$799,B24,A타입_제작표!$C$2:$C$799,1)</f>
        <v>5</v>
      </c>
      <c r="I24" s="23" t="n">
        <f aca="false">COUNTIFS(A타입_제작표!$I$2:$I$799,B24,A타입_제작표!$C$2:$C$799,2)</f>
        <v>21</v>
      </c>
      <c r="J24" s="23" t="n">
        <f aca="false">SUMPRODUCT((A타입_제작표!$I$2:$I$799=B24)/COUNTIFS(A타입_제작표!$I$2:$I$799,A타입_제작표!$I$2:$I$799,A타입_제작표!$G$2:$G$799,A타입_제작표!$G$2:$G$799))</f>
        <v>3</v>
      </c>
      <c r="K24" s="23" t="n">
        <f aca="false">ROUND(G24*안내!$C$6/60,1)</f>
        <v>26</v>
      </c>
      <c r="L24" s="23" t="n">
        <f aca="false">_xlfn.MINIFS(A타입_제작표!$A$2:$A$799,A타입_제작표!$I$2:$I$799,B24)</f>
        <v>411</v>
      </c>
      <c r="M24" s="23" t="n">
        <f aca="false">_xlfn.MAXIFS(A타입_제작표!$A$2:$A$799,A타입_제작표!$I$2:$I$799,B24)</f>
        <v>436</v>
      </c>
      <c r="N24" s="24" t="s">
        <v>7864</v>
      </c>
    </row>
    <row r="25" customFormat="false" ht="15" hidden="false" customHeight="false" outlineLevel="0" collapsed="false">
      <c r="A25" s="23" t="n">
        <v>24</v>
      </c>
      <c r="B25" s="23" t="s">
        <v>3940</v>
      </c>
      <c r="C25" s="23" t="s">
        <v>7892</v>
      </c>
      <c r="D25" s="23" t="s">
        <v>116</v>
      </c>
      <c r="E25" s="23" t="s">
        <v>7891</v>
      </c>
      <c r="F25" s="23" t="n">
        <v>52</v>
      </c>
      <c r="G25" s="23" t="n">
        <f aca="false">COUNTIF(A타입_제작표!$I$2:$I$799,B25)</f>
        <v>20</v>
      </c>
      <c r="H25" s="23" t="n">
        <f aca="false">COUNTIFS(A타입_제작표!$I$2:$I$799,B25,A타입_제작표!$C$2:$C$799,1)</f>
        <v>4</v>
      </c>
      <c r="I25" s="23" t="n">
        <f aca="false">COUNTIFS(A타입_제작표!$I$2:$I$799,B25,A타입_제작표!$C$2:$C$799,2)</f>
        <v>16</v>
      </c>
      <c r="J25" s="23" t="n">
        <f aca="false">SUMPRODUCT((A타입_제작표!$I$2:$I$799=B25)/COUNTIFS(A타입_제작표!$I$2:$I$799,A타입_제작표!$I$2:$I$799,A타입_제작표!$G$2:$G$799,A타입_제작표!$G$2:$G$799))</f>
        <v>2</v>
      </c>
      <c r="K25" s="23" t="n">
        <f aca="false">ROUND(G25*안내!$C$6/60,1)</f>
        <v>20</v>
      </c>
      <c r="L25" s="23" t="n">
        <f aca="false">_xlfn.MINIFS(A타입_제작표!$A$2:$A$799,A타입_제작표!$I$2:$I$799,B25)</f>
        <v>437</v>
      </c>
      <c r="M25" s="23" t="n">
        <f aca="false">_xlfn.MAXIFS(A타입_제작표!$A$2:$A$799,A타입_제작표!$I$2:$I$799,B25)</f>
        <v>456</v>
      </c>
      <c r="N25" s="24" t="s">
        <v>7864</v>
      </c>
    </row>
    <row r="26" customFormat="false" ht="15" hidden="false" customHeight="false" outlineLevel="0" collapsed="false">
      <c r="A26" s="23" t="n">
        <v>25</v>
      </c>
      <c r="B26" s="23" t="s">
        <v>4109</v>
      </c>
      <c r="C26" s="23" t="s">
        <v>7893</v>
      </c>
      <c r="D26" s="23" t="s">
        <v>116</v>
      </c>
      <c r="E26" s="23" t="s">
        <v>7891</v>
      </c>
      <c r="F26" s="23" t="n">
        <v>5</v>
      </c>
      <c r="G26" s="23" t="n">
        <f aca="false">COUNTIF(A타입_제작표!$I$2:$I$799,B26)</f>
        <v>3</v>
      </c>
      <c r="H26" s="23" t="n">
        <f aca="false">COUNTIFS(A타입_제작표!$I$2:$I$799,B26,A타입_제작표!$C$2:$C$799,1)</f>
        <v>1</v>
      </c>
      <c r="I26" s="23" t="n">
        <f aca="false">COUNTIFS(A타입_제작표!$I$2:$I$799,B26,A타입_제작표!$C$2:$C$799,2)</f>
        <v>2</v>
      </c>
      <c r="J26" s="23" t="n">
        <f aca="false">SUMPRODUCT((A타입_제작표!$I$2:$I$799=B26)/COUNTIFS(A타입_제작표!$I$2:$I$799,A타입_제작표!$I$2:$I$799,A타입_제작표!$G$2:$G$799,A타입_제작표!$G$2:$G$799))</f>
        <v>1</v>
      </c>
      <c r="K26" s="23" t="n">
        <f aca="false">ROUND(G26*안내!$C$6/60,1)</f>
        <v>3</v>
      </c>
      <c r="L26" s="23" t="n">
        <f aca="false">_xlfn.MINIFS(A타입_제작표!$A$2:$A$799,A타입_제작표!$I$2:$I$799,B26)</f>
        <v>457</v>
      </c>
      <c r="M26" s="23" t="n">
        <f aca="false">_xlfn.MAXIFS(A타입_제작표!$A$2:$A$799,A타입_제작표!$I$2:$I$799,B26)</f>
        <v>459</v>
      </c>
      <c r="N26" s="24" t="s">
        <v>7864</v>
      </c>
    </row>
    <row r="27" customFormat="false" ht="15" hidden="false" customHeight="false" outlineLevel="0" collapsed="false">
      <c r="A27" s="23" t="n">
        <v>26</v>
      </c>
      <c r="B27" s="23" t="s">
        <v>4137</v>
      </c>
      <c r="C27" s="23" t="s">
        <v>7894</v>
      </c>
      <c r="D27" s="23" t="s">
        <v>116</v>
      </c>
      <c r="E27" s="23" t="s">
        <v>7891</v>
      </c>
      <c r="F27" s="23" t="n">
        <v>48</v>
      </c>
      <c r="G27" s="23" t="n">
        <f aca="false">COUNTIF(A타입_제작표!$I$2:$I$799,B27)</f>
        <v>14</v>
      </c>
      <c r="H27" s="23" t="n">
        <f aca="false">COUNTIFS(A타입_제작표!$I$2:$I$799,B27,A타입_제작표!$C$2:$C$799,1)</f>
        <v>1</v>
      </c>
      <c r="I27" s="23" t="n">
        <f aca="false">COUNTIFS(A타입_제작표!$I$2:$I$799,B27,A타입_제작표!$C$2:$C$799,2)</f>
        <v>13</v>
      </c>
      <c r="J27" s="23" t="n">
        <f aca="false">SUMPRODUCT((A타입_제작표!$I$2:$I$799=B27)/COUNTIFS(A타입_제작표!$I$2:$I$799,A타입_제작표!$I$2:$I$799,A타입_제작표!$G$2:$G$799,A타입_제작표!$G$2:$G$799))</f>
        <v>1</v>
      </c>
      <c r="K27" s="23" t="n">
        <f aca="false">ROUND(G27*안내!$C$6/60,1)</f>
        <v>14</v>
      </c>
      <c r="L27" s="23" t="n">
        <f aca="false">_xlfn.MINIFS(A타입_제작표!$A$2:$A$799,A타입_제작표!$I$2:$I$799,B27)</f>
        <v>460</v>
      </c>
      <c r="M27" s="23" t="n">
        <f aca="false">_xlfn.MAXIFS(A타입_제작표!$A$2:$A$799,A타입_제작표!$I$2:$I$799,B27)</f>
        <v>473</v>
      </c>
      <c r="N27" s="24" t="s">
        <v>7864</v>
      </c>
    </row>
    <row r="28" customFormat="false" ht="15" hidden="false" customHeight="false" outlineLevel="0" collapsed="false">
      <c r="A28" s="23" t="n">
        <v>27</v>
      </c>
      <c r="B28" s="23" t="s">
        <v>4250</v>
      </c>
      <c r="C28" s="23" t="s">
        <v>7895</v>
      </c>
      <c r="D28" s="23" t="s">
        <v>116</v>
      </c>
      <c r="E28" s="23" t="s">
        <v>7891</v>
      </c>
      <c r="F28" s="23" t="n">
        <v>12</v>
      </c>
      <c r="G28" s="23" t="n">
        <f aca="false">COUNTIF(A타입_제작표!$I$2:$I$799,B28)</f>
        <v>13</v>
      </c>
      <c r="H28" s="23" t="n">
        <f aca="false">COUNTIFS(A타입_제작표!$I$2:$I$799,B28,A타입_제작표!$C$2:$C$799,1)</f>
        <v>7</v>
      </c>
      <c r="I28" s="23" t="n">
        <f aca="false">COUNTIFS(A타입_제작표!$I$2:$I$799,B28,A타입_제작표!$C$2:$C$799,2)</f>
        <v>6</v>
      </c>
      <c r="J28" s="23" t="n">
        <f aca="false">SUMPRODUCT((A타입_제작표!$I$2:$I$799=B28)/COUNTIFS(A타입_제작표!$I$2:$I$799,A타입_제작표!$I$2:$I$799,A타입_제작표!$G$2:$G$799,A타입_제작표!$G$2:$G$799))</f>
        <v>1</v>
      </c>
      <c r="K28" s="23" t="n">
        <f aca="false">ROUND(G28*안내!$C$6/60,1)</f>
        <v>13</v>
      </c>
      <c r="L28" s="23" t="n">
        <f aca="false">_xlfn.MINIFS(A타입_제작표!$A$2:$A$799,A타입_제작표!$I$2:$I$799,B28)</f>
        <v>474</v>
      </c>
      <c r="M28" s="23" t="n">
        <f aca="false">_xlfn.MAXIFS(A타입_제작표!$A$2:$A$799,A타입_제작표!$I$2:$I$799,B28)</f>
        <v>486</v>
      </c>
      <c r="N28" s="24" t="s">
        <v>7864</v>
      </c>
    </row>
    <row r="29" customFormat="false" ht="15" hidden="false" customHeight="false" outlineLevel="0" collapsed="false">
      <c r="A29" s="23" t="n">
        <v>28</v>
      </c>
      <c r="B29" s="23" t="s">
        <v>4363</v>
      </c>
      <c r="C29" s="23" t="s">
        <v>7896</v>
      </c>
      <c r="D29" s="23" t="s">
        <v>116</v>
      </c>
      <c r="E29" s="23" t="s">
        <v>7891</v>
      </c>
      <c r="F29" s="23" t="n">
        <v>14</v>
      </c>
      <c r="G29" s="23" t="n">
        <f aca="false">COUNTIF(A타입_제작표!$I$2:$I$799,B29)</f>
        <v>4</v>
      </c>
      <c r="H29" s="23" t="n">
        <f aca="false">COUNTIFS(A타입_제작표!$I$2:$I$799,B29,A타입_제작표!$C$2:$C$799,1)</f>
        <v>0</v>
      </c>
      <c r="I29" s="23" t="n">
        <f aca="false">COUNTIFS(A타입_제작표!$I$2:$I$799,B29,A타입_제작표!$C$2:$C$799,2)</f>
        <v>4</v>
      </c>
      <c r="J29" s="23" t="n">
        <f aca="false">SUMPRODUCT((A타입_제작표!$I$2:$I$799=B29)/COUNTIFS(A타입_제작표!$I$2:$I$799,A타입_제작표!$I$2:$I$799,A타입_제작표!$G$2:$G$799,A타입_제작표!$G$2:$G$799))</f>
        <v>1</v>
      </c>
      <c r="K29" s="23" t="n">
        <f aca="false">ROUND(G29*안내!$C$6/60,1)</f>
        <v>4</v>
      </c>
      <c r="L29" s="23" t="n">
        <f aca="false">_xlfn.MINIFS(A타입_제작표!$A$2:$A$799,A타입_제작표!$I$2:$I$799,B29)</f>
        <v>487</v>
      </c>
      <c r="M29" s="23" t="n">
        <f aca="false">_xlfn.MAXIFS(A타입_제작표!$A$2:$A$799,A타입_제작표!$I$2:$I$799,B29)</f>
        <v>490</v>
      </c>
      <c r="N29" s="24" t="s">
        <v>7864</v>
      </c>
    </row>
    <row r="30" customFormat="false" ht="15" hidden="false" customHeight="false" outlineLevel="0" collapsed="false">
      <c r="A30" s="23" t="n">
        <v>29</v>
      </c>
      <c r="B30" s="23" t="s">
        <v>4395</v>
      </c>
      <c r="C30" s="23" t="s">
        <v>7897</v>
      </c>
      <c r="D30" s="23" t="s">
        <v>116</v>
      </c>
      <c r="E30" s="23" t="s">
        <v>7891</v>
      </c>
      <c r="F30" s="23" t="n">
        <v>3</v>
      </c>
      <c r="G30" s="23" t="n">
        <f aca="false">COUNTIF(A타입_제작표!$I$2:$I$799,B30)</f>
        <v>3</v>
      </c>
      <c r="H30" s="23" t="n">
        <f aca="false">COUNTIFS(A타입_제작표!$I$2:$I$799,B30,A타입_제작표!$C$2:$C$799,1)</f>
        <v>0</v>
      </c>
      <c r="I30" s="23" t="n">
        <f aca="false">COUNTIFS(A타입_제작표!$I$2:$I$799,B30,A타입_제작표!$C$2:$C$799,2)</f>
        <v>3</v>
      </c>
      <c r="J30" s="23" t="n">
        <f aca="false">SUMPRODUCT((A타입_제작표!$I$2:$I$799=B30)/COUNTIFS(A타입_제작표!$I$2:$I$799,A타입_제작표!$I$2:$I$799,A타입_제작표!$G$2:$G$799,A타입_제작표!$G$2:$G$799))</f>
        <v>1</v>
      </c>
      <c r="K30" s="23" t="n">
        <f aca="false">ROUND(G30*안내!$C$6/60,1)</f>
        <v>3</v>
      </c>
      <c r="L30" s="23" t="n">
        <f aca="false">_xlfn.MINIFS(A타입_제작표!$A$2:$A$799,A타입_제작표!$I$2:$I$799,B30)</f>
        <v>491</v>
      </c>
      <c r="M30" s="23" t="n">
        <f aca="false">_xlfn.MAXIFS(A타입_제작표!$A$2:$A$799,A타입_제작표!$I$2:$I$799,B30)</f>
        <v>493</v>
      </c>
      <c r="N30" s="24" t="s">
        <v>7864</v>
      </c>
    </row>
    <row r="31" customFormat="false" ht="15" hidden="false" customHeight="false" outlineLevel="0" collapsed="false">
      <c r="A31" s="23" t="n">
        <v>30</v>
      </c>
      <c r="B31" s="23" t="s">
        <v>4418</v>
      </c>
      <c r="C31" s="23" t="s">
        <v>7898</v>
      </c>
      <c r="D31" s="23" t="s">
        <v>116</v>
      </c>
      <c r="E31" s="23" t="s">
        <v>7891</v>
      </c>
      <c r="F31" s="23" t="n">
        <v>9</v>
      </c>
      <c r="G31" s="23" t="n">
        <f aca="false">COUNTIF(A타입_제작표!$I$2:$I$799,B31)</f>
        <v>4</v>
      </c>
      <c r="H31" s="23" t="n">
        <f aca="false">COUNTIFS(A타입_제작표!$I$2:$I$799,B31,A타입_제작표!$C$2:$C$799,1)</f>
        <v>0</v>
      </c>
      <c r="I31" s="23" t="n">
        <f aca="false">COUNTIFS(A타입_제작표!$I$2:$I$799,B31,A타입_제작표!$C$2:$C$799,2)</f>
        <v>4</v>
      </c>
      <c r="J31" s="23" t="n">
        <f aca="false">SUMPRODUCT((A타입_제작표!$I$2:$I$799=B31)/COUNTIFS(A타입_제작표!$I$2:$I$799,A타입_제작표!$I$2:$I$799,A타입_제작표!$G$2:$G$799,A타입_제작표!$G$2:$G$799))</f>
        <v>1</v>
      </c>
      <c r="K31" s="23" t="n">
        <f aca="false">ROUND(G31*안내!$C$6/60,1)</f>
        <v>4</v>
      </c>
      <c r="L31" s="23" t="n">
        <f aca="false">_xlfn.MINIFS(A타입_제작표!$A$2:$A$799,A타입_제작표!$I$2:$I$799,B31)</f>
        <v>494</v>
      </c>
      <c r="M31" s="23" t="n">
        <f aca="false">_xlfn.MAXIFS(A타입_제작표!$A$2:$A$799,A타입_제작표!$I$2:$I$799,B31)</f>
        <v>497</v>
      </c>
      <c r="N31" s="24" t="s">
        <v>7864</v>
      </c>
    </row>
    <row r="32" customFormat="false" ht="15" hidden="false" customHeight="false" outlineLevel="0" collapsed="false">
      <c r="A32" s="23" t="n">
        <v>31</v>
      </c>
      <c r="B32" s="23" t="s">
        <v>4450</v>
      </c>
      <c r="C32" s="23" t="s">
        <v>7899</v>
      </c>
      <c r="D32" s="23" t="s">
        <v>116</v>
      </c>
      <c r="E32" s="23" t="s">
        <v>7891</v>
      </c>
      <c r="F32" s="23" t="n">
        <v>1</v>
      </c>
      <c r="G32" s="23" t="n">
        <f aca="false">COUNTIF(A타입_제작표!$I$2:$I$799,B32)</f>
        <v>1</v>
      </c>
      <c r="H32" s="23" t="n">
        <f aca="false">COUNTIFS(A타입_제작표!$I$2:$I$799,B32,A타입_제작표!$C$2:$C$799,1)</f>
        <v>0</v>
      </c>
      <c r="I32" s="23" t="n">
        <f aca="false">COUNTIFS(A타입_제작표!$I$2:$I$799,B32,A타입_제작표!$C$2:$C$799,2)</f>
        <v>1</v>
      </c>
      <c r="J32" s="23" t="n">
        <f aca="false">SUMPRODUCT((A타입_제작표!$I$2:$I$799=B32)/COUNTIFS(A타입_제작표!$I$2:$I$799,A타입_제작표!$I$2:$I$799,A타입_제작표!$G$2:$G$799,A타입_제작표!$G$2:$G$799))</f>
        <v>1</v>
      </c>
      <c r="K32" s="23" t="n">
        <f aca="false">ROUND(G32*안내!$C$6/60,1)</f>
        <v>1</v>
      </c>
      <c r="L32" s="23" t="n">
        <f aca="false">_xlfn.MINIFS(A타입_제작표!$A$2:$A$799,A타입_제작표!$I$2:$I$799,B32)</f>
        <v>498</v>
      </c>
      <c r="M32" s="23" t="n">
        <f aca="false">_xlfn.MAXIFS(A타입_제작표!$A$2:$A$799,A타입_제작표!$I$2:$I$799,B32)</f>
        <v>498</v>
      </c>
      <c r="N32" s="24" t="s">
        <v>7864</v>
      </c>
    </row>
    <row r="33" customFormat="false" ht="15" hidden="false" customHeight="false" outlineLevel="0" collapsed="false">
      <c r="A33" s="23" t="n">
        <v>32</v>
      </c>
      <c r="B33" s="23" t="s">
        <v>4459</v>
      </c>
      <c r="C33" s="23" t="s">
        <v>7900</v>
      </c>
      <c r="D33" s="23" t="s">
        <v>116</v>
      </c>
      <c r="E33" s="23" t="s">
        <v>7891</v>
      </c>
      <c r="F33" s="23" t="n">
        <v>4</v>
      </c>
      <c r="G33" s="23" t="n">
        <f aca="false">COUNTIF(A타입_제작표!$I$2:$I$799,B33)</f>
        <v>5</v>
      </c>
      <c r="H33" s="23" t="n">
        <f aca="false">COUNTIFS(A타입_제작표!$I$2:$I$799,B33,A타입_제작표!$C$2:$C$799,1)</f>
        <v>5</v>
      </c>
      <c r="I33" s="23" t="n">
        <f aca="false">COUNTIFS(A타입_제작표!$I$2:$I$799,B33,A타입_제작표!$C$2:$C$799,2)</f>
        <v>0</v>
      </c>
      <c r="J33" s="23" t="n">
        <f aca="false">SUMPRODUCT((A타입_제작표!$I$2:$I$799=B33)/COUNTIFS(A타입_제작표!$I$2:$I$799,A타입_제작표!$I$2:$I$799,A타입_제작표!$G$2:$G$799,A타입_제작표!$G$2:$G$799))</f>
        <v>1</v>
      </c>
      <c r="K33" s="23" t="n">
        <f aca="false">ROUND(G33*안내!$C$6/60,1)</f>
        <v>5</v>
      </c>
      <c r="L33" s="23" t="n">
        <f aca="false">_xlfn.MINIFS(A타입_제작표!$A$2:$A$799,A타입_제작표!$I$2:$I$799,B33)</f>
        <v>499</v>
      </c>
      <c r="M33" s="23" t="n">
        <f aca="false">_xlfn.MAXIFS(A타입_제작표!$A$2:$A$799,A타입_제작표!$I$2:$I$799,B33)</f>
        <v>503</v>
      </c>
      <c r="N33" s="24" t="s">
        <v>7864</v>
      </c>
    </row>
    <row r="34" customFormat="false" ht="15" hidden="false" customHeight="false" outlineLevel="0" collapsed="false">
      <c r="A34" s="23" t="n">
        <v>33</v>
      </c>
      <c r="B34" s="23" t="s">
        <v>4501</v>
      </c>
      <c r="C34" s="23" t="s">
        <v>7901</v>
      </c>
      <c r="D34" s="23" t="s">
        <v>116</v>
      </c>
      <c r="E34" s="23" t="s">
        <v>7891</v>
      </c>
      <c r="F34" s="23" t="n">
        <v>7</v>
      </c>
      <c r="G34" s="23" t="n">
        <f aca="false">COUNTIF(A타입_제작표!$I$2:$I$799,B34)</f>
        <v>3</v>
      </c>
      <c r="H34" s="23" t="n">
        <f aca="false">COUNTIFS(A타입_제작표!$I$2:$I$799,B34,A타입_제작표!$C$2:$C$799,1)</f>
        <v>1</v>
      </c>
      <c r="I34" s="23" t="n">
        <f aca="false">COUNTIFS(A타입_제작표!$I$2:$I$799,B34,A타입_제작표!$C$2:$C$799,2)</f>
        <v>2</v>
      </c>
      <c r="J34" s="23" t="n">
        <f aca="false">SUMPRODUCT((A타입_제작표!$I$2:$I$799=B34)/COUNTIFS(A타입_제작표!$I$2:$I$799,A타입_제작표!$I$2:$I$799,A타입_제작표!$G$2:$G$799,A타입_제작표!$G$2:$G$799))</f>
        <v>1</v>
      </c>
      <c r="K34" s="23" t="n">
        <f aca="false">ROUND(G34*안내!$C$6/60,1)</f>
        <v>3</v>
      </c>
      <c r="L34" s="23" t="n">
        <f aca="false">_xlfn.MINIFS(A타입_제작표!$A$2:$A$799,A타입_제작표!$I$2:$I$799,B34)</f>
        <v>504</v>
      </c>
      <c r="M34" s="23" t="n">
        <f aca="false">_xlfn.MAXIFS(A타입_제작표!$A$2:$A$799,A타입_제작표!$I$2:$I$799,B34)</f>
        <v>506</v>
      </c>
      <c r="N34" s="24" t="s">
        <v>7864</v>
      </c>
    </row>
    <row r="35" customFormat="false" ht="15" hidden="false" customHeight="false" outlineLevel="0" collapsed="false">
      <c r="A35" s="23" t="n">
        <v>34</v>
      </c>
      <c r="B35" s="23" t="s">
        <v>4527</v>
      </c>
      <c r="C35" s="23" t="s">
        <v>7902</v>
      </c>
      <c r="D35" s="23" t="s">
        <v>116</v>
      </c>
      <c r="E35" s="23" t="s">
        <v>7891</v>
      </c>
      <c r="F35" s="23" t="n">
        <v>3</v>
      </c>
      <c r="G35" s="23" t="n">
        <f aca="false">COUNTIF(A타입_제작표!$I$2:$I$799,B35)</f>
        <v>1</v>
      </c>
      <c r="H35" s="23" t="n">
        <f aca="false">COUNTIFS(A타입_제작표!$I$2:$I$799,B35,A타입_제작표!$C$2:$C$799,1)</f>
        <v>0</v>
      </c>
      <c r="I35" s="23" t="n">
        <f aca="false">COUNTIFS(A타입_제작표!$I$2:$I$799,B35,A타입_제작표!$C$2:$C$799,2)</f>
        <v>1</v>
      </c>
      <c r="J35" s="23" t="n">
        <f aca="false">SUMPRODUCT((A타입_제작표!$I$2:$I$799=B35)/COUNTIFS(A타입_제작표!$I$2:$I$799,A타입_제작표!$I$2:$I$799,A타입_제작표!$G$2:$G$799,A타입_제작표!$G$2:$G$799))</f>
        <v>1</v>
      </c>
      <c r="K35" s="23" t="n">
        <f aca="false">ROUND(G35*안내!$C$6/60,1)</f>
        <v>1</v>
      </c>
      <c r="L35" s="23" t="n">
        <f aca="false">_xlfn.MINIFS(A타입_제작표!$A$2:$A$799,A타입_제작표!$I$2:$I$799,B35)</f>
        <v>507</v>
      </c>
      <c r="M35" s="23" t="n">
        <f aca="false">_xlfn.MAXIFS(A타입_제작표!$A$2:$A$799,A타입_제작표!$I$2:$I$799,B35)</f>
        <v>507</v>
      </c>
      <c r="N35" s="24" t="s">
        <v>7864</v>
      </c>
    </row>
    <row r="36" customFormat="false" ht="15" hidden="false" customHeight="false" outlineLevel="0" collapsed="false">
      <c r="A36" s="23" t="n">
        <v>35</v>
      </c>
      <c r="B36" s="23" t="s">
        <v>4537</v>
      </c>
      <c r="C36" s="23" t="s">
        <v>7903</v>
      </c>
      <c r="D36" s="23" t="s">
        <v>116</v>
      </c>
      <c r="E36" s="23" t="s">
        <v>7891</v>
      </c>
      <c r="F36" s="23" t="n">
        <v>3</v>
      </c>
      <c r="G36" s="23" t="n">
        <f aca="false">COUNTIF(A타입_제작표!$I$2:$I$799,B36)</f>
        <v>3</v>
      </c>
      <c r="H36" s="23" t="n">
        <f aca="false">COUNTIFS(A타입_제작표!$I$2:$I$799,B36,A타입_제작표!$C$2:$C$799,1)</f>
        <v>1</v>
      </c>
      <c r="I36" s="23" t="n">
        <f aca="false">COUNTIFS(A타입_제작표!$I$2:$I$799,B36,A타입_제작표!$C$2:$C$799,2)</f>
        <v>2</v>
      </c>
      <c r="J36" s="23" t="n">
        <f aca="false">SUMPRODUCT((A타입_제작표!$I$2:$I$799=B36)/COUNTIFS(A타입_제작표!$I$2:$I$799,A타입_제작표!$I$2:$I$799,A타입_제작표!$G$2:$G$799,A타입_제작표!$G$2:$G$799))</f>
        <v>1</v>
      </c>
      <c r="K36" s="23" t="n">
        <f aca="false">ROUND(G36*안내!$C$6/60,1)</f>
        <v>3</v>
      </c>
      <c r="L36" s="23" t="n">
        <f aca="false">_xlfn.MINIFS(A타입_제작표!$A$2:$A$799,A타입_제작표!$I$2:$I$799,B36)</f>
        <v>508</v>
      </c>
      <c r="M36" s="23" t="n">
        <f aca="false">_xlfn.MAXIFS(A타입_제작표!$A$2:$A$799,A타입_제작표!$I$2:$I$799,B36)</f>
        <v>510</v>
      </c>
      <c r="N36" s="24" t="s">
        <v>7864</v>
      </c>
    </row>
    <row r="37" customFormat="false" ht="15" hidden="false" customHeight="false" outlineLevel="0" collapsed="false">
      <c r="A37" s="23" t="n">
        <v>36</v>
      </c>
      <c r="B37" s="23" t="s">
        <v>4562</v>
      </c>
      <c r="C37" s="23" t="s">
        <v>7904</v>
      </c>
      <c r="D37" s="23" t="s">
        <v>116</v>
      </c>
      <c r="E37" s="23" t="s">
        <v>7891</v>
      </c>
      <c r="F37" s="23" t="n">
        <v>3</v>
      </c>
      <c r="G37" s="23" t="n">
        <f aca="false">COUNTIF(A타입_제작표!$I$2:$I$799,B37)</f>
        <v>2</v>
      </c>
      <c r="H37" s="23" t="n">
        <f aca="false">COUNTIFS(A타입_제작표!$I$2:$I$799,B37,A타입_제작표!$C$2:$C$799,1)</f>
        <v>0</v>
      </c>
      <c r="I37" s="23" t="n">
        <f aca="false">COUNTIFS(A타입_제작표!$I$2:$I$799,B37,A타입_제작표!$C$2:$C$799,2)</f>
        <v>2</v>
      </c>
      <c r="J37" s="23" t="n">
        <f aca="false">SUMPRODUCT((A타입_제작표!$I$2:$I$799=B37)/COUNTIFS(A타입_제작표!$I$2:$I$799,A타입_제작표!$I$2:$I$799,A타입_제작표!$G$2:$G$799,A타입_제작표!$G$2:$G$799))</f>
        <v>1</v>
      </c>
      <c r="K37" s="23" t="n">
        <f aca="false">ROUND(G37*안내!$C$6/60,1)</f>
        <v>2</v>
      </c>
      <c r="L37" s="23" t="n">
        <f aca="false">_xlfn.MINIFS(A타입_제작표!$A$2:$A$799,A타입_제작표!$I$2:$I$799,B37)</f>
        <v>511</v>
      </c>
      <c r="M37" s="23" t="n">
        <f aca="false">_xlfn.MAXIFS(A타입_제작표!$A$2:$A$799,A타입_제작표!$I$2:$I$799,B37)</f>
        <v>512</v>
      </c>
      <c r="N37" s="24" t="s">
        <v>7864</v>
      </c>
    </row>
    <row r="38" customFormat="false" ht="15" hidden="false" customHeight="false" outlineLevel="0" collapsed="false">
      <c r="A38" s="23" t="n">
        <v>37</v>
      </c>
      <c r="B38" s="23" t="s">
        <v>4578</v>
      </c>
      <c r="C38" s="23" t="s">
        <v>7905</v>
      </c>
      <c r="D38" s="23" t="s">
        <v>116</v>
      </c>
      <c r="E38" s="23" t="s">
        <v>7891</v>
      </c>
      <c r="F38" s="23" t="n">
        <v>2</v>
      </c>
      <c r="G38" s="23" t="n">
        <f aca="false">COUNTIF(A타입_제작표!$I$2:$I$799,B38)</f>
        <v>2</v>
      </c>
      <c r="H38" s="23" t="n">
        <f aca="false">COUNTIFS(A타입_제작표!$I$2:$I$799,B38,A타입_제작표!$C$2:$C$799,1)</f>
        <v>0</v>
      </c>
      <c r="I38" s="23" t="n">
        <f aca="false">COUNTIFS(A타입_제작표!$I$2:$I$799,B38,A타입_제작표!$C$2:$C$799,2)</f>
        <v>2</v>
      </c>
      <c r="J38" s="23" t="n">
        <f aca="false">SUMPRODUCT((A타입_제작표!$I$2:$I$799=B38)/COUNTIFS(A타입_제작표!$I$2:$I$799,A타입_제작표!$I$2:$I$799,A타입_제작표!$G$2:$G$799,A타입_제작표!$G$2:$G$799))</f>
        <v>1</v>
      </c>
      <c r="K38" s="23" t="n">
        <f aca="false">ROUND(G38*안내!$C$6/60,1)</f>
        <v>2</v>
      </c>
      <c r="L38" s="23" t="n">
        <f aca="false">_xlfn.MINIFS(A타입_제작표!$A$2:$A$799,A타입_제작표!$I$2:$I$799,B38)</f>
        <v>513</v>
      </c>
      <c r="M38" s="23" t="n">
        <f aca="false">_xlfn.MAXIFS(A타입_제작표!$A$2:$A$799,A타입_제작표!$I$2:$I$799,B38)</f>
        <v>514</v>
      </c>
      <c r="N38" s="24" t="s">
        <v>7864</v>
      </c>
    </row>
    <row r="39" customFormat="false" ht="15" hidden="false" customHeight="false" outlineLevel="0" collapsed="false">
      <c r="A39" s="23" t="n">
        <v>38</v>
      </c>
      <c r="B39" s="23" t="s">
        <v>4595</v>
      </c>
      <c r="C39" s="23" t="s">
        <v>7906</v>
      </c>
      <c r="D39" s="23" t="s">
        <v>116</v>
      </c>
      <c r="E39" s="23" t="s">
        <v>7891</v>
      </c>
      <c r="F39" s="23" t="n">
        <v>14</v>
      </c>
      <c r="G39" s="23" t="n">
        <f aca="false">COUNTIF(A타입_제작표!$I$2:$I$799,B39)</f>
        <v>4</v>
      </c>
      <c r="H39" s="23" t="n">
        <f aca="false">COUNTIFS(A타입_제작표!$I$2:$I$799,B39,A타입_제작표!$C$2:$C$799,1)</f>
        <v>0</v>
      </c>
      <c r="I39" s="23" t="n">
        <f aca="false">COUNTIFS(A타입_제작표!$I$2:$I$799,B39,A타입_제작표!$C$2:$C$799,2)</f>
        <v>4</v>
      </c>
      <c r="J39" s="23" t="n">
        <f aca="false">SUMPRODUCT((A타입_제작표!$I$2:$I$799=B39)/COUNTIFS(A타입_제작표!$I$2:$I$799,A타입_제작표!$I$2:$I$799,A타입_제작표!$G$2:$G$799,A타입_제작표!$G$2:$G$799))</f>
        <v>1</v>
      </c>
      <c r="K39" s="23" t="n">
        <f aca="false">ROUND(G39*안내!$C$6/60,1)</f>
        <v>4</v>
      </c>
      <c r="L39" s="23" t="n">
        <f aca="false">_xlfn.MINIFS(A타입_제작표!$A$2:$A$799,A타입_제작표!$I$2:$I$799,B39)</f>
        <v>515</v>
      </c>
      <c r="M39" s="23" t="n">
        <f aca="false">_xlfn.MAXIFS(A타입_제작표!$A$2:$A$799,A타입_제작표!$I$2:$I$799,B39)</f>
        <v>518</v>
      </c>
      <c r="N39" s="24" t="s">
        <v>7864</v>
      </c>
    </row>
    <row r="40" customFormat="false" ht="15" hidden="false" customHeight="false" outlineLevel="0" collapsed="false">
      <c r="A40" s="23" t="n">
        <v>39</v>
      </c>
      <c r="B40" s="23" t="s">
        <v>4629</v>
      </c>
      <c r="C40" s="23" t="s">
        <v>7907</v>
      </c>
      <c r="D40" s="23" t="s">
        <v>116</v>
      </c>
      <c r="E40" s="23" t="s">
        <v>7891</v>
      </c>
      <c r="F40" s="23" t="n">
        <v>4</v>
      </c>
      <c r="G40" s="23" t="n">
        <f aca="false">COUNTIF(A타입_제작표!$I$2:$I$799,B40)</f>
        <v>3</v>
      </c>
      <c r="H40" s="23" t="n">
        <f aca="false">COUNTIFS(A타입_제작표!$I$2:$I$799,B40,A타입_제작표!$C$2:$C$799,1)</f>
        <v>1</v>
      </c>
      <c r="I40" s="23" t="n">
        <f aca="false">COUNTIFS(A타입_제작표!$I$2:$I$799,B40,A타입_제작표!$C$2:$C$799,2)</f>
        <v>2</v>
      </c>
      <c r="J40" s="23" t="n">
        <f aca="false">SUMPRODUCT((A타입_제작표!$I$2:$I$799=B40)/COUNTIFS(A타입_제작표!$I$2:$I$799,A타입_제작표!$I$2:$I$799,A타입_제작표!$G$2:$G$799,A타입_제작표!$G$2:$G$799))</f>
        <v>1</v>
      </c>
      <c r="K40" s="23" t="n">
        <f aca="false">ROUND(G40*안내!$C$6/60,1)</f>
        <v>3</v>
      </c>
      <c r="L40" s="23" t="n">
        <f aca="false">_xlfn.MINIFS(A타입_제작표!$A$2:$A$799,A타입_제작표!$I$2:$I$799,B40)</f>
        <v>519</v>
      </c>
      <c r="M40" s="23" t="n">
        <f aca="false">_xlfn.MAXIFS(A타입_제작표!$A$2:$A$799,A타입_제작표!$I$2:$I$799,B40)</f>
        <v>521</v>
      </c>
      <c r="N40" s="24" t="s">
        <v>7864</v>
      </c>
    </row>
    <row r="41" customFormat="false" ht="15" hidden="false" customHeight="false" outlineLevel="0" collapsed="false">
      <c r="A41" s="23" t="n">
        <v>40</v>
      </c>
      <c r="B41" s="23" t="s">
        <v>4659</v>
      </c>
      <c r="C41" s="23" t="s">
        <v>7908</v>
      </c>
      <c r="D41" s="23" t="s">
        <v>4656</v>
      </c>
      <c r="E41" s="23" t="s">
        <v>7909</v>
      </c>
      <c r="F41" s="23" t="n">
        <v>28</v>
      </c>
      <c r="G41" s="23" t="n">
        <f aca="false">COUNTIF(A타입_제작표!$I$2:$I$799,B41)</f>
        <v>55</v>
      </c>
      <c r="H41" s="23" t="n">
        <f aca="false">COUNTIFS(A타입_제작표!$I$2:$I$799,B41,A타입_제작표!$C$2:$C$799,1)</f>
        <v>32</v>
      </c>
      <c r="I41" s="23" t="n">
        <f aca="false">COUNTIFS(A타입_제작표!$I$2:$I$799,B41,A타입_제작표!$C$2:$C$799,2)</f>
        <v>23</v>
      </c>
      <c r="J41" s="23" t="n">
        <f aca="false">SUMPRODUCT((A타입_제작표!$I$2:$I$799=B41)/COUNTIFS(A타입_제작표!$I$2:$I$799,A타입_제작표!$I$2:$I$799,A타입_제작표!$G$2:$G$799,A타입_제작표!$G$2:$G$799))</f>
        <v>6</v>
      </c>
      <c r="K41" s="23" t="n">
        <f aca="false">ROUND(G41*안내!$C$6/60,1)</f>
        <v>55</v>
      </c>
      <c r="L41" s="23" t="n">
        <f aca="false">_xlfn.MINIFS(A타입_제작표!$A$2:$A$799,A타입_제작표!$I$2:$I$799,B41)</f>
        <v>522</v>
      </c>
      <c r="M41" s="23" t="n">
        <f aca="false">_xlfn.MAXIFS(A타입_제작표!$A$2:$A$799,A타입_제작표!$I$2:$I$799,B41)</f>
        <v>576</v>
      </c>
      <c r="N41" s="24" t="s">
        <v>7864</v>
      </c>
    </row>
    <row r="42" customFormat="false" ht="15" hidden="false" customHeight="false" outlineLevel="0" collapsed="false">
      <c r="A42" s="23" t="n">
        <v>41</v>
      </c>
      <c r="B42" s="23" t="s">
        <v>5134</v>
      </c>
      <c r="C42" s="23" t="s">
        <v>7910</v>
      </c>
      <c r="D42" s="23" t="s">
        <v>4656</v>
      </c>
      <c r="E42" s="23" t="s">
        <v>7909</v>
      </c>
      <c r="F42" s="23" t="n">
        <v>16</v>
      </c>
      <c r="G42" s="23" t="n">
        <f aca="false">COUNTIF(A타입_제작표!$I$2:$I$799,B42)</f>
        <v>12</v>
      </c>
      <c r="H42" s="23" t="n">
        <f aca="false">COUNTIFS(A타입_제작표!$I$2:$I$799,B42,A타입_제작표!$C$2:$C$799,1)</f>
        <v>5</v>
      </c>
      <c r="I42" s="23" t="n">
        <f aca="false">COUNTIFS(A타입_제작표!$I$2:$I$799,B42,A타입_제작표!$C$2:$C$799,2)</f>
        <v>7</v>
      </c>
      <c r="J42" s="23" t="n">
        <f aca="false">SUMPRODUCT((A타입_제작표!$I$2:$I$799=B42)/COUNTIFS(A타입_제작표!$I$2:$I$799,A타입_제작표!$I$2:$I$799,A타입_제작표!$G$2:$G$799,A타입_제작표!$G$2:$G$799))</f>
        <v>1</v>
      </c>
      <c r="K42" s="23" t="n">
        <f aca="false">ROUND(G42*안내!$C$6/60,1)</f>
        <v>12</v>
      </c>
      <c r="L42" s="23" t="n">
        <f aca="false">_xlfn.MINIFS(A타입_제작표!$A$2:$A$799,A타입_제작표!$I$2:$I$799,B42)</f>
        <v>577</v>
      </c>
      <c r="M42" s="23" t="n">
        <f aca="false">_xlfn.MAXIFS(A타입_제작표!$A$2:$A$799,A타입_제작표!$I$2:$I$799,B42)</f>
        <v>588</v>
      </c>
      <c r="N42" s="24" t="s">
        <v>7911</v>
      </c>
    </row>
    <row r="43" customFormat="false" ht="15" hidden="false" customHeight="false" outlineLevel="0" collapsed="false">
      <c r="A43" s="23" t="n">
        <v>42</v>
      </c>
      <c r="B43" s="23" t="s">
        <v>5242</v>
      </c>
      <c r="C43" s="23" t="s">
        <v>7912</v>
      </c>
      <c r="D43" s="23" t="s">
        <v>4656</v>
      </c>
      <c r="E43" s="23" t="s">
        <v>7909</v>
      </c>
      <c r="F43" s="23" t="n">
        <v>24</v>
      </c>
      <c r="G43" s="23" t="n">
        <f aca="false">COUNTIF(A타입_제작표!$I$2:$I$799,B43)</f>
        <v>28</v>
      </c>
      <c r="H43" s="23" t="n">
        <f aca="false">COUNTIFS(A타입_제작표!$I$2:$I$799,B43,A타입_제작표!$C$2:$C$799,1)</f>
        <v>17</v>
      </c>
      <c r="I43" s="23" t="n">
        <f aca="false">COUNTIFS(A타입_제작표!$I$2:$I$799,B43,A타입_제작표!$C$2:$C$799,2)</f>
        <v>11</v>
      </c>
      <c r="J43" s="23" t="n">
        <f aca="false">SUMPRODUCT((A타입_제작표!$I$2:$I$799=B43)/COUNTIFS(A타입_제작표!$I$2:$I$799,A타입_제작표!$I$2:$I$799,A타입_제작표!$G$2:$G$799,A타입_제작표!$G$2:$G$799))</f>
        <v>3</v>
      </c>
      <c r="K43" s="23" t="n">
        <f aca="false">ROUND(G43*안내!$C$6/60,1)</f>
        <v>28</v>
      </c>
      <c r="L43" s="23" t="n">
        <f aca="false">_xlfn.MINIFS(A타입_제작표!$A$2:$A$799,A타입_제작표!$I$2:$I$799,B43)</f>
        <v>589</v>
      </c>
      <c r="M43" s="23" t="n">
        <f aca="false">_xlfn.MAXIFS(A타입_제작표!$A$2:$A$799,A타입_제작표!$I$2:$I$799,B43)</f>
        <v>616</v>
      </c>
      <c r="N43" s="24" t="s">
        <v>7913</v>
      </c>
    </row>
    <row r="44" customFormat="false" ht="15" hidden="false" customHeight="false" outlineLevel="0" collapsed="false">
      <c r="A44" s="23" t="n">
        <v>43</v>
      </c>
      <c r="B44" s="23" t="s">
        <v>5490</v>
      </c>
      <c r="C44" s="23" t="s">
        <v>7914</v>
      </c>
      <c r="D44" s="23" t="s">
        <v>4656</v>
      </c>
      <c r="E44" s="23" t="s">
        <v>7909</v>
      </c>
      <c r="F44" s="23" t="n">
        <v>21</v>
      </c>
      <c r="G44" s="23" t="n">
        <f aca="false">COUNTIF(A타입_제작표!$I$2:$I$799,B44)</f>
        <v>30</v>
      </c>
      <c r="H44" s="23" t="n">
        <f aca="false">COUNTIFS(A타입_제작표!$I$2:$I$799,B44,A타입_제작표!$C$2:$C$799,1)</f>
        <v>18</v>
      </c>
      <c r="I44" s="23" t="n">
        <f aca="false">COUNTIFS(A타입_제작표!$I$2:$I$799,B44,A타입_제작표!$C$2:$C$799,2)</f>
        <v>12</v>
      </c>
      <c r="J44" s="23" t="n">
        <f aca="false">SUMPRODUCT((A타입_제작표!$I$2:$I$799=B44)/COUNTIFS(A타입_제작표!$I$2:$I$799,A타입_제작표!$I$2:$I$799,A타입_제작표!$G$2:$G$799,A타입_제작표!$G$2:$G$799))</f>
        <v>3</v>
      </c>
      <c r="K44" s="23" t="n">
        <f aca="false">ROUND(G44*안내!$C$6/60,1)</f>
        <v>30</v>
      </c>
      <c r="L44" s="23" t="n">
        <f aca="false">_xlfn.MINIFS(A타입_제작표!$A$2:$A$799,A타입_제작표!$I$2:$I$799,B44)</f>
        <v>617</v>
      </c>
      <c r="M44" s="23" t="n">
        <f aca="false">_xlfn.MAXIFS(A타입_제작표!$A$2:$A$799,A타입_제작표!$I$2:$I$799,B44)</f>
        <v>646</v>
      </c>
      <c r="N44" s="29" t="s">
        <v>7915</v>
      </c>
    </row>
    <row r="45" customFormat="false" ht="15" hidden="false" customHeight="false" outlineLevel="0" collapsed="false">
      <c r="A45" s="23" t="n">
        <v>44</v>
      </c>
      <c r="B45" s="23" t="s">
        <v>5750</v>
      </c>
      <c r="C45" s="23" t="s">
        <v>7916</v>
      </c>
      <c r="D45" s="23" t="s">
        <v>4656</v>
      </c>
      <c r="E45" s="23" t="s">
        <v>7870</v>
      </c>
      <c r="F45" s="23" t="n">
        <v>28</v>
      </c>
      <c r="G45" s="23" t="n">
        <f aca="false">COUNTIF(A타입_제작표!$I$2:$I$799,B45)</f>
        <v>38</v>
      </c>
      <c r="H45" s="23" t="n">
        <f aca="false">COUNTIFS(A타입_제작표!$I$2:$I$799,B45,A타입_제작표!$C$2:$C$799,1)</f>
        <v>18</v>
      </c>
      <c r="I45" s="23" t="n">
        <f aca="false">COUNTIFS(A타입_제작표!$I$2:$I$799,B45,A타입_제작표!$C$2:$C$799,2)</f>
        <v>20</v>
      </c>
      <c r="J45" s="23" t="n">
        <f aca="false">SUMPRODUCT((A타입_제작표!$I$2:$I$799=B45)/COUNTIFS(A타입_제작표!$I$2:$I$799,A타입_제작표!$I$2:$I$799,A타입_제작표!$G$2:$G$799,A타입_제작표!$G$2:$G$799))</f>
        <v>4</v>
      </c>
      <c r="K45" s="23" t="n">
        <f aca="false">ROUND(G45*안내!$C$6/60,1)</f>
        <v>38</v>
      </c>
      <c r="L45" s="23" t="n">
        <f aca="false">_xlfn.MINIFS(A타입_제작표!$A$2:$A$799,A타입_제작표!$I$2:$I$799,B45)</f>
        <v>647</v>
      </c>
      <c r="M45" s="23" t="n">
        <f aca="false">_xlfn.MAXIFS(A타입_제작표!$A$2:$A$799,A타입_제작표!$I$2:$I$799,B45)</f>
        <v>684</v>
      </c>
      <c r="N45" s="24" t="s">
        <v>7864</v>
      </c>
    </row>
    <row r="46" customFormat="false" ht="15" hidden="false" customHeight="false" outlineLevel="0" collapsed="false">
      <c r="A46" s="23" t="n">
        <v>45</v>
      </c>
      <c r="B46" s="23" t="s">
        <v>6090</v>
      </c>
      <c r="C46" s="23" t="s">
        <v>7917</v>
      </c>
      <c r="D46" s="23" t="s">
        <v>4656</v>
      </c>
      <c r="E46" s="23" t="s">
        <v>7918</v>
      </c>
      <c r="F46" s="23" t="n">
        <v>16</v>
      </c>
      <c r="G46" s="23" t="n">
        <f aca="false">COUNTIF(A타입_제작표!$I$2:$I$799,B46)</f>
        <v>13</v>
      </c>
      <c r="H46" s="23" t="n">
        <f aca="false">COUNTIFS(A타입_제작표!$I$2:$I$799,B46,A타입_제작표!$C$2:$C$799,1)</f>
        <v>2</v>
      </c>
      <c r="I46" s="23" t="n">
        <f aca="false">COUNTIFS(A타입_제작표!$I$2:$I$799,B46,A타입_제작표!$C$2:$C$799,2)</f>
        <v>11</v>
      </c>
      <c r="J46" s="23" t="n">
        <f aca="false">SUMPRODUCT((A타입_제작표!$I$2:$I$799=B46)/COUNTIFS(A타입_제작표!$I$2:$I$799,A타입_제작표!$I$2:$I$799,A타입_제작표!$G$2:$G$799,A타입_제작표!$G$2:$G$799))</f>
        <v>1</v>
      </c>
      <c r="K46" s="23" t="n">
        <f aca="false">ROUND(G46*안내!$C$6/60,1)</f>
        <v>13</v>
      </c>
      <c r="L46" s="23" t="n">
        <f aca="false">_xlfn.MINIFS(A타입_제작표!$A$2:$A$799,A타입_제작표!$I$2:$I$799,B46)</f>
        <v>685</v>
      </c>
      <c r="M46" s="23" t="n">
        <f aca="false">_xlfn.MAXIFS(A타입_제작표!$A$2:$A$799,A타입_제작표!$I$2:$I$799,B46)</f>
        <v>697</v>
      </c>
      <c r="N46" s="24" t="s">
        <v>7864</v>
      </c>
    </row>
    <row r="47" customFormat="false" ht="15" hidden="false" customHeight="false" outlineLevel="0" collapsed="false">
      <c r="A47" s="23" t="n">
        <v>46</v>
      </c>
      <c r="B47" s="23" t="s">
        <v>6199</v>
      </c>
      <c r="C47" s="23" t="s">
        <v>7919</v>
      </c>
      <c r="D47" s="23" t="s">
        <v>4656</v>
      </c>
      <c r="E47" s="23" t="s">
        <v>7918</v>
      </c>
      <c r="F47" s="23" t="n">
        <v>16</v>
      </c>
      <c r="G47" s="23" t="n">
        <f aca="false">COUNTIF(A타입_제작표!$I$2:$I$799,B47)</f>
        <v>10</v>
      </c>
      <c r="H47" s="23" t="n">
        <f aca="false">COUNTIFS(A타입_제작표!$I$2:$I$799,B47,A타입_제작표!$C$2:$C$799,1)</f>
        <v>2</v>
      </c>
      <c r="I47" s="23" t="n">
        <f aca="false">COUNTIFS(A타입_제작표!$I$2:$I$799,B47,A타입_제작표!$C$2:$C$799,2)</f>
        <v>8</v>
      </c>
      <c r="J47" s="23" t="n">
        <f aca="false">SUMPRODUCT((A타입_제작표!$I$2:$I$799=B47)/COUNTIFS(A타입_제작표!$I$2:$I$799,A타입_제작표!$I$2:$I$799,A타입_제작표!$G$2:$G$799,A타입_제작표!$G$2:$G$799))</f>
        <v>1</v>
      </c>
      <c r="K47" s="23" t="n">
        <f aca="false">ROUND(G47*안내!$C$6/60,1)</f>
        <v>10</v>
      </c>
      <c r="L47" s="23" t="n">
        <f aca="false">_xlfn.MINIFS(A타입_제작표!$A$2:$A$799,A타입_제작표!$I$2:$I$799,B47)</f>
        <v>698</v>
      </c>
      <c r="M47" s="23" t="n">
        <f aca="false">_xlfn.MAXIFS(A타입_제작표!$A$2:$A$799,A타입_제작표!$I$2:$I$799,B47)</f>
        <v>707</v>
      </c>
      <c r="N47" s="24" t="s">
        <v>7864</v>
      </c>
    </row>
    <row r="48" customFormat="false" ht="15" hidden="false" customHeight="false" outlineLevel="0" collapsed="false">
      <c r="A48" s="23" t="n">
        <v>47</v>
      </c>
      <c r="B48" s="23" t="s">
        <v>6285</v>
      </c>
      <c r="C48" s="23" t="s">
        <v>7920</v>
      </c>
      <c r="D48" s="23" t="s">
        <v>4656</v>
      </c>
      <c r="E48" s="23" t="s">
        <v>7918</v>
      </c>
      <c r="F48" s="23" t="n">
        <v>13</v>
      </c>
      <c r="G48" s="23" t="n">
        <f aca="false">COUNTIF(A타입_제작표!$I$2:$I$799,B48)</f>
        <v>6</v>
      </c>
      <c r="H48" s="23" t="n">
        <f aca="false">COUNTIFS(A타입_제작표!$I$2:$I$799,B48,A타입_제작표!$C$2:$C$799,1)</f>
        <v>0</v>
      </c>
      <c r="I48" s="23" t="n">
        <f aca="false">COUNTIFS(A타입_제작표!$I$2:$I$799,B48,A타입_제작표!$C$2:$C$799,2)</f>
        <v>6</v>
      </c>
      <c r="J48" s="23" t="n">
        <f aca="false">SUMPRODUCT((A타입_제작표!$I$2:$I$799=B48)/COUNTIFS(A타입_제작표!$I$2:$I$799,A타입_제작표!$I$2:$I$799,A타입_제작표!$G$2:$G$799,A타입_제작표!$G$2:$G$799))</f>
        <v>1</v>
      </c>
      <c r="K48" s="23" t="n">
        <f aca="false">ROUND(G48*안내!$C$6/60,1)</f>
        <v>6</v>
      </c>
      <c r="L48" s="23" t="n">
        <f aca="false">_xlfn.MINIFS(A타입_제작표!$A$2:$A$799,A타입_제작표!$I$2:$I$799,B48)</f>
        <v>708</v>
      </c>
      <c r="M48" s="23" t="n">
        <f aca="false">_xlfn.MAXIFS(A타입_제작표!$A$2:$A$799,A타입_제작표!$I$2:$I$799,B48)</f>
        <v>713</v>
      </c>
      <c r="N48" s="24" t="s">
        <v>7864</v>
      </c>
    </row>
    <row r="49" customFormat="false" ht="15" hidden="false" customHeight="false" outlineLevel="0" collapsed="false">
      <c r="A49" s="23" t="n">
        <v>48</v>
      </c>
      <c r="B49" s="23" t="s">
        <v>6331</v>
      </c>
      <c r="C49" s="23" t="s">
        <v>7921</v>
      </c>
      <c r="D49" s="23" t="s">
        <v>4656</v>
      </c>
      <c r="E49" s="23" t="s">
        <v>7918</v>
      </c>
      <c r="F49" s="23" t="n">
        <v>6</v>
      </c>
      <c r="G49" s="23" t="n">
        <f aca="false">COUNTIF(A타입_제작표!$I$2:$I$799,B49)</f>
        <v>5</v>
      </c>
      <c r="H49" s="23" t="n">
        <f aca="false">COUNTIFS(A타입_제작표!$I$2:$I$799,B49,A타입_제작표!$C$2:$C$799,1)</f>
        <v>1</v>
      </c>
      <c r="I49" s="23" t="n">
        <f aca="false">COUNTIFS(A타입_제작표!$I$2:$I$799,B49,A타입_제작표!$C$2:$C$799,2)</f>
        <v>4</v>
      </c>
      <c r="J49" s="23" t="n">
        <f aca="false">SUMPRODUCT((A타입_제작표!$I$2:$I$799=B49)/COUNTIFS(A타입_제작표!$I$2:$I$799,A타입_제작표!$I$2:$I$799,A타입_제작표!$G$2:$G$799,A타입_제작표!$G$2:$G$799))</f>
        <v>1</v>
      </c>
      <c r="K49" s="23" t="n">
        <f aca="false">ROUND(G49*안내!$C$6/60,1)</f>
        <v>5</v>
      </c>
      <c r="L49" s="23" t="n">
        <f aca="false">_xlfn.MINIFS(A타입_제작표!$A$2:$A$799,A타입_제작표!$I$2:$I$799,B49)</f>
        <v>714</v>
      </c>
      <c r="M49" s="23" t="n">
        <f aca="false">_xlfn.MAXIFS(A타입_제작표!$A$2:$A$799,A타입_제작표!$I$2:$I$799,B49)</f>
        <v>718</v>
      </c>
      <c r="N49" s="24" t="s">
        <v>7864</v>
      </c>
    </row>
    <row r="50" customFormat="false" ht="15" hidden="false" customHeight="false" outlineLevel="0" collapsed="false">
      <c r="A50" s="23" t="n">
        <v>49</v>
      </c>
      <c r="B50" s="23" t="s">
        <v>6374</v>
      </c>
      <c r="C50" s="23" t="s">
        <v>7922</v>
      </c>
      <c r="D50" s="23" t="s">
        <v>4656</v>
      </c>
      <c r="E50" s="23" t="s">
        <v>7918</v>
      </c>
      <c r="F50" s="23" t="n">
        <v>6</v>
      </c>
      <c r="G50" s="23" t="n">
        <f aca="false">COUNTIF(A타입_제작표!$I$2:$I$799,B50)</f>
        <v>6</v>
      </c>
      <c r="H50" s="23" t="n">
        <f aca="false">COUNTIFS(A타입_제작표!$I$2:$I$799,B50,A타입_제작표!$C$2:$C$799,1)</f>
        <v>2</v>
      </c>
      <c r="I50" s="23" t="n">
        <f aca="false">COUNTIFS(A타입_제작표!$I$2:$I$799,B50,A타입_제작표!$C$2:$C$799,2)</f>
        <v>4</v>
      </c>
      <c r="J50" s="23" t="n">
        <f aca="false">SUMPRODUCT((A타입_제작표!$I$2:$I$799=B50)/COUNTIFS(A타입_제작표!$I$2:$I$799,A타입_제작표!$I$2:$I$799,A타입_제작표!$G$2:$G$799,A타입_제작표!$G$2:$G$799))</f>
        <v>1</v>
      </c>
      <c r="K50" s="23" t="n">
        <f aca="false">ROUND(G50*안내!$C$6/60,1)</f>
        <v>6</v>
      </c>
      <c r="L50" s="23" t="n">
        <f aca="false">_xlfn.MINIFS(A타입_제작표!$A$2:$A$799,A타입_제작표!$I$2:$I$799,B50)</f>
        <v>719</v>
      </c>
      <c r="M50" s="23" t="n">
        <f aca="false">_xlfn.MAXIFS(A타입_제작표!$A$2:$A$799,A타입_제작표!$I$2:$I$799,B50)</f>
        <v>724</v>
      </c>
      <c r="N50" s="24" t="s">
        <v>7864</v>
      </c>
    </row>
    <row r="51" customFormat="false" ht="15" hidden="false" customHeight="false" outlineLevel="0" collapsed="false">
      <c r="A51" s="23" t="n">
        <v>50</v>
      </c>
      <c r="B51" s="23" t="s">
        <v>6425</v>
      </c>
      <c r="C51" s="23" t="s">
        <v>7923</v>
      </c>
      <c r="D51" s="23" t="s">
        <v>4656</v>
      </c>
      <c r="E51" s="23" t="s">
        <v>7918</v>
      </c>
      <c r="F51" s="23" t="n">
        <v>4</v>
      </c>
      <c r="G51" s="23" t="n">
        <f aca="false">COUNTIF(A타입_제작표!$I$2:$I$799,B51)</f>
        <v>4</v>
      </c>
      <c r="H51" s="23" t="n">
        <f aca="false">COUNTIFS(A타입_제작표!$I$2:$I$799,B51,A타입_제작표!$C$2:$C$799,1)</f>
        <v>0</v>
      </c>
      <c r="I51" s="23" t="n">
        <f aca="false">COUNTIFS(A타입_제작표!$I$2:$I$799,B51,A타입_제작표!$C$2:$C$799,2)</f>
        <v>4</v>
      </c>
      <c r="J51" s="23" t="n">
        <f aca="false">SUMPRODUCT((A타입_제작표!$I$2:$I$799=B51)/COUNTIFS(A타입_제작표!$I$2:$I$799,A타입_제작표!$I$2:$I$799,A타입_제작표!$G$2:$G$799,A타입_제작표!$G$2:$G$799))</f>
        <v>1</v>
      </c>
      <c r="K51" s="23" t="n">
        <f aca="false">ROUND(G51*안내!$C$6/60,1)</f>
        <v>4</v>
      </c>
      <c r="L51" s="23" t="n">
        <f aca="false">_xlfn.MINIFS(A타입_제작표!$A$2:$A$799,A타입_제작표!$I$2:$I$799,B51)</f>
        <v>725</v>
      </c>
      <c r="M51" s="23" t="n">
        <f aca="false">_xlfn.MAXIFS(A타입_제작표!$A$2:$A$799,A타입_제작표!$I$2:$I$799,B51)</f>
        <v>728</v>
      </c>
      <c r="N51" s="24" t="s">
        <v>7864</v>
      </c>
    </row>
    <row r="52" customFormat="false" ht="15" hidden="false" customHeight="false" outlineLevel="0" collapsed="false">
      <c r="A52" s="23" t="n">
        <v>51</v>
      </c>
      <c r="B52" s="23" t="s">
        <v>6460</v>
      </c>
      <c r="C52" s="23" t="s">
        <v>7924</v>
      </c>
      <c r="D52" s="23" t="s">
        <v>4656</v>
      </c>
      <c r="E52" s="23" t="s">
        <v>7918</v>
      </c>
      <c r="F52" s="23" t="n">
        <v>4</v>
      </c>
      <c r="G52" s="23" t="n">
        <f aca="false">COUNTIF(A타입_제작표!$I$2:$I$799,B52)</f>
        <v>4</v>
      </c>
      <c r="H52" s="23" t="n">
        <f aca="false">COUNTIFS(A타입_제작표!$I$2:$I$799,B52,A타입_제작표!$C$2:$C$799,1)</f>
        <v>0</v>
      </c>
      <c r="I52" s="23" t="n">
        <f aca="false">COUNTIFS(A타입_제작표!$I$2:$I$799,B52,A타입_제작표!$C$2:$C$799,2)</f>
        <v>4</v>
      </c>
      <c r="J52" s="23" t="n">
        <f aca="false">SUMPRODUCT((A타입_제작표!$I$2:$I$799=B52)/COUNTIFS(A타입_제작표!$I$2:$I$799,A타입_제작표!$I$2:$I$799,A타입_제작표!$G$2:$G$799,A타입_제작표!$G$2:$G$799))</f>
        <v>1</v>
      </c>
      <c r="K52" s="23" t="n">
        <f aca="false">ROUND(G52*안내!$C$6/60,1)</f>
        <v>4</v>
      </c>
      <c r="L52" s="23" t="n">
        <f aca="false">_xlfn.MINIFS(A타입_제작표!$A$2:$A$799,A타입_제작표!$I$2:$I$799,B52)</f>
        <v>729</v>
      </c>
      <c r="M52" s="23" t="n">
        <f aca="false">_xlfn.MAXIFS(A타입_제작표!$A$2:$A$799,A타입_제작표!$I$2:$I$799,B52)</f>
        <v>732</v>
      </c>
      <c r="N52" s="24" t="s">
        <v>7864</v>
      </c>
    </row>
    <row r="53" customFormat="false" ht="15" hidden="false" customHeight="false" outlineLevel="0" collapsed="false">
      <c r="A53" s="23" t="n">
        <v>52</v>
      </c>
      <c r="B53" s="23" t="s">
        <v>6490</v>
      </c>
      <c r="C53" s="23" t="s">
        <v>7925</v>
      </c>
      <c r="D53" s="23" t="s">
        <v>4656</v>
      </c>
      <c r="E53" s="23" t="s">
        <v>7918</v>
      </c>
      <c r="F53" s="23" t="n">
        <v>5</v>
      </c>
      <c r="G53" s="23" t="n">
        <f aca="false">COUNTIF(A타입_제작표!$I$2:$I$799,B53)</f>
        <v>3</v>
      </c>
      <c r="H53" s="23" t="n">
        <f aca="false">COUNTIFS(A타입_제작표!$I$2:$I$799,B53,A타입_제작표!$C$2:$C$799,1)</f>
        <v>0</v>
      </c>
      <c r="I53" s="23" t="n">
        <f aca="false">COUNTIFS(A타입_제작표!$I$2:$I$799,B53,A타입_제작표!$C$2:$C$799,2)</f>
        <v>3</v>
      </c>
      <c r="J53" s="23" t="n">
        <f aca="false">SUMPRODUCT((A타입_제작표!$I$2:$I$799=B53)/COUNTIFS(A타입_제작표!$I$2:$I$799,A타입_제작표!$I$2:$I$799,A타입_제작표!$G$2:$G$799,A타입_제작표!$G$2:$G$799))</f>
        <v>1</v>
      </c>
      <c r="K53" s="23" t="n">
        <f aca="false">ROUND(G53*안내!$C$6/60,1)</f>
        <v>3</v>
      </c>
      <c r="L53" s="23" t="n">
        <f aca="false">_xlfn.MINIFS(A타입_제작표!$A$2:$A$799,A타입_제작표!$I$2:$I$799,B53)</f>
        <v>733</v>
      </c>
      <c r="M53" s="23" t="n">
        <f aca="false">_xlfn.MAXIFS(A타입_제작표!$A$2:$A$799,A타입_제작표!$I$2:$I$799,B53)</f>
        <v>735</v>
      </c>
      <c r="N53" s="24" t="s">
        <v>7864</v>
      </c>
    </row>
    <row r="54" customFormat="false" ht="15" hidden="false" customHeight="false" outlineLevel="0" collapsed="false">
      <c r="A54" s="23" t="n">
        <v>53</v>
      </c>
      <c r="B54" s="23" t="s">
        <v>6514</v>
      </c>
      <c r="C54" s="23" t="s">
        <v>7926</v>
      </c>
      <c r="D54" s="23" t="s">
        <v>4656</v>
      </c>
      <c r="E54" s="23" t="s">
        <v>7918</v>
      </c>
      <c r="F54" s="23" t="n">
        <v>3</v>
      </c>
      <c r="G54" s="23" t="n">
        <f aca="false">COUNTIF(A타입_제작표!$I$2:$I$799,B54)</f>
        <v>2</v>
      </c>
      <c r="H54" s="23" t="n">
        <f aca="false">COUNTIFS(A타입_제작표!$I$2:$I$799,B54,A타입_제작표!$C$2:$C$799,1)</f>
        <v>0</v>
      </c>
      <c r="I54" s="23" t="n">
        <f aca="false">COUNTIFS(A타입_제작표!$I$2:$I$799,B54,A타입_제작표!$C$2:$C$799,2)</f>
        <v>2</v>
      </c>
      <c r="J54" s="23" t="n">
        <f aca="false">SUMPRODUCT((A타입_제작표!$I$2:$I$799=B54)/COUNTIFS(A타입_제작표!$I$2:$I$799,A타입_제작표!$I$2:$I$799,A타입_제작표!$G$2:$G$799,A타입_제작표!$G$2:$G$799))</f>
        <v>1</v>
      </c>
      <c r="K54" s="23" t="n">
        <f aca="false">ROUND(G54*안내!$C$6/60,1)</f>
        <v>2</v>
      </c>
      <c r="L54" s="23" t="n">
        <f aca="false">_xlfn.MINIFS(A타입_제작표!$A$2:$A$799,A타입_제작표!$I$2:$I$799,B54)</f>
        <v>736</v>
      </c>
      <c r="M54" s="23" t="n">
        <f aca="false">_xlfn.MAXIFS(A타입_제작표!$A$2:$A$799,A타입_제작표!$I$2:$I$799,B54)</f>
        <v>737</v>
      </c>
      <c r="N54" s="24" t="s">
        <v>7864</v>
      </c>
    </row>
    <row r="55" customFormat="false" ht="15" hidden="false" customHeight="false" outlineLevel="0" collapsed="false">
      <c r="A55" s="23" t="n">
        <v>54</v>
      </c>
      <c r="B55" s="23" t="s">
        <v>6532</v>
      </c>
      <c r="C55" s="23" t="s">
        <v>7927</v>
      </c>
      <c r="D55" s="23" t="s">
        <v>4656</v>
      </c>
      <c r="E55" s="23" t="s">
        <v>7928</v>
      </c>
      <c r="F55" s="23" t="n">
        <v>6</v>
      </c>
      <c r="G55" s="23" t="n">
        <f aca="false">COUNTIF(A타입_제작표!$I$2:$I$799,B55)</f>
        <v>4</v>
      </c>
      <c r="H55" s="23" t="n">
        <f aca="false">COUNTIFS(A타입_제작표!$I$2:$I$799,B55,A타입_제작표!$C$2:$C$799,1)</f>
        <v>0</v>
      </c>
      <c r="I55" s="23" t="n">
        <f aca="false">COUNTIFS(A타입_제작표!$I$2:$I$799,B55,A타입_제작표!$C$2:$C$799,2)</f>
        <v>4</v>
      </c>
      <c r="J55" s="23" t="n">
        <f aca="false">SUMPRODUCT((A타입_제작표!$I$2:$I$799=B55)/COUNTIFS(A타입_제작표!$I$2:$I$799,A타입_제작표!$I$2:$I$799,A타입_제작표!$G$2:$G$799,A타입_제작표!$G$2:$G$799))</f>
        <v>1</v>
      </c>
      <c r="K55" s="23" t="n">
        <f aca="false">ROUND(G55*안내!$C$6/60,1)</f>
        <v>4</v>
      </c>
      <c r="L55" s="23" t="n">
        <f aca="false">_xlfn.MINIFS(A타입_제작표!$A$2:$A$799,A타입_제작표!$I$2:$I$799,B55)</f>
        <v>738</v>
      </c>
      <c r="M55" s="23" t="n">
        <f aca="false">_xlfn.MAXIFS(A타입_제작표!$A$2:$A$799,A타입_제작표!$I$2:$I$799,B55)</f>
        <v>741</v>
      </c>
      <c r="N55" s="24" t="s">
        <v>7864</v>
      </c>
    </row>
    <row r="56" customFormat="false" ht="15" hidden="false" customHeight="false" outlineLevel="0" collapsed="false">
      <c r="A56" s="23" t="n">
        <v>55</v>
      </c>
      <c r="B56" s="23" t="s">
        <v>6565</v>
      </c>
      <c r="C56" s="23" t="s">
        <v>7929</v>
      </c>
      <c r="D56" s="23" t="s">
        <v>4656</v>
      </c>
      <c r="E56" s="23" t="s">
        <v>7928</v>
      </c>
      <c r="F56" s="23" t="n">
        <v>4</v>
      </c>
      <c r="G56" s="23" t="n">
        <f aca="false">COUNTIF(A타입_제작표!$I$2:$I$799,B56)</f>
        <v>3</v>
      </c>
      <c r="H56" s="23" t="n">
        <f aca="false">COUNTIFS(A타입_제작표!$I$2:$I$799,B56,A타입_제작표!$C$2:$C$799,1)</f>
        <v>0</v>
      </c>
      <c r="I56" s="23" t="n">
        <f aca="false">COUNTIFS(A타입_제작표!$I$2:$I$799,B56,A타입_제작표!$C$2:$C$799,2)</f>
        <v>3</v>
      </c>
      <c r="J56" s="23" t="n">
        <f aca="false">SUMPRODUCT((A타입_제작표!$I$2:$I$799=B56)/COUNTIFS(A타입_제작표!$I$2:$I$799,A타입_제작표!$I$2:$I$799,A타입_제작표!$G$2:$G$799,A타입_제작표!$G$2:$G$799))</f>
        <v>1</v>
      </c>
      <c r="K56" s="23" t="n">
        <f aca="false">ROUND(G56*안내!$C$6/60,1)</f>
        <v>3</v>
      </c>
      <c r="L56" s="23" t="n">
        <f aca="false">_xlfn.MINIFS(A타입_제작표!$A$2:$A$799,A타입_제작표!$I$2:$I$799,B56)</f>
        <v>742</v>
      </c>
      <c r="M56" s="23" t="n">
        <f aca="false">_xlfn.MAXIFS(A타입_제작표!$A$2:$A$799,A타입_제작표!$I$2:$I$799,B56)</f>
        <v>744</v>
      </c>
      <c r="N56" s="24" t="s">
        <v>7864</v>
      </c>
    </row>
    <row r="57" customFormat="false" ht="15" hidden="false" customHeight="false" outlineLevel="0" collapsed="false">
      <c r="A57" s="23" t="n">
        <v>56</v>
      </c>
      <c r="B57" s="23" t="s">
        <v>6589</v>
      </c>
      <c r="C57" s="23" t="s">
        <v>7930</v>
      </c>
      <c r="D57" s="23" t="s">
        <v>4656</v>
      </c>
      <c r="E57" s="23" t="s">
        <v>7928</v>
      </c>
      <c r="F57" s="23" t="n">
        <v>3</v>
      </c>
      <c r="G57" s="23" t="n">
        <f aca="false">COUNTIF(A타입_제작표!$I$2:$I$799,B57)</f>
        <v>2</v>
      </c>
      <c r="H57" s="23" t="n">
        <f aca="false">COUNTIFS(A타입_제작표!$I$2:$I$799,B57,A타입_제작표!$C$2:$C$799,1)</f>
        <v>0</v>
      </c>
      <c r="I57" s="23" t="n">
        <f aca="false">COUNTIFS(A타입_제작표!$I$2:$I$799,B57,A타입_제작표!$C$2:$C$799,2)</f>
        <v>2</v>
      </c>
      <c r="J57" s="23" t="n">
        <f aca="false">SUMPRODUCT((A타입_제작표!$I$2:$I$799=B57)/COUNTIFS(A타입_제작표!$I$2:$I$799,A타입_제작표!$I$2:$I$799,A타입_제작표!$G$2:$G$799,A타입_제작표!$G$2:$G$799))</f>
        <v>1</v>
      </c>
      <c r="K57" s="23" t="n">
        <f aca="false">ROUND(G57*안내!$C$6/60,1)</f>
        <v>2</v>
      </c>
      <c r="L57" s="23" t="n">
        <f aca="false">_xlfn.MINIFS(A타입_제작표!$A$2:$A$799,A타입_제작표!$I$2:$I$799,B57)</f>
        <v>745</v>
      </c>
      <c r="M57" s="23" t="n">
        <f aca="false">_xlfn.MAXIFS(A타입_제작표!$A$2:$A$799,A타입_제작표!$I$2:$I$799,B57)</f>
        <v>746</v>
      </c>
      <c r="N57" s="24" t="s">
        <v>7864</v>
      </c>
    </row>
    <row r="58" customFormat="false" ht="15" hidden="false" customHeight="false" outlineLevel="0" collapsed="false">
      <c r="A58" s="23" t="n">
        <v>57</v>
      </c>
      <c r="B58" s="23" t="s">
        <v>6605</v>
      </c>
      <c r="C58" s="23" t="s">
        <v>7931</v>
      </c>
      <c r="D58" s="23" t="s">
        <v>4656</v>
      </c>
      <c r="E58" s="23" t="s">
        <v>7932</v>
      </c>
      <c r="F58" s="23" t="n">
        <v>1</v>
      </c>
      <c r="G58" s="23" t="n">
        <f aca="false">COUNTIF(A타입_제작표!$I$2:$I$799,B58)</f>
        <v>1</v>
      </c>
      <c r="H58" s="23" t="n">
        <f aca="false">COUNTIFS(A타입_제작표!$I$2:$I$799,B58,A타입_제작표!$C$2:$C$799,1)</f>
        <v>0</v>
      </c>
      <c r="I58" s="23" t="n">
        <f aca="false">COUNTIFS(A타입_제작표!$I$2:$I$799,B58,A타입_제작표!$C$2:$C$799,2)</f>
        <v>1</v>
      </c>
      <c r="J58" s="23" t="n">
        <f aca="false">SUMPRODUCT((A타입_제작표!$I$2:$I$799=B58)/COUNTIFS(A타입_제작표!$I$2:$I$799,A타입_제작표!$I$2:$I$799,A타입_제작표!$G$2:$G$799,A타입_제작표!$G$2:$G$799))</f>
        <v>1</v>
      </c>
      <c r="K58" s="23" t="n">
        <f aca="false">ROUND(G58*안내!$C$6/60,1)</f>
        <v>1</v>
      </c>
      <c r="L58" s="23" t="n">
        <f aca="false">_xlfn.MINIFS(A타입_제작표!$A$2:$A$799,A타입_제작표!$I$2:$I$799,B58)</f>
        <v>747</v>
      </c>
      <c r="M58" s="23" t="n">
        <f aca="false">_xlfn.MAXIFS(A타입_제작표!$A$2:$A$799,A타입_제작표!$I$2:$I$799,B58)</f>
        <v>747</v>
      </c>
      <c r="N58" s="24" t="s">
        <v>7864</v>
      </c>
    </row>
    <row r="59" customFormat="false" ht="15" hidden="false" customHeight="false" outlineLevel="0" collapsed="false">
      <c r="A59" s="23" t="n">
        <v>58</v>
      </c>
      <c r="B59" s="23" t="s">
        <v>6617</v>
      </c>
      <c r="C59" s="23" t="s">
        <v>7933</v>
      </c>
      <c r="D59" s="23" t="s">
        <v>4656</v>
      </c>
      <c r="E59" s="23" t="s">
        <v>7934</v>
      </c>
      <c r="F59" s="23" t="n">
        <v>13</v>
      </c>
      <c r="G59" s="23" t="n">
        <f aca="false">COUNTIF(A타입_제작표!$I$2:$I$799,B59)</f>
        <v>10</v>
      </c>
      <c r="H59" s="23" t="n">
        <f aca="false">COUNTIFS(A타입_제작표!$I$2:$I$799,B59,A타입_제작표!$C$2:$C$799,1)</f>
        <v>1</v>
      </c>
      <c r="I59" s="23" t="n">
        <f aca="false">COUNTIFS(A타입_제작표!$I$2:$I$799,B59,A타입_제작표!$C$2:$C$799,2)</f>
        <v>9</v>
      </c>
      <c r="J59" s="23" t="n">
        <f aca="false">SUMPRODUCT((A타입_제작표!$I$2:$I$799=B59)/COUNTIFS(A타입_제작표!$I$2:$I$799,A타입_제작표!$I$2:$I$799,A타입_제작표!$G$2:$G$799,A타입_제작표!$G$2:$G$799))</f>
        <v>1</v>
      </c>
      <c r="K59" s="23" t="n">
        <f aca="false">ROUND(G59*안내!$C$6/60,1)</f>
        <v>10</v>
      </c>
      <c r="L59" s="23" t="n">
        <f aca="false">_xlfn.MINIFS(A타입_제작표!$A$2:$A$799,A타입_제작표!$I$2:$I$799,B59)</f>
        <v>748</v>
      </c>
      <c r="M59" s="23" t="n">
        <f aca="false">_xlfn.MAXIFS(A타입_제작표!$A$2:$A$799,A타입_제작표!$I$2:$I$799,B59)</f>
        <v>757</v>
      </c>
      <c r="N59" s="24" t="s">
        <v>7864</v>
      </c>
    </row>
    <row r="60" customFormat="false" ht="15" hidden="false" customHeight="false" outlineLevel="0" collapsed="false">
      <c r="A60" s="23" t="n">
        <v>59</v>
      </c>
      <c r="B60" s="23" t="s">
        <v>6705</v>
      </c>
      <c r="C60" s="23" t="s">
        <v>7935</v>
      </c>
      <c r="D60" s="23" t="s">
        <v>4656</v>
      </c>
      <c r="E60" s="23" t="s">
        <v>7934</v>
      </c>
      <c r="F60" s="23" t="n">
        <v>5</v>
      </c>
      <c r="G60" s="23" t="n">
        <f aca="false">COUNTIF(A타입_제작표!$I$2:$I$799,B60)</f>
        <v>5</v>
      </c>
      <c r="H60" s="23" t="n">
        <f aca="false">COUNTIFS(A타입_제작표!$I$2:$I$799,B60,A타입_제작표!$C$2:$C$799,1)</f>
        <v>0</v>
      </c>
      <c r="I60" s="23" t="n">
        <f aca="false">COUNTIFS(A타입_제작표!$I$2:$I$799,B60,A타입_제작표!$C$2:$C$799,2)</f>
        <v>5</v>
      </c>
      <c r="J60" s="23" t="n">
        <f aca="false">SUMPRODUCT((A타입_제작표!$I$2:$I$799=B60)/COUNTIFS(A타입_제작표!$I$2:$I$799,A타입_제작표!$I$2:$I$799,A타입_제작표!$G$2:$G$799,A타입_제작표!$G$2:$G$799))</f>
        <v>1</v>
      </c>
      <c r="K60" s="23" t="n">
        <f aca="false">ROUND(G60*안내!$C$6/60,1)</f>
        <v>5</v>
      </c>
      <c r="L60" s="23" t="n">
        <f aca="false">_xlfn.MINIFS(A타입_제작표!$A$2:$A$799,A타입_제작표!$I$2:$I$799,B60)</f>
        <v>758</v>
      </c>
      <c r="M60" s="23" t="n">
        <f aca="false">_xlfn.MAXIFS(A타입_제작표!$A$2:$A$799,A타입_제작표!$I$2:$I$799,B60)</f>
        <v>762</v>
      </c>
      <c r="N60" s="24" t="s">
        <v>7864</v>
      </c>
    </row>
    <row r="61" customFormat="false" ht="15" hidden="false" customHeight="false" outlineLevel="0" collapsed="false">
      <c r="A61" s="23" t="n">
        <v>60</v>
      </c>
      <c r="B61" s="23" t="s">
        <v>6746</v>
      </c>
      <c r="C61" s="23" t="s">
        <v>7936</v>
      </c>
      <c r="D61" s="23" t="s">
        <v>4656</v>
      </c>
      <c r="E61" s="23" t="s">
        <v>7934</v>
      </c>
      <c r="F61" s="23" t="n">
        <v>5</v>
      </c>
      <c r="G61" s="23" t="n">
        <f aca="false">COUNTIF(A타입_제작표!$I$2:$I$799,B61)</f>
        <v>4</v>
      </c>
      <c r="H61" s="23" t="n">
        <f aca="false">COUNTIFS(A타입_제작표!$I$2:$I$799,B61,A타입_제작표!$C$2:$C$799,1)</f>
        <v>0</v>
      </c>
      <c r="I61" s="23" t="n">
        <f aca="false">COUNTIFS(A타입_제작표!$I$2:$I$799,B61,A타입_제작표!$C$2:$C$799,2)</f>
        <v>4</v>
      </c>
      <c r="J61" s="23" t="n">
        <f aca="false">SUMPRODUCT((A타입_제작표!$I$2:$I$799=B61)/COUNTIFS(A타입_제작표!$I$2:$I$799,A타입_제작표!$I$2:$I$799,A타입_제작표!$G$2:$G$799,A타입_제작표!$G$2:$G$799))</f>
        <v>1</v>
      </c>
      <c r="K61" s="23" t="n">
        <f aca="false">ROUND(G61*안내!$C$6/60,1)</f>
        <v>4</v>
      </c>
      <c r="L61" s="23" t="n">
        <f aca="false">_xlfn.MINIFS(A타입_제작표!$A$2:$A$799,A타입_제작표!$I$2:$I$799,B61)</f>
        <v>763</v>
      </c>
      <c r="M61" s="23" t="n">
        <f aca="false">_xlfn.MAXIFS(A타입_제작표!$A$2:$A$799,A타입_제작표!$I$2:$I$799,B61)</f>
        <v>766</v>
      </c>
      <c r="N61" s="24" t="s">
        <v>7864</v>
      </c>
    </row>
    <row r="62" customFormat="false" ht="15" hidden="false" customHeight="false" outlineLevel="0" collapsed="false">
      <c r="A62" s="23" t="n">
        <v>61</v>
      </c>
      <c r="B62" s="23" t="s">
        <v>6778</v>
      </c>
      <c r="C62" s="23" t="s">
        <v>7937</v>
      </c>
      <c r="D62" s="23" t="s">
        <v>4656</v>
      </c>
      <c r="E62" s="23" t="s">
        <v>7934</v>
      </c>
      <c r="F62" s="23" t="n">
        <v>3</v>
      </c>
      <c r="G62" s="23" t="n">
        <f aca="false">COUNTIF(A타입_제작표!$I$2:$I$799,B62)</f>
        <v>3</v>
      </c>
      <c r="H62" s="23" t="n">
        <f aca="false">COUNTIFS(A타입_제작표!$I$2:$I$799,B62,A타입_제작표!$C$2:$C$799,1)</f>
        <v>0</v>
      </c>
      <c r="I62" s="23" t="n">
        <f aca="false">COUNTIFS(A타입_제작표!$I$2:$I$799,B62,A타입_제작표!$C$2:$C$799,2)</f>
        <v>3</v>
      </c>
      <c r="J62" s="23" t="n">
        <f aca="false">SUMPRODUCT((A타입_제작표!$I$2:$I$799=B62)/COUNTIFS(A타입_제작표!$I$2:$I$799,A타입_제작표!$I$2:$I$799,A타입_제작표!$G$2:$G$799,A타입_제작표!$G$2:$G$799))</f>
        <v>1</v>
      </c>
      <c r="K62" s="23" t="n">
        <f aca="false">ROUND(G62*안내!$C$6/60,1)</f>
        <v>3</v>
      </c>
      <c r="L62" s="23" t="n">
        <f aca="false">_xlfn.MINIFS(A타입_제작표!$A$2:$A$799,A타입_제작표!$I$2:$I$799,B62)</f>
        <v>767</v>
      </c>
      <c r="M62" s="23" t="n">
        <f aca="false">_xlfn.MAXIFS(A타입_제작표!$A$2:$A$799,A타입_제작표!$I$2:$I$799,B62)</f>
        <v>769</v>
      </c>
      <c r="N62" s="24" t="s">
        <v>7864</v>
      </c>
    </row>
    <row r="63" customFormat="false" ht="15" hidden="false" customHeight="false" outlineLevel="0" collapsed="false">
      <c r="A63" s="23" t="n">
        <v>62</v>
      </c>
      <c r="B63" s="23" t="s">
        <v>6805</v>
      </c>
      <c r="C63" s="23" t="s">
        <v>106</v>
      </c>
      <c r="D63" s="23" t="s">
        <v>4656</v>
      </c>
      <c r="E63" s="23" t="s">
        <v>7934</v>
      </c>
      <c r="F63" s="23" t="n">
        <v>5</v>
      </c>
      <c r="G63" s="23" t="n">
        <f aca="false">COUNTIF(A타입_제작표!$I$2:$I$799,B63)</f>
        <v>4</v>
      </c>
      <c r="H63" s="23" t="n">
        <f aca="false">COUNTIFS(A타입_제작표!$I$2:$I$799,B63,A타입_제작표!$C$2:$C$799,1)</f>
        <v>0</v>
      </c>
      <c r="I63" s="23" t="n">
        <f aca="false">COUNTIFS(A타입_제작표!$I$2:$I$799,B63,A타입_제작표!$C$2:$C$799,2)</f>
        <v>4</v>
      </c>
      <c r="J63" s="23" t="n">
        <f aca="false">SUMPRODUCT((A타입_제작표!$I$2:$I$799=B63)/COUNTIFS(A타입_제작표!$I$2:$I$799,A타입_제작표!$I$2:$I$799,A타입_제작표!$G$2:$G$799,A타입_제작표!$G$2:$G$799))</f>
        <v>1</v>
      </c>
      <c r="K63" s="23" t="n">
        <f aca="false">ROUND(G63*안내!$C$6/60,1)</f>
        <v>4</v>
      </c>
      <c r="L63" s="23" t="n">
        <f aca="false">_xlfn.MINIFS(A타입_제작표!$A$2:$A$799,A타입_제작표!$I$2:$I$799,B63)</f>
        <v>770</v>
      </c>
      <c r="M63" s="23" t="n">
        <f aca="false">_xlfn.MAXIFS(A타입_제작표!$A$2:$A$799,A타입_제작표!$I$2:$I$799,B63)</f>
        <v>773</v>
      </c>
      <c r="N63" s="24" t="s">
        <v>7864</v>
      </c>
    </row>
    <row r="64" customFormat="false" ht="15" hidden="false" customHeight="false" outlineLevel="0" collapsed="false">
      <c r="A64" s="23" t="n">
        <v>63</v>
      </c>
      <c r="B64" s="23" t="s">
        <v>6837</v>
      </c>
      <c r="C64" s="23" t="s">
        <v>7938</v>
      </c>
      <c r="D64" s="23" t="s">
        <v>4656</v>
      </c>
      <c r="E64" s="23" t="s">
        <v>7934</v>
      </c>
      <c r="F64" s="23" t="n">
        <v>1</v>
      </c>
      <c r="G64" s="23" t="n">
        <f aca="false">COUNTIF(A타입_제작표!$I$2:$I$799,B64)</f>
        <v>1</v>
      </c>
      <c r="H64" s="23" t="n">
        <f aca="false">COUNTIFS(A타입_제작표!$I$2:$I$799,B64,A타입_제작표!$C$2:$C$799,1)</f>
        <v>0</v>
      </c>
      <c r="I64" s="23" t="n">
        <f aca="false">COUNTIFS(A타입_제작표!$I$2:$I$799,B64,A타입_제작표!$C$2:$C$799,2)</f>
        <v>1</v>
      </c>
      <c r="J64" s="23" t="n">
        <f aca="false">SUMPRODUCT((A타입_제작표!$I$2:$I$799=B64)/COUNTIFS(A타입_제작표!$I$2:$I$799,A타입_제작표!$I$2:$I$799,A타입_제작표!$G$2:$G$799,A타입_제작표!$G$2:$G$799))</f>
        <v>1</v>
      </c>
      <c r="K64" s="23" t="n">
        <f aca="false">ROUND(G64*안내!$C$6/60,1)</f>
        <v>1</v>
      </c>
      <c r="L64" s="23" t="n">
        <f aca="false">_xlfn.MINIFS(A타입_제작표!$A$2:$A$799,A타입_제작표!$I$2:$I$799,B64)</f>
        <v>774</v>
      </c>
      <c r="M64" s="23" t="n">
        <f aca="false">_xlfn.MAXIFS(A타입_제작표!$A$2:$A$799,A타입_제작표!$I$2:$I$799,B64)</f>
        <v>774</v>
      </c>
      <c r="N64" s="24" t="s">
        <v>7864</v>
      </c>
    </row>
    <row r="65" customFormat="false" ht="15" hidden="false" customHeight="false" outlineLevel="0" collapsed="false">
      <c r="A65" s="23" t="n">
        <v>64</v>
      </c>
      <c r="B65" s="23" t="s">
        <v>6847</v>
      </c>
      <c r="C65" s="23" t="s">
        <v>7939</v>
      </c>
      <c r="D65" s="23" t="s">
        <v>4656</v>
      </c>
      <c r="E65" s="23" t="s">
        <v>7934</v>
      </c>
      <c r="F65" s="23" t="n">
        <v>1</v>
      </c>
      <c r="G65" s="23" t="n">
        <f aca="false">COUNTIF(A타입_제작표!$I$2:$I$799,B65)</f>
        <v>1</v>
      </c>
      <c r="H65" s="23" t="n">
        <f aca="false">COUNTIFS(A타입_제작표!$I$2:$I$799,B65,A타입_제작표!$C$2:$C$799,1)</f>
        <v>0</v>
      </c>
      <c r="I65" s="23" t="n">
        <f aca="false">COUNTIFS(A타입_제작표!$I$2:$I$799,B65,A타입_제작표!$C$2:$C$799,2)</f>
        <v>1</v>
      </c>
      <c r="J65" s="23" t="n">
        <f aca="false">SUMPRODUCT((A타입_제작표!$I$2:$I$799=B65)/COUNTIFS(A타입_제작표!$I$2:$I$799,A타입_제작표!$I$2:$I$799,A타입_제작표!$G$2:$G$799,A타입_제작표!$G$2:$G$799))</f>
        <v>1</v>
      </c>
      <c r="K65" s="23" t="n">
        <f aca="false">ROUND(G65*안내!$C$6/60,1)</f>
        <v>1</v>
      </c>
      <c r="L65" s="23" t="n">
        <f aca="false">_xlfn.MINIFS(A타입_제작표!$A$2:$A$799,A타입_제작표!$I$2:$I$799,B65)</f>
        <v>775</v>
      </c>
      <c r="M65" s="23" t="n">
        <f aca="false">_xlfn.MAXIFS(A타입_제작표!$A$2:$A$799,A타입_제작표!$I$2:$I$799,B65)</f>
        <v>775</v>
      </c>
      <c r="N65" s="24" t="s">
        <v>7864</v>
      </c>
    </row>
    <row r="66" customFormat="false" ht="15" hidden="false" customHeight="false" outlineLevel="0" collapsed="false">
      <c r="A66" s="23" t="n">
        <v>65</v>
      </c>
      <c r="B66" s="23" t="s">
        <v>6857</v>
      </c>
      <c r="C66" s="23" t="s">
        <v>7940</v>
      </c>
      <c r="D66" s="23" t="s">
        <v>4656</v>
      </c>
      <c r="E66" s="23" t="s">
        <v>7934</v>
      </c>
      <c r="F66" s="23" t="n">
        <v>1</v>
      </c>
      <c r="G66" s="23" t="n">
        <f aca="false">COUNTIF(A타입_제작표!$I$2:$I$799,B66)</f>
        <v>1</v>
      </c>
      <c r="H66" s="23" t="n">
        <f aca="false">COUNTIFS(A타입_제작표!$I$2:$I$799,B66,A타입_제작표!$C$2:$C$799,1)</f>
        <v>0</v>
      </c>
      <c r="I66" s="23" t="n">
        <f aca="false">COUNTIFS(A타입_제작표!$I$2:$I$799,B66,A타입_제작표!$C$2:$C$799,2)</f>
        <v>1</v>
      </c>
      <c r="J66" s="23" t="n">
        <f aca="false">SUMPRODUCT((A타입_제작표!$I$2:$I$799=B66)/COUNTIFS(A타입_제작표!$I$2:$I$799,A타입_제작표!$I$2:$I$799,A타입_제작표!$G$2:$G$799,A타입_제작표!$G$2:$G$799))</f>
        <v>1</v>
      </c>
      <c r="K66" s="23" t="n">
        <f aca="false">ROUND(G66*안내!$C$6/60,1)</f>
        <v>1</v>
      </c>
      <c r="L66" s="23" t="n">
        <f aca="false">_xlfn.MINIFS(A타입_제작표!$A$2:$A$799,A타입_제작표!$I$2:$I$799,B66)</f>
        <v>776</v>
      </c>
      <c r="M66" s="23" t="n">
        <f aca="false">_xlfn.MAXIFS(A타입_제작표!$A$2:$A$799,A타입_제작표!$I$2:$I$799,B66)</f>
        <v>776</v>
      </c>
      <c r="N66" s="24" t="s">
        <v>7864</v>
      </c>
    </row>
    <row r="67" customFormat="false" ht="15" hidden="false" customHeight="false" outlineLevel="0" collapsed="false">
      <c r="A67" s="23" t="n">
        <v>66</v>
      </c>
      <c r="B67" s="23" t="s">
        <v>6869</v>
      </c>
      <c r="C67" s="23" t="s">
        <v>7941</v>
      </c>
      <c r="D67" s="23" t="s">
        <v>4656</v>
      </c>
      <c r="E67" s="23" t="s">
        <v>7942</v>
      </c>
      <c r="F67" s="23" t="n">
        <v>22</v>
      </c>
      <c r="G67" s="23" t="n">
        <f aca="false">COUNTIF(A타입_제작표!$I$2:$I$799,B67)</f>
        <v>22</v>
      </c>
      <c r="H67" s="23" t="n">
        <f aca="false">COUNTIFS(A타입_제작표!$I$2:$I$799,B67,A타입_제작표!$C$2:$C$799,1)</f>
        <v>6</v>
      </c>
      <c r="I67" s="23" t="n">
        <f aca="false">COUNTIFS(A타입_제작표!$I$2:$I$799,B67,A타입_제작표!$C$2:$C$799,2)</f>
        <v>16</v>
      </c>
      <c r="J67" s="23" t="n">
        <f aca="false">SUMPRODUCT((A타입_제작표!$I$2:$I$799=B67)/COUNTIFS(A타입_제작표!$I$2:$I$799,A타입_제작표!$I$2:$I$799,A타입_제작표!$G$2:$G$799,A타입_제작표!$G$2:$G$799))</f>
        <v>2</v>
      </c>
      <c r="K67" s="23" t="n">
        <f aca="false">ROUND(G67*안내!$C$6/60,1)</f>
        <v>22</v>
      </c>
      <c r="L67" s="23" t="n">
        <f aca="false">_xlfn.MINIFS(A타입_제작표!$A$2:$A$799,A타입_제작표!$I$2:$I$799,B67)</f>
        <v>777</v>
      </c>
      <c r="M67" s="23" t="n">
        <f aca="false">_xlfn.MAXIFS(A타입_제작표!$A$2:$A$799,A타입_제작표!$I$2:$I$799,B67)</f>
        <v>798</v>
      </c>
      <c r="N67" s="24" t="s">
        <v>7864</v>
      </c>
    </row>
    <row r="68" customFormat="false" ht="15" hidden="false" customHeight="false" outlineLevel="0" collapsed="false">
      <c r="A68" s="40"/>
      <c r="B68" s="41" t="s">
        <v>7943</v>
      </c>
      <c r="C68" s="41"/>
      <c r="D68" s="41"/>
      <c r="E68" s="41"/>
      <c r="F68" s="41" t="n">
        <f aca="false">SUM(F2:F67)</f>
        <v>1189</v>
      </c>
      <c r="G68" s="41" t="n">
        <f aca="false">SUM(G2:G67)</f>
        <v>798</v>
      </c>
      <c r="H68" s="41" t="n">
        <f aca="false">SUM(H2:H67)</f>
        <v>286</v>
      </c>
      <c r="I68" s="41" t="n">
        <f aca="false">SUM(I2:I67)</f>
        <v>512</v>
      </c>
      <c r="J68" s="41"/>
      <c r="K68" s="41" t="n">
        <f aca="false">SUM(K2:K67)</f>
        <v>798</v>
      </c>
      <c r="L68" s="41"/>
      <c r="M68" s="41"/>
      <c r="N68" s="4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4" min="3" style="0" width="1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36"/>
    <col collapsed="false" customWidth="true" hidden="false" outlineLevel="0" max="8" min="8" style="0" width="34"/>
    <col collapsed="false" customWidth="true" hidden="false" outlineLevel="0" max="9" min="9" style="0" width="22"/>
    <col collapsed="false" customWidth="true" hidden="false" outlineLevel="0" max="10" min="10" style="0" width="40"/>
    <col collapsed="false" customWidth="true" hidden="false" outlineLevel="0" max="11" min="11" style="0" width="9"/>
  </cols>
  <sheetData>
    <row r="1" customFormat="false" ht="30" hidden="false" customHeight="true" outlineLevel="0" collapsed="false">
      <c r="A1" s="17" t="s">
        <v>7944</v>
      </c>
      <c r="B1" s="16" t="s">
        <v>7945</v>
      </c>
      <c r="C1" s="16" t="s">
        <v>7946</v>
      </c>
      <c r="D1" s="16" t="s">
        <v>7947</v>
      </c>
      <c r="E1" s="16" t="s">
        <v>7948</v>
      </c>
      <c r="F1" s="16" t="s">
        <v>7949</v>
      </c>
      <c r="G1" s="16" t="s">
        <v>7950</v>
      </c>
      <c r="H1" s="16" t="s">
        <v>7951</v>
      </c>
      <c r="I1" s="16" t="s">
        <v>7952</v>
      </c>
      <c r="J1" s="16" t="s">
        <v>7953</v>
      </c>
      <c r="K1" s="16" t="s">
        <v>7954</v>
      </c>
    </row>
    <row r="2" customFormat="false" ht="39.55" hidden="false" customHeight="false" outlineLevel="0" collapsed="false">
      <c r="A2" s="30" t="s">
        <v>7955</v>
      </c>
      <c r="B2" s="24" t="s">
        <v>7956</v>
      </c>
      <c r="C2" s="23" t="s">
        <v>7957</v>
      </c>
      <c r="D2" s="23" t="s">
        <v>7958</v>
      </c>
      <c r="E2" s="24" t="s">
        <v>7959</v>
      </c>
      <c r="F2" s="29" t="s">
        <v>7960</v>
      </c>
      <c r="G2" s="43" t="s">
        <v>7961</v>
      </c>
      <c r="H2" s="43" t="s">
        <v>7962</v>
      </c>
      <c r="I2" s="24" t="s">
        <v>7963</v>
      </c>
      <c r="J2" s="24" t="s">
        <v>7964</v>
      </c>
      <c r="K2" s="23" t="n">
        <f aca="false">COUNTIF(A타입_제작표!$P$2:$P$799,"*"&amp;C2&amp;"*")</f>
        <v>31</v>
      </c>
    </row>
    <row r="3" customFormat="false" ht="39.55" hidden="false" customHeight="false" outlineLevel="0" collapsed="false">
      <c r="A3" s="30" t="s">
        <v>7965</v>
      </c>
      <c r="B3" s="24" t="s">
        <v>7966</v>
      </c>
      <c r="C3" s="23" t="s">
        <v>7967</v>
      </c>
      <c r="D3" s="23" t="s">
        <v>7958</v>
      </c>
      <c r="E3" s="24" t="s">
        <v>7968</v>
      </c>
      <c r="F3" s="24" t="s">
        <v>7969</v>
      </c>
      <c r="G3" s="44" t="s">
        <v>7970</v>
      </c>
      <c r="H3" s="43" t="s">
        <v>7971</v>
      </c>
      <c r="I3" s="24" t="s">
        <v>7972</v>
      </c>
      <c r="J3" s="24" t="s">
        <v>7973</v>
      </c>
      <c r="K3" s="23" t="n">
        <f aca="false">COUNTIF(A타입_제작표!$P$2:$P$799,"*"&amp;C3&amp;"*")</f>
        <v>103</v>
      </c>
    </row>
    <row r="4" customFormat="false" ht="26.85" hidden="false" customHeight="false" outlineLevel="0" collapsed="false">
      <c r="A4" s="30" t="s">
        <v>7974</v>
      </c>
      <c r="B4" s="24" t="s">
        <v>7975</v>
      </c>
      <c r="C4" s="23" t="s">
        <v>7975</v>
      </c>
      <c r="D4" s="23" t="s">
        <v>7958</v>
      </c>
      <c r="E4" s="24" t="s">
        <v>7959</v>
      </c>
      <c r="F4" s="29" t="s">
        <v>7960</v>
      </c>
      <c r="G4" s="43" t="s">
        <v>7961</v>
      </c>
      <c r="H4" s="43" t="s">
        <v>7976</v>
      </c>
      <c r="I4" s="29" t="s">
        <v>7960</v>
      </c>
      <c r="J4" s="24" t="s">
        <v>7977</v>
      </c>
      <c r="K4" s="23" t="n">
        <f aca="false">COUNTIF(A타입_제작표!$P$2:$P$799,"*"&amp;C4&amp;"*")</f>
        <v>1</v>
      </c>
    </row>
    <row r="5" customFormat="false" ht="26.85" hidden="false" customHeight="false" outlineLevel="0" collapsed="false">
      <c r="A5" s="30" t="s">
        <v>7978</v>
      </c>
      <c r="B5" s="24" t="s">
        <v>7979</v>
      </c>
      <c r="C5" s="23" t="s">
        <v>7980</v>
      </c>
      <c r="D5" s="23" t="s">
        <v>7981</v>
      </c>
      <c r="E5" s="24" t="s">
        <v>7959</v>
      </c>
      <c r="F5" s="29" t="s">
        <v>7960</v>
      </c>
      <c r="G5" s="43" t="s">
        <v>7982</v>
      </c>
      <c r="H5" s="43" t="s">
        <v>7983</v>
      </c>
      <c r="I5" s="24" t="s">
        <v>7984</v>
      </c>
      <c r="J5" s="24" t="s">
        <v>7985</v>
      </c>
      <c r="K5" s="23" t="n">
        <f aca="false">COUNTIF(A타입_제작표!$P$2:$P$799,"*"&amp;C5&amp;"*")</f>
        <v>20</v>
      </c>
    </row>
    <row r="6" customFormat="false" ht="26.85" hidden="false" customHeight="false" outlineLevel="0" collapsed="false">
      <c r="A6" s="30" t="s">
        <v>7986</v>
      </c>
      <c r="B6" s="24" t="s">
        <v>7987</v>
      </c>
      <c r="C6" s="23" t="s">
        <v>7988</v>
      </c>
      <c r="D6" s="23" t="s">
        <v>7981</v>
      </c>
      <c r="E6" s="24" t="s">
        <v>7989</v>
      </c>
      <c r="F6" s="29" t="s">
        <v>7960</v>
      </c>
      <c r="G6" s="43" t="s">
        <v>7990</v>
      </c>
      <c r="H6" s="44" t="s">
        <v>7960</v>
      </c>
      <c r="I6" s="24" t="s">
        <v>7991</v>
      </c>
      <c r="J6" s="24" t="s">
        <v>7992</v>
      </c>
      <c r="K6" s="23" t="n">
        <f aca="false">COUNTIF(A타입_제작표!$P$2:$P$799,"*"&amp;C6&amp;"*")</f>
        <v>2</v>
      </c>
    </row>
    <row r="7" customFormat="false" ht="26.85" hidden="false" customHeight="false" outlineLevel="0" collapsed="false">
      <c r="A7" s="30" t="s">
        <v>7993</v>
      </c>
      <c r="B7" s="24" t="s">
        <v>162</v>
      </c>
      <c r="C7" s="23" t="s">
        <v>162</v>
      </c>
      <c r="D7" s="23" t="s">
        <v>116</v>
      </c>
      <c r="E7" s="24" t="s">
        <v>7994</v>
      </c>
      <c r="F7" s="24" t="s">
        <v>7995</v>
      </c>
      <c r="G7" s="43" t="s">
        <v>7996</v>
      </c>
      <c r="H7" s="43" t="s">
        <v>7997</v>
      </c>
      <c r="I7" s="24" t="s">
        <v>7998</v>
      </c>
      <c r="J7" s="24" t="s">
        <v>7999</v>
      </c>
      <c r="K7" s="23" t="n">
        <f aca="false">COUNTIF(A타입_제작표!$P$2:$P$799,"*"&amp;C7&amp;"*")</f>
        <v>10</v>
      </c>
    </row>
    <row r="8" customFormat="false" ht="26.85" hidden="false" customHeight="false" outlineLevel="0" collapsed="false">
      <c r="A8" s="30" t="s">
        <v>8000</v>
      </c>
      <c r="B8" s="24" t="s">
        <v>8001</v>
      </c>
      <c r="C8" s="23" t="s">
        <v>8001</v>
      </c>
      <c r="D8" s="23" t="s">
        <v>116</v>
      </c>
      <c r="E8" s="24" t="s">
        <v>8002</v>
      </c>
      <c r="F8" s="24" t="s">
        <v>8003</v>
      </c>
      <c r="G8" s="43" t="s">
        <v>8004</v>
      </c>
      <c r="H8" s="43" t="s">
        <v>8005</v>
      </c>
      <c r="I8" s="24" t="s">
        <v>8006</v>
      </c>
      <c r="J8" s="24" t="s">
        <v>8007</v>
      </c>
      <c r="K8" s="23" t="n">
        <f aca="false">COUNTIF(A타입_제작표!$P$2:$P$799,"*"&amp;C8&amp;"*")</f>
        <v>6</v>
      </c>
    </row>
    <row r="9" customFormat="false" ht="26.85" hidden="false" customHeight="false" outlineLevel="0" collapsed="false">
      <c r="A9" s="30" t="s">
        <v>8008</v>
      </c>
      <c r="B9" s="24" t="s">
        <v>8009</v>
      </c>
      <c r="C9" s="23" t="s">
        <v>8010</v>
      </c>
      <c r="D9" s="23" t="s">
        <v>116</v>
      </c>
      <c r="E9" s="24" t="s">
        <v>8011</v>
      </c>
      <c r="F9" s="24" t="s">
        <v>8012</v>
      </c>
      <c r="G9" s="43" t="s">
        <v>8013</v>
      </c>
      <c r="H9" s="43" t="s">
        <v>8014</v>
      </c>
      <c r="I9" s="24" t="s">
        <v>8015</v>
      </c>
      <c r="J9" s="24" t="s">
        <v>8016</v>
      </c>
      <c r="K9" s="23" t="n">
        <f aca="false">COUNTIF(A타입_제작표!$P$2:$P$799,"*"&amp;C9&amp;"*")</f>
        <v>2</v>
      </c>
    </row>
    <row r="10" customFormat="false" ht="15" hidden="false" customHeight="false" outlineLevel="0" collapsed="false">
      <c r="A10" s="30" t="s">
        <v>8017</v>
      </c>
      <c r="B10" s="24" t="s">
        <v>252</v>
      </c>
      <c r="C10" s="23" t="s">
        <v>252</v>
      </c>
      <c r="D10" s="23" t="s">
        <v>116</v>
      </c>
      <c r="E10" s="24" t="s">
        <v>8018</v>
      </c>
      <c r="F10" s="29" t="s">
        <v>8019</v>
      </c>
      <c r="G10" s="43" t="s">
        <v>8020</v>
      </c>
      <c r="H10" s="43" t="s">
        <v>8021</v>
      </c>
      <c r="I10" s="24" t="s">
        <v>8022</v>
      </c>
      <c r="J10" s="29" t="s">
        <v>7960</v>
      </c>
      <c r="K10" s="23" t="n">
        <f aca="false">COUNTIF(A타입_제작표!$P$2:$P$799,"*"&amp;C10&amp;"*")</f>
        <v>10</v>
      </c>
    </row>
    <row r="11" customFormat="false" ht="15" hidden="false" customHeight="false" outlineLevel="0" collapsed="false">
      <c r="A11" s="30" t="s">
        <v>8023</v>
      </c>
      <c r="B11" s="24" t="s">
        <v>8024</v>
      </c>
      <c r="C11" s="23" t="s">
        <v>408</v>
      </c>
      <c r="D11" s="23" t="s">
        <v>116</v>
      </c>
      <c r="E11" s="24" t="s">
        <v>8025</v>
      </c>
      <c r="F11" s="29" t="s">
        <v>8026</v>
      </c>
      <c r="G11" s="43" t="s">
        <v>8027</v>
      </c>
      <c r="H11" s="43" t="s">
        <v>8028</v>
      </c>
      <c r="I11" s="24" t="s">
        <v>8029</v>
      </c>
      <c r="J11" s="24" t="s">
        <v>8030</v>
      </c>
      <c r="K11" s="23" t="n">
        <f aca="false">COUNTIF(A타입_제작표!$P$2:$P$799,"*"&amp;C11&amp;"*")</f>
        <v>15</v>
      </c>
    </row>
    <row r="12" customFormat="false" ht="15" hidden="false" customHeight="false" outlineLevel="0" collapsed="false">
      <c r="A12" s="30" t="s">
        <v>8031</v>
      </c>
      <c r="B12" s="24" t="s">
        <v>8032</v>
      </c>
      <c r="C12" s="23" t="s">
        <v>8033</v>
      </c>
      <c r="D12" s="23" t="s">
        <v>116</v>
      </c>
      <c r="E12" s="24" t="s">
        <v>8034</v>
      </c>
      <c r="F12" s="29" t="s">
        <v>8035</v>
      </c>
      <c r="G12" s="43" t="s">
        <v>8036</v>
      </c>
      <c r="H12" s="43" t="s">
        <v>8037</v>
      </c>
      <c r="I12" s="24" t="s">
        <v>8038</v>
      </c>
      <c r="J12" s="29" t="s">
        <v>7960</v>
      </c>
      <c r="K12" s="23" t="n">
        <f aca="false">COUNTIF(A타입_제작표!$P$2:$P$799,"*"&amp;C12&amp;"*")</f>
        <v>4</v>
      </c>
    </row>
    <row r="13" customFormat="false" ht="15" hidden="false" customHeight="false" outlineLevel="0" collapsed="false">
      <c r="A13" s="30" t="s">
        <v>8039</v>
      </c>
      <c r="B13" s="24" t="s">
        <v>8040</v>
      </c>
      <c r="C13" s="23" t="s">
        <v>8040</v>
      </c>
      <c r="D13" s="23" t="s">
        <v>116</v>
      </c>
      <c r="E13" s="24" t="s">
        <v>8041</v>
      </c>
      <c r="F13" s="24" t="s">
        <v>8042</v>
      </c>
      <c r="G13" s="43" t="s">
        <v>8043</v>
      </c>
      <c r="H13" s="43" t="s">
        <v>8044</v>
      </c>
      <c r="I13" s="24" t="s">
        <v>8045</v>
      </c>
      <c r="J13" s="24" t="s">
        <v>8046</v>
      </c>
      <c r="K13" s="23" t="n">
        <f aca="false">COUNTIF(A타입_제작표!$P$2:$P$799,"*"&amp;C13&amp;"*")</f>
        <v>10</v>
      </c>
    </row>
    <row r="14" customFormat="false" ht="15" hidden="false" customHeight="false" outlineLevel="0" collapsed="false">
      <c r="A14" s="30" t="s">
        <v>8047</v>
      </c>
      <c r="B14" s="24" t="s">
        <v>8048</v>
      </c>
      <c r="C14" s="23" t="s">
        <v>8048</v>
      </c>
      <c r="D14" s="23" t="s">
        <v>116</v>
      </c>
      <c r="E14" s="24" t="s">
        <v>8049</v>
      </c>
      <c r="F14" s="24" t="s">
        <v>8050</v>
      </c>
      <c r="G14" s="43" t="s">
        <v>8051</v>
      </c>
      <c r="H14" s="43" t="s">
        <v>8052</v>
      </c>
      <c r="I14" s="24" t="s">
        <v>8053</v>
      </c>
      <c r="J14" s="29" t="s">
        <v>7960</v>
      </c>
      <c r="K14" s="23" t="n">
        <f aca="false">COUNTIF(A타입_제작표!$P$2:$P$799,"*"&amp;C14&amp;"*")</f>
        <v>6</v>
      </c>
    </row>
    <row r="15" customFormat="false" ht="26.85" hidden="false" customHeight="false" outlineLevel="0" collapsed="false">
      <c r="A15" s="30" t="s">
        <v>8054</v>
      </c>
      <c r="B15" s="24" t="s">
        <v>8055</v>
      </c>
      <c r="C15" s="23" t="s">
        <v>8056</v>
      </c>
      <c r="D15" s="23" t="s">
        <v>116</v>
      </c>
      <c r="E15" s="24" t="s">
        <v>8057</v>
      </c>
      <c r="F15" s="24" t="s">
        <v>8058</v>
      </c>
      <c r="G15" s="43" t="s">
        <v>8059</v>
      </c>
      <c r="H15" s="43" t="s">
        <v>8060</v>
      </c>
      <c r="I15" s="24" t="s">
        <v>8061</v>
      </c>
      <c r="J15" s="24" t="s">
        <v>8062</v>
      </c>
      <c r="K15" s="23" t="n">
        <f aca="false">COUNTIF(A타입_제작표!$P$2:$P$799,"*"&amp;C15&amp;"*")</f>
        <v>21</v>
      </c>
    </row>
    <row r="16" customFormat="false" ht="15" hidden="false" customHeight="false" outlineLevel="0" collapsed="false">
      <c r="A16" s="30" t="s">
        <v>8063</v>
      </c>
      <c r="B16" s="24" t="s">
        <v>8064</v>
      </c>
      <c r="C16" s="23" t="s">
        <v>8064</v>
      </c>
      <c r="D16" s="23" t="s">
        <v>116</v>
      </c>
      <c r="E16" s="24" t="s">
        <v>8065</v>
      </c>
      <c r="F16" s="24" t="s">
        <v>8003</v>
      </c>
      <c r="G16" s="43" t="s">
        <v>8066</v>
      </c>
      <c r="H16" s="43" t="s">
        <v>8067</v>
      </c>
      <c r="I16" s="24" t="s">
        <v>8068</v>
      </c>
      <c r="J16" s="29" t="s">
        <v>7960</v>
      </c>
      <c r="K16" s="23" t="n">
        <f aca="false">COUNTIF(A타입_제작표!$P$2:$P$799,"*"&amp;C16&amp;"*")</f>
        <v>7</v>
      </c>
    </row>
    <row r="17" customFormat="false" ht="26.85" hidden="false" customHeight="false" outlineLevel="0" collapsed="false">
      <c r="A17" s="30" t="s">
        <v>8069</v>
      </c>
      <c r="B17" s="24" t="s">
        <v>8070</v>
      </c>
      <c r="C17" s="23" t="s">
        <v>8071</v>
      </c>
      <c r="D17" s="23" t="s">
        <v>116</v>
      </c>
      <c r="E17" s="24" t="s">
        <v>8072</v>
      </c>
      <c r="F17" s="24" t="s">
        <v>8012</v>
      </c>
      <c r="G17" s="43" t="s">
        <v>8073</v>
      </c>
      <c r="H17" s="43" t="s">
        <v>8074</v>
      </c>
      <c r="I17" s="24" t="s">
        <v>8075</v>
      </c>
      <c r="J17" s="24" t="s">
        <v>8076</v>
      </c>
      <c r="K17" s="23" t="n">
        <f aca="false">COUNTIF(A타입_제작표!$P$2:$P$799,"*"&amp;C17&amp;"*")</f>
        <v>4</v>
      </c>
    </row>
    <row r="18" customFormat="false" ht="26.85" hidden="false" customHeight="false" outlineLevel="0" collapsed="false">
      <c r="A18" s="30" t="s">
        <v>8077</v>
      </c>
      <c r="B18" s="24" t="s">
        <v>8078</v>
      </c>
      <c r="C18" s="23" t="s">
        <v>8079</v>
      </c>
      <c r="D18" s="23" t="s">
        <v>116</v>
      </c>
      <c r="E18" s="24" t="s">
        <v>8080</v>
      </c>
      <c r="F18" s="29" t="s">
        <v>8081</v>
      </c>
      <c r="G18" s="44" t="s">
        <v>8082</v>
      </c>
      <c r="H18" s="44" t="s">
        <v>8083</v>
      </c>
      <c r="I18" s="24" t="s">
        <v>8084</v>
      </c>
      <c r="J18" s="24" t="s">
        <v>8085</v>
      </c>
      <c r="K18" s="23" t="n">
        <f aca="false">COUNTIF(A타입_제작표!$P$2:$P$799,"*"&amp;C18&amp;"*")</f>
        <v>23</v>
      </c>
    </row>
    <row r="19" customFormat="false" ht="15" hidden="false" customHeight="false" outlineLevel="0" collapsed="false">
      <c r="A19" s="30" t="s">
        <v>8086</v>
      </c>
      <c r="B19" s="24" t="s">
        <v>8087</v>
      </c>
      <c r="C19" s="23" t="s">
        <v>6863</v>
      </c>
      <c r="D19" s="23" t="s">
        <v>116</v>
      </c>
      <c r="E19" s="24" t="s">
        <v>8080</v>
      </c>
      <c r="F19" s="24" t="s">
        <v>8003</v>
      </c>
      <c r="G19" s="43" t="s">
        <v>8088</v>
      </c>
      <c r="H19" s="43" t="s">
        <v>8089</v>
      </c>
      <c r="I19" s="24" t="s">
        <v>8090</v>
      </c>
      <c r="J19" s="24" t="s">
        <v>8091</v>
      </c>
      <c r="K19" s="23" t="n">
        <f aca="false">COUNTIF(A타입_제작표!$P$2:$P$799,"*"&amp;C19&amp;"*")</f>
        <v>14</v>
      </c>
    </row>
    <row r="20" customFormat="false" ht="26.85" hidden="false" customHeight="false" outlineLevel="0" collapsed="false">
      <c r="A20" s="30" t="s">
        <v>8092</v>
      </c>
      <c r="B20" s="24" t="s">
        <v>1107</v>
      </c>
      <c r="C20" s="23" t="s">
        <v>1107</v>
      </c>
      <c r="D20" s="23" t="s">
        <v>116</v>
      </c>
      <c r="E20" s="24" t="s">
        <v>8093</v>
      </c>
      <c r="F20" s="24" t="s">
        <v>8094</v>
      </c>
      <c r="G20" s="44" t="s">
        <v>8095</v>
      </c>
      <c r="H20" s="43" t="s">
        <v>8096</v>
      </c>
      <c r="I20" s="24" t="s">
        <v>8097</v>
      </c>
      <c r="J20" s="24" t="s">
        <v>8098</v>
      </c>
      <c r="K20" s="23" t="n">
        <f aca="false">COUNTIF(A타입_제작표!$P$2:$P$799,"*"&amp;C20&amp;"*")</f>
        <v>74</v>
      </c>
    </row>
    <row r="21" customFormat="false" ht="15" hidden="false" customHeight="false" outlineLevel="0" collapsed="false">
      <c r="A21" s="30" t="s">
        <v>8099</v>
      </c>
      <c r="B21" s="24" t="s">
        <v>8100</v>
      </c>
      <c r="C21" s="23" t="s">
        <v>8100</v>
      </c>
      <c r="D21" s="23" t="s">
        <v>116</v>
      </c>
      <c r="E21" s="24" t="s">
        <v>8101</v>
      </c>
      <c r="F21" s="29" t="s">
        <v>8102</v>
      </c>
      <c r="G21" s="43" t="s">
        <v>8103</v>
      </c>
      <c r="H21" s="43" t="s">
        <v>8104</v>
      </c>
      <c r="I21" s="24" t="s">
        <v>8105</v>
      </c>
      <c r="J21" s="24" t="s">
        <v>8106</v>
      </c>
      <c r="K21" s="23" t="n">
        <f aca="false">COUNTIF(A타입_제작표!$P$2:$P$799,"*"&amp;C21&amp;"*")</f>
        <v>22</v>
      </c>
    </row>
    <row r="22" customFormat="false" ht="15" hidden="false" customHeight="false" outlineLevel="0" collapsed="false">
      <c r="A22" s="30" t="s">
        <v>8107</v>
      </c>
      <c r="B22" s="24" t="s">
        <v>8108</v>
      </c>
      <c r="C22" s="23" t="s">
        <v>8108</v>
      </c>
      <c r="D22" s="23" t="s">
        <v>116</v>
      </c>
      <c r="E22" s="24" t="s">
        <v>8109</v>
      </c>
      <c r="F22" s="24" t="s">
        <v>8110</v>
      </c>
      <c r="G22" s="43" t="s">
        <v>8111</v>
      </c>
      <c r="H22" s="43" t="s">
        <v>8112</v>
      </c>
      <c r="I22" s="24" t="s">
        <v>8113</v>
      </c>
      <c r="J22" s="29" t="s">
        <v>7960</v>
      </c>
      <c r="K22" s="23" t="n">
        <f aca="false">COUNTIF(A타입_제작표!$P$2:$P$799,"*"&amp;C22&amp;"*")</f>
        <v>3</v>
      </c>
    </row>
    <row r="23" customFormat="false" ht="26.85" hidden="false" customHeight="false" outlineLevel="0" collapsed="false">
      <c r="A23" s="30" t="s">
        <v>8114</v>
      </c>
      <c r="B23" s="24" t="s">
        <v>8115</v>
      </c>
      <c r="C23" s="23" t="s">
        <v>8116</v>
      </c>
      <c r="D23" s="23" t="s">
        <v>116</v>
      </c>
      <c r="E23" s="24" t="s">
        <v>8117</v>
      </c>
      <c r="F23" s="24" t="s">
        <v>8118</v>
      </c>
      <c r="G23" s="43" t="s">
        <v>8119</v>
      </c>
      <c r="H23" s="43" t="s">
        <v>8120</v>
      </c>
      <c r="I23" s="24" t="s">
        <v>8121</v>
      </c>
      <c r="J23" s="24" t="s">
        <v>8122</v>
      </c>
      <c r="K23" s="23" t="n">
        <f aca="false">COUNTIF(A타입_제작표!$P$2:$P$799,"*"&amp;C23&amp;"*")</f>
        <v>17</v>
      </c>
    </row>
    <row r="24" customFormat="false" ht="15" hidden="false" customHeight="false" outlineLevel="0" collapsed="false">
      <c r="A24" s="30" t="s">
        <v>8123</v>
      </c>
      <c r="B24" s="24" t="s">
        <v>1591</v>
      </c>
      <c r="C24" s="23" t="s">
        <v>1591</v>
      </c>
      <c r="D24" s="23" t="s">
        <v>116</v>
      </c>
      <c r="E24" s="24" t="s">
        <v>8124</v>
      </c>
      <c r="F24" s="24" t="s">
        <v>8125</v>
      </c>
      <c r="G24" s="43" t="s">
        <v>8126</v>
      </c>
      <c r="H24" s="43" t="s">
        <v>8127</v>
      </c>
      <c r="I24" s="24" t="s">
        <v>8128</v>
      </c>
      <c r="J24" s="24" t="s">
        <v>1419</v>
      </c>
      <c r="K24" s="23" t="n">
        <f aca="false">COUNTIF(A타입_제작표!$P$2:$P$799,"*"&amp;C24&amp;"*")</f>
        <v>21</v>
      </c>
    </row>
    <row r="25" customFormat="false" ht="15" hidden="false" customHeight="false" outlineLevel="0" collapsed="false">
      <c r="A25" s="30" t="s">
        <v>8129</v>
      </c>
      <c r="B25" s="24" t="s">
        <v>8130</v>
      </c>
      <c r="C25" s="23" t="s">
        <v>8130</v>
      </c>
      <c r="D25" s="23" t="s">
        <v>116</v>
      </c>
      <c r="E25" s="24" t="s">
        <v>8131</v>
      </c>
      <c r="F25" s="29" t="s">
        <v>8132</v>
      </c>
      <c r="G25" s="44" t="s">
        <v>8133</v>
      </c>
      <c r="H25" s="43" t="s">
        <v>8134</v>
      </c>
      <c r="I25" s="24" t="s">
        <v>8135</v>
      </c>
      <c r="J25" s="29" t="s">
        <v>7960</v>
      </c>
      <c r="K25" s="23" t="n">
        <f aca="false">COUNTIF(A타입_제작표!$P$2:$P$799,"*"&amp;C25&amp;"*")</f>
        <v>3</v>
      </c>
    </row>
    <row r="26" customFormat="false" ht="15" hidden="false" customHeight="false" outlineLevel="0" collapsed="false">
      <c r="A26" s="30" t="s">
        <v>8136</v>
      </c>
      <c r="B26" s="24" t="s">
        <v>8137</v>
      </c>
      <c r="C26" s="23" t="s">
        <v>8137</v>
      </c>
      <c r="D26" s="23" t="s">
        <v>116</v>
      </c>
      <c r="E26" s="24" t="s">
        <v>8138</v>
      </c>
      <c r="F26" s="24" t="s">
        <v>8012</v>
      </c>
      <c r="G26" s="43" t="s">
        <v>8139</v>
      </c>
      <c r="H26" s="43" t="s">
        <v>8140</v>
      </c>
      <c r="I26" s="24" t="s">
        <v>8141</v>
      </c>
      <c r="J26" s="24" t="s">
        <v>8142</v>
      </c>
      <c r="K26" s="23" t="n">
        <f aca="false">COUNTIF(A타입_제작표!$P$2:$P$799,"*"&amp;C26&amp;"*")</f>
        <v>5</v>
      </c>
    </row>
    <row r="27" customFormat="false" ht="15" hidden="false" customHeight="false" outlineLevel="0" collapsed="false">
      <c r="A27" s="30" t="s">
        <v>8143</v>
      </c>
      <c r="B27" s="24" t="s">
        <v>8144</v>
      </c>
      <c r="C27" s="23" t="s">
        <v>8144</v>
      </c>
      <c r="D27" s="23" t="s">
        <v>116</v>
      </c>
      <c r="E27" s="24" t="s">
        <v>8145</v>
      </c>
      <c r="F27" s="24" t="s">
        <v>8118</v>
      </c>
      <c r="G27" s="43" t="s">
        <v>8146</v>
      </c>
      <c r="H27" s="43" t="s">
        <v>8147</v>
      </c>
      <c r="I27" s="24" t="s">
        <v>8148</v>
      </c>
      <c r="J27" s="29" t="s">
        <v>7960</v>
      </c>
      <c r="K27" s="23" t="n">
        <f aca="false">COUNTIF(A타입_제작표!$P$2:$P$799,"*"&amp;C27&amp;"*")</f>
        <v>2</v>
      </c>
    </row>
    <row r="28" customFormat="false" ht="15" hidden="false" customHeight="false" outlineLevel="0" collapsed="false">
      <c r="A28" s="30" t="s">
        <v>8149</v>
      </c>
      <c r="B28" s="24" t="s">
        <v>1792</v>
      </c>
      <c r="C28" s="23" t="s">
        <v>1792</v>
      </c>
      <c r="D28" s="23" t="s">
        <v>116</v>
      </c>
      <c r="E28" s="24" t="s">
        <v>8150</v>
      </c>
      <c r="F28" s="24" t="s">
        <v>8012</v>
      </c>
      <c r="G28" s="43" t="s">
        <v>8151</v>
      </c>
      <c r="H28" s="43" t="s">
        <v>8152</v>
      </c>
      <c r="I28" s="24" t="s">
        <v>8153</v>
      </c>
      <c r="J28" s="29" t="s">
        <v>7960</v>
      </c>
      <c r="K28" s="23" t="n">
        <f aca="false">COUNTIF(A타입_제작표!$P$2:$P$799,"*"&amp;C28&amp;"*")</f>
        <v>4</v>
      </c>
    </row>
    <row r="29" customFormat="false" ht="15" hidden="false" customHeight="false" outlineLevel="0" collapsed="false">
      <c r="A29" s="30" t="s">
        <v>8154</v>
      </c>
      <c r="B29" s="24" t="s">
        <v>8155</v>
      </c>
      <c r="C29" s="23" t="s">
        <v>8155</v>
      </c>
      <c r="D29" s="23" t="s">
        <v>116</v>
      </c>
      <c r="E29" s="24" t="s">
        <v>8156</v>
      </c>
      <c r="F29" s="24" t="s">
        <v>8012</v>
      </c>
      <c r="G29" s="43" t="s">
        <v>8157</v>
      </c>
      <c r="H29" s="43" t="s">
        <v>8158</v>
      </c>
      <c r="I29" s="24" t="s">
        <v>8159</v>
      </c>
      <c r="J29" s="24" t="s">
        <v>8160</v>
      </c>
      <c r="K29" s="23" t="n">
        <f aca="false">COUNTIF(A타입_제작표!$P$2:$P$799,"*"&amp;C29&amp;"*")</f>
        <v>4</v>
      </c>
    </row>
    <row r="30" customFormat="false" ht="26.85" hidden="false" customHeight="false" outlineLevel="0" collapsed="false">
      <c r="A30" s="30" t="s">
        <v>8161</v>
      </c>
      <c r="B30" s="24" t="s">
        <v>8162</v>
      </c>
      <c r="C30" s="23" t="s">
        <v>7872</v>
      </c>
      <c r="D30" s="23" t="s">
        <v>116</v>
      </c>
      <c r="E30" s="24" t="s">
        <v>1915</v>
      </c>
      <c r="F30" s="24" t="s">
        <v>8163</v>
      </c>
      <c r="G30" s="43" t="s">
        <v>8164</v>
      </c>
      <c r="H30" s="43" t="s">
        <v>8165</v>
      </c>
      <c r="I30" s="24" t="s">
        <v>8166</v>
      </c>
      <c r="J30" s="29" t="s">
        <v>7960</v>
      </c>
      <c r="K30" s="23" t="n">
        <f aca="false">COUNTIF(A타입_제작표!$P$2:$P$799,"*"&amp;C30&amp;"*")</f>
        <v>5</v>
      </c>
    </row>
    <row r="31" customFormat="false" ht="15" hidden="false" customHeight="false" outlineLevel="0" collapsed="false">
      <c r="A31" s="30" t="s">
        <v>8167</v>
      </c>
      <c r="B31" s="24" t="s">
        <v>8168</v>
      </c>
      <c r="C31" s="23" t="s">
        <v>8168</v>
      </c>
      <c r="D31" s="23" t="s">
        <v>116</v>
      </c>
      <c r="E31" s="24" t="s">
        <v>1915</v>
      </c>
      <c r="F31" s="24" t="s">
        <v>8118</v>
      </c>
      <c r="G31" s="43" t="s">
        <v>8169</v>
      </c>
      <c r="H31" s="43" t="s">
        <v>8170</v>
      </c>
      <c r="I31" s="24" t="s">
        <v>8171</v>
      </c>
      <c r="J31" s="29" t="s">
        <v>7960</v>
      </c>
      <c r="K31" s="23" t="n">
        <f aca="false">COUNTIF(A타입_제작표!$P$2:$P$799,"*"&amp;C31&amp;"*")</f>
        <v>4</v>
      </c>
    </row>
    <row r="32" customFormat="false" ht="15" hidden="false" customHeight="false" outlineLevel="0" collapsed="false">
      <c r="A32" s="30" t="s">
        <v>8172</v>
      </c>
      <c r="B32" s="24" t="s">
        <v>8173</v>
      </c>
      <c r="C32" s="23" t="s">
        <v>8173</v>
      </c>
      <c r="D32" s="23" t="s">
        <v>116</v>
      </c>
      <c r="E32" s="24" t="s">
        <v>8174</v>
      </c>
      <c r="F32" s="24" t="s">
        <v>8012</v>
      </c>
      <c r="G32" s="43" t="s">
        <v>8175</v>
      </c>
      <c r="H32" s="43" t="s">
        <v>8176</v>
      </c>
      <c r="I32" s="24" t="s">
        <v>8177</v>
      </c>
      <c r="J32" s="29" t="s">
        <v>7960</v>
      </c>
      <c r="K32" s="23" t="n">
        <f aca="false">COUNTIF(A타입_제작표!$P$2:$P$799,"*"&amp;C32&amp;"*")</f>
        <v>2</v>
      </c>
    </row>
    <row r="33" customFormat="false" ht="15" hidden="false" customHeight="false" outlineLevel="0" collapsed="false">
      <c r="A33" s="30" t="s">
        <v>8178</v>
      </c>
      <c r="B33" s="24" t="s">
        <v>8179</v>
      </c>
      <c r="C33" s="23" t="s">
        <v>8179</v>
      </c>
      <c r="D33" s="23" t="s">
        <v>116</v>
      </c>
      <c r="E33" s="24" t="s">
        <v>8180</v>
      </c>
      <c r="F33" s="24" t="s">
        <v>8042</v>
      </c>
      <c r="G33" s="43" t="s">
        <v>8181</v>
      </c>
      <c r="H33" s="43" t="s">
        <v>8182</v>
      </c>
      <c r="I33" s="24" t="s">
        <v>8183</v>
      </c>
      <c r="J33" s="24" t="s">
        <v>8184</v>
      </c>
      <c r="K33" s="23" t="n">
        <f aca="false">COUNTIF(A타입_제작표!$P$2:$P$799,"*"&amp;C33&amp;"*")</f>
        <v>9</v>
      </c>
    </row>
    <row r="34" customFormat="false" ht="15" hidden="false" customHeight="false" outlineLevel="0" collapsed="false">
      <c r="A34" s="30" t="s">
        <v>8185</v>
      </c>
      <c r="B34" s="24" t="s">
        <v>8186</v>
      </c>
      <c r="C34" s="23" t="s">
        <v>8186</v>
      </c>
      <c r="D34" s="23" t="s">
        <v>116</v>
      </c>
      <c r="E34" s="24" t="s">
        <v>8187</v>
      </c>
      <c r="F34" s="24" t="s">
        <v>8003</v>
      </c>
      <c r="G34" s="43" t="s">
        <v>8188</v>
      </c>
      <c r="H34" s="43" t="s">
        <v>8189</v>
      </c>
      <c r="I34" s="24" t="s">
        <v>8190</v>
      </c>
      <c r="J34" s="24" t="s">
        <v>8191</v>
      </c>
      <c r="K34" s="23" t="n">
        <f aca="false">COUNTIF(A타입_제작표!$P$2:$P$799,"*"&amp;C34&amp;"*")</f>
        <v>20</v>
      </c>
    </row>
    <row r="35" customFormat="false" ht="26.85" hidden="false" customHeight="false" outlineLevel="0" collapsed="false">
      <c r="A35" s="30" t="s">
        <v>8192</v>
      </c>
      <c r="B35" s="24" t="s">
        <v>3344</v>
      </c>
      <c r="C35" s="23" t="s">
        <v>3344</v>
      </c>
      <c r="D35" s="23" t="s">
        <v>116</v>
      </c>
      <c r="E35" s="24" t="s">
        <v>8193</v>
      </c>
      <c r="F35" s="24" t="s">
        <v>8194</v>
      </c>
      <c r="G35" s="43" t="s">
        <v>8195</v>
      </c>
      <c r="H35" s="43" t="s">
        <v>8196</v>
      </c>
      <c r="I35" s="24" t="s">
        <v>8197</v>
      </c>
      <c r="J35" s="24" t="s">
        <v>8198</v>
      </c>
      <c r="K35" s="23" t="n">
        <f aca="false">COUNTIF(A타입_제작표!$P$2:$P$799,"*"&amp;C35&amp;"*")</f>
        <v>53</v>
      </c>
    </row>
    <row r="36" customFormat="false" ht="15" hidden="false" customHeight="false" outlineLevel="0" collapsed="false">
      <c r="A36" s="30" t="s">
        <v>8199</v>
      </c>
      <c r="B36" s="24" t="s">
        <v>8200</v>
      </c>
      <c r="C36" s="23" t="s">
        <v>8200</v>
      </c>
      <c r="D36" s="23" t="s">
        <v>116</v>
      </c>
      <c r="E36" s="24" t="s">
        <v>8201</v>
      </c>
      <c r="F36" s="24" t="s">
        <v>8012</v>
      </c>
      <c r="G36" s="43" t="s">
        <v>8202</v>
      </c>
      <c r="H36" s="43" t="s">
        <v>8203</v>
      </c>
      <c r="I36" s="24" t="s">
        <v>8204</v>
      </c>
      <c r="J36" s="29" t="s">
        <v>7960</v>
      </c>
      <c r="K36" s="23" t="n">
        <f aca="false">COUNTIF(A타입_제작표!$P$2:$P$799,"*"&amp;C36&amp;"*")</f>
        <v>5</v>
      </c>
    </row>
    <row r="37" customFormat="false" ht="15" hidden="false" customHeight="false" outlineLevel="0" collapsed="false">
      <c r="A37" s="30" t="s">
        <v>8205</v>
      </c>
      <c r="B37" s="24" t="s">
        <v>8206</v>
      </c>
      <c r="C37" s="23" t="s">
        <v>8206</v>
      </c>
      <c r="D37" s="23" t="s">
        <v>116</v>
      </c>
      <c r="E37" s="24" t="s">
        <v>8207</v>
      </c>
      <c r="F37" s="24" t="s">
        <v>8118</v>
      </c>
      <c r="G37" s="43" t="s">
        <v>8208</v>
      </c>
      <c r="H37" s="43" t="s">
        <v>8209</v>
      </c>
      <c r="I37" s="24" t="s">
        <v>8210</v>
      </c>
      <c r="J37" s="24" t="s">
        <v>8211</v>
      </c>
      <c r="K37" s="23" t="n">
        <f aca="false">COUNTIF(A타입_제작표!$P$2:$P$799,"*"&amp;C37&amp;"*")</f>
        <v>2</v>
      </c>
    </row>
    <row r="38" customFormat="false" ht="15" hidden="false" customHeight="false" outlineLevel="0" collapsed="false">
      <c r="A38" s="30" t="s">
        <v>8212</v>
      </c>
      <c r="B38" s="24" t="s">
        <v>2437</v>
      </c>
      <c r="C38" s="23" t="s">
        <v>2437</v>
      </c>
      <c r="D38" s="23" t="s">
        <v>116</v>
      </c>
      <c r="E38" s="24" t="s">
        <v>8213</v>
      </c>
      <c r="F38" s="24" t="s">
        <v>7995</v>
      </c>
      <c r="G38" s="43" t="s">
        <v>8214</v>
      </c>
      <c r="H38" s="43" t="s">
        <v>8215</v>
      </c>
      <c r="I38" s="24" t="s">
        <v>8216</v>
      </c>
      <c r="J38" s="29" t="s">
        <v>7960</v>
      </c>
      <c r="K38" s="23" t="n">
        <f aca="false">COUNTIF(A타입_제작표!$P$2:$P$799,"*"&amp;C38&amp;"*")</f>
        <v>14</v>
      </c>
    </row>
    <row r="39" customFormat="false" ht="15" hidden="false" customHeight="false" outlineLevel="0" collapsed="false">
      <c r="A39" s="30" t="s">
        <v>8217</v>
      </c>
      <c r="B39" s="24" t="s">
        <v>8218</v>
      </c>
      <c r="C39" s="23" t="s">
        <v>8218</v>
      </c>
      <c r="D39" s="23" t="s">
        <v>116</v>
      </c>
      <c r="E39" s="24" t="s">
        <v>8219</v>
      </c>
      <c r="F39" s="24" t="s">
        <v>8118</v>
      </c>
      <c r="G39" s="43" t="s">
        <v>8220</v>
      </c>
      <c r="H39" s="43" t="s">
        <v>8221</v>
      </c>
      <c r="I39" s="24" t="s">
        <v>8222</v>
      </c>
      <c r="J39" s="24" t="s">
        <v>8223</v>
      </c>
      <c r="K39" s="23" t="n">
        <f aca="false">COUNTIF(A타입_제작표!$P$2:$P$799,"*"&amp;C39&amp;"*")</f>
        <v>11</v>
      </c>
    </row>
    <row r="40" customFormat="false" ht="15" hidden="false" customHeight="false" outlineLevel="0" collapsed="false">
      <c r="A40" s="30" t="s">
        <v>8224</v>
      </c>
      <c r="B40" s="24" t="s">
        <v>8225</v>
      </c>
      <c r="C40" s="23" t="s">
        <v>8225</v>
      </c>
      <c r="D40" s="23" t="s">
        <v>116</v>
      </c>
      <c r="E40" s="24" t="s">
        <v>8226</v>
      </c>
      <c r="F40" s="24" t="s">
        <v>7995</v>
      </c>
      <c r="G40" s="43" t="s">
        <v>8227</v>
      </c>
      <c r="H40" s="43" t="s">
        <v>8228</v>
      </c>
      <c r="I40" s="24" t="s">
        <v>8229</v>
      </c>
      <c r="J40" s="24" t="s">
        <v>8230</v>
      </c>
      <c r="K40" s="23" t="n">
        <f aca="false">COUNTIF(A타입_제작표!$P$2:$P$799,"*"&amp;C40&amp;"*")</f>
        <v>16</v>
      </c>
    </row>
    <row r="41" customFormat="false" ht="15" hidden="false" customHeight="false" outlineLevel="0" collapsed="false">
      <c r="A41" s="30" t="s">
        <v>8231</v>
      </c>
      <c r="B41" s="24" t="s">
        <v>8232</v>
      </c>
      <c r="C41" s="23" t="s">
        <v>8232</v>
      </c>
      <c r="D41" s="23" t="s">
        <v>116</v>
      </c>
      <c r="E41" s="24" t="s">
        <v>8233</v>
      </c>
      <c r="F41" s="24" t="s">
        <v>8118</v>
      </c>
      <c r="G41" s="43" t="s">
        <v>8234</v>
      </c>
      <c r="H41" s="43" t="s">
        <v>8235</v>
      </c>
      <c r="I41" s="24" t="s">
        <v>8236</v>
      </c>
      <c r="J41" s="24" t="s">
        <v>8237</v>
      </c>
      <c r="K41" s="23" t="n">
        <f aca="false">COUNTIF(A타입_제작표!$P$2:$P$799,"*"&amp;C41&amp;"*")</f>
        <v>2</v>
      </c>
    </row>
    <row r="42" customFormat="false" ht="15" hidden="false" customHeight="false" outlineLevel="0" collapsed="false">
      <c r="A42" s="30" t="s">
        <v>8238</v>
      </c>
      <c r="B42" s="24" t="s">
        <v>8239</v>
      </c>
      <c r="C42" s="23" t="s">
        <v>8240</v>
      </c>
      <c r="D42" s="23" t="s">
        <v>116</v>
      </c>
      <c r="E42" s="24" t="s">
        <v>8241</v>
      </c>
      <c r="F42" s="24" t="s">
        <v>8003</v>
      </c>
      <c r="G42" s="43" t="s">
        <v>8242</v>
      </c>
      <c r="H42" s="43" t="s">
        <v>8243</v>
      </c>
      <c r="I42" s="24" t="s">
        <v>8244</v>
      </c>
      <c r="J42" s="29" t="s">
        <v>7960</v>
      </c>
      <c r="K42" s="23" t="n">
        <f aca="false">COUNTIF(A타입_제작표!$P$2:$P$799,"*"&amp;C42&amp;"*")</f>
        <v>6</v>
      </c>
    </row>
    <row r="43" customFormat="false" ht="15" hidden="false" customHeight="false" outlineLevel="0" collapsed="false">
      <c r="A43" s="30" t="s">
        <v>8245</v>
      </c>
      <c r="B43" s="24" t="s">
        <v>3720</v>
      </c>
      <c r="C43" s="23" t="s">
        <v>3720</v>
      </c>
      <c r="D43" s="23" t="s">
        <v>116</v>
      </c>
      <c r="E43" s="24" t="s">
        <v>8246</v>
      </c>
      <c r="F43" s="24" t="s">
        <v>8118</v>
      </c>
      <c r="G43" s="43" t="s">
        <v>8247</v>
      </c>
      <c r="H43" s="43" t="s">
        <v>8248</v>
      </c>
      <c r="I43" s="24" t="s">
        <v>8249</v>
      </c>
      <c r="J43" s="29" t="s">
        <v>7960</v>
      </c>
      <c r="K43" s="23" t="n">
        <f aca="false">COUNTIF(A타입_제작표!$P$2:$P$799,"*"&amp;C43&amp;"*")</f>
        <v>23</v>
      </c>
    </row>
    <row r="44" customFormat="false" ht="15" hidden="false" customHeight="false" outlineLevel="0" collapsed="false">
      <c r="A44" s="30" t="s">
        <v>8250</v>
      </c>
      <c r="B44" s="24" t="s">
        <v>3940</v>
      </c>
      <c r="C44" s="23" t="s">
        <v>3940</v>
      </c>
      <c r="D44" s="23" t="s">
        <v>116</v>
      </c>
      <c r="E44" s="24" t="s">
        <v>8251</v>
      </c>
      <c r="F44" s="24" t="s">
        <v>7995</v>
      </c>
      <c r="G44" s="43" t="s">
        <v>8252</v>
      </c>
      <c r="H44" s="43" t="s">
        <v>8253</v>
      </c>
      <c r="I44" s="24" t="s">
        <v>8254</v>
      </c>
      <c r="J44" s="29" t="s">
        <v>7960</v>
      </c>
      <c r="K44" s="23" t="n">
        <f aca="false">COUNTIF(A타입_제작표!$P$2:$P$799,"*"&amp;C44&amp;"*")</f>
        <v>20</v>
      </c>
    </row>
    <row r="45" customFormat="false" ht="15" hidden="false" customHeight="false" outlineLevel="0" collapsed="false">
      <c r="A45" s="30" t="s">
        <v>8255</v>
      </c>
      <c r="B45" s="24" t="s">
        <v>4137</v>
      </c>
      <c r="C45" s="23" t="s">
        <v>4137</v>
      </c>
      <c r="D45" s="23" t="s">
        <v>116</v>
      </c>
      <c r="E45" s="24" t="s">
        <v>4137</v>
      </c>
      <c r="F45" s="29" t="s">
        <v>8256</v>
      </c>
      <c r="G45" s="43" t="s">
        <v>8257</v>
      </c>
      <c r="H45" s="43" t="s">
        <v>8258</v>
      </c>
      <c r="I45" s="24" t="s">
        <v>8259</v>
      </c>
      <c r="J45" s="24" t="s">
        <v>8260</v>
      </c>
      <c r="K45" s="23" t="n">
        <f aca="false">COUNTIF(A타입_제작표!$P$2:$P$799,"*"&amp;C45&amp;"*")</f>
        <v>14</v>
      </c>
    </row>
    <row r="46" customFormat="false" ht="15" hidden="false" customHeight="false" outlineLevel="0" collapsed="false">
      <c r="A46" s="30" t="s">
        <v>8261</v>
      </c>
      <c r="B46" s="24" t="s">
        <v>4250</v>
      </c>
      <c r="C46" s="23" t="s">
        <v>4250</v>
      </c>
      <c r="D46" s="23" t="s">
        <v>116</v>
      </c>
      <c r="E46" s="24" t="s">
        <v>4250</v>
      </c>
      <c r="F46" s="29" t="s">
        <v>8262</v>
      </c>
      <c r="G46" s="43" t="s">
        <v>8263</v>
      </c>
      <c r="H46" s="43" t="s">
        <v>8264</v>
      </c>
      <c r="I46" s="24" t="s">
        <v>8265</v>
      </c>
      <c r="J46" s="24" t="s">
        <v>8266</v>
      </c>
      <c r="K46" s="23" t="n">
        <f aca="false">COUNTIF(A타입_제작표!$P$2:$P$799,"*"&amp;C46&amp;"*")</f>
        <v>11</v>
      </c>
    </row>
    <row r="47" customFormat="false" ht="15" hidden="false" customHeight="false" outlineLevel="0" collapsed="false">
      <c r="A47" s="30" t="s">
        <v>8267</v>
      </c>
      <c r="B47" s="24" t="s">
        <v>8268</v>
      </c>
      <c r="C47" s="23" t="s">
        <v>8269</v>
      </c>
      <c r="D47" s="23" t="s">
        <v>116</v>
      </c>
      <c r="E47" s="24" t="s">
        <v>8270</v>
      </c>
      <c r="F47" s="24" t="s">
        <v>8012</v>
      </c>
      <c r="G47" s="43" t="s">
        <v>8271</v>
      </c>
      <c r="H47" s="43" t="s">
        <v>8272</v>
      </c>
      <c r="I47" s="24" t="s">
        <v>8273</v>
      </c>
      <c r="J47" s="24" t="s">
        <v>8274</v>
      </c>
      <c r="K47" s="23" t="n">
        <f aca="false">COUNTIF(A타입_제작표!$P$2:$P$799,"*"&amp;C47&amp;"*")</f>
        <v>2</v>
      </c>
    </row>
    <row r="48" customFormat="false" ht="15" hidden="false" customHeight="false" outlineLevel="0" collapsed="false">
      <c r="A48" s="30" t="s">
        <v>8275</v>
      </c>
      <c r="B48" s="24" t="s">
        <v>8276</v>
      </c>
      <c r="C48" s="23" t="s">
        <v>8276</v>
      </c>
      <c r="D48" s="23" t="s">
        <v>116</v>
      </c>
      <c r="E48" s="24" t="s">
        <v>8277</v>
      </c>
      <c r="F48" s="24" t="s">
        <v>8118</v>
      </c>
      <c r="G48" s="43" t="s">
        <v>8278</v>
      </c>
      <c r="H48" s="43" t="s">
        <v>8279</v>
      </c>
      <c r="I48" s="24" t="s">
        <v>8236</v>
      </c>
      <c r="J48" s="29" t="s">
        <v>7960</v>
      </c>
      <c r="K48" s="23" t="n">
        <f aca="false">COUNTIF(A타입_제작표!$P$2:$P$799,"*"&amp;C48&amp;"*")</f>
        <v>9</v>
      </c>
    </row>
    <row r="49" customFormat="false" ht="15" hidden="false" customHeight="false" outlineLevel="0" collapsed="false">
      <c r="A49" s="30" t="s">
        <v>8280</v>
      </c>
      <c r="B49" s="24" t="s">
        <v>3130</v>
      </c>
      <c r="C49" s="23" t="s">
        <v>3130</v>
      </c>
      <c r="D49" s="23" t="s">
        <v>116</v>
      </c>
      <c r="E49" s="24" t="s">
        <v>3130</v>
      </c>
      <c r="F49" s="24" t="s">
        <v>8012</v>
      </c>
      <c r="G49" s="43" t="s">
        <v>8281</v>
      </c>
      <c r="H49" s="43" t="s">
        <v>8282</v>
      </c>
      <c r="I49" s="24" t="s">
        <v>8283</v>
      </c>
      <c r="J49" s="24" t="s">
        <v>8284</v>
      </c>
      <c r="K49" s="23" t="n">
        <f aca="false">COUNTIF(A타입_제작표!$P$2:$P$799,"*"&amp;C49&amp;"*")</f>
        <v>7</v>
      </c>
    </row>
    <row r="50" customFormat="false" ht="26.85" hidden="false" customHeight="false" outlineLevel="0" collapsed="false">
      <c r="A50" s="30" t="s">
        <v>8285</v>
      </c>
      <c r="B50" s="24" t="s">
        <v>8286</v>
      </c>
      <c r="C50" s="23" t="s">
        <v>8287</v>
      </c>
      <c r="D50" s="23" t="s">
        <v>116</v>
      </c>
      <c r="E50" s="24" t="s">
        <v>3130</v>
      </c>
      <c r="F50" s="24" t="s">
        <v>8118</v>
      </c>
      <c r="G50" s="43" t="s">
        <v>8288</v>
      </c>
      <c r="H50" s="43" t="s">
        <v>8289</v>
      </c>
      <c r="I50" s="24" t="s">
        <v>8290</v>
      </c>
      <c r="J50" s="24" t="s">
        <v>8291</v>
      </c>
      <c r="K50" s="23" t="n">
        <f aca="false">COUNTIF(A타입_제작표!$P$2:$P$799,"*"&amp;C50&amp;"*")</f>
        <v>7</v>
      </c>
    </row>
    <row r="51" customFormat="false" ht="26.85" hidden="false" customHeight="false" outlineLevel="0" collapsed="false">
      <c r="A51" s="30" t="s">
        <v>8292</v>
      </c>
      <c r="B51" s="24" t="s">
        <v>8293</v>
      </c>
      <c r="C51" s="23" t="s">
        <v>3050</v>
      </c>
      <c r="D51" s="23" t="s">
        <v>116</v>
      </c>
      <c r="E51" s="24" t="s">
        <v>8294</v>
      </c>
      <c r="F51" s="24" t="s">
        <v>8118</v>
      </c>
      <c r="G51" s="43" t="s">
        <v>8295</v>
      </c>
      <c r="H51" s="43" t="s">
        <v>8296</v>
      </c>
      <c r="I51" s="24" t="s">
        <v>8297</v>
      </c>
      <c r="J51" s="29" t="s">
        <v>7960</v>
      </c>
      <c r="K51" s="23" t="n">
        <f aca="false">COUNTIF(A타입_제작표!$P$2:$P$799,"*"&amp;C51&amp;"*")</f>
        <v>7</v>
      </c>
    </row>
    <row r="52" customFormat="false" ht="15" hidden="false" customHeight="false" outlineLevel="0" collapsed="false">
      <c r="A52" s="30" t="s">
        <v>8298</v>
      </c>
      <c r="B52" s="24" t="s">
        <v>3254</v>
      </c>
      <c r="C52" s="23" t="s">
        <v>3254</v>
      </c>
      <c r="D52" s="23" t="s">
        <v>116</v>
      </c>
      <c r="E52" s="24" t="s">
        <v>3219</v>
      </c>
      <c r="F52" s="24" t="s">
        <v>8118</v>
      </c>
      <c r="G52" s="43" t="s">
        <v>8299</v>
      </c>
      <c r="H52" s="43" t="s">
        <v>8300</v>
      </c>
      <c r="I52" s="24" t="s">
        <v>8301</v>
      </c>
      <c r="J52" s="24" t="s">
        <v>8302</v>
      </c>
      <c r="K52" s="23" t="n">
        <f aca="false">COUNTIF(A타입_제작표!$P$2:$P$799,"*"&amp;C52&amp;"*")</f>
        <v>11</v>
      </c>
    </row>
    <row r="53" customFormat="false" ht="15" hidden="false" customHeight="false" outlineLevel="0" collapsed="false">
      <c r="A53" s="30" t="s">
        <v>8303</v>
      </c>
      <c r="B53" s="24" t="s">
        <v>4459</v>
      </c>
      <c r="C53" s="23" t="s">
        <v>4459</v>
      </c>
      <c r="D53" s="23" t="s">
        <v>116</v>
      </c>
      <c r="E53" s="24" t="s">
        <v>4459</v>
      </c>
      <c r="F53" s="24" t="s">
        <v>8118</v>
      </c>
      <c r="G53" s="43" t="s">
        <v>8304</v>
      </c>
      <c r="H53" s="43" t="s">
        <v>8305</v>
      </c>
      <c r="I53" s="24" t="s">
        <v>8306</v>
      </c>
      <c r="J53" s="24" t="s">
        <v>8307</v>
      </c>
      <c r="K53" s="23" t="n">
        <f aca="false">COUNTIF(A타입_제작표!$P$2:$P$799,"*"&amp;C53&amp;"*")</f>
        <v>10</v>
      </c>
    </row>
    <row r="54" customFormat="false" ht="15" hidden="false" customHeight="false" outlineLevel="0" collapsed="false">
      <c r="A54" s="30" t="s">
        <v>8308</v>
      </c>
      <c r="B54" s="24" t="s">
        <v>8309</v>
      </c>
      <c r="C54" s="23" t="s">
        <v>8310</v>
      </c>
      <c r="D54" s="23" t="s">
        <v>4656</v>
      </c>
      <c r="E54" s="24" t="s">
        <v>8311</v>
      </c>
      <c r="F54" s="29" t="s">
        <v>8312</v>
      </c>
      <c r="G54" s="43" t="s">
        <v>8313</v>
      </c>
      <c r="H54" s="43" t="s">
        <v>8314</v>
      </c>
      <c r="I54" s="24" t="s">
        <v>8315</v>
      </c>
      <c r="J54" s="24" t="s">
        <v>8316</v>
      </c>
      <c r="K54" s="23" t="n">
        <f aca="false">COUNTIF(A타입_제작표!$P$2:$P$799,"*"&amp;C54&amp;"*")</f>
        <v>20</v>
      </c>
    </row>
    <row r="55" customFormat="false" ht="15" hidden="false" customHeight="false" outlineLevel="0" collapsed="false">
      <c r="A55" s="30" t="s">
        <v>8317</v>
      </c>
      <c r="B55" s="24" t="s">
        <v>8318</v>
      </c>
      <c r="C55" s="23" t="s">
        <v>8079</v>
      </c>
      <c r="D55" s="23" t="s">
        <v>4656</v>
      </c>
      <c r="E55" s="24" t="s">
        <v>8319</v>
      </c>
      <c r="F55" s="24" t="s">
        <v>8012</v>
      </c>
      <c r="G55" s="43" t="s">
        <v>8320</v>
      </c>
      <c r="H55" s="43" t="s">
        <v>8321</v>
      </c>
      <c r="I55" s="24" t="s">
        <v>8322</v>
      </c>
      <c r="J55" s="24" t="s">
        <v>8323</v>
      </c>
      <c r="K55" s="23" t="n">
        <f aca="false">COUNTIF(A타입_제작표!$P$2:$P$799,"*"&amp;C55&amp;"*")</f>
        <v>23</v>
      </c>
    </row>
    <row r="56" customFormat="false" ht="15" hidden="false" customHeight="false" outlineLevel="0" collapsed="false">
      <c r="A56" s="30" t="s">
        <v>8324</v>
      </c>
      <c r="B56" s="24" t="s">
        <v>8325</v>
      </c>
      <c r="C56" s="23" t="s">
        <v>8325</v>
      </c>
      <c r="D56" s="23" t="s">
        <v>4656</v>
      </c>
      <c r="E56" s="24" t="s">
        <v>7909</v>
      </c>
      <c r="F56" s="29" t="s">
        <v>8326</v>
      </c>
      <c r="G56" s="43" t="s">
        <v>8327</v>
      </c>
      <c r="H56" s="43" t="s">
        <v>8328</v>
      </c>
      <c r="I56" s="24" t="s">
        <v>8329</v>
      </c>
      <c r="J56" s="24" t="s">
        <v>8211</v>
      </c>
      <c r="K56" s="23" t="n">
        <f aca="false">COUNTIF(A타입_제작표!$P$2:$P$799,"*"&amp;C56&amp;"*")</f>
        <v>5</v>
      </c>
    </row>
    <row r="57" customFormat="false" ht="15" hidden="false" customHeight="false" outlineLevel="0" collapsed="false">
      <c r="A57" s="30" t="s">
        <v>8330</v>
      </c>
      <c r="B57" s="24" t="s">
        <v>8331</v>
      </c>
      <c r="C57" s="23" t="s">
        <v>6752</v>
      </c>
      <c r="D57" s="23" t="s">
        <v>4656</v>
      </c>
      <c r="E57" s="24" t="s">
        <v>8332</v>
      </c>
      <c r="F57" s="29" t="s">
        <v>8333</v>
      </c>
      <c r="G57" s="43" t="s">
        <v>8334</v>
      </c>
      <c r="H57" s="43" t="s">
        <v>8335</v>
      </c>
      <c r="I57" s="24" t="s">
        <v>8336</v>
      </c>
      <c r="J57" s="24" t="s">
        <v>8337</v>
      </c>
      <c r="K57" s="23" t="n">
        <f aca="false">COUNTIF(A타입_제작표!$P$2:$P$799,"*"&amp;C57&amp;"*")</f>
        <v>32</v>
      </c>
    </row>
    <row r="58" customFormat="false" ht="15" hidden="false" customHeight="false" outlineLevel="0" collapsed="false">
      <c r="A58" s="30" t="s">
        <v>8338</v>
      </c>
      <c r="B58" s="24" t="s">
        <v>8339</v>
      </c>
      <c r="C58" s="23" t="s">
        <v>8340</v>
      </c>
      <c r="D58" s="23" t="s">
        <v>4656</v>
      </c>
      <c r="E58" s="24" t="s">
        <v>7968</v>
      </c>
      <c r="F58" s="29" t="s">
        <v>8341</v>
      </c>
      <c r="G58" s="43" t="s">
        <v>8342</v>
      </c>
      <c r="H58" s="43" t="s">
        <v>8343</v>
      </c>
      <c r="I58" s="24" t="s">
        <v>8344</v>
      </c>
      <c r="J58" s="24" t="s">
        <v>8345</v>
      </c>
      <c r="K58" s="23" t="n">
        <f aca="false">COUNTIF(A타입_제작표!$P$2:$P$799,"*"&amp;C58&amp;"*")</f>
        <v>30</v>
      </c>
    </row>
    <row r="59" customFormat="false" ht="26.85" hidden="false" customHeight="false" outlineLevel="0" collapsed="false">
      <c r="A59" s="30" t="s">
        <v>8346</v>
      </c>
      <c r="B59" s="24" t="s">
        <v>8347</v>
      </c>
      <c r="C59" s="23" t="s">
        <v>8348</v>
      </c>
      <c r="D59" s="23" t="s">
        <v>4656</v>
      </c>
      <c r="E59" s="24" t="s">
        <v>7909</v>
      </c>
      <c r="F59" s="29" t="s">
        <v>8349</v>
      </c>
      <c r="G59" s="43" t="s">
        <v>8350</v>
      </c>
      <c r="H59" s="43" t="s">
        <v>8351</v>
      </c>
      <c r="I59" s="29" t="s">
        <v>7960</v>
      </c>
      <c r="J59" s="29" t="s">
        <v>8352</v>
      </c>
      <c r="K59" s="23" t="n">
        <f aca="false">COUNTIF(A타입_제작표!$P$2:$P$799,"*"&amp;C59&amp;"*")</f>
        <v>33</v>
      </c>
    </row>
    <row r="60" customFormat="false" ht="15" hidden="false" customHeight="false" outlineLevel="0" collapsed="false">
      <c r="A60" s="30" t="s">
        <v>8353</v>
      </c>
      <c r="B60" s="24" t="s">
        <v>8354</v>
      </c>
      <c r="C60" s="23" t="s">
        <v>8354</v>
      </c>
      <c r="D60" s="23" t="s">
        <v>4656</v>
      </c>
      <c r="E60" s="24" t="s">
        <v>8311</v>
      </c>
      <c r="F60" s="29" t="s">
        <v>8355</v>
      </c>
      <c r="G60" s="43" t="s">
        <v>8356</v>
      </c>
      <c r="H60" s="43" t="s">
        <v>8357</v>
      </c>
      <c r="I60" s="24" t="s">
        <v>8358</v>
      </c>
      <c r="J60" s="24" t="s">
        <v>8359</v>
      </c>
      <c r="K60" s="23" t="n">
        <f aca="false">COUNTIF(A타입_제작표!$P$2:$P$799,"*"&amp;C60&amp;"*")</f>
        <v>0</v>
      </c>
    </row>
    <row r="61" customFormat="false" ht="26.85" hidden="false" customHeight="false" outlineLevel="0" collapsed="false">
      <c r="A61" s="30" t="s">
        <v>8360</v>
      </c>
      <c r="B61" s="24" t="s">
        <v>8361</v>
      </c>
      <c r="C61" s="23" t="s">
        <v>8362</v>
      </c>
      <c r="D61" s="23" t="s">
        <v>4656</v>
      </c>
      <c r="E61" s="24" t="s">
        <v>7909</v>
      </c>
      <c r="F61" s="24" t="s">
        <v>8003</v>
      </c>
      <c r="G61" s="43" t="s">
        <v>8363</v>
      </c>
      <c r="H61" s="43" t="s">
        <v>8364</v>
      </c>
      <c r="I61" s="29" t="s">
        <v>7960</v>
      </c>
      <c r="J61" s="24" t="s">
        <v>8365</v>
      </c>
      <c r="K61" s="23" t="n">
        <f aca="false">COUNTIF(A타입_제작표!$P$2:$P$799,"*"&amp;C61&amp;"*")</f>
        <v>2</v>
      </c>
    </row>
    <row r="62" customFormat="false" ht="26.85" hidden="false" customHeight="false" outlineLevel="0" collapsed="false">
      <c r="A62" s="30" t="s">
        <v>8366</v>
      </c>
      <c r="B62" s="24" t="s">
        <v>8367</v>
      </c>
      <c r="C62" s="23" t="s">
        <v>8368</v>
      </c>
      <c r="D62" s="23" t="s">
        <v>4656</v>
      </c>
      <c r="E62" s="24" t="s">
        <v>8369</v>
      </c>
      <c r="F62" s="24" t="s">
        <v>8118</v>
      </c>
      <c r="G62" s="43" t="s">
        <v>8370</v>
      </c>
      <c r="H62" s="43" t="s">
        <v>8371</v>
      </c>
      <c r="I62" s="24" t="s">
        <v>8372</v>
      </c>
      <c r="J62" s="29" t="s">
        <v>7960</v>
      </c>
      <c r="K62" s="23" t="n">
        <f aca="false">COUNTIF(A타입_제작표!$P$2:$P$799,"*"&amp;C62&amp;"*")</f>
        <v>1</v>
      </c>
    </row>
    <row r="63" customFormat="false" ht="15" hidden="false" customHeight="false" outlineLevel="0" collapsed="false">
      <c r="A63" s="30" t="s">
        <v>8373</v>
      </c>
      <c r="B63" s="24" t="s">
        <v>8374</v>
      </c>
      <c r="C63" s="23" t="s">
        <v>8375</v>
      </c>
      <c r="D63" s="23" t="s">
        <v>4656</v>
      </c>
      <c r="E63" s="24" t="s">
        <v>7909</v>
      </c>
      <c r="F63" s="24" t="s">
        <v>8118</v>
      </c>
      <c r="G63" s="43" t="s">
        <v>8376</v>
      </c>
      <c r="H63" s="43" t="s">
        <v>8377</v>
      </c>
      <c r="I63" s="24" t="s">
        <v>8378</v>
      </c>
      <c r="J63" s="29" t="s">
        <v>7960</v>
      </c>
      <c r="K63" s="23" t="n">
        <f aca="false">COUNTIF(A타입_제작표!$P$2:$P$799,"*"&amp;C63&amp;"*")</f>
        <v>2</v>
      </c>
    </row>
    <row r="64" customFormat="false" ht="26.85" hidden="false" customHeight="false" outlineLevel="0" collapsed="false">
      <c r="A64" s="30" t="s">
        <v>8379</v>
      </c>
      <c r="B64" s="24" t="s">
        <v>8380</v>
      </c>
      <c r="C64" s="23" t="s">
        <v>6096</v>
      </c>
      <c r="D64" s="23" t="s">
        <v>4656</v>
      </c>
      <c r="E64" s="24" t="s">
        <v>8381</v>
      </c>
      <c r="F64" s="24" t="s">
        <v>7995</v>
      </c>
      <c r="G64" s="43" t="s">
        <v>8382</v>
      </c>
      <c r="H64" s="43" t="s">
        <v>8383</v>
      </c>
      <c r="I64" s="24" t="s">
        <v>8384</v>
      </c>
      <c r="J64" s="24" t="s">
        <v>8385</v>
      </c>
      <c r="K64" s="23" t="n">
        <f aca="false">COUNTIF(A타입_제작표!$P$2:$P$799,"*"&amp;C64&amp;"*")</f>
        <v>82</v>
      </c>
    </row>
    <row r="65" customFormat="false" ht="26.85" hidden="false" customHeight="false" outlineLevel="0" collapsed="false">
      <c r="A65" s="30" t="s">
        <v>8386</v>
      </c>
      <c r="B65" s="24" t="s">
        <v>8387</v>
      </c>
      <c r="C65" s="23" t="s">
        <v>8388</v>
      </c>
      <c r="D65" s="23" t="s">
        <v>4656</v>
      </c>
      <c r="E65" s="24" t="s">
        <v>8389</v>
      </c>
      <c r="F65" s="24" t="s">
        <v>8003</v>
      </c>
      <c r="G65" s="43" t="s">
        <v>8390</v>
      </c>
      <c r="H65" s="43" t="s">
        <v>8391</v>
      </c>
      <c r="I65" s="24" t="s">
        <v>8392</v>
      </c>
      <c r="J65" s="29" t="s">
        <v>7960</v>
      </c>
      <c r="K65" s="23" t="n">
        <f aca="false">COUNTIF(A타입_제작표!$P$2:$P$799,"*"&amp;C65&amp;"*")</f>
        <v>7</v>
      </c>
    </row>
    <row r="66" customFormat="false" ht="15" hidden="false" customHeight="false" outlineLevel="0" collapsed="false">
      <c r="A66" s="30" t="s">
        <v>8393</v>
      </c>
      <c r="B66" s="24" t="s">
        <v>8394</v>
      </c>
      <c r="C66" s="23" t="s">
        <v>8395</v>
      </c>
      <c r="D66" s="23" t="s">
        <v>4656</v>
      </c>
      <c r="E66" s="24" t="s">
        <v>8396</v>
      </c>
      <c r="F66" s="24" t="s">
        <v>8012</v>
      </c>
      <c r="G66" s="43" t="s">
        <v>8397</v>
      </c>
      <c r="H66" s="43" t="s">
        <v>8398</v>
      </c>
      <c r="I66" s="24" t="s">
        <v>8273</v>
      </c>
      <c r="J66" s="24" t="s">
        <v>8399</v>
      </c>
      <c r="K66" s="23" t="n">
        <f aca="false">COUNTIF(A타입_제작표!$P$2:$P$799,"*"&amp;C66&amp;"*")</f>
        <v>2</v>
      </c>
    </row>
    <row r="67" customFormat="false" ht="26.85" hidden="false" customHeight="false" outlineLevel="0" collapsed="false">
      <c r="A67" s="30" t="s">
        <v>8400</v>
      </c>
      <c r="B67" s="24" t="s">
        <v>8401</v>
      </c>
      <c r="C67" s="23" t="s">
        <v>8402</v>
      </c>
      <c r="D67" s="23" t="s">
        <v>8403</v>
      </c>
      <c r="E67" s="29" t="s">
        <v>8404</v>
      </c>
      <c r="F67" s="24" t="s">
        <v>8405</v>
      </c>
      <c r="G67" s="43" t="s">
        <v>8406</v>
      </c>
      <c r="H67" s="43" t="s">
        <v>8407</v>
      </c>
      <c r="I67" s="24" t="s">
        <v>8408</v>
      </c>
      <c r="J67" s="24" t="s">
        <v>8409</v>
      </c>
      <c r="K67" s="23" t="n">
        <f aca="false">COUNTIF(A타입_제작표!$P$2:$P$799,"*"&amp;C67&amp;"*")</f>
        <v>0</v>
      </c>
    </row>
    <row r="68" customFormat="false" ht="26.85" hidden="false" customHeight="false" outlineLevel="0" collapsed="false">
      <c r="A68" s="30" t="s">
        <v>8410</v>
      </c>
      <c r="B68" s="24" t="s">
        <v>8411</v>
      </c>
      <c r="C68" s="23" t="s">
        <v>8412</v>
      </c>
      <c r="D68" s="23" t="s">
        <v>8403</v>
      </c>
      <c r="E68" s="29" t="s">
        <v>8404</v>
      </c>
      <c r="F68" s="24" t="s">
        <v>8413</v>
      </c>
      <c r="G68" s="43" t="s">
        <v>8406</v>
      </c>
      <c r="H68" s="43" t="s">
        <v>8407</v>
      </c>
      <c r="I68" s="24" t="s">
        <v>8414</v>
      </c>
      <c r="J68" s="24" t="s">
        <v>8409</v>
      </c>
      <c r="K68" s="23" t="n">
        <f aca="false">COUNTIF(A타입_제작표!$P$2:$P$799,"*"&amp;C68&amp;"*")</f>
        <v>0</v>
      </c>
    </row>
    <row r="69" customFormat="false" ht="26.85" hidden="false" customHeight="false" outlineLevel="0" collapsed="false">
      <c r="A69" s="30" t="s">
        <v>8415</v>
      </c>
      <c r="B69" s="24" t="s">
        <v>8416</v>
      </c>
      <c r="C69" s="23" t="s">
        <v>8417</v>
      </c>
      <c r="D69" s="23" t="s">
        <v>8403</v>
      </c>
      <c r="E69" s="29" t="s">
        <v>8418</v>
      </c>
      <c r="F69" s="29" t="s">
        <v>8419</v>
      </c>
      <c r="G69" s="43" t="s">
        <v>8406</v>
      </c>
      <c r="H69" s="43" t="s">
        <v>8420</v>
      </c>
      <c r="I69" s="24" t="s">
        <v>8421</v>
      </c>
      <c r="J69" s="24" t="s">
        <v>8422</v>
      </c>
      <c r="K69" s="23" t="n">
        <f aca="false">COUNTIF(A타입_제작표!$P$2:$P$799,"*"&amp;C69&amp;"*")</f>
        <v>0</v>
      </c>
    </row>
    <row r="71" customFormat="false" ht="15" hidden="false" customHeight="false" outlineLevel="0" collapsed="false">
      <c r="A71" s="15" t="s">
        <v>8423</v>
      </c>
    </row>
    <row r="72" customFormat="false" ht="15" hidden="false" customHeight="false" outlineLevel="0" collapsed="false">
      <c r="A72" s="8" t="s">
        <v>8424</v>
      </c>
    </row>
    <row r="73" customFormat="false" ht="15" hidden="false" customHeight="false" outlineLevel="0" collapsed="false">
      <c r="A73" s="7" t="s">
        <v>8425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0"/>
    <col collapsed="false" customWidth="true" hidden="false" outlineLevel="0" max="3" min="3" style="0" width="40"/>
    <col collapsed="false" customWidth="true" hidden="false" outlineLevel="0" max="4" min="4" style="0" width="50"/>
  </cols>
  <sheetData>
    <row r="1" customFormat="false" ht="20.85" hidden="false" customHeight="false" outlineLevel="0" collapsed="false">
      <c r="A1" s="1" t="s">
        <v>8426</v>
      </c>
    </row>
    <row r="2" customFormat="false" ht="15" hidden="false" customHeight="false" outlineLevel="0" collapsed="false">
      <c r="A2" s="2" t="s">
        <v>8427</v>
      </c>
    </row>
    <row r="4" customFormat="false" ht="16.4" hidden="false" customHeight="false" outlineLevel="0" collapsed="false">
      <c r="A4" s="31" t="s">
        <v>8428</v>
      </c>
      <c r="B4" s="4"/>
      <c r="C4" s="4"/>
      <c r="D4" s="4"/>
    </row>
    <row r="5" customFormat="false" ht="15" hidden="false" customHeight="false" outlineLevel="0" collapsed="false">
      <c r="A5" s="41" t="s">
        <v>8429</v>
      </c>
      <c r="B5" s="41" t="s">
        <v>8430</v>
      </c>
    </row>
    <row r="6" customFormat="false" ht="26.85" hidden="false" customHeight="false" outlineLevel="0" collapsed="false">
      <c r="A6" s="24" t="s">
        <v>8431</v>
      </c>
      <c r="B6" s="24" t="s">
        <v>8432</v>
      </c>
    </row>
    <row r="7" customFormat="false" ht="26.85" hidden="false" customHeight="false" outlineLevel="0" collapsed="false">
      <c r="A7" s="24" t="s">
        <v>8433</v>
      </c>
      <c r="B7" s="24" t="s">
        <v>8434</v>
      </c>
    </row>
    <row r="8" customFormat="false" ht="26.85" hidden="false" customHeight="false" outlineLevel="0" collapsed="false">
      <c r="A8" s="24" t="s">
        <v>8435</v>
      </c>
      <c r="B8" s="24" t="s">
        <v>8436</v>
      </c>
    </row>
    <row r="9" customFormat="false" ht="26.85" hidden="false" customHeight="false" outlineLevel="0" collapsed="false">
      <c r="A9" s="24" t="s">
        <v>8437</v>
      </c>
      <c r="B9" s="24" t="s">
        <v>8438</v>
      </c>
    </row>
    <row r="11" customFormat="false" ht="16.4" hidden="false" customHeight="false" outlineLevel="0" collapsed="false">
      <c r="A11" s="31" t="s">
        <v>8439</v>
      </c>
      <c r="B11" s="4"/>
      <c r="C11" s="4"/>
      <c r="D11" s="4"/>
    </row>
    <row r="12" customFormat="false" ht="15" hidden="false" customHeight="false" outlineLevel="0" collapsed="false">
      <c r="A12" s="41" t="s">
        <v>8440</v>
      </c>
      <c r="B12" s="41" t="s">
        <v>8441</v>
      </c>
      <c r="C12" s="41" t="s">
        <v>8442</v>
      </c>
      <c r="D12" s="41" t="s">
        <v>8443</v>
      </c>
    </row>
    <row r="13" customFormat="false" ht="26.85" hidden="false" customHeight="false" outlineLevel="0" collapsed="false">
      <c r="A13" s="24" t="s">
        <v>8444</v>
      </c>
      <c r="B13" s="24" t="s">
        <v>8445</v>
      </c>
      <c r="C13" s="24" t="s">
        <v>8446</v>
      </c>
      <c r="D13" s="29" t="s">
        <v>8447</v>
      </c>
    </row>
    <row r="14" customFormat="false" ht="39.55" hidden="false" customHeight="false" outlineLevel="0" collapsed="false">
      <c r="A14" s="24" t="s">
        <v>8448</v>
      </c>
      <c r="B14" s="24" t="s">
        <v>8449</v>
      </c>
      <c r="C14" s="24" t="s">
        <v>8450</v>
      </c>
      <c r="D14" s="29" t="s">
        <v>8447</v>
      </c>
    </row>
    <row r="15" customFormat="false" ht="26.85" hidden="false" customHeight="false" outlineLevel="0" collapsed="false">
      <c r="A15" s="24" t="s">
        <v>6441</v>
      </c>
      <c r="B15" s="24" t="s">
        <v>8451</v>
      </c>
      <c r="C15" s="24" t="s">
        <v>8452</v>
      </c>
      <c r="D15" s="29" t="s">
        <v>8447</v>
      </c>
    </row>
    <row r="16" customFormat="false" ht="15" hidden="false" customHeight="false" outlineLevel="0" collapsed="false">
      <c r="A16" s="24" t="s">
        <v>8453</v>
      </c>
      <c r="B16" s="24" t="s">
        <v>8454</v>
      </c>
      <c r="C16" s="24" t="s">
        <v>8455</v>
      </c>
      <c r="D16" s="29" t="s">
        <v>8447</v>
      </c>
    </row>
    <row r="17" customFormat="false" ht="26.85" hidden="false" customHeight="false" outlineLevel="0" collapsed="false">
      <c r="A17" s="24" t="s">
        <v>8456</v>
      </c>
      <c r="B17" s="24" t="s">
        <v>8457</v>
      </c>
      <c r="C17" s="24" t="s">
        <v>8458</v>
      </c>
      <c r="D17" s="29" t="s">
        <v>8447</v>
      </c>
    </row>
    <row r="18" customFormat="false" ht="26.85" hidden="false" customHeight="false" outlineLevel="0" collapsed="false">
      <c r="A18" s="24" t="s">
        <v>8459</v>
      </c>
      <c r="B18" s="24" t="s">
        <v>8460</v>
      </c>
      <c r="C18" s="24" t="s">
        <v>8461</v>
      </c>
      <c r="D18" s="29" t="s">
        <v>8447</v>
      </c>
    </row>
    <row r="19" customFormat="false" ht="26.85" hidden="false" customHeight="false" outlineLevel="0" collapsed="false">
      <c r="A19" s="24" t="s">
        <v>8462</v>
      </c>
      <c r="B19" s="24" t="s">
        <v>8463</v>
      </c>
      <c r="C19" s="24" t="s">
        <v>8464</v>
      </c>
      <c r="D19" s="29" t="s">
        <v>8447</v>
      </c>
    </row>
    <row r="20" customFormat="false" ht="26.85" hidden="false" customHeight="false" outlineLevel="0" collapsed="false">
      <c r="A20" s="24" t="s">
        <v>8465</v>
      </c>
      <c r="B20" s="24" t="s">
        <v>8466</v>
      </c>
      <c r="C20" s="24" t="s">
        <v>8467</v>
      </c>
      <c r="D20" s="29" t="s">
        <v>8447</v>
      </c>
    </row>
    <row r="21" customFormat="false" ht="26.85" hidden="false" customHeight="false" outlineLevel="0" collapsed="false">
      <c r="A21" s="24" t="s">
        <v>8468</v>
      </c>
      <c r="B21" s="24" t="s">
        <v>8469</v>
      </c>
      <c r="C21" s="24" t="s">
        <v>8470</v>
      </c>
      <c r="D21" s="29" t="s">
        <v>8447</v>
      </c>
    </row>
    <row r="22" customFormat="false" ht="26.85" hidden="false" customHeight="false" outlineLevel="0" collapsed="false">
      <c r="A22" s="24" t="s">
        <v>8471</v>
      </c>
      <c r="B22" s="24" t="s">
        <v>8472</v>
      </c>
      <c r="C22" s="24" t="s">
        <v>8473</v>
      </c>
      <c r="D22" s="29" t="s">
        <v>8447</v>
      </c>
    </row>
    <row r="23" customFormat="false" ht="26.85" hidden="false" customHeight="false" outlineLevel="0" collapsed="false">
      <c r="A23" s="24" t="s">
        <v>8474</v>
      </c>
      <c r="B23" s="24" t="s">
        <v>8475</v>
      </c>
      <c r="C23" s="24" t="s">
        <v>8476</v>
      </c>
      <c r="D23" s="29" t="s">
        <v>8447</v>
      </c>
    </row>
    <row r="24" customFormat="false" ht="26.85" hidden="false" customHeight="false" outlineLevel="0" collapsed="false">
      <c r="A24" s="24" t="s">
        <v>8477</v>
      </c>
      <c r="B24" s="24" t="s">
        <v>8478</v>
      </c>
      <c r="C24" s="24" t="s">
        <v>8479</v>
      </c>
      <c r="D24" s="29" t="s">
        <v>8447</v>
      </c>
    </row>
    <row r="25" customFormat="false" ht="26.85" hidden="false" customHeight="false" outlineLevel="0" collapsed="false">
      <c r="A25" s="24" t="s">
        <v>6542</v>
      </c>
      <c r="B25" s="24" t="s">
        <v>6544</v>
      </c>
      <c r="C25" s="24" t="s">
        <v>8480</v>
      </c>
      <c r="D25" s="29" t="s">
        <v>8447</v>
      </c>
    </row>
    <row r="26" customFormat="false" ht="26.85" hidden="false" customHeight="false" outlineLevel="0" collapsed="false">
      <c r="A26" s="24" t="s">
        <v>56</v>
      </c>
      <c r="B26" s="24" t="s">
        <v>8481</v>
      </c>
      <c r="C26" s="24" t="s">
        <v>8482</v>
      </c>
      <c r="D26" s="29" t="s">
        <v>8447</v>
      </c>
    </row>
    <row r="28" customFormat="false" ht="16.4" hidden="false" customHeight="false" outlineLevel="0" collapsed="false">
      <c r="A28" s="31" t="s">
        <v>8483</v>
      </c>
      <c r="B28" s="4"/>
      <c r="C28" s="4"/>
      <c r="D28" s="4"/>
    </row>
    <row r="29" customFormat="false" ht="15" hidden="false" customHeight="false" outlineLevel="0" collapsed="false">
      <c r="A29" s="41" t="s">
        <v>8484</v>
      </c>
      <c r="B29" s="41" t="s">
        <v>8485</v>
      </c>
      <c r="C29" s="41" t="s">
        <v>8486</v>
      </c>
      <c r="D29" s="41" t="s">
        <v>8487</v>
      </c>
    </row>
    <row r="30" customFormat="false" ht="26.85" hidden="false" customHeight="false" outlineLevel="0" collapsed="false">
      <c r="A30" s="24" t="s">
        <v>8488</v>
      </c>
      <c r="B30" s="24" t="s">
        <v>8489</v>
      </c>
      <c r="C30" s="24" t="s">
        <v>8490</v>
      </c>
      <c r="D30" s="24" t="s">
        <v>8491</v>
      </c>
    </row>
    <row r="31" customFormat="false" ht="26.85" hidden="false" customHeight="false" outlineLevel="0" collapsed="false">
      <c r="A31" s="24" t="s">
        <v>8492</v>
      </c>
      <c r="B31" s="29" t="s">
        <v>8493</v>
      </c>
      <c r="C31" s="24" t="s">
        <v>8494</v>
      </c>
      <c r="D31" s="29" t="s">
        <v>8495</v>
      </c>
    </row>
    <row r="32" customFormat="false" ht="26.85" hidden="false" customHeight="false" outlineLevel="0" collapsed="false">
      <c r="A32" s="24" t="s">
        <v>8496</v>
      </c>
      <c r="B32" s="24" t="s">
        <v>8497</v>
      </c>
      <c r="C32" s="24" t="s">
        <v>8498</v>
      </c>
      <c r="D32" s="24" t="s">
        <v>8499</v>
      </c>
    </row>
    <row r="33" customFormat="false" ht="15" hidden="false" customHeight="false" outlineLevel="0" collapsed="false">
      <c r="A33" s="29" t="s">
        <v>8500</v>
      </c>
      <c r="B33" s="29" t="s">
        <v>8501</v>
      </c>
      <c r="C33" s="24" t="s">
        <v>8502</v>
      </c>
      <c r="D33" s="24" t="s">
        <v>8503</v>
      </c>
    </row>
    <row r="34" customFormat="false" ht="15" hidden="false" customHeight="false" outlineLevel="0" collapsed="false">
      <c r="A34" s="24" t="s">
        <v>8504</v>
      </c>
      <c r="B34" s="24" t="s">
        <v>8505</v>
      </c>
      <c r="C34" s="24" t="s">
        <v>8506</v>
      </c>
      <c r="D34" s="24" t="s">
        <v>8507</v>
      </c>
    </row>
    <row r="35" customFormat="false" ht="26.85" hidden="false" customHeight="false" outlineLevel="0" collapsed="false">
      <c r="A35" s="24" t="s">
        <v>8508</v>
      </c>
      <c r="B35" s="24" t="s">
        <v>8509</v>
      </c>
      <c r="C35" s="24" t="s">
        <v>8510</v>
      </c>
      <c r="D35" s="24" t="s">
        <v>8511</v>
      </c>
    </row>
    <row r="36" customFormat="false" ht="26.85" hidden="false" customHeight="false" outlineLevel="0" collapsed="false">
      <c r="A36" s="24" t="s">
        <v>8512</v>
      </c>
      <c r="B36" s="24" t="s">
        <v>8513</v>
      </c>
      <c r="C36" s="24" t="s">
        <v>8514</v>
      </c>
      <c r="D36" s="24" t="s">
        <v>8515</v>
      </c>
    </row>
    <row r="37" customFormat="false" ht="15" hidden="false" customHeight="false" outlineLevel="0" collapsed="false">
      <c r="A37" s="24" t="s">
        <v>8516</v>
      </c>
      <c r="B37" s="24" t="s">
        <v>8517</v>
      </c>
      <c r="C37" s="24" t="s">
        <v>8518</v>
      </c>
      <c r="D37" s="24" t="s">
        <v>8519</v>
      </c>
    </row>
    <row r="38" customFormat="false" ht="15" hidden="false" customHeight="false" outlineLevel="0" collapsed="false">
      <c r="A38" s="24" t="s">
        <v>8520</v>
      </c>
      <c r="B38" s="24" t="s">
        <v>8521</v>
      </c>
      <c r="C38" s="24" t="s">
        <v>8522</v>
      </c>
      <c r="D38" s="29" t="s">
        <v>8523</v>
      </c>
    </row>
    <row r="39" customFormat="false" ht="15" hidden="false" customHeight="false" outlineLevel="0" collapsed="false">
      <c r="A39" s="24" t="s">
        <v>8524</v>
      </c>
      <c r="B39" s="24" t="s">
        <v>8525</v>
      </c>
      <c r="C39" s="24" t="s">
        <v>8526</v>
      </c>
      <c r="D39" s="24" t="s">
        <v>8527</v>
      </c>
    </row>
    <row r="40" customFormat="false" ht="15" hidden="false" customHeight="false" outlineLevel="0" collapsed="false">
      <c r="A40" s="24" t="s">
        <v>8528</v>
      </c>
      <c r="B40" s="24" t="s">
        <v>8529</v>
      </c>
      <c r="C40" s="24" t="s">
        <v>8530</v>
      </c>
      <c r="D40" s="24" t="s">
        <v>8531</v>
      </c>
    </row>
    <row r="42" customFormat="false" ht="16.4" hidden="false" customHeight="false" outlineLevel="0" collapsed="false">
      <c r="A42" s="31" t="s">
        <v>8532</v>
      </c>
      <c r="B42" s="4"/>
      <c r="C42" s="4"/>
      <c r="D42" s="4"/>
    </row>
    <row r="43" customFormat="false" ht="15" hidden="false" customHeight="false" outlineLevel="0" collapsed="false">
      <c r="A43" s="41" t="s">
        <v>8533</v>
      </c>
      <c r="B43" s="41" t="s">
        <v>8534</v>
      </c>
    </row>
    <row r="44" customFormat="false" ht="26.85" hidden="false" customHeight="false" outlineLevel="0" collapsed="false">
      <c r="A44" s="24" t="s">
        <v>8535</v>
      </c>
      <c r="B44" s="24" t="s">
        <v>8536</v>
      </c>
    </row>
    <row r="45" customFormat="false" ht="26.85" hidden="false" customHeight="false" outlineLevel="0" collapsed="false">
      <c r="A45" s="24" t="s">
        <v>8537</v>
      </c>
      <c r="B45" s="24" t="s">
        <v>8538</v>
      </c>
    </row>
    <row r="46" customFormat="false" ht="26.85" hidden="false" customHeight="false" outlineLevel="0" collapsed="false">
      <c r="A46" s="24" t="s">
        <v>8539</v>
      </c>
      <c r="B46" s="24" t="s">
        <v>8540</v>
      </c>
    </row>
    <row r="47" customFormat="false" ht="26.85" hidden="false" customHeight="false" outlineLevel="0" collapsed="false">
      <c r="A47" s="24" t="s">
        <v>8541</v>
      </c>
      <c r="B47" s="24" t="s">
        <v>8542</v>
      </c>
    </row>
    <row r="48" customFormat="false" ht="26.85" hidden="false" customHeight="false" outlineLevel="0" collapsed="false">
      <c r="A48" s="24" t="s">
        <v>8543</v>
      </c>
      <c r="B48" s="24" t="s">
        <v>8544</v>
      </c>
    </row>
    <row r="49" customFormat="false" ht="26.85" hidden="false" customHeight="false" outlineLevel="0" collapsed="false">
      <c r="A49" s="24" t="s">
        <v>8545</v>
      </c>
      <c r="B49" s="24" t="s">
        <v>8546</v>
      </c>
    </row>
    <row r="50" customFormat="false" ht="26.85" hidden="false" customHeight="false" outlineLevel="0" collapsed="false">
      <c r="A50" s="24" t="s">
        <v>8547</v>
      </c>
      <c r="B50" s="29" t="s">
        <v>8548</v>
      </c>
    </row>
    <row r="51" customFormat="false" ht="26.85" hidden="false" customHeight="false" outlineLevel="0" collapsed="false">
      <c r="A51" s="24" t="s">
        <v>8549</v>
      </c>
      <c r="B51" s="24" t="s">
        <v>8550</v>
      </c>
    </row>
    <row r="53" customFormat="false" ht="16.4" hidden="false" customHeight="false" outlineLevel="0" collapsed="false">
      <c r="A53" s="31" t="s">
        <v>8551</v>
      </c>
      <c r="B53" s="4"/>
      <c r="C53" s="4"/>
      <c r="D53" s="4"/>
    </row>
    <row r="54" customFormat="false" ht="15" hidden="false" customHeight="false" outlineLevel="0" collapsed="false">
      <c r="A54" s="41" t="s">
        <v>8552</v>
      </c>
      <c r="B54" s="41" t="s">
        <v>8534</v>
      </c>
      <c r="C54" s="41" t="s">
        <v>8553</v>
      </c>
    </row>
    <row r="55" customFormat="false" ht="15" hidden="false" customHeight="false" outlineLevel="0" collapsed="false">
      <c r="A55" s="29" t="s">
        <v>8554</v>
      </c>
      <c r="B55" s="24" t="s">
        <v>8555</v>
      </c>
      <c r="C55" s="24" t="s">
        <v>8556</v>
      </c>
    </row>
    <row r="56" customFormat="false" ht="15" hidden="false" customHeight="false" outlineLevel="0" collapsed="false">
      <c r="A56" s="29" t="s">
        <v>8557</v>
      </c>
      <c r="B56" s="24" t="s">
        <v>8558</v>
      </c>
      <c r="C56" s="24" t="s">
        <v>8556</v>
      </c>
    </row>
    <row r="57" customFormat="false" ht="15" hidden="false" customHeight="false" outlineLevel="0" collapsed="false">
      <c r="A57" s="29" t="s">
        <v>8559</v>
      </c>
      <c r="B57" s="24" t="s">
        <v>8560</v>
      </c>
      <c r="C57" s="24" t="s">
        <v>8556</v>
      </c>
    </row>
    <row r="58" customFormat="false" ht="15" hidden="false" customHeight="false" outlineLevel="0" collapsed="false">
      <c r="A58" s="29" t="s">
        <v>8561</v>
      </c>
      <c r="B58" s="24" t="s">
        <v>8562</v>
      </c>
      <c r="C58" s="24" t="s">
        <v>8563</v>
      </c>
    </row>
    <row r="59" customFormat="false" ht="15" hidden="false" customHeight="false" outlineLevel="0" collapsed="false">
      <c r="A59" s="29" t="s">
        <v>8564</v>
      </c>
      <c r="B59" s="24" t="s">
        <v>8565</v>
      </c>
      <c r="C59" s="24" t="s">
        <v>8563</v>
      </c>
    </row>
    <row r="60" customFormat="false" ht="26.85" hidden="false" customHeight="false" outlineLevel="0" collapsed="false">
      <c r="A60" s="29" t="s">
        <v>8566</v>
      </c>
      <c r="B60" s="29" t="s">
        <v>8567</v>
      </c>
      <c r="C60" s="24" t="s">
        <v>8568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3" min="3" style="0" width="4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8569</v>
      </c>
    </row>
    <row r="2" customFormat="false" ht="15" hidden="false" customHeight="false" outlineLevel="0" collapsed="false">
      <c r="A2" s="45" t="s">
        <v>8570</v>
      </c>
    </row>
    <row r="4" customFormat="false" ht="16.4" hidden="false" customHeight="false" outlineLevel="0" collapsed="false">
      <c r="A4" s="31" t="s">
        <v>8571</v>
      </c>
      <c r="B4" s="4"/>
      <c r="C4" s="4"/>
      <c r="D4" s="4"/>
    </row>
    <row r="5" customFormat="false" ht="15" hidden="false" customHeight="false" outlineLevel="0" collapsed="false">
      <c r="A5" s="41" t="s">
        <v>8572</v>
      </c>
      <c r="B5" s="41" t="s">
        <v>8534</v>
      </c>
      <c r="C5" s="41" t="s">
        <v>8573</v>
      </c>
      <c r="D5" s="41" t="s">
        <v>8574</v>
      </c>
    </row>
    <row r="6" customFormat="false" ht="15" hidden="false" customHeight="false" outlineLevel="0" collapsed="false">
      <c r="A6" s="29" t="s">
        <v>8575</v>
      </c>
      <c r="B6" s="24" t="s">
        <v>8576</v>
      </c>
      <c r="C6" s="24" t="s">
        <v>8577</v>
      </c>
      <c r="D6" s="29" t="s">
        <v>8578</v>
      </c>
    </row>
    <row r="7" customFormat="false" ht="15" hidden="false" customHeight="false" outlineLevel="0" collapsed="false">
      <c r="A7" s="29" t="s">
        <v>8579</v>
      </c>
      <c r="B7" s="24" t="s">
        <v>8580</v>
      </c>
      <c r="C7" s="24" t="s">
        <v>8581</v>
      </c>
      <c r="D7" s="29" t="s">
        <v>8582</v>
      </c>
    </row>
    <row r="8" customFormat="false" ht="15" hidden="false" customHeight="false" outlineLevel="0" collapsed="false">
      <c r="A8" s="29" t="s">
        <v>8583</v>
      </c>
      <c r="B8" s="24" t="s">
        <v>8584</v>
      </c>
      <c r="C8" s="24" t="s">
        <v>94</v>
      </c>
      <c r="D8" s="29" t="s">
        <v>8585</v>
      </c>
    </row>
    <row r="9" customFormat="false" ht="15" hidden="false" customHeight="false" outlineLevel="0" collapsed="false">
      <c r="A9" s="29" t="s">
        <v>8586</v>
      </c>
      <c r="B9" s="24" t="s">
        <v>8587</v>
      </c>
      <c r="C9" s="24" t="s">
        <v>98</v>
      </c>
      <c r="D9" s="29" t="s">
        <v>8578</v>
      </c>
    </row>
    <row r="10" customFormat="false" ht="15" hidden="false" customHeight="false" outlineLevel="0" collapsed="false">
      <c r="A10" s="29" t="s">
        <v>8588</v>
      </c>
      <c r="B10" s="24" t="s">
        <v>8589</v>
      </c>
      <c r="C10" s="24" t="s">
        <v>99</v>
      </c>
      <c r="D10" s="29" t="s">
        <v>8578</v>
      </c>
    </row>
    <row r="11" customFormat="false" ht="15" hidden="false" customHeight="false" outlineLevel="0" collapsed="false">
      <c r="A11" s="29" t="s">
        <v>8590</v>
      </c>
      <c r="B11" s="24" t="s">
        <v>8591</v>
      </c>
      <c r="C11" s="24" t="s">
        <v>107</v>
      </c>
      <c r="D11" s="29" t="s">
        <v>8578</v>
      </c>
    </row>
    <row r="12" customFormat="false" ht="15" hidden="false" customHeight="false" outlineLevel="0" collapsed="false">
      <c r="A12" s="24" t="s">
        <v>8592</v>
      </c>
      <c r="B12" s="24" t="s">
        <v>8593</v>
      </c>
      <c r="C12" s="29" t="s">
        <v>7960</v>
      </c>
      <c r="D12" s="29" t="s">
        <v>8594</v>
      </c>
    </row>
    <row r="14" customFormat="false" ht="16.4" hidden="false" customHeight="false" outlineLevel="0" collapsed="false">
      <c r="A14" s="31" t="s">
        <v>8595</v>
      </c>
      <c r="B14" s="4"/>
      <c r="C14" s="4"/>
      <c r="D14" s="4"/>
    </row>
    <row r="15" customFormat="false" ht="15" hidden="false" customHeight="false" outlineLevel="0" collapsed="false">
      <c r="A15" s="41" t="s">
        <v>8572</v>
      </c>
      <c r="B15" s="41" t="s">
        <v>8534</v>
      </c>
      <c r="C15" s="41" t="s">
        <v>8573</v>
      </c>
      <c r="D15" s="41" t="s">
        <v>8596</v>
      </c>
    </row>
    <row r="16" customFormat="false" ht="15" hidden="false" customHeight="false" outlineLevel="0" collapsed="false">
      <c r="A16" s="24" t="s">
        <v>8597</v>
      </c>
      <c r="B16" s="24" t="s">
        <v>8598</v>
      </c>
      <c r="C16" s="29" t="s">
        <v>8599</v>
      </c>
      <c r="D16" s="24" t="s">
        <v>8600</v>
      </c>
    </row>
    <row r="17" customFormat="false" ht="26.85" hidden="false" customHeight="false" outlineLevel="0" collapsed="false">
      <c r="A17" s="24" t="s">
        <v>8601</v>
      </c>
      <c r="B17" s="29" t="s">
        <v>8602</v>
      </c>
      <c r="C17" s="29" t="s">
        <v>8603</v>
      </c>
      <c r="D17" s="24" t="s">
        <v>8604</v>
      </c>
    </row>
    <row r="18" customFormat="false" ht="15" hidden="false" customHeight="false" outlineLevel="0" collapsed="false">
      <c r="A18" s="24" t="s">
        <v>8605</v>
      </c>
      <c r="B18" s="29" t="s">
        <v>8606</v>
      </c>
      <c r="C18" s="29" t="s">
        <v>7960</v>
      </c>
      <c r="D18" s="24" t="s">
        <v>8607</v>
      </c>
    </row>
    <row r="19" customFormat="false" ht="15" hidden="false" customHeight="false" outlineLevel="0" collapsed="false">
      <c r="A19" s="24" t="s">
        <v>8608</v>
      </c>
      <c r="B19" s="24" t="s">
        <v>8609</v>
      </c>
      <c r="C19" s="29" t="s">
        <v>8610</v>
      </c>
      <c r="D19" s="24" t="s">
        <v>8611</v>
      </c>
    </row>
    <row r="20" customFormat="false" ht="15" hidden="false" customHeight="false" outlineLevel="0" collapsed="false">
      <c r="A20" s="24" t="s">
        <v>8612</v>
      </c>
      <c r="B20" s="24" t="s">
        <v>8613</v>
      </c>
      <c r="C20" s="29" t="s">
        <v>7960</v>
      </c>
      <c r="D20" s="29" t="s">
        <v>7960</v>
      </c>
    </row>
    <row r="22" customFormat="false" ht="16.4" hidden="false" customHeight="false" outlineLevel="0" collapsed="false">
      <c r="A22" s="31" t="s">
        <v>8614</v>
      </c>
      <c r="B22" s="4"/>
      <c r="C22" s="4"/>
      <c r="D22" s="4"/>
    </row>
    <row r="23" customFormat="false" ht="15" hidden="false" customHeight="false" outlineLevel="0" collapsed="false">
      <c r="A23" s="41" t="s">
        <v>8615</v>
      </c>
      <c r="B23" s="41" t="s">
        <v>8616</v>
      </c>
      <c r="C23" s="41" t="s">
        <v>8617</v>
      </c>
      <c r="D23" s="41" t="s">
        <v>8618</v>
      </c>
    </row>
    <row r="24" customFormat="false" ht="26.85" hidden="false" customHeight="false" outlineLevel="0" collapsed="false">
      <c r="A24" s="24" t="s">
        <v>8619</v>
      </c>
      <c r="B24" s="29" t="s">
        <v>8620</v>
      </c>
      <c r="C24" s="24" t="s">
        <v>8621</v>
      </c>
      <c r="D24" s="24" t="s">
        <v>8622</v>
      </c>
    </row>
    <row r="25" customFormat="false" ht="26.85" hidden="false" customHeight="false" outlineLevel="0" collapsed="false">
      <c r="A25" s="24" t="s">
        <v>8623</v>
      </c>
      <c r="B25" s="29" t="s">
        <v>8624</v>
      </c>
      <c r="C25" s="24" t="s">
        <v>8625</v>
      </c>
      <c r="D25" s="24" t="s">
        <v>8626</v>
      </c>
    </row>
    <row r="26" customFormat="false" ht="23.85" hidden="false" customHeight="false" outlineLevel="0" collapsed="false">
      <c r="A26" s="24" t="s">
        <v>8627</v>
      </c>
      <c r="B26" s="29" t="s">
        <v>8628</v>
      </c>
      <c r="C26" s="24" t="s">
        <v>8629</v>
      </c>
      <c r="D26" s="24" t="s">
        <v>8630</v>
      </c>
    </row>
    <row r="27" customFormat="false" ht="15" hidden="false" customHeight="false" outlineLevel="0" collapsed="false">
      <c r="A27" s="24" t="s">
        <v>8631</v>
      </c>
      <c r="B27" s="29" t="s">
        <v>8632</v>
      </c>
      <c r="C27" s="24" t="s">
        <v>8633</v>
      </c>
      <c r="D27" s="24" t="s">
        <v>8630</v>
      </c>
    </row>
    <row r="28" customFormat="false" ht="23.85" hidden="false" customHeight="false" outlineLevel="0" collapsed="false">
      <c r="A28" s="24" t="s">
        <v>8634</v>
      </c>
      <c r="B28" s="29" t="s">
        <v>8635</v>
      </c>
      <c r="C28" s="24" t="s">
        <v>8636</v>
      </c>
      <c r="D28" s="24" t="s">
        <v>8622</v>
      </c>
    </row>
    <row r="30" customFormat="false" ht="16.4" hidden="false" customHeight="false" outlineLevel="0" collapsed="false">
      <c r="A30" s="31" t="s">
        <v>8637</v>
      </c>
      <c r="B30" s="4"/>
      <c r="C30" s="4"/>
      <c r="D30" s="4"/>
    </row>
    <row r="31" customFormat="false" ht="15" hidden="false" customHeight="false" outlineLevel="0" collapsed="false">
      <c r="A31" s="41" t="s">
        <v>8429</v>
      </c>
      <c r="B31" s="41" t="s">
        <v>8638</v>
      </c>
      <c r="C31" s="41" t="s">
        <v>112</v>
      </c>
    </row>
    <row r="32" customFormat="false" ht="26.85" hidden="false" customHeight="false" outlineLevel="0" collapsed="false">
      <c r="A32" s="24" t="s">
        <v>8639</v>
      </c>
      <c r="B32" s="29" t="s">
        <v>8640</v>
      </c>
      <c r="C32" s="24" t="s">
        <v>8641</v>
      </c>
    </row>
    <row r="33" customFormat="false" ht="26.85" hidden="false" customHeight="false" outlineLevel="0" collapsed="false">
      <c r="A33" s="24" t="s">
        <v>8642</v>
      </c>
      <c r="B33" s="29" t="s">
        <v>8643</v>
      </c>
      <c r="C33" s="24" t="s">
        <v>8644</v>
      </c>
    </row>
    <row r="34" customFormat="false" ht="15" hidden="false" customHeight="false" outlineLevel="0" collapsed="false">
      <c r="A34" s="24" t="s">
        <v>8645</v>
      </c>
      <c r="B34" s="29" t="s">
        <v>8646</v>
      </c>
      <c r="C34" s="24" t="s">
        <v>8647</v>
      </c>
    </row>
    <row r="35" customFormat="false" ht="15" hidden="false" customHeight="false" outlineLevel="0" collapsed="false">
      <c r="A35" s="24" t="s">
        <v>8648</v>
      </c>
      <c r="B35" s="24" t="s">
        <v>8649</v>
      </c>
      <c r="C35" s="24" t="s">
        <v>8650</v>
      </c>
    </row>
    <row r="36" customFormat="false" ht="15" hidden="false" customHeight="false" outlineLevel="0" collapsed="false">
      <c r="A36" s="24" t="s">
        <v>8651</v>
      </c>
      <c r="B36" s="24" t="s">
        <v>8652</v>
      </c>
      <c r="C36" s="24" t="s">
        <v>8653</v>
      </c>
    </row>
    <row r="37" customFormat="false" ht="15" hidden="false" customHeight="false" outlineLevel="0" collapsed="false">
      <c r="A37" s="24" t="s">
        <v>8654</v>
      </c>
      <c r="B37" s="24" t="s">
        <v>8655</v>
      </c>
      <c r="C37" s="24" t="s">
        <v>8656</v>
      </c>
    </row>
    <row r="39" customFormat="false" ht="16.4" hidden="false" customHeight="false" outlineLevel="0" collapsed="false">
      <c r="A39" s="31" t="s">
        <v>8657</v>
      </c>
      <c r="B39" s="4"/>
      <c r="C39" s="4"/>
      <c r="D39" s="4"/>
    </row>
    <row r="40" customFormat="false" ht="15" hidden="false" customHeight="false" outlineLevel="0" collapsed="false">
      <c r="A40" s="41" t="s">
        <v>8429</v>
      </c>
      <c r="B40" s="41" t="s">
        <v>8658</v>
      </c>
      <c r="C40" s="41" t="s">
        <v>8659</v>
      </c>
    </row>
    <row r="41" customFormat="false" ht="15" hidden="false" customHeight="false" outlineLevel="0" collapsed="false">
      <c r="A41" s="24" t="s">
        <v>96</v>
      </c>
      <c r="B41" s="29" t="s">
        <v>8660</v>
      </c>
      <c r="C41" s="29" t="s">
        <v>8661</v>
      </c>
    </row>
    <row r="42" customFormat="false" ht="15" hidden="false" customHeight="false" outlineLevel="0" collapsed="false">
      <c r="A42" s="24" t="s">
        <v>8612</v>
      </c>
      <c r="B42" s="24" t="s">
        <v>8662</v>
      </c>
      <c r="C42" s="29" t="s">
        <v>7960</v>
      </c>
    </row>
    <row r="43" customFormat="false" ht="26.85" hidden="false" customHeight="false" outlineLevel="0" collapsed="false">
      <c r="A43" s="24" t="s">
        <v>8663</v>
      </c>
      <c r="B43" s="29" t="s">
        <v>8664</v>
      </c>
      <c r="C43" s="29" t="s">
        <v>8665</v>
      </c>
    </row>
    <row r="44" customFormat="false" ht="15" hidden="false" customHeight="false" outlineLevel="0" collapsed="false">
      <c r="A44" s="24" t="s">
        <v>8666</v>
      </c>
      <c r="B44" s="29" t="s">
        <v>8667</v>
      </c>
      <c r="C44" s="24" t="s">
        <v>8668</v>
      </c>
    </row>
    <row r="45" customFormat="false" ht="15" hidden="false" customHeight="false" outlineLevel="0" collapsed="false">
      <c r="A45" s="24" t="s">
        <v>8669</v>
      </c>
      <c r="B45" s="24" t="s">
        <v>8670</v>
      </c>
      <c r="C45" s="29" t="s">
        <v>7960</v>
      </c>
    </row>
    <row r="47" customFormat="false" ht="16.4" hidden="false" customHeight="false" outlineLevel="0" collapsed="false">
      <c r="A47" s="31" t="s">
        <v>8671</v>
      </c>
      <c r="B47" s="4"/>
      <c r="C47" s="4"/>
      <c r="D47" s="4"/>
    </row>
    <row r="48" customFormat="false" ht="15" hidden="false" customHeight="false" outlineLevel="0" collapsed="false">
      <c r="A48" s="41" t="s">
        <v>8443</v>
      </c>
      <c r="B48" s="41" t="s">
        <v>8429</v>
      </c>
    </row>
    <row r="49" customFormat="false" ht="15" hidden="false" customHeight="false" outlineLevel="0" collapsed="false">
      <c r="A49" s="29" t="s">
        <v>8447</v>
      </c>
      <c r="B49" s="24" t="s">
        <v>8672</v>
      </c>
    </row>
    <row r="50" customFormat="false" ht="15" hidden="false" customHeight="false" outlineLevel="0" collapsed="false">
      <c r="A50" s="29" t="s">
        <v>8447</v>
      </c>
      <c r="B50" s="24" t="s">
        <v>8673</v>
      </c>
    </row>
    <row r="51" customFormat="false" ht="15" hidden="false" customHeight="false" outlineLevel="0" collapsed="false">
      <c r="A51" s="29" t="s">
        <v>8447</v>
      </c>
      <c r="B51" s="24" t="s">
        <v>8674</v>
      </c>
    </row>
    <row r="52" customFormat="false" ht="15" hidden="false" customHeight="false" outlineLevel="0" collapsed="false">
      <c r="A52" s="29" t="s">
        <v>8447</v>
      </c>
      <c r="B52" s="24" t="s">
        <v>8675</v>
      </c>
    </row>
    <row r="53" customFormat="false" ht="26.85" hidden="false" customHeight="false" outlineLevel="0" collapsed="false">
      <c r="A53" s="29" t="s">
        <v>8447</v>
      </c>
      <c r="B53" s="29" t="s">
        <v>8676</v>
      </c>
    </row>
    <row r="54" customFormat="false" ht="15" hidden="false" customHeight="false" outlineLevel="0" collapsed="false">
      <c r="A54" s="29" t="s">
        <v>8447</v>
      </c>
      <c r="B54" s="24" t="s">
        <v>8677</v>
      </c>
    </row>
    <row r="56" customFormat="false" ht="16.4" hidden="false" customHeight="false" outlineLevel="0" collapsed="false">
      <c r="A56" s="31" t="s">
        <v>8678</v>
      </c>
      <c r="B56" s="4"/>
      <c r="C56" s="4"/>
      <c r="D56" s="4"/>
    </row>
    <row r="57" customFormat="false" ht="15" hidden="false" customHeight="false" outlineLevel="0" collapsed="false">
      <c r="A57" s="41" t="s">
        <v>8443</v>
      </c>
      <c r="B57" s="41" t="s">
        <v>8429</v>
      </c>
    </row>
    <row r="58" customFormat="false" ht="15" hidden="false" customHeight="false" outlineLevel="0" collapsed="false">
      <c r="A58" s="29" t="s">
        <v>8447</v>
      </c>
      <c r="B58" s="24" t="s">
        <v>8679</v>
      </c>
    </row>
    <row r="59" customFormat="false" ht="15" hidden="false" customHeight="false" outlineLevel="0" collapsed="false">
      <c r="A59" s="29" t="s">
        <v>8447</v>
      </c>
      <c r="B59" s="24" t="s">
        <v>8680</v>
      </c>
    </row>
    <row r="60" customFormat="false" ht="15" hidden="false" customHeight="false" outlineLevel="0" collapsed="false">
      <c r="A60" s="29" t="s">
        <v>8447</v>
      </c>
      <c r="B60" s="24" t="s">
        <v>8681</v>
      </c>
    </row>
    <row r="61" customFormat="false" ht="15" hidden="false" customHeight="false" outlineLevel="0" collapsed="false">
      <c r="A61" s="29" t="s">
        <v>8447</v>
      </c>
      <c r="B61" s="24" t="s">
        <v>8682</v>
      </c>
    </row>
    <row r="62" customFormat="false" ht="15" hidden="false" customHeight="false" outlineLevel="0" collapsed="false">
      <c r="A62" s="29" t="s">
        <v>8447</v>
      </c>
      <c r="B62" s="24" t="s">
        <v>8683</v>
      </c>
    </row>
    <row r="63" customFormat="false" ht="15" hidden="false" customHeight="false" outlineLevel="0" collapsed="false">
      <c r="A63" s="29" t="s">
        <v>8447</v>
      </c>
      <c r="B63" s="24" t="s">
        <v>8684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60"/>
  </cols>
  <sheetData>
    <row r="1" customFormat="false" ht="30" hidden="false" customHeight="true" outlineLevel="0" collapsed="false">
      <c r="A1" s="16" t="s">
        <v>8685</v>
      </c>
      <c r="B1" s="16" t="s">
        <v>8686</v>
      </c>
      <c r="C1" s="16" t="s">
        <v>8687</v>
      </c>
      <c r="D1" s="16" t="s">
        <v>8688</v>
      </c>
    </row>
    <row r="2" customFormat="false" ht="26.85" hidden="false" customHeight="false" outlineLevel="0" collapsed="false">
      <c r="A2" s="24" t="s">
        <v>8689</v>
      </c>
      <c r="B2" s="24" t="s">
        <v>8690</v>
      </c>
      <c r="C2" s="30" t="s">
        <v>8691</v>
      </c>
      <c r="D2" s="24" t="s">
        <v>8692</v>
      </c>
    </row>
    <row r="3" customFormat="false" ht="52.2" hidden="false" customHeight="false" outlineLevel="0" collapsed="false">
      <c r="A3" s="24" t="s">
        <v>8693</v>
      </c>
      <c r="B3" s="24" t="s">
        <v>8694</v>
      </c>
      <c r="C3" s="30" t="s">
        <v>8695</v>
      </c>
      <c r="D3" s="24" t="s">
        <v>8696</v>
      </c>
    </row>
    <row r="4" customFormat="false" ht="39.55" hidden="false" customHeight="false" outlineLevel="0" collapsed="false">
      <c r="A4" s="24" t="s">
        <v>8697</v>
      </c>
      <c r="B4" s="24" t="s">
        <v>8698</v>
      </c>
      <c r="C4" s="30" t="s">
        <v>8699</v>
      </c>
      <c r="D4" s="24" t="s">
        <v>8700</v>
      </c>
    </row>
    <row r="5" customFormat="false" ht="26.85" hidden="false" customHeight="false" outlineLevel="0" collapsed="false">
      <c r="A5" s="24" t="s">
        <v>8701</v>
      </c>
      <c r="B5" s="24" t="s">
        <v>8702</v>
      </c>
      <c r="C5" s="30" t="s">
        <v>8703</v>
      </c>
      <c r="D5" s="24" t="s">
        <v>8704</v>
      </c>
    </row>
    <row r="6" customFormat="false" ht="26.85" hidden="false" customHeight="false" outlineLevel="0" collapsed="false">
      <c r="A6" s="24" t="s">
        <v>8705</v>
      </c>
      <c r="B6" s="24" t="s">
        <v>8706</v>
      </c>
      <c r="C6" s="30" t="s">
        <v>8707</v>
      </c>
      <c r="D6" s="24" t="s">
        <v>8708</v>
      </c>
    </row>
    <row r="7" customFormat="false" ht="26.85" hidden="false" customHeight="false" outlineLevel="0" collapsed="false">
      <c r="A7" s="24" t="s">
        <v>8709</v>
      </c>
      <c r="B7" s="24" t="s">
        <v>8710</v>
      </c>
      <c r="C7" s="30" t="s">
        <v>8711</v>
      </c>
      <c r="D7" s="24" t="s">
        <v>8712</v>
      </c>
    </row>
    <row r="8" customFormat="false" ht="26.85" hidden="false" customHeight="false" outlineLevel="0" collapsed="false">
      <c r="A8" s="24" t="s">
        <v>8713</v>
      </c>
      <c r="B8" s="24" t="s">
        <v>8714</v>
      </c>
      <c r="C8" s="30" t="s">
        <v>8715</v>
      </c>
      <c r="D8" s="24" t="s">
        <v>8716</v>
      </c>
    </row>
    <row r="9" customFormat="false" ht="26.85" hidden="false" customHeight="false" outlineLevel="0" collapsed="false">
      <c r="A9" s="24" t="s">
        <v>8717</v>
      </c>
      <c r="B9" s="24" t="s">
        <v>8718</v>
      </c>
      <c r="C9" s="30" t="s">
        <v>8719</v>
      </c>
      <c r="D9" s="24" t="s">
        <v>8720</v>
      </c>
    </row>
    <row r="10" customFormat="false" ht="39.55" hidden="false" customHeight="false" outlineLevel="0" collapsed="false">
      <c r="A10" s="24" t="s">
        <v>8721</v>
      </c>
      <c r="B10" s="24" t="s">
        <v>8722</v>
      </c>
      <c r="C10" s="30" t="s">
        <v>8723</v>
      </c>
      <c r="D10" s="24" t="s">
        <v>8724</v>
      </c>
    </row>
    <row r="11" customFormat="false" ht="39.55" hidden="false" customHeight="false" outlineLevel="0" collapsed="false">
      <c r="A11" s="24" t="s">
        <v>8725</v>
      </c>
      <c r="B11" s="24" t="s">
        <v>8726</v>
      </c>
      <c r="C11" s="30" t="s">
        <v>8727</v>
      </c>
      <c r="D11" s="24" t="s">
        <v>8728</v>
      </c>
    </row>
    <row r="12" customFormat="false" ht="39.55" hidden="false" customHeight="false" outlineLevel="0" collapsed="false">
      <c r="A12" s="24" t="s">
        <v>8729</v>
      </c>
      <c r="B12" s="24" t="s">
        <v>8730</v>
      </c>
      <c r="C12" s="30" t="s">
        <v>8731</v>
      </c>
      <c r="D12" s="24" t="s">
        <v>8732</v>
      </c>
    </row>
    <row r="13" customFormat="false" ht="39.55" hidden="false" customHeight="false" outlineLevel="0" collapsed="false">
      <c r="A13" s="24" t="s">
        <v>8733</v>
      </c>
      <c r="B13" s="24" t="s">
        <v>8734</v>
      </c>
      <c r="C13" s="30" t="s">
        <v>8735</v>
      </c>
      <c r="D13" s="24" t="s">
        <v>8736</v>
      </c>
    </row>
    <row r="14" customFormat="false" ht="26.85" hidden="false" customHeight="false" outlineLevel="0" collapsed="false">
      <c r="A14" s="24" t="s">
        <v>8737</v>
      </c>
      <c r="B14" s="24" t="s">
        <v>8738</v>
      </c>
      <c r="C14" s="30" t="s">
        <v>8739</v>
      </c>
      <c r="D14" s="24" t="s">
        <v>8740</v>
      </c>
    </row>
    <row r="16" customFormat="false" ht="15" hidden="false" customHeight="false" outlineLevel="0" collapsed="false">
      <c r="A16" s="7" t="s">
        <v>8741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40"/>
  </cols>
  <sheetData>
    <row r="1" customFormat="false" ht="20.85" hidden="false" customHeight="false" outlineLevel="0" collapsed="false">
      <c r="A1" s="1" t="s">
        <v>8742</v>
      </c>
    </row>
    <row r="2" customFormat="false" ht="15" hidden="false" customHeight="false" outlineLevel="0" collapsed="false">
      <c r="A2" s="2" t="s">
        <v>8743</v>
      </c>
    </row>
    <row r="4" customFormat="false" ht="15" hidden="false" customHeight="false" outlineLevel="0" collapsed="false">
      <c r="A4" s="41" t="s">
        <v>8744</v>
      </c>
      <c r="B4" s="41" t="s">
        <v>8745</v>
      </c>
      <c r="C4" s="41" t="s">
        <v>112</v>
      </c>
    </row>
    <row r="5" customFormat="false" ht="15" hidden="false" customHeight="false" outlineLevel="0" collapsed="false">
      <c r="A5" s="24" t="s">
        <v>7957</v>
      </c>
      <c r="B5" s="24" t="s">
        <v>8746</v>
      </c>
      <c r="C5" s="24" t="s">
        <v>8747</v>
      </c>
    </row>
    <row r="6" customFormat="false" ht="15" hidden="false" customHeight="false" outlineLevel="0" collapsed="false">
      <c r="A6" s="24" t="s">
        <v>8748</v>
      </c>
      <c r="B6" s="24" t="s">
        <v>8749</v>
      </c>
      <c r="C6" s="24" t="s">
        <v>8750</v>
      </c>
    </row>
    <row r="7" customFormat="false" ht="15" hidden="false" customHeight="false" outlineLevel="0" collapsed="false">
      <c r="A7" s="24" t="s">
        <v>7975</v>
      </c>
      <c r="B7" s="24" t="s">
        <v>8751</v>
      </c>
      <c r="C7" s="24"/>
    </row>
    <row r="8" customFormat="false" ht="15" hidden="false" customHeight="false" outlineLevel="0" collapsed="false">
      <c r="A8" s="24" t="s">
        <v>8752</v>
      </c>
      <c r="B8" s="24" t="s">
        <v>8753</v>
      </c>
      <c r="C8" s="24" t="s">
        <v>8754</v>
      </c>
    </row>
    <row r="9" customFormat="false" ht="15" hidden="false" customHeight="false" outlineLevel="0" collapsed="false">
      <c r="A9" s="24" t="s">
        <v>8755</v>
      </c>
      <c r="B9" s="24" t="s">
        <v>8756</v>
      </c>
      <c r="C9" s="24" t="s">
        <v>8757</v>
      </c>
    </row>
    <row r="10" customFormat="false" ht="15" hidden="false" customHeight="false" outlineLevel="0" collapsed="false">
      <c r="A10" s="24" t="s">
        <v>8758</v>
      </c>
      <c r="B10" s="24" t="s">
        <v>8759</v>
      </c>
      <c r="C10" s="24"/>
    </row>
    <row r="11" customFormat="false" ht="15" hidden="false" customHeight="false" outlineLevel="0" collapsed="false">
      <c r="A11" s="24" t="s">
        <v>8760</v>
      </c>
      <c r="B11" s="24" t="s">
        <v>8761</v>
      </c>
      <c r="C11" s="24" t="s">
        <v>8762</v>
      </c>
    </row>
    <row r="12" customFormat="false" ht="15" hidden="false" customHeight="false" outlineLevel="0" collapsed="false">
      <c r="A12" s="24" t="s">
        <v>8763</v>
      </c>
      <c r="B12" s="24" t="s">
        <v>8764</v>
      </c>
      <c r="C12" s="24"/>
    </row>
    <row r="13" customFormat="false" ht="15" hidden="false" customHeight="false" outlineLevel="0" collapsed="false">
      <c r="A13" s="24" t="s">
        <v>8116</v>
      </c>
      <c r="B13" s="24" t="s">
        <v>8765</v>
      </c>
      <c r="C13" s="24" t="s">
        <v>8750</v>
      </c>
    </row>
    <row r="14" customFormat="false" ht="15" hidden="false" customHeight="false" outlineLevel="0" collapsed="false">
      <c r="A14" s="24" t="s">
        <v>814</v>
      </c>
      <c r="B14" s="24" t="s">
        <v>8766</v>
      </c>
      <c r="C14" s="24" t="s">
        <v>8767</v>
      </c>
    </row>
    <row r="15" customFormat="false" ht="15" hidden="false" customHeight="false" outlineLevel="0" collapsed="false">
      <c r="A15" s="24" t="s">
        <v>8768</v>
      </c>
      <c r="B15" s="24" t="s">
        <v>3871</v>
      </c>
      <c r="C15" s="24" t="s">
        <v>8769</v>
      </c>
    </row>
    <row r="16" customFormat="false" ht="15" hidden="false" customHeight="false" outlineLevel="0" collapsed="false">
      <c r="A16" s="24" t="s">
        <v>8770</v>
      </c>
      <c r="B16" s="24" t="s">
        <v>8771</v>
      </c>
      <c r="C16" s="24"/>
    </row>
    <row r="17" customFormat="false" ht="15" hidden="false" customHeight="false" outlineLevel="0" collapsed="false">
      <c r="A17" s="24" t="s">
        <v>8772</v>
      </c>
      <c r="B17" s="24" t="s">
        <v>8773</v>
      </c>
      <c r="C17" s="24"/>
    </row>
    <row r="18" customFormat="false" ht="15" hidden="false" customHeight="false" outlineLevel="0" collapsed="false">
      <c r="A18" s="24" t="s">
        <v>8774</v>
      </c>
      <c r="B18" s="24" t="s">
        <v>8775</v>
      </c>
      <c r="C18" s="24" t="s">
        <v>8776</v>
      </c>
    </row>
    <row r="19" customFormat="false" ht="15" hidden="false" customHeight="false" outlineLevel="0" collapsed="false">
      <c r="A19" s="24" t="s">
        <v>8777</v>
      </c>
      <c r="B19" s="24" t="s">
        <v>8778</v>
      </c>
      <c r="C19" s="24" t="s">
        <v>8750</v>
      </c>
    </row>
    <row r="20" customFormat="false" ht="15" hidden="false" customHeight="false" outlineLevel="0" collapsed="false">
      <c r="A20" s="24" t="s">
        <v>8779</v>
      </c>
      <c r="B20" s="24" t="s">
        <v>8780</v>
      </c>
      <c r="C20" s="24"/>
    </row>
    <row r="21" customFormat="false" ht="15" hidden="false" customHeight="false" outlineLevel="0" collapsed="false">
      <c r="A21" s="24" t="s">
        <v>8781</v>
      </c>
      <c r="B21" s="24" t="s">
        <v>8782</v>
      </c>
      <c r="C21" s="24" t="s">
        <v>8783</v>
      </c>
    </row>
    <row r="22" customFormat="false" ht="15" hidden="false" customHeight="false" outlineLevel="0" collapsed="false">
      <c r="A22" s="24" t="s">
        <v>8784</v>
      </c>
      <c r="B22" s="24" t="s">
        <v>8785</v>
      </c>
      <c r="C22" s="24" t="s">
        <v>8786</v>
      </c>
    </row>
    <row r="23" customFormat="false" ht="15" hidden="false" customHeight="false" outlineLevel="0" collapsed="false">
      <c r="A23" s="24" t="s">
        <v>8787</v>
      </c>
      <c r="B23" s="24" t="s">
        <v>8788</v>
      </c>
      <c r="C23" s="24" t="s">
        <v>8789</v>
      </c>
    </row>
    <row r="24" customFormat="false" ht="15" hidden="false" customHeight="false" outlineLevel="0" collapsed="false">
      <c r="A24" s="24" t="s">
        <v>8790</v>
      </c>
      <c r="B24" s="24" t="s">
        <v>8791</v>
      </c>
      <c r="C24" s="24"/>
    </row>
    <row r="25" customFormat="false" ht="15" hidden="false" customHeight="false" outlineLevel="0" collapsed="false">
      <c r="A25" s="24" t="s">
        <v>8792</v>
      </c>
      <c r="B25" s="24" t="s">
        <v>8793</v>
      </c>
      <c r="C25" s="24" t="s">
        <v>8794</v>
      </c>
    </row>
    <row r="26" customFormat="false" ht="15" hidden="false" customHeight="false" outlineLevel="0" collapsed="false">
      <c r="A26" s="24" t="s">
        <v>8795</v>
      </c>
      <c r="B26" s="24" t="s">
        <v>8796</v>
      </c>
      <c r="C26" s="24" t="s">
        <v>8797</v>
      </c>
    </row>
    <row r="27" customFormat="false" ht="15" hidden="false" customHeight="false" outlineLevel="0" collapsed="false">
      <c r="A27" s="24" t="s">
        <v>8310</v>
      </c>
      <c r="B27" s="24" t="s">
        <v>8798</v>
      </c>
      <c r="C27" s="24" t="s">
        <v>8799</v>
      </c>
    </row>
    <row r="28" customFormat="false" ht="26.85" hidden="false" customHeight="false" outlineLevel="0" collapsed="false">
      <c r="A28" s="24" t="s">
        <v>8800</v>
      </c>
      <c r="B28" s="24" t="s">
        <v>8801</v>
      </c>
      <c r="C28" s="24" t="s">
        <v>8750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2026-10-22T15:14:27Z</dcterms:created>
  <dc:creator>openpyxl</dc:creator>
  <dc:description/>
  <dc:language>en-US</dc:language>
  <cp:lastModifiedBy/>
  <dcterms:modified xsi:type="dcterms:W3CDTF">2026-10-22T15:14:30Z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