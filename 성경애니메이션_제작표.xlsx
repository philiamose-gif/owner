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인물_캐릭터시트" sheetId="9" state="visible" r:id="rId11"/>
    <sheet name="교리감수_기준" sheetId="10" state="visible" r:id="rId12"/>
    <sheet name="제작템플릿" sheetId="11" state="visible" r:id="rId13"/>
    <sheet name="절기특집" sheetId="12" state="visible" r:id="rId14"/>
    <sheet name="표기통일" sheetId="13" state="visible" r:id="rId15"/>
  </sheets>
  <definedNames>
    <definedName function="false" hidden="true" localSheetId="1" name="_xlnm._FilterDatabase" vbProcedure="false">A타입_제작표!$A$1:$AD$799</definedName>
    <definedName function="false" hidden="true" localSheetId="2" name="_xlnm._FilterDatabase" vbProcedure="false">롱폼_시즌별!$A$1:$V$86</definedName>
    <definedName function="false" hidden="true" localSheetId="3" name="_xlnm._FilterDatabase" vbProcedure="false">롱폼_통합본!$A$1:$U$85</definedName>
    <definedName function="false" hidden="true" localSheetId="6" name="_xlnm._FilterDatabase" vbProcedure="false">시편_시리즈!$A$1:$X$151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P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재사용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본편 영상을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시편 </t>
        </r>
        <r>
          <rPr>
            <sz val="10"/>
            <rFont val="Arial"/>
            <family val="2"/>
          </rPr>
          <t xml:space="preserve">#' </t>
        </r>
        <r>
          <rPr>
            <sz val="10"/>
            <rFont val="WenQuanYi Zen Hei"/>
            <family val="2"/>
          </rPr>
          <t xml:space="preserve">제목으로 재업로드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신규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새로 제작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<sst xmlns="http://schemas.openxmlformats.org/spreadsheetml/2006/main" count="20927" uniqueCount="9714">
  <si>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</si>
  <si>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2026-10-22 | </t>
    </r>
    <r>
      <rPr>
        <sz val="10"/>
        <color rgb="FF595959"/>
        <rFont val="WenQuanYi Zen Hei"/>
        <family val="2"/>
      </rPr>
      <t xml:space="preserve">개역개정 표기 기준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</si>
  <si>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</si>
  <si>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</si>
  <si>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</si>
  <si>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</si>
  <si>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</si>
  <si>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</si>
  <si>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</si>
  <si>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</si>
  <si>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</si>
  <si>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진행 캐릭터 인트로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중간 질문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아웃트로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</si>
  <si>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</si>
  <si>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</si>
  <si>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</si>
  <si>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</si>
  <si>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</si>
  <si>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</si>
  <si>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</si>
  <si>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</si>
  <si>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</si>
  <si>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</si>
  <si>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</si>
  <si>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</si>
  <si>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</si>
  <si>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</si>
  <si>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</si>
  <si>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</si>
  <si>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</si>
  <si>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</si>
  <si>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</si>
  <si>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</si>
  <si>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본편에 있는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영상 재사용</t>
    </r>
    <r>
      <rPr>
        <sz val="10"/>
        <color rgb="FF000000"/>
        <rFont val="Arial"/>
        <family val="0"/>
        <charset val="1"/>
      </rPr>
      <t xml:space="preserve">, 119</t>
    </r>
    <r>
      <rPr>
        <sz val="10"/>
        <color rgb="FF000000"/>
        <rFont val="WenQuanYi Zen Hei"/>
        <family val="2"/>
      </rPr>
      <t xml:space="preserve">편 신규 제작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</si>
  <si>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</si>
  <si>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</si>
  <si>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</si>
  <si>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</si>
  <si>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</si>
  <si>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</si>
  <si>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</si>
  <si>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</si>
  <si>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</si>
  <si>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</si>
  <si>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</si>
  <si>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</si>
  <si>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</si>
  <si>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</si>
  <si>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</si>
  <si>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</si>
  <si>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</si>
  <si>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r>
      <rPr>
        <b val="true"/>
        <sz val="10"/>
        <color rgb="FF000000"/>
        <rFont val="WenQuanYi Zen Hei"/>
        <family val="2"/>
      </rPr>
      <t xml:space="preserve">시편 시리즈 신규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재사용</t>
    </r>
  </si>
  <si>
    <t xml:space="preserve">시편 시리즈 종료일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</si>
  <si>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</si>
  <si>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</si>
  <si>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</si>
  <si>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</si>
  <si>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</si>
  <si>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</si>
  <si>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</si>
  <si>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중간 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아웃트로 진행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</si>
  <si>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</si>
  <si>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개만 개역개정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</si>
  <si>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</si>
  <si>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</si>
  <si>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</si>
  <si>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</si>
  <si>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</si>
  <si>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제작</t>
    </r>
    <r>
      <rPr>
        <sz val="10"/>
        <color rgb="FF000000"/>
        <rFont val="Arial"/>
        <family val="0"/>
        <charset val="1"/>
      </rPr>
      <t xml:space="preserve">(31</t>
    </r>
    <r>
      <rPr>
        <sz val="10"/>
        <color rgb="FF000000"/>
        <rFont val="WenQuanYi Zen Hei"/>
        <family val="2"/>
      </rPr>
      <t xml:space="preserve">편 재사용 </t>
    </r>
    <r>
      <rPr>
        <sz val="10"/>
        <color rgb="FF000000"/>
        <rFont val="Arial"/>
        <family val="0"/>
        <charset val="1"/>
      </rPr>
      <t xml:space="preserve">+ 119</t>
    </r>
    <r>
      <rPr>
        <sz val="10"/>
        <color rgb="FF000000"/>
        <rFont val="WenQuanYi Zen Hei"/>
        <family val="2"/>
      </rPr>
      <t xml:space="preserve">편 신규</t>
    </r>
    <r>
      <rPr>
        <sz val="10"/>
        <color rgb="FF000000"/>
        <rFont val="Arial"/>
        <family val="0"/>
        <charset val="1"/>
      </rPr>
      <t xml:space="preserve">);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</si>
  <si>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</si>
  <si>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</si>
  <si>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</si>
  <si>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</si>
  <si>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</si>
  <si>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</si>
  <si>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진행자 인트로 질문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</si>
  <si>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</si>
  <si>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재사용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신규 구분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</si>
  <si>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</si>
  <si>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</si>
  <si>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</si>
  <si>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</si>
  <si>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</si>
  <si>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</si>
  <si>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</si>
  <si>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</si>
  <si>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</si>
  <si>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</si>
  <si>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</si>
  <si>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</si>
  <si>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</si>
  <si>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</si>
  <si>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</si>
  <si>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개역개정 기준 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</si>
  <si>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</si>
  <si>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</si>
  <si>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</si>
  <si>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</si>
  <si>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</si>
  <si>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</si>
  <si>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</si>
  <si>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</si>
  <si>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</si>
  <si>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</si>
  <si>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</si>
  <si>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</si>
  <si>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</si>
  <si>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</si>
  <si>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</si>
  <si>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</si>
  <si>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</si>
  <si>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</si>
  <si>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</si>
  <si>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</si>
  <si>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</si>
  <si>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t xml:space="preserve">유튜브 제목안</t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</si>
  <si>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</si>
  <si>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</si>
  <si>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</si>
  <si>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</si>
  <si>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</si>
  <si>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</si>
  <si>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</si>
  <si>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</si>
  <si>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</si>
  <si>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</si>
  <si>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</si>
  <si>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</si>
  <si>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</si>
  <si>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</si>
  <si>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</si>
  <si>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</si>
  <si>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</si>
  <si>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</si>
  <si>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</si>
  <si>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</si>
  <si>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</si>
  <si>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</si>
  <si>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</si>
  <si>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</si>
  <si>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</si>
  <si>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</si>
  <si>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</si>
  <si>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</si>
  <si>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</si>
  <si>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</si>
  <si>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</si>
  <si>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</si>
  <si>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</si>
  <si>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</si>
  <si>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</si>
  <si>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</si>
  <si>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</si>
  <si>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</si>
  <si>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</si>
  <si>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</si>
  <si>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</si>
  <si>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</si>
  <si>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</si>
  <si>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</si>
  <si>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</si>
  <si>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</si>
  <si>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</si>
  <si>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</si>
  <si>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</si>
  <si>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</si>
  <si>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</si>
  <si>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</si>
  <si>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</si>
  <si>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</si>
  <si>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</si>
  <si>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</si>
  <si>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</si>
  <si>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</si>
  <si>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</si>
  <si>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</si>
  <si>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</si>
  <si>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</si>
  <si>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</si>
  <si>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</si>
  <si>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</si>
  <si>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</si>
  <si>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</si>
  <si>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</si>
  <si>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</si>
  <si>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</si>
  <si>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</si>
  <si>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</si>
  <si>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</si>
  <si>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</si>
  <si>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</si>
  <si>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</si>
  <si>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</si>
  <si>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</si>
  <si>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</si>
  <si>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</si>
  <si>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</si>
  <si>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</si>
  <si>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</si>
  <si>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</si>
  <si>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</si>
  <si>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</si>
  <si>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</si>
  <si>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</si>
  <si>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</si>
  <si>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</si>
  <si>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</si>
  <si>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</si>
  <si>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</si>
  <si>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</si>
  <si>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</si>
  <si>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</si>
  <si>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</si>
  <si>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</si>
  <si>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</si>
  <si>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</si>
  <si>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</si>
  <si>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</si>
  <si>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</si>
  <si>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</si>
  <si>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</si>
  <si>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</si>
  <si>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</si>
  <si>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</si>
  <si>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</si>
  <si>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</si>
  <si>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</si>
  <si>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</si>
  <si>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</si>
  <si>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</si>
  <si>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</si>
  <si>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</si>
  <si>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</si>
  <si>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</si>
  <si>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</si>
  <si>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</si>
  <si>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</si>
  <si>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</si>
  <si>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</si>
  <si>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</si>
  <si>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</si>
  <si>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</si>
  <si>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</si>
  <si>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</si>
  <si>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</si>
  <si>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</si>
  <si>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</si>
  <si>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</si>
  <si>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</si>
  <si>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</si>
  <si>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</si>
  <si>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</si>
  <si>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</si>
  <si>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</si>
  <si>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</si>
  <si>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</si>
  <si>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</si>
  <si>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</si>
  <si>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</si>
  <si>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</si>
  <si>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</si>
  <si>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</si>
  <si>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</si>
  <si>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노아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</si>
  <si>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</si>
  <si>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</si>
  <si>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</si>
  <si>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</si>
  <si>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</si>
  <si>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</si>
  <si>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</si>
  <si>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</si>
  <si>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</si>
  <si>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</si>
  <si>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</si>
  <si>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</si>
  <si>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</si>
  <si>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</si>
  <si>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</si>
  <si>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</si>
  <si>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</si>
  <si>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</si>
  <si>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</si>
  <si>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</si>
  <si>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</si>
  <si>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</si>
  <si>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</si>
  <si>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</si>
  <si>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</si>
  <si>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</si>
  <si>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</si>
  <si>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</si>
  <si>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</si>
  <si>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</si>
  <si>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</si>
  <si>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</si>
  <si>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</si>
  <si>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</si>
  <si>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</si>
  <si>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</si>
  <si>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</si>
  <si>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</si>
  <si>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</si>
  <si>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</si>
  <si>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</si>
  <si>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</si>
  <si>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</si>
  <si>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</si>
  <si>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</si>
  <si>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</si>
  <si>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</si>
  <si>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</si>
  <si>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</si>
  <si>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</si>
  <si>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</si>
  <si>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</si>
  <si>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</si>
  <si>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</si>
  <si>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</si>
  <si>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</si>
  <si>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</si>
  <si>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</si>
  <si>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</si>
  <si>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</si>
  <si>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</si>
  <si>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</si>
  <si>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</si>
  <si>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</si>
  <si>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</si>
  <si>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</si>
  <si>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</si>
  <si>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</si>
  <si>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</si>
  <si>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</si>
  <si>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</si>
  <si>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</si>
  <si>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</si>
  <si>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</si>
  <si>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</si>
  <si>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</si>
  <si>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</si>
  <si>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</si>
  <si>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</si>
  <si>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</si>
  <si>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</si>
  <si>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</si>
  <si>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</si>
  <si>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</si>
  <si>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</si>
  <si>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</si>
  <si>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</si>
  <si>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</si>
  <si>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</si>
  <si>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</si>
  <si>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</si>
  <si>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</si>
  <si>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</si>
  <si>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</si>
  <si>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</si>
  <si>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</si>
  <si>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</si>
  <si>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</si>
  <si>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</si>
  <si>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</si>
  <si>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</si>
  <si>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</si>
  <si>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</si>
  <si>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</si>
  <si>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</si>
  <si>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</si>
  <si>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</si>
  <si>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</si>
  <si>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</si>
  <si>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</si>
  <si>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</si>
  <si>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</si>
  <si>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</si>
  <si>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</si>
  <si>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</si>
  <si>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</si>
  <si>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</si>
  <si>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</si>
  <si>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</si>
  <si>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</si>
  <si>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</si>
  <si>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</si>
  <si>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</si>
  <si>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</si>
  <si>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</si>
  <si>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</si>
  <si>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</si>
  <si>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</si>
  <si>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</si>
  <si>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</si>
  <si>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</si>
  <si>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</si>
  <si>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</si>
  <si>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</si>
  <si>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</si>
  <si>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</si>
  <si>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</si>
  <si>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</si>
  <si>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</si>
  <si>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</si>
  <si>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</si>
  <si>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</si>
  <si>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</si>
  <si>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</si>
  <si>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</si>
  <si>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</si>
  <si>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</si>
  <si>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</si>
  <si>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</si>
  <si>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</si>
  <si>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</si>
  <si>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</si>
  <si>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</si>
  <si>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</si>
  <si>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</si>
  <si>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아브라함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</si>
  <si>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</si>
  <si>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</si>
  <si>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</si>
  <si>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19:1-29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</si>
  <si>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</si>
  <si>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</si>
  <si>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</si>
  <si>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</si>
  <si>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</si>
  <si>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</si>
  <si>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</si>
  <si>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</si>
  <si>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</si>
  <si>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</si>
  <si>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</si>
  <si>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</si>
  <si>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</si>
  <si>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</si>
  <si>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</si>
  <si>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</si>
  <si>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</si>
  <si>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</si>
  <si>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</si>
  <si>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</si>
  <si>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</si>
  <si>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</si>
  <si>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19:1-29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</si>
  <si>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</si>
  <si>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</si>
  <si>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</si>
  <si>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</si>
  <si>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</si>
  <si>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</si>
  <si>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</si>
  <si>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</si>
  <si>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</si>
  <si>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</si>
  <si>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</si>
  <si>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</si>
  <si>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</si>
  <si>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</si>
  <si>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</si>
  <si>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</si>
  <si>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</si>
  <si>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</si>
  <si>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</si>
  <si>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</si>
  <si>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</si>
  <si>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</si>
  <si>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</si>
  <si>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</si>
  <si>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</si>
  <si>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</si>
  <si>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</si>
  <si>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</si>
  <si>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</si>
  <si>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</si>
  <si>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</si>
  <si>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</si>
  <si>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</si>
  <si>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</si>
  <si>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</si>
  <si>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</si>
  <si>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</si>
  <si>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</si>
  <si>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</si>
  <si>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</si>
  <si>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</si>
  <si>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</si>
  <si>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</si>
  <si>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</si>
  <si>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</si>
  <si>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</si>
  <si>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</si>
  <si>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</si>
  <si>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</si>
  <si>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</si>
  <si>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</si>
  <si>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</si>
  <si>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</si>
  <si>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</si>
  <si>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</si>
  <si>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</si>
  <si>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</si>
  <si>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</si>
  <si>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</si>
  <si>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</si>
  <si>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</si>
  <si>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</si>
  <si>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</si>
  <si>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</si>
  <si>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</si>
  <si>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</si>
  <si>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</si>
  <si>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</si>
  <si>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</si>
  <si>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</si>
  <si>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</si>
  <si>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</si>
  <si>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</si>
  <si>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</si>
  <si>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</si>
  <si>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</si>
  <si>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</si>
  <si>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</si>
  <si>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</si>
  <si>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</si>
  <si>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</si>
  <si>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</si>
  <si>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</si>
  <si>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</si>
  <si>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</si>
  <si>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</si>
  <si>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</si>
  <si>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</si>
  <si>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</si>
  <si>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</si>
  <si>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</si>
  <si>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</si>
  <si>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</si>
  <si>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</si>
  <si>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</si>
  <si>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</si>
  <si>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</si>
  <si>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</si>
  <si>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</si>
  <si>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</si>
  <si>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</si>
  <si>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</si>
  <si>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</si>
  <si>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</si>
  <si>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</si>
  <si>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</si>
  <si>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</si>
  <si>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</si>
  <si>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</si>
  <si>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</si>
  <si>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</si>
  <si>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</si>
  <si>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</si>
  <si>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</si>
  <si>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</si>
  <si>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</si>
  <si>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</si>
  <si>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</si>
  <si>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</si>
  <si>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</si>
  <si>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</si>
  <si>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</si>
  <si>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</si>
  <si>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</si>
  <si>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</si>
  <si>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</si>
  <si>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</si>
  <si>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</si>
  <si>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</si>
  <si>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</si>
  <si>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</si>
  <si>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</si>
  <si>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</si>
  <si>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</si>
  <si>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</si>
  <si>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</si>
  <si>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</si>
  <si>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</si>
  <si>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</si>
  <si>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</si>
  <si>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</si>
  <si>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</si>
  <si>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</si>
  <si>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</si>
  <si>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</si>
  <si>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</si>
  <si>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</si>
  <si>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</si>
  <si>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</si>
  <si>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</si>
  <si>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</si>
  <si>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</si>
  <si>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</si>
  <si>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</si>
  <si>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</si>
  <si>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</si>
  <si>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</si>
  <si>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</si>
  <si>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</si>
  <si>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</si>
  <si>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</si>
  <si>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</si>
  <si>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</si>
  <si>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</si>
  <si>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</si>
  <si>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</si>
  <si>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</si>
  <si>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</si>
  <si>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</si>
  <si>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</si>
  <si>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</si>
  <si>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</si>
  <si>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</si>
  <si>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</si>
  <si>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</si>
  <si>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</si>
  <si>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</si>
  <si>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</si>
  <si>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</si>
  <si>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</si>
  <si>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</si>
  <si>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</si>
  <si>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</si>
  <si>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</si>
  <si>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</si>
  <si>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</si>
  <si>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</si>
  <si>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</si>
  <si>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</si>
  <si>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</si>
  <si>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</si>
  <si>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</si>
  <si>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</si>
  <si>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</si>
  <si>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</si>
  <si>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</si>
  <si>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</si>
  <si>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</si>
  <si>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</si>
  <si>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</si>
  <si>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</si>
  <si>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</si>
  <si>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</si>
  <si>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</si>
  <si>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</si>
  <si>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</si>
  <si>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</si>
  <si>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</si>
  <si>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</si>
  <si>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</si>
  <si>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</si>
  <si>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</si>
  <si>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</si>
  <si>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</si>
  <si>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</si>
  <si>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</si>
  <si>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</si>
  <si>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</si>
  <si>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</si>
  <si>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</si>
  <si>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</si>
  <si>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</si>
  <si>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</si>
  <si>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</si>
  <si>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</si>
  <si>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</si>
  <si>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</si>
  <si>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</si>
  <si>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</si>
  <si>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</si>
  <si>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</si>
  <si>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</si>
  <si>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</si>
  <si>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</si>
  <si>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</si>
  <si>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</si>
  <si>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</si>
  <si>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</si>
  <si>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</si>
  <si>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</si>
  <si>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</si>
  <si>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</si>
  <si>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</si>
  <si>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</si>
  <si>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</si>
  <si>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</si>
  <si>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</si>
  <si>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</si>
  <si>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</si>
  <si>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</si>
  <si>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</si>
  <si>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</si>
  <si>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</si>
  <si>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</si>
  <si>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</si>
  <si>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</si>
  <si>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</si>
  <si>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</si>
  <si>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</si>
  <si>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</si>
  <si>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</si>
  <si>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</si>
  <si>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</si>
  <si>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</si>
  <si>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</si>
  <si>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</si>
  <si>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</si>
  <si>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</si>
  <si>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</si>
  <si>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</si>
  <si>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</si>
  <si>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</si>
  <si>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</si>
  <si>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</si>
  <si>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</si>
  <si>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</si>
  <si>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</si>
  <si>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</si>
  <si>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</si>
  <si>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</si>
  <si>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</si>
  <si>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</si>
  <si>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</si>
  <si>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</si>
  <si>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</si>
  <si>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</si>
  <si>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</si>
  <si>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</si>
  <si>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</si>
  <si>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</si>
  <si>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</si>
  <si>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</si>
  <si>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</si>
  <si>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</si>
  <si>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</si>
  <si>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</si>
  <si>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</si>
  <si>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</si>
  <si>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</si>
  <si>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</si>
  <si>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</si>
  <si>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</si>
  <si>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</si>
  <si>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</si>
  <si>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</si>
  <si>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</si>
  <si>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</si>
  <si>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</si>
  <si>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</si>
  <si>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</si>
  <si>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</si>
  <si>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</si>
  <si>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</si>
  <si>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</si>
  <si>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</si>
  <si>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</si>
  <si>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</si>
  <si>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</si>
  <si>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</si>
  <si>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</si>
  <si>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</si>
  <si>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</si>
  <si>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</si>
  <si>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</si>
  <si>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</si>
  <si>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</si>
  <si>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</si>
  <si>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</si>
  <si>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</si>
  <si>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</si>
  <si>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</si>
  <si>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</si>
  <si>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</si>
  <si>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</si>
  <si>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</si>
  <si>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</si>
  <si>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</si>
  <si>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</si>
  <si>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</si>
  <si>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</si>
  <si>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</si>
  <si>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</si>
  <si>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</si>
  <si>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</si>
  <si>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</si>
  <si>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</si>
  <si>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</si>
  <si>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</si>
  <si>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</si>
  <si>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</si>
  <si>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</si>
  <si>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</si>
  <si>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</si>
  <si>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</si>
  <si>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</si>
  <si>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</si>
  <si>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</si>
  <si>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</si>
  <si>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</si>
  <si>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</si>
  <si>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</si>
  <si>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</si>
  <si>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</si>
  <si>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</si>
  <si>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</si>
  <si>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</si>
  <si>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</si>
  <si>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</si>
  <si>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</si>
  <si>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</si>
  <si>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</si>
  <si>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</si>
  <si>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</si>
  <si>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</si>
  <si>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</si>
  <si>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</si>
  <si>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</si>
  <si>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</si>
  <si>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</si>
  <si>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</si>
  <si>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</si>
  <si>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</si>
  <si>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</si>
  <si>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</si>
  <si>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</si>
  <si>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</si>
  <si>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</si>
  <si>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</si>
  <si>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</si>
  <si>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</si>
  <si>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</si>
  <si>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</si>
  <si>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</si>
  <si>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</si>
  <si>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</si>
  <si>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</si>
  <si>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</si>
  <si>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</si>
  <si>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</si>
  <si>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</si>
  <si>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</si>
  <si>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</si>
  <si>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</si>
  <si>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</si>
  <si>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</si>
  <si>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</si>
  <si>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</si>
  <si>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</si>
  <si>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</si>
  <si>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</si>
  <si>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</si>
  <si>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</si>
  <si>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</si>
  <si>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</si>
  <si>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</si>
  <si>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</si>
  <si>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</si>
  <si>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</si>
  <si>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</si>
  <si>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</si>
  <si>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</si>
  <si>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</si>
  <si>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</si>
  <si>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</si>
  <si>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</si>
  <si>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</si>
  <si>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A0084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</si>
  <si>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</si>
  <si>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</si>
  <si>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</si>
  <si>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</si>
  <si>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</si>
  <si>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</si>
  <si>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</si>
  <si>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</si>
  <si>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</si>
  <si>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</si>
  <si>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</si>
  <si>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</si>
  <si>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</si>
  <si>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</si>
  <si>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</si>
  <si>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</si>
  <si>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</si>
  <si>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</si>
  <si>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</si>
  <si>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</si>
  <si>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</si>
  <si>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</si>
  <si>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</si>
  <si>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</si>
  <si>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</si>
  <si>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</si>
  <si>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</si>
  <si>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</si>
  <si>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</si>
  <si>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</si>
  <si>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</si>
  <si>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</si>
  <si>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</si>
  <si>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</si>
  <si>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</si>
  <si>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</si>
  <si>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</si>
  <si>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</si>
  <si>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</si>
  <si>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</si>
  <si>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</si>
  <si>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</si>
  <si>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</si>
  <si>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</si>
  <si>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</si>
  <si>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</si>
  <si>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</si>
  <si>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</si>
  <si>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</si>
  <si>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</si>
  <si>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</si>
  <si>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</si>
  <si>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</si>
  <si>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</si>
  <si>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A0090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</si>
  <si>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</si>
  <si>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</si>
  <si>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</si>
  <si>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</si>
  <si>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</si>
  <si>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</si>
  <si>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</si>
  <si>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</si>
  <si>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</si>
  <si>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</si>
  <si>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</si>
  <si>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</si>
  <si>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</si>
  <si>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</si>
  <si>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</si>
  <si>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</si>
  <si>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</si>
  <si>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</si>
  <si>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</si>
  <si>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</si>
  <si>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</si>
  <si>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</si>
  <si>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</si>
  <si>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</si>
  <si>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</si>
  <si>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</si>
  <si>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</si>
  <si>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</si>
  <si>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</si>
  <si>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</si>
  <si>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</si>
  <si>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</si>
  <si>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</si>
  <si>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</si>
  <si>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</si>
  <si>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</si>
  <si>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</si>
  <si>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</si>
  <si>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</si>
  <si>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</si>
  <si>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</si>
  <si>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</si>
  <si>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</si>
  <si>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</si>
  <si>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</si>
  <si>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</si>
  <si>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</si>
  <si>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</si>
  <si>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</si>
  <si>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</si>
  <si>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</si>
  <si>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</si>
  <si>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</si>
  <si>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</si>
  <si>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</si>
  <si>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</si>
  <si>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</si>
  <si>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</si>
  <si>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</si>
  <si>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</si>
  <si>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</si>
  <si>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</si>
  <si>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</si>
  <si>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</si>
  <si>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</si>
  <si>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</si>
  <si>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</si>
  <si>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</si>
  <si>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</si>
  <si>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</si>
  <si>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</si>
  <si>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</si>
  <si>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</si>
  <si>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</si>
  <si>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</si>
  <si>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</si>
  <si>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</si>
  <si>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</si>
  <si>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</si>
  <si>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</si>
  <si>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</si>
  <si>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</si>
  <si>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</si>
  <si>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</si>
  <si>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</si>
  <si>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</si>
  <si>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</si>
  <si>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</si>
  <si>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</si>
  <si>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</si>
  <si>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</si>
  <si>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</si>
  <si>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</si>
  <si>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A0101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</si>
  <si>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</si>
  <si>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</si>
  <si>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</si>
  <si>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</si>
  <si>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</si>
  <si>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</si>
  <si>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</si>
  <si>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</si>
  <si>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</si>
  <si>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</si>
  <si>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</si>
  <si>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</si>
  <si>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</si>
  <si>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</si>
  <si>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</si>
  <si>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</si>
  <si>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</si>
  <si>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</si>
  <si>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</si>
  <si>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</si>
  <si>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</si>
  <si>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</si>
  <si>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</si>
  <si>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</si>
  <si>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</si>
  <si>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</si>
  <si>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</si>
  <si>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</si>
  <si>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</si>
  <si>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</si>
  <si>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</si>
  <si>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</si>
  <si>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</si>
  <si>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</si>
  <si>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</si>
  <si>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</si>
  <si>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</si>
  <si>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</si>
  <si>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</si>
  <si>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</si>
  <si>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</si>
  <si>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</si>
  <si>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</si>
  <si>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</si>
  <si>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</si>
  <si>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</si>
  <si>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</si>
  <si>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</si>
  <si>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</si>
  <si>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</si>
  <si>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</si>
  <si>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</si>
  <si>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</si>
  <si>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</si>
  <si>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</si>
  <si>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</si>
  <si>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</si>
  <si>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</si>
  <si>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</si>
  <si>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</si>
  <si>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</si>
  <si>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</si>
  <si>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</si>
  <si>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</si>
  <si>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</si>
  <si>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</si>
  <si>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</si>
  <si>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</si>
  <si>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</si>
  <si>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</si>
  <si>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</si>
  <si>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A0109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</si>
  <si>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</si>
  <si>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</si>
  <si>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</si>
  <si>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</si>
  <si>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</si>
  <si>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</si>
  <si>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</si>
  <si>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</si>
  <si>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</si>
  <si>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</si>
  <si>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</si>
  <si>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</si>
  <si>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</si>
  <si>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</si>
  <si>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</si>
  <si>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</si>
  <si>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</si>
  <si>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</si>
  <si>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</si>
  <si>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</si>
  <si>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</si>
  <si>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</si>
  <si>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</si>
  <si>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t xml:space="preserve">모세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</si>
  <si>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</si>
  <si>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</si>
  <si>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</si>
  <si>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</si>
  <si>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</si>
  <si>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</si>
  <si>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</si>
  <si>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</si>
  <si>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</si>
  <si>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</si>
  <si>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</si>
  <si>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</si>
  <si>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</si>
  <si>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</si>
  <si>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</si>
  <si>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</si>
  <si>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</si>
  <si>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</si>
  <si>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</si>
  <si>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</si>
  <si>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</si>
  <si>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</si>
  <si>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</si>
  <si>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</si>
  <si>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</si>
  <si>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</si>
  <si>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</si>
  <si>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</si>
  <si>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</si>
  <si>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</si>
  <si>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</si>
  <si>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</si>
  <si>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</si>
  <si>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</si>
  <si>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</si>
  <si>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</si>
  <si>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</si>
  <si>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</si>
  <si>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</si>
  <si>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</si>
  <si>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</si>
  <si>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</si>
  <si>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</si>
  <si>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</si>
  <si>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</si>
  <si>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</si>
  <si>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</si>
  <si>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</si>
  <si>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</si>
  <si>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</si>
  <si>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</si>
  <si>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</si>
  <si>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</si>
  <si>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</si>
  <si>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</si>
  <si>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</si>
  <si>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</si>
  <si>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</si>
  <si>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</si>
  <si>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</si>
  <si>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</si>
  <si>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</si>
  <si>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</si>
  <si>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</si>
  <si>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</si>
  <si>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</si>
  <si>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</si>
  <si>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</si>
  <si>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</si>
  <si>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</si>
  <si>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</si>
  <si>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</si>
  <si>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</si>
  <si>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</si>
  <si>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</si>
  <si>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</si>
  <si>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</si>
  <si>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</si>
  <si>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</si>
  <si>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</si>
  <si>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</si>
  <si>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</si>
  <si>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</si>
  <si>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</si>
  <si>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</si>
  <si>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</si>
  <si>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</si>
  <si>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</si>
  <si>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</si>
  <si>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</si>
  <si>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</si>
  <si>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</si>
  <si>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</si>
  <si>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</si>
  <si>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</si>
  <si>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</si>
  <si>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</si>
  <si>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</si>
  <si>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</si>
  <si>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</si>
  <si>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</si>
  <si>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</si>
  <si>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</si>
  <si>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</si>
  <si>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</si>
  <si>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8:1-10:7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</si>
  <si>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</si>
  <si>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</si>
  <si>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</si>
  <si>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</si>
  <si>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</si>
  <si>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</si>
  <si>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</si>
  <si>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</si>
  <si>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</si>
  <si>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</si>
  <si>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</si>
  <si>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</si>
  <si>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</si>
  <si>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</si>
  <si>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</si>
  <si>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</si>
  <si>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</si>
  <si>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</si>
  <si>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</si>
  <si>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</si>
  <si>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</si>
  <si>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</si>
  <si>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</si>
  <si>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8:1-10:7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</si>
  <si>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</si>
  <si>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</si>
  <si>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</si>
  <si>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</si>
  <si>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</si>
  <si>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</si>
  <si>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</si>
  <si>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</si>
  <si>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</si>
  <si>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</si>
  <si>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</si>
  <si>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</si>
  <si>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</si>
  <si>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</si>
  <si>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</si>
  <si>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</si>
  <si>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</si>
  <si>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</si>
  <si>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</si>
  <si>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</si>
  <si>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</si>
  <si>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</si>
  <si>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</si>
  <si>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</si>
  <si>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</si>
  <si>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</si>
  <si>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</si>
  <si>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</si>
  <si>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</si>
  <si>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</si>
  <si>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</si>
  <si>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</si>
  <si>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</si>
  <si>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</si>
  <si>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</si>
  <si>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</si>
  <si>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</si>
  <si>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</si>
  <si>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</si>
  <si>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</si>
  <si>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</si>
  <si>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</si>
  <si>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</si>
  <si>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</si>
  <si>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</si>
  <si>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</si>
  <si>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</si>
  <si>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</si>
  <si>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</si>
  <si>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</si>
  <si>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</si>
  <si>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</si>
  <si>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</si>
  <si>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</si>
  <si>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</si>
  <si>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</si>
  <si>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</si>
  <si>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</si>
  <si>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</si>
  <si>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</si>
  <si>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</si>
  <si>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</si>
  <si>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</si>
  <si>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</si>
  <si>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</si>
  <si>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</si>
  <si>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</si>
  <si>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</si>
  <si>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</si>
  <si>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</si>
  <si>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</si>
  <si>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</si>
  <si>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</si>
  <si>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</si>
  <si>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</si>
  <si>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</si>
  <si>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</si>
  <si>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</si>
  <si>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</si>
  <si>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</si>
  <si>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</si>
  <si>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</si>
  <si>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</si>
  <si>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</si>
  <si>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</si>
  <si>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</si>
  <si>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</si>
  <si>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</si>
  <si>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</si>
  <si>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</si>
  <si>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</si>
  <si>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</si>
  <si>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</si>
  <si>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</si>
  <si>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</si>
  <si>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</si>
  <si>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</si>
  <si>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</si>
  <si>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</si>
  <si>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</si>
  <si>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</si>
  <si>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</si>
  <si>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</si>
  <si>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</si>
  <si>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</si>
  <si>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A0139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</si>
  <si>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</si>
  <si>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</si>
  <si>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</si>
  <si>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</si>
  <si>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</si>
  <si>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</si>
  <si>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</si>
  <si>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</si>
  <si>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</si>
  <si>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</si>
  <si>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</si>
  <si>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</si>
  <si>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</si>
  <si>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</si>
  <si>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</si>
  <si>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</si>
  <si>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</si>
  <si>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</si>
  <si>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</si>
  <si>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</si>
  <si>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</si>
  <si>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</si>
  <si>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</si>
  <si>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</si>
  <si>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</si>
  <si>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</si>
  <si>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</si>
  <si>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</si>
  <si>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</si>
  <si>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</si>
  <si>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</si>
  <si>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</si>
  <si>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</si>
  <si>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</si>
  <si>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</si>
  <si>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</si>
  <si>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</si>
  <si>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</si>
  <si>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</si>
  <si>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</si>
  <si>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</si>
  <si>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</si>
  <si>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</si>
  <si>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</si>
  <si>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</si>
  <si>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</si>
  <si>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</si>
  <si>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</si>
  <si>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</si>
  <si>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</si>
  <si>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</si>
  <si>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</si>
  <si>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</si>
  <si>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</si>
  <si>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</si>
  <si>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</si>
  <si>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</si>
  <si>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</si>
  <si>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t xml:space="preserve">A0146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</si>
  <si>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</si>
  <si>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</si>
  <si>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</si>
  <si>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</si>
  <si>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</si>
  <si>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</si>
  <si>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</si>
  <si>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</si>
  <si>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</si>
  <si>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</si>
  <si>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</si>
  <si>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</si>
  <si>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</si>
  <si>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</si>
  <si>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</si>
  <si>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</si>
  <si>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</si>
  <si>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</si>
  <si>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</si>
  <si>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</si>
  <si>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</si>
  <si>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</si>
  <si>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</si>
  <si>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</si>
  <si>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</si>
  <si>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</si>
  <si>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</si>
  <si>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</si>
  <si>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</si>
  <si>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</si>
  <si>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</si>
  <si>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</si>
  <si>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</si>
  <si>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</si>
  <si>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</si>
  <si>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</si>
  <si>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</si>
  <si>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</si>
  <si>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</si>
  <si>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</si>
  <si>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</si>
  <si>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</si>
  <si>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</si>
  <si>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</si>
  <si>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</si>
  <si>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</si>
  <si>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</si>
  <si>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</si>
  <si>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</si>
  <si>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</si>
  <si>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</si>
  <si>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</si>
  <si>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</si>
  <si>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</si>
  <si>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</si>
  <si>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</si>
  <si>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</si>
  <si>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</si>
  <si>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</si>
  <si>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</si>
  <si>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</si>
  <si>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</si>
  <si>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</si>
  <si>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</si>
  <si>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</si>
  <si>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</si>
  <si>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</si>
  <si>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</si>
  <si>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</si>
  <si>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</si>
  <si>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</si>
  <si>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</si>
  <si>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</si>
  <si>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</si>
  <si>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</si>
  <si>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</si>
  <si>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</si>
  <si>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</si>
  <si>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</si>
  <si>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</si>
  <si>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</si>
  <si>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</si>
  <si>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</si>
  <si>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</si>
  <si>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</si>
  <si>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</si>
  <si>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</si>
  <si>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</si>
  <si>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</si>
  <si>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</si>
  <si>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</si>
  <si>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</si>
  <si>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</si>
  <si>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</si>
  <si>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</si>
  <si>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</si>
  <si>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</si>
  <si>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</si>
  <si>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</si>
  <si>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</si>
  <si>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</si>
  <si>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</si>
  <si>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</si>
  <si>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</si>
  <si>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</si>
  <si>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</si>
  <si>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</si>
  <si>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</si>
  <si>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</si>
  <si>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</si>
  <si>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</si>
  <si>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</si>
  <si>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</si>
  <si>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</si>
  <si>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</si>
  <si>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</si>
  <si>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</si>
  <si>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</si>
  <si>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</si>
  <si>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</si>
  <si>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</si>
  <si>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</si>
  <si>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</si>
  <si>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</si>
  <si>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</si>
  <si>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</si>
  <si>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</si>
  <si>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</si>
  <si>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</si>
  <si>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</si>
  <si>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</si>
  <si>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</si>
  <si>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</si>
  <si>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</si>
  <si>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</si>
  <si>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</si>
  <si>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</si>
  <si>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</si>
  <si>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</si>
  <si>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</si>
  <si>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</si>
  <si>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</si>
  <si>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</si>
  <si>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</si>
  <si>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</si>
  <si>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</si>
  <si>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</si>
  <si>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</si>
  <si>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</si>
  <si>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</si>
  <si>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</si>
  <si>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</si>
  <si>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</si>
  <si>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</si>
  <si>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</si>
  <si>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</si>
  <si>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</si>
  <si>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</si>
  <si>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</si>
  <si>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</si>
  <si>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</si>
  <si>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</si>
  <si>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</si>
  <si>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</si>
  <si>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</si>
  <si>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</si>
  <si>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</si>
  <si>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</si>
  <si>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</si>
  <si>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</si>
  <si>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</si>
  <si>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</si>
  <si>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</si>
  <si>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</si>
  <si>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</si>
  <si>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</si>
  <si>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</si>
  <si>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</si>
  <si>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</si>
  <si>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</si>
  <si>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</si>
  <si>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</si>
  <si>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</si>
  <si>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</si>
  <si>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</si>
  <si>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</si>
  <si>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A0169</t>
  </si>
  <si>
    <t xml:space="preserve">B019</t>
  </si>
  <si>
    <t xml:space="preserve">여호수아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</si>
  <si>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</si>
  <si>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</si>
  <si>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</si>
  <si>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</si>
  <si>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</si>
  <si>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</si>
  <si>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</si>
  <si>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</si>
  <si>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</si>
  <si>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</si>
  <si>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</si>
  <si>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</si>
  <si>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</si>
  <si>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</si>
  <si>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</si>
  <si>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</si>
  <si>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</si>
  <si>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</si>
  <si>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</si>
  <si>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</si>
  <si>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</si>
  <si>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</si>
  <si>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</si>
  <si>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</si>
  <si>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</si>
  <si>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</si>
  <si>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</si>
  <si>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</si>
  <si>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</si>
  <si>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</si>
  <si>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</si>
  <si>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</si>
  <si>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</si>
  <si>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</si>
  <si>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</si>
  <si>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</si>
  <si>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</si>
  <si>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</si>
  <si>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</si>
  <si>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</si>
  <si>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</si>
  <si>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</si>
  <si>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</si>
  <si>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</si>
  <si>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</si>
  <si>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</si>
  <si>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</si>
  <si>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</si>
  <si>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</si>
  <si>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</si>
  <si>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</si>
  <si>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</si>
  <si>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</si>
  <si>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</si>
  <si>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</si>
  <si>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</si>
  <si>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</si>
  <si>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</si>
  <si>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</si>
  <si>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</si>
  <si>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</si>
  <si>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</si>
  <si>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</si>
  <si>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</si>
  <si>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</si>
  <si>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</si>
  <si>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</si>
  <si>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</si>
  <si>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</si>
  <si>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</si>
  <si>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</si>
  <si>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</si>
  <si>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</si>
  <si>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</si>
  <si>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</si>
  <si>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</si>
  <si>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</si>
  <si>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</si>
  <si>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</si>
  <si>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</si>
  <si>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</si>
  <si>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</si>
  <si>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</si>
  <si>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</si>
  <si>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</si>
  <si>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</si>
  <si>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</si>
  <si>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</si>
  <si>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</si>
  <si>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</si>
  <si>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</si>
  <si>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</si>
  <si>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</si>
  <si>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</si>
  <si>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</si>
  <si>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</si>
  <si>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</si>
  <si>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</si>
  <si>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</si>
  <si>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</si>
  <si>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</si>
  <si>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</si>
  <si>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</si>
  <si>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</si>
  <si>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</si>
  <si>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</si>
  <si>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</si>
  <si>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</si>
  <si>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</si>
  <si>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</si>
  <si>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</si>
  <si>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</si>
  <si>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</si>
  <si>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</si>
  <si>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</si>
  <si>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</si>
  <si>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</si>
  <si>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</si>
  <si>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</si>
  <si>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</si>
  <si>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</si>
  <si>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</si>
  <si>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</si>
  <si>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</si>
  <si>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</si>
  <si>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</si>
  <si>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</si>
  <si>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</si>
  <si>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</si>
  <si>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</si>
  <si>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</si>
  <si>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</si>
  <si>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</si>
  <si>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</si>
  <si>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</si>
  <si>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</si>
  <si>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</si>
  <si>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</si>
  <si>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</si>
  <si>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</si>
  <si>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</si>
  <si>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</si>
  <si>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</si>
  <si>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</si>
  <si>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</si>
  <si>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</si>
  <si>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</si>
  <si>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</si>
  <si>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</si>
  <si>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</si>
  <si>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</si>
  <si>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</si>
  <si>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</si>
  <si>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</si>
  <si>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</si>
  <si>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</si>
  <si>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</si>
  <si>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</si>
  <si>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</si>
  <si>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</si>
  <si>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</si>
  <si>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</si>
  <si>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</si>
  <si>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</si>
  <si>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</si>
  <si>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</si>
  <si>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</si>
  <si>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</si>
  <si>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</si>
  <si>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</si>
  <si>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</si>
  <si>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</si>
  <si>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</si>
  <si>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</si>
  <si>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</si>
  <si>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</si>
  <si>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</si>
  <si>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</si>
  <si>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</si>
  <si>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</si>
  <si>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</si>
  <si>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</si>
  <si>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</si>
  <si>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</si>
  <si>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</si>
  <si>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</si>
  <si>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</si>
  <si>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</si>
  <si>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</si>
  <si>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</si>
  <si>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</si>
  <si>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</si>
  <si>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</si>
  <si>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</si>
  <si>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</si>
  <si>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</si>
  <si>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</si>
  <si>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</si>
  <si>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</si>
  <si>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</si>
  <si>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t xml:space="preserve">기드온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</si>
  <si>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</si>
  <si>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</si>
  <si>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</si>
  <si>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</si>
  <si>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</si>
  <si>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</si>
  <si>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</si>
  <si>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</si>
  <si>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</si>
  <si>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</si>
  <si>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</si>
  <si>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</si>
  <si>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</si>
  <si>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</si>
  <si>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</si>
  <si>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</si>
  <si>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</si>
  <si>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</si>
  <si>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</si>
  <si>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</si>
  <si>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</si>
  <si>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</si>
  <si>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</si>
  <si>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</si>
  <si>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</si>
  <si>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</si>
  <si>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</si>
  <si>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</si>
  <si>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</si>
  <si>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</si>
  <si>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</si>
  <si>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</si>
  <si>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</si>
  <si>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</si>
  <si>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</si>
  <si>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</si>
  <si>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</si>
  <si>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</si>
  <si>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</si>
  <si>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</si>
  <si>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</si>
  <si>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</si>
  <si>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</si>
  <si>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</si>
  <si>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</si>
  <si>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</si>
  <si>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</si>
  <si>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</si>
  <si>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</si>
  <si>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</si>
  <si>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</si>
  <si>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</si>
  <si>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</si>
  <si>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</si>
  <si>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</si>
  <si>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</si>
  <si>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</si>
  <si>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</si>
  <si>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</si>
  <si>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</si>
  <si>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</si>
  <si>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</si>
  <si>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</si>
  <si>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</si>
  <si>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</si>
  <si>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</si>
  <si>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</si>
  <si>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</si>
  <si>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</si>
  <si>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</si>
  <si>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</si>
  <si>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</si>
  <si>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</si>
  <si>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</si>
  <si>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</si>
  <si>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</si>
  <si>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</si>
  <si>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</si>
  <si>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</si>
  <si>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</si>
  <si>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</si>
  <si>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</si>
  <si>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</si>
  <si>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</si>
  <si>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</si>
  <si>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</si>
  <si>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</si>
  <si>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</si>
  <si>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</si>
  <si>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</si>
  <si>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</si>
  <si>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</si>
  <si>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</si>
  <si>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</si>
  <si>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</si>
  <si>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</si>
  <si>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</si>
  <si>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</si>
  <si>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</si>
  <si>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</si>
  <si>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</si>
  <si>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</si>
  <si>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</si>
  <si>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</si>
  <si>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</si>
  <si>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</si>
  <si>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</si>
  <si>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</si>
  <si>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</si>
  <si>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</si>
  <si>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</si>
  <si>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</si>
  <si>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</si>
  <si>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</si>
  <si>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</si>
  <si>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</si>
  <si>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</si>
  <si>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</si>
  <si>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</si>
  <si>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</si>
  <si>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</si>
  <si>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</si>
  <si>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</si>
  <si>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</si>
  <si>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</si>
  <si>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</si>
  <si>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</si>
  <si>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</si>
  <si>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</si>
  <si>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</si>
  <si>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</si>
  <si>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</si>
  <si>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</si>
  <si>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</si>
  <si>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</si>
  <si>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</si>
  <si>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</si>
  <si>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</si>
  <si>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</si>
  <si>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</si>
  <si>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</si>
  <si>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</si>
  <si>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</si>
  <si>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</si>
  <si>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</si>
  <si>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</si>
  <si>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</si>
  <si>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</si>
  <si>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</si>
  <si>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</si>
  <si>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</si>
  <si>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</si>
  <si>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</si>
  <si>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</si>
  <si>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</si>
  <si>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</si>
  <si>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</si>
  <si>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</si>
  <si>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</si>
  <si>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</si>
  <si>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</si>
  <si>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</si>
  <si>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</si>
  <si>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</si>
  <si>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</si>
  <si>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</si>
  <si>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</si>
  <si>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</si>
  <si>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</si>
  <si>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</si>
  <si>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</si>
  <si>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</si>
  <si>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</si>
  <si>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</si>
  <si>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</si>
  <si>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</si>
  <si>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</si>
  <si>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</si>
  <si>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</si>
  <si>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</si>
  <si>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</si>
  <si>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</si>
  <si>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</si>
  <si>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</si>
  <si>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</si>
  <si>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</si>
  <si>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</si>
  <si>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</si>
  <si>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</si>
  <si>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</si>
  <si>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</si>
  <si>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</si>
  <si>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</si>
  <si>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</si>
  <si>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</si>
  <si>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</si>
  <si>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</si>
  <si>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</si>
  <si>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</si>
  <si>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</si>
  <si>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</si>
  <si>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</si>
  <si>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</si>
  <si>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</si>
  <si>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</si>
  <si>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</si>
  <si>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</si>
  <si>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</si>
  <si>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</si>
  <si>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</si>
  <si>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</si>
  <si>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</si>
  <si>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</si>
  <si>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</si>
  <si>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</si>
  <si>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</si>
  <si>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</si>
  <si>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</si>
  <si>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</si>
  <si>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</si>
  <si>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</si>
  <si>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</si>
  <si>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</si>
  <si>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</si>
  <si>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</si>
  <si>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</si>
  <si>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</si>
  <si>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</si>
  <si>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</si>
  <si>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</si>
  <si>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</si>
  <si>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</si>
  <si>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</si>
  <si>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</si>
  <si>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</si>
  <si>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</si>
  <si>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</si>
  <si>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</si>
  <si>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</si>
  <si>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</si>
  <si>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</si>
  <si>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</si>
  <si>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</si>
  <si>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</si>
  <si>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</si>
  <si>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</si>
  <si>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</si>
  <si>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</si>
  <si>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</si>
  <si>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</si>
  <si>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</si>
  <si>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</si>
  <si>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</si>
  <si>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</si>
  <si>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</si>
  <si>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</si>
  <si>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</si>
  <si>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</si>
  <si>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</si>
  <si>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</si>
  <si>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</si>
  <si>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</si>
  <si>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</si>
  <si>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</si>
  <si>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</si>
  <si>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</si>
  <si>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</si>
  <si>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</si>
  <si>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</si>
  <si>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</si>
  <si>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</si>
  <si>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</si>
  <si>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</si>
  <si>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</si>
  <si>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</si>
  <si>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</si>
  <si>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</si>
  <si>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</si>
  <si>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</si>
  <si>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A0223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</si>
  <si>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</si>
  <si>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</si>
  <si>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</si>
  <si>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</si>
  <si>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</si>
  <si>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</si>
  <si>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</si>
  <si>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</si>
  <si>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</si>
  <si>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</si>
  <si>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</si>
  <si>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</si>
  <si>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</si>
  <si>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</si>
  <si>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</si>
  <si>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</si>
  <si>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</si>
  <si>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</si>
  <si>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</si>
  <si>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</si>
  <si>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</si>
  <si>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</si>
  <si>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</si>
  <si>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</si>
  <si>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</si>
  <si>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</si>
  <si>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</si>
  <si>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</si>
  <si>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</si>
  <si>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</si>
  <si>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</si>
  <si>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</si>
  <si>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</si>
  <si>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</si>
  <si>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</si>
  <si>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</si>
  <si>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</si>
  <si>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</si>
  <si>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</si>
  <si>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</si>
  <si>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</si>
  <si>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</si>
  <si>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</si>
  <si>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</si>
  <si>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</si>
  <si>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</si>
  <si>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</si>
  <si>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</si>
  <si>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</si>
  <si>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</si>
  <si>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</si>
  <si>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</si>
  <si>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</si>
  <si>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</si>
  <si>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</si>
  <si>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</si>
  <si>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</si>
  <si>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</si>
  <si>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</si>
  <si>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</si>
  <si>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</si>
  <si>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</si>
  <si>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</si>
  <si>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</si>
  <si>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</si>
  <si>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</si>
  <si>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</si>
  <si>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</si>
  <si>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</si>
  <si>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</si>
  <si>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</si>
  <si>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</si>
  <si>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</si>
  <si>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</si>
  <si>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</si>
  <si>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</si>
  <si>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</si>
  <si>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</si>
  <si>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</si>
  <si>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A0232</t>
  </si>
  <si>
    <t xml:space="preserve">B026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</si>
  <si>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</si>
  <si>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</si>
  <si>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</si>
  <si>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</si>
  <si>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</si>
  <si>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</si>
  <si>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</si>
  <si>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</si>
  <si>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</si>
  <si>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</si>
  <si>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</si>
  <si>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</si>
  <si>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</si>
  <si>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</si>
  <si>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</si>
  <si>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</si>
  <si>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</si>
  <si>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</si>
  <si>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</si>
  <si>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</si>
  <si>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</si>
  <si>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</si>
  <si>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</si>
  <si>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</si>
  <si>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</si>
  <si>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</si>
  <si>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</si>
  <si>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</si>
  <si>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</si>
  <si>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</si>
  <si>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</si>
  <si>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</si>
  <si>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</si>
  <si>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</si>
  <si>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</si>
  <si>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</si>
  <si>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</si>
  <si>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</si>
  <si>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</si>
  <si>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</si>
  <si>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</si>
  <si>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</si>
  <si>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</si>
  <si>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</si>
  <si>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</si>
  <si>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</si>
  <si>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</si>
  <si>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</si>
  <si>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</si>
  <si>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</si>
  <si>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</si>
  <si>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</si>
  <si>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</si>
  <si>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</si>
  <si>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</si>
  <si>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</si>
  <si>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</si>
  <si>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</si>
  <si>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</si>
  <si>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</si>
  <si>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</si>
  <si>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</si>
  <si>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</si>
  <si>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</si>
  <si>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</si>
  <si>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</si>
  <si>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</si>
  <si>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</si>
  <si>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</si>
  <si>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</si>
  <si>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</si>
  <si>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</si>
  <si>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</si>
  <si>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</si>
  <si>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</si>
  <si>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</si>
  <si>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</si>
  <si>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</si>
  <si>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</si>
  <si>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</si>
  <si>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</si>
  <si>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</si>
  <si>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</si>
  <si>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</si>
  <si>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</si>
  <si>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</si>
  <si>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</si>
  <si>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</si>
  <si>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</si>
  <si>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</si>
  <si>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</si>
  <si>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</si>
  <si>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</si>
  <si>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</si>
  <si>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</si>
  <si>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</si>
  <si>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</si>
  <si>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</si>
  <si>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</si>
  <si>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</si>
  <si>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</si>
  <si>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</si>
  <si>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</si>
  <si>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</si>
  <si>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</si>
  <si>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</si>
  <si>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</si>
  <si>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</si>
  <si>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</si>
  <si>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</si>
  <si>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</si>
  <si>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</si>
  <si>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</si>
  <si>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</si>
  <si>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</si>
  <si>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</si>
  <si>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</si>
  <si>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</si>
  <si>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</si>
  <si>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</si>
  <si>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</si>
  <si>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</si>
  <si>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</si>
  <si>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</si>
  <si>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</si>
  <si>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</si>
  <si>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</si>
  <si>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</si>
  <si>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</si>
  <si>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</si>
  <si>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</si>
  <si>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</si>
  <si>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</si>
  <si>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</si>
  <si>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</si>
  <si>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</si>
  <si>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</si>
  <si>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</si>
  <si>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</si>
  <si>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</si>
  <si>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</si>
  <si>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</si>
  <si>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</si>
  <si>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</si>
  <si>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</si>
  <si>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</si>
  <si>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</si>
  <si>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</si>
  <si>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</si>
  <si>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</si>
  <si>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</si>
  <si>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</si>
  <si>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</si>
  <si>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12:1-25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</si>
  <si>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</si>
  <si>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</si>
  <si>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</si>
  <si>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</si>
  <si>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</si>
  <si>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</si>
  <si>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</si>
  <si>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</si>
  <si>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</si>
  <si>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</si>
  <si>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</si>
  <si>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</si>
  <si>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</si>
  <si>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</si>
  <si>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</si>
  <si>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</si>
  <si>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</si>
  <si>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</si>
  <si>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</si>
  <si>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</si>
  <si>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</si>
  <si>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</si>
  <si>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</si>
  <si>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</si>
  <si>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</si>
  <si>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</si>
  <si>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</si>
  <si>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</si>
  <si>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</si>
  <si>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</si>
  <si>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</si>
  <si>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</si>
  <si>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</si>
  <si>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</si>
  <si>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</si>
  <si>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</si>
  <si>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</si>
  <si>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</si>
  <si>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</si>
  <si>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</si>
  <si>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</si>
  <si>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</si>
  <si>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</si>
  <si>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</si>
  <si>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</si>
  <si>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</si>
  <si>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</si>
  <si>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</si>
  <si>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</si>
  <si>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</si>
  <si>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</si>
  <si>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</si>
  <si>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</si>
  <si>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</si>
  <si>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</si>
  <si>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</si>
  <si>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</si>
  <si>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</si>
  <si>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</si>
  <si>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</si>
  <si>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</si>
  <si>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</si>
  <si>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</si>
  <si>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</si>
  <si>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</si>
  <si>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</si>
  <si>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</si>
  <si>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</si>
  <si>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</si>
  <si>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</si>
  <si>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</si>
  <si>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</si>
  <si>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</si>
  <si>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</si>
  <si>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</si>
  <si>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</si>
  <si>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</si>
  <si>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</si>
  <si>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</si>
  <si>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</si>
  <si>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</si>
  <si>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</si>
  <si>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</si>
  <si>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</si>
  <si>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</si>
  <si>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</si>
  <si>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</si>
  <si>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</si>
  <si>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</si>
  <si>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</si>
  <si>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</si>
  <si>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</si>
  <si>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</si>
  <si>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</si>
  <si>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</si>
  <si>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</si>
  <si>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</si>
  <si>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</si>
  <si>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</si>
  <si>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</si>
  <si>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</si>
  <si>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</si>
  <si>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</si>
  <si>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</si>
  <si>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</si>
  <si>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</si>
  <si>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</si>
  <si>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</si>
  <si>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</si>
  <si>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</si>
  <si>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</si>
  <si>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</si>
  <si>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</si>
  <si>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</si>
  <si>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</si>
  <si>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</si>
  <si>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</si>
  <si>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</si>
  <si>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</si>
  <si>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</si>
  <si>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</si>
  <si>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</si>
  <si>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</si>
  <si>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</si>
  <si>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</si>
  <si>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</si>
  <si>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</si>
  <si>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</si>
  <si>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</si>
  <si>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솔로몬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</si>
  <si>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</si>
  <si>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</si>
  <si>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</si>
  <si>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</si>
  <si>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</si>
  <si>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</si>
  <si>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</si>
  <si>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</si>
  <si>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</si>
  <si>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</si>
  <si>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</si>
  <si>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</si>
  <si>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</si>
  <si>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</si>
  <si>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</si>
  <si>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</si>
  <si>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</si>
  <si>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</si>
  <si>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</si>
  <si>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</si>
  <si>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</si>
  <si>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</si>
  <si>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</si>
  <si>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</si>
  <si>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</si>
  <si>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</si>
  <si>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</si>
  <si>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</si>
  <si>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</si>
  <si>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</si>
  <si>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</si>
  <si>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</si>
  <si>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</si>
  <si>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</si>
  <si>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</si>
  <si>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</si>
  <si>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</si>
  <si>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</si>
  <si>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</si>
  <si>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</si>
  <si>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</si>
  <si>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</si>
  <si>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</si>
  <si>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</si>
  <si>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</si>
  <si>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</si>
  <si>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</si>
  <si>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</si>
  <si>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</si>
  <si>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</si>
  <si>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</si>
  <si>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</si>
  <si>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</si>
  <si>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</si>
  <si>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</si>
  <si>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</si>
  <si>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</si>
  <si>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</si>
  <si>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</si>
  <si>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</si>
  <si>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</si>
  <si>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</si>
  <si>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</si>
  <si>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</si>
  <si>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</si>
  <si>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</si>
  <si>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</si>
  <si>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</si>
  <si>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</si>
  <si>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</si>
  <si>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</si>
  <si>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</si>
  <si>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</si>
  <si>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</si>
  <si>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</si>
  <si>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</si>
  <si>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</si>
  <si>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</si>
  <si>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</si>
  <si>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</si>
  <si>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</si>
  <si>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</si>
  <si>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</si>
  <si>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</si>
  <si>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</si>
  <si>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</si>
  <si>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</si>
  <si>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</si>
  <si>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</si>
  <si>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</si>
  <si>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</si>
  <si>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</si>
  <si>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</si>
  <si>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</si>
  <si>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</si>
  <si>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</si>
  <si>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</si>
  <si>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</si>
  <si>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</si>
  <si>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</si>
  <si>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</si>
  <si>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</si>
  <si>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</si>
  <si>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</si>
  <si>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</si>
  <si>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</si>
  <si>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</si>
  <si>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</si>
  <si>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</si>
  <si>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</si>
  <si>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</si>
  <si>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</si>
  <si>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</si>
  <si>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</si>
  <si>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</si>
  <si>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</si>
  <si>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</si>
  <si>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</si>
  <si>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</si>
  <si>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</si>
  <si>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</si>
  <si>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</si>
  <si>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</si>
  <si>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</si>
  <si>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</si>
  <si>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</si>
  <si>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</si>
  <si>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</si>
  <si>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</si>
  <si>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</si>
  <si>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</si>
  <si>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</si>
  <si>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</si>
  <si>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</si>
  <si>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</si>
  <si>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</si>
  <si>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</si>
  <si>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</si>
  <si>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</si>
  <si>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</si>
  <si>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</si>
  <si>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</si>
  <si>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</si>
  <si>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</si>
  <si>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</si>
  <si>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</si>
  <si>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</si>
  <si>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</si>
  <si>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</si>
  <si>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</si>
  <si>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</si>
  <si>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</si>
  <si>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</si>
  <si>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</si>
  <si>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</si>
  <si>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</si>
  <si>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</si>
  <si>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</si>
  <si>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</si>
  <si>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</si>
  <si>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</si>
  <si>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</si>
  <si>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</si>
  <si>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</si>
  <si>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</si>
  <si>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</si>
  <si>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</si>
  <si>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</si>
  <si>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</si>
  <si>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</si>
  <si>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</si>
  <si>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</si>
  <si>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</si>
  <si>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</si>
  <si>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</si>
  <si>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</si>
  <si>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</si>
  <si>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</si>
  <si>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</si>
  <si>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</si>
  <si>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</si>
  <si>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</si>
  <si>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</si>
  <si>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</si>
  <si>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</si>
  <si>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</si>
  <si>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</si>
  <si>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</si>
  <si>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</si>
  <si>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</si>
  <si>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</si>
  <si>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</si>
  <si>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</si>
  <si>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</si>
  <si>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</si>
  <si>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</si>
  <si>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</si>
  <si>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</si>
  <si>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</si>
  <si>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</si>
  <si>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</si>
  <si>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</si>
  <si>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</si>
  <si>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</si>
  <si>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</si>
  <si>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</si>
  <si>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</si>
  <si>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</si>
  <si>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</si>
  <si>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</si>
  <si>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</si>
  <si>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</si>
  <si>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</si>
  <si>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</si>
  <si>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</si>
  <si>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</si>
  <si>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</si>
  <si>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</si>
  <si>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</si>
  <si>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</si>
  <si>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</si>
  <si>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</si>
  <si>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</si>
  <si>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</si>
  <si>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</si>
  <si>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</si>
  <si>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</si>
  <si>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</si>
  <si>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</si>
  <si>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</si>
  <si>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</si>
  <si>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</si>
  <si>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</si>
  <si>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</si>
  <si>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</si>
  <si>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</si>
  <si>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</si>
  <si>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</si>
  <si>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</si>
  <si>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</si>
  <si>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</si>
  <si>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</si>
  <si>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</si>
  <si>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</si>
  <si>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</si>
  <si>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</si>
  <si>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</si>
  <si>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</si>
  <si>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</si>
  <si>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</si>
  <si>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</si>
  <si>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</si>
  <si>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</si>
  <si>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</si>
  <si>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</si>
  <si>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</si>
  <si>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</si>
  <si>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</si>
  <si>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</si>
  <si>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</si>
  <si>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</si>
  <si>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</si>
  <si>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</si>
  <si>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</si>
  <si>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</si>
  <si>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</si>
  <si>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</si>
  <si>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</si>
  <si>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</si>
  <si>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</si>
  <si>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</si>
  <si>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</si>
  <si>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</si>
  <si>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</si>
  <si>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</si>
  <si>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</si>
  <si>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</si>
  <si>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</si>
  <si>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</si>
  <si>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</si>
  <si>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</si>
  <si>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</si>
  <si>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</si>
  <si>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</si>
  <si>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</si>
  <si>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</si>
  <si>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</si>
  <si>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</si>
  <si>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</si>
  <si>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</si>
  <si>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</si>
  <si>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</si>
  <si>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</si>
  <si>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</si>
  <si>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</si>
  <si>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</si>
  <si>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</si>
  <si>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</si>
  <si>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</si>
  <si>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</si>
  <si>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</si>
  <si>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</si>
  <si>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</si>
  <si>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</si>
  <si>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</si>
  <si>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</si>
  <si>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</si>
  <si>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</si>
  <si>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</si>
  <si>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</si>
  <si>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</si>
  <si>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</si>
  <si>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</si>
  <si>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</si>
  <si>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</si>
  <si>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</si>
  <si>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</si>
  <si>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</si>
  <si>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</si>
  <si>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</si>
  <si>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</si>
  <si>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</si>
  <si>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</si>
  <si>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</si>
  <si>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</si>
  <si>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</si>
  <si>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</si>
  <si>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</si>
  <si>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</si>
  <si>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</si>
  <si>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</si>
  <si>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</si>
  <si>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</si>
  <si>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</si>
  <si>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</si>
  <si>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</si>
  <si>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</si>
  <si>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</si>
  <si>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</si>
  <si>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</si>
  <si>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</si>
  <si>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</si>
  <si>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</si>
  <si>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</si>
  <si>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</si>
  <si>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</si>
  <si>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</si>
  <si>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</si>
  <si>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</si>
  <si>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</si>
  <si>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</si>
  <si>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</si>
  <si>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</si>
  <si>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</si>
  <si>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</si>
  <si>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</si>
  <si>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</si>
  <si>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</si>
  <si>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</si>
  <si>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</si>
  <si>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</si>
  <si>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</si>
  <si>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</si>
  <si>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</si>
  <si>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</si>
  <si>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</si>
  <si>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</si>
  <si>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</si>
  <si>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</si>
  <si>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</si>
  <si>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</si>
  <si>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</si>
  <si>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</si>
  <si>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</si>
  <si>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</si>
  <si>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</si>
  <si>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</si>
  <si>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</si>
  <si>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</si>
  <si>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</si>
  <si>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</si>
  <si>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</si>
  <si>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</si>
  <si>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</si>
  <si>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</si>
  <si>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</si>
  <si>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</si>
  <si>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</si>
  <si>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</si>
  <si>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</si>
  <si>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</si>
  <si>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</si>
  <si>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</si>
  <si>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</si>
  <si>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</si>
  <si>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</si>
  <si>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</si>
  <si>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</si>
  <si>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</si>
  <si>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</si>
  <si>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</si>
  <si>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</si>
  <si>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</si>
  <si>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</si>
  <si>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</si>
  <si>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</si>
  <si>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</si>
  <si>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</si>
  <si>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</si>
  <si>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</si>
  <si>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</si>
  <si>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</si>
  <si>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</si>
  <si>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</si>
  <si>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</si>
  <si>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</si>
  <si>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</si>
  <si>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</si>
  <si>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</si>
  <si>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</si>
  <si>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</si>
  <si>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</si>
  <si>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</si>
  <si>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</si>
  <si>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</si>
  <si>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</si>
  <si>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</si>
  <si>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</si>
  <si>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</si>
  <si>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</si>
  <si>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</si>
  <si>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</si>
  <si>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</si>
  <si>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</si>
  <si>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</si>
  <si>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</si>
  <si>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</si>
  <si>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</si>
  <si>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</si>
  <si>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</si>
  <si>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</si>
  <si>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</si>
  <si>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</si>
  <si>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</si>
  <si>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</si>
  <si>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</si>
  <si>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</si>
  <si>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</si>
  <si>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</si>
  <si>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</si>
  <si>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</si>
  <si>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</si>
  <si>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</si>
  <si>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</si>
  <si>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</si>
  <si>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</si>
  <si>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</si>
  <si>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</si>
  <si>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</si>
  <si>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</si>
  <si>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</si>
  <si>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</si>
  <si>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</si>
  <si>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</si>
  <si>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</si>
  <si>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</si>
  <si>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</si>
  <si>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</si>
  <si>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</si>
  <si>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</si>
  <si>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</si>
  <si>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A0317</t>
  </si>
  <si>
    <t xml:space="preserve">B036</t>
  </si>
  <si>
    <t xml:space="preserve">S2-L20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</si>
  <si>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</si>
  <si>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</si>
  <si>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</si>
  <si>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</si>
  <si>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</si>
  <si>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</si>
  <si>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</si>
  <si>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</si>
  <si>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</si>
  <si>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</si>
  <si>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</si>
  <si>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</si>
  <si>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</si>
  <si>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</si>
  <si>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</si>
  <si>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</si>
  <si>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</si>
  <si>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</si>
  <si>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</si>
  <si>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</si>
  <si>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</si>
  <si>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</si>
  <si>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</si>
  <si>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</si>
  <si>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</si>
  <si>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</si>
  <si>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</si>
  <si>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</si>
  <si>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</si>
  <si>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</si>
  <si>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</si>
  <si>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</si>
  <si>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</si>
  <si>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</si>
  <si>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</si>
  <si>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</si>
  <si>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</si>
  <si>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</si>
  <si>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</si>
  <si>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</si>
  <si>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</si>
  <si>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</si>
  <si>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</si>
  <si>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</si>
  <si>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</si>
  <si>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</si>
  <si>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</si>
  <si>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</si>
  <si>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</si>
  <si>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</si>
  <si>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</si>
  <si>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</si>
  <si>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</si>
  <si>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</si>
  <si>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</si>
  <si>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</si>
  <si>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</si>
  <si>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</si>
  <si>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</si>
  <si>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</si>
  <si>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</si>
  <si>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</si>
  <si>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</si>
  <si>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</si>
  <si>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</si>
  <si>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</si>
  <si>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</si>
  <si>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</si>
  <si>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</si>
  <si>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</si>
  <si>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</si>
  <si>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</si>
  <si>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</si>
  <si>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</si>
  <si>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</si>
  <si>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</si>
  <si>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</si>
  <si>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A0326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</si>
  <si>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</si>
  <si>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</si>
  <si>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</si>
  <si>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</si>
  <si>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</si>
  <si>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</si>
  <si>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</si>
  <si>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</si>
  <si>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</si>
  <si>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</si>
  <si>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</si>
  <si>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</si>
  <si>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</si>
  <si>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</si>
  <si>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</si>
  <si>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</si>
  <si>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</si>
  <si>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</si>
  <si>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</si>
  <si>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</si>
  <si>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</si>
  <si>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</si>
  <si>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</si>
  <si>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</si>
  <si>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</si>
  <si>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</si>
  <si>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</si>
  <si>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</si>
  <si>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</si>
  <si>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</si>
  <si>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</si>
  <si>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</si>
  <si>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</si>
  <si>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</si>
  <si>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</si>
  <si>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</si>
  <si>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</si>
  <si>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</si>
  <si>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</si>
  <si>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</si>
  <si>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</si>
  <si>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</si>
  <si>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</si>
  <si>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</si>
  <si>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</si>
  <si>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</si>
  <si>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</si>
  <si>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</si>
  <si>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</si>
  <si>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</si>
  <si>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</si>
  <si>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</si>
  <si>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</si>
  <si>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</si>
  <si>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</si>
  <si>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</si>
  <si>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</si>
  <si>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</si>
  <si>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</si>
  <si>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</si>
  <si>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</si>
  <si>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</si>
  <si>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</si>
  <si>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</si>
  <si>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</si>
  <si>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</si>
  <si>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</si>
  <si>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</si>
  <si>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</si>
  <si>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</si>
  <si>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</si>
  <si>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</si>
  <si>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</si>
  <si>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</si>
  <si>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</si>
  <si>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</si>
  <si>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</si>
  <si>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A0335</t>
  </si>
  <si>
    <t xml:space="preserve">S2-L21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</si>
  <si>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</si>
  <si>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</si>
  <si>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</si>
  <si>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</si>
  <si>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</si>
  <si>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</si>
  <si>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</si>
  <si>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</si>
  <si>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</si>
  <si>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</si>
  <si>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</si>
  <si>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</si>
  <si>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</si>
  <si>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</si>
  <si>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</si>
  <si>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</si>
  <si>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</si>
  <si>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</si>
  <si>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</si>
  <si>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</si>
  <si>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</si>
  <si>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</si>
  <si>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</si>
  <si>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</si>
  <si>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</si>
  <si>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</si>
  <si>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</si>
  <si>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</si>
  <si>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</si>
  <si>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</si>
  <si>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</si>
  <si>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</si>
  <si>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</si>
  <si>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</si>
  <si>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</si>
  <si>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</si>
  <si>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</si>
  <si>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</si>
  <si>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</si>
  <si>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</si>
  <si>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</si>
  <si>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</si>
  <si>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</si>
  <si>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</si>
  <si>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</si>
  <si>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</si>
  <si>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</si>
  <si>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</si>
  <si>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</si>
  <si>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</si>
  <si>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</si>
  <si>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</si>
  <si>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</si>
  <si>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</si>
  <si>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</si>
  <si>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</si>
  <si>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</si>
  <si>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</si>
  <si>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</si>
  <si>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A0342</t>
  </si>
  <si>
    <t xml:space="preserve">B039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</si>
  <si>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</si>
  <si>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</si>
  <si>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</si>
  <si>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</si>
  <si>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</si>
  <si>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</si>
  <si>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</si>
  <si>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</si>
  <si>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</si>
  <si>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</si>
  <si>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</si>
  <si>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</si>
  <si>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</si>
  <si>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</si>
  <si>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</si>
  <si>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</si>
  <si>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</si>
  <si>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</si>
  <si>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</si>
  <si>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</si>
  <si>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</si>
  <si>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</si>
  <si>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</si>
  <si>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</si>
  <si>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</si>
  <si>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</si>
  <si>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</si>
  <si>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</si>
  <si>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</si>
  <si>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</si>
  <si>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</si>
  <si>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</si>
  <si>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</si>
  <si>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</si>
  <si>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</si>
  <si>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</si>
  <si>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</si>
  <si>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</si>
  <si>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</si>
  <si>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</si>
  <si>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</si>
  <si>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</si>
  <si>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</si>
  <si>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</si>
  <si>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</si>
  <si>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</si>
  <si>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</si>
  <si>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</si>
  <si>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</si>
  <si>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</si>
  <si>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</si>
  <si>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</si>
  <si>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</si>
  <si>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</si>
  <si>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</si>
  <si>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</si>
  <si>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</si>
  <si>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</si>
  <si>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</si>
  <si>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</si>
  <si>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</si>
  <si>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</si>
  <si>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</si>
  <si>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</si>
  <si>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</si>
  <si>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</si>
  <si>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</si>
  <si>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</si>
  <si>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</si>
  <si>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</si>
  <si>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</si>
  <si>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</si>
  <si>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</si>
  <si>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</si>
  <si>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</si>
  <si>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</si>
  <si>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</si>
  <si>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</si>
  <si>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</si>
  <si>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</si>
  <si>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</si>
  <si>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</si>
  <si>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</si>
  <si>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</si>
  <si>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</si>
  <si>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</si>
  <si>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</si>
  <si>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</si>
  <si>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</si>
  <si>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</si>
  <si>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</si>
  <si>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</si>
  <si>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</si>
  <si>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</si>
  <si>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</si>
  <si>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</si>
  <si>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</si>
  <si>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</si>
  <si>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</si>
  <si>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</si>
  <si>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</si>
  <si>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</si>
  <si>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</si>
  <si>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</si>
  <si>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</si>
  <si>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</si>
  <si>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</si>
  <si>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</si>
  <si>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</si>
  <si>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</si>
  <si>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</si>
  <si>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</si>
  <si>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</si>
  <si>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</si>
  <si>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</si>
  <si>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</si>
  <si>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</si>
  <si>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A0355</t>
  </si>
  <si>
    <t xml:space="preserve">S2-L22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</si>
  <si>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</si>
  <si>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</si>
  <si>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</si>
  <si>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</si>
  <si>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</si>
  <si>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t xml:space="preserve">욥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</si>
  <si>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</si>
  <si>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</si>
  <si>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</si>
  <si>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</si>
  <si>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</si>
  <si>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</si>
  <si>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</si>
  <si>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</si>
  <si>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</si>
  <si>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</si>
  <si>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</si>
  <si>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</si>
  <si>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</si>
  <si>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</si>
  <si>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</si>
  <si>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</si>
  <si>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</si>
  <si>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</si>
  <si>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</si>
  <si>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</si>
  <si>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</si>
  <si>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</si>
  <si>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</si>
  <si>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</si>
  <si>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</si>
  <si>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</si>
  <si>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</si>
  <si>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</si>
  <si>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</si>
  <si>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</si>
  <si>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</si>
  <si>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</si>
  <si>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</si>
  <si>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</si>
  <si>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</si>
  <si>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</si>
  <si>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</si>
  <si>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</si>
  <si>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</si>
  <si>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</si>
  <si>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</si>
  <si>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</si>
  <si>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</si>
  <si>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</si>
  <si>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</si>
  <si>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</si>
  <si>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</si>
  <si>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</si>
  <si>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</si>
  <si>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</si>
  <si>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</si>
  <si>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</si>
  <si>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</si>
  <si>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</si>
  <si>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</si>
  <si>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</si>
  <si>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</si>
  <si>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</si>
  <si>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</si>
  <si>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</si>
  <si>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</si>
  <si>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</si>
  <si>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</si>
  <si>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</si>
  <si>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</si>
  <si>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</si>
  <si>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</si>
  <si>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</si>
  <si>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</si>
  <si>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</si>
  <si>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</si>
  <si>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</si>
  <si>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</si>
  <si>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A0364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</si>
  <si>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</si>
  <si>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</si>
  <si>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</si>
  <si>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</si>
  <si>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</si>
  <si>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</si>
  <si>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</si>
  <si>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</si>
  <si>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</si>
  <si>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</si>
  <si>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</si>
  <si>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</si>
  <si>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</si>
  <si>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</si>
  <si>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</si>
  <si>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다윗</t>
  </si>
  <si>
    <t xml:space="preserve">별이 가득한 밤하늘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</si>
  <si>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</si>
  <si>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</si>
  <si>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</si>
  <si>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</si>
  <si>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</si>
  <si>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</si>
  <si>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</si>
  <si>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</si>
  <si>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</si>
  <si>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</si>
  <si>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</si>
  <si>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</si>
  <si>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</si>
  <si>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</si>
  <si>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</si>
  <si>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</si>
  <si>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</si>
  <si>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</si>
  <si>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</si>
  <si>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</si>
  <si>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</si>
  <si>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</si>
  <si>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</si>
  <si>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</si>
  <si>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</si>
  <si>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</si>
  <si>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</si>
  <si>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</si>
  <si>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</si>
  <si>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</si>
  <si>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</si>
  <si>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</si>
  <si>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</si>
  <si>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</si>
  <si>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</si>
  <si>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</si>
  <si>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</si>
  <si>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</si>
  <si>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</si>
  <si>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</si>
  <si>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</si>
  <si>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A0371</t>
  </si>
  <si>
    <t xml:space="preserve">B042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</si>
  <si>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</si>
  <si>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</si>
  <si>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</si>
  <si>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</si>
  <si>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</si>
  <si>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</si>
  <si>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</si>
  <si>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</si>
  <si>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</si>
  <si>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</si>
  <si>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</si>
  <si>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</si>
  <si>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</si>
  <si>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</si>
  <si>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</si>
  <si>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</si>
  <si>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</si>
  <si>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</si>
  <si>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</si>
  <si>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</si>
  <si>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</si>
  <si>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</si>
  <si>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</si>
  <si>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</si>
  <si>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</si>
  <si>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</si>
  <si>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</si>
  <si>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</si>
  <si>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</si>
  <si>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</si>
  <si>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</si>
  <si>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</si>
  <si>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</si>
  <si>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</si>
  <si>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</si>
  <si>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</si>
  <si>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</si>
  <si>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</si>
  <si>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</si>
  <si>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</si>
  <si>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</si>
  <si>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</si>
  <si>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</si>
  <si>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</si>
  <si>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</si>
  <si>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</si>
  <si>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</si>
  <si>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</si>
  <si>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</si>
  <si>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</si>
  <si>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</si>
  <si>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</si>
  <si>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</si>
  <si>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</si>
  <si>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</si>
  <si>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</si>
  <si>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</si>
  <si>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</si>
  <si>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</si>
  <si>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</si>
  <si>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</si>
  <si>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A0379</t>
  </si>
  <si>
    <t xml:space="preserve">B043</t>
  </si>
  <si>
    <t xml:space="preserve">S2-L24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</si>
  <si>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</si>
  <si>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</si>
  <si>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</si>
  <si>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</si>
  <si>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</si>
  <si>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</si>
  <si>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</si>
  <si>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</si>
  <si>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</si>
  <si>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</si>
  <si>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</si>
  <si>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</si>
  <si>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</si>
  <si>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</si>
  <si>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</si>
  <si>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</si>
  <si>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</si>
  <si>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</si>
  <si>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</si>
  <si>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</si>
  <si>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</si>
  <si>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</si>
  <si>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</si>
  <si>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</si>
  <si>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</si>
  <si>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</si>
  <si>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</si>
  <si>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</si>
  <si>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</si>
  <si>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</si>
  <si>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</si>
  <si>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</si>
  <si>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</si>
  <si>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</si>
  <si>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</si>
  <si>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</si>
  <si>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</si>
  <si>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</si>
  <si>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</si>
  <si>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</si>
  <si>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</si>
  <si>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</si>
  <si>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</si>
  <si>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</si>
  <si>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</si>
  <si>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</si>
  <si>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</si>
  <si>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</si>
  <si>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</si>
  <si>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</si>
  <si>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</si>
  <si>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A0386</t>
  </si>
  <si>
    <t xml:space="preserve">B044</t>
  </si>
  <si>
    <t xml:space="preserve">S2-L25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</si>
  <si>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</si>
  <si>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</si>
  <si>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</si>
  <si>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</si>
  <si>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</si>
  <si>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</si>
  <si>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</si>
  <si>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</si>
  <si>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</si>
  <si>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</si>
  <si>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</si>
  <si>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</si>
  <si>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</si>
  <si>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</si>
  <si>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</si>
  <si>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</si>
  <si>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</si>
  <si>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</si>
  <si>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</si>
  <si>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</si>
  <si>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</si>
  <si>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</si>
  <si>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</si>
  <si>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</si>
  <si>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</si>
  <si>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</si>
  <si>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</si>
  <si>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</si>
  <si>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</si>
  <si>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</si>
  <si>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</si>
  <si>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</si>
  <si>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</si>
  <si>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</si>
  <si>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</si>
  <si>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</si>
  <si>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</si>
  <si>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</si>
  <si>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</si>
  <si>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</si>
  <si>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</si>
  <si>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</si>
  <si>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</si>
  <si>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</si>
  <si>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</si>
  <si>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</si>
  <si>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</si>
  <si>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</si>
  <si>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</si>
  <si>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</si>
  <si>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</si>
  <si>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</si>
  <si>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</si>
  <si>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</si>
  <si>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</si>
  <si>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</si>
  <si>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</si>
  <si>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</si>
  <si>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</si>
  <si>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</si>
  <si>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</si>
  <si>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</si>
  <si>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</si>
  <si>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</si>
  <si>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</si>
  <si>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</si>
  <si>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</si>
  <si>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</si>
  <si>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</si>
  <si>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</si>
  <si>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</si>
  <si>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</si>
  <si>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</si>
  <si>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</si>
  <si>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</si>
  <si>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A0395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</si>
  <si>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</si>
  <si>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</si>
  <si>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</si>
  <si>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</si>
  <si>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</si>
  <si>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</si>
  <si>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</si>
  <si>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</si>
  <si>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</si>
  <si>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</si>
  <si>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</si>
  <si>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</si>
  <si>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</si>
  <si>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</si>
  <si>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</si>
  <si>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</si>
  <si>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</si>
  <si>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</si>
  <si>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</si>
  <si>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</si>
  <si>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</si>
  <si>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</si>
  <si>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</si>
  <si>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</si>
  <si>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</si>
  <si>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</si>
  <si>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</si>
  <si>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</si>
  <si>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</si>
  <si>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</si>
  <si>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</si>
  <si>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</si>
  <si>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</si>
  <si>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</si>
  <si>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</si>
  <si>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</si>
  <si>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</si>
  <si>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</si>
  <si>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</si>
  <si>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</si>
  <si>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</si>
  <si>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</si>
  <si>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</si>
  <si>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</si>
  <si>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</si>
  <si>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</si>
  <si>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</si>
  <si>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</si>
  <si>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</si>
  <si>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</si>
  <si>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</si>
  <si>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</si>
  <si>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</si>
  <si>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</si>
  <si>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</si>
  <si>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</si>
  <si>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</si>
  <si>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</si>
  <si>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</si>
  <si>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</si>
  <si>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</si>
  <si>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</si>
  <si>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</si>
  <si>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</si>
  <si>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A0403</t>
  </si>
  <si>
    <t xml:space="preserve">B046</t>
  </si>
  <si>
    <t xml:space="preserve">S2-L26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</si>
  <si>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</si>
  <si>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</si>
  <si>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</si>
  <si>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</si>
  <si>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</si>
  <si>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</si>
  <si>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</si>
  <si>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</si>
  <si>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A0404</t>
  </si>
  <si>
    <t xml:space="preserve">S1-L18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</si>
  <si>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</si>
  <si>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</si>
  <si>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</si>
  <si>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</si>
  <si>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</si>
  <si>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</si>
  <si>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</si>
  <si>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</si>
  <si>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</si>
  <si>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</si>
  <si>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</si>
  <si>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</si>
  <si>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</si>
  <si>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</si>
  <si>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</si>
  <si>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</si>
  <si>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</si>
  <si>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</si>
  <si>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</si>
  <si>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</si>
  <si>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</si>
  <si>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</si>
  <si>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</si>
  <si>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</si>
  <si>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</si>
  <si>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</si>
  <si>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</si>
  <si>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</si>
  <si>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</si>
  <si>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</si>
  <si>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</si>
  <si>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</si>
  <si>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</si>
  <si>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</si>
  <si>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</si>
  <si>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</si>
  <si>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</si>
  <si>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</si>
  <si>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</si>
  <si>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</si>
  <si>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</si>
  <si>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</si>
  <si>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</si>
  <si>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</si>
  <si>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</si>
  <si>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</si>
  <si>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</si>
  <si>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</si>
  <si>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</si>
  <si>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</si>
  <si>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</si>
  <si>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</si>
  <si>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</si>
  <si>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</si>
  <si>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</si>
  <si>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</si>
  <si>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</si>
  <si>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A0411</t>
  </si>
  <si>
    <t xml:space="preserve">B047</t>
  </si>
  <si>
    <t xml:space="preserve">S2-L27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</si>
  <si>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</si>
  <si>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</si>
  <si>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</si>
  <si>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</si>
  <si>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</si>
  <si>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</si>
  <si>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</si>
  <si>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</si>
  <si>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</si>
  <si>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</si>
  <si>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</si>
  <si>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</si>
  <si>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</si>
  <si>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</si>
  <si>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</si>
  <si>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</si>
  <si>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A0413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</si>
  <si>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</si>
  <si>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</si>
  <si>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</si>
  <si>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</si>
  <si>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</si>
  <si>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</si>
  <si>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</si>
  <si>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</si>
  <si>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</si>
  <si>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</si>
  <si>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</si>
  <si>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</si>
  <si>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</si>
  <si>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</si>
  <si>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</si>
  <si>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</si>
  <si>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</si>
  <si>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</si>
  <si>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</si>
  <si>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</si>
  <si>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</si>
  <si>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</si>
  <si>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</si>
  <si>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</si>
  <si>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</si>
  <si>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</si>
  <si>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</si>
  <si>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</si>
  <si>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</si>
  <si>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</si>
  <si>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</si>
  <si>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</si>
  <si>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</si>
  <si>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</si>
  <si>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</si>
  <si>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</si>
  <si>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</si>
  <si>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</si>
  <si>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</si>
  <si>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</si>
  <si>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</si>
  <si>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</si>
  <si>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</si>
  <si>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</si>
  <si>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</si>
  <si>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</si>
  <si>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</si>
  <si>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</si>
  <si>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</si>
  <si>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</si>
  <si>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</si>
  <si>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A0419</t>
  </si>
  <si>
    <t xml:space="preserve">B048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</si>
  <si>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</si>
  <si>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</si>
  <si>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</si>
  <si>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</si>
  <si>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</si>
  <si>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</si>
  <si>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</si>
  <si>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</si>
  <si>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</si>
  <si>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</si>
  <si>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</si>
  <si>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</si>
  <si>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</si>
  <si>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</si>
  <si>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</si>
  <si>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</si>
  <si>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</si>
  <si>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</si>
  <si>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</si>
  <si>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</si>
  <si>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</si>
  <si>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</si>
  <si>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</si>
  <si>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</si>
  <si>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</si>
  <si>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</si>
  <si>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</si>
  <si>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</si>
  <si>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</si>
  <si>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</si>
  <si>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</si>
  <si>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</si>
  <si>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</si>
  <si>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</si>
  <si>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</si>
  <si>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</si>
  <si>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</si>
  <si>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</si>
  <si>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</si>
  <si>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</si>
  <si>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</si>
  <si>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</si>
  <si>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</si>
  <si>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</si>
  <si>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</si>
  <si>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</si>
  <si>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</si>
  <si>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</si>
  <si>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</si>
  <si>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</si>
  <si>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</si>
  <si>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</si>
  <si>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</si>
  <si>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</si>
  <si>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</si>
  <si>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</si>
  <si>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</si>
  <si>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</si>
  <si>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</si>
  <si>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</si>
  <si>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</si>
  <si>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</si>
  <si>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</si>
  <si>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A0427</t>
  </si>
  <si>
    <t xml:space="preserve">B049</t>
  </si>
  <si>
    <t xml:space="preserve">S2-L28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</si>
  <si>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</si>
  <si>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</si>
  <si>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</si>
  <si>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</si>
  <si>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</si>
  <si>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</si>
  <si>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</si>
  <si>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</si>
  <si>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A0428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</si>
  <si>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</si>
  <si>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</si>
  <si>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</si>
  <si>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</si>
  <si>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</si>
  <si>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</si>
  <si>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</si>
  <si>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</si>
  <si>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</si>
  <si>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</si>
  <si>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</si>
  <si>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</si>
  <si>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</si>
  <si>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</si>
  <si>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</si>
  <si>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</si>
  <si>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</si>
  <si>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</si>
  <si>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</si>
  <si>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</si>
  <si>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</si>
  <si>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</si>
  <si>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</si>
  <si>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</si>
  <si>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</si>
  <si>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</si>
  <si>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</si>
  <si>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</si>
  <si>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</si>
  <si>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</si>
  <si>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</si>
  <si>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</si>
  <si>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</si>
  <si>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</si>
  <si>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</si>
  <si>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</si>
  <si>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</si>
  <si>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</si>
  <si>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</si>
  <si>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</si>
  <si>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</si>
  <si>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</si>
  <si>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</si>
  <si>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</si>
  <si>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</si>
  <si>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</si>
  <si>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</si>
  <si>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</si>
  <si>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</si>
  <si>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</si>
  <si>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</si>
  <si>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</si>
  <si>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</si>
  <si>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</si>
  <si>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</si>
  <si>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</si>
  <si>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</si>
  <si>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</si>
  <si>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</si>
  <si>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</si>
  <si>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</si>
  <si>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</si>
  <si>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</si>
  <si>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</si>
  <si>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</si>
  <si>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</si>
  <si>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</si>
  <si>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</si>
  <si>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</si>
  <si>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</si>
  <si>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</si>
  <si>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</si>
  <si>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</si>
  <si>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</si>
  <si>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</si>
  <si>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</si>
  <si>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</si>
  <si>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</si>
  <si>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</si>
  <si>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</si>
  <si>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</si>
  <si>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</si>
  <si>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</si>
  <si>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</si>
  <si>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A0438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</si>
  <si>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</si>
  <si>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</si>
  <si>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</si>
  <si>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</si>
  <si>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</si>
  <si>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</si>
  <si>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</si>
  <si>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</si>
  <si>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</si>
  <si>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</si>
  <si>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</si>
  <si>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</si>
  <si>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</si>
  <si>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</si>
  <si>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</si>
  <si>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</si>
  <si>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</si>
  <si>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</si>
  <si>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</si>
  <si>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</si>
  <si>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</si>
  <si>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</si>
  <si>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</si>
  <si>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</si>
  <si>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</si>
  <si>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</si>
  <si>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</si>
  <si>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</si>
  <si>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</si>
  <si>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</si>
  <si>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</si>
  <si>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</si>
  <si>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</si>
  <si>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</si>
  <si>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</si>
  <si>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</si>
  <si>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</si>
  <si>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</si>
  <si>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</si>
  <si>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</si>
  <si>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</si>
  <si>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</si>
  <si>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</si>
  <si>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</si>
  <si>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</si>
  <si>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</si>
  <si>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</si>
  <si>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</si>
  <si>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</si>
  <si>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</si>
  <si>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</si>
  <si>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</si>
  <si>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</si>
  <si>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</si>
  <si>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</si>
  <si>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</si>
  <si>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</si>
  <si>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</si>
  <si>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</si>
  <si>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</si>
  <si>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</si>
  <si>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</si>
  <si>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</si>
  <si>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</si>
  <si>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</si>
  <si>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</si>
  <si>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</si>
  <si>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</si>
  <si>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</si>
  <si>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</si>
  <si>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A0447</t>
  </si>
  <si>
    <t xml:space="preserve">B051</t>
  </si>
  <si>
    <t xml:space="preserve">S2-L30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</si>
  <si>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</si>
  <si>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</si>
  <si>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</si>
  <si>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</si>
  <si>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</si>
  <si>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</si>
  <si>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</si>
  <si>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</si>
  <si>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</si>
  <si>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</si>
  <si>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</si>
  <si>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</si>
  <si>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</si>
  <si>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</si>
  <si>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</si>
  <si>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</si>
  <si>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</si>
  <si>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</si>
  <si>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</si>
  <si>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</si>
  <si>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</si>
  <si>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</si>
  <si>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</si>
  <si>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A0450</t>
  </si>
  <si>
    <t xml:space="preserve">S1-L19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</si>
  <si>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</si>
  <si>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</si>
  <si>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</si>
  <si>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</si>
  <si>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</si>
  <si>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</si>
  <si>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</si>
  <si>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</si>
  <si>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</si>
  <si>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</si>
  <si>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</si>
  <si>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</si>
  <si>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</si>
  <si>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</si>
  <si>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</si>
  <si>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</si>
  <si>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</si>
  <si>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</si>
  <si>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</si>
  <si>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</si>
  <si>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</si>
  <si>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</si>
  <si>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</si>
  <si>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</si>
  <si>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</si>
  <si>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</si>
  <si>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</si>
  <si>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</si>
  <si>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</si>
  <si>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</si>
  <si>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</si>
  <si>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</si>
  <si>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</si>
  <si>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</si>
  <si>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</si>
  <si>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</si>
  <si>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</si>
  <si>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</si>
  <si>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</si>
  <si>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</si>
  <si>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</si>
  <si>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</si>
  <si>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</si>
  <si>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</si>
  <si>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</si>
  <si>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</si>
  <si>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</si>
  <si>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</si>
  <si>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</si>
  <si>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</si>
  <si>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</si>
  <si>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</si>
  <si>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</si>
  <si>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</si>
  <si>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</si>
  <si>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</si>
  <si>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</si>
  <si>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</si>
  <si>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</si>
  <si>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</si>
  <si>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</si>
  <si>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</si>
  <si>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</si>
  <si>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</si>
  <si>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</si>
  <si>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</si>
  <si>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</si>
  <si>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</si>
  <si>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</si>
  <si>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</si>
  <si>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</si>
  <si>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</si>
  <si>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</si>
  <si>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</si>
  <si>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</si>
  <si>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</si>
  <si>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</si>
  <si>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</si>
  <si>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</si>
  <si>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</si>
  <si>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</si>
  <si>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</si>
  <si>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</si>
  <si>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</si>
  <si>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</si>
  <si>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</si>
  <si>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A0460</t>
  </si>
  <si>
    <t xml:space="preserve">B052</t>
  </si>
  <si>
    <t xml:space="preserve">S2-L31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</si>
  <si>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</si>
  <si>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</si>
  <si>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</si>
  <si>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</si>
  <si>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</si>
  <si>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</si>
  <si>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</si>
  <si>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</si>
  <si>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</si>
  <si>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</si>
  <si>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</si>
  <si>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</si>
  <si>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</si>
  <si>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</si>
  <si>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</si>
  <si>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</si>
  <si>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</si>
  <si>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</si>
  <si>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</si>
  <si>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</si>
  <si>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</si>
  <si>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</si>
  <si>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</si>
  <si>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</si>
  <si>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</si>
  <si>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</si>
  <si>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</si>
  <si>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</si>
  <si>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</si>
  <si>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</si>
  <si>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</si>
  <si>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</si>
  <si>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</si>
  <si>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</si>
  <si>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</si>
  <si>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</si>
  <si>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</si>
  <si>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</si>
  <si>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</si>
  <si>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</si>
  <si>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</si>
  <si>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</si>
  <si>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</si>
  <si>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</si>
  <si>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</si>
  <si>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</si>
  <si>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</si>
  <si>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</si>
  <si>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</si>
  <si>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</si>
  <si>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</si>
  <si>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</si>
  <si>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</si>
  <si>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</si>
  <si>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</si>
  <si>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</si>
  <si>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</si>
  <si>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</si>
  <si>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</si>
  <si>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</si>
  <si>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</si>
  <si>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</si>
  <si>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</si>
  <si>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</si>
  <si>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</si>
  <si>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</si>
  <si>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</si>
  <si>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</si>
  <si>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</si>
  <si>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</si>
  <si>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</si>
  <si>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</si>
  <si>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</si>
  <si>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</si>
  <si>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</si>
  <si>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</si>
  <si>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</si>
  <si>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</si>
  <si>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</si>
  <si>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</si>
  <si>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</si>
  <si>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</si>
  <si>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</si>
  <si>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</si>
  <si>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A0471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</si>
  <si>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</si>
  <si>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</si>
  <si>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</si>
  <si>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</si>
  <si>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</si>
  <si>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</si>
  <si>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</si>
  <si>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</si>
  <si>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</si>
  <si>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</si>
  <si>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</si>
  <si>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</si>
  <si>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</si>
  <si>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</si>
  <si>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</si>
  <si>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</si>
  <si>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</si>
  <si>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</si>
  <si>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</si>
  <si>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</si>
  <si>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</si>
  <si>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</si>
  <si>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</si>
  <si>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</si>
  <si>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</si>
  <si>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</si>
  <si>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</si>
  <si>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</si>
  <si>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</si>
  <si>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</si>
  <si>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</si>
  <si>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</si>
  <si>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</si>
  <si>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</si>
  <si>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</si>
  <si>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</si>
  <si>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</si>
  <si>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A0475</t>
  </si>
  <si>
    <t xml:space="preserve">S2-L32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</si>
  <si>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</si>
  <si>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</si>
  <si>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</si>
  <si>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</si>
  <si>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</si>
  <si>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</si>
  <si>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</si>
  <si>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</si>
  <si>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</si>
  <si>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</si>
  <si>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</si>
  <si>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</si>
  <si>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</si>
  <si>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</si>
  <si>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</si>
  <si>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</si>
  <si>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</si>
  <si>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</si>
  <si>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</si>
  <si>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</si>
  <si>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</si>
  <si>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</si>
  <si>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</si>
  <si>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</si>
  <si>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</si>
  <si>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</si>
  <si>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</si>
  <si>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</si>
  <si>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</si>
  <si>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</si>
  <si>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</si>
  <si>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</si>
  <si>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</si>
  <si>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</si>
  <si>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</si>
  <si>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</si>
  <si>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</si>
  <si>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</si>
  <si>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</si>
  <si>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</si>
  <si>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</si>
  <si>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</si>
  <si>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</si>
  <si>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</si>
  <si>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</si>
  <si>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</si>
  <si>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</si>
  <si>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</si>
  <si>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</si>
  <si>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</si>
  <si>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</si>
  <si>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</si>
  <si>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</si>
  <si>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</si>
  <si>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</si>
  <si>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</si>
  <si>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</si>
  <si>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</si>
  <si>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</si>
  <si>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</si>
  <si>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</si>
  <si>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</si>
  <si>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</si>
  <si>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</si>
  <si>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</si>
  <si>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</si>
  <si>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</si>
  <si>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</si>
  <si>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</si>
  <si>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</si>
  <si>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</si>
  <si>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</si>
  <si>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</si>
  <si>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</si>
  <si>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</si>
  <si>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</si>
  <si>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</si>
  <si>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</si>
  <si>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</si>
  <si>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</si>
  <si>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</si>
  <si>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</si>
  <si>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</si>
  <si>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</si>
  <si>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</si>
  <si>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</si>
  <si>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</si>
  <si>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</si>
  <si>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</si>
  <si>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</si>
  <si>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</si>
  <si>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</si>
  <si>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</si>
  <si>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</si>
  <si>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</si>
  <si>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</si>
  <si>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</si>
  <si>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</si>
  <si>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</si>
  <si>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</si>
  <si>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</si>
  <si>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</si>
  <si>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</si>
  <si>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</si>
  <si>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</si>
  <si>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</si>
  <si>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</si>
  <si>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</si>
  <si>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</si>
  <si>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</si>
  <si>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</si>
  <si>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</si>
  <si>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</si>
  <si>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</si>
  <si>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</si>
  <si>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</si>
  <si>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</si>
  <si>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</si>
  <si>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A0489</t>
  </si>
  <si>
    <t xml:space="preserve">S2-L33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</si>
  <si>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</si>
  <si>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</si>
  <si>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</si>
  <si>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</si>
  <si>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</si>
  <si>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</si>
  <si>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</si>
  <si>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</si>
  <si>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</si>
  <si>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</si>
  <si>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</si>
  <si>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</si>
  <si>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</si>
  <si>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</si>
  <si>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</si>
  <si>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</si>
  <si>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</si>
  <si>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</si>
  <si>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</si>
  <si>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</si>
  <si>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</si>
  <si>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</si>
  <si>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</si>
  <si>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</si>
  <si>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</si>
  <si>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</si>
  <si>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</si>
  <si>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</si>
  <si>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</si>
  <si>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</si>
  <si>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</si>
  <si>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</si>
  <si>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</si>
  <si>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</si>
  <si>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</si>
  <si>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</si>
  <si>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</si>
  <si>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</si>
  <si>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</si>
  <si>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</si>
  <si>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</si>
  <si>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</si>
  <si>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</si>
  <si>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</si>
  <si>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</si>
  <si>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</si>
  <si>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</si>
  <si>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</si>
  <si>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</si>
  <si>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</si>
  <si>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</si>
  <si>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</si>
  <si>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</si>
  <si>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</si>
  <si>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</si>
  <si>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</si>
  <si>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</si>
  <si>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</si>
  <si>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</si>
  <si>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</si>
  <si>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</si>
  <si>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</si>
  <si>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</si>
  <si>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</si>
  <si>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</si>
  <si>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</si>
  <si>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A0498</t>
  </si>
  <si>
    <t xml:space="preserve">B055</t>
  </si>
  <si>
    <t xml:space="preserve">S2-L34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</si>
  <si>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</si>
  <si>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</si>
  <si>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</si>
  <si>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</si>
  <si>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</si>
  <si>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</si>
  <si>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</si>
  <si>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</si>
  <si>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</si>
  <si>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</si>
  <si>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</si>
  <si>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</si>
  <si>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</si>
  <si>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</si>
  <si>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</si>
  <si>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</si>
  <si>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</si>
  <si>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</si>
  <si>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</si>
  <si>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</si>
  <si>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</si>
  <si>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</si>
  <si>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</si>
  <si>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</si>
  <si>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</si>
  <si>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</si>
  <si>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</si>
  <si>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</si>
  <si>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</si>
  <si>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</si>
  <si>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</si>
  <si>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</si>
  <si>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</si>
  <si>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</si>
  <si>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</si>
  <si>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</si>
  <si>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</si>
  <si>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</si>
  <si>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</si>
  <si>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</si>
  <si>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</si>
  <si>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</si>
  <si>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</si>
  <si>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</si>
  <si>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</si>
  <si>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</si>
  <si>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</si>
  <si>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</si>
  <si>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</si>
  <si>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</si>
  <si>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</si>
  <si>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</si>
  <si>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</si>
  <si>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</si>
  <si>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</si>
  <si>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</si>
  <si>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</si>
  <si>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</si>
  <si>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</si>
  <si>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</si>
  <si>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</si>
  <si>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</si>
  <si>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</si>
  <si>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</si>
  <si>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</si>
  <si>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</si>
  <si>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</si>
  <si>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</si>
  <si>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</si>
  <si>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</si>
  <si>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</si>
  <si>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</si>
  <si>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</si>
  <si>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</si>
  <si>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</si>
  <si>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</si>
  <si>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</si>
  <si>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</si>
  <si>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</si>
  <si>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</si>
  <si>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</si>
  <si>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</si>
  <si>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</si>
  <si>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</si>
  <si>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</si>
  <si>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</si>
  <si>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</si>
  <si>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</si>
  <si>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</si>
  <si>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</si>
  <si>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</si>
  <si>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</si>
  <si>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</si>
  <si>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</si>
  <si>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</si>
  <si>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</si>
  <si>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</si>
  <si>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</si>
  <si>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</si>
  <si>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</si>
  <si>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</si>
  <si>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</si>
  <si>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</si>
  <si>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</si>
  <si>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</si>
  <si>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</si>
  <si>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</si>
  <si>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</si>
  <si>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</si>
  <si>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</si>
  <si>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</si>
  <si>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</si>
  <si>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</si>
  <si>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</si>
  <si>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</si>
  <si>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</si>
  <si>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</si>
  <si>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</si>
  <si>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</si>
  <si>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</si>
  <si>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</si>
  <si>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</si>
  <si>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</si>
  <si>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</si>
  <si>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</si>
  <si>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</si>
  <si>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A0513</t>
  </si>
  <si>
    <t xml:space="preserve">S2-L35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</si>
  <si>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</si>
  <si>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</si>
  <si>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</si>
  <si>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</si>
  <si>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</si>
  <si>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</si>
  <si>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</si>
  <si>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</si>
  <si>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</si>
  <si>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</si>
  <si>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</si>
  <si>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</si>
  <si>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</si>
  <si>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</si>
  <si>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</si>
  <si>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</si>
  <si>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</si>
  <si>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</si>
  <si>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</si>
  <si>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</si>
  <si>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</si>
  <si>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</si>
  <si>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</si>
  <si>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</si>
  <si>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</si>
  <si>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</si>
  <si>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</si>
  <si>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</si>
  <si>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</si>
  <si>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</si>
  <si>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</si>
  <si>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</si>
  <si>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</si>
  <si>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</si>
  <si>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</si>
  <si>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</si>
  <si>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</si>
  <si>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</si>
  <si>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</si>
  <si>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</si>
  <si>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</si>
  <si>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</si>
  <si>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</si>
  <si>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</si>
  <si>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</si>
  <si>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</si>
  <si>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</si>
  <si>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</si>
  <si>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</si>
  <si>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</si>
  <si>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</si>
  <si>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</si>
  <si>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</si>
  <si>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</si>
  <si>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</si>
  <si>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</si>
  <si>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</si>
  <si>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</si>
  <si>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</si>
  <si>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</si>
  <si>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</si>
  <si>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</si>
  <si>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</si>
  <si>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</si>
  <si>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</si>
  <si>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</si>
  <si>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</si>
  <si>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</si>
  <si>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</si>
  <si>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</si>
  <si>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</si>
  <si>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</si>
  <si>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</si>
  <si>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</si>
  <si>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</si>
  <si>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</si>
  <si>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</si>
  <si>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A0522</t>
  </si>
  <si>
    <t xml:space="preserve">신약</t>
  </si>
  <si>
    <t xml:space="preserve">B057</t>
  </si>
  <si>
    <t xml:space="preserve">S2-L36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</si>
  <si>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</si>
  <si>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</si>
  <si>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</si>
  <si>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</si>
  <si>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</si>
  <si>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</si>
  <si>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</si>
  <si>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</si>
  <si>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</si>
  <si>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</si>
  <si>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</si>
  <si>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</si>
  <si>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</si>
  <si>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</si>
  <si>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</si>
  <si>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</si>
  <si>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</si>
  <si>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</si>
  <si>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</si>
  <si>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</si>
  <si>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</si>
  <si>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</si>
  <si>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</si>
  <si>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</si>
  <si>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</si>
  <si>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</si>
  <si>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</si>
  <si>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</si>
  <si>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</si>
  <si>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</si>
  <si>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</si>
  <si>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</si>
  <si>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</si>
  <si>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</si>
  <si>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</si>
  <si>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</si>
  <si>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</si>
  <si>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</si>
  <si>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</si>
  <si>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</si>
  <si>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</si>
  <si>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</si>
  <si>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</si>
  <si>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</si>
  <si>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</si>
  <si>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</si>
  <si>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</si>
  <si>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</si>
  <si>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</si>
  <si>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</si>
  <si>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</si>
  <si>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</si>
  <si>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</si>
  <si>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</si>
  <si>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</si>
  <si>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</si>
  <si>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</si>
  <si>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</si>
  <si>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</si>
  <si>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</si>
  <si>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</si>
  <si>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</si>
  <si>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</si>
  <si>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</si>
  <si>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</si>
  <si>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</si>
  <si>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</si>
  <si>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</si>
  <si>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</si>
  <si>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</si>
  <si>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</si>
  <si>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</si>
  <si>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</si>
  <si>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</si>
  <si>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</si>
  <si>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</si>
  <si>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</si>
  <si>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</si>
  <si>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</si>
  <si>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</si>
  <si>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</si>
  <si>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</si>
  <si>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</si>
  <si>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</si>
  <si>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</si>
  <si>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</si>
  <si>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</si>
  <si>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</si>
  <si>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</si>
  <si>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</si>
  <si>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</si>
  <si>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</si>
  <si>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</si>
  <si>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</si>
  <si>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</si>
  <si>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</si>
  <si>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</si>
  <si>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</si>
  <si>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</si>
  <si>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</si>
  <si>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</si>
  <si>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</si>
  <si>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</si>
  <si>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</si>
  <si>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</si>
  <si>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</si>
  <si>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</si>
  <si>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</si>
  <si>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</si>
  <si>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</si>
  <si>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</si>
  <si>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</si>
  <si>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</si>
  <si>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</si>
  <si>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</si>
  <si>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</si>
  <si>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</si>
  <si>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</si>
  <si>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</si>
  <si>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</si>
  <si>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</si>
  <si>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</si>
  <si>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</si>
  <si>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</si>
  <si>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</si>
  <si>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</si>
  <si>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</si>
  <si>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</si>
  <si>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</si>
  <si>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</si>
  <si>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</si>
  <si>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</si>
  <si>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</si>
  <si>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</si>
  <si>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</si>
  <si>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</si>
  <si>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</si>
  <si>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</si>
  <si>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</si>
  <si>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</si>
  <si>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</si>
  <si>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</si>
  <si>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</si>
  <si>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</si>
  <si>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</si>
  <si>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</si>
  <si>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</si>
  <si>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</si>
  <si>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</si>
  <si>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</si>
  <si>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</si>
  <si>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</si>
  <si>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</si>
  <si>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</si>
  <si>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</si>
  <si>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</si>
  <si>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</si>
  <si>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</si>
  <si>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</si>
  <si>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</si>
  <si>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</si>
  <si>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</si>
  <si>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</si>
  <si>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</si>
  <si>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</si>
  <si>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</si>
  <si>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</si>
  <si>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</si>
  <si>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</si>
  <si>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</si>
  <si>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</si>
  <si>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</si>
  <si>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</si>
  <si>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</si>
  <si>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</si>
  <si>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</si>
  <si>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</si>
  <si>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</si>
  <si>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</si>
  <si>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</si>
  <si>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</si>
  <si>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</si>
  <si>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</si>
  <si>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</si>
  <si>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</si>
  <si>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</si>
  <si>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</si>
  <si>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</si>
  <si>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</si>
  <si>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</si>
  <si>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</si>
  <si>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</si>
  <si>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</si>
  <si>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</si>
  <si>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</si>
  <si>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</si>
  <si>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</si>
  <si>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</si>
  <si>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</si>
  <si>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</si>
  <si>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</si>
  <si>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</si>
  <si>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</si>
  <si>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</si>
  <si>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</si>
  <si>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</si>
  <si>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</si>
  <si>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</si>
  <si>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</si>
  <si>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</si>
  <si>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</si>
  <si>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</si>
  <si>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</si>
  <si>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</si>
  <si>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</si>
  <si>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</si>
  <si>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13:24-52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</si>
  <si>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</si>
  <si>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</si>
  <si>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</si>
  <si>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</si>
  <si>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</si>
  <si>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</si>
  <si>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</si>
  <si>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A0548</t>
  </si>
  <si>
    <t xml:space="preserve">B060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</si>
  <si>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</si>
  <si>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</si>
  <si>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</si>
  <si>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</si>
  <si>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</si>
  <si>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</si>
  <si>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</si>
  <si>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</si>
  <si>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</si>
  <si>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</si>
  <si>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</si>
  <si>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</si>
  <si>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</si>
  <si>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</si>
  <si>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</si>
  <si>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</si>
  <si>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13:24-52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</si>
  <si>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</si>
  <si>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</si>
  <si>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</si>
  <si>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</si>
  <si>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</si>
  <si>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</si>
  <si>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</si>
  <si>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</si>
  <si>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</si>
  <si>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</si>
  <si>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</si>
  <si>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</si>
  <si>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</si>
  <si>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</si>
  <si>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</si>
  <si>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</si>
  <si>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</si>
  <si>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</si>
  <si>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</si>
  <si>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</si>
  <si>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</si>
  <si>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</si>
  <si>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</si>
  <si>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</si>
  <si>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</si>
  <si>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</si>
  <si>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</si>
  <si>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</si>
  <si>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</si>
  <si>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</si>
  <si>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</si>
  <si>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</si>
  <si>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</si>
  <si>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</si>
  <si>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</si>
  <si>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</si>
  <si>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</si>
  <si>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</si>
  <si>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</si>
  <si>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</si>
  <si>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</si>
  <si>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</si>
  <si>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</si>
  <si>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</si>
  <si>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</si>
  <si>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</si>
  <si>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</si>
  <si>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</si>
  <si>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</si>
  <si>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</si>
  <si>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</si>
  <si>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</si>
  <si>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</si>
  <si>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</si>
  <si>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</si>
  <si>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</si>
  <si>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</si>
  <si>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</si>
  <si>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</si>
  <si>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</si>
  <si>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</si>
  <si>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</si>
  <si>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</si>
  <si>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</si>
  <si>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</si>
  <si>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</si>
  <si>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</si>
  <si>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</si>
  <si>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</si>
  <si>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</si>
  <si>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</si>
  <si>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</si>
  <si>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</si>
  <si>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</si>
  <si>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</si>
  <si>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</si>
  <si>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</si>
  <si>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</si>
  <si>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</si>
  <si>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</si>
  <si>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</si>
  <si>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</si>
  <si>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</si>
  <si>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</si>
  <si>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</si>
  <si>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</si>
  <si>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</si>
  <si>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</si>
  <si>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</si>
  <si>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</si>
  <si>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</si>
  <si>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</si>
  <si>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</si>
  <si>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</si>
  <si>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</si>
  <si>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</si>
  <si>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</si>
  <si>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</si>
  <si>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</si>
  <si>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</si>
  <si>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</si>
  <si>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</si>
  <si>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</si>
  <si>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</si>
  <si>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</si>
  <si>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</si>
  <si>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</si>
  <si>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</si>
  <si>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</si>
  <si>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</si>
  <si>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</si>
  <si>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</si>
  <si>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</si>
  <si>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</si>
  <si>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</si>
  <si>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</si>
  <si>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</si>
  <si>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</si>
  <si>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</si>
  <si>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</si>
  <si>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</si>
  <si>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</si>
  <si>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</si>
  <si>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</si>
  <si>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</si>
  <si>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</si>
  <si>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</si>
  <si>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</si>
  <si>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</si>
  <si>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</si>
  <si>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</si>
  <si>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</si>
  <si>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</si>
  <si>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</si>
  <si>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</si>
  <si>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</si>
  <si>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</si>
  <si>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</si>
  <si>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</si>
  <si>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</si>
  <si>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</si>
  <si>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</si>
  <si>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</si>
  <si>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</si>
  <si>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</si>
  <si>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</si>
  <si>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</si>
  <si>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</si>
  <si>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</si>
  <si>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</si>
  <si>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</si>
  <si>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</si>
  <si>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</si>
  <si>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</si>
  <si>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A0568</t>
  </si>
  <si>
    <t xml:space="preserve">B062</t>
  </si>
  <si>
    <t xml:space="preserve">S2-L38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</si>
  <si>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</si>
  <si>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</si>
  <si>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</si>
  <si>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</si>
  <si>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</si>
  <si>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</si>
  <si>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</si>
  <si>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</si>
  <si>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</si>
  <si>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</si>
  <si>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</si>
  <si>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</si>
  <si>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</si>
  <si>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</si>
  <si>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</si>
  <si>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</si>
  <si>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</si>
  <si>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</si>
  <si>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</si>
  <si>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</si>
  <si>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</si>
  <si>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</si>
  <si>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</si>
  <si>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</si>
  <si>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</si>
  <si>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</si>
  <si>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</si>
  <si>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</si>
  <si>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</si>
  <si>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</si>
  <si>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</si>
  <si>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</si>
  <si>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</si>
  <si>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</si>
  <si>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</si>
  <si>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</si>
  <si>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</si>
  <si>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</si>
  <si>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</si>
  <si>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</si>
  <si>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</si>
  <si>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</si>
  <si>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</si>
  <si>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</si>
  <si>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</si>
  <si>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</si>
  <si>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</si>
  <si>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</si>
  <si>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</si>
  <si>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</si>
  <si>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</si>
  <si>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</si>
  <si>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</si>
  <si>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</si>
  <si>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</si>
  <si>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</si>
  <si>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</si>
  <si>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</si>
  <si>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</si>
  <si>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</si>
  <si>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</si>
  <si>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</si>
  <si>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</si>
  <si>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</si>
  <si>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</si>
  <si>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</si>
  <si>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</si>
  <si>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</si>
  <si>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</si>
  <si>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</si>
  <si>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</si>
  <si>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</si>
  <si>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</si>
  <si>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</si>
  <si>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</si>
  <si>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</si>
  <si>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</si>
  <si>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</si>
  <si>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</si>
  <si>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</si>
  <si>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</si>
  <si>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</si>
  <si>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</si>
  <si>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</si>
  <si>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</si>
  <si>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</si>
  <si>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</si>
  <si>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</si>
  <si>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</si>
  <si>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</si>
  <si>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</si>
  <si>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</si>
  <si>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</si>
  <si>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</si>
  <si>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</si>
  <si>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</si>
  <si>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</si>
  <si>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</si>
  <si>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</si>
  <si>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</si>
  <si>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</si>
  <si>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</si>
  <si>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</si>
  <si>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</si>
  <si>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</si>
  <si>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</si>
  <si>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</si>
  <si>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</si>
  <si>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</si>
  <si>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</si>
  <si>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</si>
  <si>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</si>
  <si>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</si>
  <si>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</si>
  <si>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</si>
  <si>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</si>
  <si>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</si>
  <si>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</si>
  <si>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</si>
  <si>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</si>
  <si>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</si>
  <si>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</si>
  <si>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</si>
  <si>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</si>
  <si>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</si>
  <si>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</si>
  <si>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</si>
  <si>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</si>
  <si>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</si>
  <si>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</si>
  <si>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</si>
  <si>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</si>
  <si>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</si>
  <si>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</si>
  <si>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</si>
  <si>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</si>
  <si>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</si>
  <si>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</si>
  <si>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</si>
  <si>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</si>
  <si>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</si>
  <si>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</si>
  <si>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</si>
  <si>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</si>
  <si>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</si>
  <si>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</si>
  <si>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</si>
  <si>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</si>
  <si>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</si>
  <si>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</si>
  <si>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</si>
  <si>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</si>
  <si>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</si>
  <si>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</si>
  <si>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</si>
  <si>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</si>
  <si>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</si>
  <si>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</si>
  <si>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</si>
  <si>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</si>
  <si>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</si>
  <si>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</si>
  <si>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</si>
  <si>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</si>
  <si>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</si>
  <si>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</si>
  <si>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</si>
  <si>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</si>
  <si>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</si>
  <si>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</si>
  <si>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</si>
  <si>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</si>
  <si>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</si>
  <si>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</si>
  <si>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</si>
  <si>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</si>
  <si>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</si>
  <si>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</si>
  <si>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</si>
  <si>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개역개정 괄호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</si>
  <si>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</si>
  <si>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</si>
  <si>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</si>
  <si>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</si>
  <si>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</si>
  <si>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</si>
  <si>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</si>
  <si>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</si>
  <si>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</si>
  <si>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</si>
  <si>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</si>
  <si>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</si>
  <si>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</si>
  <si>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</si>
  <si>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</si>
  <si>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</si>
  <si>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</si>
  <si>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</si>
  <si>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</si>
  <si>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</si>
  <si>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</si>
  <si>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A0591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</si>
  <si>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</si>
  <si>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</si>
  <si>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</si>
  <si>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</si>
  <si>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</si>
  <si>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</si>
  <si>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</si>
  <si>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</si>
  <si>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</si>
  <si>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</si>
  <si>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</si>
  <si>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</si>
  <si>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</si>
  <si>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</si>
  <si>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</si>
  <si>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</si>
  <si>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</si>
  <si>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</si>
  <si>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</si>
  <si>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</si>
  <si>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</si>
  <si>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</si>
  <si>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</si>
  <si>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</si>
  <si>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</si>
  <si>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</si>
  <si>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</si>
  <si>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</si>
  <si>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</si>
  <si>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</si>
  <si>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</si>
  <si>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</si>
  <si>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</si>
  <si>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</si>
  <si>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</si>
  <si>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</si>
  <si>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</si>
  <si>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</si>
  <si>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</si>
  <si>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</si>
  <si>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</si>
  <si>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</si>
  <si>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</si>
  <si>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</si>
  <si>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</si>
  <si>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</si>
  <si>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</si>
  <si>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</si>
  <si>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</si>
  <si>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</si>
  <si>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</si>
  <si>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</si>
  <si>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</si>
  <si>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</si>
  <si>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</si>
  <si>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</si>
  <si>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</si>
  <si>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</si>
  <si>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</si>
  <si>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</si>
  <si>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</si>
  <si>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</si>
  <si>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</si>
  <si>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</si>
  <si>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</si>
  <si>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</si>
  <si>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</si>
  <si>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</si>
  <si>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</si>
  <si>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</si>
  <si>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</si>
  <si>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</si>
  <si>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</si>
  <si>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</si>
  <si>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</si>
  <si>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</si>
  <si>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</si>
  <si>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</si>
  <si>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</si>
  <si>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</si>
  <si>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</si>
  <si>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</si>
  <si>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</si>
  <si>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</si>
  <si>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</si>
  <si>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</si>
  <si>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</si>
  <si>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</si>
  <si>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</si>
  <si>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</si>
  <si>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</si>
  <si>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</si>
  <si>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</si>
  <si>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</si>
  <si>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</si>
  <si>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</si>
  <si>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</si>
  <si>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</si>
  <si>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</si>
  <si>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</si>
  <si>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</si>
  <si>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</si>
  <si>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</si>
  <si>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</si>
  <si>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</si>
  <si>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</si>
  <si>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</si>
  <si>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</si>
  <si>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</si>
  <si>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</si>
  <si>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</si>
  <si>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</si>
  <si>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</si>
  <si>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</si>
  <si>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</si>
  <si>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</si>
  <si>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</si>
  <si>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</si>
  <si>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</si>
  <si>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</si>
  <si>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</si>
  <si>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</si>
  <si>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</si>
  <si>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</si>
  <si>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</si>
  <si>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</si>
  <si>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</si>
  <si>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</si>
  <si>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</si>
  <si>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</si>
  <si>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</si>
  <si>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</si>
  <si>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</si>
  <si>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</si>
  <si>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</si>
  <si>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</si>
  <si>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</si>
  <si>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</si>
  <si>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</si>
  <si>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</si>
  <si>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</si>
  <si>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</si>
  <si>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</si>
  <si>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</si>
  <si>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</si>
  <si>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</si>
  <si>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</si>
  <si>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</si>
  <si>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</si>
  <si>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</si>
  <si>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</si>
  <si>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</si>
  <si>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</si>
  <si>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</si>
  <si>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</si>
  <si>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</si>
  <si>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</si>
  <si>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</si>
  <si>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A0609</t>
  </si>
  <si>
    <t xml:space="preserve">S2-L40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</si>
  <si>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</si>
  <si>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</si>
  <si>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</si>
  <si>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</si>
  <si>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</si>
  <si>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</si>
  <si>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</si>
  <si>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</si>
  <si>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</si>
  <si>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</si>
  <si>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</si>
  <si>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</si>
  <si>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</si>
  <si>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</si>
  <si>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</si>
  <si>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</si>
  <si>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</si>
  <si>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</si>
  <si>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</si>
  <si>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</si>
  <si>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</si>
  <si>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</si>
  <si>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</si>
  <si>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</si>
  <si>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</si>
  <si>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</si>
  <si>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</si>
  <si>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</si>
  <si>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</si>
  <si>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</si>
  <si>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</si>
  <si>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</si>
  <si>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</si>
  <si>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</si>
  <si>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</si>
  <si>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</si>
  <si>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</si>
  <si>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</si>
  <si>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</si>
  <si>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</si>
  <si>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</si>
  <si>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</si>
  <si>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</si>
  <si>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</si>
  <si>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</si>
  <si>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</si>
  <si>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</si>
  <si>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</si>
  <si>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</si>
  <si>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</si>
  <si>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</si>
  <si>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</si>
  <si>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</si>
  <si>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</si>
  <si>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</si>
  <si>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</si>
  <si>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</si>
  <si>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</si>
  <si>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</si>
  <si>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</si>
  <si>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</si>
  <si>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</si>
  <si>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</si>
  <si>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</si>
  <si>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</si>
  <si>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</si>
  <si>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</si>
  <si>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</si>
  <si>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</si>
  <si>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</si>
  <si>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</si>
  <si>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</si>
  <si>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</si>
  <si>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</si>
  <si>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</si>
  <si>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</si>
  <si>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</si>
  <si>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</si>
  <si>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</si>
  <si>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</si>
  <si>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</si>
  <si>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</si>
  <si>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</si>
  <si>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</si>
  <si>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</si>
  <si>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</si>
  <si>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</si>
  <si>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</si>
  <si>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</si>
  <si>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</si>
  <si>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</si>
  <si>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</si>
  <si>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</si>
  <si>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</si>
  <si>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</si>
  <si>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</si>
  <si>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</si>
  <si>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</si>
  <si>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</si>
  <si>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</si>
  <si>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</si>
  <si>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</si>
  <si>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</si>
  <si>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</si>
  <si>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</si>
  <si>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</si>
  <si>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</si>
  <si>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</si>
  <si>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</si>
  <si>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</si>
  <si>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</si>
  <si>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</si>
  <si>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</si>
  <si>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</si>
  <si>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</si>
  <si>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</si>
  <si>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</si>
  <si>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</si>
  <si>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</si>
  <si>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</si>
  <si>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</si>
  <si>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</si>
  <si>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</si>
  <si>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</si>
  <si>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</si>
  <si>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</si>
  <si>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</si>
  <si>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</si>
  <si>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</si>
  <si>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</si>
  <si>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</si>
  <si>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</si>
  <si>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</si>
  <si>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</si>
  <si>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</si>
  <si>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</si>
  <si>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</si>
  <si>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</si>
  <si>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</si>
  <si>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</si>
  <si>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</si>
  <si>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</si>
  <si>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</si>
  <si>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</si>
  <si>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</si>
  <si>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</si>
  <si>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</si>
  <si>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</si>
  <si>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</si>
  <si>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</si>
  <si>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</si>
  <si>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</si>
  <si>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</si>
  <si>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</si>
  <si>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</si>
  <si>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</si>
  <si>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</si>
  <si>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</si>
  <si>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</si>
  <si>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</si>
  <si>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</si>
  <si>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</si>
  <si>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</si>
  <si>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</si>
  <si>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</si>
  <si>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</si>
  <si>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</si>
  <si>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A0628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</si>
  <si>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</si>
  <si>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</si>
  <si>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</si>
  <si>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</si>
  <si>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</si>
  <si>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</si>
  <si>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</si>
  <si>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</si>
  <si>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</si>
  <si>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</si>
  <si>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</si>
  <si>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</si>
  <si>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</si>
  <si>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</si>
  <si>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</si>
  <si>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</si>
  <si>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</si>
  <si>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</si>
  <si>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</si>
  <si>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</si>
  <si>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</si>
  <si>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</si>
  <si>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</si>
  <si>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</si>
  <si>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</si>
  <si>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</si>
  <si>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</si>
  <si>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</si>
  <si>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</si>
  <si>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</si>
  <si>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</si>
  <si>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</si>
  <si>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</si>
  <si>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</si>
  <si>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</si>
  <si>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</si>
  <si>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</si>
  <si>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</si>
  <si>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</si>
  <si>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</si>
  <si>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</si>
  <si>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</si>
  <si>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</si>
  <si>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</si>
  <si>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</si>
  <si>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</si>
  <si>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</si>
  <si>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</si>
  <si>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</si>
  <si>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</si>
  <si>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</si>
  <si>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</si>
  <si>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</si>
  <si>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</si>
  <si>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</si>
  <si>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</si>
  <si>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</si>
  <si>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</si>
  <si>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</si>
  <si>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A0635</t>
  </si>
  <si>
    <t xml:space="preserve">B069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</si>
  <si>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</si>
  <si>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</si>
  <si>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</si>
  <si>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</si>
  <si>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</si>
  <si>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</si>
  <si>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</si>
  <si>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A0636</t>
  </si>
  <si>
    <t xml:space="preserve">S2-L41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</si>
  <si>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</si>
  <si>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</si>
  <si>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</si>
  <si>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</si>
  <si>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</si>
  <si>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</si>
  <si>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</si>
  <si>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</si>
  <si>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</si>
  <si>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</si>
  <si>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</si>
  <si>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</si>
  <si>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</si>
  <si>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</si>
  <si>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</si>
  <si>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</si>
  <si>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</si>
  <si>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</si>
  <si>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</si>
  <si>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</si>
  <si>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</si>
  <si>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</si>
  <si>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</si>
  <si>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</si>
  <si>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</si>
  <si>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</si>
  <si>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</si>
  <si>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</si>
  <si>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</si>
  <si>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</si>
  <si>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</si>
  <si>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</si>
  <si>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</si>
  <si>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</si>
  <si>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</si>
  <si>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</si>
  <si>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</si>
  <si>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</si>
  <si>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</si>
  <si>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</si>
  <si>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</si>
  <si>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</si>
  <si>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</si>
  <si>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</si>
  <si>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</si>
  <si>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</si>
  <si>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</si>
  <si>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</si>
  <si>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</si>
  <si>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</si>
  <si>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</si>
  <si>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</si>
  <si>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</si>
  <si>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</si>
  <si>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</si>
  <si>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</si>
  <si>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</si>
  <si>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</si>
  <si>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</si>
  <si>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</si>
  <si>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</si>
  <si>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</si>
  <si>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</si>
  <si>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</si>
  <si>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</si>
  <si>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</si>
  <si>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</si>
  <si>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</si>
  <si>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</si>
  <si>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</si>
  <si>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</si>
  <si>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</si>
  <si>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</si>
  <si>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</si>
  <si>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</si>
  <si>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</si>
  <si>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</si>
  <si>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</si>
  <si>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</si>
  <si>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</si>
  <si>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</si>
  <si>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</si>
  <si>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</si>
  <si>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</si>
  <si>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</si>
  <si>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</si>
  <si>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</si>
  <si>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</si>
  <si>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A0647</t>
  </si>
  <si>
    <t xml:space="preserve">B070</t>
  </si>
  <si>
    <t xml:space="preserve">S1-L28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</si>
  <si>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</si>
  <si>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</si>
  <si>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</si>
  <si>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</si>
  <si>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</si>
  <si>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</si>
  <si>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</si>
  <si>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</si>
  <si>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</si>
  <si>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</si>
  <si>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</si>
  <si>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</si>
  <si>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</si>
  <si>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</si>
  <si>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</si>
  <si>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</si>
  <si>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</si>
  <si>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</si>
  <si>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</si>
  <si>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</si>
  <si>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</si>
  <si>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</si>
  <si>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</si>
  <si>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</si>
  <si>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</si>
  <si>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</si>
  <si>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</si>
  <si>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</si>
  <si>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</si>
  <si>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</si>
  <si>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</si>
  <si>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</si>
  <si>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</si>
  <si>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</si>
  <si>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</si>
  <si>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</si>
  <si>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</si>
  <si>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</si>
  <si>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</si>
  <si>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</si>
  <si>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</si>
  <si>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</si>
  <si>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</si>
  <si>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</si>
  <si>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</si>
  <si>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</si>
  <si>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</si>
  <si>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</si>
  <si>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</si>
  <si>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</si>
  <si>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</si>
  <si>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</si>
  <si>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</si>
  <si>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</si>
  <si>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</si>
  <si>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</si>
  <si>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</si>
  <si>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</si>
  <si>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</si>
  <si>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</si>
  <si>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</si>
  <si>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</si>
  <si>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</si>
  <si>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</si>
  <si>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</si>
  <si>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</si>
  <si>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</si>
  <si>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</si>
  <si>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</si>
  <si>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</si>
  <si>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</si>
  <si>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</si>
  <si>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</si>
  <si>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</si>
  <si>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</si>
  <si>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</si>
  <si>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</si>
  <si>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</si>
  <si>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</si>
  <si>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</si>
  <si>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</si>
  <si>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</si>
  <si>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</si>
  <si>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</si>
  <si>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</si>
  <si>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</si>
  <si>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</si>
  <si>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A0657</t>
  </si>
  <si>
    <t xml:space="preserve">B071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</si>
  <si>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</si>
  <si>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</si>
  <si>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</si>
  <si>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</si>
  <si>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</si>
  <si>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</si>
  <si>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</si>
  <si>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</si>
  <si>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</si>
  <si>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</si>
  <si>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</si>
  <si>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</si>
  <si>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</si>
  <si>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</si>
  <si>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</si>
  <si>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</si>
  <si>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</si>
  <si>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</si>
  <si>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</si>
  <si>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</si>
  <si>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</si>
  <si>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</si>
  <si>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</si>
  <si>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</si>
  <si>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</si>
  <si>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</si>
  <si>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</si>
  <si>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</si>
  <si>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</si>
  <si>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</si>
  <si>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</si>
  <si>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</si>
  <si>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</si>
  <si>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</si>
  <si>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</si>
  <si>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</si>
  <si>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</si>
  <si>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</si>
  <si>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</si>
  <si>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</si>
  <si>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</si>
  <si>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</si>
  <si>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</si>
  <si>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</si>
  <si>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</si>
  <si>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</si>
  <si>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</si>
  <si>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</si>
  <si>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</si>
  <si>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</si>
  <si>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</si>
  <si>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</si>
  <si>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</si>
  <si>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</si>
  <si>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</si>
  <si>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</si>
  <si>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</si>
  <si>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</si>
  <si>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</si>
  <si>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</si>
  <si>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</si>
  <si>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</si>
  <si>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</si>
  <si>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</si>
  <si>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</si>
  <si>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</si>
  <si>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</si>
  <si>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</si>
  <si>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</si>
  <si>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</si>
  <si>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</si>
  <si>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A0665</t>
  </si>
  <si>
    <t xml:space="preserve">B072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</si>
  <si>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</si>
  <si>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</si>
  <si>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</si>
  <si>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</si>
  <si>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</si>
  <si>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</si>
  <si>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</si>
  <si>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</si>
  <si>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</si>
  <si>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</si>
  <si>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</si>
  <si>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</si>
  <si>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</si>
  <si>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</si>
  <si>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</si>
  <si>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</si>
  <si>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</si>
  <si>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</si>
  <si>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</si>
  <si>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</si>
  <si>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</si>
  <si>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</si>
  <si>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</si>
  <si>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</si>
  <si>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</si>
  <si>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</si>
  <si>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</si>
  <si>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</si>
  <si>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</si>
  <si>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</si>
  <si>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</si>
  <si>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</si>
  <si>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</si>
  <si>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</si>
  <si>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</si>
  <si>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</si>
  <si>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</si>
  <si>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</si>
  <si>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</si>
  <si>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</si>
  <si>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</si>
  <si>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</si>
  <si>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</si>
  <si>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</si>
  <si>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</si>
  <si>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</si>
  <si>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</si>
  <si>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</si>
  <si>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</si>
  <si>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</si>
  <si>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</si>
  <si>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</si>
  <si>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</si>
  <si>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</si>
  <si>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</si>
  <si>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</si>
  <si>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</si>
  <si>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</si>
  <si>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</si>
  <si>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</si>
  <si>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</si>
  <si>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</si>
  <si>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</si>
  <si>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</si>
  <si>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</si>
  <si>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</si>
  <si>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</si>
  <si>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</si>
  <si>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</si>
  <si>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</si>
  <si>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</si>
  <si>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</si>
  <si>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</si>
  <si>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</si>
  <si>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</si>
  <si>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</si>
  <si>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</si>
  <si>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</si>
  <si>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</si>
  <si>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</si>
  <si>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</si>
  <si>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</si>
  <si>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</si>
  <si>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</si>
  <si>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</si>
  <si>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</si>
  <si>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</si>
  <si>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</si>
  <si>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</si>
  <si>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</si>
  <si>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</si>
  <si>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</si>
  <si>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</si>
  <si>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</si>
  <si>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</si>
  <si>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</si>
  <si>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</si>
  <si>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A0676</t>
  </si>
  <si>
    <t xml:space="preserve">B073</t>
  </si>
  <si>
    <t xml:space="preserve">S2-L43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</si>
  <si>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</si>
  <si>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</si>
  <si>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</si>
  <si>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</si>
  <si>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</si>
  <si>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</si>
  <si>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</si>
  <si>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</si>
  <si>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</si>
  <si>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</si>
  <si>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</si>
  <si>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</si>
  <si>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</si>
  <si>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</si>
  <si>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</si>
  <si>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</si>
  <si>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</si>
  <si>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</si>
  <si>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</si>
  <si>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</si>
  <si>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</si>
  <si>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</si>
  <si>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</si>
  <si>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</si>
  <si>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</si>
  <si>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</si>
  <si>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</si>
  <si>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</si>
  <si>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</si>
  <si>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</si>
  <si>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</si>
  <si>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</si>
  <si>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</si>
  <si>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</si>
  <si>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</si>
  <si>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</si>
  <si>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</si>
  <si>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</si>
  <si>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</si>
  <si>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</si>
  <si>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t xml:space="preserve">A0681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</si>
  <si>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</si>
  <si>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</si>
  <si>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</si>
  <si>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</si>
  <si>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</si>
  <si>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</si>
  <si>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</si>
  <si>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</si>
  <si>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</si>
  <si>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</si>
  <si>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</si>
  <si>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</si>
  <si>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</si>
  <si>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</si>
  <si>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</si>
  <si>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</si>
  <si>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</si>
  <si>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</si>
  <si>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</si>
  <si>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</si>
  <si>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</si>
  <si>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</si>
  <si>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</si>
  <si>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</si>
  <si>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</si>
  <si>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</si>
  <si>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</si>
  <si>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</si>
  <si>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</si>
  <si>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</si>
  <si>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</si>
  <si>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</si>
  <si>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</si>
  <si>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</si>
  <si>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</si>
  <si>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</si>
  <si>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</si>
  <si>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</si>
  <si>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</si>
  <si>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</si>
  <si>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</si>
  <si>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</si>
  <si>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</si>
  <si>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바울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</si>
  <si>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</si>
  <si>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</si>
  <si>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</si>
  <si>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</si>
  <si>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</si>
  <si>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</si>
  <si>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</si>
  <si>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</si>
  <si>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</si>
  <si>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A0687</t>
  </si>
  <si>
    <t xml:space="preserve">S1-L30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</si>
  <si>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</si>
  <si>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</si>
  <si>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</si>
  <si>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</si>
  <si>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</si>
  <si>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</si>
  <si>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</si>
  <si>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A0688</t>
  </si>
  <si>
    <t xml:space="preserve">S2-L44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</si>
  <si>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</si>
  <si>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</si>
  <si>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</si>
  <si>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</si>
  <si>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</si>
  <si>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</si>
  <si>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</si>
  <si>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</si>
  <si>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</si>
  <si>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</si>
  <si>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</si>
  <si>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</si>
  <si>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</si>
  <si>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</si>
  <si>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</si>
  <si>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</si>
  <si>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</si>
  <si>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</si>
  <si>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</si>
  <si>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</si>
  <si>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</si>
  <si>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</si>
  <si>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</si>
  <si>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</si>
  <si>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</si>
  <si>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</si>
  <si>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</si>
  <si>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</si>
  <si>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</si>
  <si>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</si>
  <si>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</si>
  <si>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</si>
  <si>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</si>
  <si>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</si>
  <si>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</si>
  <si>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</si>
  <si>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</si>
  <si>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</si>
  <si>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</si>
  <si>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</si>
  <si>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</si>
  <si>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</si>
  <si>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</si>
  <si>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</si>
  <si>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</si>
  <si>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</si>
  <si>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</si>
  <si>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</si>
  <si>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</si>
  <si>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</si>
  <si>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</si>
  <si>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</si>
  <si>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</si>
  <si>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</si>
  <si>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</si>
  <si>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</si>
  <si>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</si>
  <si>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</si>
  <si>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</si>
  <si>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</si>
  <si>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</si>
  <si>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</si>
  <si>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</si>
  <si>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</si>
  <si>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</si>
  <si>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</si>
  <si>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</si>
  <si>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</si>
  <si>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</si>
  <si>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</si>
  <si>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</si>
  <si>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</si>
  <si>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</si>
  <si>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</si>
  <si>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</si>
  <si>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</si>
  <si>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</si>
  <si>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</si>
  <si>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</si>
  <si>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A0698</t>
  </si>
  <si>
    <t xml:space="preserve">B075</t>
  </si>
  <si>
    <t xml:space="preserve">S2-L45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</si>
  <si>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</si>
  <si>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</si>
  <si>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</si>
  <si>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</si>
  <si>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</si>
  <si>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</si>
  <si>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</si>
  <si>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</si>
  <si>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</si>
  <si>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</si>
  <si>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</si>
  <si>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</si>
  <si>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</si>
  <si>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</si>
  <si>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</si>
  <si>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</si>
  <si>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</si>
  <si>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</si>
  <si>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</si>
  <si>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</si>
  <si>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</si>
  <si>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</si>
  <si>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</si>
  <si>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</si>
  <si>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</si>
  <si>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</si>
  <si>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</si>
  <si>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</si>
  <si>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</si>
  <si>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</si>
  <si>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</si>
  <si>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</si>
  <si>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</si>
  <si>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</si>
  <si>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</si>
  <si>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</si>
  <si>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</si>
  <si>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</si>
  <si>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</si>
  <si>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</si>
  <si>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</si>
  <si>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</si>
  <si>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</si>
  <si>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</si>
  <si>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</si>
  <si>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</si>
  <si>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</si>
  <si>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</si>
  <si>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</si>
  <si>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</si>
  <si>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</si>
  <si>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</si>
  <si>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</si>
  <si>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</si>
  <si>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</si>
  <si>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</si>
  <si>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</si>
  <si>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</si>
  <si>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</si>
  <si>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</si>
  <si>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</si>
  <si>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</si>
  <si>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</si>
  <si>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</si>
  <si>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</si>
  <si>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</si>
  <si>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</si>
  <si>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</si>
  <si>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</si>
  <si>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</si>
  <si>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</si>
  <si>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</si>
  <si>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</si>
  <si>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</si>
  <si>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</si>
  <si>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</si>
  <si>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</si>
  <si>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</si>
  <si>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</si>
  <si>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</si>
  <si>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</si>
  <si>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</si>
  <si>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</si>
  <si>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A0708</t>
  </si>
  <si>
    <t xml:space="preserve">B076</t>
  </si>
  <si>
    <t xml:space="preserve">S2-L46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</si>
  <si>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</si>
  <si>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</si>
  <si>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</si>
  <si>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</si>
  <si>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</si>
  <si>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</si>
  <si>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</si>
  <si>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</si>
  <si>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</si>
  <si>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</si>
  <si>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</si>
  <si>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</si>
  <si>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</si>
  <si>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</si>
  <si>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</si>
  <si>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</si>
  <si>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</si>
  <si>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</si>
  <si>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</si>
  <si>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</si>
  <si>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</si>
  <si>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</si>
  <si>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</si>
  <si>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</si>
  <si>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</si>
  <si>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</si>
  <si>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</si>
  <si>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</si>
  <si>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</si>
  <si>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</si>
  <si>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</si>
  <si>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</si>
  <si>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</si>
  <si>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</si>
  <si>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</si>
  <si>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</si>
  <si>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</si>
  <si>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</si>
  <si>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</si>
  <si>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10:1-13:14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</si>
  <si>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</si>
  <si>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</si>
  <si>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</si>
  <si>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</si>
  <si>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</si>
  <si>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</si>
  <si>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</si>
  <si>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</si>
  <si>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</si>
  <si>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</si>
  <si>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</si>
  <si>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</si>
  <si>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</si>
  <si>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</si>
  <si>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</si>
  <si>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</si>
  <si>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</si>
  <si>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</si>
  <si>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</si>
  <si>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</si>
  <si>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</si>
  <si>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</si>
  <si>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</si>
  <si>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</si>
  <si>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</si>
  <si>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</si>
  <si>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</si>
  <si>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</si>
  <si>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</si>
  <si>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</si>
  <si>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</si>
  <si>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</si>
  <si>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</si>
  <si>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</si>
  <si>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</si>
  <si>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</si>
  <si>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</si>
  <si>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</si>
  <si>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</si>
  <si>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</si>
  <si>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</si>
  <si>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</si>
  <si>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</si>
  <si>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</si>
  <si>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</si>
  <si>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</si>
  <si>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A0719</t>
  </si>
  <si>
    <t xml:space="preserve">B077</t>
  </si>
  <si>
    <t xml:space="preserve">S2-L47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</si>
  <si>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</si>
  <si>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</si>
  <si>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</si>
  <si>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</si>
  <si>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</si>
  <si>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</si>
  <si>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</si>
  <si>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</si>
  <si>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A0720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</si>
  <si>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</si>
  <si>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</si>
  <si>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</si>
  <si>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</si>
  <si>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</si>
  <si>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</si>
  <si>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</si>
  <si>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</si>
  <si>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</si>
  <si>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</si>
  <si>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</si>
  <si>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</si>
  <si>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</si>
  <si>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</si>
  <si>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</si>
  <si>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</si>
  <si>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</si>
  <si>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</si>
  <si>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</si>
  <si>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</si>
  <si>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</si>
  <si>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</si>
  <si>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</si>
  <si>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</si>
  <si>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</si>
  <si>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</si>
  <si>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</si>
  <si>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</si>
  <si>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</si>
  <si>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</si>
  <si>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</si>
  <si>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</si>
  <si>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</si>
  <si>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</si>
  <si>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</si>
  <si>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</si>
  <si>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</si>
  <si>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</si>
  <si>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</si>
  <si>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</si>
  <si>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</si>
  <si>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</si>
  <si>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</si>
  <si>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</si>
  <si>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</si>
  <si>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</si>
  <si>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</si>
  <si>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</si>
  <si>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</si>
  <si>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</si>
  <si>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</si>
  <si>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</si>
  <si>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</si>
  <si>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</si>
  <si>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</si>
  <si>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</si>
  <si>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</si>
  <si>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</si>
  <si>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</si>
  <si>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</si>
  <si>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</si>
  <si>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</si>
  <si>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</si>
  <si>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</si>
  <si>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</si>
  <si>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</si>
  <si>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</si>
  <si>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</si>
  <si>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</si>
  <si>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</si>
  <si>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</si>
  <si>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</si>
  <si>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</si>
  <si>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</si>
  <si>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</si>
  <si>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</si>
  <si>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S2-L48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</si>
  <si>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</si>
  <si>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</si>
  <si>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</si>
  <si>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</si>
  <si>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</si>
  <si>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</si>
  <si>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</si>
  <si>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</si>
  <si>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</si>
  <si>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</si>
  <si>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</si>
  <si>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</si>
  <si>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</si>
  <si>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</si>
  <si>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</si>
  <si>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</si>
  <si>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</si>
  <si>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</si>
  <si>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</si>
  <si>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</si>
  <si>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</si>
  <si>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</si>
  <si>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</si>
  <si>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</si>
  <si>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</si>
  <si>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</si>
  <si>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</si>
  <si>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</si>
  <si>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</si>
  <si>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</si>
  <si>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</si>
  <si>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</si>
  <si>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</si>
  <si>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</si>
  <si>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</si>
  <si>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</si>
  <si>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</si>
  <si>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</si>
  <si>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</si>
  <si>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</si>
  <si>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</si>
  <si>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</si>
  <si>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</si>
  <si>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</si>
  <si>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</si>
  <si>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</si>
  <si>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</si>
  <si>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</si>
  <si>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</si>
  <si>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</si>
  <si>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</si>
  <si>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</si>
  <si>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</si>
  <si>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</si>
  <si>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</si>
  <si>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</si>
  <si>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</si>
  <si>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</si>
  <si>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</si>
  <si>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</si>
  <si>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</si>
  <si>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</si>
  <si>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</si>
  <si>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</si>
  <si>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</si>
  <si>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</si>
  <si>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</si>
  <si>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</si>
  <si>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</si>
  <si>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A0738</t>
  </si>
  <si>
    <t xml:space="preserve">B079</t>
  </si>
  <si>
    <t xml:space="preserve">S2-L49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</si>
  <si>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</si>
  <si>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</si>
  <si>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</si>
  <si>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</si>
  <si>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</si>
  <si>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</si>
  <si>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</si>
  <si>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</si>
  <si>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</si>
  <si>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</si>
  <si>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</si>
  <si>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</si>
  <si>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</si>
  <si>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</si>
  <si>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</si>
  <si>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</si>
  <si>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</si>
  <si>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</si>
  <si>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</si>
  <si>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</si>
  <si>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</si>
  <si>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</si>
  <si>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</si>
  <si>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</si>
  <si>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</si>
  <si>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</si>
  <si>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</si>
  <si>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</si>
  <si>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</si>
  <si>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</si>
  <si>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</si>
  <si>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</si>
  <si>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</si>
  <si>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</si>
  <si>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</si>
  <si>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</si>
  <si>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</si>
  <si>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</si>
  <si>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</si>
  <si>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</si>
  <si>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</si>
  <si>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</si>
  <si>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</si>
  <si>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</si>
  <si>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</si>
  <si>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</si>
  <si>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</si>
  <si>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</si>
  <si>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</si>
  <si>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</si>
  <si>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</si>
  <si>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</si>
  <si>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</si>
  <si>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</si>
  <si>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</si>
  <si>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</si>
  <si>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</si>
  <si>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</si>
  <si>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</si>
  <si>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</si>
  <si>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</si>
  <si>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</si>
  <si>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</si>
  <si>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</si>
  <si>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</si>
  <si>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</si>
  <si>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</si>
  <si>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</si>
  <si>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</si>
  <si>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</si>
  <si>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</si>
  <si>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</si>
  <si>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</si>
  <si>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</si>
  <si>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</si>
  <si>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</si>
  <si>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</si>
  <si>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</si>
  <si>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</si>
  <si>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</si>
  <si>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</si>
  <si>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</si>
  <si>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A0748</t>
  </si>
  <si>
    <t xml:space="preserve">B080</t>
  </si>
  <si>
    <t xml:space="preserve">S2-L50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</si>
  <si>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</si>
  <si>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</si>
  <si>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</si>
  <si>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</si>
  <si>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</si>
  <si>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</si>
  <si>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</si>
  <si>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</si>
  <si>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</si>
  <si>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</si>
  <si>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</si>
  <si>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</si>
  <si>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</si>
  <si>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</si>
  <si>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</si>
  <si>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</si>
  <si>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</si>
  <si>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</si>
  <si>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</si>
  <si>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</si>
  <si>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</si>
  <si>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</si>
  <si>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</si>
  <si>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</si>
  <si>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</si>
  <si>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</si>
  <si>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</si>
  <si>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</si>
  <si>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</si>
  <si>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</si>
  <si>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</si>
  <si>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</si>
  <si>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</si>
  <si>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</si>
  <si>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</si>
  <si>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</si>
  <si>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</si>
  <si>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</si>
  <si>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</si>
  <si>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</si>
  <si>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</si>
  <si>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</si>
  <si>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</si>
  <si>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</si>
  <si>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</si>
  <si>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</si>
  <si>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</si>
  <si>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</si>
  <si>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</si>
  <si>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</si>
  <si>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</si>
  <si>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</si>
  <si>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</si>
  <si>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</si>
  <si>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</si>
  <si>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</si>
  <si>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</si>
  <si>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A0755</t>
  </si>
  <si>
    <t xml:space="preserve">S1-L31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</si>
  <si>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</si>
  <si>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</si>
  <si>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</si>
  <si>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</si>
  <si>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</si>
  <si>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</si>
  <si>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</si>
  <si>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</si>
  <si>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</si>
  <si>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</si>
  <si>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</si>
  <si>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</si>
  <si>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</si>
  <si>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</si>
  <si>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</si>
  <si>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</si>
  <si>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</si>
  <si>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</si>
  <si>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</si>
  <si>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</si>
  <si>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</si>
  <si>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</si>
  <si>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</si>
  <si>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</si>
  <si>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</si>
  <si>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</si>
  <si>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</si>
  <si>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</si>
  <si>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S2-L51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</si>
  <si>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</si>
  <si>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</si>
  <si>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</si>
  <si>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</si>
  <si>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</si>
  <si>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</si>
  <si>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</si>
  <si>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</si>
  <si>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</si>
  <si>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</si>
  <si>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</si>
  <si>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</si>
  <si>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</si>
  <si>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</si>
  <si>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</si>
  <si>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</si>
  <si>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</si>
  <si>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</si>
  <si>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</si>
  <si>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</si>
  <si>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</si>
  <si>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</si>
  <si>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</si>
  <si>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</si>
  <si>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</si>
  <si>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</si>
  <si>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</si>
  <si>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</si>
  <si>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</si>
  <si>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</si>
  <si>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</si>
  <si>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</si>
  <si>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</si>
  <si>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</si>
  <si>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</si>
  <si>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</si>
  <si>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</si>
  <si>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</si>
  <si>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</si>
  <si>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</si>
  <si>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</si>
  <si>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</si>
  <si>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</si>
  <si>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</si>
  <si>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</si>
  <si>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</si>
  <si>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</si>
  <si>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베드로</t>
  </si>
  <si>
    <t xml:space="preserve">흩어진 나그네들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</si>
  <si>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</si>
  <si>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</si>
  <si>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</si>
  <si>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</si>
  <si>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</si>
  <si>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</si>
  <si>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</si>
  <si>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</si>
  <si>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</si>
  <si>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</si>
  <si>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</si>
  <si>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</si>
  <si>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</si>
  <si>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</si>
  <si>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</si>
  <si>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</si>
  <si>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</si>
  <si>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</si>
  <si>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</si>
  <si>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</si>
  <si>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</si>
  <si>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</si>
  <si>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</si>
  <si>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</si>
  <si>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</si>
  <si>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</si>
  <si>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</si>
  <si>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</si>
  <si>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</si>
  <si>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</si>
  <si>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</si>
  <si>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</si>
  <si>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</si>
  <si>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</si>
  <si>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</si>
  <si>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</si>
  <si>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</si>
  <si>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</si>
  <si>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</si>
  <si>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</si>
  <si>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</si>
  <si>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</si>
  <si>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</si>
  <si>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</si>
  <si>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</si>
  <si>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</si>
  <si>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</si>
  <si>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</si>
  <si>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A0770</t>
  </si>
  <si>
    <t xml:space="preserve">B082</t>
  </si>
  <si>
    <t xml:space="preserve">S2-L52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</si>
  <si>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</si>
  <si>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</si>
  <si>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</si>
  <si>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</si>
  <si>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</si>
  <si>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</si>
  <si>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</si>
  <si>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</si>
  <si>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</si>
  <si>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</si>
  <si>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</si>
  <si>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</si>
  <si>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</si>
  <si>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</si>
  <si>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</si>
  <si>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</si>
  <si>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</si>
  <si>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</si>
  <si>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</si>
  <si>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</si>
  <si>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</si>
  <si>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</si>
  <si>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</si>
  <si>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</si>
  <si>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</si>
  <si>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</si>
  <si>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</si>
  <si>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</si>
  <si>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</si>
  <si>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</si>
  <si>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</si>
  <si>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</si>
  <si>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</si>
  <si>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</si>
  <si>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</si>
  <si>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</si>
  <si>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</si>
  <si>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</si>
  <si>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</si>
  <si>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</si>
  <si>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</si>
  <si>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</si>
  <si>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</si>
  <si>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</si>
  <si>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</si>
  <si>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</si>
  <si>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</si>
  <si>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</si>
  <si>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</si>
  <si>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</si>
  <si>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</si>
  <si>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</si>
  <si>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</si>
  <si>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</si>
  <si>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</si>
  <si>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</si>
  <si>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</si>
  <si>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</si>
  <si>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</si>
  <si>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</si>
  <si>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</si>
  <si>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A0777</t>
  </si>
  <si>
    <t xml:space="preserve">B083</t>
  </si>
  <si>
    <t xml:space="preserve">S2-L53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</si>
  <si>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</si>
  <si>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</si>
  <si>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</si>
  <si>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</si>
  <si>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</si>
  <si>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</si>
  <si>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</si>
  <si>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A0778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</si>
  <si>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</si>
  <si>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</si>
  <si>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</si>
  <si>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</si>
  <si>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</si>
  <si>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</si>
  <si>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</si>
  <si>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</si>
  <si>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</si>
  <si>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</si>
  <si>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</si>
  <si>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</si>
  <si>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</si>
  <si>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</si>
  <si>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</si>
  <si>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</si>
  <si>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</si>
  <si>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</si>
  <si>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</si>
  <si>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</si>
  <si>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</si>
  <si>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</si>
  <si>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</si>
  <si>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</si>
  <si>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</si>
  <si>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</si>
  <si>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</si>
  <si>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</si>
  <si>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</si>
  <si>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</si>
  <si>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</si>
  <si>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</si>
  <si>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</si>
  <si>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</si>
  <si>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</si>
  <si>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</si>
  <si>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</si>
  <si>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</si>
  <si>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</si>
  <si>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</si>
  <si>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</si>
  <si>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</si>
  <si>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</si>
  <si>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</si>
  <si>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</si>
  <si>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</si>
  <si>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</si>
  <si>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</si>
  <si>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</si>
  <si>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</si>
  <si>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</si>
  <si>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</si>
  <si>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</si>
  <si>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</si>
  <si>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</si>
  <si>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</si>
  <si>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</si>
  <si>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</si>
  <si>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</si>
  <si>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</si>
  <si>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</si>
  <si>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</si>
  <si>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</si>
  <si>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</si>
  <si>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</si>
  <si>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</si>
  <si>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</si>
  <si>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</si>
  <si>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</si>
  <si>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</si>
  <si>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</si>
  <si>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</si>
  <si>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</si>
  <si>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</si>
  <si>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</si>
  <si>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</si>
  <si>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</si>
  <si>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</si>
  <si>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</si>
  <si>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</si>
  <si>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</si>
  <si>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</si>
  <si>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</si>
  <si>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</si>
  <si>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</si>
  <si>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</si>
  <si>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</si>
  <si>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</si>
  <si>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</si>
  <si>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</si>
  <si>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</si>
  <si>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A0788</t>
  </si>
  <si>
    <t xml:space="preserve">B084</t>
  </si>
  <si>
    <t xml:space="preserve">S2-L54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</si>
  <si>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</si>
  <si>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</si>
  <si>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</si>
  <si>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</si>
  <si>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</si>
  <si>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</si>
  <si>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</si>
  <si>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</si>
  <si>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</si>
  <si>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</si>
  <si>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</si>
  <si>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</si>
  <si>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</si>
  <si>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</si>
  <si>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</si>
  <si>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</si>
  <si>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</si>
  <si>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</si>
  <si>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</si>
  <si>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</si>
  <si>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</si>
  <si>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</si>
  <si>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</si>
  <si>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</si>
  <si>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</si>
  <si>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</si>
  <si>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</si>
  <si>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</si>
  <si>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</si>
  <si>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</si>
  <si>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</si>
  <si>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</si>
  <si>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</si>
  <si>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</si>
  <si>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</si>
  <si>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</si>
  <si>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</si>
  <si>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</si>
  <si>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</si>
  <si>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</si>
  <si>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</si>
  <si>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</si>
  <si>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</si>
  <si>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</si>
  <si>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</si>
  <si>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</si>
  <si>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</si>
  <si>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</si>
  <si>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</si>
  <si>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</si>
  <si>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</si>
  <si>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</si>
  <si>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</si>
  <si>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</si>
  <si>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</si>
  <si>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</si>
  <si>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</si>
  <si>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</si>
  <si>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</si>
  <si>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</si>
  <si>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</si>
  <si>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</si>
  <si>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</si>
  <si>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</si>
  <si>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</si>
  <si>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</si>
  <si>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</si>
  <si>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</si>
  <si>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</si>
  <si>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</si>
  <si>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</si>
  <si>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</si>
  <si>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</si>
  <si>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</si>
  <si>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</si>
  <si>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</si>
  <si>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</si>
  <si>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</si>
  <si>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</si>
  <si>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</si>
  <si>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</si>
  <si>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</si>
  <si>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</si>
  <si>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</si>
  <si>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</si>
  <si>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</si>
  <si>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</si>
  <si>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</si>
  <si>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</si>
  <si>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</si>
  <si>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</si>
  <si>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</si>
  <si>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</si>
  <si>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</si>
  <si>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</si>
  <si>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</si>
  <si>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</si>
  <si>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</si>
  <si>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</si>
  <si>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</si>
  <si>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</si>
  <si>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</si>
  <si>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</si>
  <si>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</si>
  <si>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r>
      <rPr>
        <b val="true"/>
        <sz val="10"/>
        <color rgb="FFFFFFFF"/>
        <rFont val="WenQuanYi Zen Hei"/>
        <family val="2"/>
      </rPr>
      <t xml:space="preserve">진행자 인트로 질문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삶의 고민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</si>
  <si>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</si>
  <si>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</si>
  <si>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</si>
  <si>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</si>
  <si>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</si>
  <si>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WenQuanYi Zen Hei"/>
        <family val="2"/>
      </rPr>
      <t xml:space="preserve">세상은 처음에 어떻게 시작됐을까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</si>
  <si>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</si>
  <si>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</si>
  <si>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</si>
  <si>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</si>
  <si>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사람은 왜 자꾸 하나님을 떠날까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</si>
  <si>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</si>
  <si>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</si>
  <si>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</si>
  <si>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</si>
  <si>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</si>
  <si>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확실한 게 하나도 없을 때 떠날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</si>
  <si>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</si>
  <si>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</si>
  <si>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</si>
  <si>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</si>
  <si>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</si>
  <si>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원하는 것을 위해 꾀를 써도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</si>
  <si>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</si>
  <si>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</si>
  <si>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</si>
  <si>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</si>
  <si>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</si>
  <si>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나에게 상처 준 사람을 용서할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</si>
  <si>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</si>
  <si>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</si>
  <si>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</si>
  <si>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</si>
  <si>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</si>
  <si>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하나님이 정말 이 세상을 다스리고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</si>
  <si>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</si>
  <si>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</si>
  <si>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거룩한 하나님께 나아가는 길</t>
    </r>
  </si>
  <si>
    <t xml:space="preserve">B013, B014, B015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</si>
  <si>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16:34</t>
    </r>
  </si>
  <si>
    <r>
      <rPr>
        <sz val="10"/>
        <color rgb="FF000000"/>
        <rFont val="WenQuanYi Zen Hei"/>
        <family val="2"/>
      </rPr>
      <t xml:space="preserve">하나님은 왜 규칙을 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</si>
  <si>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</si>
  <si>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</si>
  <si>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</si>
  <si>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B016, 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</si>
  <si>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</si>
  <si>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함께 사는 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원망은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</si>
  <si>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</si>
  <si>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</si>
  <si>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</si>
  <si>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</si>
  <si>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</si>
  <si>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약속은 정말 다 이루어질까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</si>
  <si>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</si>
  <si>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</si>
  <si>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</si>
  <si>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</si>
  <si>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</si>
  <si>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r>
      <rPr>
        <sz val="10"/>
        <color rgb="FF000000"/>
        <rFont val="WenQuanYi Zen Hei"/>
        <family val="2"/>
      </rPr>
      <t xml:space="preserve">가장 절망적일 때 하나님은 무엇을 하고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</si>
  <si>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</si>
  <si>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</si>
  <si>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</si>
  <si>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</si>
  <si>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</si>
  <si>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억울하게 미움받을 때 어떻게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</si>
  <si>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</si>
  <si>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</si>
  <si>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</si>
  <si>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</si>
  <si>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</si>
  <si>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큰 잘못을 저지른 뒤에도 돌아갈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</si>
  <si>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</si>
  <si>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</si>
  <si>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</si>
  <si>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</si>
  <si>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</si>
  <si>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모두가 거짓을 따를 때 혼자 진실을 말할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</si>
  <si>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</si>
  <si>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</si>
  <si>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</si>
  <si>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</si>
  <si>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</si>
  <si>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작고 평범한 내 삶에도 하나님이 일하실까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</si>
  <si>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</si>
  <si>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</si>
  <si>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</si>
  <si>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</si>
  <si>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</si>
  <si>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하나님께서 정말 다시 받아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</si>
  <si>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</si>
  <si>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</si>
  <si>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</si>
  <si>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</si>
  <si>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</si>
  <si>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하나님이 안 보이는 것 같을 때도 일하고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</si>
  <si>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</si>
  <si>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</si>
  <si>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</si>
  <si>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t xml:space="preserve">B041, B042, B044, B045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</si>
  <si>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1:33</t>
    </r>
  </si>
  <si>
    <r>
      <rPr>
        <sz val="10"/>
        <color rgb="FF000000"/>
        <rFont val="WenQuanYi Zen Hei"/>
        <family val="2"/>
      </rPr>
      <t xml:space="preserve">기도가 잘 안 나올 때 무슨 말로 기도할까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</si>
  <si>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</si>
  <si>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</si>
  <si>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예레미야①</t>
    </r>
  </si>
  <si>
    <t xml:space="preserve">B046, B047, B048, B049, B050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</si>
  <si>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18:23</t>
    </r>
  </si>
  <si>
    <r>
      <rPr>
        <sz val="10"/>
        <color rgb="FF000000"/>
        <rFont val="WenQuanYi Zen Hei"/>
        <family val="2"/>
      </rPr>
      <t xml:space="preserve">다 가져도 허무하다면 무엇이 의미가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</si>
  <si>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</si>
  <si>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</si>
  <si>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눈물의 선지자 예레미야②와 애가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</si>
  <si>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B051, B052, B053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</si>
  <si>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</si>
  <si>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모든 것이 무너진 뒤에도 희망이 남아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</si>
  <si>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
</t>
    </r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</si>
  <si>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</si>
  <si>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</si>
  <si>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</si>
  <si>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</si>
  <si>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하나님은 우리 편만 사랑하실까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</si>
  <si>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</si>
  <si>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</si>
  <si>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</si>
  <si>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</si>
  <si>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</si>
  <si>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예수님은 정말 약속된 그 왕일까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</si>
  <si>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</si>
  <si>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</si>
  <si>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</si>
  <si>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</si>
  <si>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</si>
  <si>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예수님은 정말 내 문제를 해결하실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</si>
  <si>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</si>
  <si>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</si>
  <si>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</si>
  <si>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</si>
  <si>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</si>
  <si>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r>
      <rPr>
        <sz val="10"/>
        <color rgb="FF000000"/>
        <rFont val="WenQuanYi Zen Hei"/>
        <family val="2"/>
      </rPr>
      <t xml:space="preserve">예수님은 다시 오실까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그날은 언제일까</t>
    </r>
    <r>
      <rPr>
        <sz val="10"/>
        <color rgb="FF000000"/>
        <rFont val="Arial"/>
        <family val="0"/>
        <charset val="1"/>
      </rPr>
      <t xml:space="preserve">?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</si>
  <si>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</si>
  <si>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</si>
  <si>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</si>
  <si>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</si>
  <si>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</si>
  <si>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바쁘고 지친 하루에도 예수님은 나를 만나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</si>
  <si>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</si>
  <si>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</si>
  <si>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</si>
  <si>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</si>
  <si>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</si>
  <si>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나 같은 사람도 하나님이 찾으실까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</si>
  <si>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</si>
  <si>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</si>
  <si>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</si>
  <si>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</si>
  <si>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하나님을 직접 볼 수 있는 방법이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</si>
  <si>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</si>
  <si>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</si>
  <si>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요한복음③ 다 이루었다</t>
    </r>
  </si>
  <si>
    <t xml:space="preserve">B068, B069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</si>
  <si>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8:1~21:25</t>
    </r>
  </si>
  <si>
    <r>
      <rPr>
        <sz val="10"/>
        <color rgb="FF000000"/>
        <rFont val="WenQuanYi Zen Hei"/>
        <family val="2"/>
      </rPr>
      <t xml:space="preserve">나는 누구를 따라가야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</si>
  <si>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
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</si>
  <si>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</si>
  <si>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교회의 탄생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사마리아와 땅끝으로</t>
    </r>
  </si>
  <si>
    <t xml:space="preserve">B070, B071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</si>
  <si>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1:1~12:25</t>
    </r>
  </si>
  <si>
    <r>
      <rPr>
        <sz val="10"/>
        <color rgb="FF000000"/>
        <rFont val="WenQuanYi Zen Hei"/>
        <family val="2"/>
      </rPr>
      <t xml:space="preserve">교회는 어떻게 시작되었을까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</si>
  <si>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승천하신 그리스도가 보내신 성령 → 땅끝까지 증인
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</si>
  <si>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</si>
  <si>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r>
      <rPr>
        <sz val="10"/>
        <color rgb="FF000000"/>
        <rFont val="WenQuanYi Zen Hei"/>
        <family val="2"/>
      </rPr>
      <t xml:space="preserve">바울의 전도 여행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로마까지 간 복음</t>
    </r>
  </si>
  <si>
    <t xml:space="preserve">B072, B073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</si>
  <si>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13:1~28:31</t>
    </r>
  </si>
  <si>
    <r>
      <rPr>
        <sz val="10"/>
        <color rgb="FF000000"/>
        <rFont val="WenQuanYi Zen Hei"/>
        <family val="2"/>
      </rPr>
      <t xml:space="preserve">두려운 곳에 복음을 전할 용기가 생길까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</si>
  <si>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
</t>
    </r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</si>
  <si>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</si>
  <si>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</si>
  <si>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t xml:space="preserve">B074, B075, B076, B077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</si>
  <si>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3:21~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6:24</t>
    </r>
  </si>
  <si>
    <r>
      <rPr>
        <sz val="10"/>
        <color rgb="FF000000"/>
        <rFont val="WenQuanYi Zen Hei"/>
        <family val="2"/>
      </rPr>
      <t xml:space="preserve">나는 정말 구원받을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</si>
  <si>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
</t>
    </r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</si>
  <si>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</si>
  <si>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</si>
  <si>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B080, B083, B084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</si>
  <si>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</si>
  <si>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흔들리는 믿음을 어떻게 붙잡을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</si>
  <si>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</si>
  <si>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</si>
  <si>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</si>
  <si>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</si>
  <si>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</si>
  <si>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</si>
  <si>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</si>
  <si>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</si>
  <si>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</si>
  <si>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</si>
  <si>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정말 소중한 것을 하나님께 맡길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</si>
  <si>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</si>
  <si>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</si>
  <si>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</si>
  <si>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</si>
  <si>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</si>
  <si>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</si>
  <si>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요셉② 용서와 화해</t>
    </r>
  </si>
  <si>
    <t xml:space="preserve">B008, B009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</si>
  <si>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38:1~50:14</t>
    </r>
  </si>
  <si>
    <r>
      <rPr>
        <sz val="10"/>
        <color rgb="FF000000"/>
        <rFont val="WenQuanYi Zen Hei"/>
        <family val="2"/>
      </rPr>
      <t xml:space="preserve">억울한 일만 생길 때 하나님은 어디 계실까</t>
    </r>
    <r>
      <rPr>
        <sz val="10"/>
        <color rgb="FF000000"/>
        <rFont val="Arial"/>
        <family val="0"/>
        <charset val="1"/>
      </rPr>
      <t xml:space="preserve">?</t>
    </r>
  </si>
  <si>
    <t xml:space="preserve">버림받았다가 높여져 세상을 살린 요셉 → 그리스도의 예표
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</si>
  <si>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</si>
  <si>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모세의 탄생과 부르심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열 가지 재앙과 유월절</t>
    </r>
  </si>
  <si>
    <t xml:space="preserve">B010, B011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</si>
  <si>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4:18~13:22</t>
    </r>
  </si>
  <si>
    <t xml:space="preserve">내가 너무 부족해서 아무것도 못할 것 같을 때</t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</si>
  <si>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
</t>
    </r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</si>
  <si>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</si>
  <si>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r>
      <rPr>
        <sz val="10"/>
        <color rgb="FF000000"/>
        <rFont val="WenQuanYi Zen Hei"/>
        <family val="2"/>
      </rPr>
      <t xml:space="preserve">홍해와 광야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</si>
  <si>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B012, 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</si>
  <si>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15:22~39:43</t>
    </r>
  </si>
  <si>
    <t xml:space="preserve">앞이 막혀 도무지 길이 보이지 않을 때</t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</si>
  <si>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
</t>
    </r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</si>
  <si>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</si>
  <si>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</si>
  <si>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</si>
  <si>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죄 많은 내가 어떻게 하나님 앞에 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</si>
  <si>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</si>
  <si>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</si>
  <si>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</si>
  <si>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</si>
  <si>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</si>
  <si>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</si>
  <si>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</si>
  <si>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</si>
  <si>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실패한 세대 뒤에도 소망이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</si>
  <si>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</si>
  <si>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</si>
  <si>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</si>
  <si>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</si>
  <si>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새로운 시작 앞에서 꼭 기억해야 할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</si>
  <si>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</si>
  <si>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</si>
  <si>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</si>
  <si>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</si>
  <si>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</si>
  <si>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두려운 새 출발 앞에서 무엇을 붙잡아야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</si>
  <si>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</si>
  <si>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</si>
  <si>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</si>
  <si>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</si>
  <si>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</si>
  <si>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r>
      <rPr>
        <sz val="10"/>
        <color rgb="FF000000"/>
        <rFont val="WenQuanYi Zen Hei"/>
        <family val="2"/>
      </rPr>
      <t xml:space="preserve">같은 실수를 반복하는 나를 하나님은 포기하실까</t>
    </r>
    <r>
      <rPr>
        <sz val="10"/>
        <color rgb="FF000000"/>
        <rFont val="Arial"/>
        <family val="0"/>
        <charset val="1"/>
      </rPr>
      <t xml:space="preserve">?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</si>
  <si>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</si>
  <si>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</si>
  <si>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14:52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</si>
  <si>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광야에서 왕좌로</t>
    </r>
  </si>
  <si>
    <t xml:space="preserve">B025, B026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</si>
  <si>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</si>
  <si>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</si>
  <si>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</si>
  <si>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</si>
  <si>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</si>
  <si>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</si>
  <si>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성공했을 때 가장 먼저 해야 할 일은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</si>
  <si>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</si>
  <si>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</si>
  <si>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</si>
  <si>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</si>
  <si>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</si>
  <si>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무엇이든 구하라 하시면 나는 무엇을 구할까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</si>
  <si>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</si>
  <si>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</si>
  <si>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</si>
  <si>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</si>
  <si>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</si>
  <si>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t xml:space="preserve">열심히 했는데 지쳐 쓰러질 때</t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</si>
  <si>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</si>
  <si>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</si>
  <si>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</si>
  <si>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</si>
  <si>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</si>
  <si>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경고를 계속 무시하면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</si>
  <si>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</si>
  <si>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</si>
  <si>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</si>
  <si>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</si>
  <si>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r>
      <rPr>
        <sz val="10"/>
        <color rgb="FF000000"/>
        <rFont val="WenQuanYi Zen Hei"/>
        <family val="2"/>
      </rPr>
      <t xml:space="preserve">무너진 뒤에 우리는 무엇부터 다시 세워야 할까</t>
    </r>
    <r>
      <rPr>
        <sz val="10"/>
        <color rgb="FF000000"/>
        <rFont val="Arial"/>
        <family val="0"/>
        <charset val="1"/>
      </rPr>
      <t xml:space="preserve">?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</si>
  <si>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</si>
  <si>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</si>
  <si>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돌아온 백성과 성전</t>
    </r>
  </si>
  <si>
    <t xml:space="preserve">B036, B037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</si>
  <si>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10:44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</si>
  <si>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</si>
  <si>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성벽을 다시 세우다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왕비 에스더</t>
    </r>
  </si>
  <si>
    <t xml:space="preserve">B038, B039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</si>
  <si>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10:3</t>
    </r>
  </si>
  <si>
    <r>
      <rPr>
        <sz val="10"/>
        <color rgb="FF000000"/>
        <rFont val="WenQuanYi Zen Hei"/>
        <family val="2"/>
      </rPr>
      <t xml:space="preserve">모두가 포기한 일을 다시 시작할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</si>
  <si>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무너진 성벽을 세운 느헤미야 → 무너진 우리를 다시 세우시는 그리스도
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</si>
  <si>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</si>
  <si>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</si>
  <si>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B040, B041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</si>
  <si>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</t>
    </r>
  </si>
  <si>
    <r>
      <rPr>
        <sz val="10"/>
        <color rgb="FF000000"/>
        <rFont val="WenQuanYi Zen Hei"/>
        <family val="2"/>
      </rPr>
      <t xml:space="preserve">착하게 살았는데 왜 이런 일이 생길까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</si>
  <si>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
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</si>
  <si>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</si>
  <si>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</si>
  <si>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</si>
  <si>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t xml:space="preserve">하나님이 멀게만 느껴질 때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</si>
  <si>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</si>
  <si>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</si>
  <si>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</si>
  <si>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</si>
  <si>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인생이 너무 짧고 허무하게 느껴질 때</t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</si>
  <si>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</si>
  <si>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</si>
  <si>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</si>
  <si>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t xml:space="preserve">B044, B045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</si>
  <si>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31:31</t>
    </r>
  </si>
  <si>
    <r>
      <rPr>
        <sz val="10"/>
        <color rgb="FF000000"/>
        <rFont val="WenQuanYi Zen Hei"/>
        <family val="2"/>
      </rPr>
      <t xml:space="preserve">매일의 삶 속에서 어떻게 하나님을 찬양할까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</si>
  <si>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</si>
  <si>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</si>
  <si>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</si>
  <si>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</si>
  <si>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</si>
  <si>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</si>
  <si>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이사야② 열방의 심판과 위로</t>
    </r>
  </si>
  <si>
    <t xml:space="preserve">B047, B048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</si>
  <si>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1:1~40:11</t>
    </r>
  </si>
  <si>
    <r>
      <rPr>
        <sz val="10"/>
        <color rgb="FF000000"/>
        <rFont val="WenQuanYi Zen Hei"/>
        <family val="2"/>
      </rPr>
      <t xml:space="preserve">하나님은 정말 우리와 함께 계실까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</si>
  <si>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</si>
  <si>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</si>
  <si>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</si>
  <si>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</si>
  <si>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나를 위해 대신 아파 줄 사람이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</si>
  <si>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</si>
  <si>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</si>
  <si>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</si>
  <si>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</si>
  <si>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아무도 내 말을 듣지 않을 때 계속할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</si>
  <si>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</si>
  <si>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</si>
  <si>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</si>
  <si>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</si>
  <si>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</si>
  <si>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</si>
  <si>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</si>
  <si>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</si>
  <si>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희망이 하나도 없어 보일 때 하나님은 무엇을 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</si>
  <si>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</si>
  <si>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</si>
  <si>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</si>
  <si>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</si>
  <si>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</si>
  <si>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모두가 다르게 살 때 나 혼자 믿음을 지킬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</si>
  <si>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</si>
  <si>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</si>
  <si>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</si>
  <si>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</si>
  <si>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하나님을 떠난 사람도 다시 받아 주실까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</si>
  <si>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</si>
  <si>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</si>
  <si>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</si>
  <si>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</si>
  <si>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</si>
  <si>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t xml:space="preserve">하나님이 대답하지 않으시는 것 같을 때</t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</si>
  <si>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</si>
  <si>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</si>
  <si>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</si>
  <si>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</si>
  <si>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1:1~13:52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</si>
  <si>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</si>
  <si>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</si>
  <si>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</si>
  <si>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</si>
  <si>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WenQuanYi Zen Hei"/>
        <family val="2"/>
      </rPr>
      <t xml:space="preserve">예수님을 따른다는 것은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</si>
  <si>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</si>
  <si>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</si>
  <si>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</si>
  <si>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</si>
  <si>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</si>
  <si>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예수님은 왜 죽으셔야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</si>
  <si>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</si>
  <si>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</si>
  <si>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</si>
  <si>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</si>
  <si>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</si>
  <si>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하나님은 정말 낮은 곳에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</si>
  <si>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</si>
  <si>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</si>
  <si>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</si>
  <si>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</si>
  <si>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</si>
  <si>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큰 잘못을 하고도 돌아갈 곳이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</si>
  <si>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</si>
  <si>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</si>
  <si>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</si>
  <si>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</si>
  <si>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</si>
  <si>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사랑받는다는 것은 어떤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</si>
  <si>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</si>
  <si>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</si>
  <si>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</si>
  <si>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</si>
  <si>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</si>
  <si>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하나님은 누구에게까지 복음을 전하길 원하실까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</si>
  <si>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</si>
  <si>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</si>
  <si>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</si>
  <si>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</si>
  <si>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</si>
  <si>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어떤 상황에서도 복음은 멈추지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</si>
  <si>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</si>
  <si>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</si>
  <si>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</si>
  <si>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</si>
  <si>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</si>
  <si>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</si>
  <si>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</si>
  <si>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</si>
  <si>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교회 안에 다툼이 있을 때 어떻게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</si>
  <si>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</si>
  <si>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</si>
  <si>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</si>
  <si>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</si>
  <si>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약하고 부족한 나도 하나님이 쓰실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</si>
  <si>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</si>
  <si>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</si>
  <si>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</si>
  <si>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</si>
  <si>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하나님은 나를 언제부터 생각하셨을까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</si>
  <si>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</si>
  <si>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</si>
  <si>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</si>
  <si>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</si>
  <si>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예수님은 정말 다시 오실까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</si>
  <si>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</si>
  <si>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</si>
  <si>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</si>
  <si>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</si>
  <si>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신앙의 바통을 어떻게 이어 줄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</si>
  <si>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</si>
  <si>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</si>
  <si>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</si>
  <si>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</si>
  <si>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</si>
  <si>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</si>
  <si>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</si>
  <si>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</si>
  <si>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믿는다고 말만 하고 삶은 그대로라면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</si>
  <si>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</si>
  <si>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</si>
  <si>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</si>
  <si>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</si>
  <si>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사랑과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둘 다 지킬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</si>
  <si>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</si>
  <si>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</si>
  <si>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</si>
  <si>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</si>
  <si>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세상이 무섭게 느껴질 때 누가 이 세상을 다스릴까</t>
    </r>
    <r>
      <rPr>
        <sz val="10"/>
        <color rgb="FF000000"/>
        <rFont val="Arial"/>
        <family val="0"/>
        <charset val="1"/>
      </rPr>
      <t xml:space="preserve">?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</si>
  <si>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</si>
  <si>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</si>
  <si>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</si>
  <si>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</si>
  <si>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이 세상의 끝은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</si>
  <si>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</si>
  <si>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</si>
  <si>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</si>
  <si>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</si>
  <si>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</si>
  <si>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</si>
  <si>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</si>
  <si>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</si>
  <si>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</si>
  <si>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</si>
  <si>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</si>
  <si>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</si>
  <si>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</si>
  <si>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</si>
  <si>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</si>
  <si>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</si>
  <si>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</si>
  <si>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</si>
  <si>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</si>
  <si>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</si>
  <si>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r>
      <rPr>
        <sz val="10"/>
        <color rgb="FF000000"/>
        <rFont val="WenQuanYi Zen Hei"/>
        <family val="2"/>
      </rPr>
      <t xml:space="preserve">하나님의 인도하심은 어떻게 알 수 있을까</t>
    </r>
    <r>
      <rPr>
        <sz val="10"/>
        <color rgb="FF000000"/>
        <rFont val="Arial"/>
        <family val="0"/>
        <charset val="1"/>
      </rPr>
      <t xml:space="preserve">?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</si>
  <si>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</si>
  <si>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</si>
  <si>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</si>
  <si>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</si>
  <si>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</si>
  <si>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</si>
  <si>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</si>
  <si>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</si>
  <si>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r>
      <rPr>
        <sz val="10"/>
        <color rgb="FF000000"/>
        <rFont val="WenQuanYi Zen Hei"/>
        <family val="2"/>
      </rPr>
      <t xml:space="preserve">두려운 사람을 다시 만나야 할 때 어떻게 할까</t>
    </r>
    <r>
      <rPr>
        <sz val="10"/>
        <color rgb="FF000000"/>
        <rFont val="Arial"/>
        <family val="0"/>
        <charset val="1"/>
      </rPr>
      <t xml:space="preserve">?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</si>
  <si>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</si>
  <si>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</si>
  <si>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</si>
  <si>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</si>
  <si>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</si>
  <si>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</si>
  <si>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</si>
  <si>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</si>
  <si>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</si>
  <si>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</si>
  <si>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</si>
  <si>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</si>
  <si>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</si>
  <si>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</si>
  <si>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</si>
  <si>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</si>
  <si>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</si>
  <si>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</si>
  <si>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</si>
  <si>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</si>
  <si>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</si>
  <si>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</si>
  <si>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</si>
  <si>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</si>
  <si>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</si>
  <si>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</si>
  <si>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</si>
  <si>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</si>
  <si>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하나님을 실망시킨 뒤에도 다시 시작할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</si>
  <si>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</si>
  <si>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</si>
  <si>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</si>
  <si>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</si>
  <si>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</si>
  <si>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</si>
  <si>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</si>
  <si>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</si>
  <si>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</si>
  <si>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</si>
  <si>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</si>
  <si>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</si>
  <si>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</si>
  <si>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</si>
  <si>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</si>
  <si>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</si>
  <si>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</si>
  <si>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</si>
  <si>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</si>
  <si>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</si>
  <si>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</si>
  <si>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</si>
  <si>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r>
      <rPr>
        <sz val="10"/>
        <color rgb="FF000000"/>
        <rFont val="WenQuanYi Zen Hei"/>
        <family val="2"/>
      </rPr>
      <t xml:space="preserve">모두가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생각엔 이게 옳아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라고 할 때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</si>
  <si>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</si>
  <si>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</si>
  <si>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</si>
  <si>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</si>
  <si>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</si>
  <si>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</si>
  <si>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</si>
  <si>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</si>
  <si>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</si>
  <si>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r>
      <rPr>
        <sz val="10"/>
        <color rgb="FF000000"/>
        <rFont val="WenQuanYi Zen Hei"/>
        <family val="2"/>
      </rPr>
      <t xml:space="preserve">남들처럼 되고 싶은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잘못일까</t>
    </r>
    <r>
      <rPr>
        <sz val="10"/>
        <color rgb="FF000000"/>
        <rFont val="Arial"/>
        <family val="0"/>
        <charset val="1"/>
      </rPr>
      <t xml:space="preserve">?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</si>
  <si>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</si>
  <si>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</si>
  <si>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</si>
  <si>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</si>
  <si>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</si>
  <si>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</si>
  <si>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t xml:space="preserve">광야에서 왕좌로</t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</si>
  <si>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</si>
  <si>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</si>
  <si>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t xml:space="preserve">내 힘으로 해결하고 싶은 유혹이 올 때</t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</si>
  <si>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</si>
  <si>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</si>
  <si>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</si>
  <si>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</si>
  <si>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</si>
  <si>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</si>
  <si>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</si>
  <si>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</si>
  <si>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</si>
  <si>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</si>
  <si>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</si>
  <si>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</si>
  <si>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</si>
  <si>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</si>
  <si>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</si>
  <si>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</si>
  <si>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</si>
  <si>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</si>
  <si>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</si>
  <si>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</si>
  <si>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</si>
  <si>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</si>
  <si>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</si>
  <si>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</si>
  <si>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</si>
  <si>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</si>
  <si>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</si>
  <si>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</si>
  <si>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</si>
  <si>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</si>
  <si>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</si>
  <si>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</si>
  <si>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모든 게 무너져도 소망이 남아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</si>
  <si>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</si>
  <si>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</si>
  <si>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</si>
  <si>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</si>
  <si>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</si>
  <si>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</si>
  <si>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</si>
  <si>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</si>
  <si>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무너진 것을 다시 세울 때 무엇부터 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</si>
  <si>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</si>
  <si>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</si>
  <si>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</si>
  <si>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</si>
  <si>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</si>
  <si>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</si>
  <si>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</si>
  <si>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</si>
  <si>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</si>
  <si>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</si>
  <si>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</si>
  <si>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</si>
  <si>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</si>
  <si>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</si>
  <si>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</si>
  <si>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</si>
  <si>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</si>
  <si>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</si>
  <si>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</si>
  <si>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</si>
  <si>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</si>
  <si>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</si>
  <si>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</si>
  <si>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</si>
  <si>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어떻게 하면 지혜롭게 살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</si>
  <si>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</si>
  <si>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</si>
  <si>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</si>
  <si>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</si>
  <si>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</si>
  <si>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</si>
  <si>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</si>
  <si>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</si>
  <si>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</si>
  <si>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세상이 혼란스러울 때 무엇을 붙들어야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</si>
  <si>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</si>
  <si>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</si>
  <si>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</si>
  <si>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</si>
  <si>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</si>
  <si>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</si>
  <si>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</si>
  <si>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</si>
  <si>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</si>
  <si>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</si>
  <si>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</si>
  <si>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</si>
  <si>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</si>
  <si>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</si>
  <si>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</si>
  <si>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</si>
  <si>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</si>
  <si>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</si>
  <si>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</si>
  <si>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</si>
  <si>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</si>
  <si>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</si>
  <si>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</si>
  <si>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행복한 삶은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</si>
  <si>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</si>
  <si>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</si>
  <si>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</si>
  <si>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8:1~13:52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</si>
  <si>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</si>
  <si>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</si>
  <si>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</si>
  <si>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</si>
  <si>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</si>
  <si>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</si>
  <si>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</si>
  <si>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</si>
  <si>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</si>
  <si>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</si>
  <si>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</si>
  <si>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</si>
  <si>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</si>
  <si>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</si>
  <si>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</si>
  <si>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</si>
  <si>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</si>
  <si>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</si>
  <si>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</si>
  <si>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</si>
  <si>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</si>
  <si>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</si>
  <si>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</si>
  <si>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</si>
  <si>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</si>
  <si>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</si>
  <si>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</si>
  <si>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</si>
  <si>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</si>
  <si>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</si>
  <si>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</si>
  <si>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</si>
  <si>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</si>
  <si>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</si>
  <si>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</si>
  <si>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</si>
  <si>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</si>
  <si>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</si>
  <si>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</si>
  <si>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</si>
  <si>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</si>
  <si>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</si>
  <si>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</si>
  <si>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</si>
  <si>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</si>
  <si>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</si>
  <si>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</si>
  <si>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</si>
  <si>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</si>
  <si>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</si>
  <si>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</si>
  <si>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</si>
  <si>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</si>
  <si>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</si>
  <si>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</si>
  <si>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</si>
  <si>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</si>
  <si>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</si>
  <si>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</si>
  <si>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</si>
  <si>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</si>
  <si>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</si>
  <si>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</si>
  <si>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</si>
  <si>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</si>
  <si>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</si>
  <si>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</si>
  <si>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</si>
  <si>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</si>
  <si>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</si>
  <si>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</si>
  <si>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</si>
  <si>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</si>
  <si>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</si>
  <si>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</si>
  <si>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</si>
  <si>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</si>
  <si>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</si>
  <si>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</si>
  <si>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</si>
  <si>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</si>
  <si>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</si>
  <si>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</si>
  <si>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</si>
  <si>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</si>
  <si>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</si>
  <si>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</si>
  <si>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</si>
  <si>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</si>
  <si>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재사용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본편 시편 편수</t>
    </r>
  </si>
  <si>
    <t xml:space="preserve">시편 롱폼에 배정되지 않은 편</t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</si>
  <si>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</si>
  <si>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</si>
  <si>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</si>
  <si>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</si>
  <si>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</si>
  <si>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</si>
  <si>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</si>
  <si>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</si>
  <si>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</si>
  <si>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</si>
  <si>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</si>
  <si>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</si>
  <si>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</si>
  <si>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</si>
  <si>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</si>
  <si>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</si>
  <si>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</si>
  <si>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</si>
  <si>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</si>
  <si>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</si>
  <si>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</si>
  <si>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</si>
  <si>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</si>
  <si>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</si>
  <si>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</si>
  <si>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</si>
  <si>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</si>
  <si>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</si>
  <si>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</si>
  <si>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</si>
  <si>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</si>
  <si>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</si>
  <si>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</si>
  <si>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</si>
  <si>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</si>
  <si>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</si>
  <si>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</si>
  <si>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</si>
  <si>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</si>
  <si>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</si>
  <si>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</si>
  <si>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</si>
  <si>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</si>
  <si>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룻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</si>
  <si>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</si>
  <si>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</si>
  <si>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</si>
  <si>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</si>
  <si>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</si>
  <si>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</si>
  <si>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</si>
  <si>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</si>
  <si>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</si>
  <si>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</si>
  <si>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</si>
  <si>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</si>
  <si>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</si>
  <si>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제작</t>
    </r>
    <r>
      <rPr>
        <sz val="10"/>
        <color rgb="FF000000"/>
        <rFont val="Arial"/>
        <family val="0"/>
        <charset val="1"/>
      </rPr>
      <t xml:space="preserve">(31</t>
    </r>
    <r>
      <rPr>
        <sz val="10"/>
        <color rgb="FF000000"/>
        <rFont val="WenQuanYi Zen Hei"/>
        <family val="2"/>
      </rPr>
      <t xml:space="preserve">편 재사용 </t>
    </r>
    <r>
      <rPr>
        <sz val="10"/>
        <color rgb="FF000000"/>
        <rFont val="Arial"/>
        <family val="0"/>
        <charset val="1"/>
      </rPr>
      <t xml:space="preserve">+ 119</t>
    </r>
    <r>
      <rPr>
        <sz val="10"/>
        <color rgb="FF000000"/>
        <rFont val="WenQuanYi Zen Hei"/>
        <family val="2"/>
      </rPr>
      <t xml:space="preserve">편 신규</t>
    </r>
    <r>
      <rPr>
        <sz val="10"/>
        <color rgb="FF000000"/>
        <rFont val="Arial"/>
        <family val="0"/>
        <charset val="1"/>
      </rPr>
      <t xml:space="preserve">)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</si>
  <si>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</si>
  <si>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</si>
  <si>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</si>
  <si>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</si>
  <si>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</si>
  <si>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</si>
  <si>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</si>
  <si>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</si>
  <si>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</si>
  <si>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</si>
  <si>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</si>
  <si>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</si>
  <si>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</si>
  <si>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</si>
  <si>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</si>
  <si>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</si>
  <si>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</si>
  <si>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</si>
  <si>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</si>
  <si>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</si>
  <si>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</si>
  <si>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</si>
  <si>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</si>
  <si>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</si>
  <si>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</si>
  <si>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</si>
  <si>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</si>
  <si>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</si>
  <si>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</si>
  <si>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</si>
  <si>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</si>
  <si>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</si>
  <si>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</si>
  <si>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</si>
  <si>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</si>
  <si>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</si>
  <si>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</si>
  <si>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</si>
  <si>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</si>
  <si>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</si>
  <si>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</si>
  <si>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</si>
  <si>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</si>
  <si>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</si>
  <si>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</si>
  <si>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</si>
  <si>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</si>
  <si>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</si>
  <si>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</si>
  <si>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</si>
  <si>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</si>
  <si>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</si>
  <si>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</si>
  <si>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</si>
  <si>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</si>
  <si>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</si>
  <si>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</si>
  <si>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</si>
  <si>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</si>
  <si>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</si>
  <si>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r>
      <rPr>
        <b val="true"/>
        <sz val="10"/>
        <color rgb="FFFFFFFF"/>
        <rFont val="WenQuanYi Zen Hei"/>
        <family val="2"/>
      </rPr>
      <t xml:space="preserve">본편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</si>
  <si>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</si>
  <si>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</si>
  <si>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</si>
  <si>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</si>
  <si>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</si>
  <si>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</si>
  <si>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</si>
  <si>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</si>
  <si>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</si>
  <si>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</si>
  <si>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</si>
  <si>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</si>
  <si>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</si>
  <si>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</si>
  <si>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</si>
  <si>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</si>
  <si>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</si>
  <si>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</si>
  <si>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</si>
  <si>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</si>
  <si>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</si>
  <si>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</si>
  <si>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</si>
  <si>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</si>
  <si>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</si>
  <si>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</si>
  <si>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</si>
  <si>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</si>
  <si>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</si>
  <si>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</si>
  <si>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</si>
  <si>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</si>
  <si>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</si>
  <si>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</si>
  <si>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</si>
  <si>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</si>
  <si>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</si>
  <si>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</si>
  <si>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</si>
  <si>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</si>
  <si>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</si>
  <si>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</si>
  <si>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</si>
  <si>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</si>
  <si>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</si>
  <si>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</si>
  <si>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</si>
  <si>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</si>
  <si>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P008</t>
  </si>
  <si>
    <t xml:space="preserve">찬양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</si>
  <si>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</si>
  <si>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</si>
  <si>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</si>
  <si>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</si>
  <si>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</si>
  <si>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</si>
  <si>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</si>
  <si>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</si>
  <si>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</si>
  <si>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</si>
  <si>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</si>
  <si>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</si>
  <si>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</si>
  <si>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</si>
  <si>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</si>
  <si>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</si>
  <si>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</si>
  <si>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</si>
  <si>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</si>
  <si>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</si>
  <si>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</si>
  <si>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</si>
  <si>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</si>
  <si>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</si>
  <si>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</si>
  <si>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</si>
  <si>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</si>
  <si>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</si>
  <si>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</si>
  <si>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</si>
  <si>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</si>
  <si>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</si>
  <si>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</si>
  <si>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</si>
  <si>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</si>
  <si>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</si>
  <si>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</si>
  <si>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</si>
  <si>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</si>
  <si>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</si>
  <si>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</si>
  <si>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</si>
  <si>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</si>
  <si>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</si>
  <si>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</si>
  <si>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</si>
  <si>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</si>
  <si>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</si>
  <si>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</si>
  <si>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</si>
  <si>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</si>
  <si>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</si>
  <si>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</si>
  <si>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</si>
  <si>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</si>
  <si>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</si>
  <si>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</si>
  <si>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</si>
  <si>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</si>
  <si>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</si>
  <si>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</si>
  <si>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</si>
  <si>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</si>
  <si>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</si>
  <si>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</si>
  <si>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</si>
  <si>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</si>
  <si>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</si>
  <si>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</si>
  <si>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P019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</si>
  <si>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</si>
  <si>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</si>
  <si>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</si>
  <si>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</si>
  <si>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</si>
  <si>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</si>
  <si>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</si>
  <si>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</si>
  <si>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</si>
  <si>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</si>
  <si>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</si>
  <si>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</si>
  <si>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</si>
  <si>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</si>
  <si>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P022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</si>
  <si>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</si>
  <si>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</si>
  <si>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</si>
  <si>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</si>
  <si>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</si>
  <si>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</si>
  <si>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</si>
  <si>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</si>
  <si>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</si>
  <si>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</si>
  <si>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</si>
  <si>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</si>
  <si>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</si>
  <si>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</si>
  <si>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</si>
  <si>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</si>
  <si>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</si>
  <si>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</si>
  <si>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</si>
  <si>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</si>
  <si>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</si>
  <si>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</si>
  <si>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P027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</si>
  <si>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</si>
  <si>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</si>
  <si>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</si>
  <si>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</si>
  <si>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</si>
  <si>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</si>
  <si>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</si>
  <si>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</si>
  <si>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</si>
  <si>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</si>
  <si>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</si>
  <si>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</si>
  <si>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</si>
  <si>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</si>
  <si>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</si>
  <si>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</si>
  <si>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</si>
  <si>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</si>
  <si>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</si>
  <si>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</si>
  <si>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</si>
  <si>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</si>
  <si>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</si>
  <si>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</si>
  <si>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</si>
  <si>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</si>
  <si>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</si>
  <si>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P032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</si>
  <si>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</si>
  <si>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</si>
  <si>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</si>
  <si>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</si>
  <si>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</si>
  <si>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</si>
  <si>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</si>
  <si>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</si>
  <si>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</si>
  <si>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</si>
  <si>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</si>
  <si>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</si>
  <si>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</si>
  <si>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</si>
  <si>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</si>
  <si>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</si>
  <si>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</si>
  <si>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</si>
  <si>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</si>
  <si>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</si>
  <si>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</si>
  <si>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</si>
  <si>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</si>
  <si>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</si>
  <si>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</si>
  <si>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</si>
  <si>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</si>
  <si>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</si>
  <si>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</si>
  <si>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</si>
  <si>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</si>
  <si>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</si>
  <si>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</si>
  <si>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</si>
  <si>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</si>
  <si>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</si>
  <si>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</si>
  <si>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</si>
  <si>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</si>
  <si>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</si>
  <si>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</si>
  <si>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</si>
  <si>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</si>
  <si>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</si>
  <si>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</si>
  <si>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</si>
  <si>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</si>
  <si>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</si>
  <si>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</si>
  <si>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</si>
  <si>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</si>
  <si>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</si>
  <si>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</si>
  <si>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</si>
  <si>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</si>
  <si>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</si>
  <si>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</si>
  <si>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</si>
  <si>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</si>
  <si>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</si>
  <si>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</si>
  <si>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</si>
  <si>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</si>
  <si>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</si>
  <si>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</si>
  <si>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</si>
  <si>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</si>
  <si>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</si>
  <si>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</si>
  <si>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</si>
  <si>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</si>
  <si>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</si>
  <si>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</si>
  <si>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</si>
  <si>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</si>
  <si>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</si>
  <si>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</si>
  <si>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</si>
  <si>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</si>
  <si>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</si>
  <si>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</si>
  <si>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</si>
  <si>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</si>
  <si>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</si>
  <si>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</si>
  <si>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</si>
  <si>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</si>
  <si>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</si>
  <si>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P046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</si>
  <si>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</si>
  <si>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</si>
  <si>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</si>
  <si>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</si>
  <si>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</si>
  <si>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</si>
  <si>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</si>
  <si>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</si>
  <si>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</si>
  <si>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</si>
  <si>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</si>
  <si>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</si>
  <si>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</si>
  <si>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</si>
  <si>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</si>
  <si>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</si>
  <si>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</si>
  <si>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</si>
  <si>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</si>
  <si>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</si>
  <si>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</si>
  <si>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</si>
  <si>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</si>
  <si>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</si>
  <si>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</si>
  <si>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P051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</si>
  <si>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</si>
  <si>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</si>
  <si>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</si>
  <si>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</si>
  <si>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</si>
  <si>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</si>
  <si>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</si>
  <si>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</si>
  <si>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</si>
  <si>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</si>
  <si>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</si>
  <si>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</si>
  <si>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</si>
  <si>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</si>
  <si>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</si>
  <si>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</si>
  <si>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</si>
  <si>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</si>
  <si>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</si>
  <si>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</si>
  <si>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</si>
  <si>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</si>
  <si>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</si>
  <si>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</si>
  <si>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</si>
  <si>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</si>
  <si>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</si>
  <si>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</si>
  <si>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</si>
  <si>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</si>
  <si>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</si>
  <si>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</si>
  <si>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</si>
  <si>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</si>
  <si>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</si>
  <si>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</si>
  <si>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</si>
  <si>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</si>
  <si>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</si>
  <si>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</si>
  <si>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</si>
  <si>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</si>
  <si>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</si>
  <si>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</si>
  <si>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</si>
  <si>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</si>
  <si>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</si>
  <si>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</si>
  <si>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</si>
  <si>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</si>
  <si>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</si>
  <si>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</si>
  <si>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</si>
  <si>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</si>
  <si>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</si>
  <si>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</si>
  <si>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</si>
  <si>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</si>
  <si>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</si>
  <si>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</si>
  <si>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</si>
  <si>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</si>
  <si>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</si>
  <si>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</si>
  <si>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</si>
  <si>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</si>
  <si>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</si>
  <si>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</si>
  <si>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</si>
  <si>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</si>
  <si>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</si>
  <si>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P062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</si>
  <si>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</si>
  <si>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</si>
  <si>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</si>
  <si>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</si>
  <si>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</si>
  <si>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</si>
  <si>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</si>
  <si>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</si>
  <si>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</si>
  <si>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</si>
  <si>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</si>
  <si>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</si>
  <si>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</si>
  <si>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</si>
  <si>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</si>
  <si>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</si>
  <si>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</si>
  <si>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</si>
  <si>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</si>
  <si>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</si>
  <si>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</si>
  <si>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</si>
  <si>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</si>
  <si>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</si>
  <si>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</si>
  <si>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</si>
  <si>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</si>
  <si>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</si>
  <si>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</si>
  <si>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</si>
  <si>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</si>
  <si>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</si>
  <si>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</si>
  <si>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</si>
  <si>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</si>
  <si>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</si>
  <si>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</si>
  <si>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</si>
  <si>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</si>
  <si>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</si>
  <si>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</si>
  <si>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</si>
  <si>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</si>
  <si>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</si>
  <si>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</si>
  <si>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</si>
  <si>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</si>
  <si>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</si>
  <si>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</si>
  <si>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</si>
  <si>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</si>
  <si>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</si>
  <si>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</si>
  <si>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</si>
  <si>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</si>
  <si>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</si>
  <si>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</si>
  <si>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</si>
  <si>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</si>
  <si>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</si>
  <si>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</si>
  <si>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</si>
  <si>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</si>
  <si>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</si>
  <si>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</si>
  <si>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</si>
  <si>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</si>
  <si>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</si>
  <si>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</si>
  <si>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</si>
  <si>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</si>
  <si>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</si>
  <si>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</si>
  <si>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</si>
  <si>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</si>
  <si>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</si>
  <si>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</si>
  <si>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</si>
  <si>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</si>
  <si>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</si>
  <si>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</si>
  <si>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</si>
  <si>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</si>
  <si>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</si>
  <si>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</si>
  <si>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</si>
  <si>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</si>
  <si>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</si>
  <si>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</si>
  <si>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</si>
  <si>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</si>
  <si>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</si>
  <si>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</si>
  <si>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</si>
  <si>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</si>
  <si>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</si>
  <si>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</si>
  <si>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</si>
  <si>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</si>
  <si>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</si>
  <si>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</si>
  <si>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</si>
  <si>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</si>
  <si>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</si>
  <si>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</si>
  <si>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</si>
  <si>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</si>
  <si>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</si>
  <si>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</si>
  <si>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</si>
  <si>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</si>
  <si>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</si>
  <si>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</si>
  <si>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</si>
  <si>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</si>
  <si>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</si>
  <si>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</si>
  <si>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</si>
  <si>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</si>
  <si>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</si>
  <si>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</si>
  <si>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</si>
  <si>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</si>
  <si>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</si>
  <si>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</si>
  <si>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</si>
  <si>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</si>
  <si>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</si>
  <si>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</si>
  <si>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</si>
  <si>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</si>
  <si>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P084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</si>
  <si>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</si>
  <si>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</si>
  <si>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</si>
  <si>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</si>
  <si>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</si>
  <si>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</si>
  <si>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</si>
  <si>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</si>
  <si>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</si>
  <si>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</si>
  <si>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</si>
  <si>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</si>
  <si>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</si>
  <si>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</si>
  <si>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</si>
  <si>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</si>
  <si>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</si>
  <si>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</si>
  <si>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</si>
  <si>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</si>
  <si>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</si>
  <si>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</si>
  <si>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</si>
  <si>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</si>
  <si>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</si>
  <si>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</si>
  <si>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</si>
  <si>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</si>
  <si>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P089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</si>
  <si>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</si>
  <si>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</si>
  <si>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</si>
  <si>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</si>
  <si>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</si>
  <si>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</si>
  <si>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</si>
  <si>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</si>
  <si>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</si>
  <si>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</si>
  <si>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</si>
  <si>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</si>
  <si>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</si>
  <si>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</si>
  <si>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</si>
  <si>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</si>
  <si>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</si>
  <si>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</si>
  <si>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</si>
  <si>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</si>
  <si>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</si>
  <si>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</si>
  <si>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</si>
  <si>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</si>
  <si>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</si>
  <si>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</si>
  <si>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P095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</si>
  <si>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</si>
  <si>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</si>
  <si>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</si>
  <si>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</si>
  <si>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</si>
  <si>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</si>
  <si>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</si>
  <si>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</si>
  <si>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</si>
  <si>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</si>
  <si>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</si>
  <si>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</si>
  <si>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</si>
  <si>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</si>
  <si>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</si>
  <si>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</si>
  <si>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</si>
  <si>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</si>
  <si>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</si>
  <si>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</si>
  <si>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</si>
  <si>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</si>
  <si>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</si>
  <si>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</si>
  <si>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</si>
  <si>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P100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</si>
  <si>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</si>
  <si>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</si>
  <si>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</si>
  <si>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</si>
  <si>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</si>
  <si>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</si>
  <si>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</si>
  <si>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</si>
  <si>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</si>
  <si>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</si>
  <si>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</si>
  <si>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</si>
  <si>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</si>
  <si>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</si>
  <si>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</si>
  <si>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P103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</si>
  <si>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</si>
  <si>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</si>
  <si>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</si>
  <si>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</si>
  <si>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</si>
  <si>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</si>
  <si>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</si>
  <si>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</si>
  <si>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</si>
  <si>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P106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</si>
  <si>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</si>
  <si>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</si>
  <si>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</si>
  <si>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</si>
  <si>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</si>
  <si>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</si>
  <si>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</si>
  <si>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</si>
  <si>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</si>
  <si>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</si>
  <si>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</si>
  <si>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</si>
  <si>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</si>
  <si>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</si>
  <si>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</si>
  <si>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</si>
  <si>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</si>
  <si>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</si>
  <si>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</si>
  <si>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</si>
  <si>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</si>
  <si>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</si>
  <si>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P110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</si>
  <si>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</si>
  <si>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</si>
  <si>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</si>
  <si>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</si>
  <si>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</si>
  <si>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</si>
  <si>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</si>
  <si>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</si>
  <si>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</si>
  <si>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</si>
  <si>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</si>
  <si>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</si>
  <si>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</si>
  <si>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</si>
  <si>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</si>
  <si>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</si>
  <si>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</si>
  <si>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</si>
  <si>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</si>
  <si>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</si>
  <si>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</si>
  <si>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</si>
  <si>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</si>
  <si>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</si>
  <si>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</si>
  <si>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</si>
  <si>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</si>
  <si>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</si>
  <si>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</si>
  <si>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</si>
  <si>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</si>
  <si>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</si>
  <si>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</si>
  <si>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</si>
  <si>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</si>
  <si>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</si>
  <si>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</si>
  <si>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</si>
  <si>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</si>
  <si>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</si>
  <si>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</si>
  <si>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</si>
  <si>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</si>
  <si>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</si>
  <si>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</si>
  <si>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</si>
  <si>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</si>
  <si>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</si>
  <si>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</si>
  <si>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</si>
  <si>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</si>
  <si>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</si>
  <si>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P119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</si>
  <si>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</si>
  <si>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</si>
  <si>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</si>
  <si>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</si>
  <si>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</si>
  <si>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</si>
  <si>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</si>
  <si>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</si>
  <si>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</si>
  <si>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</si>
  <si>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P121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</si>
  <si>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</si>
  <si>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</si>
  <si>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</si>
  <si>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</si>
  <si>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</si>
  <si>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</si>
  <si>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</si>
  <si>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</si>
  <si>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</si>
  <si>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</si>
  <si>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</si>
  <si>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</si>
  <si>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</si>
  <si>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</si>
  <si>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</si>
  <si>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</si>
  <si>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</si>
  <si>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</si>
  <si>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</si>
  <si>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</si>
  <si>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</si>
  <si>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</si>
  <si>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</si>
  <si>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</si>
  <si>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</si>
  <si>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P126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</si>
  <si>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</si>
  <si>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</si>
  <si>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</si>
  <si>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</si>
  <si>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</si>
  <si>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</si>
  <si>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</si>
  <si>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</si>
  <si>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</si>
  <si>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</si>
  <si>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</si>
  <si>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</si>
  <si>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</si>
  <si>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</si>
  <si>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</si>
  <si>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</si>
  <si>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</si>
  <si>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</si>
  <si>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</si>
  <si>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</si>
  <si>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</si>
  <si>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</si>
  <si>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</si>
  <si>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</si>
  <si>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</si>
  <si>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</si>
  <si>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</si>
  <si>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</si>
  <si>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</si>
  <si>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</si>
  <si>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</si>
  <si>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</si>
  <si>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</si>
  <si>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</si>
  <si>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</si>
  <si>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</si>
  <si>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</si>
  <si>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</si>
  <si>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</si>
  <si>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P133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</si>
  <si>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</si>
  <si>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</si>
  <si>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</si>
  <si>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</si>
  <si>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</si>
  <si>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</si>
  <si>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</si>
  <si>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</si>
  <si>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</si>
  <si>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</si>
  <si>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</si>
  <si>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</si>
  <si>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</si>
  <si>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</si>
  <si>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</si>
  <si>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</si>
  <si>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</si>
  <si>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</si>
  <si>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</si>
  <si>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</si>
  <si>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</si>
  <si>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</si>
  <si>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</si>
  <si>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</si>
  <si>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</si>
  <si>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</si>
  <si>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</si>
  <si>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</si>
  <si>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</si>
  <si>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</si>
  <si>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</si>
  <si>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</si>
  <si>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P139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</si>
  <si>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</si>
  <si>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</si>
  <si>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</si>
  <si>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</si>
  <si>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</si>
  <si>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</si>
  <si>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</si>
  <si>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</si>
  <si>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</si>
  <si>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</si>
  <si>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</si>
  <si>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</si>
  <si>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</si>
  <si>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</si>
  <si>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</si>
  <si>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</si>
  <si>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</si>
  <si>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</si>
  <si>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</si>
  <si>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</si>
  <si>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</si>
  <si>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</si>
  <si>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</si>
  <si>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</si>
  <si>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</si>
  <si>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</si>
  <si>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</si>
  <si>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</si>
  <si>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</si>
  <si>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</si>
  <si>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</si>
  <si>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</si>
  <si>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</si>
  <si>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</si>
  <si>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P145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</si>
  <si>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</si>
  <si>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</si>
  <si>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</si>
  <si>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</si>
  <si>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</si>
  <si>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</si>
  <si>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</si>
  <si>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</si>
  <si>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</si>
  <si>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</si>
  <si>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</si>
  <si>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</si>
  <si>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</si>
  <si>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</si>
  <si>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</si>
  <si>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</si>
  <si>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</si>
  <si>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</si>
  <si>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</si>
  <si>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</si>
  <si>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</si>
  <si>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</si>
  <si>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</si>
  <si>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</si>
  <si>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</si>
  <si>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</si>
  <si>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P150</t>
  </si>
  <si>
    <r>
      <rPr>
        <sz val="10"/>
        <color rgb="FF000000"/>
        <rFont val="WenQuanYi Zen Hei"/>
        <family val="2"/>
      </rPr>
      <t xml:space="preserve">재사용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</si>
  <si>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</si>
  <si>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</si>
  <si>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그중 신규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</si>
  <si>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</si>
  <si>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</si>
  <si>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</si>
  <si>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</si>
  <si>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</si>
  <si>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</si>
  <si>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</si>
  <si>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</si>
  <si>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</si>
  <si>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</si>
  <si>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</si>
  <si>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</si>
  <si>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</si>
  <si>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</si>
  <si>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</si>
  <si>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</si>
  <si>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</si>
  <si>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</si>
  <si>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</si>
  <si>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</si>
  <si>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</si>
  <si>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</si>
  <si>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</si>
  <si>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</si>
  <si>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</si>
  <si>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</si>
  <si>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</si>
  <si>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</si>
  <si>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</si>
  <si>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</si>
  <si>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ID</t>
  </si>
  <si>
    <t xml:space="preserve">인물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</si>
  <si>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</si>
  <si>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</si>
  <si>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</si>
  <si>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</si>
  <si>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</si>
  <si>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</si>
  <si>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</si>
  <si>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</si>
  <si>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</si>
  <si>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</si>
  <si>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</si>
  <si>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</si>
  <si>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</si>
  <si>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</si>
  <si>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</si>
  <si>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</si>
  <si>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</si>
  <si>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</si>
  <si>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</si>
  <si>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</si>
  <si>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</si>
  <si>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</si>
  <si>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</si>
  <si>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</si>
  <si>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</si>
  <si>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</si>
  <si>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</si>
  <si>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</si>
  <si>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</si>
  <si>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</si>
  <si>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</si>
  <si>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</si>
  <si>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</si>
  <si>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</si>
  <si>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</si>
  <si>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</si>
  <si>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</si>
  <si>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</si>
  <si>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</si>
  <si>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</si>
  <si>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</si>
  <si>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</si>
  <si>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</si>
  <si>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</si>
  <si>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</si>
  <si>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</si>
  <si>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</si>
  <si>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</si>
  <si>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</si>
  <si>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</si>
  <si>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</si>
  <si>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</si>
  <si>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</si>
  <si>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</si>
  <si>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</si>
  <si>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</si>
  <si>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</si>
  <si>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</si>
  <si>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</si>
  <si>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</si>
  <si>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</si>
  <si>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</si>
  <si>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</si>
  <si>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</si>
  <si>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</si>
  <si>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</si>
  <si>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</si>
  <si>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</si>
  <si>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</si>
  <si>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</si>
  <si>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</si>
  <si>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</si>
  <si>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</si>
  <si>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</si>
  <si>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</si>
  <si>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</si>
  <si>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</si>
  <si>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</si>
  <si>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</si>
  <si>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</si>
  <si>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</si>
  <si>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</si>
  <si>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</si>
  <si>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</si>
  <si>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</si>
  <si>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</si>
  <si>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</si>
  <si>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</si>
  <si>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</si>
  <si>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</si>
  <si>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</si>
  <si>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</si>
  <si>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</si>
  <si>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</si>
  <si>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</si>
  <si>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</si>
  <si>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</si>
  <si>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</si>
  <si>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</si>
  <si>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</si>
  <si>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</si>
  <si>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</si>
  <si>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</si>
  <si>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</si>
  <si>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</si>
  <si>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</si>
  <si>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</si>
  <si>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</si>
  <si>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</si>
  <si>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</si>
  <si>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t xml:space="preserve">야곱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</si>
  <si>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</si>
  <si>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</si>
  <si>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</si>
  <si>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</si>
  <si>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</si>
  <si>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</si>
  <si>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</si>
  <si>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</si>
  <si>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</si>
  <si>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</si>
  <si>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</si>
  <si>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</si>
  <si>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</si>
  <si>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</si>
  <si>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</si>
  <si>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</si>
  <si>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</si>
  <si>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</si>
  <si>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</si>
  <si>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</si>
  <si>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</si>
  <si>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</si>
  <si>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t xml:space="preserve">요셉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</si>
  <si>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</si>
  <si>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</si>
  <si>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</si>
  <si>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</si>
  <si>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</si>
  <si>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</si>
  <si>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</si>
  <si>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</si>
  <si>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</si>
  <si>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</si>
  <si>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</si>
  <si>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</si>
  <si>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</si>
  <si>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</si>
  <si>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</si>
  <si>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</si>
  <si>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</si>
  <si>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</si>
  <si>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</si>
  <si>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</si>
  <si>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</si>
  <si>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</si>
  <si>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</si>
  <si>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</si>
  <si>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</si>
  <si>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</si>
  <si>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</si>
  <si>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</si>
  <si>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</si>
  <si>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</si>
  <si>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</si>
  <si>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</si>
  <si>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</si>
  <si>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</si>
  <si>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</si>
  <si>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</si>
  <si>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</si>
  <si>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</si>
  <si>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</si>
  <si>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</si>
  <si>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</si>
  <si>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</si>
  <si>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</si>
  <si>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</si>
  <si>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</si>
  <si>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</si>
  <si>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</si>
  <si>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</si>
  <si>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</si>
  <si>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</si>
  <si>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</si>
  <si>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</si>
  <si>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</si>
  <si>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</si>
  <si>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</si>
  <si>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</si>
  <si>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</si>
  <si>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</si>
  <si>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</si>
  <si>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</si>
  <si>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</si>
  <si>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</si>
  <si>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</si>
  <si>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</si>
  <si>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</si>
  <si>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</si>
  <si>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</si>
  <si>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</si>
  <si>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</si>
  <si>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</si>
  <si>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</si>
  <si>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</si>
  <si>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</si>
  <si>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</si>
  <si>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</si>
  <si>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t xml:space="preserve">삼손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</si>
  <si>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</si>
  <si>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</si>
  <si>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</si>
  <si>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</si>
  <si>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</si>
  <si>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</si>
  <si>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</si>
  <si>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</si>
  <si>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</si>
  <si>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</si>
  <si>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</si>
  <si>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</si>
  <si>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</si>
  <si>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</si>
  <si>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</si>
  <si>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</si>
  <si>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</si>
  <si>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</si>
  <si>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</si>
  <si>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</si>
  <si>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</si>
  <si>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</si>
  <si>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</si>
  <si>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t xml:space="preserve">사무엘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</si>
  <si>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</si>
  <si>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</si>
  <si>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</si>
  <si>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</si>
  <si>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</si>
  <si>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</si>
  <si>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t xml:space="preserve">사울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</si>
  <si>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</si>
  <si>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</si>
  <si>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</si>
  <si>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</si>
  <si>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</si>
  <si>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</si>
  <si>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</si>
  <si>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</si>
  <si>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</si>
  <si>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</si>
  <si>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</si>
  <si>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</si>
  <si>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</si>
  <si>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</si>
  <si>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</si>
  <si>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</si>
  <si>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</si>
  <si>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</si>
  <si>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</si>
  <si>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</si>
  <si>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</si>
  <si>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</si>
  <si>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</si>
  <si>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</si>
  <si>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</si>
  <si>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</si>
  <si>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</si>
  <si>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</si>
  <si>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</si>
  <si>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</si>
  <si>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</si>
  <si>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t xml:space="preserve">엘리야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</si>
  <si>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</si>
  <si>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</si>
  <si>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</si>
  <si>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</si>
  <si>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</si>
  <si>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</si>
  <si>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t xml:space="preserve">엘리사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</si>
  <si>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</si>
  <si>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</si>
  <si>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</si>
  <si>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</si>
  <si>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</si>
  <si>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</si>
  <si>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</si>
  <si>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</si>
  <si>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</si>
  <si>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</si>
  <si>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</si>
  <si>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</si>
  <si>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</si>
  <si>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</si>
  <si>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</si>
  <si>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</si>
  <si>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</si>
  <si>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</si>
  <si>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</si>
  <si>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</si>
  <si>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</si>
  <si>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</si>
  <si>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</si>
  <si>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</si>
  <si>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</si>
  <si>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</si>
  <si>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</si>
  <si>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</si>
  <si>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</si>
  <si>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</si>
  <si>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</si>
  <si>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</si>
  <si>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</si>
  <si>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</si>
  <si>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</si>
  <si>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</si>
  <si>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</si>
  <si>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</si>
  <si>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</si>
  <si>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</si>
  <si>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</si>
  <si>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</si>
  <si>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</si>
  <si>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</si>
  <si>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</si>
  <si>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</si>
  <si>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</si>
  <si>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</si>
  <si>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</si>
  <si>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</si>
  <si>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</si>
  <si>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</si>
  <si>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</si>
  <si>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</si>
  <si>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</si>
  <si>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</si>
  <si>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</si>
  <si>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</si>
  <si>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</si>
  <si>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</si>
  <si>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</si>
  <si>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</si>
  <si>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</si>
  <si>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</si>
  <si>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</si>
  <si>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</si>
  <si>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</si>
  <si>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</si>
  <si>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</si>
  <si>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</si>
  <si>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</si>
  <si>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</si>
  <si>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</si>
  <si>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</si>
  <si>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</si>
  <si>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</si>
  <si>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</si>
  <si>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</si>
  <si>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</si>
  <si>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</si>
  <si>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</si>
  <si>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</si>
  <si>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</si>
  <si>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</si>
  <si>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</si>
  <si>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</si>
  <si>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</si>
  <si>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</si>
  <si>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</si>
  <si>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</si>
  <si>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</si>
  <si>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</si>
  <si>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</si>
  <si>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</si>
  <si>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</si>
  <si>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</si>
  <si>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</si>
  <si>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</si>
  <si>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t xml:space="preserve">세례 요한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</si>
  <si>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</si>
  <si>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</si>
  <si>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</si>
  <si>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</si>
  <si>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</si>
  <si>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</si>
  <si>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</si>
  <si>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</si>
  <si>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</si>
  <si>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</si>
  <si>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</si>
  <si>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</si>
  <si>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</si>
  <si>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</si>
  <si>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</si>
  <si>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</si>
  <si>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</si>
  <si>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</si>
  <si>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</si>
  <si>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</si>
  <si>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</si>
  <si>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</si>
  <si>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</si>
  <si>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</si>
  <si>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</si>
  <si>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</si>
  <si>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</si>
  <si>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</si>
  <si>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</si>
  <si>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</si>
  <si>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</si>
  <si>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</si>
  <si>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</si>
  <si>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</si>
  <si>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</si>
  <si>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</si>
  <si>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</si>
  <si>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</si>
  <si>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</si>
  <si>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</si>
  <si>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</si>
  <si>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</si>
  <si>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</si>
  <si>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</si>
  <si>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</si>
  <si>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</si>
  <si>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</si>
  <si>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</si>
  <si>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</si>
  <si>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</si>
  <si>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</si>
  <si>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</si>
  <si>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</si>
  <si>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</si>
  <si>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</si>
  <si>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</si>
  <si>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</si>
  <si>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</si>
  <si>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</si>
  <si>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</si>
  <si>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</si>
  <si>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</si>
  <si>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</si>
  <si>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</si>
  <si>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</si>
  <si>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</si>
  <si>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</si>
  <si>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</si>
  <si>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</si>
  <si>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</si>
  <si>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</si>
  <si>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</si>
  <si>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</si>
  <si>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</si>
  <si>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</si>
  <si>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</si>
  <si>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</si>
  <si>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</si>
  <si>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타입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아웃트로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</si>
  <si>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</si>
  <si>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</si>
  <si>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</si>
  <si>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</si>
  <si>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</si>
  <si>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</si>
  <si>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</si>
  <si>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</si>
  <si>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</si>
  <si>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</si>
  <si>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</si>
  <si>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</si>
  <si>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</si>
  <si>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타입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아웃트로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</si>
  <si>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</si>
  <si>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</si>
  <si>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</si>
  <si>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</si>
  <si>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</si>
  <si>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</si>
  <si>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</si>
  <si>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</si>
  <si>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</si>
  <si>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</si>
  <si>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</si>
  <si>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기준</t>
  </si>
  <si>
    <t xml:space="preserve">성경</t>
  </si>
  <si>
    <r>
      <rPr>
        <sz val="10"/>
        <color rgb="FF000000"/>
        <rFont val="WenQuanYi Zen Hei"/>
        <family val="2"/>
      </rPr>
      <t xml:space="preserve">개역개정 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</si>
  <si>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</si>
  <si>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</si>
  <si>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</si>
  <si>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</si>
  <si>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</si>
  <si>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</si>
  <si>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</si>
  <si>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</si>
  <si>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</si>
  <si>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</si>
  <si>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</si>
  <si>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</si>
  <si>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</si>
  <si>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</si>
  <si>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□</t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</si>
  <si>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</si>
  <si>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</si>
  <si>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</si>
  <si>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</si>
  <si>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</si>
  <si>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</si>
  <si>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</si>
  <si>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</si>
  <si>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</si>
  <si>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</si>
  <si>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</si>
  <si>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</si>
  <si>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</si>
  <si>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</si>
  <si>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</si>
  <si>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</si>
  <si>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</si>
  <si>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</si>
  <si>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</si>
  <si>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</si>
  <si>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</si>
  <si>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</si>
  <si>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</si>
  <si>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</si>
  <si>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</si>
  <si>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</si>
  <si>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</si>
  <si>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</si>
  <si>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</si>
  <si>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</si>
  <si>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</si>
  <si>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</si>
  <si>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</si>
  <si>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</si>
  <si>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</si>
  <si>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</si>
  <si>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</si>
  <si>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</si>
  <si>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</si>
  <si>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</si>
  <si>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</si>
  <si>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</si>
  <si>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</si>
  <si>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</si>
  <si>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</si>
  <si>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</si>
  <si>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</si>
  <si>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</si>
  <si>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</si>
  <si>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</si>
  <si>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</si>
  <si>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</si>
  <si>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</si>
  <si>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</si>
  <si>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</si>
  <si>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</si>
  <si>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</si>
  <si>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</si>
  <si>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</si>
  <si>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</si>
  <si>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</si>
  <si>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</si>
  <si>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</si>
  <si>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</si>
  <si>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</si>
  <si>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</si>
  <si>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</si>
  <si>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</si>
  <si>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</si>
  <si>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</si>
  <si>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</si>
  <si>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</si>
  <si>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</si>
  <si>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</si>
  <si>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</si>
  <si>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</si>
  <si>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</si>
  <si>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</si>
  <si>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</si>
  <si>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</si>
  <si>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</si>
  <si>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</si>
  <si>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</si>
  <si>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</si>
  <si>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</si>
  <si>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</si>
  <si>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</si>
  <si>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</si>
  <si>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</si>
  <si>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</si>
  <si>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</si>
  <si>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</si>
  <si>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</si>
  <si>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</si>
  <si>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</si>
  <si>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</si>
  <si>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</si>
  <si>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</si>
  <si>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개역개정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</si>
  <si>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</si>
  <si>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</si>
  <si>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</si>
  <si>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</si>
  <si>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</si>
  <si>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</si>
  <si>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</si>
  <si>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</si>
  <si>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</si>
  <si>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</si>
  <si>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</si>
  <si>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</si>
  <si>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</si>
  <si>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개역개정과 대조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</si>
  <si>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</si>
  <si>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</si>
  <si>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</si>
  <si>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</si>
  <si>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</si>
  <si>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</si>
  <si>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</si>
  <si>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</si>
  <si>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</si>
  <si>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</si>
  <si>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</si>
  <si>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</si>
  <si>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</si>
  <si>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</si>
  <si>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</si>
  <si>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첫 컷은 가장 강한 장면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</si>
  <si>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</si>
  <si>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t xml:space="preserve">1</t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</si>
  <si>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</si>
  <si>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</si>
  <si>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</si>
  <si>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</si>
  <si>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</si>
  <si>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</si>
  <si>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</si>
  <si>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</si>
  <si>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</si>
  <si>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</si>
  <si>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</si>
  <si>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</si>
  <si>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 → </t>
    </r>
    <r>
      <rPr>
        <sz val="10"/>
        <color rgb="FF000000"/>
        <rFont val="WenQuanYi Zen Hei"/>
        <family val="2"/>
      </rPr>
      <t xml:space="preserve">첫 장면과 이어지게 반복 시청 유도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</si>
  <si>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</si>
  <si>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</si>
  <si>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</si>
  <si>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B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롱폼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</si>
  <si>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길이</t>
  </si>
  <si>
    <t xml:space="preserve">인트로</t>
  </si>
  <si>
    <r>
      <rPr>
        <sz val="10"/>
        <color rgb="FF000000"/>
        <rFont val="WenQuanYi Zen Hei"/>
        <family val="2"/>
      </rPr>
      <t xml:space="preserve">하람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은솔 가족의 일상 고민 → 할아버지가 성경을 펼침</t>
    </r>
  </si>
  <si>
    <r>
      <rPr>
        <sz val="10"/>
        <color rgb="FF000000"/>
        <rFont val="Arial"/>
        <family val="0"/>
        <charset val="1"/>
      </rPr>
      <t xml:space="preserve">B: </t>
    </r>
    <r>
      <rPr>
        <sz val="10"/>
        <color rgb="FF000000"/>
        <rFont val="WenQuanYi Zen Hei"/>
        <family val="2"/>
      </rPr>
      <t xml:space="preserve">진행자 인트로 질문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</si>
  <si>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</si>
  <si>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</si>
  <si>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대체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</si>
  <si>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</si>
  <si>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</si>
  <si>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중간 질문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</si>
  <si>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여러분이라면 어떻게 했을까요</t>
    </r>
    <r>
      <rPr>
        <sz val="10"/>
        <color rgb="FF000000"/>
        <rFont val="Arial"/>
        <family val="0"/>
        <charset val="1"/>
      </rPr>
      <t xml:space="preserve">?" (</t>
    </r>
    <r>
      <rPr>
        <sz val="10"/>
        <color rgb="FF000000"/>
        <rFont val="WenQuanYi Zen Hei"/>
        <family val="2"/>
      </rPr>
      <t xml:space="preserve">분반 토론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댓글 유도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</si>
  <si>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초</t>
    </r>
  </si>
  <si>
    <t xml:space="preserve">아웃트로</t>
  </si>
  <si>
    <r>
      <rPr>
        <sz val="10"/>
        <color rgb="FF000000"/>
        <rFont val="WenQuanYi Zen Hei"/>
        <family val="2"/>
      </rPr>
      <t xml:space="preserve">그리스도 연결점 정리 → 삶의 적용 → 짧은 기도 → 다음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예고</t>
    </r>
  </si>
  <si>
    <r>
      <rPr>
        <sz val="10"/>
        <color rgb="FF000000"/>
        <rFont val="Arial"/>
        <family val="0"/>
        <charset val="1"/>
      </rPr>
      <t xml:space="preserve">B: </t>
    </r>
    <r>
      <rPr>
        <sz val="10"/>
        <color rgb="FF000000"/>
        <rFont val="WenQuanYi Zen Hei"/>
        <family val="2"/>
      </rPr>
      <t xml:space="preserve">그리스도 연결점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</si>
  <si>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</si>
  <si>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</si>
  <si>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</si>
  <si>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</si>
  <si>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</si>
  <si>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</si>
  <si>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</si>
  <si>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</si>
  <si>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</si>
  <si>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</si>
  <si>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</si>
  <si>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</si>
  <si>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</si>
  <si>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</si>
  <si>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</si>
  <si>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</si>
  <si>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</si>
  <si>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</si>
  <si>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</si>
  <si>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</si>
  <si>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</si>
  <si>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</si>
  <si>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</si>
  <si>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</si>
  <si>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</si>
  <si>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</si>
  <si>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</si>
  <si>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</si>
  <si>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</si>
  <si>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</si>
  <si>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</si>
  <si>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</si>
  <si>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</si>
  <si>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</si>
  <si>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</si>
  <si>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</si>
  <si>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</si>
  <si>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</si>
  <si>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</si>
  <si>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</si>
  <si>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</si>
  <si>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</si>
  <si>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</si>
  <si>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</si>
  <si>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</si>
  <si>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</si>
  <si>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</si>
  <si>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</si>
  <si>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</si>
  <si>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회차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</si>
  <si>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유튜브 제목안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자동 생성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</si>
  <si>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</si>
  <si>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</si>
  <si>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</si>
  <si>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</si>
  <si>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</si>
  <si>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</si>
  <si>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</si>
  <si>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t xml:space="preserve">재생목록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</si>
  <si>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</si>
  <si>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</si>
  <si>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</si>
  <si>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</si>
  <si>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</si>
  <si>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t xml:space="preserve">개역개정 인용이 대한성서공회 사용 지침 범위 안이며 출처를 표기했는가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</si>
  <si>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</si>
  <si>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</si>
  <si>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</si>
  <si>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</si>
  <si>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개역개정과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</si>
  <si>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</si>
  <si>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</si>
  <si>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</si>
  <si>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</si>
  <si>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</si>
  <si>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</si>
  <si>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</si>
  <si>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</si>
  <si>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</si>
  <si>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</si>
  <si>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</si>
  <si>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</si>
  <si>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</si>
  <si>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</si>
  <si>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</si>
  <si>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</si>
  <si>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</si>
  <si>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</si>
  <si>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</si>
  <si>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</si>
  <si>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</si>
  <si>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</si>
  <si>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</si>
  <si>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</si>
  <si>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</si>
  <si>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</si>
  <si>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</si>
  <si>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</si>
  <si>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</si>
  <si>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</si>
  <si>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</si>
  <si>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</si>
  <si>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</si>
  <si>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</si>
  <si>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</si>
  <si>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</si>
  <si>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</si>
  <si>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</si>
  <si>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</si>
  <si>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</si>
  <si>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</si>
  <si>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</si>
  <si>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</si>
  <si>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</si>
  <si>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</si>
  <si>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</si>
  <si>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</si>
  <si>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</si>
  <si>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</si>
  <si>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</si>
  <si>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</si>
  <si>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</si>
  <si>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</si>
  <si>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</si>
  <si>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</si>
  <si>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</si>
  <si>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</si>
  <si>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</si>
  <si>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</si>
  <si>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</si>
  <si>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표기 통일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개역개정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</si>
  <si>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</si>
  <si>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</si>
  <si>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</si>
  <si>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</si>
  <si>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</si>
  <si>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</si>
  <si>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</si>
  <si>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t xml:space="preserve">개역개정 표기</t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</si>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</sst>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120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182</v>
      </c>
      <c r="D12" s="8" t="s">
        <v>19</v>
      </c>
    </row>
    <row r="13" customFormat="false" ht="15" hidden="false" customHeight="false" outlineLevel="0" collapsed="false">
      <c r="A13" s="5" t="s">
        <v>20</v>
      </c>
      <c r="C13" s="6" t="n">
        <v>104</v>
      </c>
      <c r="D13" s="8" t="s">
        <v>21</v>
      </c>
    </row>
    <row r="15" customFormat="false" ht="15" hidden="false" customHeight="false" outlineLevel="0" collapsed="false">
      <c r="A15" s="3" t="s">
        <v>22</v>
      </c>
      <c r="B15" s="4"/>
      <c r="C15" s="4"/>
      <c r="D15" s="4"/>
    </row>
    <row r="16" customFormat="false" ht="30" hidden="false" customHeight="true" outlineLevel="0" collapsed="false">
      <c r="A16" s="5" t="s">
        <v>23</v>
      </c>
      <c r="B16" s="10" t="s">
        <v>24</v>
      </c>
      <c r="C16" s="10"/>
      <c r="D16" s="10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4" customFormat="false" ht="16.4" hidden="false" customHeight="false" outlineLevel="0" collapsed="false">
      <c r="A24" s="3" t="s">
        <v>37</v>
      </c>
      <c r="B24" s="4"/>
      <c r="C24" s="4"/>
      <c r="D24" s="4"/>
    </row>
    <row r="25" customFormat="false" ht="15" hidden="false" customHeight="false" outlineLevel="0" collapsed="false">
      <c r="A25" s="5" t="s">
        <v>38</v>
      </c>
      <c r="C25" s="11" t="n">
        <f aca="false">COUNTA(A타입_제작표!$B$2:$B$799)</f>
        <v>798</v>
      </c>
      <c r="D25" s="7" t="s">
        <v>39</v>
      </c>
    </row>
    <row r="26" customFormat="false" ht="15" hidden="false" customHeight="false" outlineLevel="0" collapsed="false">
      <c r="A26" s="5" t="s">
        <v>40</v>
      </c>
      <c r="C26" s="11" t="str">
        <f aca="false">COUNTIFS(A타입_제작표!$C$2:$C$799,1,A타입_제작표!$D$2:$D$799,"구약")&amp;" / "&amp;COUNTIFS(A타입_제작표!$C$2:$C$799,1,A타입_제작표!$D$2:$D$799,"신약")</f>
        <v>182 / 104</v>
      </c>
      <c r="D26" s="7" t="s">
        <v>39</v>
      </c>
    </row>
    <row r="27" customFormat="false" ht="15" hidden="false" customHeight="false" outlineLevel="0" collapsed="false">
      <c r="A27" s="5" t="s">
        <v>41</v>
      </c>
      <c r="C27" s="11" t="str">
        <f aca="false">COUNTIFS(A타입_제작표!$C$2:$C$799,2,A타입_제작표!$D$2:$D$799,"구약")&amp;" / "&amp;COUNTIFS(A타입_제작표!$C$2:$C$799,2,A타입_제작표!$D$2:$D$799,"신약")</f>
        <v>339 / 173</v>
      </c>
      <c r="D27" s="7" t="s">
        <v>39</v>
      </c>
    </row>
    <row r="28" customFormat="false" ht="15" hidden="false" customHeight="false" outlineLevel="0" collapsed="false">
      <c r="A28" s="5" t="s">
        <v>42</v>
      </c>
      <c r="C28" s="12" t="n">
        <f aca="false">_xlfn.MAXIFS(A타입_제작표!$U$2:$U$799,A타입_제작표!$C$2:$C$799,1)</f>
        <v>46572</v>
      </c>
      <c r="D28" s="7"/>
    </row>
    <row r="29" customFormat="false" ht="15" hidden="false" customHeight="false" outlineLevel="0" collapsed="false">
      <c r="A29" s="5" t="s">
        <v>43</v>
      </c>
      <c r="C29" s="12" t="n">
        <f aca="false">_xlfn.MAXIFS(A타입_제작표!$U$2:$U$799,A타입_제작표!$C$2:$C$799,2)</f>
        <v>46918</v>
      </c>
      <c r="D29" s="7"/>
    </row>
    <row r="30" customFormat="false" ht="15" hidden="false" customHeight="false" outlineLevel="0" collapsed="false">
      <c r="A30" s="5" t="s">
        <v>44</v>
      </c>
      <c r="C30" s="11" t="n">
        <f aca="false">ROUND((C28-안내!$C$9+1)/7,1)</f>
        <v>26</v>
      </c>
      <c r="D30" s="7" t="s">
        <v>45</v>
      </c>
    </row>
    <row r="31" customFormat="false" ht="15" hidden="false" customHeight="false" outlineLevel="0" collapsed="false">
      <c r="A31" s="5" t="s">
        <v>46</v>
      </c>
      <c r="C31" s="11" t="n">
        <f aca="false">ROUND((C29-안내!$C$9+1)/7,1)</f>
        <v>75.4</v>
      </c>
      <c r="D31" s="7" t="s">
        <v>47</v>
      </c>
    </row>
    <row r="32" customFormat="false" ht="15" hidden="false" customHeight="false" outlineLevel="0" collapsed="false">
      <c r="A32" s="5" t="s">
        <v>48</v>
      </c>
      <c r="C32" s="11" t="n">
        <f aca="false">COUNTA(롱폼_시즌별!$B$2:$B$86)</f>
        <v>85</v>
      </c>
      <c r="D32" s="7" t="s">
        <v>39</v>
      </c>
    </row>
    <row r="33" customFormat="false" ht="15" hidden="false" customHeight="false" outlineLevel="0" collapsed="false">
      <c r="A33" s="5" t="s">
        <v>49</v>
      </c>
      <c r="C33" s="11" t="n">
        <f aca="false">COUNTA(롱폼_통합본!$B$2:$B$85)</f>
        <v>84</v>
      </c>
      <c r="D33" s="7" t="s">
        <v>39</v>
      </c>
    </row>
    <row r="34" customFormat="false" ht="15" hidden="false" customHeight="false" outlineLevel="0" collapsed="false">
      <c r="A34" s="5" t="s">
        <v>50</v>
      </c>
      <c r="C34" s="11" t="str">
        <f aca="false">COUNTIF(시편_시리즈!$E$2:$E$151,"신규 제작")&amp;" / "&amp;COUNTIF(시편_시리즈!$F$2:$F$151,"A*")</f>
        <v>119 / 31</v>
      </c>
      <c r="D34" s="7" t="s">
        <v>39</v>
      </c>
    </row>
    <row r="35" customFormat="false" ht="15" hidden="false" customHeight="false" outlineLevel="0" collapsed="false">
      <c r="A35" s="5" t="s">
        <v>51</v>
      </c>
      <c r="C35" s="12" t="n">
        <f aca="false">MAX(시편_시리즈!$Q$2:$Q$151)</f>
        <v>46740</v>
      </c>
      <c r="D35" s="7"/>
    </row>
    <row r="36" customFormat="false" ht="15" hidden="false" customHeight="false" outlineLevel="0" collapsed="false">
      <c r="A36" s="5" t="s">
        <v>52</v>
      </c>
      <c r="C36" s="11" t="n">
        <f aca="false">ROUND(C25*안내!$C$6/3600,1)</f>
        <v>13.3</v>
      </c>
      <c r="D36" s="7" t="s">
        <v>53</v>
      </c>
    </row>
    <row r="38" customFormat="false" ht="15" hidden="false" customHeight="false" outlineLevel="0" collapsed="false">
      <c r="A38" s="3" t="s">
        <v>54</v>
      </c>
      <c r="B38" s="4"/>
      <c r="C38" s="4"/>
      <c r="D38" s="4"/>
    </row>
    <row r="39" customFormat="false" ht="30" hidden="false" customHeight="true" outlineLevel="0" collapsed="false">
      <c r="A39" s="13" t="s">
        <v>55</v>
      </c>
      <c r="B39" s="14" t="s">
        <v>56</v>
      </c>
      <c r="C39" s="14"/>
      <c r="D39" s="14"/>
    </row>
    <row r="40" customFormat="false" ht="30" hidden="false" customHeight="true" outlineLevel="0" collapsed="false">
      <c r="A40" s="5" t="s">
        <v>35</v>
      </c>
      <c r="B40" s="14" t="s">
        <v>57</v>
      </c>
      <c r="C40" s="14"/>
      <c r="D40" s="14"/>
    </row>
    <row r="41" customFormat="false" ht="30" hidden="false" customHeight="true" outlineLevel="0" collapsed="false">
      <c r="A41" s="5" t="s">
        <v>58</v>
      </c>
      <c r="B41" s="14" t="s">
        <v>59</v>
      </c>
      <c r="C41" s="14"/>
      <c r="D41" s="14"/>
    </row>
    <row r="42" customFormat="false" ht="30" hidden="false" customHeight="true" outlineLevel="0" collapsed="false">
      <c r="A42" s="5" t="s">
        <v>60</v>
      </c>
      <c r="B42" s="10" t="s">
        <v>61</v>
      </c>
      <c r="C42" s="10"/>
      <c r="D42" s="10"/>
    </row>
    <row r="43" customFormat="false" ht="30" hidden="false" customHeight="true" outlineLevel="0" collapsed="false">
      <c r="A43" s="5" t="s">
        <v>62</v>
      </c>
      <c r="B43" s="10" t="s">
        <v>63</v>
      </c>
      <c r="C43" s="10"/>
      <c r="D43" s="10"/>
    </row>
    <row r="44" customFormat="false" ht="30" hidden="false" customHeight="true" outlineLevel="0" collapsed="false">
      <c r="A44" s="5" t="s">
        <v>64</v>
      </c>
      <c r="B44" s="10" t="s">
        <v>65</v>
      </c>
      <c r="C44" s="10"/>
      <c r="D44" s="10"/>
    </row>
    <row r="45" customFormat="false" ht="60" hidden="false" customHeight="true" outlineLevel="0" collapsed="false">
      <c r="A45" s="5" t="s">
        <v>66</v>
      </c>
      <c r="B45" s="10" t="s">
        <v>67</v>
      </c>
      <c r="C45" s="10"/>
      <c r="D45" s="10"/>
    </row>
    <row r="47" customFormat="false" ht="15" hidden="false" customHeight="false" outlineLevel="0" collapsed="false">
      <c r="A47" s="3" t="s">
        <v>68</v>
      </c>
      <c r="B47" s="4"/>
      <c r="C47" s="4"/>
      <c r="D47" s="4"/>
    </row>
    <row r="48" customFormat="false" ht="26.85" hidden="false" customHeight="true" outlineLevel="0" collapsed="false">
      <c r="A48" s="13" t="s">
        <v>69</v>
      </c>
      <c r="B48" s="10" t="s">
        <v>70</v>
      </c>
      <c r="C48" s="10"/>
      <c r="D48" s="10"/>
    </row>
    <row r="49" customFormat="false" ht="15" hidden="false" customHeight="true" outlineLevel="0" collapsed="false">
      <c r="A49" s="5" t="s">
        <v>71</v>
      </c>
      <c r="B49" s="10" t="s">
        <v>72</v>
      </c>
      <c r="C49" s="10"/>
      <c r="D49" s="10"/>
    </row>
    <row r="50" customFormat="false" ht="15" hidden="false" customHeight="true" outlineLevel="0" collapsed="false">
      <c r="A50" s="5" t="s">
        <v>73</v>
      </c>
      <c r="B50" s="10" t="s">
        <v>74</v>
      </c>
      <c r="C50" s="10"/>
      <c r="D50" s="10"/>
    </row>
    <row r="51" customFormat="false" ht="15" hidden="false" customHeight="true" outlineLevel="0" collapsed="false">
      <c r="A51" s="5" t="s">
        <v>75</v>
      </c>
      <c r="B51" s="10" t="s">
        <v>76</v>
      </c>
      <c r="C51" s="10"/>
      <c r="D51" s="10"/>
    </row>
    <row r="52" customFormat="false" ht="15" hidden="false" customHeight="true" outlineLevel="0" collapsed="false">
      <c r="A52" s="5" t="s">
        <v>77</v>
      </c>
      <c r="B52" s="10" t="s">
        <v>78</v>
      </c>
      <c r="C52" s="10"/>
      <c r="D52" s="10"/>
    </row>
    <row r="53" customFormat="false" ht="15" hidden="false" customHeight="true" outlineLevel="0" collapsed="false">
      <c r="A53" s="5" t="s">
        <v>79</v>
      </c>
      <c r="B53" s="10" t="s">
        <v>80</v>
      </c>
      <c r="C53" s="10"/>
      <c r="D53" s="10"/>
    </row>
    <row r="54" customFormat="false" ht="15" hidden="false" customHeight="true" outlineLevel="0" collapsed="false">
      <c r="A54" s="5" t="s">
        <v>81</v>
      </c>
      <c r="B54" s="14" t="s">
        <v>82</v>
      </c>
      <c r="C54" s="14"/>
      <c r="D54" s="14"/>
    </row>
    <row r="55" customFormat="false" ht="15" hidden="false" customHeight="true" outlineLevel="0" collapsed="false">
      <c r="A55" s="5" t="s">
        <v>83</v>
      </c>
      <c r="B55" s="10" t="s">
        <v>84</v>
      </c>
      <c r="C55" s="10"/>
      <c r="D55" s="10"/>
    </row>
    <row r="56" customFormat="false" ht="15" hidden="false" customHeight="true" outlineLevel="0" collapsed="false">
      <c r="A56" s="5" t="s">
        <v>85</v>
      </c>
      <c r="B56" s="10" t="s">
        <v>86</v>
      </c>
      <c r="C56" s="10"/>
      <c r="D56" s="10"/>
    </row>
    <row r="57" customFormat="false" ht="15" hidden="false" customHeight="true" outlineLevel="0" collapsed="false">
      <c r="A57" s="5" t="s">
        <v>87</v>
      </c>
      <c r="B57" s="14" t="s">
        <v>88</v>
      </c>
      <c r="C57" s="14"/>
      <c r="D57" s="14"/>
    </row>
    <row r="58" customFormat="false" ht="15" hidden="false" customHeight="true" outlineLevel="0" collapsed="false">
      <c r="A58" s="5" t="s">
        <v>89</v>
      </c>
      <c r="B58" s="10" t="s">
        <v>90</v>
      </c>
      <c r="C58" s="10"/>
      <c r="D58" s="10"/>
    </row>
    <row r="59" customFormat="false" ht="15" hidden="false" customHeight="true" outlineLevel="0" collapsed="false">
      <c r="A59" s="5" t="s">
        <v>91</v>
      </c>
      <c r="B59" s="10" t="s">
        <v>92</v>
      </c>
      <c r="C59" s="10"/>
      <c r="D59" s="10"/>
    </row>
    <row r="61" customFormat="false" ht="15" hidden="false" customHeight="false" outlineLevel="0" collapsed="false">
      <c r="A61" s="15" t="s">
        <v>93</v>
      </c>
    </row>
    <row r="62" customFormat="false" ht="15" hidden="false" customHeight="false" outlineLevel="0" collapsed="false">
      <c r="A62" s="7" t="s">
        <v>94</v>
      </c>
    </row>
  </sheetData>
  <mergeCells count="26">
    <mergeCell ref="B16:D16"/>
    <mergeCell ref="B17:D17"/>
    <mergeCell ref="B18:D18"/>
    <mergeCell ref="B19:D19"/>
    <mergeCell ref="B20:D20"/>
    <mergeCell ref="B21:D21"/>
    <mergeCell ref="B22:D22"/>
    <mergeCell ref="B39:D39"/>
    <mergeCell ref="B40:D40"/>
    <mergeCell ref="B41:D41"/>
    <mergeCell ref="B42:D42"/>
    <mergeCell ref="B43:D43"/>
    <mergeCell ref="B44:D44"/>
    <mergeCell ref="B45:D45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</cols>
  <sheetData>
    <row r="1" customFormat="false" ht="30" hidden="false" customHeight="true" outlineLevel="0" collapsed="false">
      <c r="A1" s="16" t="s">
        <v>95</v>
      </c>
      <c r="B1" s="17" t="s">
        <v>96</v>
      </c>
      <c r="C1" s="16" t="s">
        <v>97</v>
      </c>
      <c r="D1" s="16" t="s">
        <v>98</v>
      </c>
      <c r="E1" s="16" t="s">
        <v>99</v>
      </c>
      <c r="F1" s="16" t="s">
        <v>100</v>
      </c>
      <c r="G1" s="16" t="s">
        <v>101</v>
      </c>
      <c r="H1" s="16" t="s">
        <v>102</v>
      </c>
      <c r="I1" s="16" t="s">
        <v>103</v>
      </c>
      <c r="J1" s="16" t="s">
        <v>104</v>
      </c>
      <c r="K1" s="16" t="s">
        <v>105</v>
      </c>
      <c r="L1" s="16" t="s">
        <v>106</v>
      </c>
      <c r="M1" s="16" t="s">
        <v>107</v>
      </c>
      <c r="N1" s="16" t="s">
        <v>108</v>
      </c>
      <c r="O1" s="16" t="s">
        <v>109</v>
      </c>
      <c r="P1" s="16" t="s">
        <v>110</v>
      </c>
      <c r="Q1" s="16" t="s">
        <v>111</v>
      </c>
      <c r="R1" s="16" t="s">
        <v>112</v>
      </c>
      <c r="S1" s="16" t="s">
        <v>113</v>
      </c>
      <c r="T1" s="16" t="s">
        <v>114</v>
      </c>
      <c r="U1" s="16" t="s">
        <v>115</v>
      </c>
      <c r="V1" s="16" t="s">
        <v>116</v>
      </c>
      <c r="W1" s="16" t="s">
        <v>117</v>
      </c>
      <c r="X1" s="16" t="s">
        <v>118</v>
      </c>
      <c r="Y1" s="16" t="s">
        <v>119</v>
      </c>
      <c r="Z1" s="16" t="s">
        <v>120</v>
      </c>
      <c r="AA1" s="16" t="s">
        <v>121</v>
      </c>
      <c r="AB1" s="16" t="s">
        <v>122</v>
      </c>
      <c r="AC1" s="16" t="s">
        <v>123</v>
      </c>
      <c r="AD1" s="16" t="s">
        <v>124</v>
      </c>
    </row>
    <row r="2" customFormat="false" ht="26.85" hidden="false" customHeight="false" outlineLevel="0" collapsed="false">
      <c r="A2" s="18" t="n">
        <v>1</v>
      </c>
      <c r="B2" s="18" t="s">
        <v>125</v>
      </c>
      <c r="C2" s="19" t="n">
        <v>1</v>
      </c>
      <c r="D2" s="20" t="s">
        <v>126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127</v>
      </c>
      <c r="H2" s="18" t="s">
        <v>128</v>
      </c>
      <c r="I2" s="21" t="s">
        <v>129</v>
      </c>
      <c r="J2" s="22" t="s">
        <v>130</v>
      </c>
      <c r="K2" s="23" t="s">
        <v>131</v>
      </c>
      <c r="L2" s="24" t="s">
        <v>132</v>
      </c>
      <c r="M2" s="24" t="s">
        <v>133</v>
      </c>
      <c r="N2" s="23" t="s">
        <v>134</v>
      </c>
      <c r="O2" s="24" t="s">
        <v>135</v>
      </c>
      <c r="P2" s="24" t="s">
        <v>136</v>
      </c>
      <c r="Q2" s="24" t="s">
        <v>137</v>
      </c>
      <c r="R2" s="25" t="s">
        <v>138</v>
      </c>
      <c r="S2" s="24" t="s">
        <v>139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140</v>
      </c>
      <c r="Y2" s="23" t="s">
        <v>140</v>
      </c>
      <c r="Z2" s="23" t="s">
        <v>140</v>
      </c>
      <c r="AA2" s="23" t="s">
        <v>140</v>
      </c>
      <c r="AB2" s="24"/>
      <c r="AC2" s="23" t="str">
        <f aca="false">D2&amp;"#"&amp;E2</f>
        <v>구약#1</v>
      </c>
      <c r="AD2" s="23" t="n">
        <f aca="false">COUNTIFS($C$2:C2,C2,$D$2:D2,D2)</f>
        <v>1</v>
      </c>
    </row>
    <row r="3" customFormat="false" ht="26.85" hidden="false" customHeight="false" outlineLevel="0" collapsed="false">
      <c r="A3" s="21" t="n">
        <v>2</v>
      </c>
      <c r="B3" s="18" t="s">
        <v>141</v>
      </c>
      <c r="C3" s="20" t="n">
        <v>1</v>
      </c>
      <c r="D3" s="20" t="s">
        <v>126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127</v>
      </c>
      <c r="H3" s="18" t="s">
        <v>128</v>
      </c>
      <c r="I3" s="21" t="s">
        <v>129</v>
      </c>
      <c r="J3" s="22" t="s">
        <v>142</v>
      </c>
      <c r="K3" s="23" t="s">
        <v>131</v>
      </c>
      <c r="L3" s="24" t="s">
        <v>143</v>
      </c>
      <c r="M3" s="24" t="s">
        <v>144</v>
      </c>
      <c r="N3" s="23" t="s">
        <v>145</v>
      </c>
      <c r="O3" s="24" t="s">
        <v>146</v>
      </c>
      <c r="P3" s="24" t="s">
        <v>147</v>
      </c>
      <c r="Q3" s="24" t="s">
        <v>148</v>
      </c>
      <c r="R3" s="25" t="s">
        <v>149</v>
      </c>
      <c r="S3" s="24" t="s">
        <v>139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140</v>
      </c>
      <c r="Y3" s="23" t="s">
        <v>140</v>
      </c>
      <c r="Z3" s="23" t="s">
        <v>140</v>
      </c>
      <c r="AA3" s="23" t="s">
        <v>140</v>
      </c>
      <c r="AB3" s="24"/>
      <c r="AC3" s="23" t="str">
        <f aca="false">D3&amp;"#"&amp;E3</f>
        <v>구약#2</v>
      </c>
      <c r="AD3" s="23" t="n">
        <f aca="false">COUNTIFS($C$2:C3,C3,$D$2:D3,D3)</f>
        <v>2</v>
      </c>
    </row>
    <row r="4" customFormat="false" ht="26.85" hidden="false" customHeight="false" outlineLevel="0" collapsed="false">
      <c r="A4" s="21" t="n">
        <v>3</v>
      </c>
      <c r="B4" s="18" t="s">
        <v>150</v>
      </c>
      <c r="C4" s="20" t="n">
        <v>1</v>
      </c>
      <c r="D4" s="20" t="s">
        <v>126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127</v>
      </c>
      <c r="H4" s="18" t="s">
        <v>128</v>
      </c>
      <c r="I4" s="21" t="s">
        <v>129</v>
      </c>
      <c r="J4" s="22" t="s">
        <v>151</v>
      </c>
      <c r="K4" s="23" t="s">
        <v>131</v>
      </c>
      <c r="L4" s="24" t="s">
        <v>152</v>
      </c>
      <c r="M4" s="24" t="s">
        <v>153</v>
      </c>
      <c r="N4" s="23" t="s">
        <v>154</v>
      </c>
      <c r="O4" s="24" t="s">
        <v>155</v>
      </c>
      <c r="P4" s="24" t="s">
        <v>147</v>
      </c>
      <c r="Q4" s="24" t="s">
        <v>156</v>
      </c>
      <c r="R4" s="24"/>
      <c r="S4" s="24" t="s">
        <v>139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140</v>
      </c>
      <c r="Y4" s="23" t="s">
        <v>140</v>
      </c>
      <c r="Z4" s="23" t="s">
        <v>140</v>
      </c>
      <c r="AA4" s="23" t="s">
        <v>140</v>
      </c>
      <c r="AB4" s="24"/>
      <c r="AC4" s="23" t="str">
        <f aca="false">D4&amp;"#"&amp;E4</f>
        <v>구약#3</v>
      </c>
      <c r="AD4" s="23" t="n">
        <f aca="false">COUNTIFS($C$2:C4,C4,$D$2:D4,D4)</f>
        <v>3</v>
      </c>
    </row>
    <row r="5" customFormat="false" ht="26.85" hidden="false" customHeight="false" outlineLevel="0" collapsed="false">
      <c r="A5" s="21" t="n">
        <v>4</v>
      </c>
      <c r="B5" s="18" t="s">
        <v>157</v>
      </c>
      <c r="C5" s="20" t="n">
        <v>1</v>
      </c>
      <c r="D5" s="20" t="s">
        <v>126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127</v>
      </c>
      <c r="H5" s="18" t="s">
        <v>128</v>
      </c>
      <c r="I5" s="21" t="s">
        <v>129</v>
      </c>
      <c r="J5" s="22" t="s">
        <v>158</v>
      </c>
      <c r="K5" s="23" t="s">
        <v>131</v>
      </c>
      <c r="L5" s="24" t="s">
        <v>159</v>
      </c>
      <c r="M5" s="24" t="s">
        <v>160</v>
      </c>
      <c r="N5" s="23" t="s">
        <v>161</v>
      </c>
      <c r="O5" s="24" t="s">
        <v>162</v>
      </c>
      <c r="P5" s="24" t="s">
        <v>163</v>
      </c>
      <c r="Q5" s="24" t="s">
        <v>164</v>
      </c>
      <c r="R5" s="25" t="s">
        <v>165</v>
      </c>
      <c r="S5" s="24" t="s">
        <v>139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140</v>
      </c>
      <c r="Y5" s="23" t="s">
        <v>140</v>
      </c>
      <c r="Z5" s="23" t="s">
        <v>140</v>
      </c>
      <c r="AA5" s="23" t="s">
        <v>140</v>
      </c>
      <c r="AB5" s="24"/>
      <c r="AC5" s="23" t="str">
        <f aca="false">D5&amp;"#"&amp;E5</f>
        <v>구약#4</v>
      </c>
      <c r="AD5" s="23" t="n">
        <f aca="false">COUNTIFS($C$2:C5,C5,$D$2:D5,D5)</f>
        <v>4</v>
      </c>
    </row>
    <row r="6" customFormat="false" ht="26.85" hidden="false" customHeight="false" outlineLevel="0" collapsed="false">
      <c r="A6" s="21" t="n">
        <v>5</v>
      </c>
      <c r="B6" s="18" t="s">
        <v>166</v>
      </c>
      <c r="C6" s="20" t="n">
        <v>1</v>
      </c>
      <c r="D6" s="20" t="s">
        <v>126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127</v>
      </c>
      <c r="H6" s="18" t="s">
        <v>128</v>
      </c>
      <c r="I6" s="21" t="s">
        <v>129</v>
      </c>
      <c r="J6" s="22" t="s">
        <v>167</v>
      </c>
      <c r="K6" s="23" t="s">
        <v>131</v>
      </c>
      <c r="L6" s="24" t="s">
        <v>168</v>
      </c>
      <c r="M6" s="24" t="s">
        <v>169</v>
      </c>
      <c r="N6" s="23" t="s">
        <v>170</v>
      </c>
      <c r="O6" s="24" t="s">
        <v>171</v>
      </c>
      <c r="P6" s="24" t="s">
        <v>172</v>
      </c>
      <c r="Q6" s="24" t="s">
        <v>173</v>
      </c>
      <c r="R6" s="25" t="s">
        <v>174</v>
      </c>
      <c r="S6" s="24" t="s">
        <v>139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140</v>
      </c>
      <c r="Y6" s="23" t="s">
        <v>140</v>
      </c>
      <c r="Z6" s="23" t="s">
        <v>140</v>
      </c>
      <c r="AA6" s="23" t="s">
        <v>140</v>
      </c>
      <c r="AB6" s="24"/>
      <c r="AC6" s="23" t="str">
        <f aca="false">D6&amp;"#"&amp;E6</f>
        <v>구약#5</v>
      </c>
      <c r="AD6" s="23" t="n">
        <f aca="false">COUNTIFS($C$2:C6,C6,$D$2:D6,D6)</f>
        <v>5</v>
      </c>
    </row>
    <row r="7" customFormat="false" ht="26.85" hidden="false" customHeight="false" outlineLevel="0" collapsed="false">
      <c r="A7" s="21" t="n">
        <v>6</v>
      </c>
      <c r="B7" s="18" t="s">
        <v>175</v>
      </c>
      <c r="C7" s="20" t="n">
        <v>1</v>
      </c>
      <c r="D7" s="20" t="s">
        <v>126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127</v>
      </c>
      <c r="H7" s="18" t="s">
        <v>128</v>
      </c>
      <c r="I7" s="21" t="s">
        <v>129</v>
      </c>
      <c r="J7" s="22" t="s">
        <v>176</v>
      </c>
      <c r="K7" s="23" t="s">
        <v>131</v>
      </c>
      <c r="L7" s="24" t="s">
        <v>177</v>
      </c>
      <c r="M7" s="24" t="s">
        <v>178</v>
      </c>
      <c r="N7" s="23" t="s">
        <v>179</v>
      </c>
      <c r="O7" s="24" t="s">
        <v>180</v>
      </c>
      <c r="P7" s="24" t="s">
        <v>163</v>
      </c>
      <c r="Q7" s="24" t="s">
        <v>181</v>
      </c>
      <c r="R7" s="24"/>
      <c r="S7" s="24" t="s">
        <v>139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140</v>
      </c>
      <c r="Y7" s="23" t="s">
        <v>140</v>
      </c>
      <c r="Z7" s="23" t="s">
        <v>140</v>
      </c>
      <c r="AA7" s="23" t="s">
        <v>140</v>
      </c>
      <c r="AB7" s="24"/>
      <c r="AC7" s="23" t="str">
        <f aca="false">D7&amp;"#"&amp;E7</f>
        <v>구약#6</v>
      </c>
      <c r="AD7" s="23" t="n">
        <f aca="false">COUNTIFS($C$2:C7,C7,$D$2:D7,D7)</f>
        <v>6</v>
      </c>
    </row>
    <row r="8" customFormat="false" ht="26.85" hidden="false" customHeight="false" outlineLevel="0" collapsed="false">
      <c r="A8" s="21" t="n">
        <v>7</v>
      </c>
      <c r="B8" s="18" t="s">
        <v>182</v>
      </c>
      <c r="C8" s="20" t="n">
        <v>1</v>
      </c>
      <c r="D8" s="20" t="s">
        <v>126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127</v>
      </c>
      <c r="H8" s="18" t="s">
        <v>128</v>
      </c>
      <c r="I8" s="21" t="s">
        <v>129</v>
      </c>
      <c r="J8" s="22" t="s">
        <v>183</v>
      </c>
      <c r="K8" s="23" t="s">
        <v>131</v>
      </c>
      <c r="L8" s="24" t="s">
        <v>184</v>
      </c>
      <c r="M8" s="24" t="s">
        <v>185</v>
      </c>
      <c r="N8" s="23" t="s">
        <v>186</v>
      </c>
      <c r="O8" s="24" t="s">
        <v>187</v>
      </c>
      <c r="P8" s="24" t="s">
        <v>188</v>
      </c>
      <c r="Q8" s="24" t="s">
        <v>189</v>
      </c>
      <c r="R8" s="25" t="s">
        <v>190</v>
      </c>
      <c r="S8" s="24" t="s">
        <v>139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140</v>
      </c>
      <c r="Y8" s="23" t="s">
        <v>140</v>
      </c>
      <c r="Z8" s="23" t="s">
        <v>140</v>
      </c>
      <c r="AA8" s="23" t="s">
        <v>140</v>
      </c>
      <c r="AB8" s="24"/>
      <c r="AC8" s="23" t="str">
        <f aca="false">D8&amp;"#"&amp;E8</f>
        <v>구약#7</v>
      </c>
      <c r="AD8" s="23" t="n">
        <f aca="false">COUNTIFS($C$2:C8,C8,$D$2:D8,D8)</f>
        <v>7</v>
      </c>
    </row>
    <row r="9" customFormat="false" ht="26.85" hidden="false" customHeight="false" outlineLevel="0" collapsed="false">
      <c r="A9" s="21" t="n">
        <v>8</v>
      </c>
      <c r="B9" s="18" t="s">
        <v>191</v>
      </c>
      <c r="C9" s="20" t="n">
        <v>1</v>
      </c>
      <c r="D9" s="20" t="s">
        <v>126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127</v>
      </c>
      <c r="H9" s="18" t="s">
        <v>128</v>
      </c>
      <c r="I9" s="21" t="s">
        <v>129</v>
      </c>
      <c r="J9" s="22" t="s">
        <v>192</v>
      </c>
      <c r="K9" s="23" t="s">
        <v>131</v>
      </c>
      <c r="L9" s="24" t="s">
        <v>193</v>
      </c>
      <c r="M9" s="24" t="s">
        <v>194</v>
      </c>
      <c r="N9" s="23" t="s">
        <v>195</v>
      </c>
      <c r="O9" s="24" t="s">
        <v>196</v>
      </c>
      <c r="P9" s="24" t="s">
        <v>197</v>
      </c>
      <c r="Q9" s="24" t="s">
        <v>198</v>
      </c>
      <c r="R9" s="24"/>
      <c r="S9" s="24" t="s">
        <v>139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140</v>
      </c>
      <c r="Y9" s="23" t="s">
        <v>140</v>
      </c>
      <c r="Z9" s="23" t="s">
        <v>140</v>
      </c>
      <c r="AA9" s="23" t="s">
        <v>140</v>
      </c>
      <c r="AB9" s="24"/>
      <c r="AC9" s="23" t="str">
        <f aca="false">D9&amp;"#"&amp;E9</f>
        <v>구약#8</v>
      </c>
      <c r="AD9" s="23" t="n">
        <f aca="false">COUNTIFS($C$2:C9,C9,$D$2:D9,D9)</f>
        <v>8</v>
      </c>
    </row>
    <row r="10" customFormat="false" ht="26.85" hidden="false" customHeight="false" outlineLevel="0" collapsed="false">
      <c r="A10" s="21" t="n">
        <v>9</v>
      </c>
      <c r="B10" s="18" t="s">
        <v>199</v>
      </c>
      <c r="C10" s="20" t="n">
        <v>1</v>
      </c>
      <c r="D10" s="20" t="s">
        <v>126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127</v>
      </c>
      <c r="H10" s="18" t="s">
        <v>128</v>
      </c>
      <c r="I10" s="21" t="s">
        <v>129</v>
      </c>
      <c r="J10" s="22" t="s">
        <v>200</v>
      </c>
      <c r="K10" s="23" t="s">
        <v>131</v>
      </c>
      <c r="L10" s="24" t="s">
        <v>201</v>
      </c>
      <c r="M10" s="24" t="s">
        <v>202</v>
      </c>
      <c r="N10" s="23" t="s">
        <v>203</v>
      </c>
      <c r="O10" s="24" t="s">
        <v>204</v>
      </c>
      <c r="P10" s="24" t="s">
        <v>205</v>
      </c>
      <c r="Q10" s="24" t="s">
        <v>181</v>
      </c>
      <c r="R10" s="27" t="s">
        <v>206</v>
      </c>
      <c r="S10" s="24" t="s">
        <v>139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140</v>
      </c>
      <c r="Y10" s="23" t="s">
        <v>140</v>
      </c>
      <c r="Z10" s="23" t="s">
        <v>140</v>
      </c>
      <c r="AA10" s="23" t="s">
        <v>140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</row>
    <row r="11" customFormat="false" ht="26.85" hidden="false" customHeight="false" outlineLevel="0" collapsed="false">
      <c r="A11" s="21" t="n">
        <v>10</v>
      </c>
      <c r="B11" s="18" t="s">
        <v>207</v>
      </c>
      <c r="C11" s="20" t="n">
        <v>1</v>
      </c>
      <c r="D11" s="20" t="s">
        <v>126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127</v>
      </c>
      <c r="H11" s="18" t="s">
        <v>128</v>
      </c>
      <c r="I11" s="21" t="s">
        <v>129</v>
      </c>
      <c r="J11" s="22" t="s">
        <v>208</v>
      </c>
      <c r="K11" s="23" t="s">
        <v>131</v>
      </c>
      <c r="L11" s="24" t="s">
        <v>209</v>
      </c>
      <c r="M11" s="24" t="s">
        <v>210</v>
      </c>
      <c r="N11" s="23" t="s">
        <v>211</v>
      </c>
      <c r="O11" s="24" t="s">
        <v>212</v>
      </c>
      <c r="P11" s="24" t="s">
        <v>213</v>
      </c>
      <c r="Q11" s="24" t="s">
        <v>214</v>
      </c>
      <c r="R11" s="25" t="s">
        <v>215</v>
      </c>
      <c r="S11" s="24" t="s">
        <v>139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140</v>
      </c>
      <c r="Y11" s="23" t="s">
        <v>140</v>
      </c>
      <c r="Z11" s="23" t="s">
        <v>140</v>
      </c>
      <c r="AA11" s="23" t="s">
        <v>140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</row>
    <row r="12" customFormat="false" ht="26.85" hidden="false" customHeight="false" outlineLevel="0" collapsed="false">
      <c r="A12" s="21" t="n">
        <v>11</v>
      </c>
      <c r="B12" s="18" t="s">
        <v>216</v>
      </c>
      <c r="C12" s="20" t="n">
        <v>1</v>
      </c>
      <c r="D12" s="20" t="s">
        <v>126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217</v>
      </c>
      <c r="H12" s="18" t="s">
        <v>218</v>
      </c>
      <c r="I12" s="21" t="s">
        <v>129</v>
      </c>
      <c r="J12" s="22" t="s">
        <v>219</v>
      </c>
      <c r="K12" s="23" t="s">
        <v>131</v>
      </c>
      <c r="L12" s="24" t="s">
        <v>220</v>
      </c>
      <c r="M12" s="24" t="s">
        <v>221</v>
      </c>
      <c r="N12" s="23" t="s">
        <v>222</v>
      </c>
      <c r="O12" s="24" t="s">
        <v>223</v>
      </c>
      <c r="P12" s="24" t="s">
        <v>224</v>
      </c>
      <c r="Q12" s="24" t="s">
        <v>225</v>
      </c>
      <c r="R12" s="25" t="s">
        <v>226</v>
      </c>
      <c r="S12" s="24" t="s">
        <v>139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140</v>
      </c>
      <c r="Y12" s="23" t="s">
        <v>140</v>
      </c>
      <c r="Z12" s="23" t="s">
        <v>140</v>
      </c>
      <c r="AA12" s="23" t="s">
        <v>140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</row>
    <row r="13" customFormat="false" ht="25.35" hidden="false" customHeight="false" outlineLevel="0" collapsed="false">
      <c r="A13" s="21" t="n">
        <v>12</v>
      </c>
      <c r="B13" s="18" t="s">
        <v>227</v>
      </c>
      <c r="C13" s="23" t="n">
        <v>2</v>
      </c>
      <c r="D13" s="23" t="s">
        <v>126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217</v>
      </c>
      <c r="H13" s="18" t="s">
        <v>228</v>
      </c>
      <c r="I13" s="21" t="s">
        <v>129</v>
      </c>
      <c r="J13" s="22" t="s">
        <v>229</v>
      </c>
      <c r="K13" s="23" t="s">
        <v>131</v>
      </c>
      <c r="L13" s="24" t="s">
        <v>230</v>
      </c>
      <c r="M13" s="24" t="s">
        <v>231</v>
      </c>
      <c r="N13" s="23" t="s">
        <v>232</v>
      </c>
      <c r="O13" s="24" t="s">
        <v>233</v>
      </c>
      <c r="P13" s="24" t="s">
        <v>234</v>
      </c>
      <c r="Q13" s="24" t="s">
        <v>235</v>
      </c>
      <c r="R13" s="25" t="s">
        <v>236</v>
      </c>
      <c r="S13" s="24" t="s">
        <v>237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140</v>
      </c>
      <c r="Y13" s="23" t="s">
        <v>140</v>
      </c>
      <c r="Z13" s="23" t="s">
        <v>140</v>
      </c>
      <c r="AA13" s="23" t="s">
        <v>140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</row>
    <row r="14" customFormat="false" ht="26.85" hidden="false" customHeight="false" outlineLevel="0" collapsed="false">
      <c r="A14" s="21" t="n">
        <v>13</v>
      </c>
      <c r="B14" s="18" t="s">
        <v>238</v>
      </c>
      <c r="C14" s="23" t="n">
        <v>2</v>
      </c>
      <c r="D14" s="23" t="s">
        <v>126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217</v>
      </c>
      <c r="H14" s="18" t="s">
        <v>228</v>
      </c>
      <c r="I14" s="21" t="s">
        <v>129</v>
      </c>
      <c r="J14" s="22" t="s">
        <v>239</v>
      </c>
      <c r="K14" s="23" t="s">
        <v>131</v>
      </c>
      <c r="L14" s="24" t="s">
        <v>240</v>
      </c>
      <c r="M14" s="24" t="s">
        <v>241</v>
      </c>
      <c r="N14" s="23" t="s">
        <v>242</v>
      </c>
      <c r="O14" s="24" t="s">
        <v>243</v>
      </c>
      <c r="P14" s="24" t="s">
        <v>244</v>
      </c>
      <c r="Q14" s="24" t="s">
        <v>245</v>
      </c>
      <c r="R14" s="24"/>
      <c r="S14" s="24" t="s">
        <v>237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140</v>
      </c>
      <c r="Y14" s="23" t="s">
        <v>140</v>
      </c>
      <c r="Z14" s="23" t="s">
        <v>140</v>
      </c>
      <c r="AA14" s="23" t="s">
        <v>140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</row>
    <row r="15" customFormat="false" ht="39.55" hidden="false" customHeight="false" outlineLevel="0" collapsed="false">
      <c r="A15" s="21" t="n">
        <v>14</v>
      </c>
      <c r="B15" s="18" t="s">
        <v>246</v>
      </c>
      <c r="C15" s="20" t="n">
        <v>1</v>
      </c>
      <c r="D15" s="20" t="s">
        <v>126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217</v>
      </c>
      <c r="H15" s="18" t="s">
        <v>218</v>
      </c>
      <c r="I15" s="21" t="s">
        <v>129</v>
      </c>
      <c r="J15" s="22" t="s">
        <v>247</v>
      </c>
      <c r="K15" s="23" t="s">
        <v>131</v>
      </c>
      <c r="L15" s="24" t="s">
        <v>248</v>
      </c>
      <c r="M15" s="24" t="s">
        <v>249</v>
      </c>
      <c r="N15" s="23" t="s">
        <v>250</v>
      </c>
      <c r="O15" s="24" t="s">
        <v>251</v>
      </c>
      <c r="P15" s="24" t="s">
        <v>252</v>
      </c>
      <c r="Q15" s="24" t="s">
        <v>253</v>
      </c>
      <c r="R15" s="25" t="s">
        <v>254</v>
      </c>
      <c r="S15" s="28" t="s">
        <v>255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140</v>
      </c>
      <c r="Y15" s="23" t="s">
        <v>140</v>
      </c>
      <c r="Z15" s="23" t="s">
        <v>140</v>
      </c>
      <c r="AA15" s="23" t="s">
        <v>140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</row>
    <row r="16" customFormat="false" ht="26.85" hidden="false" customHeight="false" outlineLevel="0" collapsed="false">
      <c r="A16" s="21" t="n">
        <v>15</v>
      </c>
      <c r="B16" s="18" t="s">
        <v>256</v>
      </c>
      <c r="C16" s="20" t="n">
        <v>1</v>
      </c>
      <c r="D16" s="20" t="s">
        <v>126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217</v>
      </c>
      <c r="H16" s="18" t="s">
        <v>218</v>
      </c>
      <c r="I16" s="21" t="s">
        <v>129</v>
      </c>
      <c r="J16" s="22" t="s">
        <v>257</v>
      </c>
      <c r="K16" s="23" t="s">
        <v>131</v>
      </c>
      <c r="L16" s="24" t="s">
        <v>258</v>
      </c>
      <c r="M16" s="24" t="s">
        <v>259</v>
      </c>
      <c r="N16" s="23" t="s">
        <v>260</v>
      </c>
      <c r="O16" s="24" t="s">
        <v>261</v>
      </c>
      <c r="P16" s="24" t="s">
        <v>262</v>
      </c>
      <c r="Q16" s="24" t="s">
        <v>263</v>
      </c>
      <c r="R16" s="27" t="s">
        <v>264</v>
      </c>
      <c r="S16" s="24" t="s">
        <v>139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140</v>
      </c>
      <c r="Y16" s="23" t="s">
        <v>140</v>
      </c>
      <c r="Z16" s="23" t="s">
        <v>140</v>
      </c>
      <c r="AA16" s="23" t="s">
        <v>140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</row>
    <row r="17" customFormat="false" ht="26.85" hidden="false" customHeight="false" outlineLevel="0" collapsed="false">
      <c r="A17" s="21" t="n">
        <v>16</v>
      </c>
      <c r="B17" s="18" t="s">
        <v>265</v>
      </c>
      <c r="C17" s="20" t="n">
        <v>1</v>
      </c>
      <c r="D17" s="20" t="s">
        <v>126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217</v>
      </c>
      <c r="H17" s="18" t="s">
        <v>218</v>
      </c>
      <c r="I17" s="21" t="s">
        <v>129</v>
      </c>
      <c r="J17" s="22" t="s">
        <v>266</v>
      </c>
      <c r="K17" s="23" t="s">
        <v>131</v>
      </c>
      <c r="L17" s="24" t="s">
        <v>267</v>
      </c>
      <c r="M17" s="24" t="s">
        <v>268</v>
      </c>
      <c r="N17" s="23" t="s">
        <v>269</v>
      </c>
      <c r="O17" s="24" t="s">
        <v>270</v>
      </c>
      <c r="P17" s="24" t="s">
        <v>271</v>
      </c>
      <c r="Q17" s="24" t="s">
        <v>272</v>
      </c>
      <c r="R17" s="24"/>
      <c r="S17" s="24" t="s">
        <v>139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140</v>
      </c>
      <c r="Y17" s="23" t="s">
        <v>140</v>
      </c>
      <c r="Z17" s="23" t="s">
        <v>140</v>
      </c>
      <c r="AA17" s="23" t="s">
        <v>140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</row>
    <row r="18" customFormat="false" ht="26.85" hidden="false" customHeight="false" outlineLevel="0" collapsed="false">
      <c r="A18" s="21" t="n">
        <v>17</v>
      </c>
      <c r="B18" s="18" t="s">
        <v>273</v>
      </c>
      <c r="C18" s="20" t="n">
        <v>1</v>
      </c>
      <c r="D18" s="20" t="s">
        <v>126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217</v>
      </c>
      <c r="H18" s="18" t="s">
        <v>218</v>
      </c>
      <c r="I18" s="21" t="s">
        <v>129</v>
      </c>
      <c r="J18" s="22" t="s">
        <v>274</v>
      </c>
      <c r="K18" s="23" t="s">
        <v>131</v>
      </c>
      <c r="L18" s="24" t="s">
        <v>275</v>
      </c>
      <c r="M18" s="29" t="s">
        <v>276</v>
      </c>
      <c r="N18" s="23" t="s">
        <v>277</v>
      </c>
      <c r="O18" s="24" t="s">
        <v>278</v>
      </c>
      <c r="P18" s="24" t="s">
        <v>279</v>
      </c>
      <c r="Q18" s="24" t="s">
        <v>280</v>
      </c>
      <c r="R18" s="25" t="s">
        <v>281</v>
      </c>
      <c r="S18" s="24" t="s">
        <v>139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140</v>
      </c>
      <c r="Y18" s="23" t="s">
        <v>140</v>
      </c>
      <c r="Z18" s="23" t="s">
        <v>140</v>
      </c>
      <c r="AA18" s="23" t="s">
        <v>140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</row>
    <row r="19" customFormat="false" ht="25.35" hidden="false" customHeight="false" outlineLevel="0" collapsed="false">
      <c r="A19" s="21" t="n">
        <v>18</v>
      </c>
      <c r="B19" s="18" t="s">
        <v>282</v>
      </c>
      <c r="C19" s="20" t="n">
        <v>1</v>
      </c>
      <c r="D19" s="20" t="s">
        <v>126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217</v>
      </c>
      <c r="H19" s="18" t="s">
        <v>218</v>
      </c>
      <c r="I19" s="21" t="s">
        <v>129</v>
      </c>
      <c r="J19" s="22" t="s">
        <v>283</v>
      </c>
      <c r="K19" s="23" t="s">
        <v>131</v>
      </c>
      <c r="L19" s="24" t="s">
        <v>284</v>
      </c>
      <c r="M19" s="24" t="s">
        <v>285</v>
      </c>
      <c r="N19" s="23" t="s">
        <v>286</v>
      </c>
      <c r="O19" s="24" t="s">
        <v>287</v>
      </c>
      <c r="P19" s="24" t="s">
        <v>288</v>
      </c>
      <c r="Q19" s="24" t="s">
        <v>289</v>
      </c>
      <c r="R19" s="24"/>
      <c r="S19" s="24" t="s">
        <v>139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140</v>
      </c>
      <c r="Y19" s="23" t="s">
        <v>140</v>
      </c>
      <c r="Z19" s="23" t="s">
        <v>140</v>
      </c>
      <c r="AA19" s="23" t="s">
        <v>140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</row>
    <row r="20" customFormat="false" ht="26.85" hidden="false" customHeight="false" outlineLevel="0" collapsed="false">
      <c r="A20" s="21" t="n">
        <v>19</v>
      </c>
      <c r="B20" s="18" t="s">
        <v>290</v>
      </c>
      <c r="C20" s="20" t="n">
        <v>1</v>
      </c>
      <c r="D20" s="20" t="s">
        <v>126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217</v>
      </c>
      <c r="H20" s="18" t="s">
        <v>218</v>
      </c>
      <c r="I20" s="21" t="s">
        <v>129</v>
      </c>
      <c r="J20" s="22" t="s">
        <v>291</v>
      </c>
      <c r="K20" s="23" t="s">
        <v>131</v>
      </c>
      <c r="L20" s="24" t="s">
        <v>292</v>
      </c>
      <c r="M20" s="24" t="s">
        <v>293</v>
      </c>
      <c r="N20" s="23" t="s">
        <v>294</v>
      </c>
      <c r="O20" s="24" t="s">
        <v>295</v>
      </c>
      <c r="P20" s="24" t="s">
        <v>296</v>
      </c>
      <c r="Q20" s="24" t="s">
        <v>297</v>
      </c>
      <c r="R20" s="25" t="s">
        <v>298</v>
      </c>
      <c r="S20" s="24" t="s">
        <v>139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140</v>
      </c>
      <c r="Y20" s="23" t="s">
        <v>140</v>
      </c>
      <c r="Z20" s="23" t="s">
        <v>140</v>
      </c>
      <c r="AA20" s="23" t="s">
        <v>140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</row>
    <row r="21" customFormat="false" ht="25.35" hidden="false" customHeight="false" outlineLevel="0" collapsed="false">
      <c r="A21" s="21" t="n">
        <v>20</v>
      </c>
      <c r="B21" s="18" t="s">
        <v>299</v>
      </c>
      <c r="C21" s="23" t="n">
        <v>2</v>
      </c>
      <c r="D21" s="23" t="s">
        <v>126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217</v>
      </c>
      <c r="H21" s="18" t="s">
        <v>228</v>
      </c>
      <c r="I21" s="21" t="s">
        <v>129</v>
      </c>
      <c r="J21" s="22" t="s">
        <v>300</v>
      </c>
      <c r="K21" s="23" t="s">
        <v>131</v>
      </c>
      <c r="L21" s="24" t="s">
        <v>301</v>
      </c>
      <c r="M21" s="24" t="s">
        <v>302</v>
      </c>
      <c r="N21" s="23" t="s">
        <v>303</v>
      </c>
      <c r="O21" s="24" t="s">
        <v>304</v>
      </c>
      <c r="P21" s="24" t="s">
        <v>271</v>
      </c>
      <c r="Q21" s="24" t="s">
        <v>305</v>
      </c>
      <c r="R21" s="25" t="s">
        <v>306</v>
      </c>
      <c r="S21" s="24" t="s">
        <v>307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140</v>
      </c>
      <c r="Y21" s="23" t="s">
        <v>140</v>
      </c>
      <c r="Z21" s="23" t="s">
        <v>140</v>
      </c>
      <c r="AA21" s="23" t="s">
        <v>140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</row>
    <row r="22" customFormat="false" ht="15" hidden="false" customHeight="false" outlineLevel="0" collapsed="false">
      <c r="A22" s="21" t="n">
        <v>21</v>
      </c>
      <c r="B22" s="18" t="s">
        <v>308</v>
      </c>
      <c r="C22" s="23" t="n">
        <v>2</v>
      </c>
      <c r="D22" s="23" t="s">
        <v>126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217</v>
      </c>
      <c r="H22" s="18" t="s">
        <v>228</v>
      </c>
      <c r="I22" s="21" t="s">
        <v>129</v>
      </c>
      <c r="J22" s="22" t="s">
        <v>309</v>
      </c>
      <c r="K22" s="23" t="s">
        <v>131</v>
      </c>
      <c r="L22" s="24" t="s">
        <v>310</v>
      </c>
      <c r="M22" s="24" t="s">
        <v>311</v>
      </c>
      <c r="N22" s="23" t="s">
        <v>312</v>
      </c>
      <c r="O22" s="24" t="s">
        <v>313</v>
      </c>
      <c r="P22" s="24" t="s">
        <v>314</v>
      </c>
      <c r="Q22" s="24" t="s">
        <v>315</v>
      </c>
      <c r="R22" s="24"/>
      <c r="S22" s="24" t="s">
        <v>307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140</v>
      </c>
      <c r="Y22" s="23" t="s">
        <v>140</v>
      </c>
      <c r="Z22" s="23" t="s">
        <v>140</v>
      </c>
      <c r="AA22" s="23" t="s">
        <v>140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</row>
    <row r="23" customFormat="false" ht="39.55" hidden="false" customHeight="false" outlineLevel="0" collapsed="false">
      <c r="A23" s="21" t="n">
        <v>22</v>
      </c>
      <c r="B23" s="18" t="s">
        <v>316</v>
      </c>
      <c r="C23" s="20" t="n">
        <v>1</v>
      </c>
      <c r="D23" s="20" t="s">
        <v>126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217</v>
      </c>
      <c r="H23" s="18" t="s">
        <v>218</v>
      </c>
      <c r="I23" s="21" t="s">
        <v>129</v>
      </c>
      <c r="J23" s="22" t="s">
        <v>317</v>
      </c>
      <c r="K23" s="23" t="s">
        <v>131</v>
      </c>
      <c r="L23" s="24" t="s">
        <v>318</v>
      </c>
      <c r="M23" s="24" t="s">
        <v>319</v>
      </c>
      <c r="N23" s="23" t="s">
        <v>320</v>
      </c>
      <c r="O23" s="24" t="s">
        <v>321</v>
      </c>
      <c r="P23" s="24" t="s">
        <v>322</v>
      </c>
      <c r="Q23" s="24" t="s">
        <v>323</v>
      </c>
      <c r="R23" s="24"/>
      <c r="S23" s="28" t="s">
        <v>324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140</v>
      </c>
      <c r="Y23" s="23" t="s">
        <v>140</v>
      </c>
      <c r="Z23" s="23" t="s">
        <v>140</v>
      </c>
      <c r="AA23" s="23" t="s">
        <v>140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</row>
    <row r="24" customFormat="false" ht="26.85" hidden="false" customHeight="false" outlineLevel="0" collapsed="false">
      <c r="A24" s="21" t="n">
        <v>23</v>
      </c>
      <c r="B24" s="18" t="s">
        <v>325</v>
      </c>
      <c r="C24" s="23" t="n">
        <v>2</v>
      </c>
      <c r="D24" s="23" t="s">
        <v>126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217</v>
      </c>
      <c r="H24" s="18" t="s">
        <v>228</v>
      </c>
      <c r="I24" s="21" t="s">
        <v>129</v>
      </c>
      <c r="J24" s="22" t="s">
        <v>326</v>
      </c>
      <c r="K24" s="23" t="s">
        <v>131</v>
      </c>
      <c r="L24" s="24" t="s">
        <v>327</v>
      </c>
      <c r="M24" s="24" t="s">
        <v>328</v>
      </c>
      <c r="N24" s="23" t="s">
        <v>329</v>
      </c>
      <c r="O24" s="24" t="s">
        <v>330</v>
      </c>
      <c r="P24" s="24" t="s">
        <v>331</v>
      </c>
      <c r="Q24" s="24" t="s">
        <v>332</v>
      </c>
      <c r="R24" s="24"/>
      <c r="S24" s="24" t="s">
        <v>333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140</v>
      </c>
      <c r="Y24" s="23" t="s">
        <v>140</v>
      </c>
      <c r="Z24" s="23" t="s">
        <v>140</v>
      </c>
      <c r="AA24" s="23" t="s">
        <v>140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</row>
    <row r="25" customFormat="false" ht="26.85" hidden="false" customHeight="false" outlineLevel="0" collapsed="false">
      <c r="A25" s="21" t="n">
        <v>24</v>
      </c>
      <c r="B25" s="18" t="s">
        <v>334</v>
      </c>
      <c r="C25" s="20" t="n">
        <v>1</v>
      </c>
      <c r="D25" s="20" t="s">
        <v>126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335</v>
      </c>
      <c r="H25" s="18" t="s">
        <v>336</v>
      </c>
      <c r="I25" s="21" t="s">
        <v>129</v>
      </c>
      <c r="J25" s="22" t="s">
        <v>337</v>
      </c>
      <c r="K25" s="23" t="s">
        <v>131</v>
      </c>
      <c r="L25" s="24" t="s">
        <v>338</v>
      </c>
      <c r="M25" s="29" t="s">
        <v>339</v>
      </c>
      <c r="N25" s="23" t="s">
        <v>340</v>
      </c>
      <c r="O25" s="24" t="s">
        <v>341</v>
      </c>
      <c r="P25" s="24" t="s">
        <v>342</v>
      </c>
      <c r="Q25" s="24" t="s">
        <v>343</v>
      </c>
      <c r="R25" s="24"/>
      <c r="S25" s="28" t="s">
        <v>344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140</v>
      </c>
      <c r="Y25" s="23" t="s">
        <v>140</v>
      </c>
      <c r="Z25" s="23" t="s">
        <v>140</v>
      </c>
      <c r="AA25" s="23" t="s">
        <v>140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</row>
    <row r="26" customFormat="false" ht="26.85" hidden="false" customHeight="false" outlineLevel="0" collapsed="false">
      <c r="A26" s="21" t="n">
        <v>25</v>
      </c>
      <c r="B26" s="18" t="s">
        <v>345</v>
      </c>
      <c r="C26" s="23" t="n">
        <v>2</v>
      </c>
      <c r="D26" s="23" t="s">
        <v>126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335</v>
      </c>
      <c r="H26" s="18" t="s">
        <v>228</v>
      </c>
      <c r="I26" s="21" t="s">
        <v>129</v>
      </c>
      <c r="J26" s="22" t="s">
        <v>346</v>
      </c>
      <c r="K26" s="23" t="s">
        <v>131</v>
      </c>
      <c r="L26" s="24" t="s">
        <v>347</v>
      </c>
      <c r="M26" s="24" t="s">
        <v>348</v>
      </c>
      <c r="N26" s="23" t="s">
        <v>349</v>
      </c>
      <c r="O26" s="24" t="s">
        <v>350</v>
      </c>
      <c r="P26" s="24" t="s">
        <v>351</v>
      </c>
      <c r="Q26" s="24" t="s">
        <v>352</v>
      </c>
      <c r="R26" s="24"/>
      <c r="S26" s="24" t="s">
        <v>353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140</v>
      </c>
      <c r="Y26" s="23" t="s">
        <v>140</v>
      </c>
      <c r="Z26" s="23" t="s">
        <v>140</v>
      </c>
      <c r="AA26" s="23" t="s">
        <v>140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</row>
    <row r="27" customFormat="false" ht="26.85" hidden="false" customHeight="false" outlineLevel="0" collapsed="false">
      <c r="A27" s="21" t="n">
        <v>26</v>
      </c>
      <c r="B27" s="18" t="s">
        <v>354</v>
      </c>
      <c r="C27" s="23" t="n">
        <v>2</v>
      </c>
      <c r="D27" s="23" t="s">
        <v>126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335</v>
      </c>
      <c r="H27" s="18" t="s">
        <v>228</v>
      </c>
      <c r="I27" s="21" t="s">
        <v>129</v>
      </c>
      <c r="J27" s="22" t="s">
        <v>355</v>
      </c>
      <c r="K27" s="23" t="s">
        <v>131</v>
      </c>
      <c r="L27" s="24" t="s">
        <v>356</v>
      </c>
      <c r="M27" s="24" t="s">
        <v>357</v>
      </c>
      <c r="N27" s="23" t="s">
        <v>358</v>
      </c>
      <c r="O27" s="24" t="s">
        <v>359</v>
      </c>
      <c r="P27" s="24" t="s">
        <v>360</v>
      </c>
      <c r="Q27" s="24" t="s">
        <v>361</v>
      </c>
      <c r="R27" s="24"/>
      <c r="S27" s="24" t="s">
        <v>353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140</v>
      </c>
      <c r="Y27" s="23" t="s">
        <v>140</v>
      </c>
      <c r="Z27" s="23" t="s">
        <v>140</v>
      </c>
      <c r="AA27" s="23" t="s">
        <v>140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</row>
    <row r="28" customFormat="false" ht="26.85" hidden="false" customHeight="false" outlineLevel="0" collapsed="false">
      <c r="A28" s="21" t="n">
        <v>27</v>
      </c>
      <c r="B28" s="18" t="s">
        <v>362</v>
      </c>
      <c r="C28" s="23" t="n">
        <v>2</v>
      </c>
      <c r="D28" s="23" t="s">
        <v>126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335</v>
      </c>
      <c r="H28" s="18" t="s">
        <v>228</v>
      </c>
      <c r="I28" s="21" t="s">
        <v>129</v>
      </c>
      <c r="J28" s="22" t="s">
        <v>363</v>
      </c>
      <c r="K28" s="23" t="s">
        <v>131</v>
      </c>
      <c r="L28" s="24" t="s">
        <v>364</v>
      </c>
      <c r="M28" s="29" t="s">
        <v>365</v>
      </c>
      <c r="N28" s="23" t="s">
        <v>366</v>
      </c>
      <c r="O28" s="24" t="s">
        <v>367</v>
      </c>
      <c r="P28" s="24" t="s">
        <v>368</v>
      </c>
      <c r="Q28" s="24" t="s">
        <v>369</v>
      </c>
      <c r="R28" s="25" t="s">
        <v>370</v>
      </c>
      <c r="S28" s="24" t="s">
        <v>353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140</v>
      </c>
      <c r="Y28" s="23" t="s">
        <v>140</v>
      </c>
      <c r="Z28" s="23" t="s">
        <v>140</v>
      </c>
      <c r="AA28" s="23" t="s">
        <v>140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</row>
    <row r="29" customFormat="false" ht="52.2" hidden="false" customHeight="false" outlineLevel="0" collapsed="false">
      <c r="A29" s="21" t="n">
        <v>28</v>
      </c>
      <c r="B29" s="18" t="s">
        <v>371</v>
      </c>
      <c r="C29" s="20" t="n">
        <v>1</v>
      </c>
      <c r="D29" s="20" t="s">
        <v>126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335</v>
      </c>
      <c r="H29" s="18" t="s">
        <v>336</v>
      </c>
      <c r="I29" s="21" t="s">
        <v>129</v>
      </c>
      <c r="J29" s="22" t="s">
        <v>372</v>
      </c>
      <c r="K29" s="23" t="s">
        <v>131</v>
      </c>
      <c r="L29" s="24" t="s">
        <v>373</v>
      </c>
      <c r="M29" s="24" t="s">
        <v>374</v>
      </c>
      <c r="N29" s="23" t="s">
        <v>375</v>
      </c>
      <c r="O29" s="24" t="s">
        <v>376</v>
      </c>
      <c r="P29" s="24" t="s">
        <v>377</v>
      </c>
      <c r="Q29" s="24" t="s">
        <v>378</v>
      </c>
      <c r="R29" s="25" t="s">
        <v>379</v>
      </c>
      <c r="S29" s="28" t="s">
        <v>380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140</v>
      </c>
      <c r="Y29" s="23" t="s">
        <v>140</v>
      </c>
      <c r="Z29" s="23" t="s">
        <v>140</v>
      </c>
      <c r="AA29" s="23" t="s">
        <v>140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</row>
    <row r="30" customFormat="false" ht="26.85" hidden="false" customHeight="false" outlineLevel="0" collapsed="false">
      <c r="A30" s="21" t="n">
        <v>29</v>
      </c>
      <c r="B30" s="18" t="s">
        <v>381</v>
      </c>
      <c r="C30" s="23" t="n">
        <v>2</v>
      </c>
      <c r="D30" s="23" t="s">
        <v>126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335</v>
      </c>
      <c r="H30" s="18" t="s">
        <v>228</v>
      </c>
      <c r="I30" s="21" t="s">
        <v>129</v>
      </c>
      <c r="J30" s="22" t="s">
        <v>382</v>
      </c>
      <c r="K30" s="23" t="s">
        <v>131</v>
      </c>
      <c r="L30" s="24" t="s">
        <v>383</v>
      </c>
      <c r="M30" s="24" t="s">
        <v>384</v>
      </c>
      <c r="N30" s="23" t="s">
        <v>385</v>
      </c>
      <c r="O30" s="24" t="s">
        <v>386</v>
      </c>
      <c r="P30" s="24" t="s">
        <v>387</v>
      </c>
      <c r="Q30" s="24" t="s">
        <v>388</v>
      </c>
      <c r="R30" s="25" t="s">
        <v>389</v>
      </c>
      <c r="S30" s="24" t="s">
        <v>390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140</v>
      </c>
      <c r="Y30" s="23" t="s">
        <v>140</v>
      </c>
      <c r="Z30" s="23" t="s">
        <v>140</v>
      </c>
      <c r="AA30" s="23" t="s">
        <v>140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</row>
    <row r="31" customFormat="false" ht="26.85" hidden="false" customHeight="false" outlineLevel="0" collapsed="false">
      <c r="A31" s="21" t="n">
        <v>30</v>
      </c>
      <c r="B31" s="18" t="s">
        <v>391</v>
      </c>
      <c r="C31" s="23" t="n">
        <v>2</v>
      </c>
      <c r="D31" s="23" t="s">
        <v>126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335</v>
      </c>
      <c r="H31" s="18" t="s">
        <v>228</v>
      </c>
      <c r="I31" s="21" t="s">
        <v>129</v>
      </c>
      <c r="J31" s="22" t="s">
        <v>392</v>
      </c>
      <c r="K31" s="23" t="s">
        <v>131</v>
      </c>
      <c r="L31" s="24" t="s">
        <v>393</v>
      </c>
      <c r="M31" s="29" t="s">
        <v>394</v>
      </c>
      <c r="N31" s="23" t="s">
        <v>395</v>
      </c>
      <c r="O31" s="24" t="s">
        <v>396</v>
      </c>
      <c r="P31" s="24" t="s">
        <v>397</v>
      </c>
      <c r="Q31" s="24" t="s">
        <v>398</v>
      </c>
      <c r="R31" s="25" t="s">
        <v>399</v>
      </c>
      <c r="S31" s="24" t="s">
        <v>390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140</v>
      </c>
      <c r="Y31" s="23" t="s">
        <v>140</v>
      </c>
      <c r="Z31" s="23" t="s">
        <v>140</v>
      </c>
      <c r="AA31" s="23" t="s">
        <v>140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</row>
    <row r="32" customFormat="false" ht="39.55" hidden="false" customHeight="false" outlineLevel="0" collapsed="false">
      <c r="A32" s="21" t="n">
        <v>31</v>
      </c>
      <c r="B32" s="18" t="s">
        <v>400</v>
      </c>
      <c r="C32" s="20" t="n">
        <v>1</v>
      </c>
      <c r="D32" s="20" t="s">
        <v>126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401</v>
      </c>
      <c r="H32" s="18" t="s">
        <v>336</v>
      </c>
      <c r="I32" s="21" t="s">
        <v>129</v>
      </c>
      <c r="J32" s="22" t="s">
        <v>402</v>
      </c>
      <c r="K32" s="23" t="s">
        <v>131</v>
      </c>
      <c r="L32" s="24" t="s">
        <v>403</v>
      </c>
      <c r="M32" s="29" t="s">
        <v>404</v>
      </c>
      <c r="N32" s="23" t="s">
        <v>405</v>
      </c>
      <c r="O32" s="24" t="s">
        <v>406</v>
      </c>
      <c r="P32" s="24" t="s">
        <v>407</v>
      </c>
      <c r="Q32" s="24" t="s">
        <v>408</v>
      </c>
      <c r="R32" s="25" t="s">
        <v>409</v>
      </c>
      <c r="S32" s="28" t="s">
        <v>410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140</v>
      </c>
      <c r="Y32" s="23" t="s">
        <v>140</v>
      </c>
      <c r="Z32" s="23" t="s">
        <v>140</v>
      </c>
      <c r="AA32" s="23" t="s">
        <v>140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</row>
    <row r="33" customFormat="false" ht="26.85" hidden="false" customHeight="false" outlineLevel="0" collapsed="false">
      <c r="A33" s="21" t="n">
        <v>32</v>
      </c>
      <c r="B33" s="18" t="s">
        <v>411</v>
      </c>
      <c r="C33" s="23" t="n">
        <v>2</v>
      </c>
      <c r="D33" s="23" t="s">
        <v>126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401</v>
      </c>
      <c r="H33" s="18" t="s">
        <v>412</v>
      </c>
      <c r="I33" s="21" t="s">
        <v>129</v>
      </c>
      <c r="J33" s="22" t="s">
        <v>413</v>
      </c>
      <c r="K33" s="23" t="s">
        <v>131</v>
      </c>
      <c r="L33" s="24" t="s">
        <v>414</v>
      </c>
      <c r="M33" s="24" t="s">
        <v>415</v>
      </c>
      <c r="N33" s="23" t="s">
        <v>416</v>
      </c>
      <c r="O33" s="24" t="s">
        <v>417</v>
      </c>
      <c r="P33" s="24" t="s">
        <v>418</v>
      </c>
      <c r="Q33" s="24" t="s">
        <v>419</v>
      </c>
      <c r="R33" s="24"/>
      <c r="S33" s="24" t="s">
        <v>420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140</v>
      </c>
      <c r="Y33" s="23" t="s">
        <v>140</v>
      </c>
      <c r="Z33" s="23" t="s">
        <v>140</v>
      </c>
      <c r="AA33" s="23" t="s">
        <v>140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</row>
    <row r="34" customFormat="false" ht="26.85" hidden="false" customHeight="false" outlineLevel="0" collapsed="false">
      <c r="A34" s="21" t="n">
        <v>33</v>
      </c>
      <c r="B34" s="18" t="s">
        <v>421</v>
      </c>
      <c r="C34" s="23" t="n">
        <v>2</v>
      </c>
      <c r="D34" s="23" t="s">
        <v>126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401</v>
      </c>
      <c r="H34" s="18" t="s">
        <v>412</v>
      </c>
      <c r="I34" s="21" t="s">
        <v>129</v>
      </c>
      <c r="J34" s="22" t="s">
        <v>422</v>
      </c>
      <c r="K34" s="23" t="s">
        <v>131</v>
      </c>
      <c r="L34" s="24" t="s">
        <v>423</v>
      </c>
      <c r="M34" s="24" t="s">
        <v>424</v>
      </c>
      <c r="N34" s="23" t="s">
        <v>425</v>
      </c>
      <c r="O34" s="24" t="s">
        <v>426</v>
      </c>
      <c r="P34" s="24" t="s">
        <v>427</v>
      </c>
      <c r="Q34" s="24" t="s">
        <v>428</v>
      </c>
      <c r="R34" s="25" t="s">
        <v>429</v>
      </c>
      <c r="S34" s="24" t="s">
        <v>420</v>
      </c>
      <c r="T34" s="24" t="str">
        <f aca="false">"["&amp;안내!$C$5&amp;" "&amp;F34&amp;"] "&amp;L34&amp;" | "&amp;J34</f>
        <v>[1분 성경 구약 #194] 소돔과 고모라 | 창 19:1-29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140</v>
      </c>
      <c r="Y34" s="23" t="s">
        <v>140</v>
      </c>
      <c r="Z34" s="23" t="s">
        <v>140</v>
      </c>
      <c r="AA34" s="23" t="s">
        <v>140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</row>
    <row r="35" customFormat="false" ht="25.35" hidden="false" customHeight="false" outlineLevel="0" collapsed="false">
      <c r="A35" s="21" t="n">
        <v>34</v>
      </c>
      <c r="B35" s="18" t="s">
        <v>430</v>
      </c>
      <c r="C35" s="23" t="n">
        <v>2</v>
      </c>
      <c r="D35" s="23" t="s">
        <v>126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401</v>
      </c>
      <c r="H35" s="18" t="s">
        <v>412</v>
      </c>
      <c r="I35" s="21" t="s">
        <v>129</v>
      </c>
      <c r="J35" s="22" t="s">
        <v>431</v>
      </c>
      <c r="K35" s="23" t="s">
        <v>131</v>
      </c>
      <c r="L35" s="24" t="s">
        <v>432</v>
      </c>
      <c r="M35" s="24" t="s">
        <v>433</v>
      </c>
      <c r="N35" s="23" t="s">
        <v>434</v>
      </c>
      <c r="O35" s="24" t="s">
        <v>435</v>
      </c>
      <c r="P35" s="24" t="s">
        <v>436</v>
      </c>
      <c r="Q35" s="24" t="s">
        <v>437</v>
      </c>
      <c r="R35" s="24"/>
      <c r="S35" s="24" t="s">
        <v>420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140</v>
      </c>
      <c r="Y35" s="23" t="s">
        <v>140</v>
      </c>
      <c r="Z35" s="23" t="s">
        <v>140</v>
      </c>
      <c r="AA35" s="23" t="s">
        <v>140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</row>
    <row r="36" customFormat="false" ht="52.2" hidden="false" customHeight="false" outlineLevel="0" collapsed="false">
      <c r="A36" s="21" t="n">
        <v>35</v>
      </c>
      <c r="B36" s="18" t="s">
        <v>438</v>
      </c>
      <c r="C36" s="20" t="n">
        <v>1</v>
      </c>
      <c r="D36" s="20" t="s">
        <v>126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401</v>
      </c>
      <c r="H36" s="18" t="s">
        <v>336</v>
      </c>
      <c r="I36" s="21" t="s">
        <v>129</v>
      </c>
      <c r="J36" s="22" t="s">
        <v>439</v>
      </c>
      <c r="K36" s="23" t="s">
        <v>131</v>
      </c>
      <c r="L36" s="24" t="s">
        <v>440</v>
      </c>
      <c r="M36" s="29" t="s">
        <v>441</v>
      </c>
      <c r="N36" s="23" t="s">
        <v>442</v>
      </c>
      <c r="O36" s="24" t="s">
        <v>443</v>
      </c>
      <c r="P36" s="24" t="s">
        <v>444</v>
      </c>
      <c r="Q36" s="24" t="s">
        <v>398</v>
      </c>
      <c r="R36" s="24"/>
      <c r="S36" s="28" t="s">
        <v>445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140</v>
      </c>
      <c r="Y36" s="23" t="s">
        <v>140</v>
      </c>
      <c r="Z36" s="23" t="s">
        <v>140</v>
      </c>
      <c r="AA36" s="23" t="s">
        <v>140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</row>
    <row r="37" customFormat="false" ht="26.85" hidden="false" customHeight="false" outlineLevel="0" collapsed="false">
      <c r="A37" s="21" t="n">
        <v>36</v>
      </c>
      <c r="B37" s="18" t="s">
        <v>446</v>
      </c>
      <c r="C37" s="23" t="n">
        <v>2</v>
      </c>
      <c r="D37" s="23" t="s">
        <v>126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401</v>
      </c>
      <c r="H37" s="18" t="s">
        <v>412</v>
      </c>
      <c r="I37" s="21" t="s">
        <v>129</v>
      </c>
      <c r="J37" s="22" t="s">
        <v>447</v>
      </c>
      <c r="K37" s="23" t="s">
        <v>131</v>
      </c>
      <c r="L37" s="24" t="s">
        <v>448</v>
      </c>
      <c r="M37" s="24" t="s">
        <v>449</v>
      </c>
      <c r="N37" s="23" t="s">
        <v>450</v>
      </c>
      <c r="O37" s="24" t="s">
        <v>451</v>
      </c>
      <c r="P37" s="24" t="s">
        <v>452</v>
      </c>
      <c r="Q37" s="24" t="s">
        <v>453</v>
      </c>
      <c r="R37" s="24"/>
      <c r="S37" s="24" t="s">
        <v>454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140</v>
      </c>
      <c r="Y37" s="23" t="s">
        <v>140</v>
      </c>
      <c r="Z37" s="23" t="s">
        <v>140</v>
      </c>
      <c r="AA37" s="23" t="s">
        <v>140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</row>
    <row r="38" customFormat="false" ht="26.85" hidden="false" customHeight="false" outlineLevel="0" collapsed="false">
      <c r="A38" s="21" t="n">
        <v>37</v>
      </c>
      <c r="B38" s="18" t="s">
        <v>455</v>
      </c>
      <c r="C38" s="20" t="n">
        <v>1</v>
      </c>
      <c r="D38" s="20" t="s">
        <v>126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401</v>
      </c>
      <c r="H38" s="18" t="s">
        <v>336</v>
      </c>
      <c r="I38" s="21" t="s">
        <v>129</v>
      </c>
      <c r="J38" s="22" t="s">
        <v>456</v>
      </c>
      <c r="K38" s="23" t="s">
        <v>131</v>
      </c>
      <c r="L38" s="24" t="s">
        <v>457</v>
      </c>
      <c r="M38" s="24" t="s">
        <v>458</v>
      </c>
      <c r="N38" s="23" t="s">
        <v>459</v>
      </c>
      <c r="O38" s="24" t="s">
        <v>460</v>
      </c>
      <c r="P38" s="24" t="s">
        <v>461</v>
      </c>
      <c r="Q38" s="24" t="s">
        <v>462</v>
      </c>
      <c r="R38" s="25" t="s">
        <v>463</v>
      </c>
      <c r="S38" s="28" t="s">
        <v>464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140</v>
      </c>
      <c r="Y38" s="23" t="s">
        <v>140</v>
      </c>
      <c r="Z38" s="23" t="s">
        <v>140</v>
      </c>
      <c r="AA38" s="23" t="s">
        <v>140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</row>
    <row r="39" customFormat="false" ht="26.85" hidden="false" customHeight="false" outlineLevel="0" collapsed="false">
      <c r="A39" s="21" t="n">
        <v>38</v>
      </c>
      <c r="B39" s="18" t="s">
        <v>465</v>
      </c>
      <c r="C39" s="23" t="n">
        <v>2</v>
      </c>
      <c r="D39" s="23" t="s">
        <v>126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401</v>
      </c>
      <c r="H39" s="18" t="s">
        <v>412</v>
      </c>
      <c r="I39" s="21" t="s">
        <v>129</v>
      </c>
      <c r="J39" s="22" t="s">
        <v>466</v>
      </c>
      <c r="K39" s="23" t="s">
        <v>131</v>
      </c>
      <c r="L39" s="24" t="s">
        <v>467</v>
      </c>
      <c r="M39" s="24" t="s">
        <v>468</v>
      </c>
      <c r="N39" s="23" t="s">
        <v>469</v>
      </c>
      <c r="O39" s="24" t="s">
        <v>470</v>
      </c>
      <c r="P39" s="24" t="s">
        <v>471</v>
      </c>
      <c r="Q39" s="24" t="s">
        <v>472</v>
      </c>
      <c r="R39" s="24"/>
      <c r="S39" s="24" t="s">
        <v>473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140</v>
      </c>
      <c r="Y39" s="23" t="s">
        <v>140</v>
      </c>
      <c r="Z39" s="23" t="s">
        <v>140</v>
      </c>
      <c r="AA39" s="23" t="s">
        <v>140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</row>
    <row r="40" customFormat="false" ht="26.85" hidden="false" customHeight="false" outlineLevel="0" collapsed="false">
      <c r="A40" s="21" t="n">
        <v>39</v>
      </c>
      <c r="B40" s="18" t="s">
        <v>474</v>
      </c>
      <c r="C40" s="20" t="n">
        <v>1</v>
      </c>
      <c r="D40" s="20" t="s">
        <v>126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475</v>
      </c>
      <c r="H40" s="18" t="s">
        <v>336</v>
      </c>
      <c r="I40" s="21" t="s">
        <v>129</v>
      </c>
      <c r="J40" s="22" t="s">
        <v>476</v>
      </c>
      <c r="K40" s="23" t="s">
        <v>131</v>
      </c>
      <c r="L40" s="24" t="s">
        <v>477</v>
      </c>
      <c r="M40" s="24" t="s">
        <v>478</v>
      </c>
      <c r="N40" s="23" t="s">
        <v>479</v>
      </c>
      <c r="O40" s="24" t="s">
        <v>480</v>
      </c>
      <c r="P40" s="24" t="s">
        <v>481</v>
      </c>
      <c r="Q40" s="24" t="s">
        <v>482</v>
      </c>
      <c r="R40" s="24"/>
      <c r="S40" s="28" t="s">
        <v>483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140</v>
      </c>
      <c r="Y40" s="23" t="s">
        <v>140</v>
      </c>
      <c r="Z40" s="23" t="s">
        <v>140</v>
      </c>
      <c r="AA40" s="23" t="s">
        <v>140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</row>
    <row r="41" customFormat="false" ht="26.85" hidden="false" customHeight="false" outlineLevel="0" collapsed="false">
      <c r="A41" s="21" t="n">
        <v>40</v>
      </c>
      <c r="B41" s="18" t="s">
        <v>484</v>
      </c>
      <c r="C41" s="23" t="n">
        <v>2</v>
      </c>
      <c r="D41" s="23" t="s">
        <v>126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475</v>
      </c>
      <c r="H41" s="18" t="s">
        <v>412</v>
      </c>
      <c r="I41" s="21" t="s">
        <v>129</v>
      </c>
      <c r="J41" s="22" t="s">
        <v>485</v>
      </c>
      <c r="K41" s="23" t="s">
        <v>131</v>
      </c>
      <c r="L41" s="24" t="s">
        <v>486</v>
      </c>
      <c r="M41" s="24" t="s">
        <v>487</v>
      </c>
      <c r="N41" s="23" t="s">
        <v>488</v>
      </c>
      <c r="O41" s="24" t="s">
        <v>489</v>
      </c>
      <c r="P41" s="24" t="s">
        <v>490</v>
      </c>
      <c r="Q41" s="24" t="s">
        <v>491</v>
      </c>
      <c r="R41" s="24"/>
      <c r="S41" s="24" t="s">
        <v>492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140</v>
      </c>
      <c r="Y41" s="23" t="s">
        <v>140</v>
      </c>
      <c r="Z41" s="23" t="s">
        <v>140</v>
      </c>
      <c r="AA41" s="23" t="s">
        <v>140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</row>
    <row r="42" customFormat="false" ht="26.85" hidden="false" customHeight="false" outlineLevel="0" collapsed="false">
      <c r="A42" s="21" t="n">
        <v>41</v>
      </c>
      <c r="B42" s="18" t="s">
        <v>493</v>
      </c>
      <c r="C42" s="23" t="n">
        <v>2</v>
      </c>
      <c r="D42" s="23" t="s">
        <v>126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475</v>
      </c>
      <c r="H42" s="18" t="s">
        <v>412</v>
      </c>
      <c r="I42" s="21" t="s">
        <v>129</v>
      </c>
      <c r="J42" s="22" t="s">
        <v>494</v>
      </c>
      <c r="K42" s="23" t="s">
        <v>131</v>
      </c>
      <c r="L42" s="24" t="s">
        <v>495</v>
      </c>
      <c r="M42" s="29" t="s">
        <v>496</v>
      </c>
      <c r="N42" s="23" t="s">
        <v>497</v>
      </c>
      <c r="O42" s="24" t="s">
        <v>498</v>
      </c>
      <c r="P42" s="24" t="s">
        <v>499</v>
      </c>
      <c r="Q42" s="24" t="s">
        <v>500</v>
      </c>
      <c r="R42" s="24"/>
      <c r="S42" s="24" t="s">
        <v>492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140</v>
      </c>
      <c r="Y42" s="23" t="s">
        <v>140</v>
      </c>
      <c r="Z42" s="23" t="s">
        <v>140</v>
      </c>
      <c r="AA42" s="23" t="s">
        <v>140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</row>
    <row r="43" customFormat="false" ht="39.55" hidden="false" customHeight="false" outlineLevel="0" collapsed="false">
      <c r="A43" s="21" t="n">
        <v>42</v>
      </c>
      <c r="B43" s="18" t="s">
        <v>501</v>
      </c>
      <c r="C43" s="20" t="n">
        <v>1</v>
      </c>
      <c r="D43" s="20" t="s">
        <v>126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475</v>
      </c>
      <c r="H43" s="18" t="s">
        <v>336</v>
      </c>
      <c r="I43" s="21" t="s">
        <v>129</v>
      </c>
      <c r="J43" s="22" t="s">
        <v>502</v>
      </c>
      <c r="K43" s="23" t="s">
        <v>131</v>
      </c>
      <c r="L43" s="24" t="s">
        <v>503</v>
      </c>
      <c r="M43" s="24" t="s">
        <v>504</v>
      </c>
      <c r="N43" s="23" t="s">
        <v>505</v>
      </c>
      <c r="O43" s="24" t="s">
        <v>506</v>
      </c>
      <c r="P43" s="24" t="s">
        <v>507</v>
      </c>
      <c r="Q43" s="24" t="s">
        <v>398</v>
      </c>
      <c r="R43" s="25" t="s">
        <v>508</v>
      </c>
      <c r="S43" s="28" t="s">
        <v>509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140</v>
      </c>
      <c r="Y43" s="23" t="s">
        <v>140</v>
      </c>
      <c r="Z43" s="23" t="s">
        <v>140</v>
      </c>
      <c r="AA43" s="23" t="s">
        <v>140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</row>
    <row r="44" customFormat="false" ht="26.85" hidden="false" customHeight="false" outlineLevel="0" collapsed="false">
      <c r="A44" s="21" t="n">
        <v>43</v>
      </c>
      <c r="B44" s="18" t="s">
        <v>510</v>
      </c>
      <c r="C44" s="20" t="n">
        <v>1</v>
      </c>
      <c r="D44" s="20" t="s">
        <v>126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475</v>
      </c>
      <c r="H44" s="18" t="s">
        <v>336</v>
      </c>
      <c r="I44" s="21" t="s">
        <v>129</v>
      </c>
      <c r="J44" s="22" t="s">
        <v>511</v>
      </c>
      <c r="K44" s="23" t="s">
        <v>131</v>
      </c>
      <c r="L44" s="24" t="s">
        <v>512</v>
      </c>
      <c r="M44" s="24" t="s">
        <v>513</v>
      </c>
      <c r="N44" s="23" t="s">
        <v>514</v>
      </c>
      <c r="O44" s="24" t="s">
        <v>515</v>
      </c>
      <c r="P44" s="24" t="s">
        <v>516</v>
      </c>
      <c r="Q44" s="24" t="s">
        <v>517</v>
      </c>
      <c r="R44" s="24"/>
      <c r="S44" s="24" t="s">
        <v>139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140</v>
      </c>
      <c r="Y44" s="23" t="s">
        <v>140</v>
      </c>
      <c r="Z44" s="23" t="s">
        <v>140</v>
      </c>
      <c r="AA44" s="23" t="s">
        <v>140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</row>
    <row r="45" customFormat="false" ht="25.35" hidden="false" customHeight="false" outlineLevel="0" collapsed="false">
      <c r="A45" s="21" t="n">
        <v>44</v>
      </c>
      <c r="B45" s="18" t="s">
        <v>518</v>
      </c>
      <c r="C45" s="23" t="n">
        <v>2</v>
      </c>
      <c r="D45" s="23" t="s">
        <v>126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475</v>
      </c>
      <c r="H45" s="18" t="s">
        <v>412</v>
      </c>
      <c r="I45" s="21" t="s">
        <v>129</v>
      </c>
      <c r="J45" s="22" t="s">
        <v>519</v>
      </c>
      <c r="K45" s="23" t="s">
        <v>131</v>
      </c>
      <c r="L45" s="24" t="s">
        <v>520</v>
      </c>
      <c r="M45" s="24" t="s">
        <v>521</v>
      </c>
      <c r="N45" s="23" t="s">
        <v>522</v>
      </c>
      <c r="O45" s="24" t="s">
        <v>523</v>
      </c>
      <c r="P45" s="24" t="s">
        <v>524</v>
      </c>
      <c r="Q45" s="24" t="s">
        <v>437</v>
      </c>
      <c r="R45" s="24"/>
      <c r="S45" s="24" t="s">
        <v>525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140</v>
      </c>
      <c r="Y45" s="23" t="s">
        <v>140</v>
      </c>
      <c r="Z45" s="23" t="s">
        <v>140</v>
      </c>
      <c r="AA45" s="23" t="s">
        <v>140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</row>
    <row r="46" customFormat="false" ht="26.85" hidden="false" customHeight="false" outlineLevel="0" collapsed="false">
      <c r="A46" s="21" t="n">
        <v>45</v>
      </c>
      <c r="B46" s="18" t="s">
        <v>526</v>
      </c>
      <c r="C46" s="23" t="n">
        <v>2</v>
      </c>
      <c r="D46" s="23" t="s">
        <v>126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475</v>
      </c>
      <c r="H46" s="18" t="s">
        <v>412</v>
      </c>
      <c r="I46" s="21" t="s">
        <v>129</v>
      </c>
      <c r="J46" s="22" t="s">
        <v>527</v>
      </c>
      <c r="K46" s="23" t="s">
        <v>131</v>
      </c>
      <c r="L46" s="24" t="s">
        <v>528</v>
      </c>
      <c r="M46" s="24" t="s">
        <v>529</v>
      </c>
      <c r="N46" s="23" t="s">
        <v>530</v>
      </c>
      <c r="O46" s="24" t="s">
        <v>531</v>
      </c>
      <c r="P46" s="24" t="s">
        <v>532</v>
      </c>
      <c r="Q46" s="24" t="s">
        <v>533</v>
      </c>
      <c r="R46" s="24"/>
      <c r="S46" s="24" t="s">
        <v>525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140</v>
      </c>
      <c r="Y46" s="23" t="s">
        <v>140</v>
      </c>
      <c r="Z46" s="23" t="s">
        <v>140</v>
      </c>
      <c r="AA46" s="23" t="s">
        <v>140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</row>
    <row r="47" customFormat="false" ht="39.55" hidden="false" customHeight="false" outlineLevel="0" collapsed="false">
      <c r="A47" s="21" t="n">
        <v>46</v>
      </c>
      <c r="B47" s="18" t="s">
        <v>534</v>
      </c>
      <c r="C47" s="20" t="n">
        <v>1</v>
      </c>
      <c r="D47" s="20" t="s">
        <v>126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535</v>
      </c>
      <c r="H47" s="18" t="s">
        <v>536</v>
      </c>
      <c r="I47" s="21" t="s">
        <v>129</v>
      </c>
      <c r="J47" s="22" t="s">
        <v>537</v>
      </c>
      <c r="K47" s="23" t="s">
        <v>131</v>
      </c>
      <c r="L47" s="24" t="s">
        <v>538</v>
      </c>
      <c r="M47" s="24" t="s">
        <v>539</v>
      </c>
      <c r="N47" s="23" t="s">
        <v>540</v>
      </c>
      <c r="O47" s="24" t="s">
        <v>541</v>
      </c>
      <c r="P47" s="24" t="s">
        <v>542</v>
      </c>
      <c r="Q47" s="24" t="s">
        <v>398</v>
      </c>
      <c r="R47" s="24"/>
      <c r="S47" s="28" t="s">
        <v>543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140</v>
      </c>
      <c r="Y47" s="23" t="s">
        <v>140</v>
      </c>
      <c r="Z47" s="23" t="s">
        <v>140</v>
      </c>
      <c r="AA47" s="23" t="s">
        <v>140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</row>
    <row r="48" customFormat="false" ht="26.85" hidden="false" customHeight="false" outlineLevel="0" collapsed="false">
      <c r="A48" s="21" t="n">
        <v>47</v>
      </c>
      <c r="B48" s="18" t="s">
        <v>544</v>
      </c>
      <c r="C48" s="23" t="n">
        <v>2</v>
      </c>
      <c r="D48" s="23" t="s">
        <v>126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535</v>
      </c>
      <c r="H48" s="18" t="s">
        <v>545</v>
      </c>
      <c r="I48" s="21" t="s">
        <v>129</v>
      </c>
      <c r="J48" s="22" t="s">
        <v>546</v>
      </c>
      <c r="K48" s="23" t="s">
        <v>131</v>
      </c>
      <c r="L48" s="24" t="s">
        <v>547</v>
      </c>
      <c r="M48" s="24" t="s">
        <v>548</v>
      </c>
      <c r="N48" s="23" t="s">
        <v>549</v>
      </c>
      <c r="O48" s="24" t="s">
        <v>550</v>
      </c>
      <c r="P48" s="24" t="s">
        <v>551</v>
      </c>
      <c r="Q48" s="24" t="s">
        <v>398</v>
      </c>
      <c r="R48" s="24"/>
      <c r="S48" s="24" t="s">
        <v>552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140</v>
      </c>
      <c r="Y48" s="23" t="s">
        <v>140</v>
      </c>
      <c r="Z48" s="23" t="s">
        <v>140</v>
      </c>
      <c r="AA48" s="23" t="s">
        <v>140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</row>
    <row r="49" customFormat="false" ht="26.85" hidden="false" customHeight="false" outlineLevel="0" collapsed="false">
      <c r="A49" s="21" t="n">
        <v>48</v>
      </c>
      <c r="B49" s="18" t="s">
        <v>553</v>
      </c>
      <c r="C49" s="20" t="n">
        <v>1</v>
      </c>
      <c r="D49" s="20" t="s">
        <v>126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535</v>
      </c>
      <c r="H49" s="18" t="s">
        <v>536</v>
      </c>
      <c r="I49" s="21" t="s">
        <v>129</v>
      </c>
      <c r="J49" s="22" t="s">
        <v>554</v>
      </c>
      <c r="K49" s="23" t="s">
        <v>131</v>
      </c>
      <c r="L49" s="24" t="s">
        <v>555</v>
      </c>
      <c r="M49" s="24" t="s">
        <v>556</v>
      </c>
      <c r="N49" s="23" t="s">
        <v>557</v>
      </c>
      <c r="O49" s="24" t="s">
        <v>558</v>
      </c>
      <c r="P49" s="24" t="s">
        <v>559</v>
      </c>
      <c r="Q49" s="24" t="s">
        <v>560</v>
      </c>
      <c r="R49" s="25" t="s">
        <v>561</v>
      </c>
      <c r="S49" s="28" t="s">
        <v>562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140</v>
      </c>
      <c r="Y49" s="23" t="s">
        <v>140</v>
      </c>
      <c r="Z49" s="23" t="s">
        <v>140</v>
      </c>
      <c r="AA49" s="23" t="s">
        <v>140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</row>
    <row r="50" customFormat="false" ht="26.85" hidden="false" customHeight="false" outlineLevel="0" collapsed="false">
      <c r="A50" s="21" t="n">
        <v>49</v>
      </c>
      <c r="B50" s="18" t="s">
        <v>563</v>
      </c>
      <c r="C50" s="20" t="n">
        <v>1</v>
      </c>
      <c r="D50" s="20" t="s">
        <v>126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535</v>
      </c>
      <c r="H50" s="18" t="s">
        <v>536</v>
      </c>
      <c r="I50" s="21" t="s">
        <v>129</v>
      </c>
      <c r="J50" s="22" t="s">
        <v>564</v>
      </c>
      <c r="K50" s="23" t="s">
        <v>131</v>
      </c>
      <c r="L50" s="24" t="s">
        <v>565</v>
      </c>
      <c r="M50" s="29" t="s">
        <v>566</v>
      </c>
      <c r="N50" s="23" t="s">
        <v>567</v>
      </c>
      <c r="O50" s="24" t="s">
        <v>568</v>
      </c>
      <c r="P50" s="24" t="s">
        <v>569</v>
      </c>
      <c r="Q50" s="24" t="s">
        <v>570</v>
      </c>
      <c r="R50" s="24"/>
      <c r="S50" s="24" t="s">
        <v>139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140</v>
      </c>
      <c r="Y50" s="23" t="s">
        <v>140</v>
      </c>
      <c r="Z50" s="23" t="s">
        <v>140</v>
      </c>
      <c r="AA50" s="23" t="s">
        <v>140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</row>
    <row r="51" customFormat="false" ht="25.35" hidden="false" customHeight="false" outlineLevel="0" collapsed="false">
      <c r="A51" s="21" t="n">
        <v>50</v>
      </c>
      <c r="B51" s="18" t="s">
        <v>571</v>
      </c>
      <c r="C51" s="23" t="n">
        <v>2</v>
      </c>
      <c r="D51" s="23" t="s">
        <v>126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535</v>
      </c>
      <c r="H51" s="18" t="s">
        <v>545</v>
      </c>
      <c r="I51" s="21" t="s">
        <v>129</v>
      </c>
      <c r="J51" s="22" t="s">
        <v>572</v>
      </c>
      <c r="K51" s="23" t="s">
        <v>131</v>
      </c>
      <c r="L51" s="24" t="s">
        <v>573</v>
      </c>
      <c r="M51" s="24" t="s">
        <v>574</v>
      </c>
      <c r="N51" s="23" t="s">
        <v>575</v>
      </c>
      <c r="O51" s="24" t="s">
        <v>576</v>
      </c>
      <c r="P51" s="24" t="s">
        <v>577</v>
      </c>
      <c r="Q51" s="24" t="s">
        <v>578</v>
      </c>
      <c r="R51" s="25" t="s">
        <v>579</v>
      </c>
      <c r="S51" s="24" t="s">
        <v>580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140</v>
      </c>
      <c r="Y51" s="23" t="s">
        <v>140</v>
      </c>
      <c r="Z51" s="23" t="s">
        <v>140</v>
      </c>
      <c r="AA51" s="23" t="s">
        <v>140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</row>
    <row r="52" customFormat="false" ht="26.85" hidden="false" customHeight="false" outlineLevel="0" collapsed="false">
      <c r="A52" s="21" t="n">
        <v>51</v>
      </c>
      <c r="B52" s="18" t="s">
        <v>581</v>
      </c>
      <c r="C52" s="23" t="n">
        <v>2</v>
      </c>
      <c r="D52" s="23" t="s">
        <v>126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535</v>
      </c>
      <c r="H52" s="18" t="s">
        <v>545</v>
      </c>
      <c r="I52" s="21" t="s">
        <v>129</v>
      </c>
      <c r="J52" s="22" t="s">
        <v>582</v>
      </c>
      <c r="K52" s="23" t="s">
        <v>131</v>
      </c>
      <c r="L52" s="24" t="s">
        <v>583</v>
      </c>
      <c r="M52" s="24" t="s">
        <v>584</v>
      </c>
      <c r="N52" s="23" t="s">
        <v>585</v>
      </c>
      <c r="O52" s="24" t="s">
        <v>586</v>
      </c>
      <c r="P52" s="24" t="s">
        <v>587</v>
      </c>
      <c r="Q52" s="24" t="s">
        <v>588</v>
      </c>
      <c r="R52" s="25" t="s">
        <v>589</v>
      </c>
      <c r="S52" s="24" t="s">
        <v>580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140</v>
      </c>
      <c r="Y52" s="23" t="s">
        <v>140</v>
      </c>
      <c r="Z52" s="23" t="s">
        <v>140</v>
      </c>
      <c r="AA52" s="23" t="s">
        <v>140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</row>
    <row r="53" customFormat="false" ht="15" hidden="false" customHeight="false" outlineLevel="0" collapsed="false">
      <c r="A53" s="21" t="n">
        <v>52</v>
      </c>
      <c r="B53" s="18" t="s">
        <v>590</v>
      </c>
      <c r="C53" s="23" t="n">
        <v>2</v>
      </c>
      <c r="D53" s="23" t="s">
        <v>126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535</v>
      </c>
      <c r="H53" s="18" t="s">
        <v>545</v>
      </c>
      <c r="I53" s="21" t="s">
        <v>129</v>
      </c>
      <c r="J53" s="22" t="s">
        <v>591</v>
      </c>
      <c r="K53" s="23" t="s">
        <v>131</v>
      </c>
      <c r="L53" s="29" t="s">
        <v>592</v>
      </c>
      <c r="M53" s="24" t="s">
        <v>593</v>
      </c>
      <c r="N53" s="23" t="s">
        <v>594</v>
      </c>
      <c r="O53" s="24" t="s">
        <v>595</v>
      </c>
      <c r="P53" s="24" t="s">
        <v>596</v>
      </c>
      <c r="Q53" s="24" t="s">
        <v>597</v>
      </c>
      <c r="R53" s="25" t="s">
        <v>598</v>
      </c>
      <c r="S53" s="24" t="s">
        <v>580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140</v>
      </c>
      <c r="Y53" s="23" t="s">
        <v>140</v>
      </c>
      <c r="Z53" s="23" t="s">
        <v>140</v>
      </c>
      <c r="AA53" s="23" t="s">
        <v>140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</row>
    <row r="54" customFormat="false" ht="26.85" hidden="false" customHeight="false" outlineLevel="0" collapsed="false">
      <c r="A54" s="21" t="n">
        <v>53</v>
      </c>
      <c r="B54" s="18" t="s">
        <v>599</v>
      </c>
      <c r="C54" s="23" t="n">
        <v>2</v>
      </c>
      <c r="D54" s="23" t="s">
        <v>126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535</v>
      </c>
      <c r="H54" s="18" t="s">
        <v>545</v>
      </c>
      <c r="I54" s="21" t="s">
        <v>129</v>
      </c>
      <c r="J54" s="22" t="s">
        <v>600</v>
      </c>
      <c r="K54" s="23" t="s">
        <v>131</v>
      </c>
      <c r="L54" s="24" t="s">
        <v>601</v>
      </c>
      <c r="M54" s="24" t="s">
        <v>602</v>
      </c>
      <c r="N54" s="23" t="s">
        <v>603</v>
      </c>
      <c r="O54" s="24" t="s">
        <v>604</v>
      </c>
      <c r="P54" s="24" t="s">
        <v>587</v>
      </c>
      <c r="Q54" s="24" t="s">
        <v>605</v>
      </c>
      <c r="R54" s="24"/>
      <c r="S54" s="24" t="s">
        <v>580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140</v>
      </c>
      <c r="Y54" s="23" t="s">
        <v>140</v>
      </c>
      <c r="Z54" s="23" t="s">
        <v>140</v>
      </c>
      <c r="AA54" s="23" t="s">
        <v>140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</row>
    <row r="55" customFormat="false" ht="26.85" hidden="false" customHeight="false" outlineLevel="0" collapsed="false">
      <c r="A55" s="21" t="n">
        <v>54</v>
      </c>
      <c r="B55" s="18" t="s">
        <v>606</v>
      </c>
      <c r="C55" s="23" t="n">
        <v>2</v>
      </c>
      <c r="D55" s="23" t="s">
        <v>126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607</v>
      </c>
      <c r="H55" s="18" t="s">
        <v>545</v>
      </c>
      <c r="I55" s="21" t="s">
        <v>129</v>
      </c>
      <c r="J55" s="22" t="s">
        <v>608</v>
      </c>
      <c r="K55" s="23" t="s">
        <v>131</v>
      </c>
      <c r="L55" s="24" t="s">
        <v>609</v>
      </c>
      <c r="M55" s="29" t="s">
        <v>610</v>
      </c>
      <c r="N55" s="23" t="s">
        <v>611</v>
      </c>
      <c r="O55" s="24" t="s">
        <v>612</v>
      </c>
      <c r="P55" s="24" t="s">
        <v>613</v>
      </c>
      <c r="Q55" s="24" t="s">
        <v>614</v>
      </c>
      <c r="R55" s="24"/>
      <c r="S55" s="24" t="s">
        <v>580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140</v>
      </c>
      <c r="Y55" s="23" t="s">
        <v>140</v>
      </c>
      <c r="Z55" s="23" t="s">
        <v>140</v>
      </c>
      <c r="AA55" s="23" t="s">
        <v>140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</row>
    <row r="56" customFormat="false" ht="52.2" hidden="false" customHeight="false" outlineLevel="0" collapsed="false">
      <c r="A56" s="21" t="n">
        <v>55</v>
      </c>
      <c r="B56" s="18" t="s">
        <v>615</v>
      </c>
      <c r="C56" s="20" t="n">
        <v>1</v>
      </c>
      <c r="D56" s="20" t="s">
        <v>126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607</v>
      </c>
      <c r="H56" s="18" t="s">
        <v>536</v>
      </c>
      <c r="I56" s="21" t="s">
        <v>129</v>
      </c>
      <c r="J56" s="22" t="s">
        <v>616</v>
      </c>
      <c r="K56" s="23" t="s">
        <v>131</v>
      </c>
      <c r="L56" s="24" t="s">
        <v>617</v>
      </c>
      <c r="M56" s="24" t="s">
        <v>618</v>
      </c>
      <c r="N56" s="23" t="s">
        <v>619</v>
      </c>
      <c r="O56" s="24" t="s">
        <v>620</v>
      </c>
      <c r="P56" s="24" t="s">
        <v>621</v>
      </c>
      <c r="Q56" s="24" t="s">
        <v>622</v>
      </c>
      <c r="R56" s="25" t="s">
        <v>623</v>
      </c>
      <c r="S56" s="28" t="s">
        <v>624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140</v>
      </c>
      <c r="Y56" s="23" t="s">
        <v>140</v>
      </c>
      <c r="Z56" s="23" t="s">
        <v>140</v>
      </c>
      <c r="AA56" s="23" t="s">
        <v>140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</row>
    <row r="57" customFormat="false" ht="25.35" hidden="false" customHeight="false" outlineLevel="0" collapsed="false">
      <c r="A57" s="21" t="n">
        <v>56</v>
      </c>
      <c r="B57" s="18" t="s">
        <v>625</v>
      </c>
      <c r="C57" s="20" t="n">
        <v>1</v>
      </c>
      <c r="D57" s="20" t="s">
        <v>126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607</v>
      </c>
      <c r="H57" s="18" t="s">
        <v>536</v>
      </c>
      <c r="I57" s="21" t="s">
        <v>129</v>
      </c>
      <c r="J57" s="22" t="s">
        <v>626</v>
      </c>
      <c r="K57" s="23" t="s">
        <v>131</v>
      </c>
      <c r="L57" s="24" t="s">
        <v>627</v>
      </c>
      <c r="M57" s="24" t="s">
        <v>628</v>
      </c>
      <c r="N57" s="23" t="s">
        <v>629</v>
      </c>
      <c r="O57" s="24" t="s">
        <v>630</v>
      </c>
      <c r="P57" s="24" t="s">
        <v>631</v>
      </c>
      <c r="Q57" s="24" t="s">
        <v>632</v>
      </c>
      <c r="R57" s="24"/>
      <c r="S57" s="24" t="s">
        <v>139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140</v>
      </c>
      <c r="Y57" s="23" t="s">
        <v>140</v>
      </c>
      <c r="Z57" s="23" t="s">
        <v>140</v>
      </c>
      <c r="AA57" s="23" t="s">
        <v>140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</row>
    <row r="58" customFormat="false" ht="26.85" hidden="false" customHeight="false" outlineLevel="0" collapsed="false">
      <c r="A58" s="21" t="n">
        <v>57</v>
      </c>
      <c r="B58" s="18" t="s">
        <v>633</v>
      </c>
      <c r="C58" s="23" t="n">
        <v>2</v>
      </c>
      <c r="D58" s="23" t="s">
        <v>126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607</v>
      </c>
      <c r="H58" s="18" t="s">
        <v>545</v>
      </c>
      <c r="I58" s="21" t="s">
        <v>129</v>
      </c>
      <c r="J58" s="22" t="s">
        <v>634</v>
      </c>
      <c r="K58" s="23" t="s">
        <v>131</v>
      </c>
      <c r="L58" s="24" t="s">
        <v>635</v>
      </c>
      <c r="M58" s="24" t="s">
        <v>636</v>
      </c>
      <c r="N58" s="23" t="s">
        <v>637</v>
      </c>
      <c r="O58" s="24" t="s">
        <v>638</v>
      </c>
      <c r="P58" s="24" t="s">
        <v>639</v>
      </c>
      <c r="Q58" s="24" t="s">
        <v>640</v>
      </c>
      <c r="R58" s="25" t="s">
        <v>641</v>
      </c>
      <c r="S58" s="24" t="s">
        <v>642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140</v>
      </c>
      <c r="Y58" s="23" t="s">
        <v>140</v>
      </c>
      <c r="Z58" s="23" t="s">
        <v>140</v>
      </c>
      <c r="AA58" s="23" t="s">
        <v>140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</row>
    <row r="59" customFormat="false" ht="26.85" hidden="false" customHeight="false" outlineLevel="0" collapsed="false">
      <c r="A59" s="21" t="n">
        <v>58</v>
      </c>
      <c r="B59" s="18" t="s">
        <v>643</v>
      </c>
      <c r="C59" s="23" t="n">
        <v>2</v>
      </c>
      <c r="D59" s="23" t="s">
        <v>126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607</v>
      </c>
      <c r="H59" s="18" t="s">
        <v>545</v>
      </c>
      <c r="I59" s="21" t="s">
        <v>129</v>
      </c>
      <c r="J59" s="22" t="s">
        <v>644</v>
      </c>
      <c r="K59" s="23" t="s">
        <v>131</v>
      </c>
      <c r="L59" s="24" t="s">
        <v>645</v>
      </c>
      <c r="M59" s="24" t="s">
        <v>646</v>
      </c>
      <c r="N59" s="23" t="s">
        <v>647</v>
      </c>
      <c r="O59" s="24" t="s">
        <v>648</v>
      </c>
      <c r="P59" s="24" t="s">
        <v>649</v>
      </c>
      <c r="Q59" s="24" t="s">
        <v>650</v>
      </c>
      <c r="R59" s="24"/>
      <c r="S59" s="24" t="s">
        <v>642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140</v>
      </c>
      <c r="Y59" s="23" t="s">
        <v>140</v>
      </c>
      <c r="Z59" s="23" t="s">
        <v>140</v>
      </c>
      <c r="AA59" s="23" t="s">
        <v>140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</row>
    <row r="60" customFormat="false" ht="26.85" hidden="false" customHeight="false" outlineLevel="0" collapsed="false">
      <c r="A60" s="21" t="n">
        <v>59</v>
      </c>
      <c r="B60" s="18" t="s">
        <v>651</v>
      </c>
      <c r="C60" s="23" t="n">
        <v>2</v>
      </c>
      <c r="D60" s="23" t="s">
        <v>126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607</v>
      </c>
      <c r="H60" s="18" t="s">
        <v>545</v>
      </c>
      <c r="I60" s="21" t="s">
        <v>129</v>
      </c>
      <c r="J60" s="22" t="s">
        <v>652</v>
      </c>
      <c r="K60" s="23" t="s">
        <v>131</v>
      </c>
      <c r="L60" s="24" t="s">
        <v>653</v>
      </c>
      <c r="M60" s="24" t="s">
        <v>654</v>
      </c>
      <c r="N60" s="23" t="s">
        <v>655</v>
      </c>
      <c r="O60" s="24" t="s">
        <v>656</v>
      </c>
      <c r="P60" s="24" t="s">
        <v>657</v>
      </c>
      <c r="Q60" s="24" t="s">
        <v>658</v>
      </c>
      <c r="R60" s="24"/>
      <c r="S60" s="24" t="s">
        <v>642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140</v>
      </c>
      <c r="Y60" s="23" t="s">
        <v>140</v>
      </c>
      <c r="Z60" s="23" t="s">
        <v>140</v>
      </c>
      <c r="AA60" s="23" t="s">
        <v>140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</row>
    <row r="61" customFormat="false" ht="26.85" hidden="false" customHeight="false" outlineLevel="0" collapsed="false">
      <c r="A61" s="21" t="n">
        <v>60</v>
      </c>
      <c r="B61" s="18" t="s">
        <v>659</v>
      </c>
      <c r="C61" s="23" t="n">
        <v>2</v>
      </c>
      <c r="D61" s="23" t="s">
        <v>126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607</v>
      </c>
      <c r="H61" s="18" t="s">
        <v>545</v>
      </c>
      <c r="I61" s="21" t="s">
        <v>129</v>
      </c>
      <c r="J61" s="22" t="s">
        <v>660</v>
      </c>
      <c r="K61" s="23" t="s">
        <v>131</v>
      </c>
      <c r="L61" s="24" t="s">
        <v>661</v>
      </c>
      <c r="M61" s="24" t="s">
        <v>662</v>
      </c>
      <c r="N61" s="23" t="s">
        <v>663</v>
      </c>
      <c r="O61" s="24" t="s">
        <v>664</v>
      </c>
      <c r="P61" s="24" t="s">
        <v>665</v>
      </c>
      <c r="Q61" s="24" t="s">
        <v>666</v>
      </c>
      <c r="R61" s="24"/>
      <c r="S61" s="24" t="s">
        <v>642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140</v>
      </c>
      <c r="Y61" s="23" t="s">
        <v>140</v>
      </c>
      <c r="Z61" s="23" t="s">
        <v>140</v>
      </c>
      <c r="AA61" s="23" t="s">
        <v>140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</row>
    <row r="62" customFormat="false" ht="52.2" hidden="false" customHeight="false" outlineLevel="0" collapsed="false">
      <c r="A62" s="21" t="n">
        <v>61</v>
      </c>
      <c r="B62" s="18" t="s">
        <v>667</v>
      </c>
      <c r="C62" s="20" t="n">
        <v>1</v>
      </c>
      <c r="D62" s="20" t="s">
        <v>126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668</v>
      </c>
      <c r="H62" s="18" t="s">
        <v>536</v>
      </c>
      <c r="I62" s="21" t="s">
        <v>129</v>
      </c>
      <c r="J62" s="22" t="s">
        <v>669</v>
      </c>
      <c r="K62" s="23" t="s">
        <v>131</v>
      </c>
      <c r="L62" s="24" t="s">
        <v>670</v>
      </c>
      <c r="M62" s="24" t="s">
        <v>671</v>
      </c>
      <c r="N62" s="23" t="s">
        <v>672</v>
      </c>
      <c r="O62" s="24" t="s">
        <v>673</v>
      </c>
      <c r="P62" s="24" t="s">
        <v>674</v>
      </c>
      <c r="Q62" s="24" t="s">
        <v>675</v>
      </c>
      <c r="R62" s="24"/>
      <c r="S62" s="28" t="s">
        <v>676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140</v>
      </c>
      <c r="Y62" s="23" t="s">
        <v>140</v>
      </c>
      <c r="Z62" s="23" t="s">
        <v>140</v>
      </c>
      <c r="AA62" s="23" t="s">
        <v>140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</row>
    <row r="63" customFormat="false" ht="26.85" hidden="false" customHeight="false" outlineLevel="0" collapsed="false">
      <c r="A63" s="21" t="n">
        <v>62</v>
      </c>
      <c r="B63" s="18" t="s">
        <v>677</v>
      </c>
      <c r="C63" s="20" t="n">
        <v>1</v>
      </c>
      <c r="D63" s="20" t="s">
        <v>126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668</v>
      </c>
      <c r="H63" s="18" t="s">
        <v>536</v>
      </c>
      <c r="I63" s="21" t="s">
        <v>129</v>
      </c>
      <c r="J63" s="22" t="s">
        <v>678</v>
      </c>
      <c r="K63" s="23" t="s">
        <v>131</v>
      </c>
      <c r="L63" s="24" t="s">
        <v>679</v>
      </c>
      <c r="M63" s="24" t="s">
        <v>680</v>
      </c>
      <c r="N63" s="23" t="s">
        <v>681</v>
      </c>
      <c r="O63" s="24" t="s">
        <v>682</v>
      </c>
      <c r="P63" s="24" t="s">
        <v>683</v>
      </c>
      <c r="Q63" s="24" t="s">
        <v>684</v>
      </c>
      <c r="R63" s="24"/>
      <c r="S63" s="24" t="s">
        <v>139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140</v>
      </c>
      <c r="Y63" s="23" t="s">
        <v>140</v>
      </c>
      <c r="Z63" s="23" t="s">
        <v>140</v>
      </c>
      <c r="AA63" s="23" t="s">
        <v>140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</row>
    <row r="64" customFormat="false" ht="26.85" hidden="false" customHeight="false" outlineLevel="0" collapsed="false">
      <c r="A64" s="21" t="n">
        <v>63</v>
      </c>
      <c r="B64" s="18" t="s">
        <v>685</v>
      </c>
      <c r="C64" s="23" t="n">
        <v>2</v>
      </c>
      <c r="D64" s="23" t="s">
        <v>126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668</v>
      </c>
      <c r="H64" s="18" t="s">
        <v>686</v>
      </c>
      <c r="I64" s="21" t="s">
        <v>129</v>
      </c>
      <c r="J64" s="22" t="s">
        <v>687</v>
      </c>
      <c r="K64" s="23" t="s">
        <v>131</v>
      </c>
      <c r="L64" s="24" t="s">
        <v>688</v>
      </c>
      <c r="M64" s="24" t="s">
        <v>689</v>
      </c>
      <c r="N64" s="23" t="s">
        <v>690</v>
      </c>
      <c r="O64" s="24" t="s">
        <v>691</v>
      </c>
      <c r="P64" s="24" t="s">
        <v>692</v>
      </c>
      <c r="Q64" s="24" t="s">
        <v>693</v>
      </c>
      <c r="R64" s="25" t="s">
        <v>694</v>
      </c>
      <c r="S64" s="24" t="s">
        <v>695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140</v>
      </c>
      <c r="Y64" s="23" t="s">
        <v>140</v>
      </c>
      <c r="Z64" s="23" t="s">
        <v>140</v>
      </c>
      <c r="AA64" s="23" t="s">
        <v>140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</row>
    <row r="65" customFormat="false" ht="26.85" hidden="false" customHeight="false" outlineLevel="0" collapsed="false">
      <c r="A65" s="21" t="n">
        <v>64</v>
      </c>
      <c r="B65" s="18" t="s">
        <v>696</v>
      </c>
      <c r="C65" s="20" t="n">
        <v>1</v>
      </c>
      <c r="D65" s="20" t="s">
        <v>126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668</v>
      </c>
      <c r="H65" s="18" t="s">
        <v>536</v>
      </c>
      <c r="I65" s="21" t="s">
        <v>129</v>
      </c>
      <c r="J65" s="22" t="s">
        <v>697</v>
      </c>
      <c r="K65" s="23" t="s">
        <v>131</v>
      </c>
      <c r="L65" s="24" t="s">
        <v>698</v>
      </c>
      <c r="M65" s="24" t="s">
        <v>699</v>
      </c>
      <c r="N65" s="23" t="s">
        <v>700</v>
      </c>
      <c r="O65" s="24" t="s">
        <v>701</v>
      </c>
      <c r="P65" s="24" t="s">
        <v>702</v>
      </c>
      <c r="Q65" s="24" t="s">
        <v>703</v>
      </c>
      <c r="R65" s="25" t="s">
        <v>704</v>
      </c>
      <c r="S65" s="28" t="s">
        <v>705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140</v>
      </c>
      <c r="Y65" s="23" t="s">
        <v>140</v>
      </c>
      <c r="Z65" s="23" t="s">
        <v>140</v>
      </c>
      <c r="AA65" s="23" t="s">
        <v>140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</row>
    <row r="66" customFormat="false" ht="26.85" hidden="false" customHeight="false" outlineLevel="0" collapsed="false">
      <c r="A66" s="21" t="n">
        <v>65</v>
      </c>
      <c r="B66" s="18" t="s">
        <v>706</v>
      </c>
      <c r="C66" s="20" t="n">
        <v>1</v>
      </c>
      <c r="D66" s="20" t="s">
        <v>126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668</v>
      </c>
      <c r="H66" s="18" t="s">
        <v>536</v>
      </c>
      <c r="I66" s="21" t="s">
        <v>129</v>
      </c>
      <c r="J66" s="22" t="s">
        <v>707</v>
      </c>
      <c r="K66" s="23" t="s">
        <v>131</v>
      </c>
      <c r="L66" s="24" t="s">
        <v>708</v>
      </c>
      <c r="M66" s="24" t="s">
        <v>709</v>
      </c>
      <c r="N66" s="23" t="s">
        <v>710</v>
      </c>
      <c r="O66" s="24" t="s">
        <v>711</v>
      </c>
      <c r="P66" s="24" t="s">
        <v>712</v>
      </c>
      <c r="Q66" s="24" t="s">
        <v>713</v>
      </c>
      <c r="R66" s="25" t="s">
        <v>714</v>
      </c>
      <c r="S66" s="24" t="s">
        <v>139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140</v>
      </c>
      <c r="Y66" s="23" t="s">
        <v>140</v>
      </c>
      <c r="Z66" s="23" t="s">
        <v>140</v>
      </c>
      <c r="AA66" s="23" t="s">
        <v>140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</row>
    <row r="67" customFormat="false" ht="26.85" hidden="false" customHeight="false" outlineLevel="0" collapsed="false">
      <c r="A67" s="21" t="n">
        <v>66</v>
      </c>
      <c r="B67" s="18" t="s">
        <v>715</v>
      </c>
      <c r="C67" s="20" t="n">
        <v>1</v>
      </c>
      <c r="D67" s="20" t="s">
        <v>126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668</v>
      </c>
      <c r="H67" s="18" t="s">
        <v>536</v>
      </c>
      <c r="I67" s="21" t="s">
        <v>129</v>
      </c>
      <c r="J67" s="22" t="s">
        <v>716</v>
      </c>
      <c r="K67" s="23" t="s">
        <v>131</v>
      </c>
      <c r="L67" s="24" t="s">
        <v>717</v>
      </c>
      <c r="M67" s="24" t="s">
        <v>718</v>
      </c>
      <c r="N67" s="23" t="s">
        <v>719</v>
      </c>
      <c r="O67" s="24" t="s">
        <v>720</v>
      </c>
      <c r="P67" s="24" t="s">
        <v>721</v>
      </c>
      <c r="Q67" s="24" t="s">
        <v>722</v>
      </c>
      <c r="R67" s="24"/>
      <c r="S67" s="24" t="s">
        <v>139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140</v>
      </c>
      <c r="Y67" s="23" t="s">
        <v>140</v>
      </c>
      <c r="Z67" s="23" t="s">
        <v>140</v>
      </c>
      <c r="AA67" s="23" t="s">
        <v>140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</row>
    <row r="68" customFormat="false" ht="26.85" hidden="false" customHeight="false" outlineLevel="0" collapsed="false">
      <c r="A68" s="21" t="n">
        <v>67</v>
      </c>
      <c r="B68" s="18" t="s">
        <v>723</v>
      </c>
      <c r="C68" s="20" t="n">
        <v>1</v>
      </c>
      <c r="D68" s="20" t="s">
        <v>126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668</v>
      </c>
      <c r="H68" s="18" t="s">
        <v>536</v>
      </c>
      <c r="I68" s="21" t="s">
        <v>129</v>
      </c>
      <c r="J68" s="22" t="s">
        <v>724</v>
      </c>
      <c r="K68" s="23" t="s">
        <v>131</v>
      </c>
      <c r="L68" s="24" t="s">
        <v>725</v>
      </c>
      <c r="M68" s="24" t="s">
        <v>726</v>
      </c>
      <c r="N68" s="23" t="s">
        <v>727</v>
      </c>
      <c r="O68" s="24" t="s">
        <v>728</v>
      </c>
      <c r="P68" s="24" t="s">
        <v>729</v>
      </c>
      <c r="Q68" s="24" t="s">
        <v>730</v>
      </c>
      <c r="R68" s="24"/>
      <c r="S68" s="24" t="s">
        <v>139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140</v>
      </c>
      <c r="Y68" s="23" t="s">
        <v>140</v>
      </c>
      <c r="Z68" s="23" t="s">
        <v>140</v>
      </c>
      <c r="AA68" s="23" t="s">
        <v>140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</row>
    <row r="69" customFormat="false" ht="25.35" hidden="false" customHeight="false" outlineLevel="0" collapsed="false">
      <c r="A69" s="21" t="n">
        <v>68</v>
      </c>
      <c r="B69" s="18" t="s">
        <v>731</v>
      </c>
      <c r="C69" s="20" t="n">
        <v>1</v>
      </c>
      <c r="D69" s="20" t="s">
        <v>126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732</v>
      </c>
      <c r="H69" s="18" t="s">
        <v>733</v>
      </c>
      <c r="I69" s="21" t="s">
        <v>129</v>
      </c>
      <c r="J69" s="22" t="s">
        <v>734</v>
      </c>
      <c r="K69" s="23" t="s">
        <v>131</v>
      </c>
      <c r="L69" s="24" t="s">
        <v>735</v>
      </c>
      <c r="M69" s="24" t="s">
        <v>736</v>
      </c>
      <c r="N69" s="23" t="s">
        <v>737</v>
      </c>
      <c r="O69" s="24" t="s">
        <v>738</v>
      </c>
      <c r="P69" s="24" t="s">
        <v>739</v>
      </c>
      <c r="Q69" s="24" t="s">
        <v>740</v>
      </c>
      <c r="R69" s="24"/>
      <c r="S69" s="24" t="s">
        <v>139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140</v>
      </c>
      <c r="Y69" s="23" t="s">
        <v>140</v>
      </c>
      <c r="Z69" s="23" t="s">
        <v>140</v>
      </c>
      <c r="AA69" s="23" t="s">
        <v>140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</row>
    <row r="70" customFormat="false" ht="26.85" hidden="false" customHeight="false" outlineLevel="0" collapsed="false">
      <c r="A70" s="21" t="n">
        <v>69</v>
      </c>
      <c r="B70" s="18" t="s">
        <v>741</v>
      </c>
      <c r="C70" s="23" t="n">
        <v>2</v>
      </c>
      <c r="D70" s="23" t="s">
        <v>126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732</v>
      </c>
      <c r="H70" s="18" t="s">
        <v>686</v>
      </c>
      <c r="I70" s="21" t="s">
        <v>129</v>
      </c>
      <c r="J70" s="22" t="s">
        <v>742</v>
      </c>
      <c r="K70" s="23" t="s">
        <v>131</v>
      </c>
      <c r="L70" s="24" t="s">
        <v>743</v>
      </c>
      <c r="M70" s="24" t="s">
        <v>744</v>
      </c>
      <c r="N70" s="23" t="s">
        <v>745</v>
      </c>
      <c r="O70" s="24" t="s">
        <v>746</v>
      </c>
      <c r="P70" s="24" t="s">
        <v>747</v>
      </c>
      <c r="Q70" s="24" t="s">
        <v>748</v>
      </c>
      <c r="R70" s="24"/>
      <c r="S70" s="24" t="s">
        <v>749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140</v>
      </c>
      <c r="Y70" s="23" t="s">
        <v>140</v>
      </c>
      <c r="Z70" s="23" t="s">
        <v>140</v>
      </c>
      <c r="AA70" s="23" t="s">
        <v>140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</row>
    <row r="71" customFormat="false" ht="26.85" hidden="false" customHeight="false" outlineLevel="0" collapsed="false">
      <c r="A71" s="21" t="n">
        <v>70</v>
      </c>
      <c r="B71" s="18" t="s">
        <v>750</v>
      </c>
      <c r="C71" s="20" t="n">
        <v>1</v>
      </c>
      <c r="D71" s="20" t="s">
        <v>126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732</v>
      </c>
      <c r="H71" s="18" t="s">
        <v>733</v>
      </c>
      <c r="I71" s="21" t="s">
        <v>129</v>
      </c>
      <c r="J71" s="22" t="s">
        <v>751</v>
      </c>
      <c r="K71" s="23" t="s">
        <v>131</v>
      </c>
      <c r="L71" s="24" t="s">
        <v>752</v>
      </c>
      <c r="M71" s="24" t="s">
        <v>753</v>
      </c>
      <c r="N71" s="23" t="s">
        <v>754</v>
      </c>
      <c r="O71" s="24" t="s">
        <v>755</v>
      </c>
      <c r="P71" s="24" t="s">
        <v>756</v>
      </c>
      <c r="Q71" s="24" t="s">
        <v>757</v>
      </c>
      <c r="R71" s="25" t="s">
        <v>758</v>
      </c>
      <c r="S71" s="28" t="s">
        <v>759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140</v>
      </c>
      <c r="Y71" s="23" t="s">
        <v>140</v>
      </c>
      <c r="Z71" s="23" t="s">
        <v>140</v>
      </c>
      <c r="AA71" s="23" t="s">
        <v>140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</row>
    <row r="72" customFormat="false" ht="26.85" hidden="false" customHeight="false" outlineLevel="0" collapsed="false">
      <c r="A72" s="21" t="n">
        <v>71</v>
      </c>
      <c r="B72" s="18" t="s">
        <v>760</v>
      </c>
      <c r="C72" s="20" t="n">
        <v>1</v>
      </c>
      <c r="D72" s="20" t="s">
        <v>126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732</v>
      </c>
      <c r="H72" s="18" t="s">
        <v>733</v>
      </c>
      <c r="I72" s="21" t="s">
        <v>129</v>
      </c>
      <c r="J72" s="22" t="s">
        <v>761</v>
      </c>
      <c r="K72" s="23" t="s">
        <v>131</v>
      </c>
      <c r="L72" s="24" t="s">
        <v>762</v>
      </c>
      <c r="M72" s="24" t="s">
        <v>763</v>
      </c>
      <c r="N72" s="23" t="s">
        <v>764</v>
      </c>
      <c r="O72" s="24" t="s">
        <v>765</v>
      </c>
      <c r="P72" s="24" t="s">
        <v>766</v>
      </c>
      <c r="Q72" s="24" t="s">
        <v>757</v>
      </c>
      <c r="R72" s="24"/>
      <c r="S72" s="24" t="s">
        <v>139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140</v>
      </c>
      <c r="Y72" s="23" t="s">
        <v>140</v>
      </c>
      <c r="Z72" s="23" t="s">
        <v>140</v>
      </c>
      <c r="AA72" s="23" t="s">
        <v>140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</row>
    <row r="73" customFormat="false" ht="26.85" hidden="false" customHeight="false" outlineLevel="0" collapsed="false">
      <c r="A73" s="21" t="n">
        <v>72</v>
      </c>
      <c r="B73" s="18" t="s">
        <v>767</v>
      </c>
      <c r="C73" s="23" t="n">
        <v>2</v>
      </c>
      <c r="D73" s="23" t="s">
        <v>126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732</v>
      </c>
      <c r="H73" s="18" t="s">
        <v>686</v>
      </c>
      <c r="I73" s="21" t="s">
        <v>129</v>
      </c>
      <c r="J73" s="22" t="s">
        <v>768</v>
      </c>
      <c r="K73" s="23" t="s">
        <v>131</v>
      </c>
      <c r="L73" s="24" t="s">
        <v>769</v>
      </c>
      <c r="M73" s="24" t="s">
        <v>770</v>
      </c>
      <c r="N73" s="23" t="s">
        <v>771</v>
      </c>
      <c r="O73" s="24" t="s">
        <v>772</v>
      </c>
      <c r="P73" s="24" t="s">
        <v>773</v>
      </c>
      <c r="Q73" s="24" t="s">
        <v>774</v>
      </c>
      <c r="R73" s="24"/>
      <c r="S73" s="24" t="s">
        <v>775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140</v>
      </c>
      <c r="Y73" s="23" t="s">
        <v>140</v>
      </c>
      <c r="Z73" s="23" t="s">
        <v>140</v>
      </c>
      <c r="AA73" s="23" t="s">
        <v>140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</row>
    <row r="74" customFormat="false" ht="25.35" hidden="false" customHeight="false" outlineLevel="0" collapsed="false">
      <c r="A74" s="21" t="n">
        <v>73</v>
      </c>
      <c r="B74" s="18" t="s">
        <v>776</v>
      </c>
      <c r="C74" s="23" t="n">
        <v>2</v>
      </c>
      <c r="D74" s="23" t="s">
        <v>126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732</v>
      </c>
      <c r="H74" s="18" t="s">
        <v>686</v>
      </c>
      <c r="I74" s="21" t="s">
        <v>129</v>
      </c>
      <c r="J74" s="22" t="s">
        <v>777</v>
      </c>
      <c r="K74" s="23" t="s">
        <v>131</v>
      </c>
      <c r="L74" s="24" t="s">
        <v>778</v>
      </c>
      <c r="M74" s="29" t="s">
        <v>779</v>
      </c>
      <c r="N74" s="23" t="s">
        <v>780</v>
      </c>
      <c r="O74" s="24" t="s">
        <v>781</v>
      </c>
      <c r="P74" s="24" t="s">
        <v>782</v>
      </c>
      <c r="Q74" s="24" t="s">
        <v>783</v>
      </c>
      <c r="R74" s="24"/>
      <c r="S74" s="24" t="s">
        <v>775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140</v>
      </c>
      <c r="Y74" s="23" t="s">
        <v>140</v>
      </c>
      <c r="Z74" s="23" t="s">
        <v>140</v>
      </c>
      <c r="AA74" s="23" t="s">
        <v>140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</row>
    <row r="75" customFormat="false" ht="25.35" hidden="false" customHeight="false" outlineLevel="0" collapsed="false">
      <c r="A75" s="21" t="n">
        <v>74</v>
      </c>
      <c r="B75" s="18" t="s">
        <v>784</v>
      </c>
      <c r="C75" s="23" t="n">
        <v>2</v>
      </c>
      <c r="D75" s="23" t="s">
        <v>126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732</v>
      </c>
      <c r="H75" s="18" t="s">
        <v>686</v>
      </c>
      <c r="I75" s="21" t="s">
        <v>129</v>
      </c>
      <c r="J75" s="22" t="s">
        <v>785</v>
      </c>
      <c r="K75" s="23" t="s">
        <v>131</v>
      </c>
      <c r="L75" s="24" t="s">
        <v>786</v>
      </c>
      <c r="M75" s="24" t="s">
        <v>787</v>
      </c>
      <c r="N75" s="23" t="s">
        <v>788</v>
      </c>
      <c r="O75" s="24" t="s">
        <v>789</v>
      </c>
      <c r="P75" s="24" t="s">
        <v>790</v>
      </c>
      <c r="Q75" s="24" t="s">
        <v>740</v>
      </c>
      <c r="R75" s="24"/>
      <c r="S75" s="24" t="s">
        <v>775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140</v>
      </c>
      <c r="Y75" s="23" t="s">
        <v>140</v>
      </c>
      <c r="Z75" s="23" t="s">
        <v>140</v>
      </c>
      <c r="AA75" s="23" t="s">
        <v>140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</row>
    <row r="76" customFormat="false" ht="26.85" hidden="false" customHeight="false" outlineLevel="0" collapsed="false">
      <c r="A76" s="21" t="n">
        <v>75</v>
      </c>
      <c r="B76" s="18" t="s">
        <v>791</v>
      </c>
      <c r="C76" s="23" t="n">
        <v>2</v>
      </c>
      <c r="D76" s="23" t="s">
        <v>126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732</v>
      </c>
      <c r="H76" s="18" t="s">
        <v>686</v>
      </c>
      <c r="I76" s="21" t="s">
        <v>129</v>
      </c>
      <c r="J76" s="22" t="s">
        <v>792</v>
      </c>
      <c r="K76" s="23" t="s">
        <v>131</v>
      </c>
      <c r="L76" s="24" t="s">
        <v>793</v>
      </c>
      <c r="M76" s="24" t="s">
        <v>794</v>
      </c>
      <c r="N76" s="23" t="s">
        <v>795</v>
      </c>
      <c r="O76" s="24" t="s">
        <v>796</v>
      </c>
      <c r="P76" s="24" t="s">
        <v>797</v>
      </c>
      <c r="Q76" s="24" t="s">
        <v>798</v>
      </c>
      <c r="R76" s="24"/>
      <c r="S76" s="24" t="s">
        <v>775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140</v>
      </c>
      <c r="Y76" s="23" t="s">
        <v>140</v>
      </c>
      <c r="Z76" s="23" t="s">
        <v>140</v>
      </c>
      <c r="AA76" s="23" t="s">
        <v>140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</row>
    <row r="77" customFormat="false" ht="52.2" hidden="false" customHeight="false" outlineLevel="0" collapsed="false">
      <c r="A77" s="21" t="n">
        <v>76</v>
      </c>
      <c r="B77" s="18" t="s">
        <v>799</v>
      </c>
      <c r="C77" s="20" t="n">
        <v>1</v>
      </c>
      <c r="D77" s="20" t="s">
        <v>126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732</v>
      </c>
      <c r="H77" s="18" t="s">
        <v>733</v>
      </c>
      <c r="I77" s="21" t="s">
        <v>129</v>
      </c>
      <c r="J77" s="22" t="s">
        <v>800</v>
      </c>
      <c r="K77" s="23" t="s">
        <v>131</v>
      </c>
      <c r="L77" s="24" t="s">
        <v>801</v>
      </c>
      <c r="M77" s="24" t="s">
        <v>802</v>
      </c>
      <c r="N77" s="23" t="s">
        <v>803</v>
      </c>
      <c r="O77" s="24" t="s">
        <v>804</v>
      </c>
      <c r="P77" s="24" t="s">
        <v>805</v>
      </c>
      <c r="Q77" s="24" t="s">
        <v>806</v>
      </c>
      <c r="R77" s="27" t="s">
        <v>807</v>
      </c>
      <c r="S77" s="28" t="s">
        <v>808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140</v>
      </c>
      <c r="Y77" s="23" t="s">
        <v>140</v>
      </c>
      <c r="Z77" s="23" t="s">
        <v>140</v>
      </c>
      <c r="AA77" s="23" t="s">
        <v>140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</row>
    <row r="78" customFormat="false" ht="26.85" hidden="false" customHeight="false" outlineLevel="0" collapsed="false">
      <c r="A78" s="21" t="n">
        <v>77</v>
      </c>
      <c r="B78" s="18" t="s">
        <v>809</v>
      </c>
      <c r="C78" s="23" t="n">
        <v>2</v>
      </c>
      <c r="D78" s="23" t="s">
        <v>126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732</v>
      </c>
      <c r="H78" s="18" t="s">
        <v>686</v>
      </c>
      <c r="I78" s="21" t="s">
        <v>129</v>
      </c>
      <c r="J78" s="22" t="s">
        <v>810</v>
      </c>
      <c r="K78" s="23" t="s">
        <v>131</v>
      </c>
      <c r="L78" s="24" t="s">
        <v>811</v>
      </c>
      <c r="M78" s="24" t="s">
        <v>812</v>
      </c>
      <c r="N78" s="23" t="s">
        <v>813</v>
      </c>
      <c r="O78" s="24" t="s">
        <v>814</v>
      </c>
      <c r="P78" s="24" t="s">
        <v>815</v>
      </c>
      <c r="Q78" s="24" t="s">
        <v>816</v>
      </c>
      <c r="R78" s="24"/>
      <c r="S78" s="24" t="s">
        <v>817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140</v>
      </c>
      <c r="Y78" s="23" t="s">
        <v>140</v>
      </c>
      <c r="Z78" s="23" t="s">
        <v>140</v>
      </c>
      <c r="AA78" s="23" t="s">
        <v>140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</row>
    <row r="79" customFormat="false" ht="26.85" hidden="false" customHeight="false" outlineLevel="0" collapsed="false">
      <c r="A79" s="21" t="n">
        <v>78</v>
      </c>
      <c r="B79" s="18" t="s">
        <v>818</v>
      </c>
      <c r="C79" s="20" t="n">
        <v>1</v>
      </c>
      <c r="D79" s="20" t="s">
        <v>126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732</v>
      </c>
      <c r="H79" s="18" t="s">
        <v>733</v>
      </c>
      <c r="I79" s="21" t="s">
        <v>129</v>
      </c>
      <c r="J79" s="22" t="s">
        <v>819</v>
      </c>
      <c r="K79" s="23" t="s">
        <v>131</v>
      </c>
      <c r="L79" s="24" t="s">
        <v>820</v>
      </c>
      <c r="M79" s="24" t="s">
        <v>821</v>
      </c>
      <c r="N79" s="23" t="s">
        <v>822</v>
      </c>
      <c r="O79" s="24" t="s">
        <v>823</v>
      </c>
      <c r="P79" s="24" t="s">
        <v>766</v>
      </c>
      <c r="Q79" s="24" t="s">
        <v>824</v>
      </c>
      <c r="R79" s="25" t="s">
        <v>825</v>
      </c>
      <c r="S79" s="28" t="s">
        <v>826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140</v>
      </c>
      <c r="Y79" s="23" t="s">
        <v>140</v>
      </c>
      <c r="Z79" s="23" t="s">
        <v>140</v>
      </c>
      <c r="AA79" s="23" t="s">
        <v>140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</row>
    <row r="80" customFormat="false" ht="26.85" hidden="false" customHeight="false" outlineLevel="0" collapsed="false">
      <c r="A80" s="21" t="n">
        <v>79</v>
      </c>
      <c r="B80" s="18" t="s">
        <v>827</v>
      </c>
      <c r="C80" s="20" t="n">
        <v>1</v>
      </c>
      <c r="D80" s="20" t="s">
        <v>126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828</v>
      </c>
      <c r="H80" s="18" t="s">
        <v>733</v>
      </c>
      <c r="I80" s="21" t="s">
        <v>829</v>
      </c>
      <c r="J80" s="22" t="s">
        <v>830</v>
      </c>
      <c r="K80" s="23" t="s">
        <v>131</v>
      </c>
      <c r="L80" s="24" t="s">
        <v>831</v>
      </c>
      <c r="M80" s="24" t="s">
        <v>832</v>
      </c>
      <c r="N80" s="23" t="s">
        <v>833</v>
      </c>
      <c r="O80" s="24" t="s">
        <v>834</v>
      </c>
      <c r="P80" s="24" t="s">
        <v>835</v>
      </c>
      <c r="Q80" s="24" t="s">
        <v>836</v>
      </c>
      <c r="R80" s="25" t="s">
        <v>837</v>
      </c>
      <c r="S80" s="24" t="s">
        <v>139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140</v>
      </c>
      <c r="Y80" s="23" t="s">
        <v>140</v>
      </c>
      <c r="Z80" s="23" t="s">
        <v>140</v>
      </c>
      <c r="AA80" s="23" t="s">
        <v>140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</row>
    <row r="81" customFormat="false" ht="26.85" hidden="false" customHeight="false" outlineLevel="0" collapsed="false">
      <c r="A81" s="21" t="n">
        <v>80</v>
      </c>
      <c r="B81" s="18" t="s">
        <v>838</v>
      </c>
      <c r="C81" s="20" t="n">
        <v>1</v>
      </c>
      <c r="D81" s="20" t="s">
        <v>126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828</v>
      </c>
      <c r="H81" s="18" t="s">
        <v>733</v>
      </c>
      <c r="I81" s="21" t="s">
        <v>829</v>
      </c>
      <c r="J81" s="22" t="s">
        <v>839</v>
      </c>
      <c r="K81" s="23" t="s">
        <v>131</v>
      </c>
      <c r="L81" s="24" t="s">
        <v>840</v>
      </c>
      <c r="M81" s="24" t="s">
        <v>841</v>
      </c>
      <c r="N81" s="23" t="s">
        <v>842</v>
      </c>
      <c r="O81" s="24" t="s">
        <v>843</v>
      </c>
      <c r="P81" s="24" t="s">
        <v>844</v>
      </c>
      <c r="Q81" s="24" t="s">
        <v>845</v>
      </c>
      <c r="R81" s="24"/>
      <c r="S81" s="24" t="s">
        <v>139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140</v>
      </c>
      <c r="Y81" s="23" t="s">
        <v>140</v>
      </c>
      <c r="Z81" s="23" t="s">
        <v>140</v>
      </c>
      <c r="AA81" s="23" t="s">
        <v>140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</row>
    <row r="82" customFormat="false" ht="26.85" hidden="false" customHeight="false" outlineLevel="0" collapsed="false">
      <c r="A82" s="21" t="n">
        <v>81</v>
      </c>
      <c r="B82" s="18" t="s">
        <v>846</v>
      </c>
      <c r="C82" s="20" t="n">
        <v>1</v>
      </c>
      <c r="D82" s="20" t="s">
        <v>126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828</v>
      </c>
      <c r="H82" s="18" t="s">
        <v>733</v>
      </c>
      <c r="I82" s="21" t="s">
        <v>829</v>
      </c>
      <c r="J82" s="22" t="s">
        <v>847</v>
      </c>
      <c r="K82" s="23" t="s">
        <v>131</v>
      </c>
      <c r="L82" s="24" t="s">
        <v>848</v>
      </c>
      <c r="M82" s="29" t="s">
        <v>849</v>
      </c>
      <c r="N82" s="23" t="s">
        <v>850</v>
      </c>
      <c r="O82" s="24" t="s">
        <v>851</v>
      </c>
      <c r="P82" s="24" t="s">
        <v>852</v>
      </c>
      <c r="Q82" s="24" t="s">
        <v>853</v>
      </c>
      <c r="R82" s="25" t="s">
        <v>854</v>
      </c>
      <c r="S82" s="24" t="s">
        <v>139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140</v>
      </c>
      <c r="Y82" s="23" t="s">
        <v>140</v>
      </c>
      <c r="Z82" s="23" t="s">
        <v>140</v>
      </c>
      <c r="AA82" s="23" t="s">
        <v>140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</row>
    <row r="83" customFormat="false" ht="15" hidden="false" customHeight="false" outlineLevel="0" collapsed="false">
      <c r="A83" s="21" t="n">
        <v>82</v>
      </c>
      <c r="B83" s="18" t="s">
        <v>855</v>
      </c>
      <c r="C83" s="20" t="n">
        <v>1</v>
      </c>
      <c r="D83" s="20" t="s">
        <v>126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828</v>
      </c>
      <c r="H83" s="18" t="s">
        <v>733</v>
      </c>
      <c r="I83" s="21" t="s">
        <v>829</v>
      </c>
      <c r="J83" s="22" t="s">
        <v>856</v>
      </c>
      <c r="K83" s="23" t="s">
        <v>131</v>
      </c>
      <c r="L83" s="24" t="s">
        <v>857</v>
      </c>
      <c r="M83" s="24" t="s">
        <v>858</v>
      </c>
      <c r="N83" s="23" t="s">
        <v>859</v>
      </c>
      <c r="O83" s="24" t="s">
        <v>860</v>
      </c>
      <c r="P83" s="24" t="s">
        <v>861</v>
      </c>
      <c r="Q83" s="24" t="s">
        <v>862</v>
      </c>
      <c r="R83" s="25" t="s">
        <v>863</v>
      </c>
      <c r="S83" s="24" t="s">
        <v>139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140</v>
      </c>
      <c r="Y83" s="23" t="s">
        <v>140</v>
      </c>
      <c r="Z83" s="23" t="s">
        <v>140</v>
      </c>
      <c r="AA83" s="23" t="s">
        <v>140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</row>
    <row r="84" customFormat="false" ht="26.85" hidden="false" customHeight="false" outlineLevel="0" collapsed="false">
      <c r="A84" s="21" t="n">
        <v>83</v>
      </c>
      <c r="B84" s="18" t="s">
        <v>864</v>
      </c>
      <c r="C84" s="20" t="n">
        <v>1</v>
      </c>
      <c r="D84" s="20" t="s">
        <v>126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828</v>
      </c>
      <c r="H84" s="18" t="s">
        <v>733</v>
      </c>
      <c r="I84" s="21" t="s">
        <v>829</v>
      </c>
      <c r="J84" s="22" t="s">
        <v>865</v>
      </c>
      <c r="K84" s="23" t="s">
        <v>131</v>
      </c>
      <c r="L84" s="24" t="s">
        <v>866</v>
      </c>
      <c r="M84" s="24" t="s">
        <v>867</v>
      </c>
      <c r="N84" s="23" t="s">
        <v>868</v>
      </c>
      <c r="O84" s="24" t="s">
        <v>869</v>
      </c>
      <c r="P84" s="24" t="s">
        <v>870</v>
      </c>
      <c r="Q84" s="24" t="s">
        <v>871</v>
      </c>
      <c r="R84" s="24"/>
      <c r="S84" s="24" t="s">
        <v>139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140</v>
      </c>
      <c r="Y84" s="23" t="s">
        <v>140</v>
      </c>
      <c r="Z84" s="23" t="s">
        <v>140</v>
      </c>
      <c r="AA84" s="23" t="s">
        <v>140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</row>
    <row r="85" customFormat="false" ht="26.85" hidden="false" customHeight="false" outlineLevel="0" collapsed="false">
      <c r="A85" s="21" t="n">
        <v>84</v>
      </c>
      <c r="B85" s="18" t="s">
        <v>872</v>
      </c>
      <c r="C85" s="23" t="n">
        <v>2</v>
      </c>
      <c r="D85" s="23" t="s">
        <v>126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828</v>
      </c>
      <c r="H85" s="18" t="s">
        <v>873</v>
      </c>
      <c r="I85" s="21" t="s">
        <v>829</v>
      </c>
      <c r="J85" s="22" t="s">
        <v>874</v>
      </c>
      <c r="K85" s="23" t="s">
        <v>131</v>
      </c>
      <c r="L85" s="24" t="s">
        <v>875</v>
      </c>
      <c r="M85" s="29" t="s">
        <v>876</v>
      </c>
      <c r="N85" s="23" t="s">
        <v>877</v>
      </c>
      <c r="O85" s="24" t="s">
        <v>878</v>
      </c>
      <c r="P85" s="24" t="s">
        <v>879</v>
      </c>
      <c r="Q85" s="24" t="s">
        <v>880</v>
      </c>
      <c r="R85" s="27" t="s">
        <v>881</v>
      </c>
      <c r="S85" s="24" t="s">
        <v>882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140</v>
      </c>
      <c r="Y85" s="23" t="s">
        <v>140</v>
      </c>
      <c r="Z85" s="23" t="s">
        <v>140</v>
      </c>
      <c r="AA85" s="23" t="s">
        <v>140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</row>
    <row r="86" customFormat="false" ht="26.85" hidden="false" customHeight="false" outlineLevel="0" collapsed="false">
      <c r="A86" s="21" t="n">
        <v>85</v>
      </c>
      <c r="B86" s="18" t="s">
        <v>883</v>
      </c>
      <c r="C86" s="20" t="n">
        <v>1</v>
      </c>
      <c r="D86" s="20" t="s">
        <v>126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828</v>
      </c>
      <c r="H86" s="18" t="s">
        <v>733</v>
      </c>
      <c r="I86" s="21" t="s">
        <v>829</v>
      </c>
      <c r="J86" s="22" t="s">
        <v>884</v>
      </c>
      <c r="K86" s="23" t="s">
        <v>131</v>
      </c>
      <c r="L86" s="24" t="s">
        <v>885</v>
      </c>
      <c r="M86" s="24" t="s">
        <v>886</v>
      </c>
      <c r="N86" s="23" t="s">
        <v>887</v>
      </c>
      <c r="O86" s="24" t="s">
        <v>888</v>
      </c>
      <c r="P86" s="24" t="s">
        <v>889</v>
      </c>
      <c r="Q86" s="24" t="s">
        <v>890</v>
      </c>
      <c r="R86" s="24"/>
      <c r="S86" s="28" t="s">
        <v>891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140</v>
      </c>
      <c r="Y86" s="23" t="s">
        <v>140</v>
      </c>
      <c r="Z86" s="23" t="s">
        <v>140</v>
      </c>
      <c r="AA86" s="23" t="s">
        <v>140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</row>
    <row r="87" customFormat="false" ht="26.85" hidden="false" customHeight="false" outlineLevel="0" collapsed="false">
      <c r="A87" s="21" t="n">
        <v>86</v>
      </c>
      <c r="B87" s="18" t="s">
        <v>892</v>
      </c>
      <c r="C87" s="23" t="n">
        <v>2</v>
      </c>
      <c r="D87" s="23" t="s">
        <v>126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828</v>
      </c>
      <c r="H87" s="18" t="s">
        <v>873</v>
      </c>
      <c r="I87" s="21" t="s">
        <v>829</v>
      </c>
      <c r="J87" s="22" t="s">
        <v>893</v>
      </c>
      <c r="K87" s="23" t="s">
        <v>131</v>
      </c>
      <c r="L87" s="24" t="s">
        <v>894</v>
      </c>
      <c r="M87" s="24" t="s">
        <v>895</v>
      </c>
      <c r="N87" s="23" t="s">
        <v>896</v>
      </c>
      <c r="O87" s="24" t="s">
        <v>897</v>
      </c>
      <c r="P87" s="24" t="s">
        <v>898</v>
      </c>
      <c r="Q87" s="24" t="s">
        <v>824</v>
      </c>
      <c r="R87" s="24"/>
      <c r="S87" s="24" t="s">
        <v>899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140</v>
      </c>
      <c r="Y87" s="23" t="s">
        <v>140</v>
      </c>
      <c r="Z87" s="23" t="s">
        <v>140</v>
      </c>
      <c r="AA87" s="23" t="s">
        <v>140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</row>
    <row r="88" customFormat="false" ht="26.85" hidden="false" customHeight="false" outlineLevel="0" collapsed="false">
      <c r="A88" s="21" t="n">
        <v>87</v>
      </c>
      <c r="B88" s="18" t="s">
        <v>900</v>
      </c>
      <c r="C88" s="20" t="n">
        <v>1</v>
      </c>
      <c r="D88" s="20" t="s">
        <v>126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901</v>
      </c>
      <c r="H88" s="18" t="s">
        <v>902</v>
      </c>
      <c r="I88" s="21" t="s">
        <v>829</v>
      </c>
      <c r="J88" s="22" t="s">
        <v>903</v>
      </c>
      <c r="K88" s="23" t="s">
        <v>131</v>
      </c>
      <c r="L88" s="24" t="s">
        <v>904</v>
      </c>
      <c r="M88" s="24" t="s">
        <v>905</v>
      </c>
      <c r="N88" s="23" t="s">
        <v>906</v>
      </c>
      <c r="O88" s="24" t="s">
        <v>907</v>
      </c>
      <c r="P88" s="24" t="s">
        <v>908</v>
      </c>
      <c r="Q88" s="24" t="s">
        <v>722</v>
      </c>
      <c r="R88" s="25" t="s">
        <v>909</v>
      </c>
      <c r="S88" s="28" t="s">
        <v>910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140</v>
      </c>
      <c r="Y88" s="23" t="s">
        <v>140</v>
      </c>
      <c r="Z88" s="23" t="s">
        <v>140</v>
      </c>
      <c r="AA88" s="23" t="s">
        <v>140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</row>
    <row r="89" customFormat="false" ht="25.35" hidden="false" customHeight="false" outlineLevel="0" collapsed="false">
      <c r="A89" s="21" t="n">
        <v>88</v>
      </c>
      <c r="B89" s="18" t="s">
        <v>911</v>
      </c>
      <c r="C89" s="20" t="n">
        <v>1</v>
      </c>
      <c r="D89" s="20" t="s">
        <v>126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901</v>
      </c>
      <c r="H89" s="18" t="s">
        <v>902</v>
      </c>
      <c r="I89" s="21" t="s">
        <v>829</v>
      </c>
      <c r="J89" s="22" t="s">
        <v>912</v>
      </c>
      <c r="K89" s="23" t="s">
        <v>131</v>
      </c>
      <c r="L89" s="24" t="s">
        <v>913</v>
      </c>
      <c r="M89" s="24" t="s">
        <v>914</v>
      </c>
      <c r="N89" s="23" t="s">
        <v>915</v>
      </c>
      <c r="O89" s="24" t="s">
        <v>916</v>
      </c>
      <c r="P89" s="24" t="s">
        <v>917</v>
      </c>
      <c r="Q89" s="24" t="s">
        <v>918</v>
      </c>
      <c r="R89" s="24"/>
      <c r="S89" s="24" t="s">
        <v>139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140</v>
      </c>
      <c r="Y89" s="23" t="s">
        <v>140</v>
      </c>
      <c r="Z89" s="23" t="s">
        <v>140</v>
      </c>
      <c r="AA89" s="23" t="s">
        <v>140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</row>
    <row r="90" customFormat="false" ht="15" hidden="false" customHeight="false" outlineLevel="0" collapsed="false">
      <c r="A90" s="21" t="n">
        <v>89</v>
      </c>
      <c r="B90" s="18" t="s">
        <v>919</v>
      </c>
      <c r="C90" s="20" t="n">
        <v>1</v>
      </c>
      <c r="D90" s="20" t="s">
        <v>126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901</v>
      </c>
      <c r="H90" s="18" t="s">
        <v>902</v>
      </c>
      <c r="I90" s="21" t="s">
        <v>829</v>
      </c>
      <c r="J90" s="22" t="s">
        <v>920</v>
      </c>
      <c r="K90" s="23" t="s">
        <v>131</v>
      </c>
      <c r="L90" s="24" t="s">
        <v>921</v>
      </c>
      <c r="M90" s="24" t="s">
        <v>922</v>
      </c>
      <c r="N90" s="23" t="s">
        <v>923</v>
      </c>
      <c r="O90" s="24" t="s">
        <v>924</v>
      </c>
      <c r="P90" s="24" t="s">
        <v>925</v>
      </c>
      <c r="Q90" s="24" t="s">
        <v>926</v>
      </c>
      <c r="R90" s="24"/>
      <c r="S90" s="24" t="s">
        <v>139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140</v>
      </c>
      <c r="Y90" s="23" t="s">
        <v>140</v>
      </c>
      <c r="Z90" s="23" t="s">
        <v>140</v>
      </c>
      <c r="AA90" s="23" t="s">
        <v>140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</row>
    <row r="91" customFormat="false" ht="26.85" hidden="false" customHeight="false" outlineLevel="0" collapsed="false">
      <c r="A91" s="21" t="n">
        <v>90</v>
      </c>
      <c r="B91" s="18" t="s">
        <v>927</v>
      </c>
      <c r="C91" s="23" t="n">
        <v>2</v>
      </c>
      <c r="D91" s="23" t="s">
        <v>126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901</v>
      </c>
      <c r="H91" s="18" t="s">
        <v>873</v>
      </c>
      <c r="I91" s="21" t="s">
        <v>829</v>
      </c>
      <c r="J91" s="22" t="s">
        <v>928</v>
      </c>
      <c r="K91" s="23" t="s">
        <v>131</v>
      </c>
      <c r="L91" s="24" t="s">
        <v>929</v>
      </c>
      <c r="M91" s="24" t="s">
        <v>930</v>
      </c>
      <c r="N91" s="23" t="s">
        <v>931</v>
      </c>
      <c r="O91" s="24" t="s">
        <v>932</v>
      </c>
      <c r="P91" s="24" t="s">
        <v>933</v>
      </c>
      <c r="Q91" s="24" t="s">
        <v>934</v>
      </c>
      <c r="R91" s="24"/>
      <c r="S91" s="24" t="s">
        <v>935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140</v>
      </c>
      <c r="Y91" s="23" t="s">
        <v>140</v>
      </c>
      <c r="Z91" s="23" t="s">
        <v>140</v>
      </c>
      <c r="AA91" s="23" t="s">
        <v>140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</row>
    <row r="92" customFormat="false" ht="26.85" hidden="false" customHeight="false" outlineLevel="0" collapsed="false">
      <c r="A92" s="21" t="n">
        <v>91</v>
      </c>
      <c r="B92" s="18" t="s">
        <v>936</v>
      </c>
      <c r="C92" s="23" t="n">
        <v>2</v>
      </c>
      <c r="D92" s="23" t="s">
        <v>126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901</v>
      </c>
      <c r="H92" s="18" t="s">
        <v>873</v>
      </c>
      <c r="I92" s="21" t="s">
        <v>829</v>
      </c>
      <c r="J92" s="22" t="s">
        <v>937</v>
      </c>
      <c r="K92" s="23" t="s">
        <v>131</v>
      </c>
      <c r="L92" s="24" t="s">
        <v>938</v>
      </c>
      <c r="M92" s="24" t="s">
        <v>939</v>
      </c>
      <c r="N92" s="23" t="s">
        <v>940</v>
      </c>
      <c r="O92" s="24" t="s">
        <v>941</v>
      </c>
      <c r="P92" s="24" t="s">
        <v>917</v>
      </c>
      <c r="Q92" s="24" t="s">
        <v>942</v>
      </c>
      <c r="R92" s="24"/>
      <c r="S92" s="24" t="s">
        <v>935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140</v>
      </c>
      <c r="Y92" s="23" t="s">
        <v>140</v>
      </c>
      <c r="Z92" s="23" t="s">
        <v>140</v>
      </c>
      <c r="AA92" s="23" t="s">
        <v>140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</row>
    <row r="93" customFormat="false" ht="25.35" hidden="false" customHeight="false" outlineLevel="0" collapsed="false">
      <c r="A93" s="21" t="n">
        <v>92</v>
      </c>
      <c r="B93" s="18" t="s">
        <v>943</v>
      </c>
      <c r="C93" s="23" t="n">
        <v>2</v>
      </c>
      <c r="D93" s="23" t="s">
        <v>126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901</v>
      </c>
      <c r="H93" s="18" t="s">
        <v>873</v>
      </c>
      <c r="I93" s="21" t="s">
        <v>829</v>
      </c>
      <c r="J93" s="22" t="s">
        <v>944</v>
      </c>
      <c r="K93" s="23" t="s">
        <v>131</v>
      </c>
      <c r="L93" s="24" t="s">
        <v>945</v>
      </c>
      <c r="M93" s="24" t="s">
        <v>946</v>
      </c>
      <c r="N93" s="23" t="s">
        <v>947</v>
      </c>
      <c r="O93" s="24" t="s">
        <v>948</v>
      </c>
      <c r="P93" s="24" t="s">
        <v>925</v>
      </c>
      <c r="Q93" s="24" t="s">
        <v>949</v>
      </c>
      <c r="R93" s="24"/>
      <c r="S93" s="24" t="s">
        <v>935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140</v>
      </c>
      <c r="Y93" s="23" t="s">
        <v>140</v>
      </c>
      <c r="Z93" s="23" t="s">
        <v>140</v>
      </c>
      <c r="AA93" s="23" t="s">
        <v>140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</row>
    <row r="94" customFormat="false" ht="15" hidden="false" customHeight="false" outlineLevel="0" collapsed="false">
      <c r="A94" s="21" t="n">
        <v>93</v>
      </c>
      <c r="B94" s="18" t="s">
        <v>950</v>
      </c>
      <c r="C94" s="23" t="n">
        <v>2</v>
      </c>
      <c r="D94" s="23" t="s">
        <v>126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901</v>
      </c>
      <c r="H94" s="18" t="s">
        <v>873</v>
      </c>
      <c r="I94" s="21" t="s">
        <v>829</v>
      </c>
      <c r="J94" s="22" t="s">
        <v>951</v>
      </c>
      <c r="K94" s="23" t="s">
        <v>131</v>
      </c>
      <c r="L94" s="24" t="s">
        <v>952</v>
      </c>
      <c r="M94" s="24" t="s">
        <v>953</v>
      </c>
      <c r="N94" s="23" t="s">
        <v>954</v>
      </c>
      <c r="O94" s="24" t="s">
        <v>955</v>
      </c>
      <c r="P94" s="24" t="s">
        <v>956</v>
      </c>
      <c r="Q94" s="24" t="s">
        <v>957</v>
      </c>
      <c r="R94" s="24"/>
      <c r="S94" s="24" t="s">
        <v>935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140</v>
      </c>
      <c r="Y94" s="23" t="s">
        <v>140</v>
      </c>
      <c r="Z94" s="23" t="s">
        <v>140</v>
      </c>
      <c r="AA94" s="23" t="s">
        <v>140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</row>
    <row r="95" customFormat="false" ht="26.85" hidden="false" customHeight="false" outlineLevel="0" collapsed="false">
      <c r="A95" s="21" t="n">
        <v>94</v>
      </c>
      <c r="B95" s="18" t="s">
        <v>958</v>
      </c>
      <c r="C95" s="23" t="n">
        <v>2</v>
      </c>
      <c r="D95" s="23" t="s">
        <v>126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901</v>
      </c>
      <c r="H95" s="18" t="s">
        <v>873</v>
      </c>
      <c r="I95" s="21" t="s">
        <v>829</v>
      </c>
      <c r="J95" s="22" t="s">
        <v>959</v>
      </c>
      <c r="K95" s="23" t="s">
        <v>131</v>
      </c>
      <c r="L95" s="24" t="s">
        <v>960</v>
      </c>
      <c r="M95" s="24" t="s">
        <v>961</v>
      </c>
      <c r="N95" s="23" t="s">
        <v>962</v>
      </c>
      <c r="O95" s="24" t="s">
        <v>963</v>
      </c>
      <c r="P95" s="24" t="s">
        <v>925</v>
      </c>
      <c r="Q95" s="24" t="s">
        <v>964</v>
      </c>
      <c r="R95" s="24"/>
      <c r="S95" s="24" t="s">
        <v>935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140</v>
      </c>
      <c r="Y95" s="23" t="s">
        <v>140</v>
      </c>
      <c r="Z95" s="23" t="s">
        <v>140</v>
      </c>
      <c r="AA95" s="23" t="s">
        <v>140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</row>
    <row r="96" customFormat="false" ht="52.2" hidden="false" customHeight="false" outlineLevel="0" collapsed="false">
      <c r="A96" s="21" t="n">
        <v>95</v>
      </c>
      <c r="B96" s="18" t="s">
        <v>965</v>
      </c>
      <c r="C96" s="20" t="n">
        <v>1</v>
      </c>
      <c r="D96" s="20" t="s">
        <v>126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901</v>
      </c>
      <c r="H96" s="18" t="s">
        <v>902</v>
      </c>
      <c r="I96" s="21" t="s">
        <v>829</v>
      </c>
      <c r="J96" s="22" t="s">
        <v>966</v>
      </c>
      <c r="K96" s="23" t="s">
        <v>131</v>
      </c>
      <c r="L96" s="24" t="s">
        <v>967</v>
      </c>
      <c r="M96" s="24" t="s">
        <v>968</v>
      </c>
      <c r="N96" s="23" t="s">
        <v>969</v>
      </c>
      <c r="O96" s="24" t="s">
        <v>970</v>
      </c>
      <c r="P96" s="24" t="s">
        <v>971</v>
      </c>
      <c r="Q96" s="24" t="s">
        <v>972</v>
      </c>
      <c r="R96" s="25" t="s">
        <v>973</v>
      </c>
      <c r="S96" s="28" t="s">
        <v>974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140</v>
      </c>
      <c r="Y96" s="23" t="s">
        <v>140</v>
      </c>
      <c r="Z96" s="23" t="s">
        <v>140</v>
      </c>
      <c r="AA96" s="23" t="s">
        <v>140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</row>
    <row r="97" customFormat="false" ht="26.85" hidden="false" customHeight="false" outlineLevel="0" collapsed="false">
      <c r="A97" s="21" t="n">
        <v>96</v>
      </c>
      <c r="B97" s="18" t="s">
        <v>975</v>
      </c>
      <c r="C97" s="20" t="n">
        <v>1</v>
      </c>
      <c r="D97" s="20" t="s">
        <v>126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901</v>
      </c>
      <c r="H97" s="18" t="s">
        <v>902</v>
      </c>
      <c r="I97" s="21" t="s">
        <v>829</v>
      </c>
      <c r="J97" s="22" t="s">
        <v>976</v>
      </c>
      <c r="K97" s="23" t="s">
        <v>131</v>
      </c>
      <c r="L97" s="29" t="s">
        <v>977</v>
      </c>
      <c r="M97" s="24" t="s">
        <v>978</v>
      </c>
      <c r="N97" s="23" t="s">
        <v>979</v>
      </c>
      <c r="O97" s="24" t="s">
        <v>980</v>
      </c>
      <c r="P97" s="24" t="s">
        <v>981</v>
      </c>
      <c r="Q97" s="24" t="s">
        <v>982</v>
      </c>
      <c r="R97" s="25" t="s">
        <v>983</v>
      </c>
      <c r="S97" s="24" t="s">
        <v>139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140</v>
      </c>
      <c r="Y97" s="23" t="s">
        <v>140</v>
      </c>
      <c r="Z97" s="23" t="s">
        <v>140</v>
      </c>
      <c r="AA97" s="23" t="s">
        <v>140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</row>
    <row r="98" customFormat="false" ht="26.85" hidden="false" customHeight="false" outlineLevel="0" collapsed="false">
      <c r="A98" s="21" t="n">
        <v>97</v>
      </c>
      <c r="B98" s="18" t="s">
        <v>984</v>
      </c>
      <c r="C98" s="23" t="n">
        <v>2</v>
      </c>
      <c r="D98" s="23" t="s">
        <v>126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901</v>
      </c>
      <c r="H98" s="18" t="s">
        <v>873</v>
      </c>
      <c r="I98" s="21" t="s">
        <v>829</v>
      </c>
      <c r="J98" s="22" t="s">
        <v>985</v>
      </c>
      <c r="K98" s="23" t="s">
        <v>131</v>
      </c>
      <c r="L98" s="24" t="s">
        <v>986</v>
      </c>
      <c r="M98" s="24" t="s">
        <v>987</v>
      </c>
      <c r="N98" s="23" t="s">
        <v>988</v>
      </c>
      <c r="O98" s="24" t="s">
        <v>989</v>
      </c>
      <c r="P98" s="24" t="s">
        <v>990</v>
      </c>
      <c r="Q98" s="24" t="s">
        <v>991</v>
      </c>
      <c r="R98" s="25" t="s">
        <v>992</v>
      </c>
      <c r="S98" s="24" t="s">
        <v>993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140</v>
      </c>
      <c r="Y98" s="23" t="s">
        <v>140</v>
      </c>
      <c r="Z98" s="23" t="s">
        <v>140</v>
      </c>
      <c r="AA98" s="23" t="s">
        <v>140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</row>
    <row r="99" customFormat="false" ht="26.85" hidden="false" customHeight="false" outlineLevel="0" collapsed="false">
      <c r="A99" s="21" t="n">
        <v>98</v>
      </c>
      <c r="B99" s="18" t="s">
        <v>994</v>
      </c>
      <c r="C99" s="20" t="n">
        <v>1</v>
      </c>
      <c r="D99" s="20" t="s">
        <v>126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995</v>
      </c>
      <c r="H99" s="18" t="s">
        <v>902</v>
      </c>
      <c r="I99" s="21" t="s">
        <v>829</v>
      </c>
      <c r="J99" s="22" t="s">
        <v>996</v>
      </c>
      <c r="K99" s="23" t="s">
        <v>131</v>
      </c>
      <c r="L99" s="24" t="s">
        <v>997</v>
      </c>
      <c r="M99" s="24" t="s">
        <v>998</v>
      </c>
      <c r="N99" s="23" t="s">
        <v>999</v>
      </c>
      <c r="O99" s="24" t="s">
        <v>1000</v>
      </c>
      <c r="P99" s="24" t="s">
        <v>1001</v>
      </c>
      <c r="Q99" s="24" t="s">
        <v>1002</v>
      </c>
      <c r="R99" s="24"/>
      <c r="S99" s="28" t="s">
        <v>1003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140</v>
      </c>
      <c r="Y99" s="23" t="s">
        <v>140</v>
      </c>
      <c r="Z99" s="23" t="s">
        <v>140</v>
      </c>
      <c r="AA99" s="23" t="s">
        <v>140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</row>
    <row r="100" customFormat="false" ht="26.85" hidden="false" customHeight="false" outlineLevel="0" collapsed="false">
      <c r="A100" s="21" t="n">
        <v>99</v>
      </c>
      <c r="B100" s="18" t="s">
        <v>1004</v>
      </c>
      <c r="C100" s="20" t="n">
        <v>1</v>
      </c>
      <c r="D100" s="20" t="s">
        <v>126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995</v>
      </c>
      <c r="H100" s="18" t="s">
        <v>902</v>
      </c>
      <c r="I100" s="21" t="s">
        <v>829</v>
      </c>
      <c r="J100" s="22" t="s">
        <v>1005</v>
      </c>
      <c r="K100" s="23" t="s">
        <v>131</v>
      </c>
      <c r="L100" s="24" t="s">
        <v>1006</v>
      </c>
      <c r="M100" s="24" t="s">
        <v>1007</v>
      </c>
      <c r="N100" s="23" t="s">
        <v>1008</v>
      </c>
      <c r="O100" s="24" t="s">
        <v>1009</v>
      </c>
      <c r="P100" s="24" t="s">
        <v>1010</v>
      </c>
      <c r="Q100" s="24" t="s">
        <v>1011</v>
      </c>
      <c r="R100" s="25" t="s">
        <v>1012</v>
      </c>
      <c r="S100" s="24" t="s">
        <v>139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140</v>
      </c>
      <c r="Y100" s="23" t="s">
        <v>140</v>
      </c>
      <c r="Z100" s="23" t="s">
        <v>140</v>
      </c>
      <c r="AA100" s="23" t="s">
        <v>140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</row>
    <row r="101" customFormat="false" ht="26.85" hidden="false" customHeight="false" outlineLevel="0" collapsed="false">
      <c r="A101" s="21" t="n">
        <v>100</v>
      </c>
      <c r="B101" s="18" t="s">
        <v>1013</v>
      </c>
      <c r="C101" s="20" t="n">
        <v>1</v>
      </c>
      <c r="D101" s="20" t="s">
        <v>126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995</v>
      </c>
      <c r="H101" s="18" t="s">
        <v>902</v>
      </c>
      <c r="I101" s="21" t="s">
        <v>829</v>
      </c>
      <c r="J101" s="22" t="s">
        <v>1014</v>
      </c>
      <c r="K101" s="23" t="s">
        <v>131</v>
      </c>
      <c r="L101" s="24" t="s">
        <v>1015</v>
      </c>
      <c r="M101" s="24" t="s">
        <v>1016</v>
      </c>
      <c r="N101" s="23" t="s">
        <v>1017</v>
      </c>
      <c r="O101" s="24" t="s">
        <v>1018</v>
      </c>
      <c r="P101" s="24" t="s">
        <v>1019</v>
      </c>
      <c r="Q101" s="24" t="s">
        <v>1020</v>
      </c>
      <c r="R101" s="24"/>
      <c r="S101" s="24" t="s">
        <v>139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140</v>
      </c>
      <c r="Y101" s="23" t="s">
        <v>140</v>
      </c>
      <c r="Z101" s="23" t="s">
        <v>140</v>
      </c>
      <c r="AA101" s="23" t="s">
        <v>140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</row>
    <row r="102" customFormat="false" ht="26.85" hidden="false" customHeight="false" outlineLevel="0" collapsed="false">
      <c r="A102" s="21" t="n">
        <v>101</v>
      </c>
      <c r="B102" s="18" t="s">
        <v>1021</v>
      </c>
      <c r="C102" s="23" t="n">
        <v>2</v>
      </c>
      <c r="D102" s="23" t="s">
        <v>126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995</v>
      </c>
      <c r="H102" s="18" t="s">
        <v>1022</v>
      </c>
      <c r="I102" s="21" t="s">
        <v>829</v>
      </c>
      <c r="J102" s="22" t="s">
        <v>1023</v>
      </c>
      <c r="K102" s="23" t="s">
        <v>131</v>
      </c>
      <c r="L102" s="24" t="s">
        <v>1024</v>
      </c>
      <c r="M102" s="24" t="s">
        <v>1025</v>
      </c>
      <c r="N102" s="23" t="s">
        <v>1026</v>
      </c>
      <c r="O102" s="24" t="s">
        <v>1027</v>
      </c>
      <c r="P102" s="24" t="s">
        <v>990</v>
      </c>
      <c r="Q102" s="24" t="s">
        <v>1028</v>
      </c>
      <c r="R102" s="24"/>
      <c r="S102" s="24" t="s">
        <v>1029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140</v>
      </c>
      <c r="Y102" s="23" t="s">
        <v>140</v>
      </c>
      <c r="Z102" s="23" t="s">
        <v>140</v>
      </c>
      <c r="AA102" s="23" t="s">
        <v>140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</row>
    <row r="103" customFormat="false" ht="26.85" hidden="false" customHeight="false" outlineLevel="0" collapsed="false">
      <c r="A103" s="21" t="n">
        <v>102</v>
      </c>
      <c r="B103" s="18" t="s">
        <v>1030</v>
      </c>
      <c r="C103" s="20" t="n">
        <v>1</v>
      </c>
      <c r="D103" s="20" t="s">
        <v>126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995</v>
      </c>
      <c r="H103" s="18" t="s">
        <v>902</v>
      </c>
      <c r="I103" s="21" t="s">
        <v>829</v>
      </c>
      <c r="J103" s="22" t="s">
        <v>1031</v>
      </c>
      <c r="K103" s="23" t="s">
        <v>131</v>
      </c>
      <c r="L103" s="24" t="s">
        <v>1032</v>
      </c>
      <c r="M103" s="24" t="s">
        <v>1033</v>
      </c>
      <c r="N103" s="23" t="s">
        <v>1034</v>
      </c>
      <c r="O103" s="24" t="s">
        <v>1035</v>
      </c>
      <c r="P103" s="24" t="s">
        <v>1036</v>
      </c>
      <c r="Q103" s="24" t="s">
        <v>1037</v>
      </c>
      <c r="R103" s="25" t="s">
        <v>1038</v>
      </c>
      <c r="S103" s="28" t="s">
        <v>1039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140</v>
      </c>
      <c r="Y103" s="23" t="s">
        <v>140</v>
      </c>
      <c r="Z103" s="23" t="s">
        <v>140</v>
      </c>
      <c r="AA103" s="23" t="s">
        <v>140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</row>
    <row r="104" customFormat="false" ht="26.85" hidden="false" customHeight="false" outlineLevel="0" collapsed="false">
      <c r="A104" s="21" t="n">
        <v>103</v>
      </c>
      <c r="B104" s="18" t="s">
        <v>1040</v>
      </c>
      <c r="C104" s="20" t="n">
        <v>1</v>
      </c>
      <c r="D104" s="20" t="s">
        <v>126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995</v>
      </c>
      <c r="H104" s="18" t="s">
        <v>902</v>
      </c>
      <c r="I104" s="21" t="s">
        <v>829</v>
      </c>
      <c r="J104" s="22" t="s">
        <v>1041</v>
      </c>
      <c r="K104" s="23" t="s">
        <v>131</v>
      </c>
      <c r="L104" s="24" t="s">
        <v>1042</v>
      </c>
      <c r="M104" s="24" t="s">
        <v>1043</v>
      </c>
      <c r="N104" s="23" t="s">
        <v>1044</v>
      </c>
      <c r="O104" s="24" t="s">
        <v>1045</v>
      </c>
      <c r="P104" s="24" t="s">
        <v>1046</v>
      </c>
      <c r="Q104" s="24" t="s">
        <v>1047</v>
      </c>
      <c r="R104" s="25" t="s">
        <v>1048</v>
      </c>
      <c r="S104" s="24" t="s">
        <v>139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140</v>
      </c>
      <c r="Y104" s="23" t="s">
        <v>140</v>
      </c>
      <c r="Z104" s="23" t="s">
        <v>140</v>
      </c>
      <c r="AA104" s="23" t="s">
        <v>140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</row>
    <row r="105" customFormat="false" ht="26.85" hidden="false" customHeight="false" outlineLevel="0" collapsed="false">
      <c r="A105" s="21" t="n">
        <v>104</v>
      </c>
      <c r="B105" s="18" t="s">
        <v>1049</v>
      </c>
      <c r="C105" s="20" t="n">
        <v>1</v>
      </c>
      <c r="D105" s="20" t="s">
        <v>126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995</v>
      </c>
      <c r="H105" s="18" t="s">
        <v>902</v>
      </c>
      <c r="I105" s="21" t="s">
        <v>829</v>
      </c>
      <c r="J105" s="22" t="s">
        <v>1050</v>
      </c>
      <c r="K105" s="23" t="s">
        <v>131</v>
      </c>
      <c r="L105" s="24" t="s">
        <v>1051</v>
      </c>
      <c r="M105" s="24" t="s">
        <v>1052</v>
      </c>
      <c r="N105" s="23" t="s">
        <v>1053</v>
      </c>
      <c r="O105" s="24" t="s">
        <v>1054</v>
      </c>
      <c r="P105" s="24" t="s">
        <v>1055</v>
      </c>
      <c r="Q105" s="24" t="s">
        <v>1056</v>
      </c>
      <c r="R105" s="25" t="s">
        <v>1057</v>
      </c>
      <c r="S105" s="24" t="s">
        <v>139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140</v>
      </c>
      <c r="Y105" s="23" t="s">
        <v>140</v>
      </c>
      <c r="Z105" s="23" t="s">
        <v>140</v>
      </c>
      <c r="AA105" s="23" t="s">
        <v>140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</row>
    <row r="106" customFormat="false" ht="26.85" hidden="false" customHeight="false" outlineLevel="0" collapsed="false">
      <c r="A106" s="21" t="n">
        <v>105</v>
      </c>
      <c r="B106" s="18" t="s">
        <v>1058</v>
      </c>
      <c r="C106" s="23" t="n">
        <v>2</v>
      </c>
      <c r="D106" s="23" t="s">
        <v>126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995</v>
      </c>
      <c r="H106" s="18" t="s">
        <v>1022</v>
      </c>
      <c r="I106" s="21" t="s">
        <v>829</v>
      </c>
      <c r="J106" s="22" t="s">
        <v>1059</v>
      </c>
      <c r="K106" s="23" t="s">
        <v>131</v>
      </c>
      <c r="L106" s="24" t="s">
        <v>1060</v>
      </c>
      <c r="M106" s="24" t="s">
        <v>1061</v>
      </c>
      <c r="N106" s="23" t="s">
        <v>1062</v>
      </c>
      <c r="O106" s="24" t="s">
        <v>1063</v>
      </c>
      <c r="P106" s="24" t="s">
        <v>1064</v>
      </c>
      <c r="Q106" s="24" t="s">
        <v>1065</v>
      </c>
      <c r="R106" s="24"/>
      <c r="S106" s="24" t="s">
        <v>1066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140</v>
      </c>
      <c r="Y106" s="23" t="s">
        <v>140</v>
      </c>
      <c r="Z106" s="23" t="s">
        <v>140</v>
      </c>
      <c r="AA106" s="23" t="s">
        <v>140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</row>
    <row r="107" customFormat="false" ht="26.85" hidden="false" customHeight="false" outlineLevel="0" collapsed="false">
      <c r="A107" s="21" t="n">
        <v>106</v>
      </c>
      <c r="B107" s="18" t="s">
        <v>1067</v>
      </c>
      <c r="C107" s="20" t="n">
        <v>1</v>
      </c>
      <c r="D107" s="20" t="s">
        <v>126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1068</v>
      </c>
      <c r="H107" s="18" t="s">
        <v>1069</v>
      </c>
      <c r="I107" s="21" t="s">
        <v>829</v>
      </c>
      <c r="J107" s="22" t="s">
        <v>1070</v>
      </c>
      <c r="K107" s="23" t="s">
        <v>131</v>
      </c>
      <c r="L107" s="24" t="s">
        <v>1071</v>
      </c>
      <c r="M107" s="24" t="s">
        <v>1072</v>
      </c>
      <c r="N107" s="23" t="s">
        <v>1073</v>
      </c>
      <c r="O107" s="24" t="s">
        <v>1074</v>
      </c>
      <c r="P107" s="24" t="s">
        <v>990</v>
      </c>
      <c r="Q107" s="24" t="s">
        <v>1075</v>
      </c>
      <c r="R107" s="25" t="s">
        <v>1076</v>
      </c>
      <c r="S107" s="28" t="s">
        <v>1077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140</v>
      </c>
      <c r="Y107" s="23" t="s">
        <v>140</v>
      </c>
      <c r="Z107" s="23" t="s">
        <v>140</v>
      </c>
      <c r="AA107" s="23" t="s">
        <v>140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</row>
    <row r="108" customFormat="false" ht="39.55" hidden="false" customHeight="false" outlineLevel="0" collapsed="false">
      <c r="A108" s="21" t="n">
        <v>107</v>
      </c>
      <c r="B108" s="18" t="s">
        <v>1078</v>
      </c>
      <c r="C108" s="20" t="n">
        <v>1</v>
      </c>
      <c r="D108" s="20" t="s">
        <v>126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1068</v>
      </c>
      <c r="H108" s="18" t="s">
        <v>1069</v>
      </c>
      <c r="I108" s="21" t="s">
        <v>829</v>
      </c>
      <c r="J108" s="22" t="s">
        <v>1079</v>
      </c>
      <c r="K108" s="23" t="s">
        <v>131</v>
      </c>
      <c r="L108" s="24" t="s">
        <v>1080</v>
      </c>
      <c r="M108" s="24" t="s">
        <v>1081</v>
      </c>
      <c r="N108" s="23" t="s">
        <v>1082</v>
      </c>
      <c r="O108" s="24" t="s">
        <v>1083</v>
      </c>
      <c r="P108" s="24" t="s">
        <v>898</v>
      </c>
      <c r="Q108" s="24" t="s">
        <v>1084</v>
      </c>
      <c r="R108" s="27" t="s">
        <v>1085</v>
      </c>
      <c r="S108" s="24" t="s">
        <v>139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140</v>
      </c>
      <c r="Y108" s="23" t="s">
        <v>140</v>
      </c>
      <c r="Z108" s="23" t="s">
        <v>140</v>
      </c>
      <c r="AA108" s="23" t="s">
        <v>140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</row>
    <row r="109" customFormat="false" ht="26.85" hidden="false" customHeight="false" outlineLevel="0" collapsed="false">
      <c r="A109" s="21" t="n">
        <v>108</v>
      </c>
      <c r="B109" s="18" t="s">
        <v>1086</v>
      </c>
      <c r="C109" s="20" t="n">
        <v>1</v>
      </c>
      <c r="D109" s="20" t="s">
        <v>126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1068</v>
      </c>
      <c r="H109" s="18" t="s">
        <v>1069</v>
      </c>
      <c r="I109" s="21" t="s">
        <v>829</v>
      </c>
      <c r="J109" s="22" t="s">
        <v>1087</v>
      </c>
      <c r="K109" s="23" t="s">
        <v>131</v>
      </c>
      <c r="L109" s="24" t="s">
        <v>1088</v>
      </c>
      <c r="M109" s="24" t="s">
        <v>1089</v>
      </c>
      <c r="N109" s="23" t="s">
        <v>1090</v>
      </c>
      <c r="O109" s="24" t="s">
        <v>1091</v>
      </c>
      <c r="P109" s="24" t="s">
        <v>990</v>
      </c>
      <c r="Q109" s="24" t="s">
        <v>1092</v>
      </c>
      <c r="R109" s="24"/>
      <c r="S109" s="24" t="s">
        <v>139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140</v>
      </c>
      <c r="Y109" s="23" t="s">
        <v>140</v>
      </c>
      <c r="Z109" s="23" t="s">
        <v>140</v>
      </c>
      <c r="AA109" s="23" t="s">
        <v>140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</row>
    <row r="110" customFormat="false" ht="26.85" hidden="false" customHeight="false" outlineLevel="0" collapsed="false">
      <c r="A110" s="21" t="n">
        <v>109</v>
      </c>
      <c r="B110" s="18" t="s">
        <v>1093</v>
      </c>
      <c r="C110" s="23" t="n">
        <v>2</v>
      </c>
      <c r="D110" s="23" t="s">
        <v>126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1068</v>
      </c>
      <c r="H110" s="18" t="s">
        <v>1022</v>
      </c>
      <c r="I110" s="21" t="s">
        <v>829</v>
      </c>
      <c r="J110" s="22" t="s">
        <v>1094</v>
      </c>
      <c r="K110" s="23" t="s">
        <v>1095</v>
      </c>
      <c r="L110" s="24" t="s">
        <v>1096</v>
      </c>
      <c r="M110" s="29" t="s">
        <v>1097</v>
      </c>
      <c r="N110" s="23" t="s">
        <v>1098</v>
      </c>
      <c r="O110" s="24" t="s">
        <v>1099</v>
      </c>
      <c r="P110" s="24" t="s">
        <v>990</v>
      </c>
      <c r="Q110" s="24" t="s">
        <v>1100</v>
      </c>
      <c r="R110" s="24"/>
      <c r="S110" s="24" t="s">
        <v>1101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140</v>
      </c>
      <c r="Y110" s="23" t="s">
        <v>140</v>
      </c>
      <c r="Z110" s="23" t="s">
        <v>140</v>
      </c>
      <c r="AA110" s="23" t="s">
        <v>140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</row>
    <row r="111" customFormat="false" ht="26.85" hidden="false" customHeight="false" outlineLevel="0" collapsed="false">
      <c r="A111" s="21" t="n">
        <v>110</v>
      </c>
      <c r="B111" s="18" t="s">
        <v>1102</v>
      </c>
      <c r="C111" s="23" t="n">
        <v>2</v>
      </c>
      <c r="D111" s="23" t="s">
        <v>126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1068</v>
      </c>
      <c r="H111" s="18" t="s">
        <v>1022</v>
      </c>
      <c r="I111" s="21" t="s">
        <v>829</v>
      </c>
      <c r="J111" s="22" t="s">
        <v>1103</v>
      </c>
      <c r="K111" s="23" t="s">
        <v>131</v>
      </c>
      <c r="L111" s="24" t="s">
        <v>1104</v>
      </c>
      <c r="M111" s="24" t="s">
        <v>1105</v>
      </c>
      <c r="N111" s="23" t="s">
        <v>1106</v>
      </c>
      <c r="O111" s="24" t="s">
        <v>1107</v>
      </c>
      <c r="P111" s="24" t="s">
        <v>1108</v>
      </c>
      <c r="Q111" s="24" t="s">
        <v>1109</v>
      </c>
      <c r="R111" s="25" t="s">
        <v>1110</v>
      </c>
      <c r="S111" s="24" t="s">
        <v>1101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140</v>
      </c>
      <c r="Y111" s="23" t="s">
        <v>140</v>
      </c>
      <c r="Z111" s="23" t="s">
        <v>140</v>
      </c>
      <c r="AA111" s="23" t="s">
        <v>140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</row>
    <row r="112" customFormat="false" ht="39.55" hidden="false" customHeight="false" outlineLevel="0" collapsed="false">
      <c r="A112" s="21" t="n">
        <v>111</v>
      </c>
      <c r="B112" s="18" t="s">
        <v>1111</v>
      </c>
      <c r="C112" s="20" t="n">
        <v>1</v>
      </c>
      <c r="D112" s="20" t="s">
        <v>126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1068</v>
      </c>
      <c r="H112" s="18" t="s">
        <v>1069</v>
      </c>
      <c r="I112" s="21" t="s">
        <v>829</v>
      </c>
      <c r="J112" s="22" t="s">
        <v>1112</v>
      </c>
      <c r="K112" s="23" t="s">
        <v>1095</v>
      </c>
      <c r="L112" s="24" t="s">
        <v>1113</v>
      </c>
      <c r="M112" s="24" t="s">
        <v>1114</v>
      </c>
      <c r="N112" s="23" t="s">
        <v>1115</v>
      </c>
      <c r="O112" s="24" t="s">
        <v>1116</v>
      </c>
      <c r="P112" s="24" t="s">
        <v>1117</v>
      </c>
      <c r="Q112" s="24" t="s">
        <v>1118</v>
      </c>
      <c r="R112" s="25" t="s">
        <v>1119</v>
      </c>
      <c r="S112" s="28" t="s">
        <v>1120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140</v>
      </c>
      <c r="Y112" s="23" t="s">
        <v>140</v>
      </c>
      <c r="Z112" s="23" t="s">
        <v>140</v>
      </c>
      <c r="AA112" s="23" t="s">
        <v>140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</row>
    <row r="113" customFormat="false" ht="26.85" hidden="false" customHeight="false" outlineLevel="0" collapsed="false">
      <c r="A113" s="21" t="n">
        <v>112</v>
      </c>
      <c r="B113" s="18" t="s">
        <v>1121</v>
      </c>
      <c r="C113" s="23" t="n">
        <v>2</v>
      </c>
      <c r="D113" s="23" t="s">
        <v>126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1068</v>
      </c>
      <c r="H113" s="18" t="s">
        <v>1022</v>
      </c>
      <c r="I113" s="21" t="s">
        <v>829</v>
      </c>
      <c r="J113" s="22" t="s">
        <v>1122</v>
      </c>
      <c r="K113" s="23" t="s">
        <v>1095</v>
      </c>
      <c r="L113" s="24" t="s">
        <v>1123</v>
      </c>
      <c r="M113" s="24" t="s">
        <v>1124</v>
      </c>
      <c r="N113" s="23" t="s">
        <v>1125</v>
      </c>
      <c r="O113" s="24" t="s">
        <v>1126</v>
      </c>
      <c r="P113" s="24" t="s">
        <v>1127</v>
      </c>
      <c r="Q113" s="24" t="s">
        <v>1128</v>
      </c>
      <c r="R113" s="25" t="s">
        <v>1129</v>
      </c>
      <c r="S113" s="24" t="s">
        <v>1130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140</v>
      </c>
      <c r="Y113" s="23" t="s">
        <v>140</v>
      </c>
      <c r="Z113" s="23" t="s">
        <v>140</v>
      </c>
      <c r="AA113" s="23" t="s">
        <v>140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</row>
    <row r="114" customFormat="false" ht="26.85" hidden="false" customHeight="false" outlineLevel="0" collapsed="false">
      <c r="A114" s="21" t="n">
        <v>113</v>
      </c>
      <c r="B114" s="18" t="s">
        <v>1131</v>
      </c>
      <c r="C114" s="23" t="n">
        <v>2</v>
      </c>
      <c r="D114" s="23" t="s">
        <v>126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1068</v>
      </c>
      <c r="H114" s="18" t="s">
        <v>1022</v>
      </c>
      <c r="I114" s="21" t="s">
        <v>829</v>
      </c>
      <c r="J114" s="22" t="s">
        <v>1132</v>
      </c>
      <c r="K114" s="23" t="s">
        <v>1095</v>
      </c>
      <c r="L114" s="24" t="s">
        <v>1133</v>
      </c>
      <c r="M114" s="24" t="s">
        <v>1134</v>
      </c>
      <c r="N114" s="23" t="s">
        <v>1135</v>
      </c>
      <c r="O114" s="24" t="s">
        <v>1136</v>
      </c>
      <c r="P114" s="24" t="s">
        <v>1137</v>
      </c>
      <c r="Q114" s="24" t="s">
        <v>1138</v>
      </c>
      <c r="R114" s="25" t="s">
        <v>1139</v>
      </c>
      <c r="S114" s="24" t="s">
        <v>1130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140</v>
      </c>
      <c r="Y114" s="23" t="s">
        <v>140</v>
      </c>
      <c r="Z114" s="23" t="s">
        <v>140</v>
      </c>
      <c r="AA114" s="23" t="s">
        <v>140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</row>
    <row r="115" customFormat="false" ht="39.55" hidden="false" customHeight="false" outlineLevel="0" collapsed="false">
      <c r="A115" s="21" t="n">
        <v>114</v>
      </c>
      <c r="B115" s="18" t="s">
        <v>1140</v>
      </c>
      <c r="C115" s="20" t="n">
        <v>1</v>
      </c>
      <c r="D115" s="20" t="s">
        <v>126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1141</v>
      </c>
      <c r="H115" s="18" t="s">
        <v>1069</v>
      </c>
      <c r="I115" s="21" t="s">
        <v>829</v>
      </c>
      <c r="J115" s="22" t="s">
        <v>1142</v>
      </c>
      <c r="K115" s="23" t="s">
        <v>131</v>
      </c>
      <c r="L115" s="24" t="s">
        <v>1143</v>
      </c>
      <c r="M115" s="29" t="s">
        <v>1144</v>
      </c>
      <c r="N115" s="23" t="s">
        <v>1145</v>
      </c>
      <c r="O115" s="24" t="s">
        <v>1146</v>
      </c>
      <c r="P115" s="24" t="s">
        <v>1147</v>
      </c>
      <c r="Q115" s="24" t="s">
        <v>1148</v>
      </c>
      <c r="R115" s="25" t="s">
        <v>1149</v>
      </c>
      <c r="S115" s="28" t="s">
        <v>1150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140</v>
      </c>
      <c r="Y115" s="23" t="s">
        <v>140</v>
      </c>
      <c r="Z115" s="23" t="s">
        <v>140</v>
      </c>
      <c r="AA115" s="23" t="s">
        <v>140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</row>
    <row r="116" customFormat="false" ht="26.85" hidden="false" customHeight="false" outlineLevel="0" collapsed="false">
      <c r="A116" s="21" t="n">
        <v>115</v>
      </c>
      <c r="B116" s="18" t="s">
        <v>1151</v>
      </c>
      <c r="C116" s="23" t="n">
        <v>2</v>
      </c>
      <c r="D116" s="23" t="s">
        <v>126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1141</v>
      </c>
      <c r="H116" s="18" t="s">
        <v>1022</v>
      </c>
      <c r="I116" s="21" t="s">
        <v>829</v>
      </c>
      <c r="J116" s="22" t="s">
        <v>1152</v>
      </c>
      <c r="K116" s="23" t="s">
        <v>131</v>
      </c>
      <c r="L116" s="24" t="s">
        <v>1153</v>
      </c>
      <c r="M116" s="24" t="s">
        <v>1154</v>
      </c>
      <c r="N116" s="23" t="s">
        <v>1155</v>
      </c>
      <c r="O116" s="24" t="s">
        <v>1156</v>
      </c>
      <c r="P116" s="24" t="s">
        <v>1157</v>
      </c>
      <c r="Q116" s="24" t="s">
        <v>1158</v>
      </c>
      <c r="R116" s="25" t="s">
        <v>1159</v>
      </c>
      <c r="S116" s="24" t="s">
        <v>1160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140</v>
      </c>
      <c r="Y116" s="23" t="s">
        <v>140</v>
      </c>
      <c r="Z116" s="23" t="s">
        <v>140</v>
      </c>
      <c r="AA116" s="23" t="s">
        <v>140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</row>
    <row r="117" customFormat="false" ht="26.85" hidden="false" customHeight="false" outlineLevel="0" collapsed="false">
      <c r="A117" s="21" t="n">
        <v>116</v>
      </c>
      <c r="B117" s="18" t="s">
        <v>1161</v>
      </c>
      <c r="C117" s="23" t="n">
        <v>2</v>
      </c>
      <c r="D117" s="23" t="s">
        <v>126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1141</v>
      </c>
      <c r="H117" s="18" t="s">
        <v>1022</v>
      </c>
      <c r="I117" s="21" t="s">
        <v>829</v>
      </c>
      <c r="J117" s="22" t="s">
        <v>1162</v>
      </c>
      <c r="K117" s="23" t="s">
        <v>131</v>
      </c>
      <c r="L117" s="24" t="s">
        <v>1163</v>
      </c>
      <c r="M117" s="24" t="s">
        <v>1164</v>
      </c>
      <c r="N117" s="23" t="s">
        <v>1165</v>
      </c>
      <c r="O117" s="24" t="s">
        <v>1166</v>
      </c>
      <c r="P117" s="24" t="s">
        <v>1167</v>
      </c>
      <c r="Q117" s="24" t="s">
        <v>1168</v>
      </c>
      <c r="R117" s="25" t="s">
        <v>1169</v>
      </c>
      <c r="S117" s="24" t="s">
        <v>1160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140</v>
      </c>
      <c r="Y117" s="23" t="s">
        <v>140</v>
      </c>
      <c r="Z117" s="23" t="s">
        <v>140</v>
      </c>
      <c r="AA117" s="23" t="s">
        <v>140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</row>
    <row r="118" customFormat="false" ht="26.85" hidden="false" customHeight="false" outlineLevel="0" collapsed="false">
      <c r="A118" s="21" t="n">
        <v>117</v>
      </c>
      <c r="B118" s="18" t="s">
        <v>1170</v>
      </c>
      <c r="C118" s="23" t="n">
        <v>2</v>
      </c>
      <c r="D118" s="23" t="s">
        <v>126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1141</v>
      </c>
      <c r="H118" s="18" t="s">
        <v>1022</v>
      </c>
      <c r="I118" s="21" t="s">
        <v>829</v>
      </c>
      <c r="J118" s="22" t="s">
        <v>1171</v>
      </c>
      <c r="K118" s="23" t="s">
        <v>131</v>
      </c>
      <c r="L118" s="24" t="s">
        <v>1172</v>
      </c>
      <c r="M118" s="24" t="s">
        <v>1173</v>
      </c>
      <c r="N118" s="23" t="s">
        <v>1174</v>
      </c>
      <c r="O118" s="24" t="s">
        <v>1175</v>
      </c>
      <c r="P118" s="24" t="s">
        <v>990</v>
      </c>
      <c r="Q118" s="24" t="s">
        <v>1176</v>
      </c>
      <c r="R118" s="24"/>
      <c r="S118" s="24" t="s">
        <v>1160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140</v>
      </c>
      <c r="Y118" s="23" t="s">
        <v>140</v>
      </c>
      <c r="Z118" s="23" t="s">
        <v>140</v>
      </c>
      <c r="AA118" s="23" t="s">
        <v>140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</row>
    <row r="119" customFormat="false" ht="26.85" hidden="false" customHeight="false" outlineLevel="0" collapsed="false">
      <c r="A119" s="21" t="n">
        <v>118</v>
      </c>
      <c r="B119" s="18" t="s">
        <v>1177</v>
      </c>
      <c r="C119" s="23" t="n">
        <v>2</v>
      </c>
      <c r="D119" s="23" t="s">
        <v>126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1141</v>
      </c>
      <c r="H119" s="18" t="s">
        <v>1022</v>
      </c>
      <c r="I119" s="21" t="s">
        <v>829</v>
      </c>
      <c r="J119" s="22" t="s">
        <v>1178</v>
      </c>
      <c r="K119" s="23" t="s">
        <v>1095</v>
      </c>
      <c r="L119" s="24" t="s">
        <v>1179</v>
      </c>
      <c r="M119" s="24" t="s">
        <v>1180</v>
      </c>
      <c r="N119" s="23" t="s">
        <v>1181</v>
      </c>
      <c r="O119" s="24" t="s">
        <v>1182</v>
      </c>
      <c r="P119" s="24" t="s">
        <v>1183</v>
      </c>
      <c r="Q119" s="24" t="s">
        <v>1138</v>
      </c>
      <c r="R119" s="25" t="s">
        <v>1184</v>
      </c>
      <c r="S119" s="24" t="s">
        <v>1160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140</v>
      </c>
      <c r="Y119" s="23" t="s">
        <v>140</v>
      </c>
      <c r="Z119" s="23" t="s">
        <v>140</v>
      </c>
      <c r="AA119" s="23" t="s">
        <v>140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</row>
    <row r="120" customFormat="false" ht="26.85" hidden="false" customHeight="false" outlineLevel="0" collapsed="false">
      <c r="A120" s="21" t="n">
        <v>119</v>
      </c>
      <c r="B120" s="18" t="s">
        <v>1185</v>
      </c>
      <c r="C120" s="23" t="n">
        <v>2</v>
      </c>
      <c r="D120" s="23" t="s">
        <v>126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1141</v>
      </c>
      <c r="H120" s="18" t="s">
        <v>1022</v>
      </c>
      <c r="I120" s="21" t="s">
        <v>829</v>
      </c>
      <c r="J120" s="22" t="s">
        <v>1186</v>
      </c>
      <c r="K120" s="23" t="s">
        <v>1095</v>
      </c>
      <c r="L120" s="24" t="s">
        <v>1187</v>
      </c>
      <c r="M120" s="24" t="s">
        <v>1188</v>
      </c>
      <c r="N120" s="23" t="s">
        <v>1189</v>
      </c>
      <c r="O120" s="24" t="s">
        <v>1190</v>
      </c>
      <c r="P120" s="24" t="s">
        <v>1191</v>
      </c>
      <c r="Q120" s="24" t="s">
        <v>1192</v>
      </c>
      <c r="R120" s="24"/>
      <c r="S120" s="24" t="s">
        <v>1160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140</v>
      </c>
      <c r="Y120" s="23" t="s">
        <v>140</v>
      </c>
      <c r="Z120" s="23" t="s">
        <v>140</v>
      </c>
      <c r="AA120" s="23" t="s">
        <v>140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</row>
    <row r="121" customFormat="false" ht="52.2" hidden="false" customHeight="false" outlineLevel="0" collapsed="false">
      <c r="A121" s="21" t="n">
        <v>120</v>
      </c>
      <c r="B121" s="18" t="s">
        <v>1193</v>
      </c>
      <c r="C121" s="20" t="n">
        <v>1</v>
      </c>
      <c r="D121" s="20" t="s">
        <v>126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1141</v>
      </c>
      <c r="H121" s="18" t="s">
        <v>1069</v>
      </c>
      <c r="I121" s="21" t="s">
        <v>829</v>
      </c>
      <c r="J121" s="22" t="s">
        <v>1194</v>
      </c>
      <c r="K121" s="23" t="s">
        <v>131</v>
      </c>
      <c r="L121" s="24" t="s">
        <v>1195</v>
      </c>
      <c r="M121" s="24" t="s">
        <v>1196</v>
      </c>
      <c r="N121" s="23" t="s">
        <v>1197</v>
      </c>
      <c r="O121" s="24" t="s">
        <v>1198</v>
      </c>
      <c r="P121" s="24" t="s">
        <v>990</v>
      </c>
      <c r="Q121" s="24" t="s">
        <v>1199</v>
      </c>
      <c r="R121" s="24"/>
      <c r="S121" s="28" t="s">
        <v>1200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140</v>
      </c>
      <c r="Y121" s="23" t="s">
        <v>140</v>
      </c>
      <c r="Z121" s="23" t="s">
        <v>140</v>
      </c>
      <c r="AA121" s="23" t="s">
        <v>140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</row>
    <row r="122" customFormat="false" ht="26.85" hidden="false" customHeight="false" outlineLevel="0" collapsed="false">
      <c r="A122" s="21" t="n">
        <v>121</v>
      </c>
      <c r="B122" s="18" t="s">
        <v>1201</v>
      </c>
      <c r="C122" s="23" t="n">
        <v>2</v>
      </c>
      <c r="D122" s="23" t="s">
        <v>126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1202</v>
      </c>
      <c r="H122" s="18" t="s">
        <v>1203</v>
      </c>
      <c r="I122" s="21" t="s">
        <v>1204</v>
      </c>
      <c r="J122" s="22" t="s">
        <v>1205</v>
      </c>
      <c r="K122" s="23" t="s">
        <v>1095</v>
      </c>
      <c r="L122" s="24" t="s">
        <v>1206</v>
      </c>
      <c r="M122" s="29" t="s">
        <v>1207</v>
      </c>
      <c r="N122" s="23" t="s">
        <v>1208</v>
      </c>
      <c r="O122" s="24" t="s">
        <v>1209</v>
      </c>
      <c r="P122" s="24" t="s">
        <v>1210</v>
      </c>
      <c r="Q122" s="24" t="s">
        <v>1211</v>
      </c>
      <c r="R122" s="25" t="s">
        <v>1212</v>
      </c>
      <c r="S122" s="24" t="s">
        <v>1213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140</v>
      </c>
      <c r="Y122" s="23" t="s">
        <v>140</v>
      </c>
      <c r="Z122" s="23" t="s">
        <v>140</v>
      </c>
      <c r="AA122" s="23" t="s">
        <v>140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</row>
    <row r="123" customFormat="false" ht="26.85" hidden="false" customHeight="false" outlineLevel="0" collapsed="false">
      <c r="A123" s="21" t="n">
        <v>122</v>
      </c>
      <c r="B123" s="18" t="s">
        <v>1214</v>
      </c>
      <c r="C123" s="23" t="n">
        <v>2</v>
      </c>
      <c r="D123" s="23" t="s">
        <v>126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1202</v>
      </c>
      <c r="H123" s="18" t="s">
        <v>1203</v>
      </c>
      <c r="I123" s="21" t="s">
        <v>1204</v>
      </c>
      <c r="J123" s="22" t="s">
        <v>1215</v>
      </c>
      <c r="K123" s="23" t="s">
        <v>1095</v>
      </c>
      <c r="L123" s="24" t="s">
        <v>1216</v>
      </c>
      <c r="M123" s="24" t="s">
        <v>1217</v>
      </c>
      <c r="N123" s="23" t="s">
        <v>1218</v>
      </c>
      <c r="O123" s="24" t="s">
        <v>1219</v>
      </c>
      <c r="P123" s="24" t="s">
        <v>1220</v>
      </c>
      <c r="Q123" s="24" t="s">
        <v>1221</v>
      </c>
      <c r="R123" s="24"/>
      <c r="S123" s="24" t="s">
        <v>1213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140</v>
      </c>
      <c r="Y123" s="23" t="s">
        <v>140</v>
      </c>
      <c r="Z123" s="23" t="s">
        <v>140</v>
      </c>
      <c r="AA123" s="23" t="s">
        <v>140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</row>
    <row r="124" customFormat="false" ht="26.85" hidden="false" customHeight="false" outlineLevel="0" collapsed="false">
      <c r="A124" s="21" t="n">
        <v>123</v>
      </c>
      <c r="B124" s="18" t="s">
        <v>1222</v>
      </c>
      <c r="C124" s="23" t="n">
        <v>2</v>
      </c>
      <c r="D124" s="23" t="s">
        <v>126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1202</v>
      </c>
      <c r="H124" s="18" t="s">
        <v>1203</v>
      </c>
      <c r="I124" s="21" t="s">
        <v>1204</v>
      </c>
      <c r="J124" s="22" t="s">
        <v>1223</v>
      </c>
      <c r="K124" s="23" t="s">
        <v>1095</v>
      </c>
      <c r="L124" s="24" t="s">
        <v>1224</v>
      </c>
      <c r="M124" s="24" t="s">
        <v>1225</v>
      </c>
      <c r="N124" s="23" t="s">
        <v>1226</v>
      </c>
      <c r="O124" s="24" t="s">
        <v>1227</v>
      </c>
      <c r="P124" s="24" t="s">
        <v>1228</v>
      </c>
      <c r="Q124" s="24" t="s">
        <v>1229</v>
      </c>
      <c r="R124" s="25" t="s">
        <v>1230</v>
      </c>
      <c r="S124" s="24" t="s">
        <v>1213</v>
      </c>
      <c r="T124" s="24" t="str">
        <f aca="false">"["&amp;안내!$C$5&amp;" "&amp;F124&amp;"] "&amp;L124&amp;" | "&amp;J124</f>
        <v>[1분 성경 구약 #240] 다른 불 | 레 8:1-10:7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140</v>
      </c>
      <c r="Y124" s="23" t="s">
        <v>140</v>
      </c>
      <c r="Z124" s="23" t="s">
        <v>140</v>
      </c>
      <c r="AA124" s="23" t="s">
        <v>140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</row>
    <row r="125" customFormat="false" ht="26.85" hidden="false" customHeight="false" outlineLevel="0" collapsed="false">
      <c r="A125" s="21" t="n">
        <v>124</v>
      </c>
      <c r="B125" s="18" t="s">
        <v>1231</v>
      </c>
      <c r="C125" s="23" t="n">
        <v>2</v>
      </c>
      <c r="D125" s="23" t="s">
        <v>126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1202</v>
      </c>
      <c r="H125" s="18" t="s">
        <v>1203</v>
      </c>
      <c r="I125" s="21" t="s">
        <v>1204</v>
      </c>
      <c r="J125" s="22" t="s">
        <v>1232</v>
      </c>
      <c r="K125" s="23" t="s">
        <v>1095</v>
      </c>
      <c r="L125" s="24" t="s">
        <v>1233</v>
      </c>
      <c r="M125" s="24" t="s">
        <v>1234</v>
      </c>
      <c r="N125" s="23" t="s">
        <v>1235</v>
      </c>
      <c r="O125" s="24" t="s">
        <v>1236</v>
      </c>
      <c r="P125" s="24" t="s">
        <v>1220</v>
      </c>
      <c r="Q125" s="24" t="s">
        <v>1158</v>
      </c>
      <c r="R125" s="25" t="s">
        <v>1237</v>
      </c>
      <c r="S125" s="24" t="s">
        <v>1213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140</v>
      </c>
      <c r="Y125" s="23" t="s">
        <v>140</v>
      </c>
      <c r="Z125" s="23" t="s">
        <v>140</v>
      </c>
      <c r="AA125" s="23" t="s">
        <v>140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</row>
    <row r="126" customFormat="false" ht="52.2" hidden="false" customHeight="false" outlineLevel="0" collapsed="false">
      <c r="A126" s="21" t="n">
        <v>125</v>
      </c>
      <c r="B126" s="18" t="s">
        <v>1238</v>
      </c>
      <c r="C126" s="20" t="n">
        <v>1</v>
      </c>
      <c r="D126" s="20" t="s">
        <v>126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1202</v>
      </c>
      <c r="H126" s="18" t="s">
        <v>1069</v>
      </c>
      <c r="I126" s="21" t="s">
        <v>1204</v>
      </c>
      <c r="J126" s="22" t="s">
        <v>1239</v>
      </c>
      <c r="K126" s="23" t="s">
        <v>1095</v>
      </c>
      <c r="L126" s="29" t="s">
        <v>1240</v>
      </c>
      <c r="M126" s="24" t="s">
        <v>1241</v>
      </c>
      <c r="N126" s="23" t="s">
        <v>1242</v>
      </c>
      <c r="O126" s="24" t="s">
        <v>1243</v>
      </c>
      <c r="P126" s="24" t="s">
        <v>1244</v>
      </c>
      <c r="Q126" s="24" t="s">
        <v>1245</v>
      </c>
      <c r="R126" s="25" t="s">
        <v>1246</v>
      </c>
      <c r="S126" s="28" t="s">
        <v>1247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140</v>
      </c>
      <c r="Y126" s="23" t="s">
        <v>140</v>
      </c>
      <c r="Z126" s="23" t="s">
        <v>140</v>
      </c>
      <c r="AA126" s="23" t="s">
        <v>140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</row>
    <row r="127" customFormat="false" ht="39.55" hidden="false" customHeight="false" outlineLevel="0" collapsed="false">
      <c r="A127" s="21" t="n">
        <v>126</v>
      </c>
      <c r="B127" s="18" t="s">
        <v>1248</v>
      </c>
      <c r="C127" s="23" t="n">
        <v>2</v>
      </c>
      <c r="D127" s="23" t="s">
        <v>126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1202</v>
      </c>
      <c r="H127" s="18" t="s">
        <v>1203</v>
      </c>
      <c r="I127" s="21" t="s">
        <v>1204</v>
      </c>
      <c r="J127" s="22" t="s">
        <v>1249</v>
      </c>
      <c r="K127" s="23" t="s">
        <v>1095</v>
      </c>
      <c r="L127" s="24" t="s">
        <v>1250</v>
      </c>
      <c r="M127" s="24" t="s">
        <v>1251</v>
      </c>
      <c r="N127" s="23" t="s">
        <v>1252</v>
      </c>
      <c r="O127" s="24" t="s">
        <v>1253</v>
      </c>
      <c r="P127" s="24" t="s">
        <v>990</v>
      </c>
      <c r="Q127" s="24" t="s">
        <v>1158</v>
      </c>
      <c r="R127" s="27" t="s">
        <v>1254</v>
      </c>
      <c r="S127" s="24" t="s">
        <v>1255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140</v>
      </c>
      <c r="Y127" s="23" t="s">
        <v>140</v>
      </c>
      <c r="Z127" s="23" t="s">
        <v>140</v>
      </c>
      <c r="AA127" s="23" t="s">
        <v>140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</row>
    <row r="128" customFormat="false" ht="25.35" hidden="false" customHeight="false" outlineLevel="0" collapsed="false">
      <c r="A128" s="21" t="n">
        <v>127</v>
      </c>
      <c r="B128" s="18" t="s">
        <v>1256</v>
      </c>
      <c r="C128" s="23" t="n">
        <v>2</v>
      </c>
      <c r="D128" s="23" t="s">
        <v>126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1202</v>
      </c>
      <c r="H128" s="18" t="s">
        <v>1203</v>
      </c>
      <c r="I128" s="21" t="s">
        <v>1204</v>
      </c>
      <c r="J128" s="22" t="s">
        <v>1257</v>
      </c>
      <c r="K128" s="23" t="s">
        <v>1095</v>
      </c>
      <c r="L128" s="24" t="s">
        <v>1258</v>
      </c>
      <c r="M128" s="24" t="s">
        <v>1259</v>
      </c>
      <c r="N128" s="23" t="s">
        <v>1260</v>
      </c>
      <c r="O128" s="24" t="s">
        <v>1261</v>
      </c>
      <c r="P128" s="24" t="s">
        <v>990</v>
      </c>
      <c r="Q128" s="24" t="s">
        <v>1262</v>
      </c>
      <c r="R128" s="24"/>
      <c r="S128" s="24" t="s">
        <v>1255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140</v>
      </c>
      <c r="Y128" s="23" t="s">
        <v>140</v>
      </c>
      <c r="Z128" s="23" t="s">
        <v>140</v>
      </c>
      <c r="AA128" s="23" t="s">
        <v>140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</row>
    <row r="129" customFormat="false" ht="26.85" hidden="false" customHeight="false" outlineLevel="0" collapsed="false">
      <c r="A129" s="21" t="n">
        <v>128</v>
      </c>
      <c r="B129" s="18" t="s">
        <v>1263</v>
      </c>
      <c r="C129" s="23" t="n">
        <v>2</v>
      </c>
      <c r="D129" s="23" t="s">
        <v>126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1202</v>
      </c>
      <c r="H129" s="18" t="s">
        <v>1203</v>
      </c>
      <c r="I129" s="21" t="s">
        <v>1204</v>
      </c>
      <c r="J129" s="22" t="s">
        <v>1264</v>
      </c>
      <c r="K129" s="23" t="s">
        <v>1095</v>
      </c>
      <c r="L129" s="24" t="s">
        <v>1265</v>
      </c>
      <c r="M129" s="24" t="s">
        <v>1266</v>
      </c>
      <c r="N129" s="23" t="s">
        <v>1267</v>
      </c>
      <c r="O129" s="24" t="s">
        <v>1268</v>
      </c>
      <c r="P129" s="24" t="s">
        <v>1220</v>
      </c>
      <c r="Q129" s="24" t="s">
        <v>1269</v>
      </c>
      <c r="R129" s="25" t="s">
        <v>1270</v>
      </c>
      <c r="S129" s="24" t="s">
        <v>1255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140</v>
      </c>
      <c r="Y129" s="23" t="s">
        <v>140</v>
      </c>
      <c r="Z129" s="23" t="s">
        <v>140</v>
      </c>
      <c r="AA129" s="23" t="s">
        <v>140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</row>
    <row r="130" customFormat="false" ht="26.85" hidden="false" customHeight="false" outlineLevel="0" collapsed="false">
      <c r="A130" s="21" t="n">
        <v>129</v>
      </c>
      <c r="B130" s="18" t="s">
        <v>1271</v>
      </c>
      <c r="C130" s="23" t="n">
        <v>2</v>
      </c>
      <c r="D130" s="23" t="s">
        <v>126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1202</v>
      </c>
      <c r="H130" s="18" t="s">
        <v>1203</v>
      </c>
      <c r="I130" s="21" t="s">
        <v>1204</v>
      </c>
      <c r="J130" s="22" t="s">
        <v>1272</v>
      </c>
      <c r="K130" s="23" t="s">
        <v>1095</v>
      </c>
      <c r="L130" s="24" t="s">
        <v>1273</v>
      </c>
      <c r="M130" s="24" t="s">
        <v>1274</v>
      </c>
      <c r="N130" s="23" t="s">
        <v>1275</v>
      </c>
      <c r="O130" s="24" t="s">
        <v>1276</v>
      </c>
      <c r="P130" s="24" t="s">
        <v>1277</v>
      </c>
      <c r="Q130" s="24" t="s">
        <v>1278</v>
      </c>
      <c r="R130" s="25" t="s">
        <v>1279</v>
      </c>
      <c r="S130" s="24" t="s">
        <v>1255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140</v>
      </c>
      <c r="Y130" s="23" t="s">
        <v>140</v>
      </c>
      <c r="Z130" s="23" t="s">
        <v>140</v>
      </c>
      <c r="AA130" s="23" t="s">
        <v>140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</row>
    <row r="131" customFormat="false" ht="26.85" hidden="false" customHeight="false" outlineLevel="0" collapsed="false">
      <c r="A131" s="21" t="n">
        <v>130</v>
      </c>
      <c r="B131" s="18" t="s">
        <v>1280</v>
      </c>
      <c r="C131" s="23" t="n">
        <v>2</v>
      </c>
      <c r="D131" s="23" t="s">
        <v>126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1202</v>
      </c>
      <c r="H131" s="18" t="s">
        <v>1203</v>
      </c>
      <c r="I131" s="21" t="s">
        <v>1204</v>
      </c>
      <c r="J131" s="22" t="s">
        <v>1281</v>
      </c>
      <c r="K131" s="23" t="s">
        <v>1095</v>
      </c>
      <c r="L131" s="24" t="s">
        <v>1282</v>
      </c>
      <c r="M131" s="24" t="s">
        <v>1283</v>
      </c>
      <c r="N131" s="23" t="s">
        <v>1284</v>
      </c>
      <c r="O131" s="24" t="s">
        <v>1285</v>
      </c>
      <c r="P131" s="24" t="s">
        <v>1220</v>
      </c>
      <c r="Q131" s="24" t="s">
        <v>1286</v>
      </c>
      <c r="R131" s="25" t="s">
        <v>714</v>
      </c>
      <c r="S131" s="24" t="s">
        <v>1255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140</v>
      </c>
      <c r="Y131" s="23" t="s">
        <v>140</v>
      </c>
      <c r="Z131" s="23" t="s">
        <v>140</v>
      </c>
      <c r="AA131" s="23" t="s">
        <v>140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</row>
    <row r="132" customFormat="false" ht="26.85" hidden="false" customHeight="false" outlineLevel="0" collapsed="false">
      <c r="A132" s="21" t="n">
        <v>131</v>
      </c>
      <c r="B132" s="18" t="s">
        <v>1287</v>
      </c>
      <c r="C132" s="23" t="n">
        <v>2</v>
      </c>
      <c r="D132" s="23" t="s">
        <v>126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1202</v>
      </c>
      <c r="H132" s="18" t="s">
        <v>1203</v>
      </c>
      <c r="I132" s="21" t="s">
        <v>1204</v>
      </c>
      <c r="J132" s="22" t="s">
        <v>1288</v>
      </c>
      <c r="K132" s="23" t="s">
        <v>1095</v>
      </c>
      <c r="L132" s="29" t="s">
        <v>1289</v>
      </c>
      <c r="M132" s="24" t="s">
        <v>1290</v>
      </c>
      <c r="N132" s="23" t="s">
        <v>1291</v>
      </c>
      <c r="O132" s="24" t="s">
        <v>1292</v>
      </c>
      <c r="P132" s="24" t="s">
        <v>1277</v>
      </c>
      <c r="Q132" s="24" t="s">
        <v>1293</v>
      </c>
      <c r="R132" s="25" t="s">
        <v>1294</v>
      </c>
      <c r="S132" s="24" t="s">
        <v>1255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140</v>
      </c>
      <c r="Y132" s="23" t="s">
        <v>140</v>
      </c>
      <c r="Z132" s="23" t="s">
        <v>140</v>
      </c>
      <c r="AA132" s="23" t="s">
        <v>140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</row>
    <row r="133" customFormat="false" ht="26.85" hidden="false" customHeight="false" outlineLevel="0" collapsed="false">
      <c r="A133" s="21" t="n">
        <v>132</v>
      </c>
      <c r="B133" s="18" t="s">
        <v>1295</v>
      </c>
      <c r="C133" s="23" t="n">
        <v>2</v>
      </c>
      <c r="D133" s="23" t="s">
        <v>126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1202</v>
      </c>
      <c r="H133" s="18" t="s">
        <v>1203</v>
      </c>
      <c r="I133" s="21" t="s">
        <v>1204</v>
      </c>
      <c r="J133" s="22" t="s">
        <v>1296</v>
      </c>
      <c r="K133" s="23" t="s">
        <v>1095</v>
      </c>
      <c r="L133" s="24" t="s">
        <v>1297</v>
      </c>
      <c r="M133" s="24" t="s">
        <v>1298</v>
      </c>
      <c r="N133" s="23" t="s">
        <v>1299</v>
      </c>
      <c r="O133" s="24" t="s">
        <v>1300</v>
      </c>
      <c r="P133" s="24" t="s">
        <v>990</v>
      </c>
      <c r="Q133" s="24" t="s">
        <v>1158</v>
      </c>
      <c r="R133" s="25" t="s">
        <v>1301</v>
      </c>
      <c r="S133" s="24" t="s">
        <v>1255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140</v>
      </c>
      <c r="Y133" s="23" t="s">
        <v>140</v>
      </c>
      <c r="Z133" s="23" t="s">
        <v>140</v>
      </c>
      <c r="AA133" s="23" t="s">
        <v>140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</row>
    <row r="134" customFormat="false" ht="26.85" hidden="false" customHeight="false" outlineLevel="0" collapsed="false">
      <c r="A134" s="21" t="n">
        <v>133</v>
      </c>
      <c r="B134" s="18" t="s">
        <v>1302</v>
      </c>
      <c r="C134" s="23" t="n">
        <v>2</v>
      </c>
      <c r="D134" s="23" t="s">
        <v>126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1303</v>
      </c>
      <c r="H134" s="18" t="s">
        <v>1304</v>
      </c>
      <c r="I134" s="21" t="s">
        <v>1305</v>
      </c>
      <c r="J134" s="22" t="s">
        <v>1306</v>
      </c>
      <c r="K134" s="23" t="s">
        <v>1095</v>
      </c>
      <c r="L134" s="24" t="s">
        <v>1307</v>
      </c>
      <c r="M134" s="29" t="s">
        <v>1308</v>
      </c>
      <c r="N134" s="23" t="s">
        <v>1309</v>
      </c>
      <c r="O134" s="24" t="s">
        <v>1310</v>
      </c>
      <c r="P134" s="24" t="s">
        <v>1311</v>
      </c>
      <c r="Q134" s="24" t="s">
        <v>1312</v>
      </c>
      <c r="R134" s="24"/>
      <c r="S134" s="24" t="s">
        <v>1255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140</v>
      </c>
      <c r="Y134" s="23" t="s">
        <v>140</v>
      </c>
      <c r="Z134" s="23" t="s">
        <v>140</v>
      </c>
      <c r="AA134" s="23" t="s">
        <v>140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</row>
    <row r="135" customFormat="false" ht="26.85" hidden="false" customHeight="false" outlineLevel="0" collapsed="false">
      <c r="A135" s="21" t="n">
        <v>134</v>
      </c>
      <c r="B135" s="18" t="s">
        <v>1313</v>
      </c>
      <c r="C135" s="23" t="n">
        <v>2</v>
      </c>
      <c r="D135" s="23" t="s">
        <v>126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1303</v>
      </c>
      <c r="H135" s="18" t="s">
        <v>1304</v>
      </c>
      <c r="I135" s="21" t="s">
        <v>1305</v>
      </c>
      <c r="J135" s="22" t="s">
        <v>1314</v>
      </c>
      <c r="K135" s="23" t="s">
        <v>1095</v>
      </c>
      <c r="L135" s="29" t="s">
        <v>1315</v>
      </c>
      <c r="M135" s="24" t="s">
        <v>1316</v>
      </c>
      <c r="N135" s="23" t="s">
        <v>1317</v>
      </c>
      <c r="O135" s="24" t="s">
        <v>1318</v>
      </c>
      <c r="P135" s="24" t="s">
        <v>1319</v>
      </c>
      <c r="Q135" s="24" t="s">
        <v>1320</v>
      </c>
      <c r="R135" s="24"/>
      <c r="S135" s="24" t="s">
        <v>1255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140</v>
      </c>
      <c r="Y135" s="23" t="s">
        <v>140</v>
      </c>
      <c r="Z135" s="23" t="s">
        <v>140</v>
      </c>
      <c r="AA135" s="23" t="s">
        <v>140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</row>
    <row r="136" customFormat="false" ht="25.35" hidden="false" customHeight="false" outlineLevel="0" collapsed="false">
      <c r="A136" s="21" t="n">
        <v>135</v>
      </c>
      <c r="B136" s="18" t="s">
        <v>1321</v>
      </c>
      <c r="C136" s="23" t="n">
        <v>2</v>
      </c>
      <c r="D136" s="23" t="s">
        <v>126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1303</v>
      </c>
      <c r="H136" s="18" t="s">
        <v>1304</v>
      </c>
      <c r="I136" s="21" t="s">
        <v>1305</v>
      </c>
      <c r="J136" s="22" t="s">
        <v>1322</v>
      </c>
      <c r="K136" s="23" t="s">
        <v>131</v>
      </c>
      <c r="L136" s="24" t="s">
        <v>1323</v>
      </c>
      <c r="M136" s="24" t="s">
        <v>1324</v>
      </c>
      <c r="N136" s="23" t="s">
        <v>1325</v>
      </c>
      <c r="O136" s="24" t="s">
        <v>1326</v>
      </c>
      <c r="P136" s="24" t="s">
        <v>990</v>
      </c>
      <c r="Q136" s="24" t="s">
        <v>1327</v>
      </c>
      <c r="R136" s="24"/>
      <c r="S136" s="24" t="s">
        <v>1255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140</v>
      </c>
      <c r="Y136" s="23" t="s">
        <v>140</v>
      </c>
      <c r="Z136" s="23" t="s">
        <v>140</v>
      </c>
      <c r="AA136" s="23" t="s">
        <v>140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</row>
    <row r="137" customFormat="false" ht="15" hidden="false" customHeight="false" outlineLevel="0" collapsed="false">
      <c r="A137" s="21" t="n">
        <v>136</v>
      </c>
      <c r="B137" s="18" t="s">
        <v>1328</v>
      </c>
      <c r="C137" s="23" t="n">
        <v>2</v>
      </c>
      <c r="D137" s="23" t="s">
        <v>126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1303</v>
      </c>
      <c r="H137" s="18" t="s">
        <v>1304</v>
      </c>
      <c r="I137" s="21" t="s">
        <v>1305</v>
      </c>
      <c r="J137" s="22" t="s">
        <v>1329</v>
      </c>
      <c r="K137" s="23" t="s">
        <v>131</v>
      </c>
      <c r="L137" s="24" t="s">
        <v>1330</v>
      </c>
      <c r="M137" s="24" t="s">
        <v>1331</v>
      </c>
      <c r="N137" s="23" t="s">
        <v>1332</v>
      </c>
      <c r="O137" s="24" t="s">
        <v>1333</v>
      </c>
      <c r="P137" s="24" t="s">
        <v>1334</v>
      </c>
      <c r="Q137" s="24" t="s">
        <v>1335</v>
      </c>
      <c r="R137" s="24"/>
      <c r="S137" s="24" t="s">
        <v>1255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140</v>
      </c>
      <c r="Y137" s="23" t="s">
        <v>140</v>
      </c>
      <c r="Z137" s="23" t="s">
        <v>140</v>
      </c>
      <c r="AA137" s="23" t="s">
        <v>140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</row>
    <row r="138" customFormat="false" ht="15" hidden="false" customHeight="false" outlineLevel="0" collapsed="false">
      <c r="A138" s="21" t="n">
        <v>137</v>
      </c>
      <c r="B138" s="18" t="s">
        <v>1336</v>
      </c>
      <c r="C138" s="23" t="n">
        <v>2</v>
      </c>
      <c r="D138" s="23" t="s">
        <v>126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1303</v>
      </c>
      <c r="H138" s="18" t="s">
        <v>1304</v>
      </c>
      <c r="I138" s="21" t="s">
        <v>1305</v>
      </c>
      <c r="J138" s="22" t="s">
        <v>1337</v>
      </c>
      <c r="K138" s="23" t="s">
        <v>131</v>
      </c>
      <c r="L138" s="24" t="s">
        <v>1338</v>
      </c>
      <c r="M138" s="24" t="s">
        <v>1339</v>
      </c>
      <c r="N138" s="23" t="s">
        <v>1340</v>
      </c>
      <c r="O138" s="24" t="s">
        <v>1341</v>
      </c>
      <c r="P138" s="24" t="s">
        <v>1342</v>
      </c>
      <c r="Q138" s="24" t="s">
        <v>1343</v>
      </c>
      <c r="R138" s="24"/>
      <c r="S138" s="24" t="s">
        <v>1255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140</v>
      </c>
      <c r="Y138" s="23" t="s">
        <v>140</v>
      </c>
      <c r="Z138" s="23" t="s">
        <v>140</v>
      </c>
      <c r="AA138" s="23" t="s">
        <v>140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</row>
    <row r="139" customFormat="false" ht="26.85" hidden="false" customHeight="false" outlineLevel="0" collapsed="false">
      <c r="A139" s="21" t="n">
        <v>138</v>
      </c>
      <c r="B139" s="18" t="s">
        <v>1344</v>
      </c>
      <c r="C139" s="23" t="n">
        <v>2</v>
      </c>
      <c r="D139" s="23" t="s">
        <v>126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1303</v>
      </c>
      <c r="H139" s="18" t="s">
        <v>1304</v>
      </c>
      <c r="I139" s="21" t="s">
        <v>1305</v>
      </c>
      <c r="J139" s="22" t="s">
        <v>1345</v>
      </c>
      <c r="K139" s="23" t="s">
        <v>131</v>
      </c>
      <c r="L139" s="24" t="s">
        <v>1346</v>
      </c>
      <c r="M139" s="24" t="s">
        <v>1347</v>
      </c>
      <c r="N139" s="23" t="s">
        <v>1348</v>
      </c>
      <c r="O139" s="24" t="s">
        <v>1349</v>
      </c>
      <c r="P139" s="24" t="s">
        <v>1350</v>
      </c>
      <c r="Q139" s="24" t="s">
        <v>1351</v>
      </c>
      <c r="R139" s="25" t="s">
        <v>1352</v>
      </c>
      <c r="S139" s="24" t="s">
        <v>1255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140</v>
      </c>
      <c r="Y139" s="23" t="s">
        <v>140</v>
      </c>
      <c r="Z139" s="23" t="s">
        <v>140</v>
      </c>
      <c r="AA139" s="23" t="s">
        <v>140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</row>
    <row r="140" customFormat="false" ht="52.2" hidden="false" customHeight="false" outlineLevel="0" collapsed="false">
      <c r="A140" s="21" t="n">
        <v>139</v>
      </c>
      <c r="B140" s="18" t="s">
        <v>1353</v>
      </c>
      <c r="C140" s="20" t="n">
        <v>1</v>
      </c>
      <c r="D140" s="20" t="s">
        <v>126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1303</v>
      </c>
      <c r="H140" s="18" t="s">
        <v>1354</v>
      </c>
      <c r="I140" s="21" t="s">
        <v>1305</v>
      </c>
      <c r="J140" s="22" t="s">
        <v>1355</v>
      </c>
      <c r="K140" s="23" t="s">
        <v>131</v>
      </c>
      <c r="L140" s="24" t="s">
        <v>1356</v>
      </c>
      <c r="M140" s="24" t="s">
        <v>1357</v>
      </c>
      <c r="N140" s="23" t="s">
        <v>1358</v>
      </c>
      <c r="O140" s="24" t="s">
        <v>1359</v>
      </c>
      <c r="P140" s="24" t="s">
        <v>1360</v>
      </c>
      <c r="Q140" s="24" t="s">
        <v>1361</v>
      </c>
      <c r="R140" s="24"/>
      <c r="S140" s="28" t="s">
        <v>1362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140</v>
      </c>
      <c r="Y140" s="23" t="s">
        <v>140</v>
      </c>
      <c r="Z140" s="23" t="s">
        <v>140</v>
      </c>
      <c r="AA140" s="23" t="s">
        <v>140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</row>
    <row r="141" customFormat="false" ht="15" hidden="false" customHeight="false" outlineLevel="0" collapsed="false">
      <c r="A141" s="21" t="n">
        <v>140</v>
      </c>
      <c r="B141" s="18" t="s">
        <v>1363</v>
      </c>
      <c r="C141" s="20" t="n">
        <v>1</v>
      </c>
      <c r="D141" s="20" t="s">
        <v>126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1303</v>
      </c>
      <c r="H141" s="18" t="s">
        <v>1354</v>
      </c>
      <c r="I141" s="21" t="s">
        <v>1305</v>
      </c>
      <c r="J141" s="22" t="s">
        <v>1364</v>
      </c>
      <c r="K141" s="23" t="s">
        <v>131</v>
      </c>
      <c r="L141" s="29" t="s">
        <v>1365</v>
      </c>
      <c r="M141" s="24" t="s">
        <v>1366</v>
      </c>
      <c r="N141" s="23" t="s">
        <v>1367</v>
      </c>
      <c r="O141" s="24" t="s">
        <v>1368</v>
      </c>
      <c r="P141" s="24" t="s">
        <v>1369</v>
      </c>
      <c r="Q141" s="24" t="s">
        <v>1370</v>
      </c>
      <c r="R141" s="24"/>
      <c r="S141" s="24" t="s">
        <v>139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140</v>
      </c>
      <c r="Y141" s="23" t="s">
        <v>140</v>
      </c>
      <c r="Z141" s="23" t="s">
        <v>140</v>
      </c>
      <c r="AA141" s="23" t="s">
        <v>140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</row>
    <row r="142" customFormat="false" ht="25.35" hidden="false" customHeight="false" outlineLevel="0" collapsed="false">
      <c r="A142" s="21" t="n">
        <v>141</v>
      </c>
      <c r="B142" s="18" t="s">
        <v>1371</v>
      </c>
      <c r="C142" s="23" t="n">
        <v>2</v>
      </c>
      <c r="D142" s="23" t="s">
        <v>126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1372</v>
      </c>
      <c r="H142" s="18" t="s">
        <v>1304</v>
      </c>
      <c r="I142" s="21" t="s">
        <v>1305</v>
      </c>
      <c r="J142" s="22" t="s">
        <v>1373</v>
      </c>
      <c r="K142" s="23" t="s">
        <v>1095</v>
      </c>
      <c r="L142" s="24" t="s">
        <v>1374</v>
      </c>
      <c r="M142" s="24" t="s">
        <v>1375</v>
      </c>
      <c r="N142" s="23" t="s">
        <v>1376</v>
      </c>
      <c r="O142" s="24" t="s">
        <v>1377</v>
      </c>
      <c r="P142" s="24" t="s">
        <v>1277</v>
      </c>
      <c r="Q142" s="24" t="s">
        <v>1158</v>
      </c>
      <c r="R142" s="24"/>
      <c r="S142" s="24" t="s">
        <v>1378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140</v>
      </c>
      <c r="Y142" s="23" t="s">
        <v>140</v>
      </c>
      <c r="Z142" s="23" t="s">
        <v>140</v>
      </c>
      <c r="AA142" s="23" t="s">
        <v>140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</row>
    <row r="143" customFormat="false" ht="26.85" hidden="false" customHeight="false" outlineLevel="0" collapsed="false">
      <c r="A143" s="21" t="n">
        <v>142</v>
      </c>
      <c r="B143" s="18" t="s">
        <v>1379</v>
      </c>
      <c r="C143" s="23" t="n">
        <v>2</v>
      </c>
      <c r="D143" s="23" t="s">
        <v>126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1372</v>
      </c>
      <c r="H143" s="18" t="s">
        <v>1304</v>
      </c>
      <c r="I143" s="21" t="s">
        <v>1305</v>
      </c>
      <c r="J143" s="22" t="s">
        <v>1380</v>
      </c>
      <c r="K143" s="23" t="s">
        <v>131</v>
      </c>
      <c r="L143" s="24" t="s">
        <v>1381</v>
      </c>
      <c r="M143" s="24" t="s">
        <v>1382</v>
      </c>
      <c r="N143" s="23" t="s">
        <v>1383</v>
      </c>
      <c r="O143" s="24" t="s">
        <v>1384</v>
      </c>
      <c r="P143" s="24" t="s">
        <v>1385</v>
      </c>
      <c r="Q143" s="24" t="s">
        <v>1386</v>
      </c>
      <c r="R143" s="25" t="s">
        <v>1387</v>
      </c>
      <c r="S143" s="24" t="s">
        <v>1378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140</v>
      </c>
      <c r="Y143" s="23" t="s">
        <v>140</v>
      </c>
      <c r="Z143" s="23" t="s">
        <v>140</v>
      </c>
      <c r="AA143" s="23" t="s">
        <v>140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</row>
    <row r="144" customFormat="false" ht="26.85" hidden="false" customHeight="false" outlineLevel="0" collapsed="false">
      <c r="A144" s="21" t="n">
        <v>143</v>
      </c>
      <c r="B144" s="18" t="s">
        <v>1388</v>
      </c>
      <c r="C144" s="23" t="n">
        <v>2</v>
      </c>
      <c r="D144" s="23" t="s">
        <v>126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1372</v>
      </c>
      <c r="H144" s="18" t="s">
        <v>1304</v>
      </c>
      <c r="I144" s="21" t="s">
        <v>1305</v>
      </c>
      <c r="J144" s="22" t="s">
        <v>1389</v>
      </c>
      <c r="K144" s="23" t="s">
        <v>131</v>
      </c>
      <c r="L144" s="24" t="s">
        <v>1390</v>
      </c>
      <c r="M144" s="24" t="s">
        <v>1391</v>
      </c>
      <c r="N144" s="23" t="s">
        <v>1392</v>
      </c>
      <c r="O144" s="24" t="s">
        <v>1393</v>
      </c>
      <c r="P144" s="24" t="s">
        <v>1394</v>
      </c>
      <c r="Q144" s="24" t="s">
        <v>1395</v>
      </c>
      <c r="R144" s="24"/>
      <c r="S144" s="24" t="s">
        <v>1378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140</v>
      </c>
      <c r="Y144" s="23" t="s">
        <v>140</v>
      </c>
      <c r="Z144" s="23" t="s">
        <v>140</v>
      </c>
      <c r="AA144" s="23" t="s">
        <v>140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</row>
    <row r="145" customFormat="false" ht="26.85" hidden="false" customHeight="false" outlineLevel="0" collapsed="false">
      <c r="A145" s="21" t="n">
        <v>144</v>
      </c>
      <c r="B145" s="18" t="s">
        <v>1396</v>
      </c>
      <c r="C145" s="23" t="n">
        <v>2</v>
      </c>
      <c r="D145" s="23" t="s">
        <v>126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1372</v>
      </c>
      <c r="H145" s="18" t="s">
        <v>1397</v>
      </c>
      <c r="I145" s="21" t="s">
        <v>1305</v>
      </c>
      <c r="J145" s="22" t="s">
        <v>1398</v>
      </c>
      <c r="K145" s="23" t="s">
        <v>1095</v>
      </c>
      <c r="L145" s="24" t="s">
        <v>1399</v>
      </c>
      <c r="M145" s="24" t="s">
        <v>1400</v>
      </c>
      <c r="N145" s="23" t="s">
        <v>1401</v>
      </c>
      <c r="O145" s="24" t="s">
        <v>1402</v>
      </c>
      <c r="P145" s="24" t="s">
        <v>1127</v>
      </c>
      <c r="Q145" s="24" t="s">
        <v>1403</v>
      </c>
      <c r="R145" s="25" t="s">
        <v>1404</v>
      </c>
      <c r="S145" s="24" t="s">
        <v>1378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140</v>
      </c>
      <c r="Y145" s="23" t="s">
        <v>140</v>
      </c>
      <c r="Z145" s="23" t="s">
        <v>140</v>
      </c>
      <c r="AA145" s="23" t="s">
        <v>140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</row>
    <row r="146" customFormat="false" ht="15" hidden="false" customHeight="false" outlineLevel="0" collapsed="false">
      <c r="A146" s="21" t="n">
        <v>145</v>
      </c>
      <c r="B146" s="18" t="s">
        <v>1405</v>
      </c>
      <c r="C146" s="23" t="n">
        <v>2</v>
      </c>
      <c r="D146" s="23" t="s">
        <v>126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1372</v>
      </c>
      <c r="H146" s="18" t="s">
        <v>1397</v>
      </c>
      <c r="I146" s="21" t="s">
        <v>1305</v>
      </c>
      <c r="J146" s="22" t="s">
        <v>1406</v>
      </c>
      <c r="K146" s="23" t="s">
        <v>131</v>
      </c>
      <c r="L146" s="24" t="s">
        <v>1407</v>
      </c>
      <c r="M146" s="24" t="s">
        <v>1408</v>
      </c>
      <c r="N146" s="23" t="s">
        <v>1409</v>
      </c>
      <c r="O146" s="24" t="s">
        <v>1410</v>
      </c>
      <c r="P146" s="24" t="s">
        <v>1036</v>
      </c>
      <c r="Q146" s="24" t="s">
        <v>1411</v>
      </c>
      <c r="R146" s="24"/>
      <c r="S146" s="24" t="s">
        <v>1378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140</v>
      </c>
      <c r="Y146" s="23" t="s">
        <v>140</v>
      </c>
      <c r="Z146" s="23" t="s">
        <v>140</v>
      </c>
      <c r="AA146" s="23" t="s">
        <v>140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</row>
    <row r="147" customFormat="false" ht="39.55" hidden="false" customHeight="false" outlineLevel="0" collapsed="false">
      <c r="A147" s="21" t="n">
        <v>146</v>
      </c>
      <c r="B147" s="18" t="s">
        <v>1412</v>
      </c>
      <c r="C147" s="20" t="n">
        <v>1</v>
      </c>
      <c r="D147" s="20" t="s">
        <v>126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1372</v>
      </c>
      <c r="H147" s="18" t="s">
        <v>1354</v>
      </c>
      <c r="I147" s="21" t="s">
        <v>1305</v>
      </c>
      <c r="J147" s="22" t="s">
        <v>1413</v>
      </c>
      <c r="K147" s="23" t="s">
        <v>131</v>
      </c>
      <c r="L147" s="24" t="s">
        <v>1414</v>
      </c>
      <c r="M147" s="24" t="s">
        <v>1415</v>
      </c>
      <c r="N147" s="23" t="s">
        <v>1416</v>
      </c>
      <c r="O147" s="24" t="s">
        <v>1417</v>
      </c>
      <c r="P147" s="24" t="s">
        <v>1036</v>
      </c>
      <c r="Q147" s="24" t="s">
        <v>1418</v>
      </c>
      <c r="R147" s="25" t="s">
        <v>1419</v>
      </c>
      <c r="S147" s="28" t="s">
        <v>1420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140</v>
      </c>
      <c r="Y147" s="23" t="s">
        <v>140</v>
      </c>
      <c r="Z147" s="23" t="s">
        <v>140</v>
      </c>
      <c r="AA147" s="23" t="s">
        <v>140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</row>
    <row r="148" customFormat="false" ht="26.85" hidden="false" customHeight="false" outlineLevel="0" collapsed="false">
      <c r="A148" s="21" t="n">
        <v>147</v>
      </c>
      <c r="B148" s="18" t="s">
        <v>1421</v>
      </c>
      <c r="C148" s="23" t="n">
        <v>2</v>
      </c>
      <c r="D148" s="23" t="s">
        <v>126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1372</v>
      </c>
      <c r="H148" s="18" t="s">
        <v>1397</v>
      </c>
      <c r="I148" s="21" t="s">
        <v>1305</v>
      </c>
      <c r="J148" s="22" t="s">
        <v>1422</v>
      </c>
      <c r="K148" s="23" t="s">
        <v>131</v>
      </c>
      <c r="L148" s="24" t="s">
        <v>1423</v>
      </c>
      <c r="M148" s="24" t="s">
        <v>1424</v>
      </c>
      <c r="N148" s="23" t="s">
        <v>1425</v>
      </c>
      <c r="O148" s="24" t="s">
        <v>1426</v>
      </c>
      <c r="P148" s="24" t="s">
        <v>1427</v>
      </c>
      <c r="Q148" s="24" t="s">
        <v>1428</v>
      </c>
      <c r="R148" s="25" t="s">
        <v>1429</v>
      </c>
      <c r="S148" s="24" t="s">
        <v>1430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140</v>
      </c>
      <c r="Y148" s="23" t="s">
        <v>140</v>
      </c>
      <c r="Z148" s="23" t="s">
        <v>140</v>
      </c>
      <c r="AA148" s="23" t="s">
        <v>140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</row>
    <row r="149" customFormat="false" ht="26.85" hidden="false" customHeight="false" outlineLevel="0" collapsed="false">
      <c r="A149" s="21" t="n">
        <v>148</v>
      </c>
      <c r="B149" s="18" t="s">
        <v>1431</v>
      </c>
      <c r="C149" s="20" t="n">
        <v>1</v>
      </c>
      <c r="D149" s="20" t="s">
        <v>126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1372</v>
      </c>
      <c r="H149" s="18" t="s">
        <v>1354</v>
      </c>
      <c r="I149" s="21" t="s">
        <v>1305</v>
      </c>
      <c r="J149" s="22" t="s">
        <v>1432</v>
      </c>
      <c r="K149" s="23" t="s">
        <v>131</v>
      </c>
      <c r="L149" s="24" t="s">
        <v>1433</v>
      </c>
      <c r="M149" s="24" t="s">
        <v>1434</v>
      </c>
      <c r="N149" s="23" t="s">
        <v>1435</v>
      </c>
      <c r="O149" s="24" t="s">
        <v>1436</v>
      </c>
      <c r="P149" s="24" t="s">
        <v>1437</v>
      </c>
      <c r="Q149" s="24" t="s">
        <v>1438</v>
      </c>
      <c r="R149" s="25" t="s">
        <v>1439</v>
      </c>
      <c r="S149" s="28" t="s">
        <v>1440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140</v>
      </c>
      <c r="Y149" s="23" t="s">
        <v>140</v>
      </c>
      <c r="Z149" s="23" t="s">
        <v>140</v>
      </c>
      <c r="AA149" s="23" t="s">
        <v>140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</row>
    <row r="150" customFormat="false" ht="26.85" hidden="false" customHeight="false" outlineLevel="0" collapsed="false">
      <c r="A150" s="21" t="n">
        <v>149</v>
      </c>
      <c r="B150" s="18" t="s">
        <v>1441</v>
      </c>
      <c r="C150" s="23" t="n">
        <v>2</v>
      </c>
      <c r="D150" s="23" t="s">
        <v>126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1372</v>
      </c>
      <c r="H150" s="18" t="s">
        <v>1397</v>
      </c>
      <c r="I150" s="21" t="s">
        <v>1305</v>
      </c>
      <c r="J150" s="22" t="s">
        <v>1442</v>
      </c>
      <c r="K150" s="23" t="s">
        <v>131</v>
      </c>
      <c r="L150" s="24" t="s">
        <v>1443</v>
      </c>
      <c r="M150" s="24" t="s">
        <v>1444</v>
      </c>
      <c r="N150" s="23" t="s">
        <v>1445</v>
      </c>
      <c r="O150" s="24" t="s">
        <v>1446</v>
      </c>
      <c r="P150" s="24" t="s">
        <v>1447</v>
      </c>
      <c r="Q150" s="24" t="s">
        <v>1448</v>
      </c>
      <c r="R150" s="27" t="s">
        <v>1449</v>
      </c>
      <c r="S150" s="24" t="s">
        <v>1450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140</v>
      </c>
      <c r="Y150" s="23" t="s">
        <v>140</v>
      </c>
      <c r="Z150" s="23" t="s">
        <v>140</v>
      </c>
      <c r="AA150" s="23" t="s">
        <v>140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</row>
    <row r="151" customFormat="false" ht="26.85" hidden="false" customHeight="false" outlineLevel="0" collapsed="false">
      <c r="A151" s="21" t="n">
        <v>150</v>
      </c>
      <c r="B151" s="18" t="s">
        <v>1451</v>
      </c>
      <c r="C151" s="23" t="n">
        <v>2</v>
      </c>
      <c r="D151" s="23" t="s">
        <v>126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1372</v>
      </c>
      <c r="H151" s="18" t="s">
        <v>1397</v>
      </c>
      <c r="I151" s="21" t="s">
        <v>1305</v>
      </c>
      <c r="J151" s="22" t="s">
        <v>1452</v>
      </c>
      <c r="K151" s="23" t="s">
        <v>131</v>
      </c>
      <c r="L151" s="24" t="s">
        <v>1453</v>
      </c>
      <c r="M151" s="24" t="s">
        <v>1454</v>
      </c>
      <c r="N151" s="23" t="s">
        <v>1455</v>
      </c>
      <c r="O151" s="24" t="s">
        <v>1456</v>
      </c>
      <c r="P151" s="24" t="s">
        <v>1457</v>
      </c>
      <c r="Q151" s="24" t="s">
        <v>1458</v>
      </c>
      <c r="R151" s="25" t="s">
        <v>1459</v>
      </c>
      <c r="S151" s="24" t="s">
        <v>1450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140</v>
      </c>
      <c r="Y151" s="23" t="s">
        <v>140</v>
      </c>
      <c r="Z151" s="23" t="s">
        <v>140</v>
      </c>
      <c r="AA151" s="23" t="s">
        <v>140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</row>
    <row r="152" customFormat="false" ht="26.85" hidden="false" customHeight="false" outlineLevel="0" collapsed="false">
      <c r="A152" s="21" t="n">
        <v>151</v>
      </c>
      <c r="B152" s="18" t="s">
        <v>1460</v>
      </c>
      <c r="C152" s="23" t="n">
        <v>2</v>
      </c>
      <c r="D152" s="23" t="s">
        <v>126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1372</v>
      </c>
      <c r="H152" s="18" t="s">
        <v>1397</v>
      </c>
      <c r="I152" s="21" t="s">
        <v>1305</v>
      </c>
      <c r="J152" s="22" t="s">
        <v>1461</v>
      </c>
      <c r="K152" s="23" t="s">
        <v>1095</v>
      </c>
      <c r="L152" s="24" t="s">
        <v>1462</v>
      </c>
      <c r="M152" s="24" t="s">
        <v>1463</v>
      </c>
      <c r="N152" s="23" t="s">
        <v>1464</v>
      </c>
      <c r="O152" s="24" t="s">
        <v>1465</v>
      </c>
      <c r="P152" s="24" t="s">
        <v>1466</v>
      </c>
      <c r="Q152" s="24" t="s">
        <v>1467</v>
      </c>
      <c r="R152" s="24"/>
      <c r="S152" s="24" t="s">
        <v>1450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140</v>
      </c>
      <c r="Y152" s="23" t="s">
        <v>140</v>
      </c>
      <c r="Z152" s="23" t="s">
        <v>140</v>
      </c>
      <c r="AA152" s="23" t="s">
        <v>140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</row>
    <row r="153" customFormat="false" ht="26.85" hidden="false" customHeight="false" outlineLevel="0" collapsed="false">
      <c r="A153" s="21" t="n">
        <v>152</v>
      </c>
      <c r="B153" s="18" t="s">
        <v>1468</v>
      </c>
      <c r="C153" s="23" t="n">
        <v>2</v>
      </c>
      <c r="D153" s="23" t="s">
        <v>126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1372</v>
      </c>
      <c r="H153" s="18" t="s">
        <v>1397</v>
      </c>
      <c r="I153" s="21" t="s">
        <v>1305</v>
      </c>
      <c r="J153" s="22" t="s">
        <v>1469</v>
      </c>
      <c r="K153" s="23" t="s">
        <v>1095</v>
      </c>
      <c r="L153" s="24" t="s">
        <v>1470</v>
      </c>
      <c r="M153" s="24" t="s">
        <v>1471</v>
      </c>
      <c r="N153" s="23" t="s">
        <v>1472</v>
      </c>
      <c r="O153" s="24" t="s">
        <v>1473</v>
      </c>
      <c r="P153" s="24" t="s">
        <v>1220</v>
      </c>
      <c r="Q153" s="24" t="s">
        <v>1269</v>
      </c>
      <c r="R153" s="24"/>
      <c r="S153" s="24" t="s">
        <v>1450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140</v>
      </c>
      <c r="Y153" s="23" t="s">
        <v>140</v>
      </c>
      <c r="Z153" s="23" t="s">
        <v>140</v>
      </c>
      <c r="AA153" s="23" t="s">
        <v>140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</row>
    <row r="154" customFormat="false" ht="26.85" hidden="false" customHeight="false" outlineLevel="0" collapsed="false">
      <c r="A154" s="21" t="n">
        <v>153</v>
      </c>
      <c r="B154" s="18" t="s">
        <v>1474</v>
      </c>
      <c r="C154" s="23" t="n">
        <v>2</v>
      </c>
      <c r="D154" s="23" t="s">
        <v>126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1372</v>
      </c>
      <c r="H154" s="18" t="s">
        <v>1397</v>
      </c>
      <c r="I154" s="21" t="s">
        <v>1305</v>
      </c>
      <c r="J154" s="22" t="s">
        <v>1475</v>
      </c>
      <c r="K154" s="23" t="s">
        <v>131</v>
      </c>
      <c r="L154" s="24" t="s">
        <v>1476</v>
      </c>
      <c r="M154" s="24" t="s">
        <v>1477</v>
      </c>
      <c r="N154" s="23" t="s">
        <v>1478</v>
      </c>
      <c r="O154" s="24" t="s">
        <v>1479</v>
      </c>
      <c r="P154" s="24" t="s">
        <v>1480</v>
      </c>
      <c r="Q154" s="24" t="s">
        <v>1481</v>
      </c>
      <c r="R154" s="27" t="s">
        <v>1482</v>
      </c>
      <c r="S154" s="24" t="s">
        <v>1450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140</v>
      </c>
      <c r="Y154" s="23" t="s">
        <v>140</v>
      </c>
      <c r="Z154" s="23" t="s">
        <v>140</v>
      </c>
      <c r="AA154" s="23" t="s">
        <v>140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</row>
    <row r="155" customFormat="false" ht="26.85" hidden="false" customHeight="false" outlineLevel="0" collapsed="false">
      <c r="A155" s="21" t="n">
        <v>154</v>
      </c>
      <c r="B155" s="18" t="s">
        <v>1483</v>
      </c>
      <c r="C155" s="23" t="n">
        <v>2</v>
      </c>
      <c r="D155" s="23" t="s">
        <v>126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1372</v>
      </c>
      <c r="H155" s="18" t="s">
        <v>1397</v>
      </c>
      <c r="I155" s="21" t="s">
        <v>1305</v>
      </c>
      <c r="J155" s="22" t="s">
        <v>1484</v>
      </c>
      <c r="K155" s="23" t="s">
        <v>1095</v>
      </c>
      <c r="L155" s="24" t="s">
        <v>1485</v>
      </c>
      <c r="M155" s="24" t="s">
        <v>1486</v>
      </c>
      <c r="N155" s="23" t="s">
        <v>1487</v>
      </c>
      <c r="O155" s="24" t="s">
        <v>1488</v>
      </c>
      <c r="P155" s="24" t="s">
        <v>990</v>
      </c>
      <c r="Q155" s="24" t="s">
        <v>1489</v>
      </c>
      <c r="R155" s="25" t="s">
        <v>1490</v>
      </c>
      <c r="S155" s="24" t="s">
        <v>1450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140</v>
      </c>
      <c r="Y155" s="23" t="s">
        <v>140</v>
      </c>
      <c r="Z155" s="23" t="s">
        <v>140</v>
      </c>
      <c r="AA155" s="23" t="s">
        <v>140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</row>
    <row r="156" customFormat="false" ht="26.85" hidden="false" customHeight="false" outlineLevel="0" collapsed="false">
      <c r="A156" s="21" t="n">
        <v>155</v>
      </c>
      <c r="B156" s="18" t="s">
        <v>1491</v>
      </c>
      <c r="C156" s="23" t="n">
        <v>2</v>
      </c>
      <c r="D156" s="23" t="s">
        <v>126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1492</v>
      </c>
      <c r="H156" s="18" t="s">
        <v>1493</v>
      </c>
      <c r="I156" s="21" t="s">
        <v>1494</v>
      </c>
      <c r="J156" s="22" t="s">
        <v>1495</v>
      </c>
      <c r="K156" s="23" t="s">
        <v>1095</v>
      </c>
      <c r="L156" s="24" t="s">
        <v>1496</v>
      </c>
      <c r="M156" s="24" t="s">
        <v>1497</v>
      </c>
      <c r="N156" s="23" t="s">
        <v>1498</v>
      </c>
      <c r="O156" s="24" t="s">
        <v>1499</v>
      </c>
      <c r="P156" s="24" t="s">
        <v>990</v>
      </c>
      <c r="Q156" s="24" t="s">
        <v>1467</v>
      </c>
      <c r="R156" s="24"/>
      <c r="S156" s="24" t="s">
        <v>1450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140</v>
      </c>
      <c r="Y156" s="23" t="s">
        <v>140</v>
      </c>
      <c r="Z156" s="23" t="s">
        <v>140</v>
      </c>
      <c r="AA156" s="23" t="s">
        <v>140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</row>
    <row r="157" customFormat="false" ht="26.85" hidden="false" customHeight="false" outlineLevel="0" collapsed="false">
      <c r="A157" s="21" t="n">
        <v>156</v>
      </c>
      <c r="B157" s="18" t="s">
        <v>1500</v>
      </c>
      <c r="C157" s="23" t="n">
        <v>2</v>
      </c>
      <c r="D157" s="23" t="s">
        <v>126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1492</v>
      </c>
      <c r="H157" s="18" t="s">
        <v>1493</v>
      </c>
      <c r="I157" s="21" t="s">
        <v>1494</v>
      </c>
      <c r="J157" s="22" t="s">
        <v>1501</v>
      </c>
      <c r="K157" s="23" t="s">
        <v>1095</v>
      </c>
      <c r="L157" s="24" t="s">
        <v>1502</v>
      </c>
      <c r="M157" s="24" t="s">
        <v>1503</v>
      </c>
      <c r="N157" s="23" t="s">
        <v>1504</v>
      </c>
      <c r="O157" s="24" t="s">
        <v>1505</v>
      </c>
      <c r="P157" s="24" t="s">
        <v>990</v>
      </c>
      <c r="Q157" s="24" t="s">
        <v>1467</v>
      </c>
      <c r="R157" s="25" t="s">
        <v>1506</v>
      </c>
      <c r="S157" s="24" t="s">
        <v>1450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140</v>
      </c>
      <c r="Y157" s="23" t="s">
        <v>140</v>
      </c>
      <c r="Z157" s="23" t="s">
        <v>140</v>
      </c>
      <c r="AA157" s="23" t="s">
        <v>140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</row>
    <row r="158" customFormat="false" ht="26.85" hidden="false" customHeight="false" outlineLevel="0" collapsed="false">
      <c r="A158" s="21" t="n">
        <v>157</v>
      </c>
      <c r="B158" s="18" t="s">
        <v>1507</v>
      </c>
      <c r="C158" s="23" t="n">
        <v>2</v>
      </c>
      <c r="D158" s="23" t="s">
        <v>126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1492</v>
      </c>
      <c r="H158" s="18" t="s">
        <v>1493</v>
      </c>
      <c r="I158" s="21" t="s">
        <v>1494</v>
      </c>
      <c r="J158" s="22" t="s">
        <v>1508</v>
      </c>
      <c r="K158" s="23" t="s">
        <v>1095</v>
      </c>
      <c r="L158" s="24" t="s">
        <v>1509</v>
      </c>
      <c r="M158" s="29" t="s">
        <v>1510</v>
      </c>
      <c r="N158" s="23" t="s">
        <v>1511</v>
      </c>
      <c r="O158" s="24" t="s">
        <v>1512</v>
      </c>
      <c r="P158" s="24" t="s">
        <v>1513</v>
      </c>
      <c r="Q158" s="24" t="s">
        <v>1467</v>
      </c>
      <c r="R158" s="24"/>
      <c r="S158" s="24" t="s">
        <v>1450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140</v>
      </c>
      <c r="Y158" s="23" t="s">
        <v>140</v>
      </c>
      <c r="Z158" s="23" t="s">
        <v>140</v>
      </c>
      <c r="AA158" s="23" t="s">
        <v>140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</row>
    <row r="159" customFormat="false" ht="52.2" hidden="false" customHeight="false" outlineLevel="0" collapsed="false">
      <c r="A159" s="21" t="n">
        <v>158</v>
      </c>
      <c r="B159" s="18" t="s">
        <v>1514</v>
      </c>
      <c r="C159" s="20" t="n">
        <v>1</v>
      </c>
      <c r="D159" s="20" t="s">
        <v>126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1492</v>
      </c>
      <c r="H159" s="18" t="s">
        <v>1354</v>
      </c>
      <c r="I159" s="21" t="s">
        <v>1494</v>
      </c>
      <c r="J159" s="22" t="s">
        <v>1515</v>
      </c>
      <c r="K159" s="23" t="s">
        <v>1095</v>
      </c>
      <c r="L159" s="24" t="s">
        <v>1516</v>
      </c>
      <c r="M159" s="24" t="s">
        <v>1517</v>
      </c>
      <c r="N159" s="23" t="s">
        <v>1518</v>
      </c>
      <c r="O159" s="24" t="s">
        <v>1519</v>
      </c>
      <c r="P159" s="24" t="s">
        <v>1520</v>
      </c>
      <c r="Q159" s="24" t="s">
        <v>1521</v>
      </c>
      <c r="R159" s="25" t="s">
        <v>1522</v>
      </c>
      <c r="S159" s="28" t="s">
        <v>1523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140</v>
      </c>
      <c r="Y159" s="23" t="s">
        <v>140</v>
      </c>
      <c r="Z159" s="23" t="s">
        <v>140</v>
      </c>
      <c r="AA159" s="23" t="s">
        <v>140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</row>
    <row r="160" customFormat="false" ht="26.85" hidden="false" customHeight="false" outlineLevel="0" collapsed="false">
      <c r="A160" s="21" t="n">
        <v>159</v>
      </c>
      <c r="B160" s="18" t="s">
        <v>1524</v>
      </c>
      <c r="C160" s="23" t="n">
        <v>2</v>
      </c>
      <c r="D160" s="23" t="s">
        <v>126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1492</v>
      </c>
      <c r="H160" s="18" t="s">
        <v>1493</v>
      </c>
      <c r="I160" s="21" t="s">
        <v>1494</v>
      </c>
      <c r="J160" s="22" t="s">
        <v>1525</v>
      </c>
      <c r="K160" s="23" t="s">
        <v>1095</v>
      </c>
      <c r="L160" s="24" t="s">
        <v>1526</v>
      </c>
      <c r="M160" s="24" t="s">
        <v>1527</v>
      </c>
      <c r="N160" s="23" t="s">
        <v>1528</v>
      </c>
      <c r="O160" s="24" t="s">
        <v>1529</v>
      </c>
      <c r="P160" s="24" t="s">
        <v>990</v>
      </c>
      <c r="Q160" s="24" t="s">
        <v>1467</v>
      </c>
      <c r="R160" s="25" t="s">
        <v>1530</v>
      </c>
      <c r="S160" s="24" t="s">
        <v>1531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140</v>
      </c>
      <c r="Y160" s="23" t="s">
        <v>140</v>
      </c>
      <c r="Z160" s="23" t="s">
        <v>140</v>
      </c>
      <c r="AA160" s="23" t="s">
        <v>140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</row>
    <row r="161" customFormat="false" ht="26.85" hidden="false" customHeight="false" outlineLevel="0" collapsed="false">
      <c r="A161" s="21" t="n">
        <v>160</v>
      </c>
      <c r="B161" s="18" t="s">
        <v>1532</v>
      </c>
      <c r="C161" s="23" t="n">
        <v>2</v>
      </c>
      <c r="D161" s="23" t="s">
        <v>126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1492</v>
      </c>
      <c r="H161" s="18" t="s">
        <v>1493</v>
      </c>
      <c r="I161" s="21" t="s">
        <v>1494</v>
      </c>
      <c r="J161" s="22" t="s">
        <v>1533</v>
      </c>
      <c r="K161" s="23" t="s">
        <v>1095</v>
      </c>
      <c r="L161" s="24" t="s">
        <v>1534</v>
      </c>
      <c r="M161" s="24" t="s">
        <v>1535</v>
      </c>
      <c r="N161" s="23" t="s">
        <v>1536</v>
      </c>
      <c r="O161" s="24" t="s">
        <v>1537</v>
      </c>
      <c r="P161" s="24" t="s">
        <v>990</v>
      </c>
      <c r="Q161" s="24" t="s">
        <v>1538</v>
      </c>
      <c r="R161" s="25" t="s">
        <v>1539</v>
      </c>
      <c r="S161" s="24" t="s">
        <v>1531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140</v>
      </c>
      <c r="Y161" s="23" t="s">
        <v>140</v>
      </c>
      <c r="Z161" s="23" t="s">
        <v>140</v>
      </c>
      <c r="AA161" s="23" t="s">
        <v>140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</row>
    <row r="162" customFormat="false" ht="26.85" hidden="false" customHeight="false" outlineLevel="0" collapsed="false">
      <c r="A162" s="21" t="n">
        <v>161</v>
      </c>
      <c r="B162" s="18" t="s">
        <v>1540</v>
      </c>
      <c r="C162" s="23" t="n">
        <v>2</v>
      </c>
      <c r="D162" s="23" t="s">
        <v>126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1492</v>
      </c>
      <c r="H162" s="18" t="s">
        <v>1493</v>
      </c>
      <c r="I162" s="21" t="s">
        <v>1494</v>
      </c>
      <c r="J162" s="22" t="s">
        <v>1541</v>
      </c>
      <c r="K162" s="23" t="s">
        <v>1095</v>
      </c>
      <c r="L162" s="24" t="s">
        <v>1542</v>
      </c>
      <c r="M162" s="24" t="s">
        <v>1543</v>
      </c>
      <c r="N162" s="23" t="s">
        <v>1544</v>
      </c>
      <c r="O162" s="24" t="s">
        <v>1545</v>
      </c>
      <c r="P162" s="24" t="s">
        <v>990</v>
      </c>
      <c r="Q162" s="24" t="s">
        <v>1467</v>
      </c>
      <c r="R162" s="25" t="s">
        <v>1546</v>
      </c>
      <c r="S162" s="24" t="s">
        <v>1531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140</v>
      </c>
      <c r="Y162" s="23" t="s">
        <v>140</v>
      </c>
      <c r="Z162" s="23" t="s">
        <v>140</v>
      </c>
      <c r="AA162" s="23" t="s">
        <v>140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</row>
    <row r="163" customFormat="false" ht="26.85" hidden="false" customHeight="false" outlineLevel="0" collapsed="false">
      <c r="A163" s="21" t="n">
        <v>162</v>
      </c>
      <c r="B163" s="18" t="s">
        <v>1547</v>
      </c>
      <c r="C163" s="23" t="n">
        <v>2</v>
      </c>
      <c r="D163" s="23" t="s">
        <v>126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1492</v>
      </c>
      <c r="H163" s="18" t="s">
        <v>1493</v>
      </c>
      <c r="I163" s="21" t="s">
        <v>1494</v>
      </c>
      <c r="J163" s="22" t="s">
        <v>1548</v>
      </c>
      <c r="K163" s="23" t="s">
        <v>1095</v>
      </c>
      <c r="L163" s="24" t="s">
        <v>1549</v>
      </c>
      <c r="M163" s="24" t="s">
        <v>1550</v>
      </c>
      <c r="N163" s="23" t="s">
        <v>1551</v>
      </c>
      <c r="O163" s="24" t="s">
        <v>1552</v>
      </c>
      <c r="P163" s="24" t="s">
        <v>990</v>
      </c>
      <c r="Q163" s="24" t="s">
        <v>1553</v>
      </c>
      <c r="R163" s="24"/>
      <c r="S163" s="24" t="s">
        <v>1531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140</v>
      </c>
      <c r="Y163" s="23" t="s">
        <v>140</v>
      </c>
      <c r="Z163" s="23" t="s">
        <v>140</v>
      </c>
      <c r="AA163" s="23" t="s">
        <v>140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</row>
    <row r="164" customFormat="false" ht="26.85" hidden="false" customHeight="false" outlineLevel="0" collapsed="false">
      <c r="A164" s="21" t="n">
        <v>163</v>
      </c>
      <c r="B164" s="18" t="s">
        <v>1554</v>
      </c>
      <c r="C164" s="23" t="n">
        <v>2</v>
      </c>
      <c r="D164" s="23" t="s">
        <v>126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1492</v>
      </c>
      <c r="H164" s="18" t="s">
        <v>1493</v>
      </c>
      <c r="I164" s="21" t="s">
        <v>1494</v>
      </c>
      <c r="J164" s="22" t="s">
        <v>1555</v>
      </c>
      <c r="K164" s="23" t="s">
        <v>1095</v>
      </c>
      <c r="L164" s="24" t="s">
        <v>1556</v>
      </c>
      <c r="M164" s="24" t="s">
        <v>1557</v>
      </c>
      <c r="N164" s="23" t="s">
        <v>1558</v>
      </c>
      <c r="O164" s="24" t="s">
        <v>1559</v>
      </c>
      <c r="P164" s="24" t="s">
        <v>990</v>
      </c>
      <c r="Q164" s="24" t="s">
        <v>1467</v>
      </c>
      <c r="R164" s="25" t="s">
        <v>1560</v>
      </c>
      <c r="S164" s="24" t="s">
        <v>1531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140</v>
      </c>
      <c r="Y164" s="23" t="s">
        <v>140</v>
      </c>
      <c r="Z164" s="23" t="s">
        <v>140</v>
      </c>
      <c r="AA164" s="23" t="s">
        <v>140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</row>
    <row r="165" customFormat="false" ht="26.85" hidden="false" customHeight="false" outlineLevel="0" collapsed="false">
      <c r="A165" s="21" t="n">
        <v>164</v>
      </c>
      <c r="B165" s="18" t="s">
        <v>1561</v>
      </c>
      <c r="C165" s="23" t="n">
        <v>2</v>
      </c>
      <c r="D165" s="23" t="s">
        <v>126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1492</v>
      </c>
      <c r="H165" s="18" t="s">
        <v>1493</v>
      </c>
      <c r="I165" s="21" t="s">
        <v>1494</v>
      </c>
      <c r="J165" s="22" t="s">
        <v>1562</v>
      </c>
      <c r="K165" s="23" t="s">
        <v>1095</v>
      </c>
      <c r="L165" s="24" t="s">
        <v>1563</v>
      </c>
      <c r="M165" s="24" t="s">
        <v>1564</v>
      </c>
      <c r="N165" s="23" t="s">
        <v>1565</v>
      </c>
      <c r="O165" s="24" t="s">
        <v>1566</v>
      </c>
      <c r="P165" s="24" t="s">
        <v>990</v>
      </c>
      <c r="Q165" s="24" t="s">
        <v>1567</v>
      </c>
      <c r="R165" s="24"/>
      <c r="S165" s="24" t="s">
        <v>1531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140</v>
      </c>
      <c r="Y165" s="23" t="s">
        <v>140</v>
      </c>
      <c r="Z165" s="23" t="s">
        <v>140</v>
      </c>
      <c r="AA165" s="23" t="s">
        <v>140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</row>
    <row r="166" customFormat="false" ht="15" hidden="false" customHeight="false" outlineLevel="0" collapsed="false">
      <c r="A166" s="21" t="n">
        <v>165</v>
      </c>
      <c r="B166" s="18" t="s">
        <v>1568</v>
      </c>
      <c r="C166" s="23" t="n">
        <v>2</v>
      </c>
      <c r="D166" s="23" t="s">
        <v>126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1492</v>
      </c>
      <c r="H166" s="18" t="s">
        <v>1493</v>
      </c>
      <c r="I166" s="21" t="s">
        <v>1494</v>
      </c>
      <c r="J166" s="22" t="s">
        <v>1569</v>
      </c>
      <c r="K166" s="23" t="s">
        <v>1095</v>
      </c>
      <c r="L166" s="24" t="s">
        <v>1570</v>
      </c>
      <c r="M166" s="24" t="s">
        <v>1571</v>
      </c>
      <c r="N166" s="23" t="s">
        <v>1572</v>
      </c>
      <c r="O166" s="24" t="s">
        <v>1573</v>
      </c>
      <c r="P166" s="24" t="s">
        <v>990</v>
      </c>
      <c r="Q166" s="24" t="s">
        <v>1574</v>
      </c>
      <c r="R166" s="25" t="s">
        <v>1301</v>
      </c>
      <c r="S166" s="24" t="s">
        <v>1531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140</v>
      </c>
      <c r="Y166" s="23" t="s">
        <v>140</v>
      </c>
      <c r="Z166" s="23" t="s">
        <v>140</v>
      </c>
      <c r="AA166" s="23" t="s">
        <v>140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</row>
    <row r="167" customFormat="false" ht="26.85" hidden="false" customHeight="false" outlineLevel="0" collapsed="false">
      <c r="A167" s="21" t="n">
        <v>166</v>
      </c>
      <c r="B167" s="18" t="s">
        <v>1575</v>
      </c>
      <c r="C167" s="23" t="n">
        <v>2</v>
      </c>
      <c r="D167" s="23" t="s">
        <v>126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1492</v>
      </c>
      <c r="H167" s="18" t="s">
        <v>1493</v>
      </c>
      <c r="I167" s="21" t="s">
        <v>1494</v>
      </c>
      <c r="J167" s="22" t="s">
        <v>1576</v>
      </c>
      <c r="K167" s="23" t="s">
        <v>1095</v>
      </c>
      <c r="L167" s="24" t="s">
        <v>1577</v>
      </c>
      <c r="M167" s="24" t="s">
        <v>1578</v>
      </c>
      <c r="N167" s="23" t="s">
        <v>1579</v>
      </c>
      <c r="O167" s="24" t="s">
        <v>1580</v>
      </c>
      <c r="P167" s="24" t="s">
        <v>990</v>
      </c>
      <c r="Q167" s="24" t="s">
        <v>1467</v>
      </c>
      <c r="R167" s="27" t="s">
        <v>1581</v>
      </c>
      <c r="S167" s="24" t="s">
        <v>1531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140</v>
      </c>
      <c r="Y167" s="23" t="s">
        <v>140</v>
      </c>
      <c r="Z167" s="23" t="s">
        <v>140</v>
      </c>
      <c r="AA167" s="23" t="s">
        <v>140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</row>
    <row r="168" customFormat="false" ht="25.35" hidden="false" customHeight="false" outlineLevel="0" collapsed="false">
      <c r="A168" s="21" t="n">
        <v>167</v>
      </c>
      <c r="B168" s="18" t="s">
        <v>1582</v>
      </c>
      <c r="C168" s="23" t="n">
        <v>2</v>
      </c>
      <c r="D168" s="23" t="s">
        <v>126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1492</v>
      </c>
      <c r="H168" s="18" t="s">
        <v>1493</v>
      </c>
      <c r="I168" s="21" t="s">
        <v>1494</v>
      </c>
      <c r="J168" s="22" t="s">
        <v>1583</v>
      </c>
      <c r="K168" s="23" t="s">
        <v>1095</v>
      </c>
      <c r="L168" s="24" t="s">
        <v>1584</v>
      </c>
      <c r="M168" s="29" t="s">
        <v>1585</v>
      </c>
      <c r="N168" s="23" t="s">
        <v>1586</v>
      </c>
      <c r="O168" s="24" t="s">
        <v>1587</v>
      </c>
      <c r="P168" s="24" t="s">
        <v>1588</v>
      </c>
      <c r="Q168" s="24" t="s">
        <v>1589</v>
      </c>
      <c r="R168" s="24"/>
      <c r="S168" s="24" t="s">
        <v>1531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140</v>
      </c>
      <c r="Y168" s="23" t="s">
        <v>140</v>
      </c>
      <c r="Z168" s="23" t="s">
        <v>140</v>
      </c>
      <c r="AA168" s="23" t="s">
        <v>140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</row>
    <row r="169" customFormat="false" ht="52.2" hidden="false" customHeight="false" outlineLevel="0" collapsed="false">
      <c r="A169" s="21" t="n">
        <v>168</v>
      </c>
      <c r="B169" s="18" t="s">
        <v>1590</v>
      </c>
      <c r="C169" s="20" t="n">
        <v>1</v>
      </c>
      <c r="D169" s="20" t="s">
        <v>126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1492</v>
      </c>
      <c r="H169" s="18" t="s">
        <v>1354</v>
      </c>
      <c r="I169" s="21" t="s">
        <v>1494</v>
      </c>
      <c r="J169" s="22" t="s">
        <v>1591</v>
      </c>
      <c r="K169" s="23" t="s">
        <v>1095</v>
      </c>
      <c r="L169" s="24" t="s">
        <v>1592</v>
      </c>
      <c r="M169" s="24" t="s">
        <v>1593</v>
      </c>
      <c r="N169" s="23" t="s">
        <v>1594</v>
      </c>
      <c r="O169" s="24" t="s">
        <v>1595</v>
      </c>
      <c r="P169" s="24" t="s">
        <v>1117</v>
      </c>
      <c r="Q169" s="24" t="s">
        <v>1596</v>
      </c>
      <c r="R169" s="25" t="s">
        <v>1597</v>
      </c>
      <c r="S169" s="28" t="s">
        <v>1598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140</v>
      </c>
      <c r="Y169" s="23" t="s">
        <v>140</v>
      </c>
      <c r="Z169" s="23" t="s">
        <v>140</v>
      </c>
      <c r="AA169" s="23" t="s">
        <v>140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</row>
    <row r="170" customFormat="false" ht="15" hidden="false" customHeight="false" outlineLevel="0" collapsed="false">
      <c r="A170" s="21" t="n">
        <v>169</v>
      </c>
      <c r="B170" s="18" t="s">
        <v>1599</v>
      </c>
      <c r="C170" s="20" t="n">
        <v>1</v>
      </c>
      <c r="D170" s="20" t="s">
        <v>126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1600</v>
      </c>
      <c r="H170" s="18" t="s">
        <v>1354</v>
      </c>
      <c r="I170" s="21" t="s">
        <v>1601</v>
      </c>
      <c r="J170" s="22" t="s">
        <v>1602</v>
      </c>
      <c r="K170" s="23" t="s">
        <v>131</v>
      </c>
      <c r="L170" s="24" t="s">
        <v>1584</v>
      </c>
      <c r="M170" s="24" t="s">
        <v>1603</v>
      </c>
      <c r="N170" s="23" t="s">
        <v>1604</v>
      </c>
      <c r="O170" s="24" t="s">
        <v>1605</v>
      </c>
      <c r="P170" s="24" t="s">
        <v>1606</v>
      </c>
      <c r="Q170" s="24" t="s">
        <v>1607</v>
      </c>
      <c r="R170" s="24"/>
      <c r="S170" s="24" t="s">
        <v>139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140</v>
      </c>
      <c r="Y170" s="23" t="s">
        <v>140</v>
      </c>
      <c r="Z170" s="23" t="s">
        <v>140</v>
      </c>
      <c r="AA170" s="23" t="s">
        <v>140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</row>
    <row r="171" customFormat="false" ht="26.85" hidden="false" customHeight="false" outlineLevel="0" collapsed="false">
      <c r="A171" s="21" t="n">
        <v>170</v>
      </c>
      <c r="B171" s="18" t="s">
        <v>1608</v>
      </c>
      <c r="C171" s="20" t="n">
        <v>1</v>
      </c>
      <c r="D171" s="20" t="s">
        <v>126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1600</v>
      </c>
      <c r="H171" s="18" t="s">
        <v>1354</v>
      </c>
      <c r="I171" s="21" t="s">
        <v>1601</v>
      </c>
      <c r="J171" s="22" t="s">
        <v>1609</v>
      </c>
      <c r="K171" s="23" t="s">
        <v>131</v>
      </c>
      <c r="L171" s="24" t="s">
        <v>1610</v>
      </c>
      <c r="M171" s="24" t="s">
        <v>1611</v>
      </c>
      <c r="N171" s="23" t="s">
        <v>1612</v>
      </c>
      <c r="O171" s="24" t="s">
        <v>1613</v>
      </c>
      <c r="P171" s="24" t="s">
        <v>1614</v>
      </c>
      <c r="Q171" s="24" t="s">
        <v>1615</v>
      </c>
      <c r="R171" s="25" t="s">
        <v>1616</v>
      </c>
      <c r="S171" s="24" t="s">
        <v>139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140</v>
      </c>
      <c r="Y171" s="23" t="s">
        <v>140</v>
      </c>
      <c r="Z171" s="23" t="s">
        <v>140</v>
      </c>
      <c r="AA171" s="23" t="s">
        <v>140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</row>
    <row r="172" customFormat="false" ht="26.85" hidden="false" customHeight="false" outlineLevel="0" collapsed="false">
      <c r="A172" s="21" t="n">
        <v>171</v>
      </c>
      <c r="B172" s="18" t="s">
        <v>1617</v>
      </c>
      <c r="C172" s="20" t="n">
        <v>1</v>
      </c>
      <c r="D172" s="20" t="s">
        <v>126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1600</v>
      </c>
      <c r="H172" s="18" t="s">
        <v>1354</v>
      </c>
      <c r="I172" s="21" t="s">
        <v>1601</v>
      </c>
      <c r="J172" s="22" t="s">
        <v>1618</v>
      </c>
      <c r="K172" s="23" t="s">
        <v>131</v>
      </c>
      <c r="L172" s="24" t="s">
        <v>1619</v>
      </c>
      <c r="M172" s="24" t="s">
        <v>1620</v>
      </c>
      <c r="N172" s="23" t="s">
        <v>1621</v>
      </c>
      <c r="O172" s="24" t="s">
        <v>1622</v>
      </c>
      <c r="P172" s="24" t="s">
        <v>1623</v>
      </c>
      <c r="Q172" s="24" t="s">
        <v>1624</v>
      </c>
      <c r="R172" s="24"/>
      <c r="S172" s="24" t="s">
        <v>139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140</v>
      </c>
      <c r="Y172" s="23" t="s">
        <v>140</v>
      </c>
      <c r="Z172" s="23" t="s">
        <v>140</v>
      </c>
      <c r="AA172" s="23" t="s">
        <v>140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</row>
    <row r="173" customFormat="false" ht="26.85" hidden="false" customHeight="false" outlineLevel="0" collapsed="false">
      <c r="A173" s="21" t="n">
        <v>172</v>
      </c>
      <c r="B173" s="18" t="s">
        <v>1625</v>
      </c>
      <c r="C173" s="23" t="n">
        <v>2</v>
      </c>
      <c r="D173" s="23" t="s">
        <v>126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1600</v>
      </c>
      <c r="H173" s="18" t="s">
        <v>1626</v>
      </c>
      <c r="I173" s="21" t="s">
        <v>1601</v>
      </c>
      <c r="J173" s="22" t="s">
        <v>1627</v>
      </c>
      <c r="K173" s="23" t="s">
        <v>131</v>
      </c>
      <c r="L173" s="24" t="s">
        <v>1628</v>
      </c>
      <c r="M173" s="24" t="s">
        <v>1629</v>
      </c>
      <c r="N173" s="23" t="s">
        <v>1630</v>
      </c>
      <c r="O173" s="24" t="s">
        <v>1631</v>
      </c>
      <c r="P173" s="24" t="s">
        <v>1632</v>
      </c>
      <c r="Q173" s="24" t="s">
        <v>1633</v>
      </c>
      <c r="R173" s="25" t="s">
        <v>1634</v>
      </c>
      <c r="S173" s="24" t="s">
        <v>1635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140</v>
      </c>
      <c r="Y173" s="23" t="s">
        <v>140</v>
      </c>
      <c r="Z173" s="23" t="s">
        <v>140</v>
      </c>
      <c r="AA173" s="23" t="s">
        <v>140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</row>
    <row r="174" customFormat="false" ht="26.85" hidden="false" customHeight="false" outlineLevel="0" collapsed="false">
      <c r="A174" s="21" t="n">
        <v>173</v>
      </c>
      <c r="B174" s="18" t="s">
        <v>1636</v>
      </c>
      <c r="C174" s="20" t="n">
        <v>1</v>
      </c>
      <c r="D174" s="20" t="s">
        <v>126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1600</v>
      </c>
      <c r="H174" s="18" t="s">
        <v>1354</v>
      </c>
      <c r="I174" s="21" t="s">
        <v>1601</v>
      </c>
      <c r="J174" s="22" t="s">
        <v>1637</v>
      </c>
      <c r="K174" s="23" t="s">
        <v>131</v>
      </c>
      <c r="L174" s="24" t="s">
        <v>1638</v>
      </c>
      <c r="M174" s="29" t="s">
        <v>1639</v>
      </c>
      <c r="N174" s="23" t="s">
        <v>1640</v>
      </c>
      <c r="O174" s="24" t="s">
        <v>1641</v>
      </c>
      <c r="P174" s="24" t="s">
        <v>1642</v>
      </c>
      <c r="Q174" s="24" t="s">
        <v>1643</v>
      </c>
      <c r="R174" s="25" t="s">
        <v>1644</v>
      </c>
      <c r="S174" s="28" t="s">
        <v>1645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140</v>
      </c>
      <c r="Y174" s="23" t="s">
        <v>140</v>
      </c>
      <c r="Z174" s="23" t="s">
        <v>140</v>
      </c>
      <c r="AA174" s="23" t="s">
        <v>140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</row>
    <row r="175" customFormat="false" ht="25.35" hidden="false" customHeight="false" outlineLevel="0" collapsed="false">
      <c r="A175" s="21" t="n">
        <v>174</v>
      </c>
      <c r="B175" s="18" t="s">
        <v>1646</v>
      </c>
      <c r="C175" s="20" t="n">
        <v>1</v>
      </c>
      <c r="D175" s="20" t="s">
        <v>126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1600</v>
      </c>
      <c r="H175" s="18" t="s">
        <v>1354</v>
      </c>
      <c r="I175" s="21" t="s">
        <v>1601</v>
      </c>
      <c r="J175" s="22" t="s">
        <v>1647</v>
      </c>
      <c r="K175" s="23" t="s">
        <v>131</v>
      </c>
      <c r="L175" s="24" t="s">
        <v>1648</v>
      </c>
      <c r="M175" s="24" t="s">
        <v>1649</v>
      </c>
      <c r="N175" s="23" t="s">
        <v>1650</v>
      </c>
      <c r="O175" s="24" t="s">
        <v>1651</v>
      </c>
      <c r="P175" s="24" t="s">
        <v>1652</v>
      </c>
      <c r="Q175" s="24" t="s">
        <v>1653</v>
      </c>
      <c r="R175" s="25" t="s">
        <v>714</v>
      </c>
      <c r="S175" s="24" t="s">
        <v>139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140</v>
      </c>
      <c r="Y175" s="23" t="s">
        <v>140</v>
      </c>
      <c r="Z175" s="23" t="s">
        <v>140</v>
      </c>
      <c r="AA175" s="23" t="s">
        <v>140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</row>
    <row r="176" customFormat="false" ht="26.85" hidden="false" customHeight="false" outlineLevel="0" collapsed="false">
      <c r="A176" s="21" t="n">
        <v>175</v>
      </c>
      <c r="B176" s="18" t="s">
        <v>1654</v>
      </c>
      <c r="C176" s="23" t="n">
        <v>2</v>
      </c>
      <c r="D176" s="23" t="s">
        <v>126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1600</v>
      </c>
      <c r="H176" s="18" t="s">
        <v>1626</v>
      </c>
      <c r="I176" s="21" t="s">
        <v>1601</v>
      </c>
      <c r="J176" s="22" t="s">
        <v>1655</v>
      </c>
      <c r="K176" s="23" t="s">
        <v>131</v>
      </c>
      <c r="L176" s="24" t="s">
        <v>1656</v>
      </c>
      <c r="M176" s="24" t="s">
        <v>1657</v>
      </c>
      <c r="N176" s="23" t="s">
        <v>1658</v>
      </c>
      <c r="O176" s="24" t="s">
        <v>1659</v>
      </c>
      <c r="P176" s="24" t="s">
        <v>1660</v>
      </c>
      <c r="Q176" s="24" t="s">
        <v>1661</v>
      </c>
      <c r="R176" s="24"/>
      <c r="S176" s="24" t="s">
        <v>1662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140</v>
      </c>
      <c r="Y176" s="23" t="s">
        <v>140</v>
      </c>
      <c r="Z176" s="23" t="s">
        <v>140</v>
      </c>
      <c r="AA176" s="23" t="s">
        <v>140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</row>
    <row r="177" customFormat="false" ht="15" hidden="false" customHeight="false" outlineLevel="0" collapsed="false">
      <c r="A177" s="21" t="n">
        <v>176</v>
      </c>
      <c r="B177" s="18" t="s">
        <v>1663</v>
      </c>
      <c r="C177" s="23" t="n">
        <v>2</v>
      </c>
      <c r="D177" s="23" t="s">
        <v>126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1664</v>
      </c>
      <c r="H177" s="18" t="s">
        <v>1626</v>
      </c>
      <c r="I177" s="21" t="s">
        <v>1601</v>
      </c>
      <c r="J177" s="22" t="s">
        <v>1665</v>
      </c>
      <c r="K177" s="23" t="s">
        <v>131</v>
      </c>
      <c r="L177" s="24" t="s">
        <v>1666</v>
      </c>
      <c r="M177" s="24" t="s">
        <v>1667</v>
      </c>
      <c r="N177" s="23" t="s">
        <v>1668</v>
      </c>
      <c r="O177" s="24" t="s">
        <v>1669</v>
      </c>
      <c r="P177" s="24" t="s">
        <v>1670</v>
      </c>
      <c r="Q177" s="24" t="s">
        <v>1671</v>
      </c>
      <c r="R177" s="24"/>
      <c r="S177" s="24" t="s">
        <v>1662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140</v>
      </c>
      <c r="Y177" s="23" t="s">
        <v>140</v>
      </c>
      <c r="Z177" s="23" t="s">
        <v>140</v>
      </c>
      <c r="AA177" s="23" t="s">
        <v>140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</row>
    <row r="178" customFormat="false" ht="39.55" hidden="false" customHeight="false" outlineLevel="0" collapsed="false">
      <c r="A178" s="21" t="n">
        <v>177</v>
      </c>
      <c r="B178" s="18" t="s">
        <v>1672</v>
      </c>
      <c r="C178" s="20" t="n">
        <v>1</v>
      </c>
      <c r="D178" s="20" t="s">
        <v>126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1664</v>
      </c>
      <c r="H178" s="18" t="s">
        <v>1673</v>
      </c>
      <c r="I178" s="21" t="s">
        <v>1601</v>
      </c>
      <c r="J178" s="22" t="s">
        <v>1674</v>
      </c>
      <c r="K178" s="23" t="s">
        <v>131</v>
      </c>
      <c r="L178" s="24" t="s">
        <v>1675</v>
      </c>
      <c r="M178" s="24" t="s">
        <v>1676</v>
      </c>
      <c r="N178" s="23" t="s">
        <v>1677</v>
      </c>
      <c r="O178" s="24" t="s">
        <v>1678</v>
      </c>
      <c r="P178" s="24" t="s">
        <v>1679</v>
      </c>
      <c r="Q178" s="24" t="s">
        <v>1680</v>
      </c>
      <c r="R178" s="24"/>
      <c r="S178" s="28" t="s">
        <v>1681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140</v>
      </c>
      <c r="Y178" s="23" t="s">
        <v>140</v>
      </c>
      <c r="Z178" s="23" t="s">
        <v>140</v>
      </c>
      <c r="AA178" s="23" t="s">
        <v>140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</row>
    <row r="179" customFormat="false" ht="26.85" hidden="false" customHeight="false" outlineLevel="0" collapsed="false">
      <c r="A179" s="21" t="n">
        <v>178</v>
      </c>
      <c r="B179" s="18" t="s">
        <v>1682</v>
      </c>
      <c r="C179" s="23" t="n">
        <v>2</v>
      </c>
      <c r="D179" s="23" t="s">
        <v>126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1664</v>
      </c>
      <c r="H179" s="18" t="s">
        <v>1626</v>
      </c>
      <c r="I179" s="21" t="s">
        <v>1601</v>
      </c>
      <c r="J179" s="22" t="s">
        <v>1683</v>
      </c>
      <c r="K179" s="23" t="s">
        <v>1095</v>
      </c>
      <c r="L179" s="24" t="s">
        <v>1684</v>
      </c>
      <c r="M179" s="29" t="s">
        <v>1685</v>
      </c>
      <c r="N179" s="23" t="s">
        <v>1686</v>
      </c>
      <c r="O179" s="24" t="s">
        <v>1687</v>
      </c>
      <c r="P179" s="24" t="s">
        <v>1688</v>
      </c>
      <c r="Q179" s="24" t="s">
        <v>1689</v>
      </c>
      <c r="R179" s="25" t="s">
        <v>1690</v>
      </c>
      <c r="S179" s="24" t="s">
        <v>1691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140</v>
      </c>
      <c r="Y179" s="23" t="s">
        <v>140</v>
      </c>
      <c r="Z179" s="23" t="s">
        <v>140</v>
      </c>
      <c r="AA179" s="23" t="s">
        <v>140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</row>
    <row r="180" customFormat="false" ht="15" hidden="false" customHeight="false" outlineLevel="0" collapsed="false">
      <c r="A180" s="21" t="n">
        <v>179</v>
      </c>
      <c r="B180" s="18" t="s">
        <v>1692</v>
      </c>
      <c r="C180" s="23" t="n">
        <v>2</v>
      </c>
      <c r="D180" s="23" t="s">
        <v>126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1664</v>
      </c>
      <c r="H180" s="18" t="s">
        <v>1626</v>
      </c>
      <c r="I180" s="21" t="s">
        <v>1601</v>
      </c>
      <c r="J180" s="22" t="s">
        <v>1693</v>
      </c>
      <c r="K180" s="23" t="s">
        <v>1095</v>
      </c>
      <c r="L180" s="24" t="s">
        <v>1694</v>
      </c>
      <c r="M180" s="24" t="s">
        <v>1695</v>
      </c>
      <c r="N180" s="23" t="s">
        <v>1696</v>
      </c>
      <c r="O180" s="24" t="s">
        <v>1697</v>
      </c>
      <c r="P180" s="24" t="s">
        <v>1698</v>
      </c>
      <c r="Q180" s="24" t="s">
        <v>1699</v>
      </c>
      <c r="R180" s="24"/>
      <c r="S180" s="24" t="s">
        <v>1691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140</v>
      </c>
      <c r="Y180" s="23" t="s">
        <v>140</v>
      </c>
      <c r="Z180" s="23" t="s">
        <v>140</v>
      </c>
      <c r="AA180" s="23" t="s">
        <v>140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</row>
    <row r="181" customFormat="false" ht="15" hidden="false" customHeight="false" outlineLevel="0" collapsed="false">
      <c r="A181" s="21" t="n">
        <v>180</v>
      </c>
      <c r="B181" s="18" t="s">
        <v>1700</v>
      </c>
      <c r="C181" s="23" t="n">
        <v>2</v>
      </c>
      <c r="D181" s="23" t="s">
        <v>126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1664</v>
      </c>
      <c r="H181" s="18" t="s">
        <v>1626</v>
      </c>
      <c r="I181" s="21" t="s">
        <v>1601</v>
      </c>
      <c r="J181" s="22" t="s">
        <v>1701</v>
      </c>
      <c r="K181" s="23" t="s">
        <v>131</v>
      </c>
      <c r="L181" s="29" t="s">
        <v>1702</v>
      </c>
      <c r="M181" s="24" t="s">
        <v>1703</v>
      </c>
      <c r="N181" s="23" t="s">
        <v>1704</v>
      </c>
      <c r="O181" s="24" t="s">
        <v>1705</v>
      </c>
      <c r="P181" s="24" t="s">
        <v>1706</v>
      </c>
      <c r="Q181" s="24" t="s">
        <v>1707</v>
      </c>
      <c r="R181" s="24"/>
      <c r="S181" s="24" t="s">
        <v>1691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140</v>
      </c>
      <c r="Y181" s="23" t="s">
        <v>140</v>
      </c>
      <c r="Z181" s="23" t="s">
        <v>140</v>
      </c>
      <c r="AA181" s="23" t="s">
        <v>140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</row>
    <row r="182" customFormat="false" ht="25.35" hidden="false" customHeight="false" outlineLevel="0" collapsed="false">
      <c r="A182" s="21" t="n">
        <v>181</v>
      </c>
      <c r="B182" s="18" t="s">
        <v>1708</v>
      </c>
      <c r="C182" s="23" t="n">
        <v>2</v>
      </c>
      <c r="D182" s="23" t="s">
        <v>126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1664</v>
      </c>
      <c r="H182" s="18" t="s">
        <v>1626</v>
      </c>
      <c r="I182" s="21" t="s">
        <v>1601</v>
      </c>
      <c r="J182" s="22" t="s">
        <v>1709</v>
      </c>
      <c r="K182" s="23" t="s">
        <v>1095</v>
      </c>
      <c r="L182" s="24" t="s">
        <v>1710</v>
      </c>
      <c r="M182" s="24" t="s">
        <v>1711</v>
      </c>
      <c r="N182" s="23" t="s">
        <v>1712</v>
      </c>
      <c r="O182" s="24" t="s">
        <v>1713</v>
      </c>
      <c r="P182" s="24" t="s">
        <v>1714</v>
      </c>
      <c r="Q182" s="24" t="s">
        <v>1715</v>
      </c>
      <c r="R182" s="24"/>
      <c r="S182" s="24" t="s">
        <v>1691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140</v>
      </c>
      <c r="Y182" s="23" t="s">
        <v>140</v>
      </c>
      <c r="Z182" s="23" t="s">
        <v>140</v>
      </c>
      <c r="AA182" s="23" t="s">
        <v>140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</row>
    <row r="183" customFormat="false" ht="26.85" hidden="false" customHeight="false" outlineLevel="0" collapsed="false">
      <c r="A183" s="21" t="n">
        <v>182</v>
      </c>
      <c r="B183" s="18" t="s">
        <v>1716</v>
      </c>
      <c r="C183" s="23" t="n">
        <v>2</v>
      </c>
      <c r="D183" s="23" t="s">
        <v>126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1664</v>
      </c>
      <c r="H183" s="18" t="s">
        <v>1626</v>
      </c>
      <c r="I183" s="21" t="s">
        <v>1601</v>
      </c>
      <c r="J183" s="22" t="s">
        <v>1717</v>
      </c>
      <c r="K183" s="23" t="s">
        <v>131</v>
      </c>
      <c r="L183" s="24" t="s">
        <v>1718</v>
      </c>
      <c r="M183" s="24" t="s">
        <v>1719</v>
      </c>
      <c r="N183" s="23" t="s">
        <v>1720</v>
      </c>
      <c r="O183" s="24" t="s">
        <v>1721</v>
      </c>
      <c r="P183" s="24" t="s">
        <v>1722</v>
      </c>
      <c r="Q183" s="24" t="s">
        <v>1723</v>
      </c>
      <c r="R183" s="24"/>
      <c r="S183" s="24" t="s">
        <v>1691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140</v>
      </c>
      <c r="Y183" s="23" t="s">
        <v>140</v>
      </c>
      <c r="Z183" s="23" t="s">
        <v>140</v>
      </c>
      <c r="AA183" s="23" t="s">
        <v>140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</row>
    <row r="184" customFormat="false" ht="25.35" hidden="false" customHeight="false" outlineLevel="0" collapsed="false">
      <c r="A184" s="21" t="n">
        <v>183</v>
      </c>
      <c r="B184" s="18" t="s">
        <v>1724</v>
      </c>
      <c r="C184" s="23" t="n">
        <v>2</v>
      </c>
      <c r="D184" s="23" t="s">
        <v>126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1664</v>
      </c>
      <c r="H184" s="18" t="s">
        <v>1626</v>
      </c>
      <c r="I184" s="21" t="s">
        <v>1601</v>
      </c>
      <c r="J184" s="22" t="s">
        <v>1725</v>
      </c>
      <c r="K184" s="23" t="s">
        <v>131</v>
      </c>
      <c r="L184" s="24" t="s">
        <v>1726</v>
      </c>
      <c r="M184" s="24" t="s">
        <v>1727</v>
      </c>
      <c r="N184" s="23" t="s">
        <v>1728</v>
      </c>
      <c r="O184" s="24" t="s">
        <v>1729</v>
      </c>
      <c r="P184" s="24" t="s">
        <v>1730</v>
      </c>
      <c r="Q184" s="24" t="s">
        <v>1731</v>
      </c>
      <c r="R184" s="24"/>
      <c r="S184" s="24" t="s">
        <v>1691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140</v>
      </c>
      <c r="Y184" s="23" t="s">
        <v>140</v>
      </c>
      <c r="Z184" s="23" t="s">
        <v>140</v>
      </c>
      <c r="AA184" s="23" t="s">
        <v>140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</row>
    <row r="185" customFormat="false" ht="39.55" hidden="false" customHeight="false" outlineLevel="0" collapsed="false">
      <c r="A185" s="21" t="n">
        <v>184</v>
      </c>
      <c r="B185" s="18" t="s">
        <v>1732</v>
      </c>
      <c r="C185" s="20" t="n">
        <v>1</v>
      </c>
      <c r="D185" s="20" t="s">
        <v>126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1664</v>
      </c>
      <c r="H185" s="18" t="s">
        <v>1673</v>
      </c>
      <c r="I185" s="21" t="s">
        <v>1601</v>
      </c>
      <c r="J185" s="22" t="s">
        <v>1733</v>
      </c>
      <c r="K185" s="23" t="s">
        <v>131</v>
      </c>
      <c r="L185" s="24" t="s">
        <v>1734</v>
      </c>
      <c r="M185" s="24" t="s">
        <v>1735</v>
      </c>
      <c r="N185" s="23" t="s">
        <v>1736</v>
      </c>
      <c r="O185" s="24" t="s">
        <v>1737</v>
      </c>
      <c r="P185" s="24" t="s">
        <v>1660</v>
      </c>
      <c r="Q185" s="24" t="s">
        <v>640</v>
      </c>
      <c r="R185" s="24"/>
      <c r="S185" s="28" t="s">
        <v>1738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140</v>
      </c>
      <c r="Y185" s="23" t="s">
        <v>140</v>
      </c>
      <c r="Z185" s="23" t="s">
        <v>140</v>
      </c>
      <c r="AA185" s="23" t="s">
        <v>140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</row>
    <row r="186" customFormat="false" ht="26.85" hidden="false" customHeight="false" outlineLevel="0" collapsed="false">
      <c r="A186" s="21" t="n">
        <v>185</v>
      </c>
      <c r="B186" s="18" t="s">
        <v>1739</v>
      </c>
      <c r="C186" s="23" t="n">
        <v>2</v>
      </c>
      <c r="D186" s="23" t="s">
        <v>126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1740</v>
      </c>
      <c r="H186" s="18" t="s">
        <v>1741</v>
      </c>
      <c r="I186" s="21" t="s">
        <v>1742</v>
      </c>
      <c r="J186" s="22" t="s">
        <v>1743</v>
      </c>
      <c r="K186" s="23" t="s">
        <v>131</v>
      </c>
      <c r="L186" s="24" t="s">
        <v>1744</v>
      </c>
      <c r="M186" s="24" t="s">
        <v>1745</v>
      </c>
      <c r="N186" s="23" t="s">
        <v>1746</v>
      </c>
      <c r="O186" s="24" t="s">
        <v>1747</v>
      </c>
      <c r="P186" s="24" t="s">
        <v>1748</v>
      </c>
      <c r="Q186" s="24" t="s">
        <v>1749</v>
      </c>
      <c r="R186" s="24"/>
      <c r="S186" s="24" t="s">
        <v>1750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140</v>
      </c>
      <c r="Y186" s="23" t="s">
        <v>140</v>
      </c>
      <c r="Z186" s="23" t="s">
        <v>140</v>
      </c>
      <c r="AA186" s="23" t="s">
        <v>140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</row>
    <row r="187" customFormat="false" ht="26.85" hidden="false" customHeight="false" outlineLevel="0" collapsed="false">
      <c r="A187" s="21" t="n">
        <v>186</v>
      </c>
      <c r="B187" s="18" t="s">
        <v>1751</v>
      </c>
      <c r="C187" s="23" t="n">
        <v>2</v>
      </c>
      <c r="D187" s="23" t="s">
        <v>126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1740</v>
      </c>
      <c r="H187" s="18" t="s">
        <v>1741</v>
      </c>
      <c r="I187" s="21" t="s">
        <v>1742</v>
      </c>
      <c r="J187" s="22" t="s">
        <v>1752</v>
      </c>
      <c r="K187" s="23" t="s">
        <v>131</v>
      </c>
      <c r="L187" s="24" t="s">
        <v>1753</v>
      </c>
      <c r="M187" s="24" t="s">
        <v>1754</v>
      </c>
      <c r="N187" s="23" t="s">
        <v>1755</v>
      </c>
      <c r="O187" s="24" t="s">
        <v>1756</v>
      </c>
      <c r="P187" s="24" t="s">
        <v>1277</v>
      </c>
      <c r="Q187" s="24" t="s">
        <v>1757</v>
      </c>
      <c r="R187" s="24"/>
      <c r="S187" s="24" t="s">
        <v>1750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140</v>
      </c>
      <c r="Y187" s="23" t="s">
        <v>140</v>
      </c>
      <c r="Z187" s="23" t="s">
        <v>140</v>
      </c>
      <c r="AA187" s="23" t="s">
        <v>140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</row>
    <row r="188" customFormat="false" ht="26.85" hidden="false" customHeight="false" outlineLevel="0" collapsed="false">
      <c r="A188" s="21" t="n">
        <v>187</v>
      </c>
      <c r="B188" s="18" t="s">
        <v>1758</v>
      </c>
      <c r="C188" s="23" t="n">
        <v>2</v>
      </c>
      <c r="D188" s="23" t="s">
        <v>126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1740</v>
      </c>
      <c r="H188" s="18" t="s">
        <v>1741</v>
      </c>
      <c r="I188" s="21" t="s">
        <v>1742</v>
      </c>
      <c r="J188" s="22" t="s">
        <v>1759</v>
      </c>
      <c r="K188" s="23" t="s">
        <v>131</v>
      </c>
      <c r="L188" s="24" t="s">
        <v>1760</v>
      </c>
      <c r="M188" s="24" t="s">
        <v>1761</v>
      </c>
      <c r="N188" s="23" t="s">
        <v>1762</v>
      </c>
      <c r="O188" s="24" t="s">
        <v>1763</v>
      </c>
      <c r="P188" s="24" t="s">
        <v>1764</v>
      </c>
      <c r="Q188" s="24" t="s">
        <v>1765</v>
      </c>
      <c r="R188" s="25" t="s">
        <v>1766</v>
      </c>
      <c r="S188" s="24" t="s">
        <v>1750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140</v>
      </c>
      <c r="Y188" s="23" t="s">
        <v>140</v>
      </c>
      <c r="Z188" s="23" t="s">
        <v>140</v>
      </c>
      <c r="AA188" s="23" t="s">
        <v>140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</row>
    <row r="189" customFormat="false" ht="52.2" hidden="false" customHeight="false" outlineLevel="0" collapsed="false">
      <c r="A189" s="21" t="n">
        <v>188</v>
      </c>
      <c r="B189" s="18" t="s">
        <v>1767</v>
      </c>
      <c r="C189" s="20" t="n">
        <v>1</v>
      </c>
      <c r="D189" s="20" t="s">
        <v>126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1740</v>
      </c>
      <c r="H189" s="18" t="s">
        <v>1673</v>
      </c>
      <c r="I189" s="21" t="s">
        <v>1742</v>
      </c>
      <c r="J189" s="22" t="s">
        <v>1768</v>
      </c>
      <c r="K189" s="23" t="s">
        <v>131</v>
      </c>
      <c r="L189" s="24" t="s">
        <v>1769</v>
      </c>
      <c r="M189" s="24" t="s">
        <v>1770</v>
      </c>
      <c r="N189" s="23" t="s">
        <v>1771</v>
      </c>
      <c r="O189" s="24" t="s">
        <v>1772</v>
      </c>
      <c r="P189" s="24" t="s">
        <v>1773</v>
      </c>
      <c r="Q189" s="24" t="s">
        <v>1774</v>
      </c>
      <c r="R189" s="25" t="s">
        <v>1775</v>
      </c>
      <c r="S189" s="28" t="s">
        <v>1776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140</v>
      </c>
      <c r="Y189" s="23" t="s">
        <v>140</v>
      </c>
      <c r="Z189" s="23" t="s">
        <v>140</v>
      </c>
      <c r="AA189" s="23" t="s">
        <v>140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</row>
    <row r="190" customFormat="false" ht="26.85" hidden="false" customHeight="false" outlineLevel="0" collapsed="false">
      <c r="A190" s="21" t="n">
        <v>189</v>
      </c>
      <c r="B190" s="18" t="s">
        <v>1777</v>
      </c>
      <c r="C190" s="23" t="n">
        <v>2</v>
      </c>
      <c r="D190" s="23" t="s">
        <v>126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1740</v>
      </c>
      <c r="H190" s="18" t="s">
        <v>1741</v>
      </c>
      <c r="I190" s="21" t="s">
        <v>1742</v>
      </c>
      <c r="J190" s="22" t="s">
        <v>1778</v>
      </c>
      <c r="K190" s="23" t="s">
        <v>131</v>
      </c>
      <c r="L190" s="24" t="s">
        <v>1779</v>
      </c>
      <c r="M190" s="24" t="s">
        <v>1780</v>
      </c>
      <c r="N190" s="23" t="s">
        <v>1781</v>
      </c>
      <c r="O190" s="24" t="s">
        <v>1782</v>
      </c>
      <c r="P190" s="24" t="s">
        <v>1783</v>
      </c>
      <c r="Q190" s="24" t="s">
        <v>1784</v>
      </c>
      <c r="R190" s="24"/>
      <c r="S190" s="24" t="s">
        <v>1785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140</v>
      </c>
      <c r="Y190" s="23" t="s">
        <v>140</v>
      </c>
      <c r="Z190" s="23" t="s">
        <v>140</v>
      </c>
      <c r="AA190" s="23" t="s">
        <v>140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</row>
    <row r="191" customFormat="false" ht="26.85" hidden="false" customHeight="false" outlineLevel="0" collapsed="false">
      <c r="A191" s="21" t="n">
        <v>190</v>
      </c>
      <c r="B191" s="18" t="s">
        <v>1786</v>
      </c>
      <c r="C191" s="20" t="n">
        <v>1</v>
      </c>
      <c r="D191" s="20" t="s">
        <v>126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1740</v>
      </c>
      <c r="H191" s="18" t="s">
        <v>1673</v>
      </c>
      <c r="I191" s="21" t="s">
        <v>1742</v>
      </c>
      <c r="J191" s="22" t="s">
        <v>1787</v>
      </c>
      <c r="K191" s="23" t="s">
        <v>131</v>
      </c>
      <c r="L191" s="24" t="s">
        <v>1788</v>
      </c>
      <c r="M191" s="24" t="s">
        <v>1789</v>
      </c>
      <c r="N191" s="23" t="s">
        <v>1790</v>
      </c>
      <c r="O191" s="24" t="s">
        <v>1791</v>
      </c>
      <c r="P191" s="24" t="s">
        <v>1792</v>
      </c>
      <c r="Q191" s="24" t="s">
        <v>1793</v>
      </c>
      <c r="R191" s="25" t="s">
        <v>1794</v>
      </c>
      <c r="S191" s="28" t="s">
        <v>1795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140</v>
      </c>
      <c r="Y191" s="23" t="s">
        <v>140</v>
      </c>
      <c r="Z191" s="23" t="s">
        <v>140</v>
      </c>
      <c r="AA191" s="23" t="s">
        <v>140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</row>
    <row r="192" customFormat="false" ht="26.85" hidden="false" customHeight="false" outlineLevel="0" collapsed="false">
      <c r="A192" s="21" t="n">
        <v>191</v>
      </c>
      <c r="B192" s="18" t="s">
        <v>1796</v>
      </c>
      <c r="C192" s="23" t="n">
        <v>2</v>
      </c>
      <c r="D192" s="23" t="s">
        <v>126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1740</v>
      </c>
      <c r="H192" s="18" t="s">
        <v>1741</v>
      </c>
      <c r="I192" s="21" t="s">
        <v>1742</v>
      </c>
      <c r="J192" s="22" t="s">
        <v>1797</v>
      </c>
      <c r="K192" s="23" t="s">
        <v>131</v>
      </c>
      <c r="L192" s="24" t="s">
        <v>1798</v>
      </c>
      <c r="M192" s="24" t="s">
        <v>1799</v>
      </c>
      <c r="N192" s="23" t="s">
        <v>1800</v>
      </c>
      <c r="O192" s="24" t="s">
        <v>1801</v>
      </c>
      <c r="P192" s="24" t="s">
        <v>1802</v>
      </c>
      <c r="Q192" s="24" t="s">
        <v>1803</v>
      </c>
      <c r="R192" s="24"/>
      <c r="S192" s="24" t="s">
        <v>1804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140</v>
      </c>
      <c r="Y192" s="23" t="s">
        <v>140</v>
      </c>
      <c r="Z192" s="23" t="s">
        <v>140</v>
      </c>
      <c r="AA192" s="23" t="s">
        <v>140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</row>
    <row r="193" customFormat="false" ht="26.85" hidden="false" customHeight="false" outlineLevel="0" collapsed="false">
      <c r="A193" s="21" t="n">
        <v>192</v>
      </c>
      <c r="B193" s="18" t="s">
        <v>1805</v>
      </c>
      <c r="C193" s="20" t="n">
        <v>1</v>
      </c>
      <c r="D193" s="20" t="s">
        <v>126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1740</v>
      </c>
      <c r="H193" s="18" t="s">
        <v>1673</v>
      </c>
      <c r="I193" s="21" t="s">
        <v>1742</v>
      </c>
      <c r="J193" s="22" t="s">
        <v>1806</v>
      </c>
      <c r="K193" s="23" t="s">
        <v>131</v>
      </c>
      <c r="L193" s="29" t="s">
        <v>1807</v>
      </c>
      <c r="M193" s="29" t="s">
        <v>1808</v>
      </c>
      <c r="N193" s="23" t="s">
        <v>1809</v>
      </c>
      <c r="O193" s="24" t="s">
        <v>1810</v>
      </c>
      <c r="P193" s="24" t="s">
        <v>1811</v>
      </c>
      <c r="Q193" s="24" t="s">
        <v>1812</v>
      </c>
      <c r="R193" s="24"/>
      <c r="S193" s="28" t="s">
        <v>1813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140</v>
      </c>
      <c r="Y193" s="23" t="s">
        <v>140</v>
      </c>
      <c r="Z193" s="23" t="s">
        <v>140</v>
      </c>
      <c r="AA193" s="23" t="s">
        <v>140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</row>
    <row r="194" customFormat="false" ht="15" hidden="false" customHeight="false" outlineLevel="0" collapsed="false">
      <c r="A194" s="21" t="n">
        <v>193</v>
      </c>
      <c r="B194" s="18" t="s">
        <v>1814</v>
      </c>
      <c r="C194" s="23" t="n">
        <v>2</v>
      </c>
      <c r="D194" s="23" t="s">
        <v>126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1740</v>
      </c>
      <c r="H194" s="18" t="s">
        <v>1741</v>
      </c>
      <c r="I194" s="21" t="s">
        <v>1742</v>
      </c>
      <c r="J194" s="22" t="s">
        <v>1815</v>
      </c>
      <c r="K194" s="23" t="s">
        <v>131</v>
      </c>
      <c r="L194" s="24" t="s">
        <v>1816</v>
      </c>
      <c r="M194" s="24" t="s">
        <v>1817</v>
      </c>
      <c r="N194" s="23" t="s">
        <v>1818</v>
      </c>
      <c r="O194" s="24" t="s">
        <v>1819</v>
      </c>
      <c r="P194" s="24" t="s">
        <v>1820</v>
      </c>
      <c r="Q194" s="24" t="s">
        <v>1821</v>
      </c>
      <c r="R194" s="24"/>
      <c r="S194" s="24" t="s">
        <v>1822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140</v>
      </c>
      <c r="Y194" s="23" t="s">
        <v>140</v>
      </c>
      <c r="Z194" s="23" t="s">
        <v>140</v>
      </c>
      <c r="AA194" s="23" t="s">
        <v>140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</row>
    <row r="195" customFormat="false" ht="15" hidden="false" customHeight="false" outlineLevel="0" collapsed="false">
      <c r="A195" s="21" t="n">
        <v>194</v>
      </c>
      <c r="B195" s="18" t="s">
        <v>1823</v>
      </c>
      <c r="C195" s="23" t="n">
        <v>2</v>
      </c>
      <c r="D195" s="23" t="s">
        <v>126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1824</v>
      </c>
      <c r="H195" s="18" t="s">
        <v>1741</v>
      </c>
      <c r="I195" s="21" t="s">
        <v>1742</v>
      </c>
      <c r="J195" s="22" t="s">
        <v>1825</v>
      </c>
      <c r="K195" s="23" t="s">
        <v>131</v>
      </c>
      <c r="L195" s="24" t="s">
        <v>1826</v>
      </c>
      <c r="M195" s="24" t="s">
        <v>1827</v>
      </c>
      <c r="N195" s="23" t="s">
        <v>1828</v>
      </c>
      <c r="O195" s="24" t="s">
        <v>1829</v>
      </c>
      <c r="P195" s="24" t="s">
        <v>1830</v>
      </c>
      <c r="Q195" s="24" t="s">
        <v>1831</v>
      </c>
      <c r="R195" s="25" t="s">
        <v>1832</v>
      </c>
      <c r="S195" s="24" t="s">
        <v>1822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140</v>
      </c>
      <c r="Y195" s="23" t="s">
        <v>140</v>
      </c>
      <c r="Z195" s="23" t="s">
        <v>140</v>
      </c>
      <c r="AA195" s="23" t="s">
        <v>140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</row>
    <row r="196" customFormat="false" ht="26.85" hidden="false" customHeight="false" outlineLevel="0" collapsed="false">
      <c r="A196" s="21" t="n">
        <v>195</v>
      </c>
      <c r="B196" s="18" t="s">
        <v>1833</v>
      </c>
      <c r="C196" s="23" t="n">
        <v>2</v>
      </c>
      <c r="D196" s="23" t="s">
        <v>126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1824</v>
      </c>
      <c r="H196" s="18" t="s">
        <v>1741</v>
      </c>
      <c r="I196" s="21" t="s">
        <v>1742</v>
      </c>
      <c r="J196" s="22" t="s">
        <v>1834</v>
      </c>
      <c r="K196" s="23" t="s">
        <v>131</v>
      </c>
      <c r="L196" s="24" t="s">
        <v>1835</v>
      </c>
      <c r="M196" s="24" t="s">
        <v>1836</v>
      </c>
      <c r="N196" s="23" t="s">
        <v>1837</v>
      </c>
      <c r="O196" s="24" t="s">
        <v>1838</v>
      </c>
      <c r="P196" s="24" t="s">
        <v>1839</v>
      </c>
      <c r="Q196" s="24" t="s">
        <v>1840</v>
      </c>
      <c r="R196" s="24"/>
      <c r="S196" s="24" t="s">
        <v>1822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140</v>
      </c>
      <c r="Y196" s="23" t="s">
        <v>140</v>
      </c>
      <c r="Z196" s="23" t="s">
        <v>140</v>
      </c>
      <c r="AA196" s="23" t="s">
        <v>140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</row>
    <row r="197" customFormat="false" ht="26.85" hidden="false" customHeight="false" outlineLevel="0" collapsed="false">
      <c r="A197" s="21" t="n">
        <v>196</v>
      </c>
      <c r="B197" s="18" t="s">
        <v>1841</v>
      </c>
      <c r="C197" s="23" t="n">
        <v>2</v>
      </c>
      <c r="D197" s="23" t="s">
        <v>126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1824</v>
      </c>
      <c r="H197" s="18" t="s">
        <v>1741</v>
      </c>
      <c r="I197" s="21" t="s">
        <v>1742</v>
      </c>
      <c r="J197" s="22" t="s">
        <v>1842</v>
      </c>
      <c r="K197" s="23" t="s">
        <v>131</v>
      </c>
      <c r="L197" s="24" t="s">
        <v>1843</v>
      </c>
      <c r="M197" s="24" t="s">
        <v>1844</v>
      </c>
      <c r="N197" s="23" t="s">
        <v>1845</v>
      </c>
      <c r="O197" s="24" t="s">
        <v>1846</v>
      </c>
      <c r="P197" s="24" t="s">
        <v>1847</v>
      </c>
      <c r="Q197" s="24" t="s">
        <v>1848</v>
      </c>
      <c r="R197" s="25" t="s">
        <v>1849</v>
      </c>
      <c r="S197" s="24" t="s">
        <v>1822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140</v>
      </c>
      <c r="Y197" s="23" t="s">
        <v>140</v>
      </c>
      <c r="Z197" s="23" t="s">
        <v>140</v>
      </c>
      <c r="AA197" s="23" t="s">
        <v>140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</row>
    <row r="198" customFormat="false" ht="15" hidden="false" customHeight="false" outlineLevel="0" collapsed="false">
      <c r="A198" s="21" t="n">
        <v>197</v>
      </c>
      <c r="B198" s="18" t="s">
        <v>1850</v>
      </c>
      <c r="C198" s="23" t="n">
        <v>2</v>
      </c>
      <c r="D198" s="23" t="s">
        <v>126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1824</v>
      </c>
      <c r="H198" s="18" t="s">
        <v>1741</v>
      </c>
      <c r="I198" s="21" t="s">
        <v>1742</v>
      </c>
      <c r="J198" s="22" t="s">
        <v>1851</v>
      </c>
      <c r="K198" s="23" t="s">
        <v>131</v>
      </c>
      <c r="L198" s="24" t="s">
        <v>1852</v>
      </c>
      <c r="M198" s="24" t="s">
        <v>1853</v>
      </c>
      <c r="N198" s="23" t="s">
        <v>1854</v>
      </c>
      <c r="O198" s="24" t="s">
        <v>1855</v>
      </c>
      <c r="P198" s="24" t="s">
        <v>1856</v>
      </c>
      <c r="Q198" s="24" t="s">
        <v>1857</v>
      </c>
      <c r="R198" s="25" t="s">
        <v>1858</v>
      </c>
      <c r="S198" s="24" t="s">
        <v>1822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140</v>
      </c>
      <c r="Y198" s="23" t="s">
        <v>140</v>
      </c>
      <c r="Z198" s="23" t="s">
        <v>140</v>
      </c>
      <c r="AA198" s="23" t="s">
        <v>140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</row>
    <row r="199" customFormat="false" ht="39.55" hidden="false" customHeight="false" outlineLevel="0" collapsed="false">
      <c r="A199" s="21" t="n">
        <v>198</v>
      </c>
      <c r="B199" s="18" t="s">
        <v>1859</v>
      </c>
      <c r="C199" s="20" t="n">
        <v>1</v>
      </c>
      <c r="D199" s="20" t="s">
        <v>126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1824</v>
      </c>
      <c r="H199" s="18" t="s">
        <v>1673</v>
      </c>
      <c r="I199" s="21" t="s">
        <v>1742</v>
      </c>
      <c r="J199" s="22" t="s">
        <v>1860</v>
      </c>
      <c r="K199" s="23" t="s">
        <v>131</v>
      </c>
      <c r="L199" s="24" t="s">
        <v>1861</v>
      </c>
      <c r="M199" s="24" t="s">
        <v>1862</v>
      </c>
      <c r="N199" s="23" t="s">
        <v>1863</v>
      </c>
      <c r="O199" s="24" t="s">
        <v>1864</v>
      </c>
      <c r="P199" s="24" t="s">
        <v>1865</v>
      </c>
      <c r="Q199" s="24" t="s">
        <v>1866</v>
      </c>
      <c r="R199" s="24"/>
      <c r="S199" s="28" t="s">
        <v>1867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140</v>
      </c>
      <c r="Y199" s="23" t="s">
        <v>140</v>
      </c>
      <c r="Z199" s="23" t="s">
        <v>140</v>
      </c>
      <c r="AA199" s="23" t="s">
        <v>140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</row>
    <row r="200" customFormat="false" ht="25.35" hidden="false" customHeight="false" outlineLevel="0" collapsed="false">
      <c r="A200" s="21" t="n">
        <v>199</v>
      </c>
      <c r="B200" s="18" t="s">
        <v>1868</v>
      </c>
      <c r="C200" s="23" t="n">
        <v>2</v>
      </c>
      <c r="D200" s="23" t="s">
        <v>126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1824</v>
      </c>
      <c r="H200" s="18" t="s">
        <v>1741</v>
      </c>
      <c r="I200" s="21" t="s">
        <v>1742</v>
      </c>
      <c r="J200" s="22" t="s">
        <v>1869</v>
      </c>
      <c r="K200" s="23" t="s">
        <v>131</v>
      </c>
      <c r="L200" s="24" t="s">
        <v>1870</v>
      </c>
      <c r="M200" s="24" t="s">
        <v>1871</v>
      </c>
      <c r="N200" s="23" t="s">
        <v>1872</v>
      </c>
      <c r="O200" s="24" t="s">
        <v>1873</v>
      </c>
      <c r="P200" s="24" t="s">
        <v>1874</v>
      </c>
      <c r="Q200" s="24" t="s">
        <v>1875</v>
      </c>
      <c r="R200" s="24"/>
      <c r="S200" s="24" t="s">
        <v>1876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140</v>
      </c>
      <c r="Y200" s="23" t="s">
        <v>140</v>
      </c>
      <c r="Z200" s="23" t="s">
        <v>140</v>
      </c>
      <c r="AA200" s="23" t="s">
        <v>140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</row>
    <row r="201" customFormat="false" ht="15" hidden="false" customHeight="false" outlineLevel="0" collapsed="false">
      <c r="A201" s="21" t="n">
        <v>200</v>
      </c>
      <c r="B201" s="18" t="s">
        <v>1877</v>
      </c>
      <c r="C201" s="23" t="n">
        <v>2</v>
      </c>
      <c r="D201" s="23" t="s">
        <v>126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1824</v>
      </c>
      <c r="H201" s="18" t="s">
        <v>1741</v>
      </c>
      <c r="I201" s="21" t="s">
        <v>1742</v>
      </c>
      <c r="J201" s="22" t="s">
        <v>1878</v>
      </c>
      <c r="K201" s="23" t="s">
        <v>131</v>
      </c>
      <c r="L201" s="24" t="s">
        <v>1879</v>
      </c>
      <c r="M201" s="24" t="s">
        <v>1880</v>
      </c>
      <c r="N201" s="23" t="s">
        <v>1881</v>
      </c>
      <c r="O201" s="24" t="s">
        <v>1882</v>
      </c>
      <c r="P201" s="24" t="s">
        <v>1883</v>
      </c>
      <c r="Q201" s="24" t="s">
        <v>1884</v>
      </c>
      <c r="R201" s="25" t="s">
        <v>1885</v>
      </c>
      <c r="S201" s="24" t="s">
        <v>1876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140</v>
      </c>
      <c r="Y201" s="23" t="s">
        <v>140</v>
      </c>
      <c r="Z201" s="23" t="s">
        <v>140</v>
      </c>
      <c r="AA201" s="23" t="s">
        <v>140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</row>
    <row r="202" customFormat="false" ht="39.55" hidden="false" customHeight="false" outlineLevel="0" collapsed="false">
      <c r="A202" s="21" t="n">
        <v>201</v>
      </c>
      <c r="B202" s="18" t="s">
        <v>1886</v>
      </c>
      <c r="C202" s="20" t="n">
        <v>1</v>
      </c>
      <c r="D202" s="20" t="s">
        <v>126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1824</v>
      </c>
      <c r="H202" s="18" t="s">
        <v>1673</v>
      </c>
      <c r="I202" s="21" t="s">
        <v>1742</v>
      </c>
      <c r="J202" s="22" t="s">
        <v>1887</v>
      </c>
      <c r="K202" s="23" t="s">
        <v>131</v>
      </c>
      <c r="L202" s="24" t="s">
        <v>1888</v>
      </c>
      <c r="M202" s="24" t="s">
        <v>1889</v>
      </c>
      <c r="N202" s="23" t="s">
        <v>1890</v>
      </c>
      <c r="O202" s="24" t="s">
        <v>1891</v>
      </c>
      <c r="P202" s="24" t="s">
        <v>1892</v>
      </c>
      <c r="Q202" s="24" t="s">
        <v>1893</v>
      </c>
      <c r="R202" s="25" t="s">
        <v>1894</v>
      </c>
      <c r="S202" s="28" t="s">
        <v>1895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140</v>
      </c>
      <c r="Y202" s="23" t="s">
        <v>140</v>
      </c>
      <c r="Z202" s="23" t="s">
        <v>140</v>
      </c>
      <c r="AA202" s="23" t="s">
        <v>140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</row>
    <row r="203" customFormat="false" ht="26.85" hidden="false" customHeight="false" outlineLevel="0" collapsed="false">
      <c r="A203" s="21" t="n">
        <v>202</v>
      </c>
      <c r="B203" s="18" t="s">
        <v>1896</v>
      </c>
      <c r="C203" s="20" t="n">
        <v>1</v>
      </c>
      <c r="D203" s="20" t="s">
        <v>126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1824</v>
      </c>
      <c r="H203" s="18" t="s">
        <v>1673</v>
      </c>
      <c r="I203" s="21" t="s">
        <v>1742</v>
      </c>
      <c r="J203" s="22" t="s">
        <v>1897</v>
      </c>
      <c r="K203" s="23" t="s">
        <v>131</v>
      </c>
      <c r="L203" s="24" t="s">
        <v>1898</v>
      </c>
      <c r="M203" s="24" t="s">
        <v>1899</v>
      </c>
      <c r="N203" s="23" t="s">
        <v>1900</v>
      </c>
      <c r="O203" s="24" t="s">
        <v>1901</v>
      </c>
      <c r="P203" s="24" t="s">
        <v>1902</v>
      </c>
      <c r="Q203" s="24" t="s">
        <v>1903</v>
      </c>
      <c r="R203" s="24"/>
      <c r="S203" s="24" t="s">
        <v>139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140</v>
      </c>
      <c r="Y203" s="23" t="s">
        <v>140</v>
      </c>
      <c r="Z203" s="23" t="s">
        <v>140</v>
      </c>
      <c r="AA203" s="23" t="s">
        <v>140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</row>
    <row r="204" customFormat="false" ht="26.85" hidden="false" customHeight="false" outlineLevel="0" collapsed="false">
      <c r="A204" s="21" t="n">
        <v>203</v>
      </c>
      <c r="B204" s="18" t="s">
        <v>1904</v>
      </c>
      <c r="C204" s="23" t="n">
        <v>2</v>
      </c>
      <c r="D204" s="23" t="s">
        <v>126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1824</v>
      </c>
      <c r="H204" s="18" t="s">
        <v>1741</v>
      </c>
      <c r="I204" s="21" t="s">
        <v>1742</v>
      </c>
      <c r="J204" s="22" t="s">
        <v>1905</v>
      </c>
      <c r="K204" s="23" t="s">
        <v>131</v>
      </c>
      <c r="L204" s="24" t="s">
        <v>1906</v>
      </c>
      <c r="M204" s="24" t="s">
        <v>1907</v>
      </c>
      <c r="N204" s="23" t="s">
        <v>1908</v>
      </c>
      <c r="O204" s="24" t="s">
        <v>1909</v>
      </c>
      <c r="P204" s="24" t="s">
        <v>1910</v>
      </c>
      <c r="Q204" s="24" t="s">
        <v>1911</v>
      </c>
      <c r="R204" s="24"/>
      <c r="S204" s="24" t="s">
        <v>1912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140</v>
      </c>
      <c r="Y204" s="23" t="s">
        <v>140</v>
      </c>
      <c r="Z204" s="23" t="s">
        <v>140</v>
      </c>
      <c r="AA204" s="23" t="s">
        <v>140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</row>
    <row r="205" customFormat="false" ht="26.85" hidden="false" customHeight="false" outlineLevel="0" collapsed="false">
      <c r="A205" s="21" t="n">
        <v>204</v>
      </c>
      <c r="B205" s="18" t="s">
        <v>1913</v>
      </c>
      <c r="C205" s="23" t="n">
        <v>2</v>
      </c>
      <c r="D205" s="23" t="s">
        <v>126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1824</v>
      </c>
      <c r="H205" s="18" t="s">
        <v>1741</v>
      </c>
      <c r="I205" s="21" t="s">
        <v>1742</v>
      </c>
      <c r="J205" s="22" t="s">
        <v>1914</v>
      </c>
      <c r="K205" s="23" t="s">
        <v>131</v>
      </c>
      <c r="L205" s="24" t="s">
        <v>1915</v>
      </c>
      <c r="M205" s="24" t="s">
        <v>1916</v>
      </c>
      <c r="N205" s="23" t="s">
        <v>1917</v>
      </c>
      <c r="O205" s="24" t="s">
        <v>1918</v>
      </c>
      <c r="P205" s="24" t="s">
        <v>1919</v>
      </c>
      <c r="Q205" s="24" t="s">
        <v>1920</v>
      </c>
      <c r="R205" s="27" t="s">
        <v>1921</v>
      </c>
      <c r="S205" s="24" t="s">
        <v>1912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140</v>
      </c>
      <c r="Y205" s="23" t="s">
        <v>140</v>
      </c>
      <c r="Z205" s="23" t="s">
        <v>140</v>
      </c>
      <c r="AA205" s="23" t="s">
        <v>140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</row>
    <row r="206" customFormat="false" ht="39.55" hidden="false" customHeight="false" outlineLevel="0" collapsed="false">
      <c r="A206" s="21" t="n">
        <v>205</v>
      </c>
      <c r="B206" s="18" t="s">
        <v>1922</v>
      </c>
      <c r="C206" s="20" t="n">
        <v>1</v>
      </c>
      <c r="D206" s="20" t="s">
        <v>126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1923</v>
      </c>
      <c r="H206" s="18" t="s">
        <v>1924</v>
      </c>
      <c r="I206" s="21" t="s">
        <v>1925</v>
      </c>
      <c r="J206" s="22" t="s">
        <v>1926</v>
      </c>
      <c r="K206" s="23" t="s">
        <v>131</v>
      </c>
      <c r="L206" s="24" t="s">
        <v>1927</v>
      </c>
      <c r="M206" s="24" t="s">
        <v>1928</v>
      </c>
      <c r="N206" s="23" t="s">
        <v>1929</v>
      </c>
      <c r="O206" s="24" t="s">
        <v>1930</v>
      </c>
      <c r="P206" s="24" t="s">
        <v>1931</v>
      </c>
      <c r="Q206" s="24" t="s">
        <v>1932</v>
      </c>
      <c r="R206" s="24"/>
      <c r="S206" s="28" t="s">
        <v>1933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140</v>
      </c>
      <c r="Y206" s="23" t="s">
        <v>140</v>
      </c>
      <c r="Z206" s="23" t="s">
        <v>140</v>
      </c>
      <c r="AA206" s="23" t="s">
        <v>140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</row>
    <row r="207" customFormat="false" ht="26.85" hidden="false" customHeight="false" outlineLevel="0" collapsed="false">
      <c r="A207" s="21" t="n">
        <v>206</v>
      </c>
      <c r="B207" s="18" t="s">
        <v>1934</v>
      </c>
      <c r="C207" s="20" t="n">
        <v>1</v>
      </c>
      <c r="D207" s="20" t="s">
        <v>126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1923</v>
      </c>
      <c r="H207" s="18" t="s">
        <v>1924</v>
      </c>
      <c r="I207" s="21" t="s">
        <v>1925</v>
      </c>
      <c r="J207" s="22" t="s">
        <v>1935</v>
      </c>
      <c r="K207" s="23" t="s">
        <v>131</v>
      </c>
      <c r="L207" s="24" t="s">
        <v>1936</v>
      </c>
      <c r="M207" s="24" t="s">
        <v>1937</v>
      </c>
      <c r="N207" s="23" t="s">
        <v>1938</v>
      </c>
      <c r="O207" s="24" t="s">
        <v>1939</v>
      </c>
      <c r="P207" s="24" t="s">
        <v>1940</v>
      </c>
      <c r="Q207" s="24" t="s">
        <v>1941</v>
      </c>
      <c r="R207" s="24"/>
      <c r="S207" s="24" t="s">
        <v>139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140</v>
      </c>
      <c r="Y207" s="23" t="s">
        <v>140</v>
      </c>
      <c r="Z207" s="23" t="s">
        <v>140</v>
      </c>
      <c r="AA207" s="23" t="s">
        <v>140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</row>
    <row r="208" customFormat="false" ht="26.85" hidden="false" customHeight="false" outlineLevel="0" collapsed="false">
      <c r="A208" s="21" t="n">
        <v>207</v>
      </c>
      <c r="B208" s="18" t="s">
        <v>1942</v>
      </c>
      <c r="C208" s="23" t="n">
        <v>2</v>
      </c>
      <c r="D208" s="23" t="s">
        <v>126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1923</v>
      </c>
      <c r="H208" s="18" t="s">
        <v>1943</v>
      </c>
      <c r="I208" s="21" t="s">
        <v>1925</v>
      </c>
      <c r="J208" s="22" t="s">
        <v>1944</v>
      </c>
      <c r="K208" s="23" t="s">
        <v>131</v>
      </c>
      <c r="L208" s="24" t="s">
        <v>1945</v>
      </c>
      <c r="M208" s="24" t="s">
        <v>1946</v>
      </c>
      <c r="N208" s="23" t="s">
        <v>1947</v>
      </c>
      <c r="O208" s="24" t="s">
        <v>1948</v>
      </c>
      <c r="P208" s="24" t="s">
        <v>1940</v>
      </c>
      <c r="Q208" s="24" t="s">
        <v>1949</v>
      </c>
      <c r="R208" s="25" t="s">
        <v>1950</v>
      </c>
      <c r="S208" s="24" t="s">
        <v>1951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140</v>
      </c>
      <c r="Y208" s="23" t="s">
        <v>140</v>
      </c>
      <c r="Z208" s="23" t="s">
        <v>140</v>
      </c>
      <c r="AA208" s="23" t="s">
        <v>140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</row>
    <row r="209" customFormat="false" ht="26.85" hidden="false" customHeight="false" outlineLevel="0" collapsed="false">
      <c r="A209" s="21" t="n">
        <v>208</v>
      </c>
      <c r="B209" s="18" t="s">
        <v>1952</v>
      </c>
      <c r="C209" s="20" t="n">
        <v>1</v>
      </c>
      <c r="D209" s="20" t="s">
        <v>126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1923</v>
      </c>
      <c r="H209" s="18" t="s">
        <v>1924</v>
      </c>
      <c r="I209" s="21" t="s">
        <v>1925</v>
      </c>
      <c r="J209" s="22" t="s">
        <v>1953</v>
      </c>
      <c r="K209" s="23" t="s">
        <v>131</v>
      </c>
      <c r="L209" s="24" t="s">
        <v>1954</v>
      </c>
      <c r="M209" s="24" t="s">
        <v>1955</v>
      </c>
      <c r="N209" s="23" t="s">
        <v>1956</v>
      </c>
      <c r="O209" s="24" t="s">
        <v>1957</v>
      </c>
      <c r="P209" s="24" t="s">
        <v>1958</v>
      </c>
      <c r="Q209" s="24" t="s">
        <v>1959</v>
      </c>
      <c r="R209" s="25" t="s">
        <v>1960</v>
      </c>
      <c r="S209" s="28" t="s">
        <v>1961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140</v>
      </c>
      <c r="Y209" s="23" t="s">
        <v>140</v>
      </c>
      <c r="Z209" s="23" t="s">
        <v>140</v>
      </c>
      <c r="AA209" s="23" t="s">
        <v>140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</row>
    <row r="210" customFormat="false" ht="26.85" hidden="false" customHeight="false" outlineLevel="0" collapsed="false">
      <c r="A210" s="21" t="n">
        <v>209</v>
      </c>
      <c r="B210" s="18" t="s">
        <v>1962</v>
      </c>
      <c r="C210" s="20" t="n">
        <v>1</v>
      </c>
      <c r="D210" s="20" t="s">
        <v>126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1923</v>
      </c>
      <c r="H210" s="18" t="s">
        <v>1924</v>
      </c>
      <c r="I210" s="21" t="s">
        <v>1925</v>
      </c>
      <c r="J210" s="22" t="s">
        <v>1963</v>
      </c>
      <c r="K210" s="23" t="s">
        <v>131</v>
      </c>
      <c r="L210" s="24" t="s">
        <v>1964</v>
      </c>
      <c r="M210" s="24" t="s">
        <v>1965</v>
      </c>
      <c r="N210" s="23" t="s">
        <v>1966</v>
      </c>
      <c r="O210" s="24" t="s">
        <v>1967</v>
      </c>
      <c r="P210" s="24" t="s">
        <v>1968</v>
      </c>
      <c r="Q210" s="24" t="s">
        <v>1969</v>
      </c>
      <c r="R210" s="25" t="s">
        <v>1970</v>
      </c>
      <c r="S210" s="24" t="s">
        <v>139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140</v>
      </c>
      <c r="Y210" s="23" t="s">
        <v>140</v>
      </c>
      <c r="Z210" s="23" t="s">
        <v>140</v>
      </c>
      <c r="AA210" s="23" t="s">
        <v>140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</row>
    <row r="211" customFormat="false" ht="15" hidden="false" customHeight="false" outlineLevel="0" collapsed="false">
      <c r="A211" s="21" t="n">
        <v>210</v>
      </c>
      <c r="B211" s="18" t="s">
        <v>1971</v>
      </c>
      <c r="C211" s="20" t="n">
        <v>1</v>
      </c>
      <c r="D211" s="20" t="s">
        <v>126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1923</v>
      </c>
      <c r="H211" s="18" t="s">
        <v>1924</v>
      </c>
      <c r="I211" s="21" t="s">
        <v>1972</v>
      </c>
      <c r="J211" s="22" t="s">
        <v>1973</v>
      </c>
      <c r="K211" s="23" t="s">
        <v>131</v>
      </c>
      <c r="L211" s="24" t="s">
        <v>1974</v>
      </c>
      <c r="M211" s="24" t="s">
        <v>1975</v>
      </c>
      <c r="N211" s="23" t="s">
        <v>1976</v>
      </c>
      <c r="O211" s="24" t="s">
        <v>1977</v>
      </c>
      <c r="P211" s="24" t="s">
        <v>1978</v>
      </c>
      <c r="Q211" s="24" t="s">
        <v>1979</v>
      </c>
      <c r="R211" s="24"/>
      <c r="S211" s="24" t="s">
        <v>139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140</v>
      </c>
      <c r="Y211" s="23" t="s">
        <v>140</v>
      </c>
      <c r="Z211" s="23" t="s">
        <v>140</v>
      </c>
      <c r="AA211" s="23" t="s">
        <v>140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</row>
    <row r="212" customFormat="false" ht="26.85" hidden="false" customHeight="false" outlineLevel="0" collapsed="false">
      <c r="A212" s="21" t="n">
        <v>211</v>
      </c>
      <c r="B212" s="18" t="s">
        <v>1980</v>
      </c>
      <c r="C212" s="23" t="n">
        <v>2</v>
      </c>
      <c r="D212" s="23" t="s">
        <v>126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1923</v>
      </c>
      <c r="H212" s="18" t="s">
        <v>1943</v>
      </c>
      <c r="I212" s="21" t="s">
        <v>1972</v>
      </c>
      <c r="J212" s="22" t="s">
        <v>1981</v>
      </c>
      <c r="K212" s="23" t="s">
        <v>131</v>
      </c>
      <c r="L212" s="24" t="s">
        <v>1982</v>
      </c>
      <c r="M212" s="24" t="s">
        <v>1983</v>
      </c>
      <c r="N212" s="23" t="s">
        <v>1984</v>
      </c>
      <c r="O212" s="24" t="s">
        <v>1985</v>
      </c>
      <c r="P212" s="24" t="s">
        <v>1986</v>
      </c>
      <c r="Q212" s="24" t="s">
        <v>1979</v>
      </c>
      <c r="R212" s="24"/>
      <c r="S212" s="24" t="s">
        <v>1987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140</v>
      </c>
      <c r="Y212" s="23" t="s">
        <v>140</v>
      </c>
      <c r="Z212" s="23" t="s">
        <v>140</v>
      </c>
      <c r="AA212" s="23" t="s">
        <v>140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</row>
    <row r="213" customFormat="false" ht="39.55" hidden="false" customHeight="false" outlineLevel="0" collapsed="false">
      <c r="A213" s="21" t="n">
        <v>212</v>
      </c>
      <c r="B213" s="18" t="s">
        <v>1988</v>
      </c>
      <c r="C213" s="20" t="n">
        <v>1</v>
      </c>
      <c r="D213" s="20" t="s">
        <v>126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1923</v>
      </c>
      <c r="H213" s="18" t="s">
        <v>1924</v>
      </c>
      <c r="I213" s="21" t="s">
        <v>1972</v>
      </c>
      <c r="J213" s="22" t="s">
        <v>1989</v>
      </c>
      <c r="K213" s="23" t="s">
        <v>131</v>
      </c>
      <c r="L213" s="24" t="s">
        <v>1990</v>
      </c>
      <c r="M213" s="24" t="s">
        <v>1991</v>
      </c>
      <c r="N213" s="23" t="s">
        <v>1992</v>
      </c>
      <c r="O213" s="24" t="s">
        <v>1993</v>
      </c>
      <c r="P213" s="24" t="s">
        <v>1994</v>
      </c>
      <c r="Q213" s="24" t="s">
        <v>1995</v>
      </c>
      <c r="R213" s="24"/>
      <c r="S213" s="28" t="s">
        <v>1996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140</v>
      </c>
      <c r="Y213" s="23" t="s">
        <v>140</v>
      </c>
      <c r="Z213" s="23" t="s">
        <v>140</v>
      </c>
      <c r="AA213" s="23" t="s">
        <v>140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</row>
    <row r="214" customFormat="false" ht="26.85" hidden="false" customHeight="false" outlineLevel="0" collapsed="false">
      <c r="A214" s="21" t="n">
        <v>213</v>
      </c>
      <c r="B214" s="18" t="s">
        <v>1997</v>
      </c>
      <c r="C214" s="20" t="n">
        <v>1</v>
      </c>
      <c r="D214" s="20" t="s">
        <v>126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1998</v>
      </c>
      <c r="H214" s="18" t="s">
        <v>1924</v>
      </c>
      <c r="I214" s="21" t="s">
        <v>1972</v>
      </c>
      <c r="J214" s="22" t="s">
        <v>1999</v>
      </c>
      <c r="K214" s="23" t="s">
        <v>131</v>
      </c>
      <c r="L214" s="24" t="s">
        <v>2000</v>
      </c>
      <c r="M214" s="24" t="s">
        <v>2001</v>
      </c>
      <c r="N214" s="23" t="s">
        <v>2002</v>
      </c>
      <c r="O214" s="24" t="s">
        <v>2003</v>
      </c>
      <c r="P214" s="24" t="s">
        <v>2004</v>
      </c>
      <c r="Q214" s="24" t="s">
        <v>2005</v>
      </c>
      <c r="R214" s="25" t="s">
        <v>2006</v>
      </c>
      <c r="S214" s="24" t="s">
        <v>139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140</v>
      </c>
      <c r="Y214" s="23" t="s">
        <v>140</v>
      </c>
      <c r="Z214" s="23" t="s">
        <v>140</v>
      </c>
      <c r="AA214" s="23" t="s">
        <v>140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</row>
    <row r="215" customFormat="false" ht="26.85" hidden="false" customHeight="false" outlineLevel="0" collapsed="false">
      <c r="A215" s="21" t="n">
        <v>214</v>
      </c>
      <c r="B215" s="18" t="s">
        <v>2007</v>
      </c>
      <c r="C215" s="23" t="n">
        <v>2</v>
      </c>
      <c r="D215" s="23" t="s">
        <v>126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1998</v>
      </c>
      <c r="H215" s="18" t="s">
        <v>1943</v>
      </c>
      <c r="I215" s="21" t="s">
        <v>1972</v>
      </c>
      <c r="J215" s="22" t="s">
        <v>2008</v>
      </c>
      <c r="K215" s="23" t="s">
        <v>131</v>
      </c>
      <c r="L215" s="24" t="s">
        <v>2009</v>
      </c>
      <c r="M215" s="24" t="s">
        <v>2010</v>
      </c>
      <c r="N215" s="23" t="s">
        <v>2011</v>
      </c>
      <c r="O215" s="24" t="s">
        <v>2012</v>
      </c>
      <c r="P215" s="24" t="s">
        <v>2013</v>
      </c>
      <c r="Q215" s="24" t="s">
        <v>2014</v>
      </c>
      <c r="R215" s="24"/>
      <c r="S215" s="24" t="s">
        <v>2015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140</v>
      </c>
      <c r="Y215" s="23" t="s">
        <v>140</v>
      </c>
      <c r="Z215" s="23" t="s">
        <v>140</v>
      </c>
      <c r="AA215" s="23" t="s">
        <v>140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</row>
    <row r="216" customFormat="false" ht="26.85" hidden="false" customHeight="false" outlineLevel="0" collapsed="false">
      <c r="A216" s="21" t="n">
        <v>215</v>
      </c>
      <c r="B216" s="18" t="s">
        <v>2016</v>
      </c>
      <c r="C216" s="23" t="n">
        <v>2</v>
      </c>
      <c r="D216" s="23" t="s">
        <v>126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1998</v>
      </c>
      <c r="H216" s="18" t="s">
        <v>1943</v>
      </c>
      <c r="I216" s="21" t="s">
        <v>1972</v>
      </c>
      <c r="J216" s="22" t="s">
        <v>2017</v>
      </c>
      <c r="K216" s="23" t="s">
        <v>131</v>
      </c>
      <c r="L216" s="24" t="s">
        <v>2018</v>
      </c>
      <c r="M216" s="24" t="s">
        <v>2019</v>
      </c>
      <c r="N216" s="23" t="s">
        <v>2020</v>
      </c>
      <c r="O216" s="24" t="s">
        <v>2021</v>
      </c>
      <c r="P216" s="24" t="s">
        <v>2022</v>
      </c>
      <c r="Q216" s="24" t="s">
        <v>2023</v>
      </c>
      <c r="R216" s="24"/>
      <c r="S216" s="24" t="s">
        <v>2015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140</v>
      </c>
      <c r="Y216" s="23" t="s">
        <v>140</v>
      </c>
      <c r="Z216" s="23" t="s">
        <v>140</v>
      </c>
      <c r="AA216" s="23" t="s">
        <v>140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</row>
    <row r="217" customFormat="false" ht="39.55" hidden="false" customHeight="false" outlineLevel="0" collapsed="false">
      <c r="A217" s="21" t="n">
        <v>216</v>
      </c>
      <c r="B217" s="18" t="s">
        <v>2024</v>
      </c>
      <c r="C217" s="20" t="n">
        <v>1</v>
      </c>
      <c r="D217" s="20" t="s">
        <v>126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1998</v>
      </c>
      <c r="H217" s="18" t="s">
        <v>1924</v>
      </c>
      <c r="I217" s="21" t="s">
        <v>1972</v>
      </c>
      <c r="J217" s="22" t="s">
        <v>2025</v>
      </c>
      <c r="K217" s="23" t="s">
        <v>131</v>
      </c>
      <c r="L217" s="24" t="s">
        <v>2026</v>
      </c>
      <c r="M217" s="24" t="s">
        <v>2027</v>
      </c>
      <c r="N217" s="23" t="s">
        <v>2028</v>
      </c>
      <c r="O217" s="24" t="s">
        <v>2029</v>
      </c>
      <c r="P217" s="24" t="s">
        <v>2030</v>
      </c>
      <c r="Q217" s="24" t="s">
        <v>2031</v>
      </c>
      <c r="R217" s="24"/>
      <c r="S217" s="28" t="s">
        <v>2032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140</v>
      </c>
      <c r="Y217" s="23" t="s">
        <v>140</v>
      </c>
      <c r="Z217" s="23" t="s">
        <v>140</v>
      </c>
      <c r="AA217" s="23" t="s">
        <v>140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</row>
    <row r="218" customFormat="false" ht="26.85" hidden="false" customHeight="false" outlineLevel="0" collapsed="false">
      <c r="A218" s="21" t="n">
        <v>217</v>
      </c>
      <c r="B218" s="18" t="s">
        <v>2033</v>
      </c>
      <c r="C218" s="20" t="n">
        <v>1</v>
      </c>
      <c r="D218" s="20" t="s">
        <v>126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1998</v>
      </c>
      <c r="H218" s="18" t="s">
        <v>1924</v>
      </c>
      <c r="I218" s="21" t="s">
        <v>1972</v>
      </c>
      <c r="J218" s="22" t="s">
        <v>2034</v>
      </c>
      <c r="K218" s="23" t="s">
        <v>131</v>
      </c>
      <c r="L218" s="24" t="s">
        <v>2035</v>
      </c>
      <c r="M218" s="24" t="s">
        <v>2036</v>
      </c>
      <c r="N218" s="23" t="s">
        <v>2037</v>
      </c>
      <c r="O218" s="24" t="s">
        <v>2038</v>
      </c>
      <c r="P218" s="24" t="s">
        <v>2039</v>
      </c>
      <c r="Q218" s="24" t="s">
        <v>2040</v>
      </c>
      <c r="R218" s="24"/>
      <c r="S218" s="24" t="s">
        <v>139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140</v>
      </c>
      <c r="Y218" s="23" t="s">
        <v>140</v>
      </c>
      <c r="Z218" s="23" t="s">
        <v>140</v>
      </c>
      <c r="AA218" s="23" t="s">
        <v>140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</row>
    <row r="219" customFormat="false" ht="26.85" hidden="false" customHeight="false" outlineLevel="0" collapsed="false">
      <c r="A219" s="21" t="n">
        <v>218</v>
      </c>
      <c r="B219" s="18" t="s">
        <v>2041</v>
      </c>
      <c r="C219" s="23" t="n">
        <v>2</v>
      </c>
      <c r="D219" s="23" t="s">
        <v>126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1998</v>
      </c>
      <c r="H219" s="18" t="s">
        <v>1943</v>
      </c>
      <c r="I219" s="21" t="s">
        <v>1972</v>
      </c>
      <c r="J219" s="22" t="s">
        <v>2042</v>
      </c>
      <c r="K219" s="23" t="s">
        <v>131</v>
      </c>
      <c r="L219" s="24" t="s">
        <v>2043</v>
      </c>
      <c r="M219" s="24" t="s">
        <v>2044</v>
      </c>
      <c r="N219" s="23" t="s">
        <v>2045</v>
      </c>
      <c r="O219" s="24" t="s">
        <v>2046</v>
      </c>
      <c r="P219" s="24" t="s">
        <v>2047</v>
      </c>
      <c r="Q219" s="24" t="s">
        <v>2048</v>
      </c>
      <c r="R219" s="24"/>
      <c r="S219" s="24" t="s">
        <v>2049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140</v>
      </c>
      <c r="Y219" s="23" t="s">
        <v>140</v>
      </c>
      <c r="Z219" s="23" t="s">
        <v>140</v>
      </c>
      <c r="AA219" s="23" t="s">
        <v>140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</row>
    <row r="220" customFormat="false" ht="26.85" hidden="false" customHeight="false" outlineLevel="0" collapsed="false">
      <c r="A220" s="21" t="n">
        <v>219</v>
      </c>
      <c r="B220" s="18" t="s">
        <v>2050</v>
      </c>
      <c r="C220" s="23" t="n">
        <v>2</v>
      </c>
      <c r="D220" s="23" t="s">
        <v>126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1998</v>
      </c>
      <c r="H220" s="18" t="s">
        <v>1943</v>
      </c>
      <c r="I220" s="21" t="s">
        <v>1972</v>
      </c>
      <c r="J220" s="22" t="s">
        <v>2051</v>
      </c>
      <c r="K220" s="23" t="s">
        <v>131</v>
      </c>
      <c r="L220" s="24" t="s">
        <v>2052</v>
      </c>
      <c r="M220" s="29" t="s">
        <v>2053</v>
      </c>
      <c r="N220" s="23" t="s">
        <v>2054</v>
      </c>
      <c r="O220" s="24" t="s">
        <v>2055</v>
      </c>
      <c r="P220" s="24" t="s">
        <v>2039</v>
      </c>
      <c r="Q220" s="24" t="s">
        <v>2056</v>
      </c>
      <c r="R220" s="24"/>
      <c r="S220" s="24" t="s">
        <v>2049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140</v>
      </c>
      <c r="Y220" s="23" t="s">
        <v>140</v>
      </c>
      <c r="Z220" s="23" t="s">
        <v>140</v>
      </c>
      <c r="AA220" s="23" t="s">
        <v>140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</row>
    <row r="221" customFormat="false" ht="26.85" hidden="false" customHeight="false" outlineLevel="0" collapsed="false">
      <c r="A221" s="21" t="n">
        <v>220</v>
      </c>
      <c r="B221" s="18" t="s">
        <v>2057</v>
      </c>
      <c r="C221" s="23" t="n">
        <v>2</v>
      </c>
      <c r="D221" s="23" t="s">
        <v>126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1998</v>
      </c>
      <c r="H221" s="18" t="s">
        <v>1943</v>
      </c>
      <c r="I221" s="21" t="s">
        <v>1972</v>
      </c>
      <c r="J221" s="22" t="s">
        <v>2058</v>
      </c>
      <c r="K221" s="23" t="s">
        <v>131</v>
      </c>
      <c r="L221" s="24" t="s">
        <v>2059</v>
      </c>
      <c r="M221" s="24" t="s">
        <v>2060</v>
      </c>
      <c r="N221" s="23" t="s">
        <v>2061</v>
      </c>
      <c r="O221" s="24" t="s">
        <v>2062</v>
      </c>
      <c r="P221" s="24" t="s">
        <v>2063</v>
      </c>
      <c r="Q221" s="24" t="s">
        <v>2064</v>
      </c>
      <c r="R221" s="24"/>
      <c r="S221" s="24" t="s">
        <v>2049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140</v>
      </c>
      <c r="Y221" s="23" t="s">
        <v>140</v>
      </c>
      <c r="Z221" s="23" t="s">
        <v>140</v>
      </c>
      <c r="AA221" s="23" t="s">
        <v>140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</row>
    <row r="222" customFormat="false" ht="52.2" hidden="false" customHeight="false" outlineLevel="0" collapsed="false">
      <c r="A222" s="21" t="n">
        <v>221</v>
      </c>
      <c r="B222" s="18" t="s">
        <v>2065</v>
      </c>
      <c r="C222" s="20" t="n">
        <v>1</v>
      </c>
      <c r="D222" s="20" t="s">
        <v>126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1998</v>
      </c>
      <c r="H222" s="18" t="s">
        <v>1924</v>
      </c>
      <c r="I222" s="21" t="s">
        <v>1972</v>
      </c>
      <c r="J222" s="22" t="s">
        <v>2066</v>
      </c>
      <c r="K222" s="23" t="s">
        <v>131</v>
      </c>
      <c r="L222" s="24" t="s">
        <v>2067</v>
      </c>
      <c r="M222" s="24" t="s">
        <v>2068</v>
      </c>
      <c r="N222" s="23" t="s">
        <v>2069</v>
      </c>
      <c r="O222" s="24" t="s">
        <v>2070</v>
      </c>
      <c r="P222" s="24" t="s">
        <v>2071</v>
      </c>
      <c r="Q222" s="24" t="s">
        <v>2056</v>
      </c>
      <c r="R222" s="25" t="s">
        <v>714</v>
      </c>
      <c r="S222" s="28" t="s">
        <v>2072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140</v>
      </c>
      <c r="Y222" s="23" t="s">
        <v>140</v>
      </c>
      <c r="Z222" s="23" t="s">
        <v>140</v>
      </c>
      <c r="AA222" s="23" t="s">
        <v>140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</row>
    <row r="223" customFormat="false" ht="26.85" hidden="false" customHeight="false" outlineLevel="0" collapsed="false">
      <c r="A223" s="21" t="n">
        <v>222</v>
      </c>
      <c r="B223" s="18" t="s">
        <v>2073</v>
      </c>
      <c r="C223" s="20" t="n">
        <v>1</v>
      </c>
      <c r="D223" s="20" t="s">
        <v>126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2074</v>
      </c>
      <c r="H223" s="18" t="s">
        <v>2075</v>
      </c>
      <c r="I223" s="21" t="s">
        <v>1972</v>
      </c>
      <c r="J223" s="22" t="s">
        <v>2076</v>
      </c>
      <c r="K223" s="23" t="s">
        <v>131</v>
      </c>
      <c r="L223" s="24" t="s">
        <v>2077</v>
      </c>
      <c r="M223" s="24" t="s">
        <v>2078</v>
      </c>
      <c r="N223" s="23" t="s">
        <v>2079</v>
      </c>
      <c r="O223" s="24" t="s">
        <v>2080</v>
      </c>
      <c r="P223" s="24" t="s">
        <v>2081</v>
      </c>
      <c r="Q223" s="24" t="s">
        <v>1969</v>
      </c>
      <c r="R223" s="24"/>
      <c r="S223" s="24" t="s">
        <v>139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140</v>
      </c>
      <c r="Y223" s="23" t="s">
        <v>140</v>
      </c>
      <c r="Z223" s="23" t="s">
        <v>140</v>
      </c>
      <c r="AA223" s="23" t="s">
        <v>140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</row>
    <row r="224" customFormat="false" ht="26.85" hidden="false" customHeight="false" outlineLevel="0" collapsed="false">
      <c r="A224" s="21" t="n">
        <v>223</v>
      </c>
      <c r="B224" s="18" t="s">
        <v>2082</v>
      </c>
      <c r="C224" s="23" t="n">
        <v>2</v>
      </c>
      <c r="D224" s="23" t="s">
        <v>126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2074</v>
      </c>
      <c r="H224" s="18" t="s">
        <v>2083</v>
      </c>
      <c r="I224" s="21" t="s">
        <v>1972</v>
      </c>
      <c r="J224" s="22" t="s">
        <v>2084</v>
      </c>
      <c r="K224" s="23" t="s">
        <v>131</v>
      </c>
      <c r="L224" s="24" t="s">
        <v>2085</v>
      </c>
      <c r="M224" s="24" t="s">
        <v>2086</v>
      </c>
      <c r="N224" s="23" t="s">
        <v>2087</v>
      </c>
      <c r="O224" s="24" t="s">
        <v>2088</v>
      </c>
      <c r="P224" s="24" t="s">
        <v>2089</v>
      </c>
      <c r="Q224" s="24" t="s">
        <v>2090</v>
      </c>
      <c r="R224" s="27" t="s">
        <v>2091</v>
      </c>
      <c r="S224" s="24" t="s">
        <v>2092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140</v>
      </c>
      <c r="Y224" s="23" t="s">
        <v>140</v>
      </c>
      <c r="Z224" s="23" t="s">
        <v>140</v>
      </c>
      <c r="AA224" s="23" t="s">
        <v>140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</row>
    <row r="225" customFormat="false" ht="26.85" hidden="false" customHeight="false" outlineLevel="0" collapsed="false">
      <c r="A225" s="21" t="n">
        <v>224</v>
      </c>
      <c r="B225" s="18" t="s">
        <v>2093</v>
      </c>
      <c r="C225" s="20" t="n">
        <v>1</v>
      </c>
      <c r="D225" s="20" t="s">
        <v>126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2074</v>
      </c>
      <c r="H225" s="18" t="s">
        <v>2075</v>
      </c>
      <c r="I225" s="21" t="s">
        <v>1972</v>
      </c>
      <c r="J225" s="22" t="s">
        <v>2094</v>
      </c>
      <c r="K225" s="23" t="s">
        <v>131</v>
      </c>
      <c r="L225" s="24" t="s">
        <v>2095</v>
      </c>
      <c r="M225" s="29" t="s">
        <v>2096</v>
      </c>
      <c r="N225" s="23" t="s">
        <v>2097</v>
      </c>
      <c r="O225" s="24" t="s">
        <v>2098</v>
      </c>
      <c r="P225" s="24" t="s">
        <v>2099</v>
      </c>
      <c r="Q225" s="24" t="s">
        <v>2100</v>
      </c>
      <c r="R225" s="24"/>
      <c r="S225" s="28" t="s">
        <v>2101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140</v>
      </c>
      <c r="Y225" s="23" t="s">
        <v>140</v>
      </c>
      <c r="Z225" s="23" t="s">
        <v>140</v>
      </c>
      <c r="AA225" s="23" t="s">
        <v>140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</row>
    <row r="226" customFormat="false" ht="26.85" hidden="false" customHeight="false" outlineLevel="0" collapsed="false">
      <c r="A226" s="21" t="n">
        <v>225</v>
      </c>
      <c r="B226" s="18" t="s">
        <v>2102</v>
      </c>
      <c r="C226" s="20" t="n">
        <v>1</v>
      </c>
      <c r="D226" s="20" t="s">
        <v>126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2074</v>
      </c>
      <c r="H226" s="18" t="s">
        <v>2075</v>
      </c>
      <c r="I226" s="21" t="s">
        <v>1972</v>
      </c>
      <c r="J226" s="22" t="s">
        <v>2103</v>
      </c>
      <c r="K226" s="23" t="s">
        <v>131</v>
      </c>
      <c r="L226" s="24" t="s">
        <v>2104</v>
      </c>
      <c r="M226" s="24" t="s">
        <v>2105</v>
      </c>
      <c r="N226" s="23" t="s">
        <v>2106</v>
      </c>
      <c r="O226" s="24" t="s">
        <v>2107</v>
      </c>
      <c r="P226" s="24" t="s">
        <v>2108</v>
      </c>
      <c r="Q226" s="24" t="s">
        <v>2100</v>
      </c>
      <c r="R226" s="25" t="s">
        <v>2109</v>
      </c>
      <c r="S226" s="24" t="s">
        <v>139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140</v>
      </c>
      <c r="Y226" s="23" t="s">
        <v>140</v>
      </c>
      <c r="Z226" s="23" t="s">
        <v>140</v>
      </c>
      <c r="AA226" s="23" t="s">
        <v>140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</row>
    <row r="227" customFormat="false" ht="26.85" hidden="false" customHeight="false" outlineLevel="0" collapsed="false">
      <c r="A227" s="21" t="n">
        <v>226</v>
      </c>
      <c r="B227" s="18" t="s">
        <v>2110</v>
      </c>
      <c r="C227" s="20" t="n">
        <v>1</v>
      </c>
      <c r="D227" s="20" t="s">
        <v>126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2074</v>
      </c>
      <c r="H227" s="18" t="s">
        <v>2075</v>
      </c>
      <c r="I227" s="21" t="s">
        <v>1972</v>
      </c>
      <c r="J227" s="22" t="s">
        <v>2111</v>
      </c>
      <c r="K227" s="23" t="s">
        <v>131</v>
      </c>
      <c r="L227" s="24" t="s">
        <v>2112</v>
      </c>
      <c r="M227" s="24" t="s">
        <v>2113</v>
      </c>
      <c r="N227" s="23" t="s">
        <v>2114</v>
      </c>
      <c r="O227" s="24" t="s">
        <v>2115</v>
      </c>
      <c r="P227" s="24" t="s">
        <v>2116</v>
      </c>
      <c r="Q227" s="24" t="s">
        <v>2090</v>
      </c>
      <c r="R227" s="24"/>
      <c r="S227" s="24" t="s">
        <v>139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140</v>
      </c>
      <c r="Y227" s="23" t="s">
        <v>140</v>
      </c>
      <c r="Z227" s="23" t="s">
        <v>140</v>
      </c>
      <c r="AA227" s="23" t="s">
        <v>140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</row>
    <row r="228" customFormat="false" ht="26.85" hidden="false" customHeight="false" outlineLevel="0" collapsed="false">
      <c r="A228" s="21" t="n">
        <v>227</v>
      </c>
      <c r="B228" s="18" t="s">
        <v>2117</v>
      </c>
      <c r="C228" s="23" t="n">
        <v>2</v>
      </c>
      <c r="D228" s="23" t="s">
        <v>126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2074</v>
      </c>
      <c r="H228" s="18" t="s">
        <v>2083</v>
      </c>
      <c r="I228" s="21" t="s">
        <v>1972</v>
      </c>
      <c r="J228" s="22" t="s">
        <v>2118</v>
      </c>
      <c r="K228" s="23" t="s">
        <v>131</v>
      </c>
      <c r="L228" s="24" t="s">
        <v>2119</v>
      </c>
      <c r="M228" s="24" t="s">
        <v>2120</v>
      </c>
      <c r="N228" s="23" t="s">
        <v>2121</v>
      </c>
      <c r="O228" s="24" t="s">
        <v>2122</v>
      </c>
      <c r="P228" s="24" t="s">
        <v>2123</v>
      </c>
      <c r="Q228" s="24" t="s">
        <v>2124</v>
      </c>
      <c r="R228" s="24"/>
      <c r="S228" s="24" t="s">
        <v>2125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140</v>
      </c>
      <c r="Y228" s="23" t="s">
        <v>140</v>
      </c>
      <c r="Z228" s="23" t="s">
        <v>140</v>
      </c>
      <c r="AA228" s="23" t="s">
        <v>140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</row>
    <row r="229" customFormat="false" ht="26.85" hidden="false" customHeight="false" outlineLevel="0" collapsed="false">
      <c r="A229" s="21" t="n">
        <v>228</v>
      </c>
      <c r="B229" s="18" t="s">
        <v>2126</v>
      </c>
      <c r="C229" s="20" t="n">
        <v>1</v>
      </c>
      <c r="D229" s="20" t="s">
        <v>126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2074</v>
      </c>
      <c r="H229" s="18" t="s">
        <v>2075</v>
      </c>
      <c r="I229" s="21" t="s">
        <v>1972</v>
      </c>
      <c r="J229" s="22" t="s">
        <v>2127</v>
      </c>
      <c r="K229" s="23" t="s">
        <v>131</v>
      </c>
      <c r="L229" s="24" t="s">
        <v>2128</v>
      </c>
      <c r="M229" s="24" t="s">
        <v>2129</v>
      </c>
      <c r="N229" s="23" t="s">
        <v>2130</v>
      </c>
      <c r="O229" s="24" t="s">
        <v>2131</v>
      </c>
      <c r="P229" s="24" t="s">
        <v>2132</v>
      </c>
      <c r="Q229" s="24" t="s">
        <v>2133</v>
      </c>
      <c r="R229" s="24"/>
      <c r="S229" s="28" t="s">
        <v>2134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140</v>
      </c>
      <c r="Y229" s="23" t="s">
        <v>140</v>
      </c>
      <c r="Z229" s="23" t="s">
        <v>140</v>
      </c>
      <c r="AA229" s="23" t="s">
        <v>140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</row>
    <row r="230" customFormat="false" ht="26.85" hidden="false" customHeight="false" outlineLevel="0" collapsed="false">
      <c r="A230" s="21" t="n">
        <v>229</v>
      </c>
      <c r="B230" s="18" t="s">
        <v>2135</v>
      </c>
      <c r="C230" s="23" t="n">
        <v>2</v>
      </c>
      <c r="D230" s="23" t="s">
        <v>126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2074</v>
      </c>
      <c r="H230" s="18" t="s">
        <v>2083</v>
      </c>
      <c r="I230" s="21" t="s">
        <v>1972</v>
      </c>
      <c r="J230" s="22" t="s">
        <v>2136</v>
      </c>
      <c r="K230" s="23" t="s">
        <v>131</v>
      </c>
      <c r="L230" s="24" t="s">
        <v>2137</v>
      </c>
      <c r="M230" s="24" t="s">
        <v>2138</v>
      </c>
      <c r="N230" s="23" t="s">
        <v>2139</v>
      </c>
      <c r="O230" s="24" t="s">
        <v>2140</v>
      </c>
      <c r="P230" s="24" t="s">
        <v>2141</v>
      </c>
      <c r="Q230" s="24" t="s">
        <v>2142</v>
      </c>
      <c r="R230" s="25" t="s">
        <v>2143</v>
      </c>
      <c r="S230" s="24" t="s">
        <v>2144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140</v>
      </c>
      <c r="Y230" s="23" t="s">
        <v>140</v>
      </c>
      <c r="Z230" s="23" t="s">
        <v>140</v>
      </c>
      <c r="AA230" s="23" t="s">
        <v>140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</row>
    <row r="231" customFormat="false" ht="15" hidden="false" customHeight="false" outlineLevel="0" collapsed="false">
      <c r="A231" s="21" t="n">
        <v>230</v>
      </c>
      <c r="B231" s="18" t="s">
        <v>2145</v>
      </c>
      <c r="C231" s="23" t="n">
        <v>2</v>
      </c>
      <c r="D231" s="23" t="s">
        <v>126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2074</v>
      </c>
      <c r="H231" s="18" t="s">
        <v>2083</v>
      </c>
      <c r="I231" s="21" t="s">
        <v>1972</v>
      </c>
      <c r="J231" s="22" t="s">
        <v>2146</v>
      </c>
      <c r="K231" s="23" t="s">
        <v>131</v>
      </c>
      <c r="L231" s="24" t="s">
        <v>2147</v>
      </c>
      <c r="M231" s="24" t="s">
        <v>2148</v>
      </c>
      <c r="N231" s="23" t="s">
        <v>2149</v>
      </c>
      <c r="O231" s="24" t="s">
        <v>2150</v>
      </c>
      <c r="P231" s="24" t="s">
        <v>2151</v>
      </c>
      <c r="Q231" s="24" t="s">
        <v>2152</v>
      </c>
      <c r="R231" s="24"/>
      <c r="S231" s="24" t="s">
        <v>2144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140</v>
      </c>
      <c r="Y231" s="23" t="s">
        <v>140</v>
      </c>
      <c r="Z231" s="23" t="s">
        <v>140</v>
      </c>
      <c r="AA231" s="23" t="s">
        <v>140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</row>
    <row r="232" customFormat="false" ht="39.55" hidden="false" customHeight="false" outlineLevel="0" collapsed="false">
      <c r="A232" s="21" t="n">
        <v>231</v>
      </c>
      <c r="B232" s="18" t="s">
        <v>2153</v>
      </c>
      <c r="C232" s="20" t="n">
        <v>1</v>
      </c>
      <c r="D232" s="20" t="s">
        <v>126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2074</v>
      </c>
      <c r="H232" s="18" t="s">
        <v>2075</v>
      </c>
      <c r="I232" s="21" t="s">
        <v>1972</v>
      </c>
      <c r="J232" s="22" t="s">
        <v>2154</v>
      </c>
      <c r="K232" s="23" t="s">
        <v>131</v>
      </c>
      <c r="L232" s="24" t="s">
        <v>2155</v>
      </c>
      <c r="M232" s="24" t="s">
        <v>2156</v>
      </c>
      <c r="N232" s="23" t="s">
        <v>2157</v>
      </c>
      <c r="O232" s="24" t="s">
        <v>2158</v>
      </c>
      <c r="P232" s="24" t="s">
        <v>2159</v>
      </c>
      <c r="Q232" s="24" t="s">
        <v>2160</v>
      </c>
      <c r="R232" s="24"/>
      <c r="S232" s="28" t="s">
        <v>2161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140</v>
      </c>
      <c r="Y232" s="23" t="s">
        <v>140</v>
      </c>
      <c r="Z232" s="23" t="s">
        <v>140</v>
      </c>
      <c r="AA232" s="23" t="s">
        <v>140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</row>
    <row r="233" customFormat="false" ht="26.85" hidden="false" customHeight="false" outlineLevel="0" collapsed="false">
      <c r="A233" s="21" t="n">
        <v>232</v>
      </c>
      <c r="B233" s="18" t="s">
        <v>2162</v>
      </c>
      <c r="C233" s="23" t="n">
        <v>2</v>
      </c>
      <c r="D233" s="23" t="s">
        <v>126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2163</v>
      </c>
      <c r="H233" s="18" t="s">
        <v>2083</v>
      </c>
      <c r="I233" s="21" t="s">
        <v>1972</v>
      </c>
      <c r="J233" s="22" t="s">
        <v>2164</v>
      </c>
      <c r="K233" s="23" t="s">
        <v>131</v>
      </c>
      <c r="L233" s="24" t="s">
        <v>2165</v>
      </c>
      <c r="M233" s="24" t="s">
        <v>2166</v>
      </c>
      <c r="N233" s="23" t="s">
        <v>2167</v>
      </c>
      <c r="O233" s="24" t="s">
        <v>2168</v>
      </c>
      <c r="P233" s="24" t="s">
        <v>2169</v>
      </c>
      <c r="Q233" s="24" t="s">
        <v>2170</v>
      </c>
      <c r="R233" s="24"/>
      <c r="S233" s="24" t="s">
        <v>2171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140</v>
      </c>
      <c r="Y233" s="23" t="s">
        <v>140</v>
      </c>
      <c r="Z233" s="23" t="s">
        <v>140</v>
      </c>
      <c r="AA233" s="23" t="s">
        <v>140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</row>
    <row r="234" customFormat="false" ht="26.85" hidden="false" customHeight="false" outlineLevel="0" collapsed="false">
      <c r="A234" s="21" t="n">
        <v>233</v>
      </c>
      <c r="B234" s="18" t="s">
        <v>2172</v>
      </c>
      <c r="C234" s="23" t="n">
        <v>2</v>
      </c>
      <c r="D234" s="23" t="s">
        <v>126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2163</v>
      </c>
      <c r="H234" s="18" t="s">
        <v>2083</v>
      </c>
      <c r="I234" s="21" t="s">
        <v>1972</v>
      </c>
      <c r="J234" s="22" t="s">
        <v>2173</v>
      </c>
      <c r="K234" s="23" t="s">
        <v>131</v>
      </c>
      <c r="L234" s="24" t="s">
        <v>2174</v>
      </c>
      <c r="M234" s="24" t="s">
        <v>2175</v>
      </c>
      <c r="N234" s="23" t="s">
        <v>2176</v>
      </c>
      <c r="O234" s="24" t="s">
        <v>2177</v>
      </c>
      <c r="P234" s="24" t="s">
        <v>2178</v>
      </c>
      <c r="Q234" s="24" t="s">
        <v>2179</v>
      </c>
      <c r="R234" s="24"/>
      <c r="S234" s="24" t="s">
        <v>2171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140</v>
      </c>
      <c r="Y234" s="23" t="s">
        <v>140</v>
      </c>
      <c r="Z234" s="23" t="s">
        <v>140</v>
      </c>
      <c r="AA234" s="23" t="s">
        <v>140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</row>
    <row r="235" customFormat="false" ht="26.85" hidden="false" customHeight="false" outlineLevel="0" collapsed="false">
      <c r="A235" s="21" t="n">
        <v>234</v>
      </c>
      <c r="B235" s="18" t="s">
        <v>2180</v>
      </c>
      <c r="C235" s="23" t="n">
        <v>2</v>
      </c>
      <c r="D235" s="23" t="s">
        <v>126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2163</v>
      </c>
      <c r="H235" s="18" t="s">
        <v>2083</v>
      </c>
      <c r="I235" s="21" t="s">
        <v>1972</v>
      </c>
      <c r="J235" s="22" t="s">
        <v>2181</v>
      </c>
      <c r="K235" s="23" t="s">
        <v>131</v>
      </c>
      <c r="L235" s="24" t="s">
        <v>2182</v>
      </c>
      <c r="M235" s="24" t="s">
        <v>2183</v>
      </c>
      <c r="N235" s="23" t="s">
        <v>2184</v>
      </c>
      <c r="O235" s="24" t="s">
        <v>2185</v>
      </c>
      <c r="P235" s="24" t="s">
        <v>2186</v>
      </c>
      <c r="Q235" s="24" t="s">
        <v>2187</v>
      </c>
      <c r="R235" s="24"/>
      <c r="S235" s="24" t="s">
        <v>2171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140</v>
      </c>
      <c r="Y235" s="23" t="s">
        <v>140</v>
      </c>
      <c r="Z235" s="23" t="s">
        <v>140</v>
      </c>
      <c r="AA235" s="23" t="s">
        <v>140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</row>
    <row r="236" customFormat="false" ht="26.85" hidden="false" customHeight="false" outlineLevel="0" collapsed="false">
      <c r="A236" s="21" t="n">
        <v>235</v>
      </c>
      <c r="B236" s="18" t="s">
        <v>2188</v>
      </c>
      <c r="C236" s="23" t="n">
        <v>2</v>
      </c>
      <c r="D236" s="23" t="s">
        <v>126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2163</v>
      </c>
      <c r="H236" s="18" t="s">
        <v>2083</v>
      </c>
      <c r="I236" s="21" t="s">
        <v>1972</v>
      </c>
      <c r="J236" s="22" t="s">
        <v>2189</v>
      </c>
      <c r="K236" s="23" t="s">
        <v>131</v>
      </c>
      <c r="L236" s="24" t="s">
        <v>2190</v>
      </c>
      <c r="M236" s="24" t="s">
        <v>2191</v>
      </c>
      <c r="N236" s="23" t="s">
        <v>2192</v>
      </c>
      <c r="O236" s="24" t="s">
        <v>2193</v>
      </c>
      <c r="P236" s="24" t="s">
        <v>2194</v>
      </c>
      <c r="Q236" s="24" t="s">
        <v>2195</v>
      </c>
      <c r="R236" s="25" t="s">
        <v>2196</v>
      </c>
      <c r="S236" s="24" t="s">
        <v>2171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140</v>
      </c>
      <c r="Y236" s="23" t="s">
        <v>140</v>
      </c>
      <c r="Z236" s="23" t="s">
        <v>140</v>
      </c>
      <c r="AA236" s="23" t="s">
        <v>140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</row>
    <row r="237" customFormat="false" ht="26.85" hidden="false" customHeight="false" outlineLevel="0" collapsed="false">
      <c r="A237" s="21" t="n">
        <v>236</v>
      </c>
      <c r="B237" s="18" t="s">
        <v>2197</v>
      </c>
      <c r="C237" s="23" t="n">
        <v>2</v>
      </c>
      <c r="D237" s="23" t="s">
        <v>126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2163</v>
      </c>
      <c r="H237" s="18" t="s">
        <v>2083</v>
      </c>
      <c r="I237" s="21" t="s">
        <v>1972</v>
      </c>
      <c r="J237" s="22" t="s">
        <v>2198</v>
      </c>
      <c r="K237" s="23" t="s">
        <v>131</v>
      </c>
      <c r="L237" s="24" t="s">
        <v>2199</v>
      </c>
      <c r="M237" s="24" t="s">
        <v>2200</v>
      </c>
      <c r="N237" s="23" t="s">
        <v>2201</v>
      </c>
      <c r="O237" s="24" t="s">
        <v>2202</v>
      </c>
      <c r="P237" s="24" t="s">
        <v>2203</v>
      </c>
      <c r="Q237" s="24" t="s">
        <v>2204</v>
      </c>
      <c r="R237" s="24"/>
      <c r="S237" s="24" t="s">
        <v>2171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140</v>
      </c>
      <c r="Y237" s="23" t="s">
        <v>140</v>
      </c>
      <c r="Z237" s="23" t="s">
        <v>140</v>
      </c>
      <c r="AA237" s="23" t="s">
        <v>140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</row>
    <row r="238" customFormat="false" ht="25.35" hidden="false" customHeight="false" outlineLevel="0" collapsed="false">
      <c r="A238" s="21" t="n">
        <v>237</v>
      </c>
      <c r="B238" s="18" t="s">
        <v>2205</v>
      </c>
      <c r="C238" s="23" t="n">
        <v>2</v>
      </c>
      <c r="D238" s="23" t="s">
        <v>126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2163</v>
      </c>
      <c r="H238" s="18" t="s">
        <v>2083</v>
      </c>
      <c r="I238" s="21" t="s">
        <v>1972</v>
      </c>
      <c r="J238" s="22" t="s">
        <v>2206</v>
      </c>
      <c r="K238" s="23" t="s">
        <v>131</v>
      </c>
      <c r="L238" s="24" t="s">
        <v>2207</v>
      </c>
      <c r="M238" s="24" t="s">
        <v>2208</v>
      </c>
      <c r="N238" s="23" t="s">
        <v>2209</v>
      </c>
      <c r="O238" s="24" t="s">
        <v>2210</v>
      </c>
      <c r="P238" s="24" t="s">
        <v>2211</v>
      </c>
      <c r="Q238" s="24" t="s">
        <v>2212</v>
      </c>
      <c r="R238" s="25" t="s">
        <v>2213</v>
      </c>
      <c r="S238" s="24" t="s">
        <v>2171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140</v>
      </c>
      <c r="Y238" s="23" t="s">
        <v>140</v>
      </c>
      <c r="Z238" s="23" t="s">
        <v>140</v>
      </c>
      <c r="AA238" s="23" t="s">
        <v>140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</row>
    <row r="239" customFormat="false" ht="15" hidden="false" customHeight="false" outlineLevel="0" collapsed="false">
      <c r="A239" s="21" t="n">
        <v>238</v>
      </c>
      <c r="B239" s="18" t="s">
        <v>2214</v>
      </c>
      <c r="C239" s="23" t="n">
        <v>2</v>
      </c>
      <c r="D239" s="23" t="s">
        <v>126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2163</v>
      </c>
      <c r="H239" s="18" t="s">
        <v>2083</v>
      </c>
      <c r="I239" s="21" t="s">
        <v>2215</v>
      </c>
      <c r="J239" s="22" t="s">
        <v>2216</v>
      </c>
      <c r="K239" s="23" t="s">
        <v>131</v>
      </c>
      <c r="L239" s="24" t="s">
        <v>2217</v>
      </c>
      <c r="M239" s="24" t="s">
        <v>2218</v>
      </c>
      <c r="N239" s="23" t="s">
        <v>2219</v>
      </c>
      <c r="O239" s="24" t="s">
        <v>2220</v>
      </c>
      <c r="P239" s="24" t="s">
        <v>2221</v>
      </c>
      <c r="Q239" s="24" t="s">
        <v>2222</v>
      </c>
      <c r="R239" s="24"/>
      <c r="S239" s="24" t="s">
        <v>2171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140</v>
      </c>
      <c r="Y239" s="23" t="s">
        <v>140</v>
      </c>
      <c r="Z239" s="23" t="s">
        <v>140</v>
      </c>
      <c r="AA239" s="23" t="s">
        <v>140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</row>
    <row r="240" customFormat="false" ht="15" hidden="false" customHeight="false" outlineLevel="0" collapsed="false">
      <c r="A240" s="21" t="n">
        <v>239</v>
      </c>
      <c r="B240" s="18" t="s">
        <v>2223</v>
      </c>
      <c r="C240" s="23" t="n">
        <v>2</v>
      </c>
      <c r="D240" s="23" t="s">
        <v>126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2163</v>
      </c>
      <c r="H240" s="18" t="s">
        <v>2083</v>
      </c>
      <c r="I240" s="21" t="s">
        <v>2215</v>
      </c>
      <c r="J240" s="22" t="s">
        <v>2224</v>
      </c>
      <c r="K240" s="23" t="s">
        <v>131</v>
      </c>
      <c r="L240" s="24" t="s">
        <v>2225</v>
      </c>
      <c r="M240" s="24" t="s">
        <v>2226</v>
      </c>
      <c r="N240" s="23" t="s">
        <v>2227</v>
      </c>
      <c r="O240" s="24" t="s">
        <v>2228</v>
      </c>
      <c r="P240" s="24" t="s">
        <v>2229</v>
      </c>
      <c r="Q240" s="24" t="s">
        <v>2230</v>
      </c>
      <c r="R240" s="24"/>
      <c r="S240" s="24" t="s">
        <v>2171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140</v>
      </c>
      <c r="Y240" s="23" t="s">
        <v>140</v>
      </c>
      <c r="Z240" s="23" t="s">
        <v>140</v>
      </c>
      <c r="AA240" s="23" t="s">
        <v>140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</row>
    <row r="241" customFormat="false" ht="26.85" hidden="false" customHeight="false" outlineLevel="0" collapsed="false">
      <c r="A241" s="21" t="n">
        <v>240</v>
      </c>
      <c r="B241" s="18" t="s">
        <v>2231</v>
      </c>
      <c r="C241" s="23" t="n">
        <v>2</v>
      </c>
      <c r="D241" s="23" t="s">
        <v>126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2232</v>
      </c>
      <c r="H241" s="18" t="s">
        <v>2233</v>
      </c>
      <c r="I241" s="21" t="s">
        <v>2215</v>
      </c>
      <c r="J241" s="22" t="s">
        <v>2234</v>
      </c>
      <c r="K241" s="23" t="s">
        <v>131</v>
      </c>
      <c r="L241" s="24" t="s">
        <v>2235</v>
      </c>
      <c r="M241" s="24" t="s">
        <v>2236</v>
      </c>
      <c r="N241" s="23" t="s">
        <v>2237</v>
      </c>
      <c r="O241" s="24" t="s">
        <v>2238</v>
      </c>
      <c r="P241" s="24" t="s">
        <v>2239</v>
      </c>
      <c r="Q241" s="24" t="s">
        <v>2240</v>
      </c>
      <c r="R241" s="25" t="s">
        <v>1858</v>
      </c>
      <c r="S241" s="24" t="s">
        <v>2171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140</v>
      </c>
      <c r="Y241" s="23" t="s">
        <v>140</v>
      </c>
      <c r="Z241" s="23" t="s">
        <v>140</v>
      </c>
      <c r="AA241" s="23" t="s">
        <v>140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</row>
    <row r="242" customFormat="false" ht="26.85" hidden="false" customHeight="false" outlineLevel="0" collapsed="false">
      <c r="A242" s="21" t="n">
        <v>241</v>
      </c>
      <c r="B242" s="18" t="s">
        <v>2241</v>
      </c>
      <c r="C242" s="23" t="n">
        <v>2</v>
      </c>
      <c r="D242" s="23" t="s">
        <v>126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2232</v>
      </c>
      <c r="H242" s="18" t="s">
        <v>2233</v>
      </c>
      <c r="I242" s="21" t="s">
        <v>2215</v>
      </c>
      <c r="J242" s="22" t="s">
        <v>2242</v>
      </c>
      <c r="K242" s="23" t="s">
        <v>131</v>
      </c>
      <c r="L242" s="24" t="s">
        <v>2243</v>
      </c>
      <c r="M242" s="24" t="s">
        <v>2244</v>
      </c>
      <c r="N242" s="23" t="s">
        <v>2245</v>
      </c>
      <c r="O242" s="24" t="s">
        <v>2246</v>
      </c>
      <c r="P242" s="24" t="s">
        <v>2247</v>
      </c>
      <c r="Q242" s="24" t="s">
        <v>2230</v>
      </c>
      <c r="R242" s="25" t="s">
        <v>2248</v>
      </c>
      <c r="S242" s="24" t="s">
        <v>2171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140</v>
      </c>
      <c r="Y242" s="23" t="s">
        <v>140</v>
      </c>
      <c r="Z242" s="23" t="s">
        <v>140</v>
      </c>
      <c r="AA242" s="23" t="s">
        <v>140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</row>
    <row r="243" customFormat="false" ht="26.85" hidden="false" customHeight="false" outlineLevel="0" collapsed="false">
      <c r="A243" s="21" t="n">
        <v>242</v>
      </c>
      <c r="B243" s="18" t="s">
        <v>2249</v>
      </c>
      <c r="C243" s="23" t="n">
        <v>2</v>
      </c>
      <c r="D243" s="23" t="s">
        <v>126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2232</v>
      </c>
      <c r="H243" s="18" t="s">
        <v>2233</v>
      </c>
      <c r="I243" s="21" t="s">
        <v>2215</v>
      </c>
      <c r="J243" s="22" t="s">
        <v>2250</v>
      </c>
      <c r="K243" s="23" t="s">
        <v>131</v>
      </c>
      <c r="L243" s="24" t="s">
        <v>2251</v>
      </c>
      <c r="M243" s="24" t="s">
        <v>2252</v>
      </c>
      <c r="N243" s="23" t="s">
        <v>2253</v>
      </c>
      <c r="O243" s="24" t="s">
        <v>2254</v>
      </c>
      <c r="P243" s="24" t="s">
        <v>2255</v>
      </c>
      <c r="Q243" s="24" t="s">
        <v>2256</v>
      </c>
      <c r="R243" s="24"/>
      <c r="S243" s="24" t="s">
        <v>2171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140</v>
      </c>
      <c r="Y243" s="23" t="s">
        <v>140</v>
      </c>
      <c r="Z243" s="23" t="s">
        <v>140</v>
      </c>
      <c r="AA243" s="23" t="s">
        <v>140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</row>
    <row r="244" customFormat="false" ht="52.2" hidden="false" customHeight="false" outlineLevel="0" collapsed="false">
      <c r="A244" s="21" t="n">
        <v>243</v>
      </c>
      <c r="B244" s="18" t="s">
        <v>2257</v>
      </c>
      <c r="C244" s="20" t="n">
        <v>1</v>
      </c>
      <c r="D244" s="20" t="s">
        <v>126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2232</v>
      </c>
      <c r="H244" s="18" t="s">
        <v>2075</v>
      </c>
      <c r="I244" s="21" t="s">
        <v>2215</v>
      </c>
      <c r="J244" s="22" t="s">
        <v>2258</v>
      </c>
      <c r="K244" s="23" t="s">
        <v>131</v>
      </c>
      <c r="L244" s="24" t="s">
        <v>2259</v>
      </c>
      <c r="M244" s="24" t="s">
        <v>2260</v>
      </c>
      <c r="N244" s="23" t="s">
        <v>2261</v>
      </c>
      <c r="O244" s="24" t="s">
        <v>2262</v>
      </c>
      <c r="P244" s="24" t="s">
        <v>2263</v>
      </c>
      <c r="Q244" s="24" t="s">
        <v>2264</v>
      </c>
      <c r="R244" s="25" t="s">
        <v>2265</v>
      </c>
      <c r="S244" s="28" t="s">
        <v>2266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140</v>
      </c>
      <c r="Y244" s="23" t="s">
        <v>140</v>
      </c>
      <c r="Z244" s="23" t="s">
        <v>140</v>
      </c>
      <c r="AA244" s="23" t="s">
        <v>140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</row>
    <row r="245" customFormat="false" ht="26.85" hidden="false" customHeight="false" outlineLevel="0" collapsed="false">
      <c r="A245" s="21" t="n">
        <v>244</v>
      </c>
      <c r="B245" s="18" t="s">
        <v>2267</v>
      </c>
      <c r="C245" s="20" t="n">
        <v>1</v>
      </c>
      <c r="D245" s="20" t="s">
        <v>126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2232</v>
      </c>
      <c r="H245" s="18" t="s">
        <v>2075</v>
      </c>
      <c r="I245" s="21" t="s">
        <v>2215</v>
      </c>
      <c r="J245" s="22" t="s">
        <v>2268</v>
      </c>
      <c r="K245" s="23" t="s">
        <v>131</v>
      </c>
      <c r="L245" s="24" t="s">
        <v>2269</v>
      </c>
      <c r="M245" s="24" t="s">
        <v>2270</v>
      </c>
      <c r="N245" s="23" t="s">
        <v>2271</v>
      </c>
      <c r="O245" s="24" t="s">
        <v>2272</v>
      </c>
      <c r="P245" s="24" t="s">
        <v>2273</v>
      </c>
      <c r="Q245" s="24" t="s">
        <v>2274</v>
      </c>
      <c r="R245" s="25" t="s">
        <v>2275</v>
      </c>
      <c r="S245" s="24" t="s">
        <v>139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140</v>
      </c>
      <c r="Y245" s="23" t="s">
        <v>140</v>
      </c>
      <c r="Z245" s="23" t="s">
        <v>140</v>
      </c>
      <c r="AA245" s="23" t="s">
        <v>140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</row>
    <row r="246" customFormat="false" ht="26.85" hidden="false" customHeight="false" outlineLevel="0" collapsed="false">
      <c r="A246" s="21" t="n">
        <v>245</v>
      </c>
      <c r="B246" s="18" t="s">
        <v>2276</v>
      </c>
      <c r="C246" s="23" t="n">
        <v>2</v>
      </c>
      <c r="D246" s="23" t="s">
        <v>126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2232</v>
      </c>
      <c r="H246" s="18" t="s">
        <v>2233</v>
      </c>
      <c r="I246" s="21" t="s">
        <v>2215</v>
      </c>
      <c r="J246" s="22" t="s">
        <v>2277</v>
      </c>
      <c r="K246" s="23" t="s">
        <v>131</v>
      </c>
      <c r="L246" s="24" t="s">
        <v>2278</v>
      </c>
      <c r="M246" s="24" t="s">
        <v>2279</v>
      </c>
      <c r="N246" s="23" t="s">
        <v>2280</v>
      </c>
      <c r="O246" s="24" t="s">
        <v>2281</v>
      </c>
      <c r="P246" s="24" t="s">
        <v>2282</v>
      </c>
      <c r="Q246" s="24" t="s">
        <v>2283</v>
      </c>
      <c r="R246" s="24"/>
      <c r="S246" s="24" t="s">
        <v>2284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140</v>
      </c>
      <c r="Y246" s="23" t="s">
        <v>140</v>
      </c>
      <c r="Z246" s="23" t="s">
        <v>140</v>
      </c>
      <c r="AA246" s="23" t="s">
        <v>140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</row>
    <row r="247" customFormat="false" ht="26.85" hidden="false" customHeight="false" outlineLevel="0" collapsed="false">
      <c r="A247" s="21" t="n">
        <v>246</v>
      </c>
      <c r="B247" s="18" t="s">
        <v>2285</v>
      </c>
      <c r="C247" s="20" t="n">
        <v>1</v>
      </c>
      <c r="D247" s="20" t="s">
        <v>126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2232</v>
      </c>
      <c r="H247" s="18" t="s">
        <v>2075</v>
      </c>
      <c r="I247" s="21" t="s">
        <v>2215</v>
      </c>
      <c r="J247" s="22" t="s">
        <v>2286</v>
      </c>
      <c r="K247" s="23" t="s">
        <v>131</v>
      </c>
      <c r="L247" s="24" t="s">
        <v>2287</v>
      </c>
      <c r="M247" s="24" t="s">
        <v>2288</v>
      </c>
      <c r="N247" s="23" t="s">
        <v>2289</v>
      </c>
      <c r="O247" s="24" t="s">
        <v>2290</v>
      </c>
      <c r="P247" s="24" t="s">
        <v>2291</v>
      </c>
      <c r="Q247" s="24" t="s">
        <v>2292</v>
      </c>
      <c r="R247" s="25" t="s">
        <v>2293</v>
      </c>
      <c r="S247" s="28" t="s">
        <v>2294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140</v>
      </c>
      <c r="Y247" s="23" t="s">
        <v>140</v>
      </c>
      <c r="Z247" s="23" t="s">
        <v>140</v>
      </c>
      <c r="AA247" s="23" t="s">
        <v>140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</row>
    <row r="248" customFormat="false" ht="26.85" hidden="false" customHeight="false" outlineLevel="0" collapsed="false">
      <c r="A248" s="21" t="n">
        <v>247</v>
      </c>
      <c r="B248" s="18" t="s">
        <v>2295</v>
      </c>
      <c r="C248" s="23" t="n">
        <v>2</v>
      </c>
      <c r="D248" s="23" t="s">
        <v>126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2232</v>
      </c>
      <c r="H248" s="18" t="s">
        <v>2233</v>
      </c>
      <c r="I248" s="21" t="s">
        <v>2215</v>
      </c>
      <c r="J248" s="22" t="s">
        <v>2296</v>
      </c>
      <c r="K248" s="23" t="s">
        <v>131</v>
      </c>
      <c r="L248" s="24" t="s">
        <v>2297</v>
      </c>
      <c r="M248" s="24" t="s">
        <v>2298</v>
      </c>
      <c r="N248" s="23" t="s">
        <v>2299</v>
      </c>
      <c r="O248" s="24" t="s">
        <v>2300</v>
      </c>
      <c r="P248" s="24" t="s">
        <v>2301</v>
      </c>
      <c r="Q248" s="24" t="s">
        <v>2302</v>
      </c>
      <c r="R248" s="24"/>
      <c r="S248" s="24" t="s">
        <v>2303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140</v>
      </c>
      <c r="Y248" s="23" t="s">
        <v>140</v>
      </c>
      <c r="Z248" s="23" t="s">
        <v>140</v>
      </c>
      <c r="AA248" s="23" t="s">
        <v>140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</row>
    <row r="249" customFormat="false" ht="26.85" hidden="false" customHeight="false" outlineLevel="0" collapsed="false">
      <c r="A249" s="21" t="n">
        <v>248</v>
      </c>
      <c r="B249" s="18" t="s">
        <v>2304</v>
      </c>
      <c r="C249" s="20" t="n">
        <v>1</v>
      </c>
      <c r="D249" s="20" t="s">
        <v>126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2305</v>
      </c>
      <c r="H249" s="18" t="s">
        <v>2306</v>
      </c>
      <c r="I249" s="21" t="s">
        <v>2215</v>
      </c>
      <c r="J249" s="22" t="s">
        <v>2307</v>
      </c>
      <c r="K249" s="23" t="s">
        <v>131</v>
      </c>
      <c r="L249" s="24" t="s">
        <v>2308</v>
      </c>
      <c r="M249" s="24" t="s">
        <v>2309</v>
      </c>
      <c r="N249" s="23" t="s">
        <v>2310</v>
      </c>
      <c r="O249" s="24" t="s">
        <v>2311</v>
      </c>
      <c r="P249" s="24" t="s">
        <v>2312</v>
      </c>
      <c r="Q249" s="24" t="s">
        <v>2313</v>
      </c>
      <c r="R249" s="25" t="s">
        <v>2314</v>
      </c>
      <c r="S249" s="28" t="s">
        <v>2315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140</v>
      </c>
      <c r="Y249" s="23" t="s">
        <v>140</v>
      </c>
      <c r="Z249" s="23" t="s">
        <v>140</v>
      </c>
      <c r="AA249" s="23" t="s">
        <v>140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</row>
    <row r="250" customFormat="false" ht="26.85" hidden="false" customHeight="false" outlineLevel="0" collapsed="false">
      <c r="A250" s="21" t="n">
        <v>249</v>
      </c>
      <c r="B250" s="18" t="s">
        <v>2316</v>
      </c>
      <c r="C250" s="20" t="n">
        <v>1</v>
      </c>
      <c r="D250" s="20" t="s">
        <v>126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2305</v>
      </c>
      <c r="H250" s="18" t="s">
        <v>2306</v>
      </c>
      <c r="I250" s="21" t="s">
        <v>2215</v>
      </c>
      <c r="J250" s="22" t="s">
        <v>2317</v>
      </c>
      <c r="K250" s="23" t="s">
        <v>131</v>
      </c>
      <c r="L250" s="24" t="s">
        <v>2318</v>
      </c>
      <c r="M250" s="24" t="s">
        <v>2319</v>
      </c>
      <c r="N250" s="23" t="s">
        <v>2320</v>
      </c>
      <c r="O250" s="24" t="s">
        <v>2321</v>
      </c>
      <c r="P250" s="24" t="s">
        <v>2322</v>
      </c>
      <c r="Q250" s="24" t="s">
        <v>2274</v>
      </c>
      <c r="R250" s="25" t="s">
        <v>2323</v>
      </c>
      <c r="S250" s="24" t="s">
        <v>139</v>
      </c>
      <c r="T250" s="24" t="str">
        <f aca="false">"["&amp;안내!$C$5&amp;" "&amp;F250&amp;"] "&amp;L250&amp;" | "&amp;J250</f>
        <v>[1분 성경 구약 #106] 당신이 그 사람이라 | 삼하 12:1-25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140</v>
      </c>
      <c r="Y250" s="23" t="s">
        <v>140</v>
      </c>
      <c r="Z250" s="23" t="s">
        <v>140</v>
      </c>
      <c r="AA250" s="23" t="s">
        <v>140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</row>
    <row r="251" customFormat="false" ht="26.85" hidden="false" customHeight="false" outlineLevel="0" collapsed="false">
      <c r="A251" s="21" t="n">
        <v>250</v>
      </c>
      <c r="B251" s="18" t="s">
        <v>2324</v>
      </c>
      <c r="C251" s="23" t="n">
        <v>2</v>
      </c>
      <c r="D251" s="23" t="s">
        <v>126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2305</v>
      </c>
      <c r="H251" s="18" t="s">
        <v>2233</v>
      </c>
      <c r="I251" s="21" t="s">
        <v>2215</v>
      </c>
      <c r="J251" s="22" t="s">
        <v>2325</v>
      </c>
      <c r="K251" s="23" t="s">
        <v>131</v>
      </c>
      <c r="L251" s="24" t="s">
        <v>2326</v>
      </c>
      <c r="M251" s="24" t="s">
        <v>2327</v>
      </c>
      <c r="N251" s="23" t="s">
        <v>2328</v>
      </c>
      <c r="O251" s="24" t="s">
        <v>2329</v>
      </c>
      <c r="P251" s="24" t="s">
        <v>2330</v>
      </c>
      <c r="Q251" s="24" t="s">
        <v>2274</v>
      </c>
      <c r="R251" s="25" t="s">
        <v>2331</v>
      </c>
      <c r="S251" s="24" t="s">
        <v>2332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140</v>
      </c>
      <c r="Y251" s="23" t="s">
        <v>140</v>
      </c>
      <c r="Z251" s="23" t="s">
        <v>140</v>
      </c>
      <c r="AA251" s="23" t="s">
        <v>140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</row>
    <row r="252" customFormat="false" ht="26.85" hidden="false" customHeight="false" outlineLevel="0" collapsed="false">
      <c r="A252" s="21" t="n">
        <v>251</v>
      </c>
      <c r="B252" s="18" t="s">
        <v>2333</v>
      </c>
      <c r="C252" s="23" t="n">
        <v>2</v>
      </c>
      <c r="D252" s="23" t="s">
        <v>126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2305</v>
      </c>
      <c r="H252" s="18" t="s">
        <v>2233</v>
      </c>
      <c r="I252" s="21" t="s">
        <v>2215</v>
      </c>
      <c r="J252" s="22" t="s">
        <v>2334</v>
      </c>
      <c r="K252" s="23" t="s">
        <v>131</v>
      </c>
      <c r="L252" s="24" t="s">
        <v>2335</v>
      </c>
      <c r="M252" s="24" t="s">
        <v>2336</v>
      </c>
      <c r="N252" s="23" t="s">
        <v>2337</v>
      </c>
      <c r="O252" s="24" t="s">
        <v>2338</v>
      </c>
      <c r="P252" s="24" t="s">
        <v>2339</v>
      </c>
      <c r="Q252" s="24" t="s">
        <v>2340</v>
      </c>
      <c r="R252" s="24"/>
      <c r="S252" s="24" t="s">
        <v>2332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140</v>
      </c>
      <c r="Y252" s="23" t="s">
        <v>140</v>
      </c>
      <c r="Z252" s="23" t="s">
        <v>140</v>
      </c>
      <c r="AA252" s="23" t="s">
        <v>140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</row>
    <row r="253" customFormat="false" ht="39.55" hidden="false" customHeight="false" outlineLevel="0" collapsed="false">
      <c r="A253" s="21" t="n">
        <v>252</v>
      </c>
      <c r="B253" s="18" t="s">
        <v>2341</v>
      </c>
      <c r="C253" s="20" t="n">
        <v>1</v>
      </c>
      <c r="D253" s="20" t="s">
        <v>126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2305</v>
      </c>
      <c r="H253" s="18" t="s">
        <v>2306</v>
      </c>
      <c r="I253" s="21" t="s">
        <v>2215</v>
      </c>
      <c r="J253" s="22" t="s">
        <v>2342</v>
      </c>
      <c r="K253" s="23" t="s">
        <v>131</v>
      </c>
      <c r="L253" s="24" t="s">
        <v>2343</v>
      </c>
      <c r="M253" s="24" t="s">
        <v>2344</v>
      </c>
      <c r="N253" s="23" t="s">
        <v>2345</v>
      </c>
      <c r="O253" s="24" t="s">
        <v>2346</v>
      </c>
      <c r="P253" s="24" t="s">
        <v>2347</v>
      </c>
      <c r="Q253" s="24" t="s">
        <v>2348</v>
      </c>
      <c r="R253" s="24"/>
      <c r="S253" s="28" t="s">
        <v>2349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140</v>
      </c>
      <c r="Y253" s="23" t="s">
        <v>140</v>
      </c>
      <c r="Z253" s="23" t="s">
        <v>140</v>
      </c>
      <c r="AA253" s="23" t="s">
        <v>140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</row>
    <row r="254" customFormat="false" ht="26.85" hidden="false" customHeight="false" outlineLevel="0" collapsed="false">
      <c r="A254" s="21" t="n">
        <v>253</v>
      </c>
      <c r="B254" s="18" t="s">
        <v>2350</v>
      </c>
      <c r="C254" s="23" t="n">
        <v>2</v>
      </c>
      <c r="D254" s="23" t="s">
        <v>126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2305</v>
      </c>
      <c r="H254" s="18" t="s">
        <v>2233</v>
      </c>
      <c r="I254" s="21" t="s">
        <v>2215</v>
      </c>
      <c r="J254" s="22" t="s">
        <v>2351</v>
      </c>
      <c r="K254" s="23" t="s">
        <v>131</v>
      </c>
      <c r="L254" s="24" t="s">
        <v>2352</v>
      </c>
      <c r="M254" s="24" t="s">
        <v>2353</v>
      </c>
      <c r="N254" s="23" t="s">
        <v>2354</v>
      </c>
      <c r="O254" s="24" t="s">
        <v>2355</v>
      </c>
      <c r="P254" s="24" t="s">
        <v>2356</v>
      </c>
      <c r="Q254" s="24" t="s">
        <v>2357</v>
      </c>
      <c r="R254" s="24"/>
      <c r="S254" s="24" t="s">
        <v>2358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140</v>
      </c>
      <c r="Y254" s="23" t="s">
        <v>140</v>
      </c>
      <c r="Z254" s="23" t="s">
        <v>140</v>
      </c>
      <c r="AA254" s="23" t="s">
        <v>140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</row>
    <row r="255" customFormat="false" ht="26.85" hidden="false" customHeight="false" outlineLevel="0" collapsed="false">
      <c r="A255" s="21" t="n">
        <v>254</v>
      </c>
      <c r="B255" s="18" t="s">
        <v>2359</v>
      </c>
      <c r="C255" s="23" t="n">
        <v>2</v>
      </c>
      <c r="D255" s="23" t="s">
        <v>126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2305</v>
      </c>
      <c r="H255" s="18" t="s">
        <v>2233</v>
      </c>
      <c r="I255" s="21" t="s">
        <v>2215</v>
      </c>
      <c r="J255" s="22" t="s">
        <v>2360</v>
      </c>
      <c r="K255" s="23" t="s">
        <v>131</v>
      </c>
      <c r="L255" s="24" t="s">
        <v>2361</v>
      </c>
      <c r="M255" s="24" t="s">
        <v>2362</v>
      </c>
      <c r="N255" s="23" t="s">
        <v>2363</v>
      </c>
      <c r="O255" s="24" t="s">
        <v>2364</v>
      </c>
      <c r="P255" s="24" t="s">
        <v>2365</v>
      </c>
      <c r="Q255" s="24" t="s">
        <v>2366</v>
      </c>
      <c r="R255" s="25" t="s">
        <v>2367</v>
      </c>
      <c r="S255" s="24" t="s">
        <v>2358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140</v>
      </c>
      <c r="Y255" s="23" t="s">
        <v>140</v>
      </c>
      <c r="Z255" s="23" t="s">
        <v>140</v>
      </c>
      <c r="AA255" s="23" t="s">
        <v>140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</row>
    <row r="256" customFormat="false" ht="39.55" hidden="false" customHeight="false" outlineLevel="0" collapsed="false">
      <c r="A256" s="21" t="n">
        <v>255</v>
      </c>
      <c r="B256" s="18" t="s">
        <v>2368</v>
      </c>
      <c r="C256" s="20" t="n">
        <v>1</v>
      </c>
      <c r="D256" s="20" t="s">
        <v>126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2305</v>
      </c>
      <c r="H256" s="18" t="s">
        <v>2306</v>
      </c>
      <c r="I256" s="21" t="s">
        <v>2215</v>
      </c>
      <c r="J256" s="22" t="s">
        <v>2369</v>
      </c>
      <c r="K256" s="23" t="s">
        <v>131</v>
      </c>
      <c r="L256" s="24" t="s">
        <v>2370</v>
      </c>
      <c r="M256" s="24" t="s">
        <v>2371</v>
      </c>
      <c r="N256" s="23" t="s">
        <v>2372</v>
      </c>
      <c r="O256" s="24" t="s">
        <v>2373</v>
      </c>
      <c r="P256" s="24" t="s">
        <v>2374</v>
      </c>
      <c r="Q256" s="24" t="s">
        <v>2375</v>
      </c>
      <c r="R256" s="25" t="s">
        <v>2376</v>
      </c>
      <c r="S256" s="28" t="s">
        <v>2377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140</v>
      </c>
      <c r="Y256" s="23" t="s">
        <v>140</v>
      </c>
      <c r="Z256" s="23" t="s">
        <v>140</v>
      </c>
      <c r="AA256" s="23" t="s">
        <v>140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</row>
    <row r="257" customFormat="false" ht="26.85" hidden="false" customHeight="false" outlineLevel="0" collapsed="false">
      <c r="A257" s="21" t="n">
        <v>256</v>
      </c>
      <c r="B257" s="18" t="s">
        <v>2378</v>
      </c>
      <c r="C257" s="23" t="n">
        <v>2</v>
      </c>
      <c r="D257" s="23" t="s">
        <v>126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2305</v>
      </c>
      <c r="H257" s="18" t="s">
        <v>2233</v>
      </c>
      <c r="I257" s="21" t="s">
        <v>2215</v>
      </c>
      <c r="J257" s="22" t="s">
        <v>2379</v>
      </c>
      <c r="K257" s="23" t="s">
        <v>131</v>
      </c>
      <c r="L257" s="24" t="s">
        <v>2380</v>
      </c>
      <c r="M257" s="24" t="s">
        <v>2381</v>
      </c>
      <c r="N257" s="23" t="s">
        <v>2382</v>
      </c>
      <c r="O257" s="24" t="s">
        <v>2383</v>
      </c>
      <c r="P257" s="24" t="s">
        <v>2384</v>
      </c>
      <c r="Q257" s="24" t="s">
        <v>2385</v>
      </c>
      <c r="R257" s="24"/>
      <c r="S257" s="24" t="s">
        <v>2386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140</v>
      </c>
      <c r="Y257" s="23" t="s">
        <v>140</v>
      </c>
      <c r="Z257" s="23" t="s">
        <v>140</v>
      </c>
      <c r="AA257" s="23" t="s">
        <v>140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</row>
    <row r="258" customFormat="false" ht="26.85" hidden="false" customHeight="false" outlineLevel="0" collapsed="false">
      <c r="A258" s="21" t="n">
        <v>257</v>
      </c>
      <c r="B258" s="18" t="s">
        <v>2387</v>
      </c>
      <c r="C258" s="23" t="n">
        <v>2</v>
      </c>
      <c r="D258" s="23" t="s">
        <v>126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2305</v>
      </c>
      <c r="H258" s="18" t="s">
        <v>2233</v>
      </c>
      <c r="I258" s="21" t="s">
        <v>2215</v>
      </c>
      <c r="J258" s="22" t="s">
        <v>2388</v>
      </c>
      <c r="K258" s="23" t="s">
        <v>131</v>
      </c>
      <c r="L258" s="24" t="s">
        <v>2389</v>
      </c>
      <c r="M258" s="24" t="s">
        <v>2390</v>
      </c>
      <c r="N258" s="23" t="s">
        <v>2391</v>
      </c>
      <c r="O258" s="24" t="s">
        <v>2392</v>
      </c>
      <c r="P258" s="24" t="s">
        <v>2393</v>
      </c>
      <c r="Q258" s="24" t="s">
        <v>2340</v>
      </c>
      <c r="R258" s="27" t="s">
        <v>2394</v>
      </c>
      <c r="S258" s="24" t="s">
        <v>2386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140</v>
      </c>
      <c r="Y258" s="23" t="s">
        <v>140</v>
      </c>
      <c r="Z258" s="23" t="s">
        <v>140</v>
      </c>
      <c r="AA258" s="23" t="s">
        <v>140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</row>
    <row r="259" customFormat="false" ht="26.85" hidden="false" customHeight="false" outlineLevel="0" collapsed="false">
      <c r="A259" s="21" t="n">
        <v>258</v>
      </c>
      <c r="B259" s="18" t="s">
        <v>2395</v>
      </c>
      <c r="C259" s="23" t="n">
        <v>2</v>
      </c>
      <c r="D259" s="23" t="s">
        <v>126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2305</v>
      </c>
      <c r="H259" s="18" t="s">
        <v>2233</v>
      </c>
      <c r="I259" s="21" t="s">
        <v>2215</v>
      </c>
      <c r="J259" s="22" t="s">
        <v>2396</v>
      </c>
      <c r="K259" s="23" t="s">
        <v>131</v>
      </c>
      <c r="L259" s="24" t="s">
        <v>2397</v>
      </c>
      <c r="M259" s="24" t="s">
        <v>2398</v>
      </c>
      <c r="N259" s="23" t="s">
        <v>2399</v>
      </c>
      <c r="O259" s="24" t="s">
        <v>2400</v>
      </c>
      <c r="P259" s="24" t="s">
        <v>2401</v>
      </c>
      <c r="Q259" s="24" t="s">
        <v>2402</v>
      </c>
      <c r="R259" s="25" t="s">
        <v>2403</v>
      </c>
      <c r="S259" s="24" t="s">
        <v>2386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140</v>
      </c>
      <c r="Y259" s="23" t="s">
        <v>140</v>
      </c>
      <c r="Z259" s="23" t="s">
        <v>140</v>
      </c>
      <c r="AA259" s="23" t="s">
        <v>140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</row>
    <row r="260" customFormat="false" ht="26.85" hidden="false" customHeight="false" outlineLevel="0" collapsed="false">
      <c r="A260" s="21" t="n">
        <v>259</v>
      </c>
      <c r="B260" s="18" t="s">
        <v>2404</v>
      </c>
      <c r="C260" s="23" t="n">
        <v>2</v>
      </c>
      <c r="D260" s="23" t="s">
        <v>126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2405</v>
      </c>
      <c r="H260" s="18" t="s">
        <v>2406</v>
      </c>
      <c r="I260" s="21" t="s">
        <v>2407</v>
      </c>
      <c r="J260" s="22" t="s">
        <v>2408</v>
      </c>
      <c r="K260" s="23" t="s">
        <v>131</v>
      </c>
      <c r="L260" s="24" t="s">
        <v>2409</v>
      </c>
      <c r="M260" s="24" t="s">
        <v>2410</v>
      </c>
      <c r="N260" s="23" t="s">
        <v>2411</v>
      </c>
      <c r="O260" s="24" t="s">
        <v>2412</v>
      </c>
      <c r="P260" s="24" t="s">
        <v>2413</v>
      </c>
      <c r="Q260" s="24" t="s">
        <v>2414</v>
      </c>
      <c r="R260" s="24"/>
      <c r="S260" s="24" t="s">
        <v>2386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140</v>
      </c>
      <c r="Y260" s="23" t="s">
        <v>140</v>
      </c>
      <c r="Z260" s="23" t="s">
        <v>140</v>
      </c>
      <c r="AA260" s="23" t="s">
        <v>140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</row>
    <row r="261" customFormat="false" ht="26.85" hidden="false" customHeight="false" outlineLevel="0" collapsed="false">
      <c r="A261" s="21" t="n">
        <v>260</v>
      </c>
      <c r="B261" s="18" t="s">
        <v>2415</v>
      </c>
      <c r="C261" s="23" t="n">
        <v>2</v>
      </c>
      <c r="D261" s="23" t="s">
        <v>126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2405</v>
      </c>
      <c r="H261" s="18" t="s">
        <v>2406</v>
      </c>
      <c r="I261" s="21" t="s">
        <v>2407</v>
      </c>
      <c r="J261" s="22" t="s">
        <v>2416</v>
      </c>
      <c r="K261" s="23" t="s">
        <v>131</v>
      </c>
      <c r="L261" s="24" t="s">
        <v>2417</v>
      </c>
      <c r="M261" s="24" t="s">
        <v>2418</v>
      </c>
      <c r="N261" s="23" t="s">
        <v>2419</v>
      </c>
      <c r="O261" s="24" t="s">
        <v>2420</v>
      </c>
      <c r="P261" s="24" t="s">
        <v>2421</v>
      </c>
      <c r="Q261" s="24" t="s">
        <v>2422</v>
      </c>
      <c r="R261" s="25" t="s">
        <v>714</v>
      </c>
      <c r="S261" s="24" t="s">
        <v>2386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140</v>
      </c>
      <c r="Y261" s="23" t="s">
        <v>140</v>
      </c>
      <c r="Z261" s="23" t="s">
        <v>140</v>
      </c>
      <c r="AA261" s="23" t="s">
        <v>140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</row>
    <row r="262" customFormat="false" ht="52.2" hidden="false" customHeight="false" outlineLevel="0" collapsed="false">
      <c r="A262" s="21" t="n">
        <v>261</v>
      </c>
      <c r="B262" s="18" t="s">
        <v>2423</v>
      </c>
      <c r="C262" s="20" t="n">
        <v>1</v>
      </c>
      <c r="D262" s="20" t="s">
        <v>126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2405</v>
      </c>
      <c r="H262" s="18" t="s">
        <v>2306</v>
      </c>
      <c r="I262" s="21" t="s">
        <v>2407</v>
      </c>
      <c r="J262" s="22" t="s">
        <v>2424</v>
      </c>
      <c r="K262" s="23" t="s">
        <v>131</v>
      </c>
      <c r="L262" s="24" t="s">
        <v>2425</v>
      </c>
      <c r="M262" s="24" t="s">
        <v>2426</v>
      </c>
      <c r="N262" s="23" t="s">
        <v>2427</v>
      </c>
      <c r="O262" s="24" t="s">
        <v>2428</v>
      </c>
      <c r="P262" s="24" t="s">
        <v>2429</v>
      </c>
      <c r="Q262" s="24" t="s">
        <v>2430</v>
      </c>
      <c r="R262" s="24"/>
      <c r="S262" s="28" t="s">
        <v>2431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140</v>
      </c>
      <c r="Y262" s="23" t="s">
        <v>140</v>
      </c>
      <c r="Z262" s="23" t="s">
        <v>140</v>
      </c>
      <c r="AA262" s="23" t="s">
        <v>140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</row>
    <row r="263" customFormat="false" ht="26.85" hidden="false" customHeight="false" outlineLevel="0" collapsed="false">
      <c r="A263" s="21" t="n">
        <v>262</v>
      </c>
      <c r="B263" s="18" t="s">
        <v>2432</v>
      </c>
      <c r="C263" s="20" t="n">
        <v>1</v>
      </c>
      <c r="D263" s="20" t="s">
        <v>126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2405</v>
      </c>
      <c r="H263" s="18" t="s">
        <v>2306</v>
      </c>
      <c r="I263" s="21" t="s">
        <v>2407</v>
      </c>
      <c r="J263" s="22" t="s">
        <v>2433</v>
      </c>
      <c r="K263" s="23" t="s">
        <v>131</v>
      </c>
      <c r="L263" s="24" t="s">
        <v>2434</v>
      </c>
      <c r="M263" s="24" t="s">
        <v>2435</v>
      </c>
      <c r="N263" s="23" t="s">
        <v>2436</v>
      </c>
      <c r="O263" s="24" t="s">
        <v>2437</v>
      </c>
      <c r="P263" s="24" t="s">
        <v>2438</v>
      </c>
      <c r="Q263" s="24" t="s">
        <v>2439</v>
      </c>
      <c r="R263" s="25" t="s">
        <v>2440</v>
      </c>
      <c r="S263" s="24" t="s">
        <v>139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140</v>
      </c>
      <c r="Y263" s="23" t="s">
        <v>140</v>
      </c>
      <c r="Z263" s="23" t="s">
        <v>140</v>
      </c>
      <c r="AA263" s="23" t="s">
        <v>140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</row>
    <row r="264" customFormat="false" ht="26.85" hidden="false" customHeight="false" outlineLevel="0" collapsed="false">
      <c r="A264" s="21" t="n">
        <v>263</v>
      </c>
      <c r="B264" s="18" t="s">
        <v>2441</v>
      </c>
      <c r="C264" s="23" t="n">
        <v>2</v>
      </c>
      <c r="D264" s="23" t="s">
        <v>126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2405</v>
      </c>
      <c r="H264" s="18" t="s">
        <v>2406</v>
      </c>
      <c r="I264" s="21" t="s">
        <v>2407</v>
      </c>
      <c r="J264" s="22" t="s">
        <v>2442</v>
      </c>
      <c r="K264" s="23" t="s">
        <v>1095</v>
      </c>
      <c r="L264" s="24" t="s">
        <v>2443</v>
      </c>
      <c r="M264" s="24" t="s">
        <v>2444</v>
      </c>
      <c r="N264" s="23" t="s">
        <v>2445</v>
      </c>
      <c r="O264" s="24" t="s">
        <v>2446</v>
      </c>
      <c r="P264" s="24" t="s">
        <v>2447</v>
      </c>
      <c r="Q264" s="24" t="s">
        <v>2448</v>
      </c>
      <c r="R264" s="24"/>
      <c r="S264" s="24" t="s">
        <v>2449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140</v>
      </c>
      <c r="Y264" s="23" t="s">
        <v>140</v>
      </c>
      <c r="Z264" s="23" t="s">
        <v>140</v>
      </c>
      <c r="AA264" s="23" t="s">
        <v>140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</row>
    <row r="265" customFormat="false" ht="26.85" hidden="false" customHeight="false" outlineLevel="0" collapsed="false">
      <c r="A265" s="21" t="n">
        <v>264</v>
      </c>
      <c r="B265" s="18" t="s">
        <v>2450</v>
      </c>
      <c r="C265" s="23" t="n">
        <v>2</v>
      </c>
      <c r="D265" s="23" t="s">
        <v>126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2405</v>
      </c>
      <c r="H265" s="18" t="s">
        <v>2406</v>
      </c>
      <c r="I265" s="21" t="s">
        <v>2407</v>
      </c>
      <c r="J265" s="22" t="s">
        <v>2451</v>
      </c>
      <c r="K265" s="23" t="s">
        <v>131</v>
      </c>
      <c r="L265" s="24" t="s">
        <v>2452</v>
      </c>
      <c r="M265" s="24" t="s">
        <v>2453</v>
      </c>
      <c r="N265" s="23" t="s">
        <v>2454</v>
      </c>
      <c r="O265" s="24" t="s">
        <v>2455</v>
      </c>
      <c r="P265" s="24" t="s">
        <v>2456</v>
      </c>
      <c r="Q265" s="24" t="s">
        <v>2457</v>
      </c>
      <c r="R265" s="24"/>
      <c r="S265" s="24" t="s">
        <v>2449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140</v>
      </c>
      <c r="Y265" s="23" t="s">
        <v>140</v>
      </c>
      <c r="Z265" s="23" t="s">
        <v>140</v>
      </c>
      <c r="AA265" s="23" t="s">
        <v>140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</row>
    <row r="266" customFormat="false" ht="26.85" hidden="false" customHeight="false" outlineLevel="0" collapsed="false">
      <c r="A266" s="21" t="n">
        <v>265</v>
      </c>
      <c r="B266" s="18" t="s">
        <v>2458</v>
      </c>
      <c r="C266" s="23" t="n">
        <v>2</v>
      </c>
      <c r="D266" s="23" t="s">
        <v>126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2405</v>
      </c>
      <c r="H266" s="18" t="s">
        <v>2406</v>
      </c>
      <c r="I266" s="21" t="s">
        <v>2407</v>
      </c>
      <c r="J266" s="22" t="s">
        <v>2459</v>
      </c>
      <c r="K266" s="23" t="s">
        <v>1095</v>
      </c>
      <c r="L266" s="24" t="s">
        <v>2460</v>
      </c>
      <c r="M266" s="24" t="s">
        <v>2461</v>
      </c>
      <c r="N266" s="23" t="s">
        <v>2462</v>
      </c>
      <c r="O266" s="24" t="s">
        <v>2463</v>
      </c>
      <c r="P266" s="24" t="s">
        <v>2464</v>
      </c>
      <c r="Q266" s="24" t="s">
        <v>2465</v>
      </c>
      <c r="R266" s="24"/>
      <c r="S266" s="24" t="s">
        <v>2449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140</v>
      </c>
      <c r="Y266" s="23" t="s">
        <v>140</v>
      </c>
      <c r="Z266" s="23" t="s">
        <v>140</v>
      </c>
      <c r="AA266" s="23" t="s">
        <v>140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</row>
    <row r="267" customFormat="false" ht="52.2" hidden="false" customHeight="false" outlineLevel="0" collapsed="false">
      <c r="A267" s="21" t="n">
        <v>266</v>
      </c>
      <c r="B267" s="18" t="s">
        <v>2466</v>
      </c>
      <c r="C267" s="20" t="n">
        <v>1</v>
      </c>
      <c r="D267" s="20" t="s">
        <v>126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2405</v>
      </c>
      <c r="H267" s="18" t="s">
        <v>2306</v>
      </c>
      <c r="I267" s="21" t="s">
        <v>2407</v>
      </c>
      <c r="J267" s="22" t="s">
        <v>2467</v>
      </c>
      <c r="K267" s="23" t="s">
        <v>131</v>
      </c>
      <c r="L267" s="24" t="s">
        <v>2468</v>
      </c>
      <c r="M267" s="24" t="s">
        <v>2469</v>
      </c>
      <c r="N267" s="23" t="s">
        <v>2470</v>
      </c>
      <c r="O267" s="24" t="s">
        <v>2471</v>
      </c>
      <c r="P267" s="24" t="s">
        <v>2472</v>
      </c>
      <c r="Q267" s="24" t="s">
        <v>2473</v>
      </c>
      <c r="R267" s="24"/>
      <c r="S267" s="28" t="s">
        <v>2474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140</v>
      </c>
      <c r="Y267" s="23" t="s">
        <v>140</v>
      </c>
      <c r="Z267" s="23" t="s">
        <v>140</v>
      </c>
      <c r="AA267" s="23" t="s">
        <v>140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</row>
    <row r="268" customFormat="false" ht="26.85" hidden="false" customHeight="false" outlineLevel="0" collapsed="false">
      <c r="A268" s="21" t="n">
        <v>267</v>
      </c>
      <c r="B268" s="18" t="s">
        <v>2475</v>
      </c>
      <c r="C268" s="20" t="n">
        <v>1</v>
      </c>
      <c r="D268" s="20" t="s">
        <v>126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2405</v>
      </c>
      <c r="H268" s="18" t="s">
        <v>2306</v>
      </c>
      <c r="I268" s="21" t="s">
        <v>2407</v>
      </c>
      <c r="J268" s="22" t="s">
        <v>2476</v>
      </c>
      <c r="K268" s="23" t="s">
        <v>131</v>
      </c>
      <c r="L268" s="24" t="s">
        <v>2477</v>
      </c>
      <c r="M268" s="24" t="s">
        <v>2478</v>
      </c>
      <c r="N268" s="23" t="s">
        <v>2479</v>
      </c>
      <c r="O268" s="24" t="s">
        <v>2480</v>
      </c>
      <c r="P268" s="24" t="s">
        <v>2481</v>
      </c>
      <c r="Q268" s="24" t="s">
        <v>2482</v>
      </c>
      <c r="R268" s="24"/>
      <c r="S268" s="24" t="s">
        <v>139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140</v>
      </c>
      <c r="Y268" s="23" t="s">
        <v>140</v>
      </c>
      <c r="Z268" s="23" t="s">
        <v>140</v>
      </c>
      <c r="AA268" s="23" t="s">
        <v>140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</row>
    <row r="269" customFormat="false" ht="26.85" hidden="false" customHeight="false" outlineLevel="0" collapsed="false">
      <c r="A269" s="21" t="n">
        <v>268</v>
      </c>
      <c r="B269" s="18" t="s">
        <v>2483</v>
      </c>
      <c r="C269" s="20" t="n">
        <v>1</v>
      </c>
      <c r="D269" s="20" t="s">
        <v>126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2405</v>
      </c>
      <c r="H269" s="18" t="s">
        <v>2306</v>
      </c>
      <c r="I269" s="21" t="s">
        <v>2407</v>
      </c>
      <c r="J269" s="22" t="s">
        <v>2484</v>
      </c>
      <c r="K269" s="23" t="s">
        <v>131</v>
      </c>
      <c r="L269" s="24" t="s">
        <v>2485</v>
      </c>
      <c r="M269" s="24" t="s">
        <v>2486</v>
      </c>
      <c r="N269" s="23" t="s">
        <v>2487</v>
      </c>
      <c r="O269" s="24" t="s">
        <v>2488</v>
      </c>
      <c r="P269" s="24" t="s">
        <v>2489</v>
      </c>
      <c r="Q269" s="24" t="s">
        <v>2490</v>
      </c>
      <c r="R269" s="25" t="s">
        <v>2491</v>
      </c>
      <c r="S269" s="24" t="s">
        <v>139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140</v>
      </c>
      <c r="Y269" s="23" t="s">
        <v>140</v>
      </c>
      <c r="Z269" s="23" t="s">
        <v>140</v>
      </c>
      <c r="AA269" s="23" t="s">
        <v>140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</row>
    <row r="270" customFormat="false" ht="26.85" hidden="false" customHeight="false" outlineLevel="0" collapsed="false">
      <c r="A270" s="21" t="n">
        <v>269</v>
      </c>
      <c r="B270" s="18" t="s">
        <v>2492</v>
      </c>
      <c r="C270" s="20" t="n">
        <v>1</v>
      </c>
      <c r="D270" s="20" t="s">
        <v>126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2493</v>
      </c>
      <c r="H270" s="18" t="s">
        <v>2494</v>
      </c>
      <c r="I270" s="21" t="s">
        <v>2407</v>
      </c>
      <c r="J270" s="22" t="s">
        <v>2495</v>
      </c>
      <c r="K270" s="23" t="s">
        <v>131</v>
      </c>
      <c r="L270" s="24" t="s">
        <v>2496</v>
      </c>
      <c r="M270" s="24" t="s">
        <v>2497</v>
      </c>
      <c r="N270" s="23" t="s">
        <v>2498</v>
      </c>
      <c r="O270" s="24" t="s">
        <v>2499</v>
      </c>
      <c r="P270" s="24" t="s">
        <v>2500</v>
      </c>
      <c r="Q270" s="24" t="s">
        <v>640</v>
      </c>
      <c r="R270" s="24"/>
      <c r="S270" s="24" t="s">
        <v>139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140</v>
      </c>
      <c r="Y270" s="23" t="s">
        <v>140</v>
      </c>
      <c r="Z270" s="23" t="s">
        <v>140</v>
      </c>
      <c r="AA270" s="23" t="s">
        <v>140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</row>
    <row r="271" customFormat="false" ht="26.85" hidden="false" customHeight="false" outlineLevel="0" collapsed="false">
      <c r="A271" s="21" t="n">
        <v>270</v>
      </c>
      <c r="B271" s="18" t="s">
        <v>2501</v>
      </c>
      <c r="C271" s="23" t="n">
        <v>2</v>
      </c>
      <c r="D271" s="23" t="s">
        <v>126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2493</v>
      </c>
      <c r="H271" s="18" t="s">
        <v>2406</v>
      </c>
      <c r="I271" s="21" t="s">
        <v>2407</v>
      </c>
      <c r="J271" s="22" t="s">
        <v>2502</v>
      </c>
      <c r="K271" s="23" t="s">
        <v>131</v>
      </c>
      <c r="L271" s="24" t="s">
        <v>2503</v>
      </c>
      <c r="M271" s="24" t="s">
        <v>2504</v>
      </c>
      <c r="N271" s="23" t="s">
        <v>2505</v>
      </c>
      <c r="O271" s="24" t="s">
        <v>2506</v>
      </c>
      <c r="P271" s="24" t="s">
        <v>2507</v>
      </c>
      <c r="Q271" s="24" t="s">
        <v>650</v>
      </c>
      <c r="R271" s="25" t="s">
        <v>2508</v>
      </c>
      <c r="S271" s="24" t="s">
        <v>2509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140</v>
      </c>
      <c r="Y271" s="23" t="s">
        <v>140</v>
      </c>
      <c r="Z271" s="23" t="s">
        <v>140</v>
      </c>
      <c r="AA271" s="23" t="s">
        <v>140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</row>
    <row r="272" customFormat="false" ht="26.85" hidden="false" customHeight="false" outlineLevel="0" collapsed="false">
      <c r="A272" s="21" t="n">
        <v>271</v>
      </c>
      <c r="B272" s="18" t="s">
        <v>2510</v>
      </c>
      <c r="C272" s="23" t="n">
        <v>2</v>
      </c>
      <c r="D272" s="23" t="s">
        <v>126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2493</v>
      </c>
      <c r="H272" s="18" t="s">
        <v>2406</v>
      </c>
      <c r="I272" s="21" t="s">
        <v>2407</v>
      </c>
      <c r="J272" s="22" t="s">
        <v>2511</v>
      </c>
      <c r="K272" s="23" t="s">
        <v>131</v>
      </c>
      <c r="L272" s="24" t="s">
        <v>2512</v>
      </c>
      <c r="M272" s="24" t="s">
        <v>2513</v>
      </c>
      <c r="N272" s="23" t="s">
        <v>2514</v>
      </c>
      <c r="O272" s="24" t="s">
        <v>2515</v>
      </c>
      <c r="P272" s="24" t="s">
        <v>2516</v>
      </c>
      <c r="Q272" s="24" t="s">
        <v>2517</v>
      </c>
      <c r="R272" s="24"/>
      <c r="S272" s="24" t="s">
        <v>2509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140</v>
      </c>
      <c r="Y272" s="23" t="s">
        <v>140</v>
      </c>
      <c r="Z272" s="23" t="s">
        <v>140</v>
      </c>
      <c r="AA272" s="23" t="s">
        <v>140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</row>
    <row r="273" customFormat="false" ht="26.85" hidden="false" customHeight="false" outlineLevel="0" collapsed="false">
      <c r="A273" s="21" t="n">
        <v>272</v>
      </c>
      <c r="B273" s="18" t="s">
        <v>2518</v>
      </c>
      <c r="C273" s="23" t="n">
        <v>2</v>
      </c>
      <c r="D273" s="23" t="s">
        <v>126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2493</v>
      </c>
      <c r="H273" s="18" t="s">
        <v>2406</v>
      </c>
      <c r="I273" s="21" t="s">
        <v>2407</v>
      </c>
      <c r="J273" s="22" t="s">
        <v>2519</v>
      </c>
      <c r="K273" s="23" t="s">
        <v>1095</v>
      </c>
      <c r="L273" s="24" t="s">
        <v>2520</v>
      </c>
      <c r="M273" s="24" t="s">
        <v>2521</v>
      </c>
      <c r="N273" s="23" t="s">
        <v>2522</v>
      </c>
      <c r="O273" s="24" t="s">
        <v>2523</v>
      </c>
      <c r="P273" s="24" t="s">
        <v>2524</v>
      </c>
      <c r="Q273" s="24" t="s">
        <v>2525</v>
      </c>
      <c r="R273" s="24"/>
      <c r="S273" s="24" t="s">
        <v>2509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140</v>
      </c>
      <c r="Y273" s="23" t="s">
        <v>140</v>
      </c>
      <c r="Z273" s="23" t="s">
        <v>140</v>
      </c>
      <c r="AA273" s="23" t="s">
        <v>140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</row>
    <row r="274" customFormat="false" ht="52.2" hidden="false" customHeight="false" outlineLevel="0" collapsed="false">
      <c r="A274" s="21" t="n">
        <v>273</v>
      </c>
      <c r="B274" s="18" t="s">
        <v>2526</v>
      </c>
      <c r="C274" s="20" t="n">
        <v>1</v>
      </c>
      <c r="D274" s="20" t="s">
        <v>126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2493</v>
      </c>
      <c r="H274" s="18" t="s">
        <v>2494</v>
      </c>
      <c r="I274" s="21" t="s">
        <v>2407</v>
      </c>
      <c r="J274" s="22" t="s">
        <v>2527</v>
      </c>
      <c r="K274" s="23" t="s">
        <v>131</v>
      </c>
      <c r="L274" s="24" t="s">
        <v>2528</v>
      </c>
      <c r="M274" s="24" t="s">
        <v>2529</v>
      </c>
      <c r="N274" s="23" t="s">
        <v>2530</v>
      </c>
      <c r="O274" s="24" t="s">
        <v>2531</v>
      </c>
      <c r="P274" s="24" t="s">
        <v>2532</v>
      </c>
      <c r="Q274" s="24" t="s">
        <v>2533</v>
      </c>
      <c r="R274" s="24"/>
      <c r="S274" s="28" t="s">
        <v>2534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140</v>
      </c>
      <c r="Y274" s="23" t="s">
        <v>140</v>
      </c>
      <c r="Z274" s="23" t="s">
        <v>140</v>
      </c>
      <c r="AA274" s="23" t="s">
        <v>140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</row>
    <row r="275" customFormat="false" ht="26.85" hidden="false" customHeight="false" outlineLevel="0" collapsed="false">
      <c r="A275" s="21" t="n">
        <v>274</v>
      </c>
      <c r="B275" s="18" t="s">
        <v>2535</v>
      </c>
      <c r="C275" s="20" t="n">
        <v>1</v>
      </c>
      <c r="D275" s="20" t="s">
        <v>126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2493</v>
      </c>
      <c r="H275" s="18" t="s">
        <v>2494</v>
      </c>
      <c r="I275" s="21" t="s">
        <v>2407</v>
      </c>
      <c r="J275" s="22" t="s">
        <v>2536</v>
      </c>
      <c r="K275" s="23" t="s">
        <v>131</v>
      </c>
      <c r="L275" s="24" t="s">
        <v>2537</v>
      </c>
      <c r="M275" s="24" t="s">
        <v>2538</v>
      </c>
      <c r="N275" s="23" t="s">
        <v>2539</v>
      </c>
      <c r="O275" s="24" t="s">
        <v>2540</v>
      </c>
      <c r="P275" s="24" t="s">
        <v>2541</v>
      </c>
      <c r="Q275" s="24" t="s">
        <v>2542</v>
      </c>
      <c r="R275" s="24"/>
      <c r="S275" s="24" t="s">
        <v>139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140</v>
      </c>
      <c r="Y275" s="23" t="s">
        <v>140</v>
      </c>
      <c r="Z275" s="23" t="s">
        <v>140</v>
      </c>
      <c r="AA275" s="23" t="s">
        <v>140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</row>
    <row r="276" customFormat="false" ht="26.85" hidden="false" customHeight="false" outlineLevel="0" collapsed="false">
      <c r="A276" s="21" t="n">
        <v>275</v>
      </c>
      <c r="B276" s="18" t="s">
        <v>2543</v>
      </c>
      <c r="C276" s="20" t="n">
        <v>1</v>
      </c>
      <c r="D276" s="20" t="s">
        <v>126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2493</v>
      </c>
      <c r="H276" s="18" t="s">
        <v>2494</v>
      </c>
      <c r="I276" s="21" t="s">
        <v>2407</v>
      </c>
      <c r="J276" s="22" t="s">
        <v>2544</v>
      </c>
      <c r="K276" s="23" t="s">
        <v>131</v>
      </c>
      <c r="L276" s="24" t="s">
        <v>2545</v>
      </c>
      <c r="M276" s="29" t="s">
        <v>2546</v>
      </c>
      <c r="N276" s="23" t="s">
        <v>2547</v>
      </c>
      <c r="O276" s="24" t="s">
        <v>2548</v>
      </c>
      <c r="P276" s="24" t="s">
        <v>2549</v>
      </c>
      <c r="Q276" s="24" t="s">
        <v>2550</v>
      </c>
      <c r="R276" s="24"/>
      <c r="S276" s="24" t="s">
        <v>139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140</v>
      </c>
      <c r="Y276" s="23" t="s">
        <v>140</v>
      </c>
      <c r="Z276" s="23" t="s">
        <v>140</v>
      </c>
      <c r="AA276" s="23" t="s">
        <v>140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</row>
    <row r="277" customFormat="false" ht="26.85" hidden="false" customHeight="false" outlineLevel="0" collapsed="false">
      <c r="A277" s="21" t="n">
        <v>276</v>
      </c>
      <c r="B277" s="18" t="s">
        <v>2551</v>
      </c>
      <c r="C277" s="20" t="n">
        <v>1</v>
      </c>
      <c r="D277" s="20" t="s">
        <v>126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2493</v>
      </c>
      <c r="H277" s="18" t="s">
        <v>2494</v>
      </c>
      <c r="I277" s="21" t="s">
        <v>2407</v>
      </c>
      <c r="J277" s="22" t="s">
        <v>2552</v>
      </c>
      <c r="K277" s="23" t="s">
        <v>131</v>
      </c>
      <c r="L277" s="24" t="s">
        <v>2553</v>
      </c>
      <c r="M277" s="24" t="s">
        <v>2554</v>
      </c>
      <c r="N277" s="23" t="s">
        <v>2555</v>
      </c>
      <c r="O277" s="24" t="s">
        <v>2556</v>
      </c>
      <c r="P277" s="24" t="s">
        <v>2557</v>
      </c>
      <c r="Q277" s="24" t="s">
        <v>2558</v>
      </c>
      <c r="R277" s="25" t="s">
        <v>2559</v>
      </c>
      <c r="S277" s="24" t="s">
        <v>139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140</v>
      </c>
      <c r="Y277" s="23" t="s">
        <v>140</v>
      </c>
      <c r="Z277" s="23" t="s">
        <v>140</v>
      </c>
      <c r="AA277" s="23" t="s">
        <v>140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</row>
    <row r="278" customFormat="false" ht="26.85" hidden="false" customHeight="false" outlineLevel="0" collapsed="false">
      <c r="A278" s="21" t="n">
        <v>277</v>
      </c>
      <c r="B278" s="18" t="s">
        <v>2560</v>
      </c>
      <c r="C278" s="20" t="n">
        <v>1</v>
      </c>
      <c r="D278" s="20" t="s">
        <v>126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2561</v>
      </c>
      <c r="H278" s="18" t="s">
        <v>2494</v>
      </c>
      <c r="I278" s="21" t="s">
        <v>2407</v>
      </c>
      <c r="J278" s="22" t="s">
        <v>2562</v>
      </c>
      <c r="K278" s="23" t="s">
        <v>131</v>
      </c>
      <c r="L278" s="24" t="s">
        <v>2563</v>
      </c>
      <c r="M278" s="24" t="s">
        <v>2564</v>
      </c>
      <c r="N278" s="23" t="s">
        <v>2565</v>
      </c>
      <c r="O278" s="24" t="s">
        <v>2566</v>
      </c>
      <c r="P278" s="24" t="s">
        <v>2567</v>
      </c>
      <c r="Q278" s="24" t="s">
        <v>2568</v>
      </c>
      <c r="R278" s="25" t="s">
        <v>2569</v>
      </c>
      <c r="S278" s="24" t="s">
        <v>139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140</v>
      </c>
      <c r="Y278" s="23" t="s">
        <v>140</v>
      </c>
      <c r="Z278" s="23" t="s">
        <v>140</v>
      </c>
      <c r="AA278" s="23" t="s">
        <v>140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</row>
    <row r="279" customFormat="false" ht="26.85" hidden="false" customHeight="false" outlineLevel="0" collapsed="false">
      <c r="A279" s="21" t="n">
        <v>278</v>
      </c>
      <c r="B279" s="18" t="s">
        <v>2570</v>
      </c>
      <c r="C279" s="20" t="n">
        <v>1</v>
      </c>
      <c r="D279" s="20" t="s">
        <v>126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2561</v>
      </c>
      <c r="H279" s="18" t="s">
        <v>2494</v>
      </c>
      <c r="I279" s="21" t="s">
        <v>2407</v>
      </c>
      <c r="J279" s="22" t="s">
        <v>2571</v>
      </c>
      <c r="K279" s="23" t="s">
        <v>131</v>
      </c>
      <c r="L279" s="24" t="s">
        <v>2572</v>
      </c>
      <c r="M279" s="24" t="s">
        <v>2573</v>
      </c>
      <c r="N279" s="23" t="s">
        <v>2574</v>
      </c>
      <c r="O279" s="24" t="s">
        <v>2575</v>
      </c>
      <c r="P279" s="24" t="s">
        <v>2576</v>
      </c>
      <c r="Q279" s="24" t="s">
        <v>2577</v>
      </c>
      <c r="R279" s="24"/>
      <c r="S279" s="24" t="s">
        <v>139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140</v>
      </c>
      <c r="Y279" s="23" t="s">
        <v>140</v>
      </c>
      <c r="Z279" s="23" t="s">
        <v>140</v>
      </c>
      <c r="AA279" s="23" t="s">
        <v>140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</row>
    <row r="280" customFormat="false" ht="26.85" hidden="false" customHeight="false" outlineLevel="0" collapsed="false">
      <c r="A280" s="21" t="n">
        <v>279</v>
      </c>
      <c r="B280" s="18" t="s">
        <v>2578</v>
      </c>
      <c r="C280" s="23" t="n">
        <v>2</v>
      </c>
      <c r="D280" s="23" t="s">
        <v>126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2561</v>
      </c>
      <c r="H280" s="18" t="s">
        <v>2579</v>
      </c>
      <c r="I280" s="21" t="s">
        <v>2407</v>
      </c>
      <c r="J280" s="22" t="s">
        <v>2580</v>
      </c>
      <c r="K280" s="23" t="s">
        <v>131</v>
      </c>
      <c r="L280" s="24" t="s">
        <v>2581</v>
      </c>
      <c r="M280" s="24" t="s">
        <v>2582</v>
      </c>
      <c r="N280" s="23" t="s">
        <v>2583</v>
      </c>
      <c r="O280" s="24" t="s">
        <v>2584</v>
      </c>
      <c r="P280" s="24" t="s">
        <v>2585</v>
      </c>
      <c r="Q280" s="24" t="s">
        <v>2586</v>
      </c>
      <c r="R280" s="24"/>
      <c r="S280" s="24" t="s">
        <v>2587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140</v>
      </c>
      <c r="Y280" s="23" t="s">
        <v>140</v>
      </c>
      <c r="Z280" s="23" t="s">
        <v>140</v>
      </c>
      <c r="AA280" s="23" t="s">
        <v>140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</row>
    <row r="281" customFormat="false" ht="25.35" hidden="false" customHeight="false" outlineLevel="0" collapsed="false">
      <c r="A281" s="21" t="n">
        <v>280</v>
      </c>
      <c r="B281" s="18" t="s">
        <v>2588</v>
      </c>
      <c r="C281" s="23" t="n">
        <v>2</v>
      </c>
      <c r="D281" s="23" t="s">
        <v>126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2561</v>
      </c>
      <c r="H281" s="18" t="s">
        <v>2579</v>
      </c>
      <c r="I281" s="21" t="s">
        <v>2407</v>
      </c>
      <c r="J281" s="22" t="s">
        <v>2589</v>
      </c>
      <c r="K281" s="23" t="s">
        <v>131</v>
      </c>
      <c r="L281" s="24" t="s">
        <v>2590</v>
      </c>
      <c r="M281" s="24" t="s">
        <v>2591</v>
      </c>
      <c r="N281" s="23" t="s">
        <v>2592</v>
      </c>
      <c r="O281" s="24" t="s">
        <v>2593</v>
      </c>
      <c r="P281" s="24" t="s">
        <v>2594</v>
      </c>
      <c r="Q281" s="24" t="s">
        <v>2595</v>
      </c>
      <c r="R281" s="25" t="s">
        <v>714</v>
      </c>
      <c r="S281" s="24" t="s">
        <v>2587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140</v>
      </c>
      <c r="Y281" s="23" t="s">
        <v>140</v>
      </c>
      <c r="Z281" s="23" t="s">
        <v>140</v>
      </c>
      <c r="AA281" s="23" t="s">
        <v>140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</row>
    <row r="282" customFormat="false" ht="26.85" hidden="false" customHeight="false" outlineLevel="0" collapsed="false">
      <c r="A282" s="21" t="n">
        <v>281</v>
      </c>
      <c r="B282" s="18" t="s">
        <v>2596</v>
      </c>
      <c r="C282" s="23" t="n">
        <v>2</v>
      </c>
      <c r="D282" s="23" t="s">
        <v>126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2561</v>
      </c>
      <c r="H282" s="18" t="s">
        <v>2579</v>
      </c>
      <c r="I282" s="21" t="s">
        <v>2407</v>
      </c>
      <c r="J282" s="22" t="s">
        <v>2597</v>
      </c>
      <c r="K282" s="23" t="s">
        <v>131</v>
      </c>
      <c r="L282" s="29" t="s">
        <v>2598</v>
      </c>
      <c r="M282" s="24" t="s">
        <v>2599</v>
      </c>
      <c r="N282" s="23" t="s">
        <v>2600</v>
      </c>
      <c r="O282" s="24" t="s">
        <v>2601</v>
      </c>
      <c r="P282" s="24" t="s">
        <v>2602</v>
      </c>
      <c r="Q282" s="24" t="s">
        <v>2603</v>
      </c>
      <c r="R282" s="25" t="s">
        <v>2604</v>
      </c>
      <c r="S282" s="24" t="s">
        <v>2587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140</v>
      </c>
      <c r="Y282" s="23" t="s">
        <v>140</v>
      </c>
      <c r="Z282" s="23" t="s">
        <v>140</v>
      </c>
      <c r="AA282" s="23" t="s">
        <v>140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</row>
    <row r="283" customFormat="false" ht="26.85" hidden="false" customHeight="false" outlineLevel="0" collapsed="false">
      <c r="A283" s="21" t="n">
        <v>282</v>
      </c>
      <c r="B283" s="18" t="s">
        <v>2605</v>
      </c>
      <c r="C283" s="23" t="n">
        <v>2</v>
      </c>
      <c r="D283" s="23" t="s">
        <v>126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2561</v>
      </c>
      <c r="H283" s="18" t="s">
        <v>2579</v>
      </c>
      <c r="I283" s="21" t="s">
        <v>2606</v>
      </c>
      <c r="J283" s="22" t="s">
        <v>2607</v>
      </c>
      <c r="K283" s="23" t="s">
        <v>131</v>
      </c>
      <c r="L283" s="24" t="s">
        <v>2608</v>
      </c>
      <c r="M283" s="24" t="s">
        <v>2609</v>
      </c>
      <c r="N283" s="23" t="s">
        <v>2610</v>
      </c>
      <c r="O283" s="24" t="s">
        <v>2611</v>
      </c>
      <c r="P283" s="24" t="s">
        <v>2612</v>
      </c>
      <c r="Q283" s="24" t="s">
        <v>2613</v>
      </c>
      <c r="R283" s="25" t="s">
        <v>2614</v>
      </c>
      <c r="S283" s="24" t="s">
        <v>2587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140</v>
      </c>
      <c r="Y283" s="23" t="s">
        <v>140</v>
      </c>
      <c r="Z283" s="23" t="s">
        <v>140</v>
      </c>
      <c r="AA283" s="23" t="s">
        <v>140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</row>
    <row r="284" customFormat="false" ht="52.2" hidden="false" customHeight="false" outlineLevel="0" collapsed="false">
      <c r="A284" s="21" t="n">
        <v>283</v>
      </c>
      <c r="B284" s="18" t="s">
        <v>2615</v>
      </c>
      <c r="C284" s="20" t="n">
        <v>1</v>
      </c>
      <c r="D284" s="20" t="s">
        <v>126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2561</v>
      </c>
      <c r="H284" s="18" t="s">
        <v>2494</v>
      </c>
      <c r="I284" s="21" t="s">
        <v>2606</v>
      </c>
      <c r="J284" s="22" t="s">
        <v>2616</v>
      </c>
      <c r="K284" s="23" t="s">
        <v>131</v>
      </c>
      <c r="L284" s="24" t="s">
        <v>2617</v>
      </c>
      <c r="M284" s="24" t="s">
        <v>2618</v>
      </c>
      <c r="N284" s="23" t="s">
        <v>2619</v>
      </c>
      <c r="O284" s="24" t="s">
        <v>2620</v>
      </c>
      <c r="P284" s="24" t="s">
        <v>2621</v>
      </c>
      <c r="Q284" s="24" t="s">
        <v>2622</v>
      </c>
      <c r="R284" s="25" t="s">
        <v>2623</v>
      </c>
      <c r="S284" s="28" t="s">
        <v>2624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140</v>
      </c>
      <c r="Y284" s="23" t="s">
        <v>140</v>
      </c>
      <c r="Z284" s="23" t="s">
        <v>140</v>
      </c>
      <c r="AA284" s="23" t="s">
        <v>140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</row>
    <row r="285" customFormat="false" ht="26.85" hidden="false" customHeight="false" outlineLevel="0" collapsed="false">
      <c r="A285" s="21" t="n">
        <v>284</v>
      </c>
      <c r="B285" s="18" t="s">
        <v>2625</v>
      </c>
      <c r="C285" s="23" t="n">
        <v>2</v>
      </c>
      <c r="D285" s="23" t="s">
        <v>126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2561</v>
      </c>
      <c r="H285" s="18" t="s">
        <v>2579</v>
      </c>
      <c r="I285" s="21" t="s">
        <v>2606</v>
      </c>
      <c r="J285" s="22" t="s">
        <v>2626</v>
      </c>
      <c r="K285" s="23" t="s">
        <v>131</v>
      </c>
      <c r="L285" s="24" t="s">
        <v>2627</v>
      </c>
      <c r="M285" s="24" t="s">
        <v>2628</v>
      </c>
      <c r="N285" s="23" t="s">
        <v>2629</v>
      </c>
      <c r="O285" s="24" t="s">
        <v>2630</v>
      </c>
      <c r="P285" s="24" t="s">
        <v>2631</v>
      </c>
      <c r="Q285" s="24" t="s">
        <v>2632</v>
      </c>
      <c r="R285" s="25" t="s">
        <v>2633</v>
      </c>
      <c r="S285" s="24" t="s">
        <v>2634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140</v>
      </c>
      <c r="Y285" s="23" t="s">
        <v>140</v>
      </c>
      <c r="Z285" s="23" t="s">
        <v>140</v>
      </c>
      <c r="AA285" s="23" t="s">
        <v>140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</row>
    <row r="286" customFormat="false" ht="26.85" hidden="false" customHeight="false" outlineLevel="0" collapsed="false">
      <c r="A286" s="21" t="n">
        <v>285</v>
      </c>
      <c r="B286" s="18" t="s">
        <v>2635</v>
      </c>
      <c r="C286" s="23" t="n">
        <v>2</v>
      </c>
      <c r="D286" s="23" t="s">
        <v>126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2636</v>
      </c>
      <c r="H286" s="18" t="s">
        <v>2579</v>
      </c>
      <c r="I286" s="21" t="s">
        <v>2606</v>
      </c>
      <c r="J286" s="22" t="s">
        <v>2637</v>
      </c>
      <c r="K286" s="23" t="s">
        <v>131</v>
      </c>
      <c r="L286" s="24" t="s">
        <v>2638</v>
      </c>
      <c r="M286" s="24" t="s">
        <v>2639</v>
      </c>
      <c r="N286" s="23" t="s">
        <v>2640</v>
      </c>
      <c r="O286" s="24" t="s">
        <v>2641</v>
      </c>
      <c r="P286" s="24" t="s">
        <v>2642</v>
      </c>
      <c r="Q286" s="24" t="s">
        <v>2643</v>
      </c>
      <c r="R286" s="27" t="s">
        <v>2644</v>
      </c>
      <c r="S286" s="24" t="s">
        <v>2634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140</v>
      </c>
      <c r="Y286" s="23" t="s">
        <v>140</v>
      </c>
      <c r="Z286" s="23" t="s">
        <v>140</v>
      </c>
      <c r="AA286" s="23" t="s">
        <v>140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</row>
    <row r="287" customFormat="false" ht="26.85" hidden="false" customHeight="false" outlineLevel="0" collapsed="false">
      <c r="A287" s="21" t="n">
        <v>286</v>
      </c>
      <c r="B287" s="18" t="s">
        <v>2645</v>
      </c>
      <c r="C287" s="23" t="n">
        <v>2</v>
      </c>
      <c r="D287" s="23" t="s">
        <v>126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2636</v>
      </c>
      <c r="H287" s="18" t="s">
        <v>2579</v>
      </c>
      <c r="I287" s="21" t="s">
        <v>2606</v>
      </c>
      <c r="J287" s="22" t="s">
        <v>2646</v>
      </c>
      <c r="K287" s="23" t="s">
        <v>131</v>
      </c>
      <c r="L287" s="24" t="s">
        <v>2647</v>
      </c>
      <c r="M287" s="24" t="s">
        <v>2648</v>
      </c>
      <c r="N287" s="23" t="s">
        <v>2649</v>
      </c>
      <c r="O287" s="24" t="s">
        <v>2650</v>
      </c>
      <c r="P287" s="24" t="s">
        <v>2651</v>
      </c>
      <c r="Q287" s="24" t="s">
        <v>2652</v>
      </c>
      <c r="R287" s="24"/>
      <c r="S287" s="24" t="s">
        <v>2634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140</v>
      </c>
      <c r="Y287" s="23" t="s">
        <v>140</v>
      </c>
      <c r="Z287" s="23" t="s">
        <v>140</v>
      </c>
      <c r="AA287" s="23" t="s">
        <v>140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</row>
    <row r="288" customFormat="false" ht="52.2" hidden="false" customHeight="false" outlineLevel="0" collapsed="false">
      <c r="A288" s="21" t="n">
        <v>287</v>
      </c>
      <c r="B288" s="18" t="s">
        <v>2653</v>
      </c>
      <c r="C288" s="20" t="n">
        <v>1</v>
      </c>
      <c r="D288" s="20" t="s">
        <v>126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2636</v>
      </c>
      <c r="H288" s="18" t="s">
        <v>2654</v>
      </c>
      <c r="I288" s="21" t="s">
        <v>2606</v>
      </c>
      <c r="J288" s="22" t="s">
        <v>2655</v>
      </c>
      <c r="K288" s="23" t="s">
        <v>131</v>
      </c>
      <c r="L288" s="24" t="s">
        <v>2656</v>
      </c>
      <c r="M288" s="24" t="s">
        <v>2657</v>
      </c>
      <c r="N288" s="23" t="s">
        <v>2658</v>
      </c>
      <c r="O288" s="24" t="s">
        <v>2659</v>
      </c>
      <c r="P288" s="24" t="s">
        <v>2660</v>
      </c>
      <c r="Q288" s="24" t="s">
        <v>2661</v>
      </c>
      <c r="R288" s="24"/>
      <c r="S288" s="28" t="s">
        <v>2662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140</v>
      </c>
      <c r="Y288" s="23" t="s">
        <v>140</v>
      </c>
      <c r="Z288" s="23" t="s">
        <v>140</v>
      </c>
      <c r="AA288" s="23" t="s">
        <v>140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</row>
    <row r="289" customFormat="false" ht="26.85" hidden="false" customHeight="false" outlineLevel="0" collapsed="false">
      <c r="A289" s="21" t="n">
        <v>288</v>
      </c>
      <c r="B289" s="18" t="s">
        <v>2663</v>
      </c>
      <c r="C289" s="23" t="n">
        <v>2</v>
      </c>
      <c r="D289" s="23" t="s">
        <v>126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2636</v>
      </c>
      <c r="H289" s="18" t="s">
        <v>2579</v>
      </c>
      <c r="I289" s="21" t="s">
        <v>2606</v>
      </c>
      <c r="J289" s="22" t="s">
        <v>2664</v>
      </c>
      <c r="K289" s="23" t="s">
        <v>131</v>
      </c>
      <c r="L289" s="24" t="s">
        <v>2665</v>
      </c>
      <c r="M289" s="24" t="s">
        <v>2666</v>
      </c>
      <c r="N289" s="23" t="s">
        <v>2667</v>
      </c>
      <c r="O289" s="24" t="s">
        <v>2668</v>
      </c>
      <c r="P289" s="24" t="s">
        <v>2669</v>
      </c>
      <c r="Q289" s="24" t="s">
        <v>2056</v>
      </c>
      <c r="R289" s="25" t="s">
        <v>2670</v>
      </c>
      <c r="S289" s="24" t="s">
        <v>2671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140</v>
      </c>
      <c r="Y289" s="23" t="s">
        <v>140</v>
      </c>
      <c r="Z289" s="23" t="s">
        <v>140</v>
      </c>
      <c r="AA289" s="23" t="s">
        <v>140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</row>
    <row r="290" customFormat="false" ht="26.85" hidden="false" customHeight="false" outlineLevel="0" collapsed="false">
      <c r="A290" s="21" t="n">
        <v>289</v>
      </c>
      <c r="B290" s="18" t="s">
        <v>2672</v>
      </c>
      <c r="C290" s="20" t="n">
        <v>1</v>
      </c>
      <c r="D290" s="20" t="s">
        <v>126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2636</v>
      </c>
      <c r="H290" s="18" t="s">
        <v>2654</v>
      </c>
      <c r="I290" s="21" t="s">
        <v>2606</v>
      </c>
      <c r="J290" s="22" t="s">
        <v>2673</v>
      </c>
      <c r="K290" s="23" t="s">
        <v>131</v>
      </c>
      <c r="L290" s="24" t="s">
        <v>2674</v>
      </c>
      <c r="M290" s="24" t="s">
        <v>2675</v>
      </c>
      <c r="N290" s="23" t="s">
        <v>2676</v>
      </c>
      <c r="O290" s="24" t="s">
        <v>2677</v>
      </c>
      <c r="P290" s="24" t="s">
        <v>2678</v>
      </c>
      <c r="Q290" s="24" t="s">
        <v>2679</v>
      </c>
      <c r="R290" s="24"/>
      <c r="S290" s="28" t="s">
        <v>2680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140</v>
      </c>
      <c r="Y290" s="23" t="s">
        <v>140</v>
      </c>
      <c r="Z290" s="23" t="s">
        <v>140</v>
      </c>
      <c r="AA290" s="23" t="s">
        <v>140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</row>
    <row r="291" customFormat="false" ht="25.35" hidden="false" customHeight="false" outlineLevel="0" collapsed="false">
      <c r="A291" s="21" t="n">
        <v>290</v>
      </c>
      <c r="B291" s="18" t="s">
        <v>2681</v>
      </c>
      <c r="C291" s="23" t="n">
        <v>2</v>
      </c>
      <c r="D291" s="23" t="s">
        <v>126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2636</v>
      </c>
      <c r="H291" s="18" t="s">
        <v>2579</v>
      </c>
      <c r="I291" s="21" t="s">
        <v>2606</v>
      </c>
      <c r="J291" s="22" t="s">
        <v>2682</v>
      </c>
      <c r="K291" s="23" t="s">
        <v>131</v>
      </c>
      <c r="L291" s="24" t="s">
        <v>2683</v>
      </c>
      <c r="M291" s="24" t="s">
        <v>2684</v>
      </c>
      <c r="N291" s="23" t="s">
        <v>2685</v>
      </c>
      <c r="O291" s="24" t="s">
        <v>2686</v>
      </c>
      <c r="P291" s="24" t="s">
        <v>2687</v>
      </c>
      <c r="Q291" s="24" t="s">
        <v>2688</v>
      </c>
      <c r="R291" s="24"/>
      <c r="S291" s="24" t="s">
        <v>2689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140</v>
      </c>
      <c r="Y291" s="23" t="s">
        <v>140</v>
      </c>
      <c r="Z291" s="23" t="s">
        <v>140</v>
      </c>
      <c r="AA291" s="23" t="s">
        <v>140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</row>
    <row r="292" customFormat="false" ht="15" hidden="false" customHeight="false" outlineLevel="0" collapsed="false">
      <c r="A292" s="21" t="n">
        <v>291</v>
      </c>
      <c r="B292" s="18" t="s">
        <v>2690</v>
      </c>
      <c r="C292" s="23" t="n">
        <v>2</v>
      </c>
      <c r="D292" s="23" t="s">
        <v>126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2636</v>
      </c>
      <c r="H292" s="18" t="s">
        <v>2579</v>
      </c>
      <c r="I292" s="21" t="s">
        <v>2606</v>
      </c>
      <c r="J292" s="22" t="s">
        <v>2691</v>
      </c>
      <c r="K292" s="23" t="s">
        <v>131</v>
      </c>
      <c r="L292" s="24" t="s">
        <v>2692</v>
      </c>
      <c r="M292" s="24" t="s">
        <v>2693</v>
      </c>
      <c r="N292" s="23" t="s">
        <v>2694</v>
      </c>
      <c r="O292" s="24" t="s">
        <v>2695</v>
      </c>
      <c r="P292" s="24" t="s">
        <v>2696</v>
      </c>
      <c r="Q292" s="24" t="s">
        <v>2697</v>
      </c>
      <c r="R292" s="24"/>
      <c r="S292" s="24" t="s">
        <v>2689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140</v>
      </c>
      <c r="Y292" s="23" t="s">
        <v>140</v>
      </c>
      <c r="Z292" s="23" t="s">
        <v>140</v>
      </c>
      <c r="AA292" s="23" t="s">
        <v>140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</row>
    <row r="293" customFormat="false" ht="39.55" hidden="false" customHeight="false" outlineLevel="0" collapsed="false">
      <c r="A293" s="21" t="n">
        <v>292</v>
      </c>
      <c r="B293" s="18" t="s">
        <v>2698</v>
      </c>
      <c r="C293" s="20" t="n">
        <v>1</v>
      </c>
      <c r="D293" s="20" t="s">
        <v>126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2636</v>
      </c>
      <c r="H293" s="18" t="s">
        <v>2654</v>
      </c>
      <c r="I293" s="21" t="s">
        <v>2606</v>
      </c>
      <c r="J293" s="22" t="s">
        <v>2699</v>
      </c>
      <c r="K293" s="23" t="s">
        <v>131</v>
      </c>
      <c r="L293" s="24" t="s">
        <v>2700</v>
      </c>
      <c r="M293" s="24" t="s">
        <v>2701</v>
      </c>
      <c r="N293" s="23" t="s">
        <v>2702</v>
      </c>
      <c r="O293" s="24" t="s">
        <v>2703</v>
      </c>
      <c r="P293" s="24" t="s">
        <v>2704</v>
      </c>
      <c r="Q293" s="24" t="s">
        <v>2705</v>
      </c>
      <c r="R293" s="24"/>
      <c r="S293" s="28" t="s">
        <v>2706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140</v>
      </c>
      <c r="Y293" s="23" t="s">
        <v>140</v>
      </c>
      <c r="Z293" s="23" t="s">
        <v>140</v>
      </c>
      <c r="AA293" s="23" t="s">
        <v>140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</row>
    <row r="294" customFormat="false" ht="26.85" hidden="false" customHeight="false" outlineLevel="0" collapsed="false">
      <c r="A294" s="21" t="n">
        <v>293</v>
      </c>
      <c r="B294" s="18" t="s">
        <v>2707</v>
      </c>
      <c r="C294" s="20" t="n">
        <v>1</v>
      </c>
      <c r="D294" s="20" t="s">
        <v>126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2636</v>
      </c>
      <c r="H294" s="18" t="s">
        <v>2654</v>
      </c>
      <c r="I294" s="21" t="s">
        <v>2606</v>
      </c>
      <c r="J294" s="22" t="s">
        <v>2708</v>
      </c>
      <c r="K294" s="23" t="s">
        <v>131</v>
      </c>
      <c r="L294" s="24" t="s">
        <v>2709</v>
      </c>
      <c r="M294" s="24" t="s">
        <v>2710</v>
      </c>
      <c r="N294" s="23" t="s">
        <v>2711</v>
      </c>
      <c r="O294" s="24" t="s">
        <v>2712</v>
      </c>
      <c r="P294" s="24" t="s">
        <v>2713</v>
      </c>
      <c r="Q294" s="24" t="s">
        <v>2714</v>
      </c>
      <c r="R294" s="27" t="s">
        <v>2715</v>
      </c>
      <c r="S294" s="24" t="s">
        <v>139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140</v>
      </c>
      <c r="Y294" s="23" t="s">
        <v>140</v>
      </c>
      <c r="Z294" s="23" t="s">
        <v>140</v>
      </c>
      <c r="AA294" s="23" t="s">
        <v>140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</row>
    <row r="295" customFormat="false" ht="26.85" hidden="false" customHeight="false" outlineLevel="0" collapsed="false">
      <c r="A295" s="21" t="n">
        <v>294</v>
      </c>
      <c r="B295" s="18" t="s">
        <v>2716</v>
      </c>
      <c r="C295" s="23" t="n">
        <v>2</v>
      </c>
      <c r="D295" s="23" t="s">
        <v>126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2636</v>
      </c>
      <c r="H295" s="18" t="s">
        <v>2579</v>
      </c>
      <c r="I295" s="21" t="s">
        <v>2606</v>
      </c>
      <c r="J295" s="22" t="s">
        <v>2717</v>
      </c>
      <c r="K295" s="23" t="s">
        <v>131</v>
      </c>
      <c r="L295" s="24" t="s">
        <v>2718</v>
      </c>
      <c r="M295" s="24" t="s">
        <v>2719</v>
      </c>
      <c r="N295" s="23" t="s">
        <v>2720</v>
      </c>
      <c r="O295" s="24" t="s">
        <v>2721</v>
      </c>
      <c r="P295" s="24" t="s">
        <v>2722</v>
      </c>
      <c r="Q295" s="24" t="s">
        <v>2723</v>
      </c>
      <c r="R295" s="24"/>
      <c r="S295" s="24" t="s">
        <v>2724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140</v>
      </c>
      <c r="Y295" s="23" t="s">
        <v>140</v>
      </c>
      <c r="Z295" s="23" t="s">
        <v>140</v>
      </c>
      <c r="AA295" s="23" t="s">
        <v>140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</row>
    <row r="296" customFormat="false" ht="15" hidden="false" customHeight="false" outlineLevel="0" collapsed="false">
      <c r="A296" s="21" t="n">
        <v>295</v>
      </c>
      <c r="B296" s="18" t="s">
        <v>2725</v>
      </c>
      <c r="C296" s="23" t="n">
        <v>2</v>
      </c>
      <c r="D296" s="23" t="s">
        <v>126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2726</v>
      </c>
      <c r="H296" s="18" t="s">
        <v>2727</v>
      </c>
      <c r="I296" s="21" t="s">
        <v>2606</v>
      </c>
      <c r="J296" s="22" t="s">
        <v>2728</v>
      </c>
      <c r="K296" s="23" t="s">
        <v>131</v>
      </c>
      <c r="L296" s="24" t="s">
        <v>2729</v>
      </c>
      <c r="M296" s="24" t="s">
        <v>2730</v>
      </c>
      <c r="N296" s="23" t="s">
        <v>2731</v>
      </c>
      <c r="O296" s="24" t="s">
        <v>738</v>
      </c>
      <c r="P296" s="24" t="s">
        <v>2732</v>
      </c>
      <c r="Q296" s="24" t="s">
        <v>2733</v>
      </c>
      <c r="R296" s="25" t="s">
        <v>2734</v>
      </c>
      <c r="S296" s="24" t="s">
        <v>2724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140</v>
      </c>
      <c r="Y296" s="23" t="s">
        <v>140</v>
      </c>
      <c r="Z296" s="23" t="s">
        <v>140</v>
      </c>
      <c r="AA296" s="23" t="s">
        <v>140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</row>
    <row r="297" customFormat="false" ht="25.35" hidden="false" customHeight="false" outlineLevel="0" collapsed="false">
      <c r="A297" s="21" t="n">
        <v>296</v>
      </c>
      <c r="B297" s="18" t="s">
        <v>2735</v>
      </c>
      <c r="C297" s="23" t="n">
        <v>2</v>
      </c>
      <c r="D297" s="23" t="s">
        <v>126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2726</v>
      </c>
      <c r="H297" s="18" t="s">
        <v>2727</v>
      </c>
      <c r="I297" s="21" t="s">
        <v>2606</v>
      </c>
      <c r="J297" s="22" t="s">
        <v>2736</v>
      </c>
      <c r="K297" s="23" t="s">
        <v>131</v>
      </c>
      <c r="L297" s="24" t="s">
        <v>2737</v>
      </c>
      <c r="M297" s="24" t="s">
        <v>2738</v>
      </c>
      <c r="N297" s="23" t="s">
        <v>2739</v>
      </c>
      <c r="O297" s="24" t="s">
        <v>2740</v>
      </c>
      <c r="P297" s="24" t="s">
        <v>2741</v>
      </c>
      <c r="Q297" s="24" t="s">
        <v>2742</v>
      </c>
      <c r="R297" s="25" t="s">
        <v>1832</v>
      </c>
      <c r="S297" s="24" t="s">
        <v>2724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140</v>
      </c>
      <c r="Y297" s="23" t="s">
        <v>140</v>
      </c>
      <c r="Z297" s="23" t="s">
        <v>140</v>
      </c>
      <c r="AA297" s="23" t="s">
        <v>140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</row>
    <row r="298" customFormat="false" ht="39.55" hidden="false" customHeight="false" outlineLevel="0" collapsed="false">
      <c r="A298" s="21" t="n">
        <v>297</v>
      </c>
      <c r="B298" s="18" t="s">
        <v>2743</v>
      </c>
      <c r="C298" s="20" t="n">
        <v>1</v>
      </c>
      <c r="D298" s="20" t="s">
        <v>126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2726</v>
      </c>
      <c r="H298" s="18" t="s">
        <v>2654</v>
      </c>
      <c r="I298" s="21" t="s">
        <v>2606</v>
      </c>
      <c r="J298" s="22" t="s">
        <v>2744</v>
      </c>
      <c r="K298" s="23" t="s">
        <v>131</v>
      </c>
      <c r="L298" s="29" t="s">
        <v>2745</v>
      </c>
      <c r="M298" s="24" t="s">
        <v>2746</v>
      </c>
      <c r="N298" s="23" t="s">
        <v>2747</v>
      </c>
      <c r="O298" s="24" t="s">
        <v>2748</v>
      </c>
      <c r="P298" s="24" t="s">
        <v>2749</v>
      </c>
      <c r="Q298" s="24" t="s">
        <v>2750</v>
      </c>
      <c r="R298" s="24"/>
      <c r="S298" s="28" t="s">
        <v>2751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140</v>
      </c>
      <c r="Y298" s="23" t="s">
        <v>140</v>
      </c>
      <c r="Z298" s="23" t="s">
        <v>140</v>
      </c>
      <c r="AA298" s="23" t="s">
        <v>140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</row>
    <row r="299" customFormat="false" ht="26.85" hidden="false" customHeight="false" outlineLevel="0" collapsed="false">
      <c r="A299" s="21" t="n">
        <v>298</v>
      </c>
      <c r="B299" s="18" t="s">
        <v>2752</v>
      </c>
      <c r="C299" s="23" t="n">
        <v>2</v>
      </c>
      <c r="D299" s="23" t="s">
        <v>126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2726</v>
      </c>
      <c r="H299" s="18" t="s">
        <v>2727</v>
      </c>
      <c r="I299" s="21" t="s">
        <v>2606</v>
      </c>
      <c r="J299" s="22" t="s">
        <v>2753</v>
      </c>
      <c r="K299" s="23" t="s">
        <v>131</v>
      </c>
      <c r="L299" s="24" t="s">
        <v>2754</v>
      </c>
      <c r="M299" s="24" t="s">
        <v>2755</v>
      </c>
      <c r="N299" s="23" t="s">
        <v>2756</v>
      </c>
      <c r="O299" s="24" t="s">
        <v>2757</v>
      </c>
      <c r="P299" s="24" t="s">
        <v>2758</v>
      </c>
      <c r="Q299" s="24" t="s">
        <v>2759</v>
      </c>
      <c r="R299" s="24"/>
      <c r="S299" s="24" t="s">
        <v>2760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140</v>
      </c>
      <c r="Y299" s="23" t="s">
        <v>140</v>
      </c>
      <c r="Z299" s="23" t="s">
        <v>140</v>
      </c>
      <c r="AA299" s="23" t="s">
        <v>140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</row>
    <row r="300" customFormat="false" ht="26.85" hidden="false" customHeight="false" outlineLevel="0" collapsed="false">
      <c r="A300" s="21" t="n">
        <v>299</v>
      </c>
      <c r="B300" s="18" t="s">
        <v>2761</v>
      </c>
      <c r="C300" s="23" t="n">
        <v>2</v>
      </c>
      <c r="D300" s="23" t="s">
        <v>126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2726</v>
      </c>
      <c r="H300" s="18" t="s">
        <v>2727</v>
      </c>
      <c r="I300" s="21" t="s">
        <v>2606</v>
      </c>
      <c r="J300" s="22" t="s">
        <v>2762</v>
      </c>
      <c r="K300" s="23" t="s">
        <v>131</v>
      </c>
      <c r="L300" s="24" t="s">
        <v>2763</v>
      </c>
      <c r="M300" s="24" t="s">
        <v>2764</v>
      </c>
      <c r="N300" s="23" t="s">
        <v>2765</v>
      </c>
      <c r="O300" s="24" t="s">
        <v>2766</v>
      </c>
      <c r="P300" s="24" t="s">
        <v>2767</v>
      </c>
      <c r="Q300" s="24" t="s">
        <v>2768</v>
      </c>
      <c r="R300" s="25" t="s">
        <v>2769</v>
      </c>
      <c r="S300" s="24" t="s">
        <v>2760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140</v>
      </c>
      <c r="Y300" s="23" t="s">
        <v>140</v>
      </c>
      <c r="Z300" s="23" t="s">
        <v>140</v>
      </c>
      <c r="AA300" s="23" t="s">
        <v>140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</row>
    <row r="301" customFormat="false" ht="26.85" hidden="false" customHeight="false" outlineLevel="0" collapsed="false">
      <c r="A301" s="21" t="n">
        <v>300</v>
      </c>
      <c r="B301" s="18" t="s">
        <v>2770</v>
      </c>
      <c r="C301" s="23" t="n">
        <v>2</v>
      </c>
      <c r="D301" s="23" t="s">
        <v>126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2726</v>
      </c>
      <c r="H301" s="18" t="s">
        <v>2727</v>
      </c>
      <c r="I301" s="21" t="s">
        <v>2606</v>
      </c>
      <c r="J301" s="22" t="s">
        <v>2771</v>
      </c>
      <c r="K301" s="23" t="s">
        <v>1095</v>
      </c>
      <c r="L301" s="24" t="s">
        <v>2772</v>
      </c>
      <c r="M301" s="24" t="s">
        <v>2773</v>
      </c>
      <c r="N301" s="23" t="s">
        <v>2774</v>
      </c>
      <c r="O301" s="24" t="s">
        <v>2775</v>
      </c>
      <c r="P301" s="24" t="s">
        <v>2776</v>
      </c>
      <c r="Q301" s="24" t="s">
        <v>2525</v>
      </c>
      <c r="R301" s="27" t="s">
        <v>2777</v>
      </c>
      <c r="S301" s="24" t="s">
        <v>2760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140</v>
      </c>
      <c r="Y301" s="23" t="s">
        <v>140</v>
      </c>
      <c r="Z301" s="23" t="s">
        <v>140</v>
      </c>
      <c r="AA301" s="23" t="s">
        <v>140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</row>
    <row r="302" customFormat="false" ht="52.2" hidden="false" customHeight="false" outlineLevel="0" collapsed="false">
      <c r="A302" s="21" t="n">
        <v>301</v>
      </c>
      <c r="B302" s="18" t="s">
        <v>2778</v>
      </c>
      <c r="C302" s="20" t="n">
        <v>1</v>
      </c>
      <c r="D302" s="20" t="s">
        <v>126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2726</v>
      </c>
      <c r="H302" s="18" t="s">
        <v>2654</v>
      </c>
      <c r="I302" s="21" t="s">
        <v>2606</v>
      </c>
      <c r="J302" s="22" t="s">
        <v>2779</v>
      </c>
      <c r="K302" s="23" t="s">
        <v>131</v>
      </c>
      <c r="L302" s="24" t="s">
        <v>2780</v>
      </c>
      <c r="M302" s="24" t="s">
        <v>2781</v>
      </c>
      <c r="N302" s="23" t="s">
        <v>2782</v>
      </c>
      <c r="O302" s="24" t="s">
        <v>2783</v>
      </c>
      <c r="P302" s="24" t="s">
        <v>2784</v>
      </c>
      <c r="Q302" s="24" t="s">
        <v>2785</v>
      </c>
      <c r="R302" s="24"/>
      <c r="S302" s="28" t="s">
        <v>2786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140</v>
      </c>
      <c r="Y302" s="23" t="s">
        <v>140</v>
      </c>
      <c r="Z302" s="23" t="s">
        <v>140</v>
      </c>
      <c r="AA302" s="23" t="s">
        <v>140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</row>
    <row r="303" customFormat="false" ht="25.35" hidden="false" customHeight="false" outlineLevel="0" collapsed="false">
      <c r="A303" s="21" t="n">
        <v>302</v>
      </c>
      <c r="B303" s="18" t="s">
        <v>2787</v>
      </c>
      <c r="C303" s="23" t="n">
        <v>2</v>
      </c>
      <c r="D303" s="23" t="s">
        <v>126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2788</v>
      </c>
      <c r="H303" s="18" t="s">
        <v>2727</v>
      </c>
      <c r="I303" s="21" t="s">
        <v>2606</v>
      </c>
      <c r="J303" s="22" t="s">
        <v>2789</v>
      </c>
      <c r="K303" s="23" t="s">
        <v>131</v>
      </c>
      <c r="L303" s="24" t="s">
        <v>2790</v>
      </c>
      <c r="M303" s="24" t="s">
        <v>2791</v>
      </c>
      <c r="N303" s="23" t="s">
        <v>2792</v>
      </c>
      <c r="O303" s="24" t="s">
        <v>2793</v>
      </c>
      <c r="P303" s="24" t="s">
        <v>2794</v>
      </c>
      <c r="Q303" s="24" t="s">
        <v>2795</v>
      </c>
      <c r="R303" s="24"/>
      <c r="S303" s="24" t="s">
        <v>2796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140</v>
      </c>
      <c r="Y303" s="23" t="s">
        <v>140</v>
      </c>
      <c r="Z303" s="23" t="s">
        <v>140</v>
      </c>
      <c r="AA303" s="23" t="s">
        <v>140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</row>
    <row r="304" customFormat="false" ht="39.55" hidden="false" customHeight="false" outlineLevel="0" collapsed="false">
      <c r="A304" s="21" t="n">
        <v>303</v>
      </c>
      <c r="B304" s="18" t="s">
        <v>2797</v>
      </c>
      <c r="C304" s="20" t="n">
        <v>1</v>
      </c>
      <c r="D304" s="20" t="s">
        <v>126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2788</v>
      </c>
      <c r="H304" s="18" t="s">
        <v>2654</v>
      </c>
      <c r="I304" s="21" t="s">
        <v>2606</v>
      </c>
      <c r="J304" s="22" t="s">
        <v>2798</v>
      </c>
      <c r="K304" s="23" t="s">
        <v>131</v>
      </c>
      <c r="L304" s="24" t="s">
        <v>2799</v>
      </c>
      <c r="M304" s="24" t="s">
        <v>2800</v>
      </c>
      <c r="N304" s="23" t="s">
        <v>2801</v>
      </c>
      <c r="O304" s="24" t="s">
        <v>2802</v>
      </c>
      <c r="P304" s="24" t="s">
        <v>2803</v>
      </c>
      <c r="Q304" s="24" t="s">
        <v>2804</v>
      </c>
      <c r="R304" s="25" t="s">
        <v>2805</v>
      </c>
      <c r="S304" s="28" t="s">
        <v>2806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140</v>
      </c>
      <c r="Y304" s="23" t="s">
        <v>140</v>
      </c>
      <c r="Z304" s="23" t="s">
        <v>140</v>
      </c>
      <c r="AA304" s="23" t="s">
        <v>140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</row>
    <row r="305" customFormat="false" ht="26.85" hidden="false" customHeight="false" outlineLevel="0" collapsed="false">
      <c r="A305" s="21" t="n">
        <v>304</v>
      </c>
      <c r="B305" s="18" t="s">
        <v>2807</v>
      </c>
      <c r="C305" s="23" t="n">
        <v>2</v>
      </c>
      <c r="D305" s="23" t="s">
        <v>126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2788</v>
      </c>
      <c r="H305" s="18" t="s">
        <v>2727</v>
      </c>
      <c r="I305" s="21" t="s">
        <v>2606</v>
      </c>
      <c r="J305" s="22" t="s">
        <v>2808</v>
      </c>
      <c r="K305" s="23" t="s">
        <v>131</v>
      </c>
      <c r="L305" s="24" t="s">
        <v>2809</v>
      </c>
      <c r="M305" s="24" t="s">
        <v>2810</v>
      </c>
      <c r="N305" s="23" t="s">
        <v>2811</v>
      </c>
      <c r="O305" s="24" t="s">
        <v>2812</v>
      </c>
      <c r="P305" s="24" t="s">
        <v>2813</v>
      </c>
      <c r="Q305" s="24" t="s">
        <v>2814</v>
      </c>
      <c r="R305" s="24"/>
      <c r="S305" s="24" t="s">
        <v>2815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140</v>
      </c>
      <c r="Y305" s="23" t="s">
        <v>140</v>
      </c>
      <c r="Z305" s="23" t="s">
        <v>140</v>
      </c>
      <c r="AA305" s="23" t="s">
        <v>140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</row>
    <row r="306" customFormat="false" ht="26.85" hidden="false" customHeight="false" outlineLevel="0" collapsed="false">
      <c r="A306" s="21" t="n">
        <v>305</v>
      </c>
      <c r="B306" s="18" t="s">
        <v>2816</v>
      </c>
      <c r="C306" s="23" t="n">
        <v>2</v>
      </c>
      <c r="D306" s="23" t="s">
        <v>126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2788</v>
      </c>
      <c r="H306" s="18" t="s">
        <v>2727</v>
      </c>
      <c r="I306" s="21" t="s">
        <v>2606</v>
      </c>
      <c r="J306" s="22" t="s">
        <v>2817</v>
      </c>
      <c r="K306" s="23" t="s">
        <v>131</v>
      </c>
      <c r="L306" s="24" t="s">
        <v>2818</v>
      </c>
      <c r="M306" s="29" t="s">
        <v>2819</v>
      </c>
      <c r="N306" s="23" t="s">
        <v>2820</v>
      </c>
      <c r="O306" s="24" t="s">
        <v>2821</v>
      </c>
      <c r="P306" s="24" t="s">
        <v>2822</v>
      </c>
      <c r="Q306" s="24" t="s">
        <v>2340</v>
      </c>
      <c r="R306" s="27" t="s">
        <v>2823</v>
      </c>
      <c r="S306" s="24" t="s">
        <v>2815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140</v>
      </c>
      <c r="Y306" s="23" t="s">
        <v>140</v>
      </c>
      <c r="Z306" s="23" t="s">
        <v>140</v>
      </c>
      <c r="AA306" s="23" t="s">
        <v>140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</row>
    <row r="307" customFormat="false" ht="39.55" hidden="false" customHeight="false" outlineLevel="0" collapsed="false">
      <c r="A307" s="21" t="n">
        <v>306</v>
      </c>
      <c r="B307" s="18" t="s">
        <v>2824</v>
      </c>
      <c r="C307" s="20" t="n">
        <v>1</v>
      </c>
      <c r="D307" s="20" t="s">
        <v>126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2788</v>
      </c>
      <c r="H307" s="18" t="s">
        <v>2654</v>
      </c>
      <c r="I307" s="21" t="s">
        <v>2606</v>
      </c>
      <c r="J307" s="22" t="s">
        <v>2825</v>
      </c>
      <c r="K307" s="23" t="s">
        <v>131</v>
      </c>
      <c r="L307" s="24" t="s">
        <v>2826</v>
      </c>
      <c r="M307" s="24" t="s">
        <v>2827</v>
      </c>
      <c r="N307" s="23" t="s">
        <v>2828</v>
      </c>
      <c r="O307" s="24" t="s">
        <v>2829</v>
      </c>
      <c r="P307" s="24" t="s">
        <v>2830</v>
      </c>
      <c r="Q307" s="24" t="s">
        <v>2759</v>
      </c>
      <c r="R307" s="24"/>
      <c r="S307" s="28" t="s">
        <v>2831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140</v>
      </c>
      <c r="Y307" s="23" t="s">
        <v>140</v>
      </c>
      <c r="Z307" s="23" t="s">
        <v>140</v>
      </c>
      <c r="AA307" s="23" t="s">
        <v>140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</row>
    <row r="308" customFormat="false" ht="26.85" hidden="false" customHeight="false" outlineLevel="0" collapsed="false">
      <c r="A308" s="21" t="n">
        <v>307</v>
      </c>
      <c r="B308" s="18" t="s">
        <v>2832</v>
      </c>
      <c r="C308" s="23" t="n">
        <v>2</v>
      </c>
      <c r="D308" s="23" t="s">
        <v>126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2788</v>
      </c>
      <c r="H308" s="18" t="s">
        <v>2727</v>
      </c>
      <c r="I308" s="21" t="s">
        <v>2606</v>
      </c>
      <c r="J308" s="22" t="s">
        <v>2833</v>
      </c>
      <c r="K308" s="23" t="s">
        <v>131</v>
      </c>
      <c r="L308" s="24" t="s">
        <v>2834</v>
      </c>
      <c r="M308" s="24" t="s">
        <v>2835</v>
      </c>
      <c r="N308" s="23" t="s">
        <v>2836</v>
      </c>
      <c r="O308" s="24" t="s">
        <v>2837</v>
      </c>
      <c r="P308" s="24" t="s">
        <v>2838</v>
      </c>
      <c r="Q308" s="24" t="s">
        <v>2839</v>
      </c>
      <c r="R308" s="24"/>
      <c r="S308" s="24" t="s">
        <v>2840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140</v>
      </c>
      <c r="Y308" s="23" t="s">
        <v>140</v>
      </c>
      <c r="Z308" s="23" t="s">
        <v>140</v>
      </c>
      <c r="AA308" s="23" t="s">
        <v>140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</row>
    <row r="309" customFormat="false" ht="26.85" hidden="false" customHeight="false" outlineLevel="0" collapsed="false">
      <c r="A309" s="21" t="n">
        <v>308</v>
      </c>
      <c r="B309" s="18" t="s">
        <v>2841</v>
      </c>
      <c r="C309" s="23" t="n">
        <v>2</v>
      </c>
      <c r="D309" s="23" t="s">
        <v>126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2788</v>
      </c>
      <c r="H309" s="18" t="s">
        <v>2727</v>
      </c>
      <c r="I309" s="21" t="s">
        <v>2606</v>
      </c>
      <c r="J309" s="22" t="s">
        <v>2842</v>
      </c>
      <c r="K309" s="23" t="s">
        <v>131</v>
      </c>
      <c r="L309" s="24" t="s">
        <v>2843</v>
      </c>
      <c r="M309" s="24" t="s">
        <v>2844</v>
      </c>
      <c r="N309" s="23" t="s">
        <v>2845</v>
      </c>
      <c r="O309" s="24" t="s">
        <v>2846</v>
      </c>
      <c r="P309" s="24" t="s">
        <v>2847</v>
      </c>
      <c r="Q309" s="24" t="s">
        <v>2848</v>
      </c>
      <c r="R309" s="24"/>
      <c r="S309" s="24" t="s">
        <v>2840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140</v>
      </c>
      <c r="Y309" s="23" t="s">
        <v>140</v>
      </c>
      <c r="Z309" s="23" t="s">
        <v>140</v>
      </c>
      <c r="AA309" s="23" t="s">
        <v>140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</row>
    <row r="310" customFormat="false" ht="39.55" hidden="false" customHeight="false" outlineLevel="0" collapsed="false">
      <c r="A310" s="21" t="n">
        <v>309</v>
      </c>
      <c r="B310" s="18" t="s">
        <v>2849</v>
      </c>
      <c r="C310" s="20" t="n">
        <v>1</v>
      </c>
      <c r="D310" s="20" t="s">
        <v>126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2788</v>
      </c>
      <c r="H310" s="18" t="s">
        <v>2654</v>
      </c>
      <c r="I310" s="21" t="s">
        <v>2606</v>
      </c>
      <c r="J310" s="22" t="s">
        <v>2850</v>
      </c>
      <c r="K310" s="23" t="s">
        <v>131</v>
      </c>
      <c r="L310" s="24" t="s">
        <v>2851</v>
      </c>
      <c r="M310" s="24" t="s">
        <v>2852</v>
      </c>
      <c r="N310" s="23" t="s">
        <v>2853</v>
      </c>
      <c r="O310" s="24" t="s">
        <v>2854</v>
      </c>
      <c r="P310" s="24" t="s">
        <v>2855</v>
      </c>
      <c r="Q310" s="24" t="s">
        <v>2856</v>
      </c>
      <c r="R310" s="25" t="s">
        <v>2857</v>
      </c>
      <c r="S310" s="28" t="s">
        <v>2858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140</v>
      </c>
      <c r="Y310" s="23" t="s">
        <v>140</v>
      </c>
      <c r="Z310" s="23" t="s">
        <v>140</v>
      </c>
      <c r="AA310" s="23" t="s">
        <v>140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</row>
    <row r="311" customFormat="false" ht="26.85" hidden="false" customHeight="false" outlineLevel="0" collapsed="false">
      <c r="A311" s="21" t="n">
        <v>310</v>
      </c>
      <c r="B311" s="18" t="s">
        <v>2859</v>
      </c>
      <c r="C311" s="23" t="n">
        <v>2</v>
      </c>
      <c r="D311" s="23" t="s">
        <v>126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2860</v>
      </c>
      <c r="H311" s="18" t="s">
        <v>2861</v>
      </c>
      <c r="I311" s="21" t="s">
        <v>2862</v>
      </c>
      <c r="J311" s="22" t="s">
        <v>2863</v>
      </c>
      <c r="K311" s="23" t="s">
        <v>1095</v>
      </c>
      <c r="L311" s="24" t="s">
        <v>2864</v>
      </c>
      <c r="M311" s="24" t="s">
        <v>2865</v>
      </c>
      <c r="N311" s="23" t="s">
        <v>2866</v>
      </c>
      <c r="O311" s="24" t="s">
        <v>2867</v>
      </c>
      <c r="P311" s="24" t="s">
        <v>2868</v>
      </c>
      <c r="Q311" s="24" t="s">
        <v>253</v>
      </c>
      <c r="R311" s="24"/>
      <c r="S311" s="24" t="s">
        <v>2869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140</v>
      </c>
      <c r="Y311" s="23" t="s">
        <v>140</v>
      </c>
      <c r="Z311" s="23" t="s">
        <v>140</v>
      </c>
      <c r="AA311" s="23" t="s">
        <v>140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</row>
    <row r="312" customFormat="false" ht="26.85" hidden="false" customHeight="false" outlineLevel="0" collapsed="false">
      <c r="A312" s="21" t="n">
        <v>311</v>
      </c>
      <c r="B312" s="18" t="s">
        <v>2870</v>
      </c>
      <c r="C312" s="23" t="n">
        <v>2</v>
      </c>
      <c r="D312" s="23" t="s">
        <v>126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2860</v>
      </c>
      <c r="H312" s="18" t="s">
        <v>2861</v>
      </c>
      <c r="I312" s="21" t="s">
        <v>2862</v>
      </c>
      <c r="J312" s="22" t="s">
        <v>2871</v>
      </c>
      <c r="K312" s="23" t="s">
        <v>1095</v>
      </c>
      <c r="L312" s="24" t="s">
        <v>2872</v>
      </c>
      <c r="M312" s="24" t="s">
        <v>2873</v>
      </c>
      <c r="N312" s="23" t="s">
        <v>2874</v>
      </c>
      <c r="O312" s="24" t="s">
        <v>2875</v>
      </c>
      <c r="P312" s="24" t="s">
        <v>2876</v>
      </c>
      <c r="Q312" s="24" t="s">
        <v>2877</v>
      </c>
      <c r="R312" s="25" t="s">
        <v>2878</v>
      </c>
      <c r="S312" s="24" t="s">
        <v>2869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140</v>
      </c>
      <c r="Y312" s="23" t="s">
        <v>140</v>
      </c>
      <c r="Z312" s="23" t="s">
        <v>140</v>
      </c>
      <c r="AA312" s="23" t="s">
        <v>140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</row>
    <row r="313" customFormat="false" ht="26.85" hidden="false" customHeight="false" outlineLevel="0" collapsed="false">
      <c r="A313" s="21" t="n">
        <v>312</v>
      </c>
      <c r="B313" s="18" t="s">
        <v>2879</v>
      </c>
      <c r="C313" s="23" t="n">
        <v>2</v>
      </c>
      <c r="D313" s="23" t="s">
        <v>126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2860</v>
      </c>
      <c r="H313" s="18" t="s">
        <v>2861</v>
      </c>
      <c r="I313" s="21" t="s">
        <v>2862</v>
      </c>
      <c r="J313" s="22" t="s">
        <v>2880</v>
      </c>
      <c r="K313" s="23" t="s">
        <v>1095</v>
      </c>
      <c r="L313" s="24" t="s">
        <v>2881</v>
      </c>
      <c r="M313" s="24" t="s">
        <v>2882</v>
      </c>
      <c r="N313" s="23" t="s">
        <v>2883</v>
      </c>
      <c r="O313" s="24" t="s">
        <v>2884</v>
      </c>
      <c r="P313" s="24" t="s">
        <v>2885</v>
      </c>
      <c r="Q313" s="24" t="s">
        <v>2886</v>
      </c>
      <c r="R313" s="24"/>
      <c r="S313" s="24" t="s">
        <v>2869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140</v>
      </c>
      <c r="Y313" s="23" t="s">
        <v>140</v>
      </c>
      <c r="Z313" s="23" t="s">
        <v>140</v>
      </c>
      <c r="AA313" s="23" t="s">
        <v>140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</row>
    <row r="314" customFormat="false" ht="26.85" hidden="false" customHeight="false" outlineLevel="0" collapsed="false">
      <c r="A314" s="21" t="n">
        <v>313</v>
      </c>
      <c r="B314" s="18" t="s">
        <v>2887</v>
      </c>
      <c r="C314" s="23" t="n">
        <v>2</v>
      </c>
      <c r="D314" s="23" t="s">
        <v>126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2860</v>
      </c>
      <c r="H314" s="18" t="s">
        <v>2861</v>
      </c>
      <c r="I314" s="21" t="s">
        <v>2862</v>
      </c>
      <c r="J314" s="22" t="s">
        <v>2888</v>
      </c>
      <c r="K314" s="23" t="s">
        <v>1095</v>
      </c>
      <c r="L314" s="24" t="s">
        <v>2889</v>
      </c>
      <c r="M314" s="24" t="s">
        <v>2890</v>
      </c>
      <c r="N314" s="23" t="s">
        <v>2891</v>
      </c>
      <c r="O314" s="24" t="s">
        <v>2892</v>
      </c>
      <c r="P314" s="24" t="s">
        <v>2893</v>
      </c>
      <c r="Q314" s="24" t="s">
        <v>2894</v>
      </c>
      <c r="R314" s="24"/>
      <c r="S314" s="24" t="s">
        <v>2869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140</v>
      </c>
      <c r="Y314" s="23" t="s">
        <v>140</v>
      </c>
      <c r="Z314" s="23" t="s">
        <v>140</v>
      </c>
      <c r="AA314" s="23" t="s">
        <v>140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</row>
    <row r="315" customFormat="false" ht="26.85" hidden="false" customHeight="false" outlineLevel="0" collapsed="false">
      <c r="A315" s="21" t="n">
        <v>314</v>
      </c>
      <c r="B315" s="18" t="s">
        <v>2895</v>
      </c>
      <c r="C315" s="23" t="n">
        <v>2</v>
      </c>
      <c r="D315" s="23" t="s">
        <v>126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2860</v>
      </c>
      <c r="H315" s="18" t="s">
        <v>2861</v>
      </c>
      <c r="I315" s="21" t="s">
        <v>2862</v>
      </c>
      <c r="J315" s="22" t="s">
        <v>2896</v>
      </c>
      <c r="K315" s="23" t="s">
        <v>1095</v>
      </c>
      <c r="L315" s="24" t="s">
        <v>2897</v>
      </c>
      <c r="M315" s="24" t="s">
        <v>2898</v>
      </c>
      <c r="N315" s="23" t="s">
        <v>2899</v>
      </c>
      <c r="O315" s="24" t="s">
        <v>2900</v>
      </c>
      <c r="P315" s="24" t="s">
        <v>2901</v>
      </c>
      <c r="Q315" s="24" t="s">
        <v>2902</v>
      </c>
      <c r="R315" s="25" t="s">
        <v>2403</v>
      </c>
      <c r="S315" s="24" t="s">
        <v>2869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140</v>
      </c>
      <c r="Y315" s="23" t="s">
        <v>140</v>
      </c>
      <c r="Z315" s="23" t="s">
        <v>140</v>
      </c>
      <c r="AA315" s="23" t="s">
        <v>140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</row>
    <row r="316" customFormat="false" ht="26.85" hidden="false" customHeight="false" outlineLevel="0" collapsed="false">
      <c r="A316" s="21" t="n">
        <v>315</v>
      </c>
      <c r="B316" s="18" t="s">
        <v>2903</v>
      </c>
      <c r="C316" s="23" t="n">
        <v>2</v>
      </c>
      <c r="D316" s="23" t="s">
        <v>126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2860</v>
      </c>
      <c r="H316" s="18" t="s">
        <v>2861</v>
      </c>
      <c r="I316" s="21" t="s">
        <v>2862</v>
      </c>
      <c r="J316" s="22" t="s">
        <v>2904</v>
      </c>
      <c r="K316" s="23" t="s">
        <v>1095</v>
      </c>
      <c r="L316" s="24" t="s">
        <v>2905</v>
      </c>
      <c r="M316" s="24" t="s">
        <v>2906</v>
      </c>
      <c r="N316" s="23" t="s">
        <v>2907</v>
      </c>
      <c r="O316" s="24" t="s">
        <v>2908</v>
      </c>
      <c r="P316" s="24" t="s">
        <v>2909</v>
      </c>
      <c r="Q316" s="24" t="s">
        <v>2910</v>
      </c>
      <c r="R316" s="24"/>
      <c r="S316" s="24" t="s">
        <v>2869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140</v>
      </c>
      <c r="Y316" s="23" t="s">
        <v>140</v>
      </c>
      <c r="Z316" s="23" t="s">
        <v>140</v>
      </c>
      <c r="AA316" s="23" t="s">
        <v>140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</row>
    <row r="317" customFormat="false" ht="26.85" hidden="false" customHeight="false" outlineLevel="0" collapsed="false">
      <c r="A317" s="21" t="n">
        <v>316</v>
      </c>
      <c r="B317" s="18" t="s">
        <v>2911</v>
      </c>
      <c r="C317" s="23" t="n">
        <v>2</v>
      </c>
      <c r="D317" s="23" t="s">
        <v>126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2860</v>
      </c>
      <c r="H317" s="18" t="s">
        <v>2861</v>
      </c>
      <c r="I317" s="21" t="s">
        <v>2862</v>
      </c>
      <c r="J317" s="22" t="s">
        <v>2912</v>
      </c>
      <c r="K317" s="23" t="s">
        <v>1095</v>
      </c>
      <c r="L317" s="24" t="s">
        <v>2913</v>
      </c>
      <c r="M317" s="24" t="s">
        <v>2914</v>
      </c>
      <c r="N317" s="23" t="s">
        <v>2915</v>
      </c>
      <c r="O317" s="24" t="s">
        <v>2916</v>
      </c>
      <c r="P317" s="24" t="s">
        <v>2917</v>
      </c>
      <c r="Q317" s="24" t="s">
        <v>2918</v>
      </c>
      <c r="R317" s="24"/>
      <c r="S317" s="24" t="s">
        <v>2869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140</v>
      </c>
      <c r="Y317" s="23" t="s">
        <v>140</v>
      </c>
      <c r="Z317" s="23" t="s">
        <v>140</v>
      </c>
      <c r="AA317" s="23" t="s">
        <v>140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</row>
    <row r="318" customFormat="false" ht="26.85" hidden="false" customHeight="false" outlineLevel="0" collapsed="false">
      <c r="A318" s="21" t="n">
        <v>317</v>
      </c>
      <c r="B318" s="18" t="s">
        <v>2919</v>
      </c>
      <c r="C318" s="23" t="n">
        <v>2</v>
      </c>
      <c r="D318" s="23" t="s">
        <v>126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2920</v>
      </c>
      <c r="H318" s="18" t="s">
        <v>2921</v>
      </c>
      <c r="I318" s="21" t="s">
        <v>2922</v>
      </c>
      <c r="J318" s="22" t="s">
        <v>2923</v>
      </c>
      <c r="K318" s="23" t="s">
        <v>1095</v>
      </c>
      <c r="L318" s="24" t="s">
        <v>2924</v>
      </c>
      <c r="M318" s="24" t="s">
        <v>2925</v>
      </c>
      <c r="N318" s="23" t="s">
        <v>2926</v>
      </c>
      <c r="O318" s="24" t="s">
        <v>2927</v>
      </c>
      <c r="P318" s="24" t="s">
        <v>2429</v>
      </c>
      <c r="Q318" s="24" t="s">
        <v>2928</v>
      </c>
      <c r="R318" s="24"/>
      <c r="S318" s="24" t="s">
        <v>2869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140</v>
      </c>
      <c r="Y318" s="23" t="s">
        <v>140</v>
      </c>
      <c r="Z318" s="23" t="s">
        <v>140</v>
      </c>
      <c r="AA318" s="23" t="s">
        <v>140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</row>
    <row r="319" customFormat="false" ht="26.85" hidden="false" customHeight="false" outlineLevel="0" collapsed="false">
      <c r="A319" s="21" t="n">
        <v>318</v>
      </c>
      <c r="B319" s="18" t="s">
        <v>2929</v>
      </c>
      <c r="C319" s="23" t="n">
        <v>2</v>
      </c>
      <c r="D319" s="23" t="s">
        <v>126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2920</v>
      </c>
      <c r="H319" s="18" t="s">
        <v>2921</v>
      </c>
      <c r="I319" s="21" t="s">
        <v>2922</v>
      </c>
      <c r="J319" s="22" t="s">
        <v>2930</v>
      </c>
      <c r="K319" s="23" t="s">
        <v>1095</v>
      </c>
      <c r="L319" s="24" t="s">
        <v>2931</v>
      </c>
      <c r="M319" s="24" t="s">
        <v>2932</v>
      </c>
      <c r="N319" s="23" t="s">
        <v>2933</v>
      </c>
      <c r="O319" s="24" t="s">
        <v>2934</v>
      </c>
      <c r="P319" s="24" t="s">
        <v>2935</v>
      </c>
      <c r="Q319" s="24" t="s">
        <v>2340</v>
      </c>
      <c r="R319" s="24"/>
      <c r="S319" s="24" t="s">
        <v>2869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140</v>
      </c>
      <c r="Y319" s="23" t="s">
        <v>140</v>
      </c>
      <c r="Z319" s="23" t="s">
        <v>140</v>
      </c>
      <c r="AA319" s="23" t="s">
        <v>140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</row>
    <row r="320" customFormat="false" ht="52.2" hidden="false" customHeight="false" outlineLevel="0" collapsed="false">
      <c r="A320" s="21" t="n">
        <v>319</v>
      </c>
      <c r="B320" s="18" t="s">
        <v>2936</v>
      </c>
      <c r="C320" s="20" t="n">
        <v>1</v>
      </c>
      <c r="D320" s="20" t="s">
        <v>126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2920</v>
      </c>
      <c r="H320" s="18" t="s">
        <v>2937</v>
      </c>
      <c r="I320" s="21" t="s">
        <v>2922</v>
      </c>
      <c r="J320" s="22" t="s">
        <v>2938</v>
      </c>
      <c r="K320" s="23" t="s">
        <v>1095</v>
      </c>
      <c r="L320" s="24" t="s">
        <v>2939</v>
      </c>
      <c r="M320" s="24" t="s">
        <v>2940</v>
      </c>
      <c r="N320" s="23" t="s">
        <v>2941</v>
      </c>
      <c r="O320" s="24" t="s">
        <v>2942</v>
      </c>
      <c r="P320" s="24" t="s">
        <v>2943</v>
      </c>
      <c r="Q320" s="24" t="s">
        <v>2944</v>
      </c>
      <c r="R320" s="24"/>
      <c r="S320" s="28" t="s">
        <v>2945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140</v>
      </c>
      <c r="Y320" s="23" t="s">
        <v>140</v>
      </c>
      <c r="Z320" s="23" t="s">
        <v>140</v>
      </c>
      <c r="AA320" s="23" t="s">
        <v>140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</row>
    <row r="321" customFormat="false" ht="26.85" hidden="false" customHeight="false" outlineLevel="0" collapsed="false">
      <c r="A321" s="21" t="n">
        <v>320</v>
      </c>
      <c r="B321" s="18" t="s">
        <v>2946</v>
      </c>
      <c r="C321" s="23" t="n">
        <v>2</v>
      </c>
      <c r="D321" s="23" t="s">
        <v>126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2920</v>
      </c>
      <c r="H321" s="18" t="s">
        <v>2921</v>
      </c>
      <c r="I321" s="21" t="s">
        <v>2922</v>
      </c>
      <c r="J321" s="22" t="s">
        <v>2947</v>
      </c>
      <c r="K321" s="23" t="s">
        <v>1095</v>
      </c>
      <c r="L321" s="24" t="s">
        <v>2948</v>
      </c>
      <c r="M321" s="24" t="s">
        <v>2949</v>
      </c>
      <c r="N321" s="23" t="s">
        <v>2950</v>
      </c>
      <c r="O321" s="24" t="s">
        <v>2951</v>
      </c>
      <c r="P321" s="24" t="s">
        <v>2952</v>
      </c>
      <c r="Q321" s="24" t="s">
        <v>2953</v>
      </c>
      <c r="R321" s="24"/>
      <c r="S321" s="24" t="s">
        <v>2954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140</v>
      </c>
      <c r="Y321" s="23" t="s">
        <v>140</v>
      </c>
      <c r="Z321" s="23" t="s">
        <v>140</v>
      </c>
      <c r="AA321" s="23" t="s">
        <v>140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</row>
    <row r="322" customFormat="false" ht="26.85" hidden="false" customHeight="false" outlineLevel="0" collapsed="false">
      <c r="A322" s="21" t="n">
        <v>321</v>
      </c>
      <c r="B322" s="18" t="s">
        <v>2955</v>
      </c>
      <c r="C322" s="23" t="n">
        <v>2</v>
      </c>
      <c r="D322" s="23" t="s">
        <v>126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2920</v>
      </c>
      <c r="H322" s="18" t="s">
        <v>2921</v>
      </c>
      <c r="I322" s="21" t="s">
        <v>2922</v>
      </c>
      <c r="J322" s="22" t="s">
        <v>2956</v>
      </c>
      <c r="K322" s="23" t="s">
        <v>1095</v>
      </c>
      <c r="L322" s="24" t="s">
        <v>2957</v>
      </c>
      <c r="M322" s="24" t="s">
        <v>2958</v>
      </c>
      <c r="N322" s="23" t="s">
        <v>2959</v>
      </c>
      <c r="O322" s="24" t="s">
        <v>2960</v>
      </c>
      <c r="P322" s="24" t="s">
        <v>2961</v>
      </c>
      <c r="Q322" s="24" t="s">
        <v>2962</v>
      </c>
      <c r="R322" s="24"/>
      <c r="S322" s="24" t="s">
        <v>2954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140</v>
      </c>
      <c r="Y322" s="23" t="s">
        <v>140</v>
      </c>
      <c r="Z322" s="23" t="s">
        <v>140</v>
      </c>
      <c r="AA322" s="23" t="s">
        <v>140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</row>
    <row r="323" customFormat="false" ht="39.55" hidden="false" customHeight="false" outlineLevel="0" collapsed="false">
      <c r="A323" s="21" t="n">
        <v>322</v>
      </c>
      <c r="B323" s="18" t="s">
        <v>2963</v>
      </c>
      <c r="C323" s="20" t="n">
        <v>1</v>
      </c>
      <c r="D323" s="20" t="s">
        <v>126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2920</v>
      </c>
      <c r="H323" s="18" t="s">
        <v>2937</v>
      </c>
      <c r="I323" s="21" t="s">
        <v>2922</v>
      </c>
      <c r="J323" s="22" t="s">
        <v>2964</v>
      </c>
      <c r="K323" s="23" t="s">
        <v>1095</v>
      </c>
      <c r="L323" s="24" t="s">
        <v>2965</v>
      </c>
      <c r="M323" s="24" t="s">
        <v>2966</v>
      </c>
      <c r="N323" s="23" t="s">
        <v>2967</v>
      </c>
      <c r="O323" s="24" t="s">
        <v>2968</v>
      </c>
      <c r="P323" s="24" t="s">
        <v>2969</v>
      </c>
      <c r="Q323" s="24" t="s">
        <v>2970</v>
      </c>
      <c r="R323" s="24"/>
      <c r="S323" s="28" t="s">
        <v>2971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140</v>
      </c>
      <c r="Y323" s="23" t="s">
        <v>140</v>
      </c>
      <c r="Z323" s="23" t="s">
        <v>140</v>
      </c>
      <c r="AA323" s="23" t="s">
        <v>140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</row>
    <row r="324" customFormat="false" ht="26.85" hidden="false" customHeight="false" outlineLevel="0" collapsed="false">
      <c r="A324" s="21" t="n">
        <v>323</v>
      </c>
      <c r="B324" s="18" t="s">
        <v>2972</v>
      </c>
      <c r="C324" s="23" t="n">
        <v>2</v>
      </c>
      <c r="D324" s="23" t="s">
        <v>126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2920</v>
      </c>
      <c r="H324" s="18" t="s">
        <v>2921</v>
      </c>
      <c r="I324" s="21" t="s">
        <v>2922</v>
      </c>
      <c r="J324" s="22" t="s">
        <v>2973</v>
      </c>
      <c r="K324" s="23" t="s">
        <v>1095</v>
      </c>
      <c r="L324" s="24" t="s">
        <v>2974</v>
      </c>
      <c r="M324" s="29" t="s">
        <v>2975</v>
      </c>
      <c r="N324" s="23" t="s">
        <v>2976</v>
      </c>
      <c r="O324" s="24" t="s">
        <v>2977</v>
      </c>
      <c r="P324" s="24" t="s">
        <v>2978</v>
      </c>
      <c r="Q324" s="24" t="s">
        <v>2340</v>
      </c>
      <c r="R324" s="24"/>
      <c r="S324" s="24" t="s">
        <v>2979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140</v>
      </c>
      <c r="Y324" s="23" t="s">
        <v>140</v>
      </c>
      <c r="Z324" s="23" t="s">
        <v>140</v>
      </c>
      <c r="AA324" s="23" t="s">
        <v>140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</row>
    <row r="325" customFormat="false" ht="26.85" hidden="false" customHeight="false" outlineLevel="0" collapsed="false">
      <c r="A325" s="21" t="n">
        <v>324</v>
      </c>
      <c r="B325" s="18" t="s">
        <v>2980</v>
      </c>
      <c r="C325" s="23" t="n">
        <v>2</v>
      </c>
      <c r="D325" s="23" t="s">
        <v>126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2920</v>
      </c>
      <c r="H325" s="18" t="s">
        <v>2921</v>
      </c>
      <c r="I325" s="21" t="s">
        <v>2922</v>
      </c>
      <c r="J325" s="22" t="s">
        <v>2981</v>
      </c>
      <c r="K325" s="23" t="s">
        <v>1095</v>
      </c>
      <c r="L325" s="24" t="s">
        <v>2982</v>
      </c>
      <c r="M325" s="29" t="s">
        <v>2983</v>
      </c>
      <c r="N325" s="23" t="s">
        <v>2984</v>
      </c>
      <c r="O325" s="24" t="s">
        <v>2985</v>
      </c>
      <c r="P325" s="24" t="s">
        <v>2986</v>
      </c>
      <c r="Q325" s="24" t="s">
        <v>2987</v>
      </c>
      <c r="R325" s="24"/>
      <c r="S325" s="24" t="s">
        <v>2979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140</v>
      </c>
      <c r="Y325" s="23" t="s">
        <v>140</v>
      </c>
      <c r="Z325" s="23" t="s">
        <v>140</v>
      </c>
      <c r="AA325" s="23" t="s">
        <v>140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</row>
    <row r="326" customFormat="false" ht="52.2" hidden="false" customHeight="false" outlineLevel="0" collapsed="false">
      <c r="A326" s="21" t="n">
        <v>325</v>
      </c>
      <c r="B326" s="18" t="s">
        <v>2988</v>
      </c>
      <c r="C326" s="20" t="n">
        <v>1</v>
      </c>
      <c r="D326" s="20" t="s">
        <v>126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2989</v>
      </c>
      <c r="H326" s="18" t="s">
        <v>2937</v>
      </c>
      <c r="I326" s="21" t="s">
        <v>2990</v>
      </c>
      <c r="J326" s="22" t="s">
        <v>2991</v>
      </c>
      <c r="K326" s="23" t="s">
        <v>131</v>
      </c>
      <c r="L326" s="24" t="s">
        <v>2992</v>
      </c>
      <c r="M326" s="24" t="s">
        <v>2993</v>
      </c>
      <c r="N326" s="23" t="s">
        <v>2994</v>
      </c>
      <c r="O326" s="24" t="s">
        <v>2995</v>
      </c>
      <c r="P326" s="24" t="s">
        <v>2996</v>
      </c>
      <c r="Q326" s="24" t="s">
        <v>2997</v>
      </c>
      <c r="R326" s="24"/>
      <c r="S326" s="28" t="s">
        <v>2998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140</v>
      </c>
      <c r="Y326" s="23" t="s">
        <v>140</v>
      </c>
      <c r="Z326" s="23" t="s">
        <v>140</v>
      </c>
      <c r="AA326" s="23" t="s">
        <v>140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</row>
    <row r="327" customFormat="false" ht="26.85" hidden="false" customHeight="false" outlineLevel="0" collapsed="false">
      <c r="A327" s="21" t="n">
        <v>326</v>
      </c>
      <c r="B327" s="18" t="s">
        <v>2999</v>
      </c>
      <c r="C327" s="23" t="n">
        <v>2</v>
      </c>
      <c r="D327" s="23" t="s">
        <v>126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2989</v>
      </c>
      <c r="H327" s="18" t="s">
        <v>2921</v>
      </c>
      <c r="I327" s="21" t="s">
        <v>2990</v>
      </c>
      <c r="J327" s="22" t="s">
        <v>3000</v>
      </c>
      <c r="K327" s="23" t="s">
        <v>1095</v>
      </c>
      <c r="L327" s="24" t="s">
        <v>3001</v>
      </c>
      <c r="M327" s="24" t="s">
        <v>3002</v>
      </c>
      <c r="N327" s="23" t="s">
        <v>3003</v>
      </c>
      <c r="O327" s="24" t="s">
        <v>3004</v>
      </c>
      <c r="P327" s="24" t="s">
        <v>3005</v>
      </c>
      <c r="Q327" s="24" t="s">
        <v>3006</v>
      </c>
      <c r="R327" s="24"/>
      <c r="S327" s="24" t="s">
        <v>3007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140</v>
      </c>
      <c r="Y327" s="23" t="s">
        <v>140</v>
      </c>
      <c r="Z327" s="23" t="s">
        <v>140</v>
      </c>
      <c r="AA327" s="23" t="s">
        <v>140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</row>
    <row r="328" customFormat="false" ht="26.85" hidden="false" customHeight="false" outlineLevel="0" collapsed="false">
      <c r="A328" s="21" t="n">
        <v>327</v>
      </c>
      <c r="B328" s="18" t="s">
        <v>3008</v>
      </c>
      <c r="C328" s="20" t="n">
        <v>1</v>
      </c>
      <c r="D328" s="20" t="s">
        <v>126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2989</v>
      </c>
      <c r="H328" s="18" t="s">
        <v>2937</v>
      </c>
      <c r="I328" s="21" t="s">
        <v>2990</v>
      </c>
      <c r="J328" s="22" t="s">
        <v>3009</v>
      </c>
      <c r="K328" s="23" t="s">
        <v>131</v>
      </c>
      <c r="L328" s="24" t="s">
        <v>3010</v>
      </c>
      <c r="M328" s="24" t="s">
        <v>3011</v>
      </c>
      <c r="N328" s="23" t="s">
        <v>3012</v>
      </c>
      <c r="O328" s="24" t="s">
        <v>3013</v>
      </c>
      <c r="P328" s="24" t="s">
        <v>3014</v>
      </c>
      <c r="Q328" s="24" t="s">
        <v>3015</v>
      </c>
      <c r="R328" s="24"/>
      <c r="S328" s="28" t="s">
        <v>3016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140</v>
      </c>
      <c r="Y328" s="23" t="s">
        <v>140</v>
      </c>
      <c r="Z328" s="23" t="s">
        <v>140</v>
      </c>
      <c r="AA328" s="23" t="s">
        <v>140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</row>
    <row r="329" customFormat="false" ht="15" hidden="false" customHeight="false" outlineLevel="0" collapsed="false">
      <c r="A329" s="21" t="n">
        <v>328</v>
      </c>
      <c r="B329" s="18" t="s">
        <v>3017</v>
      </c>
      <c r="C329" s="23" t="n">
        <v>2</v>
      </c>
      <c r="D329" s="23" t="s">
        <v>126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2989</v>
      </c>
      <c r="H329" s="18" t="s">
        <v>2921</v>
      </c>
      <c r="I329" s="21" t="s">
        <v>2990</v>
      </c>
      <c r="J329" s="22" t="s">
        <v>3018</v>
      </c>
      <c r="K329" s="23" t="s">
        <v>131</v>
      </c>
      <c r="L329" s="24" t="s">
        <v>3019</v>
      </c>
      <c r="M329" s="24" t="s">
        <v>3020</v>
      </c>
      <c r="N329" s="23" t="s">
        <v>3021</v>
      </c>
      <c r="O329" s="24" t="s">
        <v>3022</v>
      </c>
      <c r="P329" s="24" t="s">
        <v>3023</v>
      </c>
      <c r="Q329" s="24" t="s">
        <v>3024</v>
      </c>
      <c r="R329" s="24"/>
      <c r="S329" s="24" t="s">
        <v>3025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140</v>
      </c>
      <c r="Y329" s="23" t="s">
        <v>140</v>
      </c>
      <c r="Z329" s="23" t="s">
        <v>140</v>
      </c>
      <c r="AA329" s="23" t="s">
        <v>140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</row>
    <row r="330" customFormat="false" ht="26.85" hidden="false" customHeight="false" outlineLevel="0" collapsed="false">
      <c r="A330" s="21" t="n">
        <v>329</v>
      </c>
      <c r="B330" s="18" t="s">
        <v>3026</v>
      </c>
      <c r="C330" s="23" t="n">
        <v>2</v>
      </c>
      <c r="D330" s="23" t="s">
        <v>126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2989</v>
      </c>
      <c r="H330" s="18" t="s">
        <v>2921</v>
      </c>
      <c r="I330" s="21" t="s">
        <v>2990</v>
      </c>
      <c r="J330" s="22" t="s">
        <v>3027</v>
      </c>
      <c r="K330" s="23" t="s">
        <v>131</v>
      </c>
      <c r="L330" s="24" t="s">
        <v>3028</v>
      </c>
      <c r="M330" s="24" t="s">
        <v>3029</v>
      </c>
      <c r="N330" s="23" t="s">
        <v>3030</v>
      </c>
      <c r="O330" s="24" t="s">
        <v>3031</v>
      </c>
      <c r="P330" s="24" t="s">
        <v>3032</v>
      </c>
      <c r="Q330" s="24" t="s">
        <v>3033</v>
      </c>
      <c r="R330" s="24"/>
      <c r="S330" s="24" t="s">
        <v>3025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140</v>
      </c>
      <c r="Y330" s="23" t="s">
        <v>140</v>
      </c>
      <c r="Z330" s="23" t="s">
        <v>140</v>
      </c>
      <c r="AA330" s="23" t="s">
        <v>140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</row>
    <row r="331" customFormat="false" ht="26.85" hidden="false" customHeight="false" outlineLevel="0" collapsed="false">
      <c r="A331" s="21" t="n">
        <v>330</v>
      </c>
      <c r="B331" s="18" t="s">
        <v>3034</v>
      </c>
      <c r="C331" s="23" t="n">
        <v>2</v>
      </c>
      <c r="D331" s="23" t="s">
        <v>126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2989</v>
      </c>
      <c r="H331" s="18" t="s">
        <v>2921</v>
      </c>
      <c r="I331" s="21" t="s">
        <v>2990</v>
      </c>
      <c r="J331" s="22" t="s">
        <v>3035</v>
      </c>
      <c r="K331" s="23" t="s">
        <v>131</v>
      </c>
      <c r="L331" s="24" t="s">
        <v>3036</v>
      </c>
      <c r="M331" s="24" t="s">
        <v>3037</v>
      </c>
      <c r="N331" s="23" t="s">
        <v>3038</v>
      </c>
      <c r="O331" s="24" t="s">
        <v>3039</v>
      </c>
      <c r="P331" s="24" t="s">
        <v>3040</v>
      </c>
      <c r="Q331" s="24" t="s">
        <v>2970</v>
      </c>
      <c r="R331" s="24"/>
      <c r="S331" s="24" t="s">
        <v>3025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140</v>
      </c>
      <c r="Y331" s="23" t="s">
        <v>140</v>
      </c>
      <c r="Z331" s="23" t="s">
        <v>140</v>
      </c>
      <c r="AA331" s="23" t="s">
        <v>140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</row>
    <row r="332" customFormat="false" ht="26.85" hidden="false" customHeight="false" outlineLevel="0" collapsed="false">
      <c r="A332" s="21" t="n">
        <v>331</v>
      </c>
      <c r="B332" s="18" t="s">
        <v>3041</v>
      </c>
      <c r="C332" s="23" t="n">
        <v>2</v>
      </c>
      <c r="D332" s="23" t="s">
        <v>126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2989</v>
      </c>
      <c r="H332" s="18" t="s">
        <v>2921</v>
      </c>
      <c r="I332" s="21" t="s">
        <v>2990</v>
      </c>
      <c r="J332" s="22" t="s">
        <v>3042</v>
      </c>
      <c r="K332" s="23" t="s">
        <v>131</v>
      </c>
      <c r="L332" s="24" t="s">
        <v>3043</v>
      </c>
      <c r="M332" s="24" t="s">
        <v>3044</v>
      </c>
      <c r="N332" s="23" t="s">
        <v>3045</v>
      </c>
      <c r="O332" s="24" t="s">
        <v>3046</v>
      </c>
      <c r="P332" s="24" t="s">
        <v>3047</v>
      </c>
      <c r="Q332" s="24" t="s">
        <v>3048</v>
      </c>
      <c r="R332" s="24"/>
      <c r="S332" s="24" t="s">
        <v>3025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140</v>
      </c>
      <c r="Y332" s="23" t="s">
        <v>140</v>
      </c>
      <c r="Z332" s="23" t="s">
        <v>140</v>
      </c>
      <c r="AA332" s="23" t="s">
        <v>140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</row>
    <row r="333" customFormat="false" ht="26.85" hidden="false" customHeight="false" outlineLevel="0" collapsed="false">
      <c r="A333" s="21" t="n">
        <v>332</v>
      </c>
      <c r="B333" s="18" t="s">
        <v>3049</v>
      </c>
      <c r="C333" s="23" t="n">
        <v>2</v>
      </c>
      <c r="D333" s="23" t="s">
        <v>126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2989</v>
      </c>
      <c r="H333" s="18" t="s">
        <v>2921</v>
      </c>
      <c r="I333" s="21" t="s">
        <v>2990</v>
      </c>
      <c r="J333" s="22" t="s">
        <v>3050</v>
      </c>
      <c r="K333" s="23" t="s">
        <v>131</v>
      </c>
      <c r="L333" s="24" t="s">
        <v>3051</v>
      </c>
      <c r="M333" s="24" t="s">
        <v>3052</v>
      </c>
      <c r="N333" s="23" t="s">
        <v>3053</v>
      </c>
      <c r="O333" s="24" t="s">
        <v>3054</v>
      </c>
      <c r="P333" s="24" t="s">
        <v>3055</v>
      </c>
      <c r="Q333" s="24" t="s">
        <v>3056</v>
      </c>
      <c r="R333" s="25" t="s">
        <v>3057</v>
      </c>
      <c r="S333" s="24" t="s">
        <v>3025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140</v>
      </c>
      <c r="Y333" s="23" t="s">
        <v>140</v>
      </c>
      <c r="Z333" s="23" t="s">
        <v>140</v>
      </c>
      <c r="AA333" s="23" t="s">
        <v>140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</row>
    <row r="334" customFormat="false" ht="52.2" hidden="false" customHeight="false" outlineLevel="0" collapsed="false">
      <c r="A334" s="21" t="n">
        <v>333</v>
      </c>
      <c r="B334" s="18" t="s">
        <v>3058</v>
      </c>
      <c r="C334" s="20" t="n">
        <v>1</v>
      </c>
      <c r="D334" s="20" t="s">
        <v>126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3059</v>
      </c>
      <c r="H334" s="18" t="s">
        <v>2937</v>
      </c>
      <c r="I334" s="21" t="s">
        <v>3060</v>
      </c>
      <c r="J334" s="22" t="s">
        <v>3061</v>
      </c>
      <c r="K334" s="23" t="s">
        <v>131</v>
      </c>
      <c r="L334" s="24" t="s">
        <v>3062</v>
      </c>
      <c r="M334" s="24" t="s">
        <v>3063</v>
      </c>
      <c r="N334" s="23" t="s">
        <v>3064</v>
      </c>
      <c r="O334" s="24" t="s">
        <v>3065</v>
      </c>
      <c r="P334" s="24" t="s">
        <v>3066</v>
      </c>
      <c r="Q334" s="24" t="s">
        <v>3067</v>
      </c>
      <c r="R334" s="24"/>
      <c r="S334" s="28" t="s">
        <v>3068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140</v>
      </c>
      <c r="Y334" s="23" t="s">
        <v>140</v>
      </c>
      <c r="Z334" s="23" t="s">
        <v>140</v>
      </c>
      <c r="AA334" s="23" t="s">
        <v>140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</row>
    <row r="335" customFormat="false" ht="26.85" hidden="false" customHeight="false" outlineLevel="0" collapsed="false">
      <c r="A335" s="21" t="n">
        <v>334</v>
      </c>
      <c r="B335" s="18" t="s">
        <v>3069</v>
      </c>
      <c r="C335" s="20" t="n">
        <v>1</v>
      </c>
      <c r="D335" s="20" t="s">
        <v>126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3059</v>
      </c>
      <c r="H335" s="18" t="s">
        <v>2937</v>
      </c>
      <c r="I335" s="21" t="s">
        <v>3060</v>
      </c>
      <c r="J335" s="22" t="s">
        <v>3070</v>
      </c>
      <c r="K335" s="23" t="s">
        <v>131</v>
      </c>
      <c r="L335" s="24" t="s">
        <v>3071</v>
      </c>
      <c r="M335" s="24" t="s">
        <v>3072</v>
      </c>
      <c r="N335" s="23" t="s">
        <v>3073</v>
      </c>
      <c r="O335" s="24" t="s">
        <v>3074</v>
      </c>
      <c r="P335" s="24" t="s">
        <v>3075</v>
      </c>
      <c r="Q335" s="24" t="s">
        <v>3076</v>
      </c>
      <c r="R335" s="24"/>
      <c r="S335" s="24" t="s">
        <v>139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140</v>
      </c>
      <c r="Y335" s="23" t="s">
        <v>140</v>
      </c>
      <c r="Z335" s="23" t="s">
        <v>140</v>
      </c>
      <c r="AA335" s="23" t="s">
        <v>140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</row>
    <row r="336" customFormat="false" ht="26.85" hidden="false" customHeight="false" outlineLevel="0" collapsed="false">
      <c r="A336" s="21" t="n">
        <v>335</v>
      </c>
      <c r="B336" s="18" t="s">
        <v>3077</v>
      </c>
      <c r="C336" s="23" t="n">
        <v>2</v>
      </c>
      <c r="D336" s="23" t="s">
        <v>126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3059</v>
      </c>
      <c r="H336" s="18" t="s">
        <v>3078</v>
      </c>
      <c r="I336" s="21" t="s">
        <v>3060</v>
      </c>
      <c r="J336" s="22" t="s">
        <v>3079</v>
      </c>
      <c r="K336" s="23" t="s">
        <v>1095</v>
      </c>
      <c r="L336" s="24" t="s">
        <v>3080</v>
      </c>
      <c r="M336" s="24" t="s">
        <v>3081</v>
      </c>
      <c r="N336" s="23" t="s">
        <v>3082</v>
      </c>
      <c r="O336" s="24" t="s">
        <v>3083</v>
      </c>
      <c r="P336" s="24" t="s">
        <v>3084</v>
      </c>
      <c r="Q336" s="24" t="s">
        <v>3085</v>
      </c>
      <c r="R336" s="24"/>
      <c r="S336" s="24" t="s">
        <v>3086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140</v>
      </c>
      <c r="Y336" s="23" t="s">
        <v>140</v>
      </c>
      <c r="Z336" s="23" t="s">
        <v>140</v>
      </c>
      <c r="AA336" s="23" t="s">
        <v>140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</row>
    <row r="337" customFormat="false" ht="26.85" hidden="false" customHeight="false" outlineLevel="0" collapsed="false">
      <c r="A337" s="21" t="n">
        <v>336</v>
      </c>
      <c r="B337" s="18" t="s">
        <v>3087</v>
      </c>
      <c r="C337" s="20" t="n">
        <v>1</v>
      </c>
      <c r="D337" s="20" t="s">
        <v>126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3059</v>
      </c>
      <c r="H337" s="18" t="s">
        <v>2937</v>
      </c>
      <c r="I337" s="21" t="s">
        <v>3060</v>
      </c>
      <c r="J337" s="22" t="s">
        <v>3088</v>
      </c>
      <c r="K337" s="23" t="s">
        <v>131</v>
      </c>
      <c r="L337" s="24" t="s">
        <v>3089</v>
      </c>
      <c r="M337" s="24" t="s">
        <v>3090</v>
      </c>
      <c r="N337" s="23" t="s">
        <v>3091</v>
      </c>
      <c r="O337" s="24" t="s">
        <v>3092</v>
      </c>
      <c r="P337" s="24" t="s">
        <v>3093</v>
      </c>
      <c r="Q337" s="24" t="s">
        <v>3094</v>
      </c>
      <c r="R337" s="24"/>
      <c r="S337" s="28" t="s">
        <v>3095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140</v>
      </c>
      <c r="Y337" s="23" t="s">
        <v>140</v>
      </c>
      <c r="Z337" s="23" t="s">
        <v>140</v>
      </c>
      <c r="AA337" s="23" t="s">
        <v>140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</row>
    <row r="338" customFormat="false" ht="26.85" hidden="false" customHeight="false" outlineLevel="0" collapsed="false">
      <c r="A338" s="21" t="n">
        <v>337</v>
      </c>
      <c r="B338" s="18" t="s">
        <v>3096</v>
      </c>
      <c r="C338" s="23" t="n">
        <v>2</v>
      </c>
      <c r="D338" s="23" t="s">
        <v>126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3059</v>
      </c>
      <c r="H338" s="18" t="s">
        <v>3078</v>
      </c>
      <c r="I338" s="21" t="s">
        <v>3060</v>
      </c>
      <c r="J338" s="22" t="s">
        <v>3097</v>
      </c>
      <c r="K338" s="23" t="s">
        <v>131</v>
      </c>
      <c r="L338" s="24" t="s">
        <v>3098</v>
      </c>
      <c r="M338" s="24" t="s">
        <v>3099</v>
      </c>
      <c r="N338" s="23" t="s">
        <v>3100</v>
      </c>
      <c r="O338" s="24" t="s">
        <v>3101</v>
      </c>
      <c r="P338" s="24" t="s">
        <v>3102</v>
      </c>
      <c r="Q338" s="24" t="s">
        <v>2340</v>
      </c>
      <c r="R338" s="24"/>
      <c r="S338" s="24" t="s">
        <v>3103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140</v>
      </c>
      <c r="Y338" s="23" t="s">
        <v>140</v>
      </c>
      <c r="Z338" s="23" t="s">
        <v>140</v>
      </c>
      <c r="AA338" s="23" t="s">
        <v>140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</row>
    <row r="339" customFormat="false" ht="26.85" hidden="false" customHeight="false" outlineLevel="0" collapsed="false">
      <c r="A339" s="21" t="n">
        <v>338</v>
      </c>
      <c r="B339" s="18" t="s">
        <v>3104</v>
      </c>
      <c r="C339" s="23" t="n">
        <v>2</v>
      </c>
      <c r="D339" s="23" t="s">
        <v>126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3059</v>
      </c>
      <c r="H339" s="18" t="s">
        <v>3078</v>
      </c>
      <c r="I339" s="21" t="s">
        <v>3060</v>
      </c>
      <c r="J339" s="22" t="s">
        <v>3105</v>
      </c>
      <c r="K339" s="23" t="s">
        <v>131</v>
      </c>
      <c r="L339" s="29" t="s">
        <v>3106</v>
      </c>
      <c r="M339" s="24" t="s">
        <v>3107</v>
      </c>
      <c r="N339" s="23" t="s">
        <v>3108</v>
      </c>
      <c r="O339" s="24" t="s">
        <v>3109</v>
      </c>
      <c r="P339" s="24" t="s">
        <v>3110</v>
      </c>
      <c r="Q339" s="24" t="s">
        <v>3111</v>
      </c>
      <c r="R339" s="24"/>
      <c r="S339" s="24" t="s">
        <v>3103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140</v>
      </c>
      <c r="Y339" s="23" t="s">
        <v>140</v>
      </c>
      <c r="Z339" s="23" t="s">
        <v>140</v>
      </c>
      <c r="AA339" s="23" t="s">
        <v>140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</row>
    <row r="340" customFormat="false" ht="39.55" hidden="false" customHeight="false" outlineLevel="0" collapsed="false">
      <c r="A340" s="21" t="n">
        <v>339</v>
      </c>
      <c r="B340" s="18" t="s">
        <v>3112</v>
      </c>
      <c r="C340" s="20" t="n">
        <v>1</v>
      </c>
      <c r="D340" s="20" t="s">
        <v>126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3059</v>
      </c>
      <c r="H340" s="18" t="s">
        <v>2937</v>
      </c>
      <c r="I340" s="21" t="s">
        <v>3060</v>
      </c>
      <c r="J340" s="22" t="s">
        <v>3113</v>
      </c>
      <c r="K340" s="23" t="s">
        <v>131</v>
      </c>
      <c r="L340" s="24" t="s">
        <v>3114</v>
      </c>
      <c r="M340" s="24" t="s">
        <v>3115</v>
      </c>
      <c r="N340" s="23" t="s">
        <v>3116</v>
      </c>
      <c r="O340" s="24" t="s">
        <v>3117</v>
      </c>
      <c r="P340" s="24" t="s">
        <v>3118</v>
      </c>
      <c r="Q340" s="24" t="s">
        <v>3119</v>
      </c>
      <c r="R340" s="24"/>
      <c r="S340" s="28" t="s">
        <v>3120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140</v>
      </c>
      <c r="Y340" s="23" t="s">
        <v>140</v>
      </c>
      <c r="Z340" s="23" t="s">
        <v>140</v>
      </c>
      <c r="AA340" s="23" t="s">
        <v>140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</row>
    <row r="341" customFormat="false" ht="26.85" hidden="false" customHeight="false" outlineLevel="0" collapsed="false">
      <c r="A341" s="21" t="n">
        <v>340</v>
      </c>
      <c r="B341" s="18" t="s">
        <v>3121</v>
      </c>
      <c r="C341" s="23" t="n">
        <v>2</v>
      </c>
      <c r="D341" s="23" t="s">
        <v>126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3059</v>
      </c>
      <c r="H341" s="18" t="s">
        <v>3078</v>
      </c>
      <c r="I341" s="21" t="s">
        <v>3060</v>
      </c>
      <c r="J341" s="22" t="s">
        <v>3122</v>
      </c>
      <c r="K341" s="23" t="s">
        <v>1095</v>
      </c>
      <c r="L341" s="24" t="s">
        <v>3123</v>
      </c>
      <c r="M341" s="24" t="s">
        <v>3124</v>
      </c>
      <c r="N341" s="23" t="s">
        <v>3125</v>
      </c>
      <c r="O341" s="24" t="s">
        <v>3126</v>
      </c>
      <c r="P341" s="24" t="s">
        <v>3127</v>
      </c>
      <c r="Q341" s="24" t="s">
        <v>3128</v>
      </c>
      <c r="R341" s="24"/>
      <c r="S341" s="24" t="s">
        <v>3129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140</v>
      </c>
      <c r="Y341" s="23" t="s">
        <v>140</v>
      </c>
      <c r="Z341" s="23" t="s">
        <v>140</v>
      </c>
      <c r="AA341" s="23" t="s">
        <v>140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</row>
    <row r="342" customFormat="false" ht="26.85" hidden="false" customHeight="false" outlineLevel="0" collapsed="false">
      <c r="A342" s="21" t="n">
        <v>341</v>
      </c>
      <c r="B342" s="18" t="s">
        <v>3130</v>
      </c>
      <c r="C342" s="23" t="n">
        <v>2</v>
      </c>
      <c r="D342" s="23" t="s">
        <v>126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3059</v>
      </c>
      <c r="H342" s="18" t="s">
        <v>3078</v>
      </c>
      <c r="I342" s="21" t="s">
        <v>3060</v>
      </c>
      <c r="J342" s="22" t="s">
        <v>3131</v>
      </c>
      <c r="K342" s="23" t="s">
        <v>1095</v>
      </c>
      <c r="L342" s="24" t="s">
        <v>3132</v>
      </c>
      <c r="M342" s="24" t="s">
        <v>3133</v>
      </c>
      <c r="N342" s="23" t="s">
        <v>3134</v>
      </c>
      <c r="O342" s="24" t="s">
        <v>3135</v>
      </c>
      <c r="P342" s="24" t="s">
        <v>3136</v>
      </c>
      <c r="Q342" s="24" t="s">
        <v>3137</v>
      </c>
      <c r="R342" s="24"/>
      <c r="S342" s="24" t="s">
        <v>3129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140</v>
      </c>
      <c r="Y342" s="23" t="s">
        <v>140</v>
      </c>
      <c r="Z342" s="23" t="s">
        <v>140</v>
      </c>
      <c r="AA342" s="23" t="s">
        <v>140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</row>
    <row r="343" customFormat="false" ht="26.85" hidden="false" customHeight="false" outlineLevel="0" collapsed="false">
      <c r="A343" s="21" t="n">
        <v>342</v>
      </c>
      <c r="B343" s="18" t="s">
        <v>3138</v>
      </c>
      <c r="C343" s="23" t="n">
        <v>2</v>
      </c>
      <c r="D343" s="23" t="s">
        <v>126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3139</v>
      </c>
      <c r="H343" s="18" t="s">
        <v>3078</v>
      </c>
      <c r="I343" s="21" t="s">
        <v>3140</v>
      </c>
      <c r="J343" s="22" t="s">
        <v>3141</v>
      </c>
      <c r="K343" s="23" t="s">
        <v>131</v>
      </c>
      <c r="L343" s="24" t="s">
        <v>3142</v>
      </c>
      <c r="M343" s="24" t="s">
        <v>3143</v>
      </c>
      <c r="N343" s="23" t="s">
        <v>3144</v>
      </c>
      <c r="O343" s="24" t="s">
        <v>3145</v>
      </c>
      <c r="P343" s="24" t="s">
        <v>3146</v>
      </c>
      <c r="Q343" s="24" t="s">
        <v>3147</v>
      </c>
      <c r="R343" s="25" t="s">
        <v>3148</v>
      </c>
      <c r="S343" s="24" t="s">
        <v>3129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140</v>
      </c>
      <c r="Y343" s="23" t="s">
        <v>140</v>
      </c>
      <c r="Z343" s="23" t="s">
        <v>140</v>
      </c>
      <c r="AA343" s="23" t="s">
        <v>140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</row>
    <row r="344" customFormat="false" ht="52.2" hidden="false" customHeight="false" outlineLevel="0" collapsed="false">
      <c r="A344" s="21" t="n">
        <v>343</v>
      </c>
      <c r="B344" s="18" t="s">
        <v>3149</v>
      </c>
      <c r="C344" s="20" t="n">
        <v>1</v>
      </c>
      <c r="D344" s="20" t="s">
        <v>126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3139</v>
      </c>
      <c r="H344" s="18" t="s">
        <v>3150</v>
      </c>
      <c r="I344" s="21" t="s">
        <v>3140</v>
      </c>
      <c r="J344" s="22" t="s">
        <v>3151</v>
      </c>
      <c r="K344" s="23" t="s">
        <v>131</v>
      </c>
      <c r="L344" s="24" t="s">
        <v>3152</v>
      </c>
      <c r="M344" s="24" t="s">
        <v>3153</v>
      </c>
      <c r="N344" s="23" t="s">
        <v>3154</v>
      </c>
      <c r="O344" s="24" t="s">
        <v>3155</v>
      </c>
      <c r="P344" s="24" t="s">
        <v>3156</v>
      </c>
      <c r="Q344" s="24" t="s">
        <v>3157</v>
      </c>
      <c r="R344" s="24"/>
      <c r="S344" s="28" t="s">
        <v>3158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140</v>
      </c>
      <c r="Y344" s="23" t="s">
        <v>140</v>
      </c>
      <c r="Z344" s="23" t="s">
        <v>140</v>
      </c>
      <c r="AA344" s="23" t="s">
        <v>140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</row>
    <row r="345" customFormat="false" ht="26.85" hidden="false" customHeight="false" outlineLevel="0" collapsed="false">
      <c r="A345" s="21" t="n">
        <v>344</v>
      </c>
      <c r="B345" s="18" t="s">
        <v>3159</v>
      </c>
      <c r="C345" s="23" t="n">
        <v>2</v>
      </c>
      <c r="D345" s="23" t="s">
        <v>126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3139</v>
      </c>
      <c r="H345" s="18" t="s">
        <v>3078</v>
      </c>
      <c r="I345" s="21" t="s">
        <v>3140</v>
      </c>
      <c r="J345" s="22" t="s">
        <v>3160</v>
      </c>
      <c r="K345" s="23" t="s">
        <v>131</v>
      </c>
      <c r="L345" s="24" t="s">
        <v>3161</v>
      </c>
      <c r="M345" s="24" t="s">
        <v>3162</v>
      </c>
      <c r="N345" s="23" t="s">
        <v>3163</v>
      </c>
      <c r="O345" s="24" t="s">
        <v>3164</v>
      </c>
      <c r="P345" s="24" t="s">
        <v>3165</v>
      </c>
      <c r="Q345" s="24" t="s">
        <v>3166</v>
      </c>
      <c r="R345" s="24"/>
      <c r="S345" s="24" t="s">
        <v>3167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140</v>
      </c>
      <c r="Y345" s="23" t="s">
        <v>140</v>
      </c>
      <c r="Z345" s="23" t="s">
        <v>140</v>
      </c>
      <c r="AA345" s="23" t="s">
        <v>140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</row>
    <row r="346" customFormat="false" ht="26.85" hidden="false" customHeight="false" outlineLevel="0" collapsed="false">
      <c r="A346" s="21" t="n">
        <v>345</v>
      </c>
      <c r="B346" s="18" t="s">
        <v>3168</v>
      </c>
      <c r="C346" s="20" t="n">
        <v>1</v>
      </c>
      <c r="D346" s="20" t="s">
        <v>126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3139</v>
      </c>
      <c r="H346" s="18" t="s">
        <v>3150</v>
      </c>
      <c r="I346" s="21" t="s">
        <v>3140</v>
      </c>
      <c r="J346" s="22" t="s">
        <v>3169</v>
      </c>
      <c r="K346" s="23" t="s">
        <v>131</v>
      </c>
      <c r="L346" s="24" t="s">
        <v>3170</v>
      </c>
      <c r="M346" s="24" t="s">
        <v>3171</v>
      </c>
      <c r="N346" s="23" t="s">
        <v>3172</v>
      </c>
      <c r="O346" s="24" t="s">
        <v>3173</v>
      </c>
      <c r="P346" s="24" t="s">
        <v>3174</v>
      </c>
      <c r="Q346" s="24" t="s">
        <v>3175</v>
      </c>
      <c r="R346" s="24"/>
      <c r="S346" s="28" t="s">
        <v>3176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140</v>
      </c>
      <c r="Y346" s="23" t="s">
        <v>140</v>
      </c>
      <c r="Z346" s="23" t="s">
        <v>140</v>
      </c>
      <c r="AA346" s="23" t="s">
        <v>140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</row>
    <row r="347" customFormat="false" ht="26.85" hidden="false" customHeight="false" outlineLevel="0" collapsed="false">
      <c r="A347" s="21" t="n">
        <v>346</v>
      </c>
      <c r="B347" s="18" t="s">
        <v>3177</v>
      </c>
      <c r="C347" s="20" t="n">
        <v>1</v>
      </c>
      <c r="D347" s="20" t="s">
        <v>126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3139</v>
      </c>
      <c r="H347" s="18" t="s">
        <v>3150</v>
      </c>
      <c r="I347" s="21" t="s">
        <v>3140</v>
      </c>
      <c r="J347" s="22" t="s">
        <v>3178</v>
      </c>
      <c r="K347" s="23" t="s">
        <v>131</v>
      </c>
      <c r="L347" s="24" t="s">
        <v>3179</v>
      </c>
      <c r="M347" s="24" t="s">
        <v>3180</v>
      </c>
      <c r="N347" s="23" t="s">
        <v>3181</v>
      </c>
      <c r="O347" s="24" t="s">
        <v>3182</v>
      </c>
      <c r="P347" s="24" t="s">
        <v>3183</v>
      </c>
      <c r="Q347" s="24" t="s">
        <v>3184</v>
      </c>
      <c r="R347" s="24"/>
      <c r="S347" s="24" t="s">
        <v>139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140</v>
      </c>
      <c r="Y347" s="23" t="s">
        <v>140</v>
      </c>
      <c r="Z347" s="23" t="s">
        <v>140</v>
      </c>
      <c r="AA347" s="23" t="s">
        <v>140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</row>
    <row r="348" customFormat="false" ht="15" hidden="false" customHeight="false" outlineLevel="0" collapsed="false">
      <c r="A348" s="21" t="n">
        <v>347</v>
      </c>
      <c r="B348" s="18" t="s">
        <v>3185</v>
      </c>
      <c r="C348" s="23" t="n">
        <v>2</v>
      </c>
      <c r="D348" s="23" t="s">
        <v>126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3139</v>
      </c>
      <c r="H348" s="18" t="s">
        <v>3078</v>
      </c>
      <c r="I348" s="21" t="s">
        <v>3140</v>
      </c>
      <c r="J348" s="22" t="s">
        <v>3186</v>
      </c>
      <c r="K348" s="23" t="s">
        <v>131</v>
      </c>
      <c r="L348" s="24" t="s">
        <v>3187</v>
      </c>
      <c r="M348" s="24" t="s">
        <v>3188</v>
      </c>
      <c r="N348" s="23" t="s">
        <v>3189</v>
      </c>
      <c r="O348" s="24" t="s">
        <v>3190</v>
      </c>
      <c r="P348" s="24" t="s">
        <v>3191</v>
      </c>
      <c r="Q348" s="24" t="s">
        <v>3192</v>
      </c>
      <c r="R348" s="24"/>
      <c r="S348" s="24" t="s">
        <v>3193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140</v>
      </c>
      <c r="Y348" s="23" t="s">
        <v>140</v>
      </c>
      <c r="Z348" s="23" t="s">
        <v>140</v>
      </c>
      <c r="AA348" s="23" t="s">
        <v>140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</row>
    <row r="349" customFormat="false" ht="26.85" hidden="false" customHeight="false" outlineLevel="0" collapsed="false">
      <c r="A349" s="21" t="n">
        <v>348</v>
      </c>
      <c r="B349" s="18" t="s">
        <v>3194</v>
      </c>
      <c r="C349" s="20" t="n">
        <v>1</v>
      </c>
      <c r="D349" s="20" t="s">
        <v>126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3139</v>
      </c>
      <c r="H349" s="18" t="s">
        <v>3150</v>
      </c>
      <c r="I349" s="21" t="s">
        <v>3140</v>
      </c>
      <c r="J349" s="22" t="s">
        <v>3195</v>
      </c>
      <c r="K349" s="23" t="s">
        <v>131</v>
      </c>
      <c r="L349" s="24" t="s">
        <v>3196</v>
      </c>
      <c r="M349" s="24" t="s">
        <v>3197</v>
      </c>
      <c r="N349" s="23" t="s">
        <v>3198</v>
      </c>
      <c r="O349" s="24" t="s">
        <v>3199</v>
      </c>
      <c r="P349" s="24" t="s">
        <v>3200</v>
      </c>
      <c r="Q349" s="24" t="s">
        <v>3201</v>
      </c>
      <c r="R349" s="24"/>
      <c r="S349" s="28" t="s">
        <v>3202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140</v>
      </c>
      <c r="Y349" s="23" t="s">
        <v>140</v>
      </c>
      <c r="Z349" s="23" t="s">
        <v>140</v>
      </c>
      <c r="AA349" s="23" t="s">
        <v>140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</row>
    <row r="350" customFormat="false" ht="15" hidden="false" customHeight="false" outlineLevel="0" collapsed="false">
      <c r="A350" s="21" t="n">
        <v>349</v>
      </c>
      <c r="B350" s="18" t="s">
        <v>3203</v>
      </c>
      <c r="C350" s="20" t="n">
        <v>1</v>
      </c>
      <c r="D350" s="20" t="s">
        <v>126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3139</v>
      </c>
      <c r="H350" s="18" t="s">
        <v>3150</v>
      </c>
      <c r="I350" s="21" t="s">
        <v>3140</v>
      </c>
      <c r="J350" s="22" t="s">
        <v>3204</v>
      </c>
      <c r="K350" s="23" t="s">
        <v>131</v>
      </c>
      <c r="L350" s="24" t="s">
        <v>3205</v>
      </c>
      <c r="M350" s="24" t="s">
        <v>3206</v>
      </c>
      <c r="N350" s="23" t="s">
        <v>3207</v>
      </c>
      <c r="O350" s="24" t="s">
        <v>3208</v>
      </c>
      <c r="P350" s="24" t="s">
        <v>3191</v>
      </c>
      <c r="Q350" s="24" t="s">
        <v>3209</v>
      </c>
      <c r="R350" s="25" t="s">
        <v>714</v>
      </c>
      <c r="S350" s="24" t="s">
        <v>139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140</v>
      </c>
      <c r="Y350" s="23" t="s">
        <v>140</v>
      </c>
      <c r="Z350" s="23" t="s">
        <v>140</v>
      </c>
      <c r="AA350" s="23" t="s">
        <v>140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</row>
    <row r="351" customFormat="false" ht="15" hidden="false" customHeight="false" outlineLevel="0" collapsed="false">
      <c r="A351" s="21" t="n">
        <v>350</v>
      </c>
      <c r="B351" s="18" t="s">
        <v>3210</v>
      </c>
      <c r="C351" s="23" t="n">
        <v>2</v>
      </c>
      <c r="D351" s="23" t="s">
        <v>126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3139</v>
      </c>
      <c r="H351" s="18" t="s">
        <v>3078</v>
      </c>
      <c r="I351" s="21" t="s">
        <v>3140</v>
      </c>
      <c r="J351" s="22" t="s">
        <v>3211</v>
      </c>
      <c r="K351" s="23" t="s">
        <v>131</v>
      </c>
      <c r="L351" s="24" t="s">
        <v>3212</v>
      </c>
      <c r="M351" s="24" t="s">
        <v>3213</v>
      </c>
      <c r="N351" s="23" t="s">
        <v>3214</v>
      </c>
      <c r="O351" s="24" t="s">
        <v>3215</v>
      </c>
      <c r="P351" s="24" t="s">
        <v>3183</v>
      </c>
      <c r="Q351" s="24" t="s">
        <v>3216</v>
      </c>
      <c r="R351" s="24"/>
      <c r="S351" s="24" t="s">
        <v>3217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140</v>
      </c>
      <c r="Y351" s="23" t="s">
        <v>140</v>
      </c>
      <c r="Z351" s="23" t="s">
        <v>140</v>
      </c>
      <c r="AA351" s="23" t="s">
        <v>140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</row>
    <row r="352" customFormat="false" ht="26.85" hidden="false" customHeight="false" outlineLevel="0" collapsed="false">
      <c r="A352" s="21" t="n">
        <v>351</v>
      </c>
      <c r="B352" s="18" t="s">
        <v>3218</v>
      </c>
      <c r="C352" s="23" t="n">
        <v>2</v>
      </c>
      <c r="D352" s="23" t="s">
        <v>126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3139</v>
      </c>
      <c r="H352" s="18" t="s">
        <v>3078</v>
      </c>
      <c r="I352" s="21" t="s">
        <v>3140</v>
      </c>
      <c r="J352" s="22" t="s">
        <v>3219</v>
      </c>
      <c r="K352" s="23" t="s">
        <v>131</v>
      </c>
      <c r="L352" s="24" t="s">
        <v>3220</v>
      </c>
      <c r="M352" s="24" t="s">
        <v>3221</v>
      </c>
      <c r="N352" s="23" t="s">
        <v>3222</v>
      </c>
      <c r="O352" s="24" t="s">
        <v>3223</v>
      </c>
      <c r="P352" s="24" t="s">
        <v>3224</v>
      </c>
      <c r="Q352" s="24" t="s">
        <v>3225</v>
      </c>
      <c r="R352" s="25" t="s">
        <v>3226</v>
      </c>
      <c r="S352" s="24" t="s">
        <v>3217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140</v>
      </c>
      <c r="Y352" s="23" t="s">
        <v>140</v>
      </c>
      <c r="Z352" s="23" t="s">
        <v>140</v>
      </c>
      <c r="AA352" s="23" t="s">
        <v>140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</row>
    <row r="353" customFormat="false" ht="39.55" hidden="false" customHeight="false" outlineLevel="0" collapsed="false">
      <c r="A353" s="21" t="n">
        <v>352</v>
      </c>
      <c r="B353" s="18" t="s">
        <v>3227</v>
      </c>
      <c r="C353" s="20" t="n">
        <v>1</v>
      </c>
      <c r="D353" s="20" t="s">
        <v>126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3228</v>
      </c>
      <c r="H353" s="18" t="s">
        <v>3150</v>
      </c>
      <c r="I353" s="21" t="s">
        <v>3229</v>
      </c>
      <c r="J353" s="22" t="s">
        <v>3230</v>
      </c>
      <c r="K353" s="23" t="s">
        <v>131</v>
      </c>
      <c r="L353" s="24" t="s">
        <v>3231</v>
      </c>
      <c r="M353" s="24" t="s">
        <v>3232</v>
      </c>
      <c r="N353" s="23" t="s">
        <v>3233</v>
      </c>
      <c r="O353" s="24" t="s">
        <v>3234</v>
      </c>
      <c r="P353" s="24" t="s">
        <v>3235</v>
      </c>
      <c r="Q353" s="24" t="s">
        <v>3236</v>
      </c>
      <c r="R353" s="25" t="s">
        <v>3237</v>
      </c>
      <c r="S353" s="28" t="s">
        <v>3238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140</v>
      </c>
      <c r="Y353" s="23" t="s">
        <v>140</v>
      </c>
      <c r="Z353" s="23" t="s">
        <v>140</v>
      </c>
      <c r="AA353" s="23" t="s">
        <v>140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</row>
    <row r="354" customFormat="false" ht="26.85" hidden="false" customHeight="false" outlineLevel="0" collapsed="false">
      <c r="A354" s="21" t="n">
        <v>353</v>
      </c>
      <c r="B354" s="18" t="s">
        <v>3239</v>
      </c>
      <c r="C354" s="20" t="n">
        <v>1</v>
      </c>
      <c r="D354" s="20" t="s">
        <v>126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3228</v>
      </c>
      <c r="H354" s="18" t="s">
        <v>3150</v>
      </c>
      <c r="I354" s="21" t="s">
        <v>3229</v>
      </c>
      <c r="J354" s="22" t="s">
        <v>3240</v>
      </c>
      <c r="K354" s="23" t="s">
        <v>131</v>
      </c>
      <c r="L354" s="24" t="s">
        <v>3241</v>
      </c>
      <c r="M354" s="24" t="s">
        <v>3242</v>
      </c>
      <c r="N354" s="23" t="s">
        <v>3243</v>
      </c>
      <c r="O354" s="24" t="s">
        <v>3244</v>
      </c>
      <c r="P354" s="24" t="s">
        <v>3245</v>
      </c>
      <c r="Q354" s="24" t="s">
        <v>3246</v>
      </c>
      <c r="R354" s="25" t="s">
        <v>3247</v>
      </c>
      <c r="S354" s="24" t="s">
        <v>139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140</v>
      </c>
      <c r="Y354" s="23" t="s">
        <v>140</v>
      </c>
      <c r="Z354" s="23" t="s">
        <v>140</v>
      </c>
      <c r="AA354" s="23" t="s">
        <v>140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</row>
    <row r="355" customFormat="false" ht="26.85" hidden="false" customHeight="false" outlineLevel="0" collapsed="false">
      <c r="A355" s="21" t="n">
        <v>354</v>
      </c>
      <c r="B355" s="18" t="s">
        <v>3248</v>
      </c>
      <c r="C355" s="20" t="n">
        <v>1</v>
      </c>
      <c r="D355" s="20" t="s">
        <v>126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3228</v>
      </c>
      <c r="H355" s="18" t="s">
        <v>3150</v>
      </c>
      <c r="I355" s="21" t="s">
        <v>3229</v>
      </c>
      <c r="J355" s="22" t="s">
        <v>3249</v>
      </c>
      <c r="K355" s="23" t="s">
        <v>131</v>
      </c>
      <c r="L355" s="24" t="s">
        <v>3250</v>
      </c>
      <c r="M355" s="24" t="s">
        <v>3251</v>
      </c>
      <c r="N355" s="23" t="s">
        <v>3252</v>
      </c>
      <c r="O355" s="24" t="s">
        <v>3253</v>
      </c>
      <c r="P355" s="24" t="s">
        <v>3254</v>
      </c>
      <c r="Q355" s="24" t="s">
        <v>3255</v>
      </c>
      <c r="R355" s="25" t="s">
        <v>3256</v>
      </c>
      <c r="S355" s="24" t="s">
        <v>139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140</v>
      </c>
      <c r="Y355" s="23" t="s">
        <v>140</v>
      </c>
      <c r="Z355" s="23" t="s">
        <v>140</v>
      </c>
      <c r="AA355" s="23" t="s">
        <v>140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</row>
    <row r="356" customFormat="false" ht="26.85" hidden="false" customHeight="false" outlineLevel="0" collapsed="false">
      <c r="A356" s="21" t="n">
        <v>355</v>
      </c>
      <c r="B356" s="18" t="s">
        <v>3257</v>
      </c>
      <c r="C356" s="23" t="n">
        <v>2</v>
      </c>
      <c r="D356" s="23" t="s">
        <v>126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3228</v>
      </c>
      <c r="H356" s="18" t="s">
        <v>3258</v>
      </c>
      <c r="I356" s="21" t="s">
        <v>3229</v>
      </c>
      <c r="J356" s="22" t="s">
        <v>3259</v>
      </c>
      <c r="K356" s="23" t="s">
        <v>1095</v>
      </c>
      <c r="L356" s="24" t="s">
        <v>3260</v>
      </c>
      <c r="M356" s="24" t="s">
        <v>3261</v>
      </c>
      <c r="N356" s="23" t="s">
        <v>3262</v>
      </c>
      <c r="O356" s="24" t="s">
        <v>3263</v>
      </c>
      <c r="P356" s="24" t="s">
        <v>3264</v>
      </c>
      <c r="Q356" s="24" t="s">
        <v>3265</v>
      </c>
      <c r="R356" s="25" t="s">
        <v>3266</v>
      </c>
      <c r="S356" s="24" t="s">
        <v>3267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140</v>
      </c>
      <c r="Y356" s="23" t="s">
        <v>140</v>
      </c>
      <c r="Z356" s="23" t="s">
        <v>140</v>
      </c>
      <c r="AA356" s="23" t="s">
        <v>140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</row>
    <row r="357" customFormat="false" ht="26.85" hidden="false" customHeight="false" outlineLevel="0" collapsed="false">
      <c r="A357" s="21" t="n">
        <v>356</v>
      </c>
      <c r="B357" s="18" t="s">
        <v>3268</v>
      </c>
      <c r="C357" s="23" t="n">
        <v>2</v>
      </c>
      <c r="D357" s="23" t="s">
        <v>126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3228</v>
      </c>
      <c r="H357" s="18" t="s">
        <v>3258</v>
      </c>
      <c r="I357" s="21" t="s">
        <v>3229</v>
      </c>
      <c r="J357" s="22" t="s">
        <v>3269</v>
      </c>
      <c r="K357" s="23" t="s">
        <v>1095</v>
      </c>
      <c r="L357" s="24" t="s">
        <v>3270</v>
      </c>
      <c r="M357" s="24" t="s">
        <v>3271</v>
      </c>
      <c r="N357" s="23" t="s">
        <v>3272</v>
      </c>
      <c r="O357" s="24" t="s">
        <v>3273</v>
      </c>
      <c r="P357" s="24" t="s">
        <v>3274</v>
      </c>
      <c r="Q357" s="24" t="s">
        <v>3275</v>
      </c>
      <c r="R357" s="24"/>
      <c r="S357" s="24" t="s">
        <v>3267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140</v>
      </c>
      <c r="Y357" s="23" t="s">
        <v>140</v>
      </c>
      <c r="Z357" s="23" t="s">
        <v>140</v>
      </c>
      <c r="AA357" s="23" t="s">
        <v>140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</row>
    <row r="358" customFormat="false" ht="26.85" hidden="false" customHeight="false" outlineLevel="0" collapsed="false">
      <c r="A358" s="21" t="n">
        <v>357</v>
      </c>
      <c r="B358" s="18" t="s">
        <v>3276</v>
      </c>
      <c r="C358" s="23" t="n">
        <v>2</v>
      </c>
      <c r="D358" s="23" t="s">
        <v>126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3228</v>
      </c>
      <c r="H358" s="18" t="s">
        <v>3258</v>
      </c>
      <c r="I358" s="21" t="s">
        <v>3229</v>
      </c>
      <c r="J358" s="22" t="s">
        <v>3277</v>
      </c>
      <c r="K358" s="23" t="s">
        <v>1095</v>
      </c>
      <c r="L358" s="24" t="s">
        <v>3278</v>
      </c>
      <c r="M358" s="24" t="s">
        <v>3279</v>
      </c>
      <c r="N358" s="23" t="s">
        <v>3280</v>
      </c>
      <c r="O358" s="24" t="s">
        <v>3281</v>
      </c>
      <c r="P358" s="24" t="s">
        <v>3282</v>
      </c>
      <c r="Q358" s="24" t="s">
        <v>3255</v>
      </c>
      <c r="R358" s="25" t="s">
        <v>3283</v>
      </c>
      <c r="S358" s="24" t="s">
        <v>3267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140</v>
      </c>
      <c r="Y358" s="23" t="s">
        <v>140</v>
      </c>
      <c r="Z358" s="23" t="s">
        <v>140</v>
      </c>
      <c r="AA358" s="23" t="s">
        <v>140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</row>
    <row r="359" customFormat="false" ht="26.85" hidden="false" customHeight="false" outlineLevel="0" collapsed="false">
      <c r="A359" s="21" t="n">
        <v>358</v>
      </c>
      <c r="B359" s="18" t="s">
        <v>3284</v>
      </c>
      <c r="C359" s="23" t="n">
        <v>2</v>
      </c>
      <c r="D359" s="23" t="s">
        <v>126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3228</v>
      </c>
      <c r="H359" s="18" t="s">
        <v>3258</v>
      </c>
      <c r="I359" s="21" t="s">
        <v>3229</v>
      </c>
      <c r="J359" s="22" t="s">
        <v>3285</v>
      </c>
      <c r="K359" s="23" t="s">
        <v>1095</v>
      </c>
      <c r="L359" s="24" t="s">
        <v>3286</v>
      </c>
      <c r="M359" s="24" t="s">
        <v>3287</v>
      </c>
      <c r="N359" s="23" t="s">
        <v>3288</v>
      </c>
      <c r="O359" s="24" t="s">
        <v>3289</v>
      </c>
      <c r="P359" s="24" t="s">
        <v>3282</v>
      </c>
      <c r="Q359" s="24" t="s">
        <v>3255</v>
      </c>
      <c r="R359" s="24"/>
      <c r="S359" s="24" t="s">
        <v>3267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140</v>
      </c>
      <c r="Y359" s="23" t="s">
        <v>140</v>
      </c>
      <c r="Z359" s="23" t="s">
        <v>140</v>
      </c>
      <c r="AA359" s="23" t="s">
        <v>140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</row>
    <row r="360" customFormat="false" ht="26.85" hidden="false" customHeight="false" outlineLevel="0" collapsed="false">
      <c r="A360" s="21" t="n">
        <v>359</v>
      </c>
      <c r="B360" s="18" t="s">
        <v>3290</v>
      </c>
      <c r="C360" s="23" t="n">
        <v>2</v>
      </c>
      <c r="D360" s="23" t="s">
        <v>126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3228</v>
      </c>
      <c r="H360" s="18" t="s">
        <v>3258</v>
      </c>
      <c r="I360" s="21" t="s">
        <v>3229</v>
      </c>
      <c r="J360" s="22" t="s">
        <v>3291</v>
      </c>
      <c r="K360" s="23" t="s">
        <v>1095</v>
      </c>
      <c r="L360" s="24" t="s">
        <v>3292</v>
      </c>
      <c r="M360" s="24" t="s">
        <v>3293</v>
      </c>
      <c r="N360" s="23" t="s">
        <v>3294</v>
      </c>
      <c r="O360" s="24" t="s">
        <v>3295</v>
      </c>
      <c r="P360" s="24" t="s">
        <v>3296</v>
      </c>
      <c r="Q360" s="24" t="s">
        <v>3297</v>
      </c>
      <c r="R360" s="24"/>
      <c r="S360" s="24" t="s">
        <v>3267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140</v>
      </c>
      <c r="Y360" s="23" t="s">
        <v>140</v>
      </c>
      <c r="Z360" s="23" t="s">
        <v>140</v>
      </c>
      <c r="AA360" s="23" t="s">
        <v>140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</row>
    <row r="361" customFormat="false" ht="52.2" hidden="false" customHeight="false" outlineLevel="0" collapsed="false">
      <c r="A361" s="21" t="n">
        <v>360</v>
      </c>
      <c r="B361" s="18" t="s">
        <v>3298</v>
      </c>
      <c r="C361" s="20" t="n">
        <v>1</v>
      </c>
      <c r="D361" s="20" t="s">
        <v>126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3228</v>
      </c>
      <c r="H361" s="18" t="s">
        <v>3150</v>
      </c>
      <c r="I361" s="21" t="s">
        <v>3229</v>
      </c>
      <c r="J361" s="22" t="s">
        <v>3299</v>
      </c>
      <c r="K361" s="23" t="s">
        <v>131</v>
      </c>
      <c r="L361" s="24" t="s">
        <v>3300</v>
      </c>
      <c r="M361" s="24" t="s">
        <v>3301</v>
      </c>
      <c r="N361" s="23" t="s">
        <v>3302</v>
      </c>
      <c r="O361" s="24" t="s">
        <v>3303</v>
      </c>
      <c r="P361" s="24" t="s">
        <v>3304</v>
      </c>
      <c r="Q361" s="24" t="s">
        <v>3305</v>
      </c>
      <c r="R361" s="25" t="s">
        <v>3306</v>
      </c>
      <c r="S361" s="28" t="s">
        <v>3307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140</v>
      </c>
      <c r="Y361" s="23" t="s">
        <v>140</v>
      </c>
      <c r="Z361" s="23" t="s">
        <v>140</v>
      </c>
      <c r="AA361" s="23" t="s">
        <v>140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</row>
    <row r="362" customFormat="false" ht="26.85" hidden="false" customHeight="false" outlineLevel="0" collapsed="false">
      <c r="A362" s="21" t="n">
        <v>361</v>
      </c>
      <c r="B362" s="18" t="s">
        <v>3308</v>
      </c>
      <c r="C362" s="23" t="n">
        <v>2</v>
      </c>
      <c r="D362" s="23" t="s">
        <v>126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3228</v>
      </c>
      <c r="H362" s="18" t="s">
        <v>3258</v>
      </c>
      <c r="I362" s="21" t="s">
        <v>3229</v>
      </c>
      <c r="J362" s="22" t="s">
        <v>3309</v>
      </c>
      <c r="K362" s="23" t="s">
        <v>131</v>
      </c>
      <c r="L362" s="24" t="s">
        <v>3310</v>
      </c>
      <c r="M362" s="24" t="s">
        <v>3311</v>
      </c>
      <c r="N362" s="23" t="s">
        <v>3312</v>
      </c>
      <c r="O362" s="24" t="s">
        <v>3313</v>
      </c>
      <c r="P362" s="24" t="s">
        <v>3314</v>
      </c>
      <c r="Q362" s="24" t="s">
        <v>3315</v>
      </c>
      <c r="R362" s="24"/>
      <c r="S362" s="24" t="s">
        <v>3316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140</v>
      </c>
      <c r="Y362" s="23" t="s">
        <v>140</v>
      </c>
      <c r="Z362" s="23" t="s">
        <v>140</v>
      </c>
      <c r="AA362" s="23" t="s">
        <v>140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</row>
    <row r="363" customFormat="false" ht="39.55" hidden="false" customHeight="false" outlineLevel="0" collapsed="false">
      <c r="A363" s="21" t="n">
        <v>362</v>
      </c>
      <c r="B363" s="18" t="s">
        <v>3317</v>
      </c>
      <c r="C363" s="20" t="n">
        <v>1</v>
      </c>
      <c r="D363" s="20" t="s">
        <v>126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3228</v>
      </c>
      <c r="H363" s="18" t="s">
        <v>3150</v>
      </c>
      <c r="I363" s="21" t="s">
        <v>3229</v>
      </c>
      <c r="J363" s="22" t="s">
        <v>3318</v>
      </c>
      <c r="K363" s="23" t="s">
        <v>131</v>
      </c>
      <c r="L363" s="24" t="s">
        <v>3319</v>
      </c>
      <c r="M363" s="24" t="s">
        <v>3320</v>
      </c>
      <c r="N363" s="23" t="s">
        <v>3321</v>
      </c>
      <c r="O363" s="24" t="s">
        <v>3322</v>
      </c>
      <c r="P363" s="24" t="s">
        <v>3323</v>
      </c>
      <c r="Q363" s="24" t="s">
        <v>3324</v>
      </c>
      <c r="R363" s="27" t="s">
        <v>3325</v>
      </c>
      <c r="S363" s="28" t="s">
        <v>3326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140</v>
      </c>
      <c r="Y363" s="23" t="s">
        <v>140</v>
      </c>
      <c r="Z363" s="23" t="s">
        <v>140</v>
      </c>
      <c r="AA363" s="23" t="s">
        <v>140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</row>
    <row r="364" customFormat="false" ht="26.85" hidden="false" customHeight="false" outlineLevel="0" collapsed="false">
      <c r="A364" s="21" t="n">
        <v>363</v>
      </c>
      <c r="B364" s="18" t="s">
        <v>3327</v>
      </c>
      <c r="C364" s="20" t="n">
        <v>1</v>
      </c>
      <c r="D364" s="20" t="s">
        <v>126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3328</v>
      </c>
      <c r="H364" s="18" t="s">
        <v>3329</v>
      </c>
      <c r="I364" s="21" t="s">
        <v>3330</v>
      </c>
      <c r="J364" s="22" t="s">
        <v>3331</v>
      </c>
      <c r="K364" s="23" t="s">
        <v>1095</v>
      </c>
      <c r="L364" s="24" t="s">
        <v>3332</v>
      </c>
      <c r="M364" s="24" t="s">
        <v>3333</v>
      </c>
      <c r="N364" s="23" t="s">
        <v>3334</v>
      </c>
      <c r="O364" s="24" t="s">
        <v>3335</v>
      </c>
      <c r="P364" s="24" t="s">
        <v>3336</v>
      </c>
      <c r="Q364" s="24" t="s">
        <v>3337</v>
      </c>
      <c r="R364" s="24"/>
      <c r="S364" s="24" t="s">
        <v>139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140</v>
      </c>
      <c r="Y364" s="23" t="s">
        <v>140</v>
      </c>
      <c r="Z364" s="23" t="s">
        <v>140</v>
      </c>
      <c r="AA364" s="23" t="s">
        <v>140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</row>
    <row r="365" customFormat="false" ht="15" hidden="false" customHeight="false" outlineLevel="0" collapsed="false">
      <c r="A365" s="21" t="n">
        <v>364</v>
      </c>
      <c r="B365" s="18" t="s">
        <v>3338</v>
      </c>
      <c r="C365" s="23" t="n">
        <v>2</v>
      </c>
      <c r="D365" s="23" t="s">
        <v>126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3328</v>
      </c>
      <c r="H365" s="18" t="s">
        <v>3258</v>
      </c>
      <c r="I365" s="21" t="s">
        <v>3330</v>
      </c>
      <c r="J365" s="22" t="s">
        <v>3339</v>
      </c>
      <c r="K365" s="23" t="s">
        <v>1095</v>
      </c>
      <c r="L365" s="24" t="s">
        <v>3340</v>
      </c>
      <c r="M365" s="24" t="s">
        <v>3341</v>
      </c>
      <c r="N365" s="23" t="s">
        <v>3342</v>
      </c>
      <c r="O365" s="24" t="s">
        <v>3343</v>
      </c>
      <c r="P365" s="24" t="s">
        <v>3344</v>
      </c>
      <c r="Q365" s="24" t="s">
        <v>3345</v>
      </c>
      <c r="R365" s="25" t="s">
        <v>3346</v>
      </c>
      <c r="S365" s="24" t="s">
        <v>3347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140</v>
      </c>
      <c r="Y365" s="23" t="s">
        <v>140</v>
      </c>
      <c r="Z365" s="23" t="s">
        <v>140</v>
      </c>
      <c r="AA365" s="23" t="s">
        <v>140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</row>
    <row r="366" customFormat="false" ht="26.85" hidden="false" customHeight="false" outlineLevel="0" collapsed="false">
      <c r="A366" s="21" t="n">
        <v>365</v>
      </c>
      <c r="B366" s="18" t="s">
        <v>3348</v>
      </c>
      <c r="C366" s="23" t="n">
        <v>2</v>
      </c>
      <c r="D366" s="23" t="s">
        <v>126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3328</v>
      </c>
      <c r="H366" s="18" t="s">
        <v>3258</v>
      </c>
      <c r="I366" s="21" t="s">
        <v>3330</v>
      </c>
      <c r="J366" s="22" t="s">
        <v>3349</v>
      </c>
      <c r="K366" s="23" t="s">
        <v>1095</v>
      </c>
      <c r="L366" s="24" t="s">
        <v>3350</v>
      </c>
      <c r="M366" s="24" t="s">
        <v>3351</v>
      </c>
      <c r="N366" s="23" t="s">
        <v>3352</v>
      </c>
      <c r="O366" s="24" t="s">
        <v>3353</v>
      </c>
      <c r="P366" s="24" t="s">
        <v>3354</v>
      </c>
      <c r="Q366" s="24" t="s">
        <v>3355</v>
      </c>
      <c r="R366" s="24"/>
      <c r="S366" s="24" t="s">
        <v>3347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140</v>
      </c>
      <c r="Y366" s="23" t="s">
        <v>140</v>
      </c>
      <c r="Z366" s="23" t="s">
        <v>140</v>
      </c>
      <c r="AA366" s="23" t="s">
        <v>140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</row>
    <row r="367" customFormat="false" ht="26.85" hidden="false" customHeight="false" outlineLevel="0" collapsed="false">
      <c r="A367" s="21" t="n">
        <v>366</v>
      </c>
      <c r="B367" s="18" t="s">
        <v>3356</v>
      </c>
      <c r="C367" s="23" t="n">
        <v>2</v>
      </c>
      <c r="D367" s="23" t="s">
        <v>126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3328</v>
      </c>
      <c r="H367" s="18" t="s">
        <v>3258</v>
      </c>
      <c r="I367" s="21" t="s">
        <v>3330</v>
      </c>
      <c r="J367" s="22" t="s">
        <v>3357</v>
      </c>
      <c r="K367" s="23" t="s">
        <v>1095</v>
      </c>
      <c r="L367" s="24" t="s">
        <v>3358</v>
      </c>
      <c r="M367" s="24" t="s">
        <v>3359</v>
      </c>
      <c r="N367" s="23" t="s">
        <v>3360</v>
      </c>
      <c r="O367" s="24" t="s">
        <v>3361</v>
      </c>
      <c r="P367" s="24" t="s">
        <v>3354</v>
      </c>
      <c r="Q367" s="24" t="s">
        <v>3362</v>
      </c>
      <c r="R367" s="24"/>
      <c r="S367" s="24" t="s">
        <v>3347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140</v>
      </c>
      <c r="Y367" s="23" t="s">
        <v>140</v>
      </c>
      <c r="Z367" s="23" t="s">
        <v>140</v>
      </c>
      <c r="AA367" s="23" t="s">
        <v>140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</row>
    <row r="368" customFormat="false" ht="52.2" hidden="false" customHeight="false" outlineLevel="0" collapsed="false">
      <c r="A368" s="21" t="n">
        <v>367</v>
      </c>
      <c r="B368" s="18" t="s">
        <v>3363</v>
      </c>
      <c r="C368" s="20" t="n">
        <v>1</v>
      </c>
      <c r="D368" s="20" t="s">
        <v>126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3328</v>
      </c>
      <c r="H368" s="18" t="s">
        <v>3329</v>
      </c>
      <c r="I368" s="21" t="s">
        <v>3330</v>
      </c>
      <c r="J368" s="22" t="s">
        <v>3364</v>
      </c>
      <c r="K368" s="23" t="s">
        <v>1095</v>
      </c>
      <c r="L368" s="24" t="s">
        <v>3365</v>
      </c>
      <c r="M368" s="24" t="s">
        <v>3366</v>
      </c>
      <c r="N368" s="23" t="s">
        <v>3367</v>
      </c>
      <c r="O368" s="24" t="s">
        <v>3368</v>
      </c>
      <c r="P368" s="24" t="s">
        <v>3369</v>
      </c>
      <c r="Q368" s="24" t="s">
        <v>3370</v>
      </c>
      <c r="R368" s="25" t="s">
        <v>3371</v>
      </c>
      <c r="S368" s="28" t="s">
        <v>3372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140</v>
      </c>
      <c r="Y368" s="23" t="s">
        <v>140</v>
      </c>
      <c r="Z368" s="23" t="s">
        <v>140</v>
      </c>
      <c r="AA368" s="23" t="s">
        <v>140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</row>
    <row r="369" customFormat="false" ht="26.85" hidden="false" customHeight="false" outlineLevel="0" collapsed="false">
      <c r="A369" s="21" t="n">
        <v>368</v>
      </c>
      <c r="B369" s="18" t="s">
        <v>3373</v>
      </c>
      <c r="C369" s="20" t="n">
        <v>1</v>
      </c>
      <c r="D369" s="20" t="s">
        <v>126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3328</v>
      </c>
      <c r="H369" s="18" t="s">
        <v>3329</v>
      </c>
      <c r="I369" s="21" t="s">
        <v>3330</v>
      </c>
      <c r="J369" s="22" t="s">
        <v>3374</v>
      </c>
      <c r="K369" s="23" t="s">
        <v>1095</v>
      </c>
      <c r="L369" s="24" t="s">
        <v>3375</v>
      </c>
      <c r="M369" s="24" t="s">
        <v>3376</v>
      </c>
      <c r="N369" s="23" t="s">
        <v>3377</v>
      </c>
      <c r="O369" s="24" t="s">
        <v>3378</v>
      </c>
      <c r="P369" s="24" t="s">
        <v>3379</v>
      </c>
      <c r="Q369" s="24" t="s">
        <v>3380</v>
      </c>
      <c r="R369" s="25" t="s">
        <v>3381</v>
      </c>
      <c r="S369" s="24" t="s">
        <v>139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140</v>
      </c>
      <c r="Y369" s="23" t="s">
        <v>140</v>
      </c>
      <c r="Z369" s="23" t="s">
        <v>140</v>
      </c>
      <c r="AA369" s="23" t="s">
        <v>140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</row>
    <row r="370" customFormat="false" ht="26.85" hidden="false" customHeight="false" outlineLevel="0" collapsed="false">
      <c r="A370" s="21" t="n">
        <v>369</v>
      </c>
      <c r="B370" s="18" t="s">
        <v>3382</v>
      </c>
      <c r="C370" s="23" t="n">
        <v>2</v>
      </c>
      <c r="D370" s="23" t="s">
        <v>126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3328</v>
      </c>
      <c r="H370" s="18" t="s">
        <v>3258</v>
      </c>
      <c r="I370" s="21" t="s">
        <v>3330</v>
      </c>
      <c r="J370" s="22" t="s">
        <v>3383</v>
      </c>
      <c r="K370" s="23" t="s">
        <v>1095</v>
      </c>
      <c r="L370" s="24" t="s">
        <v>3384</v>
      </c>
      <c r="M370" s="24" t="s">
        <v>3385</v>
      </c>
      <c r="N370" s="23" t="s">
        <v>3386</v>
      </c>
      <c r="O370" s="24" t="s">
        <v>3387</v>
      </c>
      <c r="P370" s="24" t="s">
        <v>3354</v>
      </c>
      <c r="Q370" s="24" t="s">
        <v>3388</v>
      </c>
      <c r="R370" s="24"/>
      <c r="S370" s="24" t="s">
        <v>3389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140</v>
      </c>
      <c r="Y370" s="23" t="s">
        <v>140</v>
      </c>
      <c r="Z370" s="23" t="s">
        <v>140</v>
      </c>
      <c r="AA370" s="23" t="s">
        <v>140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</row>
    <row r="371" customFormat="false" ht="26.85" hidden="false" customHeight="false" outlineLevel="0" collapsed="false">
      <c r="A371" s="21" t="n">
        <v>370</v>
      </c>
      <c r="B371" s="18" t="s">
        <v>3390</v>
      </c>
      <c r="C371" s="23" t="n">
        <v>2</v>
      </c>
      <c r="D371" s="23" t="s">
        <v>126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3328</v>
      </c>
      <c r="H371" s="18" t="s">
        <v>3258</v>
      </c>
      <c r="I371" s="21" t="s">
        <v>3330</v>
      </c>
      <c r="J371" s="22" t="s">
        <v>3391</v>
      </c>
      <c r="K371" s="23" t="s">
        <v>1095</v>
      </c>
      <c r="L371" s="24" t="s">
        <v>3392</v>
      </c>
      <c r="M371" s="24" t="s">
        <v>3393</v>
      </c>
      <c r="N371" s="23" t="s">
        <v>3394</v>
      </c>
      <c r="O371" s="24" t="s">
        <v>3395</v>
      </c>
      <c r="P371" s="24" t="s">
        <v>3354</v>
      </c>
      <c r="Q371" s="24"/>
      <c r="R371" s="25" t="s">
        <v>3396</v>
      </c>
      <c r="S371" s="24" t="s">
        <v>3389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140</v>
      </c>
      <c r="Y371" s="23" t="s">
        <v>140</v>
      </c>
      <c r="Z371" s="23" t="s">
        <v>140</v>
      </c>
      <c r="AA371" s="23" t="s">
        <v>140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</row>
    <row r="372" customFormat="false" ht="26.85" hidden="false" customHeight="false" outlineLevel="0" collapsed="false">
      <c r="A372" s="21" t="n">
        <v>371</v>
      </c>
      <c r="B372" s="18" t="s">
        <v>3397</v>
      </c>
      <c r="C372" s="23" t="n">
        <v>2</v>
      </c>
      <c r="D372" s="23" t="s">
        <v>126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3398</v>
      </c>
      <c r="H372" s="18" t="s">
        <v>3399</v>
      </c>
      <c r="I372" s="21" t="s">
        <v>3330</v>
      </c>
      <c r="J372" s="22" t="s">
        <v>3400</v>
      </c>
      <c r="K372" s="23" t="s">
        <v>1095</v>
      </c>
      <c r="L372" s="24" t="s">
        <v>3401</v>
      </c>
      <c r="M372" s="24" t="s">
        <v>3402</v>
      </c>
      <c r="N372" s="23" t="s">
        <v>3403</v>
      </c>
      <c r="O372" s="24" t="s">
        <v>3404</v>
      </c>
      <c r="P372" s="24" t="s">
        <v>3405</v>
      </c>
      <c r="Q372" s="24" t="s">
        <v>3406</v>
      </c>
      <c r="R372" s="24"/>
      <c r="S372" s="24" t="s">
        <v>3389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140</v>
      </c>
      <c r="Y372" s="23" t="s">
        <v>140</v>
      </c>
      <c r="Z372" s="23" t="s">
        <v>140</v>
      </c>
      <c r="AA372" s="23" t="s">
        <v>140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</row>
    <row r="373" customFormat="false" ht="26.85" hidden="false" customHeight="false" outlineLevel="0" collapsed="false">
      <c r="A373" s="21" t="n">
        <v>372</v>
      </c>
      <c r="B373" s="18" t="s">
        <v>3407</v>
      </c>
      <c r="C373" s="23" t="n">
        <v>2</v>
      </c>
      <c r="D373" s="23" t="s">
        <v>126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3398</v>
      </c>
      <c r="H373" s="18" t="s">
        <v>3399</v>
      </c>
      <c r="I373" s="21" t="s">
        <v>3330</v>
      </c>
      <c r="J373" s="22" t="s">
        <v>3408</v>
      </c>
      <c r="K373" s="23" t="s">
        <v>1095</v>
      </c>
      <c r="L373" s="24" t="s">
        <v>3409</v>
      </c>
      <c r="M373" s="24" t="s">
        <v>3410</v>
      </c>
      <c r="N373" s="23" t="s">
        <v>3411</v>
      </c>
      <c r="O373" s="24" t="s">
        <v>3412</v>
      </c>
      <c r="P373" s="24" t="s">
        <v>3405</v>
      </c>
      <c r="Q373" s="24" t="s">
        <v>3413</v>
      </c>
      <c r="R373" s="24"/>
      <c r="S373" s="24" t="s">
        <v>3389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140</v>
      </c>
      <c r="Y373" s="23" t="s">
        <v>140</v>
      </c>
      <c r="Z373" s="23" t="s">
        <v>140</v>
      </c>
      <c r="AA373" s="23" t="s">
        <v>140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</row>
    <row r="374" customFormat="false" ht="52.2" hidden="false" customHeight="false" outlineLevel="0" collapsed="false">
      <c r="A374" s="21" t="n">
        <v>373</v>
      </c>
      <c r="B374" s="18" t="s">
        <v>3414</v>
      </c>
      <c r="C374" s="20" t="n">
        <v>1</v>
      </c>
      <c r="D374" s="20" t="s">
        <v>126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3398</v>
      </c>
      <c r="H374" s="18" t="s">
        <v>3329</v>
      </c>
      <c r="I374" s="21" t="s">
        <v>3330</v>
      </c>
      <c r="J374" s="22" t="s">
        <v>3415</v>
      </c>
      <c r="K374" s="23" t="s">
        <v>1095</v>
      </c>
      <c r="L374" s="24" t="s">
        <v>3416</v>
      </c>
      <c r="M374" s="24" t="s">
        <v>3417</v>
      </c>
      <c r="N374" s="23" t="s">
        <v>3418</v>
      </c>
      <c r="O374" s="24" t="s">
        <v>3419</v>
      </c>
      <c r="P374" s="24" t="s">
        <v>3354</v>
      </c>
      <c r="Q374" s="24" t="s">
        <v>3420</v>
      </c>
      <c r="R374" s="24"/>
      <c r="S374" s="28" t="s">
        <v>3421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140</v>
      </c>
      <c r="Y374" s="23" t="s">
        <v>140</v>
      </c>
      <c r="Z374" s="23" t="s">
        <v>140</v>
      </c>
      <c r="AA374" s="23" t="s">
        <v>140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</row>
    <row r="375" customFormat="false" ht="26.85" hidden="false" customHeight="false" outlineLevel="0" collapsed="false">
      <c r="A375" s="21" t="n">
        <v>374</v>
      </c>
      <c r="B375" s="18" t="s">
        <v>3422</v>
      </c>
      <c r="C375" s="23" t="n">
        <v>2</v>
      </c>
      <c r="D375" s="23" t="s">
        <v>126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3398</v>
      </c>
      <c r="H375" s="18" t="s">
        <v>3399</v>
      </c>
      <c r="I375" s="21" t="s">
        <v>3330</v>
      </c>
      <c r="J375" s="22" t="s">
        <v>3423</v>
      </c>
      <c r="K375" s="23" t="s">
        <v>1095</v>
      </c>
      <c r="L375" s="24" t="s">
        <v>3424</v>
      </c>
      <c r="M375" s="24" t="s">
        <v>3425</v>
      </c>
      <c r="N375" s="23" t="s">
        <v>3426</v>
      </c>
      <c r="O375" s="24" t="s">
        <v>3427</v>
      </c>
      <c r="P375" s="24" t="s">
        <v>3354</v>
      </c>
      <c r="Q375" s="24" t="s">
        <v>3428</v>
      </c>
      <c r="R375" s="24"/>
      <c r="S375" s="24" t="s">
        <v>3429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140</v>
      </c>
      <c r="Y375" s="23" t="s">
        <v>140</v>
      </c>
      <c r="Z375" s="23" t="s">
        <v>140</v>
      </c>
      <c r="AA375" s="23" t="s">
        <v>140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</row>
    <row r="376" customFormat="false" ht="26.85" hidden="false" customHeight="false" outlineLevel="0" collapsed="false">
      <c r="A376" s="21" t="n">
        <v>375</v>
      </c>
      <c r="B376" s="18" t="s">
        <v>3430</v>
      </c>
      <c r="C376" s="23" t="n">
        <v>2</v>
      </c>
      <c r="D376" s="23" t="s">
        <v>126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3398</v>
      </c>
      <c r="H376" s="18" t="s">
        <v>3399</v>
      </c>
      <c r="I376" s="21" t="s">
        <v>3330</v>
      </c>
      <c r="J376" s="22" t="s">
        <v>3431</v>
      </c>
      <c r="K376" s="23" t="s">
        <v>1095</v>
      </c>
      <c r="L376" s="24" t="s">
        <v>3432</v>
      </c>
      <c r="M376" s="24" t="s">
        <v>3433</v>
      </c>
      <c r="N376" s="23" t="s">
        <v>3434</v>
      </c>
      <c r="O376" s="24" t="s">
        <v>3435</v>
      </c>
      <c r="P376" s="24" t="s">
        <v>3354</v>
      </c>
      <c r="Q376" s="24" t="s">
        <v>3436</v>
      </c>
      <c r="R376" s="24"/>
      <c r="S376" s="24" t="s">
        <v>3429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140</v>
      </c>
      <c r="Y376" s="23" t="s">
        <v>140</v>
      </c>
      <c r="Z376" s="23" t="s">
        <v>140</v>
      </c>
      <c r="AA376" s="23" t="s">
        <v>140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</row>
    <row r="377" customFormat="false" ht="26.85" hidden="false" customHeight="false" outlineLevel="0" collapsed="false">
      <c r="A377" s="21" t="n">
        <v>376</v>
      </c>
      <c r="B377" s="18" t="s">
        <v>3437</v>
      </c>
      <c r="C377" s="23" t="n">
        <v>2</v>
      </c>
      <c r="D377" s="23" t="s">
        <v>126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3398</v>
      </c>
      <c r="H377" s="18" t="s">
        <v>3399</v>
      </c>
      <c r="I377" s="21" t="s">
        <v>3330</v>
      </c>
      <c r="J377" s="22" t="s">
        <v>3438</v>
      </c>
      <c r="K377" s="23" t="s">
        <v>1095</v>
      </c>
      <c r="L377" s="24" t="s">
        <v>3439</v>
      </c>
      <c r="M377" s="24" t="s">
        <v>3440</v>
      </c>
      <c r="N377" s="23" t="s">
        <v>3441</v>
      </c>
      <c r="O377" s="24" t="s">
        <v>3442</v>
      </c>
      <c r="P377" s="24" t="s">
        <v>3443</v>
      </c>
      <c r="Q377" s="24" t="s">
        <v>1286</v>
      </c>
      <c r="R377" s="24"/>
      <c r="S377" s="24" t="s">
        <v>3429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140</v>
      </c>
      <c r="Y377" s="23" t="s">
        <v>140</v>
      </c>
      <c r="Z377" s="23" t="s">
        <v>140</v>
      </c>
      <c r="AA377" s="23" t="s">
        <v>140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</row>
    <row r="378" customFormat="false" ht="26.85" hidden="false" customHeight="false" outlineLevel="0" collapsed="false">
      <c r="A378" s="21" t="n">
        <v>377</v>
      </c>
      <c r="B378" s="18" t="s">
        <v>3444</v>
      </c>
      <c r="C378" s="23" t="n">
        <v>2</v>
      </c>
      <c r="D378" s="23" t="s">
        <v>126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3398</v>
      </c>
      <c r="H378" s="18" t="s">
        <v>3399</v>
      </c>
      <c r="I378" s="21" t="s">
        <v>3330</v>
      </c>
      <c r="J378" s="22" t="s">
        <v>3445</v>
      </c>
      <c r="K378" s="23" t="s">
        <v>1095</v>
      </c>
      <c r="L378" s="24" t="s">
        <v>3446</v>
      </c>
      <c r="M378" s="24" t="s">
        <v>3447</v>
      </c>
      <c r="N378" s="23" t="s">
        <v>3448</v>
      </c>
      <c r="O378" s="24" t="s">
        <v>3449</v>
      </c>
      <c r="P378" s="24" t="s">
        <v>3405</v>
      </c>
      <c r="Q378" s="24" t="s">
        <v>3450</v>
      </c>
      <c r="R378" s="24"/>
      <c r="S378" s="24" t="s">
        <v>3429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140</v>
      </c>
      <c r="Y378" s="23" t="s">
        <v>140</v>
      </c>
      <c r="Z378" s="23" t="s">
        <v>140</v>
      </c>
      <c r="AA378" s="23" t="s">
        <v>140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</row>
    <row r="379" customFormat="false" ht="26.85" hidden="false" customHeight="false" outlineLevel="0" collapsed="false">
      <c r="A379" s="21" t="n">
        <v>378</v>
      </c>
      <c r="B379" s="18" t="s">
        <v>3451</v>
      </c>
      <c r="C379" s="23" t="n">
        <v>2</v>
      </c>
      <c r="D379" s="23" t="s">
        <v>126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3398</v>
      </c>
      <c r="H379" s="18" t="s">
        <v>3399</v>
      </c>
      <c r="I379" s="21" t="s">
        <v>3330</v>
      </c>
      <c r="J379" s="22" t="s">
        <v>3452</v>
      </c>
      <c r="K379" s="23" t="s">
        <v>1095</v>
      </c>
      <c r="L379" s="24" t="s">
        <v>3453</v>
      </c>
      <c r="M379" s="24" t="s">
        <v>3454</v>
      </c>
      <c r="N379" s="23" t="s">
        <v>3455</v>
      </c>
      <c r="O379" s="24" t="s">
        <v>3456</v>
      </c>
      <c r="P379" s="24" t="s">
        <v>3457</v>
      </c>
      <c r="Q379" s="24" t="s">
        <v>3458</v>
      </c>
      <c r="R379" s="25" t="s">
        <v>3459</v>
      </c>
      <c r="S379" s="24" t="s">
        <v>3429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140</v>
      </c>
      <c r="Y379" s="23" t="s">
        <v>140</v>
      </c>
      <c r="Z379" s="23" t="s">
        <v>140</v>
      </c>
      <c r="AA379" s="23" t="s">
        <v>140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</row>
    <row r="380" customFormat="false" ht="26.85" hidden="false" customHeight="false" outlineLevel="0" collapsed="false">
      <c r="A380" s="21" t="n">
        <v>379</v>
      </c>
      <c r="B380" s="18" t="s">
        <v>3460</v>
      </c>
      <c r="C380" s="23" t="n">
        <v>2</v>
      </c>
      <c r="D380" s="23" t="s">
        <v>126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3461</v>
      </c>
      <c r="H380" s="18" t="s">
        <v>3462</v>
      </c>
      <c r="I380" s="21" t="s">
        <v>3330</v>
      </c>
      <c r="J380" s="22" t="s">
        <v>3463</v>
      </c>
      <c r="K380" s="23" t="s">
        <v>1095</v>
      </c>
      <c r="L380" s="24" t="s">
        <v>3464</v>
      </c>
      <c r="M380" s="24" t="s">
        <v>3465</v>
      </c>
      <c r="N380" s="23" t="s">
        <v>3466</v>
      </c>
      <c r="O380" s="24" t="s">
        <v>3467</v>
      </c>
      <c r="P380" s="24" t="s">
        <v>1117</v>
      </c>
      <c r="Q380" s="24" t="s">
        <v>3468</v>
      </c>
      <c r="R380" s="24"/>
      <c r="S380" s="24" t="s">
        <v>3429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140</v>
      </c>
      <c r="Y380" s="23" t="s">
        <v>140</v>
      </c>
      <c r="Z380" s="23" t="s">
        <v>140</v>
      </c>
      <c r="AA380" s="23" t="s">
        <v>140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</row>
    <row r="381" customFormat="false" ht="26.85" hidden="false" customHeight="false" outlineLevel="0" collapsed="false">
      <c r="A381" s="21" t="n">
        <v>380</v>
      </c>
      <c r="B381" s="18" t="s">
        <v>3469</v>
      </c>
      <c r="C381" s="23" t="n">
        <v>2</v>
      </c>
      <c r="D381" s="23" t="s">
        <v>126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3461</v>
      </c>
      <c r="H381" s="18" t="s">
        <v>3462</v>
      </c>
      <c r="I381" s="21" t="s">
        <v>3330</v>
      </c>
      <c r="J381" s="22" t="s">
        <v>3470</v>
      </c>
      <c r="K381" s="23" t="s">
        <v>1095</v>
      </c>
      <c r="L381" s="24" t="s">
        <v>3471</v>
      </c>
      <c r="M381" s="24" t="s">
        <v>3472</v>
      </c>
      <c r="N381" s="23" t="s">
        <v>3473</v>
      </c>
      <c r="O381" s="24" t="s">
        <v>3474</v>
      </c>
      <c r="P381" s="24" t="s">
        <v>3475</v>
      </c>
      <c r="Q381" s="24" t="s">
        <v>3476</v>
      </c>
      <c r="R381" s="25" t="s">
        <v>3477</v>
      </c>
      <c r="S381" s="24" t="s">
        <v>3429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140</v>
      </c>
      <c r="Y381" s="23" t="s">
        <v>140</v>
      </c>
      <c r="Z381" s="23" t="s">
        <v>140</v>
      </c>
      <c r="AA381" s="23" t="s">
        <v>140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</row>
    <row r="382" customFormat="false" ht="26.85" hidden="false" customHeight="false" outlineLevel="0" collapsed="false">
      <c r="A382" s="21" t="n">
        <v>381</v>
      </c>
      <c r="B382" s="18" t="s">
        <v>3478</v>
      </c>
      <c r="C382" s="23" t="n">
        <v>2</v>
      </c>
      <c r="D382" s="23" t="s">
        <v>126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3461</v>
      </c>
      <c r="H382" s="18" t="s">
        <v>3462</v>
      </c>
      <c r="I382" s="21" t="s">
        <v>3330</v>
      </c>
      <c r="J382" s="22" t="s">
        <v>3479</v>
      </c>
      <c r="K382" s="23" t="s">
        <v>1095</v>
      </c>
      <c r="L382" s="24" t="s">
        <v>3480</v>
      </c>
      <c r="M382" s="24" t="s">
        <v>3481</v>
      </c>
      <c r="N382" s="23" t="s">
        <v>3482</v>
      </c>
      <c r="O382" s="24" t="s">
        <v>3483</v>
      </c>
      <c r="P382" s="24" t="s">
        <v>3484</v>
      </c>
      <c r="Q382" s="24" t="s">
        <v>3485</v>
      </c>
      <c r="R382" s="24"/>
      <c r="S382" s="24" t="s">
        <v>3429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140</v>
      </c>
      <c r="Y382" s="23" t="s">
        <v>140</v>
      </c>
      <c r="Z382" s="23" t="s">
        <v>140</v>
      </c>
      <c r="AA382" s="23" t="s">
        <v>140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</row>
    <row r="383" customFormat="false" ht="26.85" hidden="false" customHeight="false" outlineLevel="0" collapsed="false">
      <c r="A383" s="21" t="n">
        <v>382</v>
      </c>
      <c r="B383" s="18" t="s">
        <v>3486</v>
      </c>
      <c r="C383" s="23" t="n">
        <v>2</v>
      </c>
      <c r="D383" s="23" t="s">
        <v>126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3461</v>
      </c>
      <c r="H383" s="18" t="s">
        <v>3462</v>
      </c>
      <c r="I383" s="21" t="s">
        <v>3330</v>
      </c>
      <c r="J383" s="22" t="s">
        <v>3487</v>
      </c>
      <c r="K383" s="23" t="s">
        <v>1095</v>
      </c>
      <c r="L383" s="24" t="s">
        <v>3488</v>
      </c>
      <c r="M383" s="24" t="s">
        <v>3489</v>
      </c>
      <c r="N383" s="23" t="s">
        <v>3490</v>
      </c>
      <c r="O383" s="24" t="s">
        <v>3491</v>
      </c>
      <c r="P383" s="24" t="s">
        <v>3484</v>
      </c>
      <c r="Q383" s="24" t="s">
        <v>3492</v>
      </c>
      <c r="R383" s="24"/>
      <c r="S383" s="24" t="s">
        <v>3429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140</v>
      </c>
      <c r="Y383" s="23" t="s">
        <v>140</v>
      </c>
      <c r="Z383" s="23" t="s">
        <v>140</v>
      </c>
      <c r="AA383" s="23" t="s">
        <v>140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</row>
    <row r="384" customFormat="false" ht="26.85" hidden="false" customHeight="false" outlineLevel="0" collapsed="false">
      <c r="A384" s="21" t="n">
        <v>383</v>
      </c>
      <c r="B384" s="18" t="s">
        <v>3493</v>
      </c>
      <c r="C384" s="23" t="n">
        <v>2</v>
      </c>
      <c r="D384" s="23" t="s">
        <v>126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3461</v>
      </c>
      <c r="H384" s="18" t="s">
        <v>3462</v>
      </c>
      <c r="I384" s="21" t="s">
        <v>3330</v>
      </c>
      <c r="J384" s="22" t="s">
        <v>3494</v>
      </c>
      <c r="K384" s="23" t="s">
        <v>1095</v>
      </c>
      <c r="L384" s="24" t="s">
        <v>3495</v>
      </c>
      <c r="M384" s="24" t="s">
        <v>3496</v>
      </c>
      <c r="N384" s="23" t="s">
        <v>3497</v>
      </c>
      <c r="O384" s="24" t="s">
        <v>3498</v>
      </c>
      <c r="P384" s="24" t="s">
        <v>3354</v>
      </c>
      <c r="Q384" s="24"/>
      <c r="R384" s="24"/>
      <c r="S384" s="24" t="s">
        <v>3429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140</v>
      </c>
      <c r="Y384" s="23" t="s">
        <v>140</v>
      </c>
      <c r="Z384" s="23" t="s">
        <v>140</v>
      </c>
      <c r="AA384" s="23" t="s">
        <v>140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</row>
    <row r="385" customFormat="false" ht="26.85" hidden="false" customHeight="false" outlineLevel="0" collapsed="false">
      <c r="A385" s="21" t="n">
        <v>384</v>
      </c>
      <c r="B385" s="18" t="s">
        <v>3499</v>
      </c>
      <c r="C385" s="23" t="n">
        <v>2</v>
      </c>
      <c r="D385" s="23" t="s">
        <v>126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3461</v>
      </c>
      <c r="H385" s="18" t="s">
        <v>3462</v>
      </c>
      <c r="I385" s="21" t="s">
        <v>3330</v>
      </c>
      <c r="J385" s="22" t="s">
        <v>3500</v>
      </c>
      <c r="K385" s="23" t="s">
        <v>1095</v>
      </c>
      <c r="L385" s="24" t="s">
        <v>3501</v>
      </c>
      <c r="M385" s="24" t="s">
        <v>3502</v>
      </c>
      <c r="N385" s="23" t="s">
        <v>3503</v>
      </c>
      <c r="O385" s="24" t="s">
        <v>3504</v>
      </c>
      <c r="P385" s="24" t="s">
        <v>3505</v>
      </c>
      <c r="Q385" s="24" t="s">
        <v>3506</v>
      </c>
      <c r="R385" s="24"/>
      <c r="S385" s="24" t="s">
        <v>3429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140</v>
      </c>
      <c r="Y385" s="23" t="s">
        <v>140</v>
      </c>
      <c r="Z385" s="23" t="s">
        <v>140</v>
      </c>
      <c r="AA385" s="23" t="s">
        <v>140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</row>
    <row r="386" customFormat="false" ht="26.85" hidden="false" customHeight="false" outlineLevel="0" collapsed="false">
      <c r="A386" s="21" t="n">
        <v>385</v>
      </c>
      <c r="B386" s="18" t="s">
        <v>3507</v>
      </c>
      <c r="C386" s="23" t="n">
        <v>2</v>
      </c>
      <c r="D386" s="23" t="s">
        <v>126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3461</v>
      </c>
      <c r="H386" s="18" t="s">
        <v>3462</v>
      </c>
      <c r="I386" s="21" t="s">
        <v>3330</v>
      </c>
      <c r="J386" s="22" t="s">
        <v>3508</v>
      </c>
      <c r="K386" s="23" t="s">
        <v>1095</v>
      </c>
      <c r="L386" s="24" t="s">
        <v>3509</v>
      </c>
      <c r="M386" s="24" t="s">
        <v>3510</v>
      </c>
      <c r="N386" s="23" t="s">
        <v>3511</v>
      </c>
      <c r="O386" s="24" t="s">
        <v>3512</v>
      </c>
      <c r="P386" s="24" t="s">
        <v>3505</v>
      </c>
      <c r="Q386" s="24" t="s">
        <v>3513</v>
      </c>
      <c r="R386" s="24"/>
      <c r="S386" s="24" t="s">
        <v>3429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140</v>
      </c>
      <c r="Y386" s="23" t="s">
        <v>140</v>
      </c>
      <c r="Z386" s="23" t="s">
        <v>140</v>
      </c>
      <c r="AA386" s="23" t="s">
        <v>140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</row>
    <row r="387" customFormat="false" ht="26.85" hidden="false" customHeight="false" outlineLevel="0" collapsed="false">
      <c r="A387" s="21" t="n">
        <v>386</v>
      </c>
      <c r="B387" s="18" t="s">
        <v>3514</v>
      </c>
      <c r="C387" s="23" t="n">
        <v>2</v>
      </c>
      <c r="D387" s="23" t="s">
        <v>126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3515</v>
      </c>
      <c r="H387" s="18" t="s">
        <v>3516</v>
      </c>
      <c r="I387" s="21" t="s">
        <v>3330</v>
      </c>
      <c r="J387" s="22" t="s">
        <v>3517</v>
      </c>
      <c r="K387" s="23" t="s">
        <v>1095</v>
      </c>
      <c r="L387" s="24" t="s">
        <v>3518</v>
      </c>
      <c r="M387" s="24" t="s">
        <v>3519</v>
      </c>
      <c r="N387" s="23" t="s">
        <v>3520</v>
      </c>
      <c r="O387" s="24" t="s">
        <v>3521</v>
      </c>
      <c r="P387" s="24" t="s">
        <v>3522</v>
      </c>
      <c r="Q387" s="24" t="s">
        <v>3523</v>
      </c>
      <c r="R387" s="25" t="s">
        <v>3524</v>
      </c>
      <c r="S387" s="24" t="s">
        <v>3429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140</v>
      </c>
      <c r="Y387" s="23" t="s">
        <v>140</v>
      </c>
      <c r="Z387" s="23" t="s">
        <v>140</v>
      </c>
      <c r="AA387" s="23" t="s">
        <v>140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</row>
    <row r="388" customFormat="false" ht="52.2" hidden="false" customHeight="false" outlineLevel="0" collapsed="false">
      <c r="A388" s="21" t="n">
        <v>387</v>
      </c>
      <c r="B388" s="18" t="s">
        <v>3525</v>
      </c>
      <c r="C388" s="20" t="n">
        <v>1</v>
      </c>
      <c r="D388" s="20" t="s">
        <v>126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3515</v>
      </c>
      <c r="H388" s="18" t="s">
        <v>3329</v>
      </c>
      <c r="I388" s="21" t="s">
        <v>3330</v>
      </c>
      <c r="J388" s="22" t="s">
        <v>3526</v>
      </c>
      <c r="K388" s="23" t="s">
        <v>1095</v>
      </c>
      <c r="L388" s="24" t="s">
        <v>3527</v>
      </c>
      <c r="M388" s="24" t="s">
        <v>3528</v>
      </c>
      <c r="N388" s="23" t="s">
        <v>3529</v>
      </c>
      <c r="O388" s="24" t="s">
        <v>3530</v>
      </c>
      <c r="P388" s="24" t="s">
        <v>3505</v>
      </c>
      <c r="Q388" s="24" t="s">
        <v>3531</v>
      </c>
      <c r="R388" s="24"/>
      <c r="S388" s="28" t="s">
        <v>3532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140</v>
      </c>
      <c r="Y388" s="23" t="s">
        <v>140</v>
      </c>
      <c r="Z388" s="23" t="s">
        <v>140</v>
      </c>
      <c r="AA388" s="23" t="s">
        <v>140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</row>
    <row r="389" customFormat="false" ht="26.85" hidden="false" customHeight="false" outlineLevel="0" collapsed="false">
      <c r="A389" s="21" t="n">
        <v>388</v>
      </c>
      <c r="B389" s="18" t="s">
        <v>3533</v>
      </c>
      <c r="C389" s="23" t="n">
        <v>2</v>
      </c>
      <c r="D389" s="23" t="s">
        <v>126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3515</v>
      </c>
      <c r="H389" s="18" t="s">
        <v>3516</v>
      </c>
      <c r="I389" s="21" t="s">
        <v>3330</v>
      </c>
      <c r="J389" s="22" t="s">
        <v>3534</v>
      </c>
      <c r="K389" s="23" t="s">
        <v>1095</v>
      </c>
      <c r="L389" s="24" t="s">
        <v>3535</v>
      </c>
      <c r="M389" s="24" t="s">
        <v>3536</v>
      </c>
      <c r="N389" s="23" t="s">
        <v>3537</v>
      </c>
      <c r="O389" s="24" t="s">
        <v>3538</v>
      </c>
      <c r="P389" s="24" t="s">
        <v>3539</v>
      </c>
      <c r="Q389" s="24" t="s">
        <v>3540</v>
      </c>
      <c r="R389" s="24"/>
      <c r="S389" s="24" t="s">
        <v>3541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140</v>
      </c>
      <c r="Y389" s="23" t="s">
        <v>140</v>
      </c>
      <c r="Z389" s="23" t="s">
        <v>140</v>
      </c>
      <c r="AA389" s="23" t="s">
        <v>140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</row>
    <row r="390" customFormat="false" ht="26.85" hidden="false" customHeight="false" outlineLevel="0" collapsed="false">
      <c r="A390" s="21" t="n">
        <v>389</v>
      </c>
      <c r="B390" s="18" t="s">
        <v>3542</v>
      </c>
      <c r="C390" s="23" t="n">
        <v>2</v>
      </c>
      <c r="D390" s="23" t="s">
        <v>126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3515</v>
      </c>
      <c r="H390" s="18" t="s">
        <v>3516</v>
      </c>
      <c r="I390" s="21" t="s">
        <v>3330</v>
      </c>
      <c r="J390" s="22" t="s">
        <v>3543</v>
      </c>
      <c r="K390" s="23" t="s">
        <v>1095</v>
      </c>
      <c r="L390" s="24" t="s">
        <v>3544</v>
      </c>
      <c r="M390" s="24" t="s">
        <v>3545</v>
      </c>
      <c r="N390" s="23" t="s">
        <v>3546</v>
      </c>
      <c r="O390" s="24" t="s">
        <v>3547</v>
      </c>
      <c r="P390" s="24" t="s">
        <v>3548</v>
      </c>
      <c r="Q390" s="24" t="s">
        <v>3549</v>
      </c>
      <c r="R390" s="24"/>
      <c r="S390" s="24" t="s">
        <v>3541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140</v>
      </c>
      <c r="Y390" s="23" t="s">
        <v>140</v>
      </c>
      <c r="Z390" s="23" t="s">
        <v>140</v>
      </c>
      <c r="AA390" s="23" t="s">
        <v>140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</row>
    <row r="391" customFormat="false" ht="26.85" hidden="false" customHeight="false" outlineLevel="0" collapsed="false">
      <c r="A391" s="21" t="n">
        <v>390</v>
      </c>
      <c r="B391" s="18" t="s">
        <v>3550</v>
      </c>
      <c r="C391" s="23" t="n">
        <v>2</v>
      </c>
      <c r="D391" s="23" t="s">
        <v>126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3515</v>
      </c>
      <c r="H391" s="18" t="s">
        <v>3516</v>
      </c>
      <c r="I391" s="21" t="s">
        <v>3330</v>
      </c>
      <c r="J391" s="22" t="s">
        <v>3551</v>
      </c>
      <c r="K391" s="23" t="s">
        <v>1095</v>
      </c>
      <c r="L391" s="24" t="s">
        <v>3552</v>
      </c>
      <c r="M391" s="24" t="s">
        <v>3553</v>
      </c>
      <c r="N391" s="23" t="s">
        <v>3554</v>
      </c>
      <c r="O391" s="24" t="s">
        <v>3555</v>
      </c>
      <c r="P391" s="24" t="s">
        <v>3556</v>
      </c>
      <c r="Q391" s="24" t="s">
        <v>3557</v>
      </c>
      <c r="R391" s="24"/>
      <c r="S391" s="24" t="s">
        <v>3541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140</v>
      </c>
      <c r="Y391" s="23" t="s">
        <v>140</v>
      </c>
      <c r="Z391" s="23" t="s">
        <v>140</v>
      </c>
      <c r="AA391" s="23" t="s">
        <v>140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</row>
    <row r="392" customFormat="false" ht="52.2" hidden="false" customHeight="false" outlineLevel="0" collapsed="false">
      <c r="A392" s="21" t="n">
        <v>391</v>
      </c>
      <c r="B392" s="18" t="s">
        <v>3558</v>
      </c>
      <c r="C392" s="20" t="n">
        <v>1</v>
      </c>
      <c r="D392" s="20" t="s">
        <v>126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3515</v>
      </c>
      <c r="H392" s="18" t="s">
        <v>3329</v>
      </c>
      <c r="I392" s="21" t="s">
        <v>3330</v>
      </c>
      <c r="J392" s="22" t="s">
        <v>3559</v>
      </c>
      <c r="K392" s="23" t="s">
        <v>1095</v>
      </c>
      <c r="L392" s="24" t="s">
        <v>3560</v>
      </c>
      <c r="M392" s="24" t="s">
        <v>3561</v>
      </c>
      <c r="N392" s="23" t="s">
        <v>3562</v>
      </c>
      <c r="O392" s="24" t="s">
        <v>3563</v>
      </c>
      <c r="P392" s="24" t="s">
        <v>3354</v>
      </c>
      <c r="Q392" s="24" t="s">
        <v>3564</v>
      </c>
      <c r="R392" s="24"/>
      <c r="S392" s="28" t="s">
        <v>3565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140</v>
      </c>
      <c r="Y392" s="23" t="s">
        <v>140</v>
      </c>
      <c r="Z392" s="23" t="s">
        <v>140</v>
      </c>
      <c r="AA392" s="23" t="s">
        <v>140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</row>
    <row r="393" customFormat="false" ht="26.85" hidden="false" customHeight="false" outlineLevel="0" collapsed="false">
      <c r="A393" s="21" t="n">
        <v>392</v>
      </c>
      <c r="B393" s="18" t="s">
        <v>3566</v>
      </c>
      <c r="C393" s="23" t="n">
        <v>2</v>
      </c>
      <c r="D393" s="23" t="s">
        <v>126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3515</v>
      </c>
      <c r="H393" s="18" t="s">
        <v>3516</v>
      </c>
      <c r="I393" s="21" t="s">
        <v>3330</v>
      </c>
      <c r="J393" s="22" t="s">
        <v>3567</v>
      </c>
      <c r="K393" s="23" t="s">
        <v>1095</v>
      </c>
      <c r="L393" s="24" t="s">
        <v>3568</v>
      </c>
      <c r="M393" s="24" t="s">
        <v>3569</v>
      </c>
      <c r="N393" s="23" t="s">
        <v>3570</v>
      </c>
      <c r="O393" s="24" t="s">
        <v>3571</v>
      </c>
      <c r="P393" s="24" t="s">
        <v>3354</v>
      </c>
      <c r="Q393" s="24"/>
      <c r="R393" s="24"/>
      <c r="S393" s="24" t="s">
        <v>3572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140</v>
      </c>
      <c r="Y393" s="23" t="s">
        <v>140</v>
      </c>
      <c r="Z393" s="23" t="s">
        <v>140</v>
      </c>
      <c r="AA393" s="23" t="s">
        <v>140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</row>
    <row r="394" customFormat="false" ht="26.85" hidden="false" customHeight="false" outlineLevel="0" collapsed="false">
      <c r="A394" s="21" t="n">
        <v>393</v>
      </c>
      <c r="B394" s="18" t="s">
        <v>3573</v>
      </c>
      <c r="C394" s="23" t="n">
        <v>2</v>
      </c>
      <c r="D394" s="23" t="s">
        <v>126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3515</v>
      </c>
      <c r="H394" s="18" t="s">
        <v>3516</v>
      </c>
      <c r="I394" s="21" t="s">
        <v>3330</v>
      </c>
      <c r="J394" s="22" t="s">
        <v>3574</v>
      </c>
      <c r="K394" s="23" t="s">
        <v>1095</v>
      </c>
      <c r="L394" s="24" t="s">
        <v>3575</v>
      </c>
      <c r="M394" s="24" t="s">
        <v>3576</v>
      </c>
      <c r="N394" s="23" t="s">
        <v>3577</v>
      </c>
      <c r="O394" s="24" t="s">
        <v>3578</v>
      </c>
      <c r="P394" s="24" t="s">
        <v>3579</v>
      </c>
      <c r="Q394" s="24" t="s">
        <v>3580</v>
      </c>
      <c r="R394" s="24"/>
      <c r="S394" s="24" t="s">
        <v>3572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140</v>
      </c>
      <c r="Y394" s="23" t="s">
        <v>140</v>
      </c>
      <c r="Z394" s="23" t="s">
        <v>140</v>
      </c>
      <c r="AA394" s="23" t="s">
        <v>140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</row>
    <row r="395" customFormat="false" ht="39.55" hidden="false" customHeight="false" outlineLevel="0" collapsed="false">
      <c r="A395" s="21" t="n">
        <v>394</v>
      </c>
      <c r="B395" s="18" t="s">
        <v>3581</v>
      </c>
      <c r="C395" s="20" t="n">
        <v>1</v>
      </c>
      <c r="D395" s="20" t="s">
        <v>126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3582</v>
      </c>
      <c r="H395" s="18" t="s">
        <v>3329</v>
      </c>
      <c r="I395" s="21" t="s">
        <v>3583</v>
      </c>
      <c r="J395" s="22" t="s">
        <v>3584</v>
      </c>
      <c r="K395" s="23" t="s">
        <v>1095</v>
      </c>
      <c r="L395" s="24" t="s">
        <v>3585</v>
      </c>
      <c r="M395" s="24" t="s">
        <v>3586</v>
      </c>
      <c r="N395" s="23" t="s">
        <v>3587</v>
      </c>
      <c r="O395" s="24" t="s">
        <v>3588</v>
      </c>
      <c r="P395" s="24" t="s">
        <v>3589</v>
      </c>
      <c r="Q395" s="24" t="s">
        <v>3590</v>
      </c>
      <c r="R395" s="24"/>
      <c r="S395" s="28" t="s">
        <v>3591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140</v>
      </c>
      <c r="Y395" s="23" t="s">
        <v>140</v>
      </c>
      <c r="Z395" s="23" t="s">
        <v>140</v>
      </c>
      <c r="AA395" s="23" t="s">
        <v>140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</row>
    <row r="396" customFormat="false" ht="25.35" hidden="false" customHeight="false" outlineLevel="0" collapsed="false">
      <c r="A396" s="21" t="n">
        <v>395</v>
      </c>
      <c r="B396" s="18" t="s">
        <v>3592</v>
      </c>
      <c r="C396" s="23" t="n">
        <v>2</v>
      </c>
      <c r="D396" s="23" t="s">
        <v>126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3582</v>
      </c>
      <c r="H396" s="18" t="s">
        <v>3516</v>
      </c>
      <c r="I396" s="21" t="s">
        <v>3583</v>
      </c>
      <c r="J396" s="22" t="s">
        <v>3593</v>
      </c>
      <c r="K396" s="23" t="s">
        <v>1095</v>
      </c>
      <c r="L396" s="24" t="s">
        <v>3594</v>
      </c>
      <c r="M396" s="24" t="s">
        <v>3595</v>
      </c>
      <c r="N396" s="23" t="s">
        <v>3596</v>
      </c>
      <c r="O396" s="24" t="s">
        <v>3597</v>
      </c>
      <c r="P396" s="24" t="s">
        <v>3589</v>
      </c>
      <c r="Q396" s="24" t="s">
        <v>3598</v>
      </c>
      <c r="R396" s="24"/>
      <c r="S396" s="24" t="s">
        <v>3599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140</v>
      </c>
      <c r="Y396" s="23" t="s">
        <v>140</v>
      </c>
      <c r="Z396" s="23" t="s">
        <v>140</v>
      </c>
      <c r="AA396" s="23" t="s">
        <v>140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</row>
    <row r="397" customFormat="false" ht="26.85" hidden="false" customHeight="false" outlineLevel="0" collapsed="false">
      <c r="A397" s="21" t="n">
        <v>396</v>
      </c>
      <c r="B397" s="18" t="s">
        <v>3600</v>
      </c>
      <c r="C397" s="23" t="n">
        <v>2</v>
      </c>
      <c r="D397" s="23" t="s">
        <v>126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3582</v>
      </c>
      <c r="H397" s="18" t="s">
        <v>3516</v>
      </c>
      <c r="I397" s="21" t="s">
        <v>3583</v>
      </c>
      <c r="J397" s="22" t="s">
        <v>3601</v>
      </c>
      <c r="K397" s="23" t="s">
        <v>1095</v>
      </c>
      <c r="L397" s="24" t="s">
        <v>3602</v>
      </c>
      <c r="M397" s="24" t="s">
        <v>3603</v>
      </c>
      <c r="N397" s="23" t="s">
        <v>3604</v>
      </c>
      <c r="O397" s="24" t="s">
        <v>3605</v>
      </c>
      <c r="P397" s="24" t="s">
        <v>3606</v>
      </c>
      <c r="Q397" s="24" t="s">
        <v>3607</v>
      </c>
      <c r="R397" s="25" t="s">
        <v>3608</v>
      </c>
      <c r="S397" s="24" t="s">
        <v>3599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140</v>
      </c>
      <c r="Y397" s="23" t="s">
        <v>140</v>
      </c>
      <c r="Z397" s="23" t="s">
        <v>140</v>
      </c>
      <c r="AA397" s="23" t="s">
        <v>140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</row>
    <row r="398" customFormat="false" ht="26.85" hidden="false" customHeight="false" outlineLevel="0" collapsed="false">
      <c r="A398" s="21" t="n">
        <v>397</v>
      </c>
      <c r="B398" s="18" t="s">
        <v>3609</v>
      </c>
      <c r="C398" s="23" t="n">
        <v>2</v>
      </c>
      <c r="D398" s="23" t="s">
        <v>126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3582</v>
      </c>
      <c r="H398" s="18" t="s">
        <v>3516</v>
      </c>
      <c r="I398" s="21" t="s">
        <v>3583</v>
      </c>
      <c r="J398" s="22" t="s">
        <v>3610</v>
      </c>
      <c r="K398" s="23" t="s">
        <v>1095</v>
      </c>
      <c r="L398" s="24" t="s">
        <v>3611</v>
      </c>
      <c r="M398" s="24" t="s">
        <v>3612</v>
      </c>
      <c r="N398" s="23" t="s">
        <v>3613</v>
      </c>
      <c r="O398" s="24" t="s">
        <v>3614</v>
      </c>
      <c r="P398" s="24" t="s">
        <v>3615</v>
      </c>
      <c r="Q398" s="24" t="s">
        <v>3616</v>
      </c>
      <c r="R398" s="25" t="s">
        <v>3617</v>
      </c>
      <c r="S398" s="24" t="s">
        <v>3599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140</v>
      </c>
      <c r="Y398" s="23" t="s">
        <v>140</v>
      </c>
      <c r="Z398" s="23" t="s">
        <v>140</v>
      </c>
      <c r="AA398" s="23" t="s">
        <v>140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</row>
    <row r="399" customFormat="false" ht="25.35" hidden="false" customHeight="false" outlineLevel="0" collapsed="false">
      <c r="A399" s="21" t="n">
        <v>398</v>
      </c>
      <c r="B399" s="18" t="s">
        <v>3618</v>
      </c>
      <c r="C399" s="23" t="n">
        <v>2</v>
      </c>
      <c r="D399" s="23" t="s">
        <v>126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3582</v>
      </c>
      <c r="H399" s="18" t="s">
        <v>3516</v>
      </c>
      <c r="I399" s="21" t="s">
        <v>3583</v>
      </c>
      <c r="J399" s="22" t="s">
        <v>3619</v>
      </c>
      <c r="K399" s="23" t="s">
        <v>1095</v>
      </c>
      <c r="L399" s="24" t="s">
        <v>3620</v>
      </c>
      <c r="M399" s="24" t="s">
        <v>3621</v>
      </c>
      <c r="N399" s="23" t="s">
        <v>3622</v>
      </c>
      <c r="O399" s="24" t="s">
        <v>3623</v>
      </c>
      <c r="P399" s="24" t="s">
        <v>3624</v>
      </c>
      <c r="Q399" s="24" t="s">
        <v>3625</v>
      </c>
      <c r="R399" s="24"/>
      <c r="S399" s="24" t="s">
        <v>3599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140</v>
      </c>
      <c r="Y399" s="23" t="s">
        <v>140</v>
      </c>
      <c r="Z399" s="23" t="s">
        <v>140</v>
      </c>
      <c r="AA399" s="23" t="s">
        <v>140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</row>
    <row r="400" customFormat="false" ht="26.85" hidden="false" customHeight="false" outlineLevel="0" collapsed="false">
      <c r="A400" s="21" t="n">
        <v>399</v>
      </c>
      <c r="B400" s="18" t="s">
        <v>3626</v>
      </c>
      <c r="C400" s="23" t="n">
        <v>2</v>
      </c>
      <c r="D400" s="23" t="s">
        <v>126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3582</v>
      </c>
      <c r="H400" s="18" t="s">
        <v>3516</v>
      </c>
      <c r="I400" s="21" t="s">
        <v>3583</v>
      </c>
      <c r="J400" s="22" t="s">
        <v>3627</v>
      </c>
      <c r="K400" s="23" t="s">
        <v>1095</v>
      </c>
      <c r="L400" s="24" t="s">
        <v>3628</v>
      </c>
      <c r="M400" s="24" t="s">
        <v>3629</v>
      </c>
      <c r="N400" s="23" t="s">
        <v>3630</v>
      </c>
      <c r="O400" s="24" t="s">
        <v>3631</v>
      </c>
      <c r="P400" s="24" t="s">
        <v>3624</v>
      </c>
      <c r="Q400" s="24" t="s">
        <v>3632</v>
      </c>
      <c r="R400" s="24"/>
      <c r="S400" s="24" t="s">
        <v>3599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140</v>
      </c>
      <c r="Y400" s="23" t="s">
        <v>140</v>
      </c>
      <c r="Z400" s="23" t="s">
        <v>140</v>
      </c>
      <c r="AA400" s="23" t="s">
        <v>140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</row>
    <row r="401" customFormat="false" ht="26.85" hidden="false" customHeight="false" outlineLevel="0" collapsed="false">
      <c r="A401" s="21" t="n">
        <v>400</v>
      </c>
      <c r="B401" s="18" t="s">
        <v>3633</v>
      </c>
      <c r="C401" s="23" t="n">
        <v>2</v>
      </c>
      <c r="D401" s="23" t="s">
        <v>126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3582</v>
      </c>
      <c r="H401" s="18" t="s">
        <v>3516</v>
      </c>
      <c r="I401" s="21" t="s">
        <v>3583</v>
      </c>
      <c r="J401" s="22" t="s">
        <v>3634</v>
      </c>
      <c r="K401" s="23" t="s">
        <v>1095</v>
      </c>
      <c r="L401" s="24" t="s">
        <v>3635</v>
      </c>
      <c r="M401" s="24" t="s">
        <v>3636</v>
      </c>
      <c r="N401" s="23" t="s">
        <v>3637</v>
      </c>
      <c r="O401" s="24" t="s">
        <v>3638</v>
      </c>
      <c r="P401" s="24" t="s">
        <v>3639</v>
      </c>
      <c r="Q401" s="24" t="s">
        <v>3640</v>
      </c>
      <c r="R401" s="24"/>
      <c r="S401" s="24" t="s">
        <v>3599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140</v>
      </c>
      <c r="Y401" s="23" t="s">
        <v>140</v>
      </c>
      <c r="Z401" s="23" t="s">
        <v>140</v>
      </c>
      <c r="AA401" s="23" t="s">
        <v>140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</row>
    <row r="402" customFormat="false" ht="26.85" hidden="false" customHeight="false" outlineLevel="0" collapsed="false">
      <c r="A402" s="21" t="n">
        <v>401</v>
      </c>
      <c r="B402" s="18" t="s">
        <v>3641</v>
      </c>
      <c r="C402" s="23" t="n">
        <v>2</v>
      </c>
      <c r="D402" s="23" t="s">
        <v>126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3582</v>
      </c>
      <c r="H402" s="18" t="s">
        <v>3516</v>
      </c>
      <c r="I402" s="21" t="s">
        <v>3583</v>
      </c>
      <c r="J402" s="22" t="s">
        <v>3642</v>
      </c>
      <c r="K402" s="23" t="s">
        <v>1095</v>
      </c>
      <c r="L402" s="24" t="s">
        <v>3643</v>
      </c>
      <c r="M402" s="24" t="s">
        <v>3644</v>
      </c>
      <c r="N402" s="23" t="s">
        <v>3645</v>
      </c>
      <c r="O402" s="24" t="s">
        <v>3646</v>
      </c>
      <c r="P402" s="24" t="s">
        <v>3624</v>
      </c>
      <c r="Q402" s="24" t="s">
        <v>3647</v>
      </c>
      <c r="R402" s="25" t="s">
        <v>3648</v>
      </c>
      <c r="S402" s="24" t="s">
        <v>3599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140</v>
      </c>
      <c r="Y402" s="23" t="s">
        <v>140</v>
      </c>
      <c r="Z402" s="23" t="s">
        <v>140</v>
      </c>
      <c r="AA402" s="23" t="s">
        <v>140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</row>
    <row r="403" customFormat="false" ht="26.85" hidden="false" customHeight="false" outlineLevel="0" collapsed="false">
      <c r="A403" s="21" t="n">
        <v>402</v>
      </c>
      <c r="B403" s="18" t="s">
        <v>3649</v>
      </c>
      <c r="C403" s="23" t="n">
        <v>2</v>
      </c>
      <c r="D403" s="23" t="s">
        <v>126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3582</v>
      </c>
      <c r="H403" s="18" t="s">
        <v>3516</v>
      </c>
      <c r="I403" s="21" t="s">
        <v>3583</v>
      </c>
      <c r="J403" s="22" t="s">
        <v>3650</v>
      </c>
      <c r="K403" s="23" t="s">
        <v>1095</v>
      </c>
      <c r="L403" s="24" t="s">
        <v>3651</v>
      </c>
      <c r="M403" s="24" t="s">
        <v>3652</v>
      </c>
      <c r="N403" s="23" t="s">
        <v>3653</v>
      </c>
      <c r="O403" s="24" t="s">
        <v>3654</v>
      </c>
      <c r="P403" s="24" t="s">
        <v>3655</v>
      </c>
      <c r="Q403" s="24" t="s">
        <v>3656</v>
      </c>
      <c r="R403" s="24"/>
      <c r="S403" s="24" t="s">
        <v>3599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140</v>
      </c>
      <c r="Y403" s="23" t="s">
        <v>140</v>
      </c>
      <c r="Z403" s="23" t="s">
        <v>140</v>
      </c>
      <c r="AA403" s="23" t="s">
        <v>140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</row>
    <row r="404" customFormat="false" ht="15" hidden="false" customHeight="false" outlineLevel="0" collapsed="false">
      <c r="A404" s="21" t="n">
        <v>403</v>
      </c>
      <c r="B404" s="18" t="s">
        <v>3657</v>
      </c>
      <c r="C404" s="23" t="n">
        <v>2</v>
      </c>
      <c r="D404" s="23" t="s">
        <v>126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3658</v>
      </c>
      <c r="H404" s="18" t="s">
        <v>3659</v>
      </c>
      <c r="I404" s="21" t="s">
        <v>3660</v>
      </c>
      <c r="J404" s="22" t="s">
        <v>3661</v>
      </c>
      <c r="K404" s="23" t="s">
        <v>1095</v>
      </c>
      <c r="L404" s="24" t="s">
        <v>3662</v>
      </c>
      <c r="M404" s="24" t="s">
        <v>3663</v>
      </c>
      <c r="N404" s="23" t="s">
        <v>3664</v>
      </c>
      <c r="O404" s="24" t="s">
        <v>3665</v>
      </c>
      <c r="P404" s="24" t="s">
        <v>3666</v>
      </c>
      <c r="Q404" s="24" t="s">
        <v>3667</v>
      </c>
      <c r="R404" s="24"/>
      <c r="S404" s="24" t="s">
        <v>3599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140</v>
      </c>
      <c r="Y404" s="23" t="s">
        <v>140</v>
      </c>
      <c r="Z404" s="23" t="s">
        <v>140</v>
      </c>
      <c r="AA404" s="23" t="s">
        <v>140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</row>
    <row r="405" customFormat="false" ht="52.2" hidden="false" customHeight="false" outlineLevel="0" collapsed="false">
      <c r="A405" s="21" t="n">
        <v>404</v>
      </c>
      <c r="B405" s="18" t="s">
        <v>3668</v>
      </c>
      <c r="C405" s="20" t="n">
        <v>1</v>
      </c>
      <c r="D405" s="20" t="s">
        <v>126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3658</v>
      </c>
      <c r="H405" s="18" t="s">
        <v>3669</v>
      </c>
      <c r="I405" s="21" t="s">
        <v>3660</v>
      </c>
      <c r="J405" s="22" t="s">
        <v>3670</v>
      </c>
      <c r="K405" s="23" t="s">
        <v>1095</v>
      </c>
      <c r="L405" s="24" t="s">
        <v>3671</v>
      </c>
      <c r="M405" s="24" t="s">
        <v>3672</v>
      </c>
      <c r="N405" s="23" t="s">
        <v>3673</v>
      </c>
      <c r="O405" s="24" t="s">
        <v>3674</v>
      </c>
      <c r="P405" s="24" t="s">
        <v>3675</v>
      </c>
      <c r="Q405" s="24" t="s">
        <v>3676</v>
      </c>
      <c r="R405" s="24"/>
      <c r="S405" s="28" t="s">
        <v>3677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140</v>
      </c>
      <c r="Y405" s="23" t="s">
        <v>140</v>
      </c>
      <c r="Z405" s="23" t="s">
        <v>140</v>
      </c>
      <c r="AA405" s="23" t="s">
        <v>140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</row>
    <row r="406" customFormat="false" ht="26.85" hidden="false" customHeight="false" outlineLevel="0" collapsed="false">
      <c r="A406" s="21" t="n">
        <v>405</v>
      </c>
      <c r="B406" s="18" t="s">
        <v>3678</v>
      </c>
      <c r="C406" s="23" t="n">
        <v>2</v>
      </c>
      <c r="D406" s="23" t="s">
        <v>126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3658</v>
      </c>
      <c r="H406" s="18" t="s">
        <v>3659</v>
      </c>
      <c r="I406" s="21" t="s">
        <v>3660</v>
      </c>
      <c r="J406" s="22" t="s">
        <v>3679</v>
      </c>
      <c r="K406" s="23" t="s">
        <v>1095</v>
      </c>
      <c r="L406" s="24" t="s">
        <v>3680</v>
      </c>
      <c r="M406" s="24" t="s">
        <v>3681</v>
      </c>
      <c r="N406" s="23" t="s">
        <v>3682</v>
      </c>
      <c r="O406" s="24" t="s">
        <v>3683</v>
      </c>
      <c r="P406" s="24" t="s">
        <v>3675</v>
      </c>
      <c r="Q406" s="24" t="s">
        <v>3684</v>
      </c>
      <c r="R406" s="24"/>
      <c r="S406" s="24" t="s">
        <v>3685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140</v>
      </c>
      <c r="Y406" s="23" t="s">
        <v>140</v>
      </c>
      <c r="Z406" s="23" t="s">
        <v>140</v>
      </c>
      <c r="AA406" s="23" t="s">
        <v>140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</row>
    <row r="407" customFormat="false" ht="26.85" hidden="false" customHeight="false" outlineLevel="0" collapsed="false">
      <c r="A407" s="21" t="n">
        <v>406</v>
      </c>
      <c r="B407" s="18" t="s">
        <v>3686</v>
      </c>
      <c r="C407" s="23" t="n">
        <v>2</v>
      </c>
      <c r="D407" s="23" t="s">
        <v>126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3658</v>
      </c>
      <c r="H407" s="18" t="s">
        <v>3659</v>
      </c>
      <c r="I407" s="21" t="s">
        <v>3660</v>
      </c>
      <c r="J407" s="22" t="s">
        <v>3687</v>
      </c>
      <c r="K407" s="23" t="s">
        <v>1095</v>
      </c>
      <c r="L407" s="24" t="s">
        <v>3688</v>
      </c>
      <c r="M407" s="24" t="s">
        <v>3689</v>
      </c>
      <c r="N407" s="23" t="s">
        <v>3690</v>
      </c>
      <c r="O407" s="24" t="s">
        <v>3691</v>
      </c>
      <c r="P407" s="24" t="s">
        <v>3675</v>
      </c>
      <c r="Q407" s="24" t="s">
        <v>3692</v>
      </c>
      <c r="R407" s="24"/>
      <c r="S407" s="24" t="s">
        <v>3685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140</v>
      </c>
      <c r="Y407" s="23" t="s">
        <v>140</v>
      </c>
      <c r="Z407" s="23" t="s">
        <v>140</v>
      </c>
      <c r="AA407" s="23" t="s">
        <v>140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</row>
    <row r="408" customFormat="false" ht="26.85" hidden="false" customHeight="false" outlineLevel="0" collapsed="false">
      <c r="A408" s="21" t="n">
        <v>407</v>
      </c>
      <c r="B408" s="18" t="s">
        <v>3693</v>
      </c>
      <c r="C408" s="23" t="n">
        <v>2</v>
      </c>
      <c r="D408" s="23" t="s">
        <v>126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3658</v>
      </c>
      <c r="H408" s="18" t="s">
        <v>3659</v>
      </c>
      <c r="I408" s="21" t="s">
        <v>3660</v>
      </c>
      <c r="J408" s="22" t="s">
        <v>3694</v>
      </c>
      <c r="K408" s="23" t="s">
        <v>1095</v>
      </c>
      <c r="L408" s="24" t="s">
        <v>3695</v>
      </c>
      <c r="M408" s="24" t="s">
        <v>3696</v>
      </c>
      <c r="N408" s="23" t="s">
        <v>3697</v>
      </c>
      <c r="O408" s="24" t="s">
        <v>3698</v>
      </c>
      <c r="P408" s="24" t="s">
        <v>3699</v>
      </c>
      <c r="Q408" s="24" t="s">
        <v>3700</v>
      </c>
      <c r="R408" s="24"/>
      <c r="S408" s="24" t="s">
        <v>3685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140</v>
      </c>
      <c r="Y408" s="23" t="s">
        <v>140</v>
      </c>
      <c r="Z408" s="23" t="s">
        <v>140</v>
      </c>
      <c r="AA408" s="23" t="s">
        <v>140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</row>
    <row r="409" customFormat="false" ht="26.85" hidden="false" customHeight="false" outlineLevel="0" collapsed="false">
      <c r="A409" s="21" t="n">
        <v>408</v>
      </c>
      <c r="B409" s="18" t="s">
        <v>3701</v>
      </c>
      <c r="C409" s="23" t="n">
        <v>2</v>
      </c>
      <c r="D409" s="23" t="s">
        <v>126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3658</v>
      </c>
      <c r="H409" s="18" t="s">
        <v>3659</v>
      </c>
      <c r="I409" s="21" t="s">
        <v>3702</v>
      </c>
      <c r="J409" s="22" t="s">
        <v>3703</v>
      </c>
      <c r="K409" s="23" t="s">
        <v>1095</v>
      </c>
      <c r="L409" s="24" t="s">
        <v>3704</v>
      </c>
      <c r="M409" s="24" t="s">
        <v>3705</v>
      </c>
      <c r="N409" s="23" t="s">
        <v>3706</v>
      </c>
      <c r="O409" s="24" t="s">
        <v>3707</v>
      </c>
      <c r="P409" s="24" t="s">
        <v>3708</v>
      </c>
      <c r="Q409" s="24" t="s">
        <v>3709</v>
      </c>
      <c r="R409" s="25" t="s">
        <v>3710</v>
      </c>
      <c r="S409" s="24" t="s">
        <v>3685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140</v>
      </c>
      <c r="Y409" s="23" t="s">
        <v>140</v>
      </c>
      <c r="Z409" s="23" t="s">
        <v>140</v>
      </c>
      <c r="AA409" s="23" t="s">
        <v>140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</row>
    <row r="410" customFormat="false" ht="26.85" hidden="false" customHeight="false" outlineLevel="0" collapsed="false">
      <c r="A410" s="21" t="n">
        <v>409</v>
      </c>
      <c r="B410" s="18" t="s">
        <v>3711</v>
      </c>
      <c r="C410" s="23" t="n">
        <v>2</v>
      </c>
      <c r="D410" s="23" t="s">
        <v>126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3658</v>
      </c>
      <c r="H410" s="18" t="s">
        <v>3659</v>
      </c>
      <c r="I410" s="21" t="s">
        <v>3702</v>
      </c>
      <c r="J410" s="22" t="s">
        <v>3712</v>
      </c>
      <c r="K410" s="23" t="s">
        <v>1095</v>
      </c>
      <c r="L410" s="24" t="s">
        <v>3713</v>
      </c>
      <c r="M410" s="24" t="s">
        <v>3714</v>
      </c>
      <c r="N410" s="23" t="s">
        <v>3715</v>
      </c>
      <c r="O410" s="24" t="s">
        <v>3716</v>
      </c>
      <c r="P410" s="24" t="s">
        <v>3708</v>
      </c>
      <c r="Q410" s="24" t="s">
        <v>3717</v>
      </c>
      <c r="R410" s="25" t="s">
        <v>3718</v>
      </c>
      <c r="S410" s="24" t="s">
        <v>3685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140</v>
      </c>
      <c r="Y410" s="23" t="s">
        <v>140</v>
      </c>
      <c r="Z410" s="23" t="s">
        <v>140</v>
      </c>
      <c r="AA410" s="23" t="s">
        <v>140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</row>
    <row r="411" customFormat="false" ht="26.85" hidden="false" customHeight="false" outlineLevel="0" collapsed="false">
      <c r="A411" s="21" t="n">
        <v>410</v>
      </c>
      <c r="B411" s="18" t="s">
        <v>3719</v>
      </c>
      <c r="C411" s="23" t="n">
        <v>2</v>
      </c>
      <c r="D411" s="23" t="s">
        <v>126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3658</v>
      </c>
      <c r="H411" s="18" t="s">
        <v>3659</v>
      </c>
      <c r="I411" s="21" t="s">
        <v>3702</v>
      </c>
      <c r="J411" s="22" t="s">
        <v>3720</v>
      </c>
      <c r="K411" s="23" t="s">
        <v>1095</v>
      </c>
      <c r="L411" s="24" t="s">
        <v>3721</v>
      </c>
      <c r="M411" s="24" t="s">
        <v>3722</v>
      </c>
      <c r="N411" s="23" t="s">
        <v>3723</v>
      </c>
      <c r="O411" s="24" t="s">
        <v>3724</v>
      </c>
      <c r="P411" s="24" t="s">
        <v>3708</v>
      </c>
      <c r="Q411" s="24" t="s">
        <v>3725</v>
      </c>
      <c r="R411" s="25" t="s">
        <v>3726</v>
      </c>
      <c r="S411" s="24" t="s">
        <v>3685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140</v>
      </c>
      <c r="Y411" s="23" t="s">
        <v>140</v>
      </c>
      <c r="Z411" s="23" t="s">
        <v>140</v>
      </c>
      <c r="AA411" s="23" t="s">
        <v>140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</row>
    <row r="412" customFormat="false" ht="26.85" hidden="false" customHeight="false" outlineLevel="0" collapsed="false">
      <c r="A412" s="21" t="n">
        <v>411</v>
      </c>
      <c r="B412" s="18" t="s">
        <v>3727</v>
      </c>
      <c r="C412" s="23" t="n">
        <v>2</v>
      </c>
      <c r="D412" s="23" t="s">
        <v>126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3728</v>
      </c>
      <c r="H412" s="18" t="s">
        <v>3729</v>
      </c>
      <c r="I412" s="21" t="s">
        <v>3730</v>
      </c>
      <c r="J412" s="22" t="s">
        <v>3731</v>
      </c>
      <c r="K412" s="23" t="s">
        <v>1095</v>
      </c>
      <c r="L412" s="24" t="s">
        <v>3732</v>
      </c>
      <c r="M412" s="24" t="s">
        <v>3733</v>
      </c>
      <c r="N412" s="23" t="s">
        <v>3734</v>
      </c>
      <c r="O412" s="24" t="s">
        <v>3735</v>
      </c>
      <c r="P412" s="24" t="s">
        <v>3736</v>
      </c>
      <c r="Q412" s="24" t="s">
        <v>3737</v>
      </c>
      <c r="R412" s="24"/>
      <c r="S412" s="24" t="s">
        <v>3685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140</v>
      </c>
      <c r="Y412" s="23" t="s">
        <v>140</v>
      </c>
      <c r="Z412" s="23" t="s">
        <v>140</v>
      </c>
      <c r="AA412" s="23" t="s">
        <v>140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</row>
    <row r="413" customFormat="false" ht="26.85" hidden="false" customHeight="false" outlineLevel="0" collapsed="false">
      <c r="A413" s="21" t="n">
        <v>412</v>
      </c>
      <c r="B413" s="18" t="s">
        <v>3738</v>
      </c>
      <c r="C413" s="23" t="n">
        <v>2</v>
      </c>
      <c r="D413" s="23" t="s">
        <v>126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3728</v>
      </c>
      <c r="H413" s="18" t="s">
        <v>3729</v>
      </c>
      <c r="I413" s="21" t="s">
        <v>3730</v>
      </c>
      <c r="J413" s="22" t="s">
        <v>3739</v>
      </c>
      <c r="K413" s="23" t="s">
        <v>1095</v>
      </c>
      <c r="L413" s="24" t="s">
        <v>3740</v>
      </c>
      <c r="M413" s="24" t="s">
        <v>3741</v>
      </c>
      <c r="N413" s="23" t="s">
        <v>3742</v>
      </c>
      <c r="O413" s="24" t="s">
        <v>3743</v>
      </c>
      <c r="P413" s="24" t="s">
        <v>3744</v>
      </c>
      <c r="Q413" s="24" t="s">
        <v>3745</v>
      </c>
      <c r="R413" s="24"/>
      <c r="S413" s="24" t="s">
        <v>3685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140</v>
      </c>
      <c r="Y413" s="23" t="s">
        <v>140</v>
      </c>
      <c r="Z413" s="23" t="s">
        <v>140</v>
      </c>
      <c r="AA413" s="23" t="s">
        <v>140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</row>
    <row r="414" customFormat="false" ht="52.2" hidden="false" customHeight="false" outlineLevel="0" collapsed="false">
      <c r="A414" s="21" t="n">
        <v>413</v>
      </c>
      <c r="B414" s="18" t="s">
        <v>3746</v>
      </c>
      <c r="C414" s="20" t="n">
        <v>1</v>
      </c>
      <c r="D414" s="20" t="s">
        <v>126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3728</v>
      </c>
      <c r="H414" s="18" t="s">
        <v>3669</v>
      </c>
      <c r="I414" s="21" t="s">
        <v>3730</v>
      </c>
      <c r="J414" s="22" t="s">
        <v>3747</v>
      </c>
      <c r="K414" s="23" t="s">
        <v>1095</v>
      </c>
      <c r="L414" s="24" t="s">
        <v>3748</v>
      </c>
      <c r="M414" s="24" t="s">
        <v>3749</v>
      </c>
      <c r="N414" s="23" t="s">
        <v>3750</v>
      </c>
      <c r="O414" s="24" t="s">
        <v>3751</v>
      </c>
      <c r="P414" s="24" t="s">
        <v>3752</v>
      </c>
      <c r="Q414" s="24" t="s">
        <v>3753</v>
      </c>
      <c r="R414" s="25" t="s">
        <v>3754</v>
      </c>
      <c r="S414" s="28" t="s">
        <v>3755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140</v>
      </c>
      <c r="Y414" s="23" t="s">
        <v>140</v>
      </c>
      <c r="Z414" s="23" t="s">
        <v>140</v>
      </c>
      <c r="AA414" s="23" t="s">
        <v>140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</row>
    <row r="415" customFormat="false" ht="15" hidden="false" customHeight="false" outlineLevel="0" collapsed="false">
      <c r="A415" s="21" t="n">
        <v>414</v>
      </c>
      <c r="B415" s="18" t="s">
        <v>3756</v>
      </c>
      <c r="C415" s="20" t="n">
        <v>1</v>
      </c>
      <c r="D415" s="20" t="s">
        <v>126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3728</v>
      </c>
      <c r="H415" s="18" t="s">
        <v>3669</v>
      </c>
      <c r="I415" s="21" t="s">
        <v>3730</v>
      </c>
      <c r="J415" s="22" t="s">
        <v>3757</v>
      </c>
      <c r="K415" s="23" t="s">
        <v>1095</v>
      </c>
      <c r="L415" s="24" t="s">
        <v>3758</v>
      </c>
      <c r="M415" s="24" t="s">
        <v>3759</v>
      </c>
      <c r="N415" s="23" t="s">
        <v>3760</v>
      </c>
      <c r="O415" s="24" t="s">
        <v>3761</v>
      </c>
      <c r="P415" s="24" t="s">
        <v>3762</v>
      </c>
      <c r="Q415" s="24" t="s">
        <v>3763</v>
      </c>
      <c r="R415" s="25" t="s">
        <v>3764</v>
      </c>
      <c r="S415" s="24" t="s">
        <v>139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140</v>
      </c>
      <c r="Y415" s="23" t="s">
        <v>140</v>
      </c>
      <c r="Z415" s="23" t="s">
        <v>140</v>
      </c>
      <c r="AA415" s="23" t="s">
        <v>140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</row>
    <row r="416" customFormat="false" ht="25.35" hidden="false" customHeight="false" outlineLevel="0" collapsed="false">
      <c r="A416" s="21" t="n">
        <v>415</v>
      </c>
      <c r="B416" s="18" t="s">
        <v>3765</v>
      </c>
      <c r="C416" s="20" t="n">
        <v>1</v>
      </c>
      <c r="D416" s="20" t="s">
        <v>126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3728</v>
      </c>
      <c r="H416" s="18" t="s">
        <v>3669</v>
      </c>
      <c r="I416" s="21" t="s">
        <v>3730</v>
      </c>
      <c r="J416" s="22" t="s">
        <v>3766</v>
      </c>
      <c r="K416" s="23" t="s">
        <v>1095</v>
      </c>
      <c r="L416" s="24" t="s">
        <v>3767</v>
      </c>
      <c r="M416" s="24" t="s">
        <v>3768</v>
      </c>
      <c r="N416" s="23" t="s">
        <v>3769</v>
      </c>
      <c r="O416" s="24" t="s">
        <v>3770</v>
      </c>
      <c r="P416" s="24" t="s">
        <v>3730</v>
      </c>
      <c r="Q416" s="24" t="s">
        <v>3771</v>
      </c>
      <c r="R416" s="25" t="s">
        <v>3772</v>
      </c>
      <c r="S416" s="24" t="s">
        <v>139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140</v>
      </c>
      <c r="Y416" s="23" t="s">
        <v>140</v>
      </c>
      <c r="Z416" s="23" t="s">
        <v>140</v>
      </c>
      <c r="AA416" s="23" t="s">
        <v>140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</row>
    <row r="417" customFormat="false" ht="26.85" hidden="false" customHeight="false" outlineLevel="0" collapsed="false">
      <c r="A417" s="21" t="n">
        <v>416</v>
      </c>
      <c r="B417" s="18" t="s">
        <v>3773</v>
      </c>
      <c r="C417" s="23" t="n">
        <v>2</v>
      </c>
      <c r="D417" s="23" t="s">
        <v>126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3728</v>
      </c>
      <c r="H417" s="18" t="s">
        <v>3729</v>
      </c>
      <c r="I417" s="21" t="s">
        <v>3730</v>
      </c>
      <c r="J417" s="22" t="s">
        <v>3774</v>
      </c>
      <c r="K417" s="23" t="s">
        <v>1095</v>
      </c>
      <c r="L417" s="24" t="s">
        <v>3775</v>
      </c>
      <c r="M417" s="24" t="s">
        <v>3776</v>
      </c>
      <c r="N417" s="23" t="s">
        <v>3777</v>
      </c>
      <c r="O417" s="24" t="s">
        <v>3778</v>
      </c>
      <c r="P417" s="24" t="s">
        <v>3779</v>
      </c>
      <c r="Q417" s="24" t="s">
        <v>3780</v>
      </c>
      <c r="R417" s="24"/>
      <c r="S417" s="24" t="s">
        <v>3781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140</v>
      </c>
      <c r="Y417" s="23" t="s">
        <v>140</v>
      </c>
      <c r="Z417" s="23" t="s">
        <v>140</v>
      </c>
      <c r="AA417" s="23" t="s">
        <v>140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</row>
    <row r="418" customFormat="false" ht="26.85" hidden="false" customHeight="false" outlineLevel="0" collapsed="false">
      <c r="A418" s="21" t="n">
        <v>417</v>
      </c>
      <c r="B418" s="18" t="s">
        <v>3782</v>
      </c>
      <c r="C418" s="23" t="n">
        <v>2</v>
      </c>
      <c r="D418" s="23" t="s">
        <v>126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3728</v>
      </c>
      <c r="H418" s="18" t="s">
        <v>3729</v>
      </c>
      <c r="I418" s="21" t="s">
        <v>3730</v>
      </c>
      <c r="J418" s="22" t="s">
        <v>3783</v>
      </c>
      <c r="K418" s="23" t="s">
        <v>1095</v>
      </c>
      <c r="L418" s="24" t="s">
        <v>3784</v>
      </c>
      <c r="M418" s="24" t="s">
        <v>3785</v>
      </c>
      <c r="N418" s="23" t="s">
        <v>3786</v>
      </c>
      <c r="O418" s="24" t="s">
        <v>3787</v>
      </c>
      <c r="P418" s="24" t="s">
        <v>3788</v>
      </c>
      <c r="Q418" s="24" t="s">
        <v>3789</v>
      </c>
      <c r="R418" s="24"/>
      <c r="S418" s="24" t="s">
        <v>3781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140</v>
      </c>
      <c r="Y418" s="23" t="s">
        <v>140</v>
      </c>
      <c r="Z418" s="23" t="s">
        <v>140</v>
      </c>
      <c r="AA418" s="23" t="s">
        <v>140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</row>
    <row r="419" customFormat="false" ht="26.85" hidden="false" customHeight="false" outlineLevel="0" collapsed="false">
      <c r="A419" s="21" t="n">
        <v>418</v>
      </c>
      <c r="B419" s="18" t="s">
        <v>3790</v>
      </c>
      <c r="C419" s="23" t="n">
        <v>2</v>
      </c>
      <c r="D419" s="23" t="s">
        <v>126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3728</v>
      </c>
      <c r="H419" s="18" t="s">
        <v>3729</v>
      </c>
      <c r="I419" s="21" t="s">
        <v>3730</v>
      </c>
      <c r="J419" s="22" t="s">
        <v>3791</v>
      </c>
      <c r="K419" s="23" t="s">
        <v>1095</v>
      </c>
      <c r="L419" s="24" t="s">
        <v>3792</v>
      </c>
      <c r="M419" s="24" t="s">
        <v>3793</v>
      </c>
      <c r="N419" s="23" t="s">
        <v>3794</v>
      </c>
      <c r="O419" s="24" t="s">
        <v>3795</v>
      </c>
      <c r="P419" s="24" t="s">
        <v>3796</v>
      </c>
      <c r="Q419" s="24" t="s">
        <v>3797</v>
      </c>
      <c r="R419" s="24"/>
      <c r="S419" s="24" t="s">
        <v>3781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140</v>
      </c>
      <c r="Y419" s="23" t="s">
        <v>140</v>
      </c>
      <c r="Z419" s="23" t="s">
        <v>140</v>
      </c>
      <c r="AA419" s="23" t="s">
        <v>140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</row>
    <row r="420" customFormat="false" ht="26.85" hidden="false" customHeight="false" outlineLevel="0" collapsed="false">
      <c r="A420" s="21" t="n">
        <v>419</v>
      </c>
      <c r="B420" s="18" t="s">
        <v>3798</v>
      </c>
      <c r="C420" s="23" t="n">
        <v>2</v>
      </c>
      <c r="D420" s="23" t="s">
        <v>126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3799</v>
      </c>
      <c r="H420" s="18" t="s">
        <v>3729</v>
      </c>
      <c r="I420" s="21" t="s">
        <v>3730</v>
      </c>
      <c r="J420" s="22" t="s">
        <v>3800</v>
      </c>
      <c r="K420" s="23" t="s">
        <v>1095</v>
      </c>
      <c r="L420" s="24" t="s">
        <v>3801</v>
      </c>
      <c r="M420" s="24" t="s">
        <v>3802</v>
      </c>
      <c r="N420" s="23" t="s">
        <v>3803</v>
      </c>
      <c r="O420" s="24" t="s">
        <v>3804</v>
      </c>
      <c r="P420" s="24" t="s">
        <v>3730</v>
      </c>
      <c r="Q420" s="24" t="s">
        <v>3805</v>
      </c>
      <c r="R420" s="27" t="s">
        <v>3806</v>
      </c>
      <c r="S420" s="24" t="s">
        <v>3781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140</v>
      </c>
      <c r="Y420" s="23" t="s">
        <v>140</v>
      </c>
      <c r="Z420" s="23" t="s">
        <v>140</v>
      </c>
      <c r="AA420" s="23" t="s">
        <v>140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</row>
    <row r="421" customFormat="false" ht="26.85" hidden="false" customHeight="false" outlineLevel="0" collapsed="false">
      <c r="A421" s="21" t="n">
        <v>420</v>
      </c>
      <c r="B421" s="18" t="s">
        <v>3807</v>
      </c>
      <c r="C421" s="23" t="n">
        <v>2</v>
      </c>
      <c r="D421" s="23" t="s">
        <v>126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3799</v>
      </c>
      <c r="H421" s="18" t="s">
        <v>3729</v>
      </c>
      <c r="I421" s="21" t="s">
        <v>3730</v>
      </c>
      <c r="J421" s="22" t="s">
        <v>3808</v>
      </c>
      <c r="K421" s="23" t="s">
        <v>1095</v>
      </c>
      <c r="L421" s="24" t="s">
        <v>3809</v>
      </c>
      <c r="M421" s="24" t="s">
        <v>3810</v>
      </c>
      <c r="N421" s="23" t="s">
        <v>3811</v>
      </c>
      <c r="O421" s="24" t="s">
        <v>3812</v>
      </c>
      <c r="P421" s="24" t="s">
        <v>3730</v>
      </c>
      <c r="Q421" s="24" t="s">
        <v>3813</v>
      </c>
      <c r="R421" s="25" t="s">
        <v>3814</v>
      </c>
      <c r="S421" s="24" t="s">
        <v>3781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140</v>
      </c>
      <c r="Y421" s="23" t="s">
        <v>140</v>
      </c>
      <c r="Z421" s="23" t="s">
        <v>140</v>
      </c>
      <c r="AA421" s="23" t="s">
        <v>140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</row>
    <row r="422" customFormat="false" ht="26.85" hidden="false" customHeight="false" outlineLevel="0" collapsed="false">
      <c r="A422" s="21" t="n">
        <v>421</v>
      </c>
      <c r="B422" s="18" t="s">
        <v>3815</v>
      </c>
      <c r="C422" s="23" t="n">
        <v>2</v>
      </c>
      <c r="D422" s="23" t="s">
        <v>126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3799</v>
      </c>
      <c r="H422" s="18" t="s">
        <v>3729</v>
      </c>
      <c r="I422" s="21" t="s">
        <v>3730</v>
      </c>
      <c r="J422" s="22" t="s">
        <v>3816</v>
      </c>
      <c r="K422" s="23" t="s">
        <v>1095</v>
      </c>
      <c r="L422" s="24" t="s">
        <v>3817</v>
      </c>
      <c r="M422" s="24" t="s">
        <v>3818</v>
      </c>
      <c r="N422" s="23" t="s">
        <v>3819</v>
      </c>
      <c r="O422" s="24" t="s">
        <v>3820</v>
      </c>
      <c r="P422" s="24" t="s">
        <v>3730</v>
      </c>
      <c r="Q422" s="24" t="s">
        <v>3821</v>
      </c>
      <c r="R422" s="25" t="s">
        <v>3822</v>
      </c>
      <c r="S422" s="24" t="s">
        <v>3781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140</v>
      </c>
      <c r="Y422" s="23" t="s">
        <v>140</v>
      </c>
      <c r="Z422" s="23" t="s">
        <v>140</v>
      </c>
      <c r="AA422" s="23" t="s">
        <v>140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</row>
    <row r="423" customFormat="false" ht="26.85" hidden="false" customHeight="false" outlineLevel="0" collapsed="false">
      <c r="A423" s="21" t="n">
        <v>422</v>
      </c>
      <c r="B423" s="18" t="s">
        <v>3823</v>
      </c>
      <c r="C423" s="23" t="n">
        <v>2</v>
      </c>
      <c r="D423" s="23" t="s">
        <v>126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3799</v>
      </c>
      <c r="H423" s="18" t="s">
        <v>3729</v>
      </c>
      <c r="I423" s="21" t="s">
        <v>3730</v>
      </c>
      <c r="J423" s="22" t="s">
        <v>3824</v>
      </c>
      <c r="K423" s="23" t="s">
        <v>1095</v>
      </c>
      <c r="L423" s="24" t="s">
        <v>3825</v>
      </c>
      <c r="M423" s="24" t="s">
        <v>3826</v>
      </c>
      <c r="N423" s="23" t="s">
        <v>3827</v>
      </c>
      <c r="O423" s="24" t="s">
        <v>3828</v>
      </c>
      <c r="P423" s="24" t="s">
        <v>3730</v>
      </c>
      <c r="Q423" s="24" t="s">
        <v>3829</v>
      </c>
      <c r="R423" s="25" t="s">
        <v>3830</v>
      </c>
      <c r="S423" s="24" t="s">
        <v>3781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140</v>
      </c>
      <c r="Y423" s="23" t="s">
        <v>140</v>
      </c>
      <c r="Z423" s="23" t="s">
        <v>140</v>
      </c>
      <c r="AA423" s="23" t="s">
        <v>140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</row>
    <row r="424" customFormat="false" ht="26.85" hidden="false" customHeight="false" outlineLevel="0" collapsed="false">
      <c r="A424" s="21" t="n">
        <v>423</v>
      </c>
      <c r="B424" s="18" t="s">
        <v>3831</v>
      </c>
      <c r="C424" s="23" t="n">
        <v>2</v>
      </c>
      <c r="D424" s="23" t="s">
        <v>126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3799</v>
      </c>
      <c r="H424" s="18" t="s">
        <v>3729</v>
      </c>
      <c r="I424" s="21" t="s">
        <v>3730</v>
      </c>
      <c r="J424" s="22" t="s">
        <v>3832</v>
      </c>
      <c r="K424" s="23" t="s">
        <v>1095</v>
      </c>
      <c r="L424" s="24" t="s">
        <v>3833</v>
      </c>
      <c r="M424" s="24" t="s">
        <v>3834</v>
      </c>
      <c r="N424" s="23" t="s">
        <v>3835</v>
      </c>
      <c r="O424" s="24" t="s">
        <v>3836</v>
      </c>
      <c r="P424" s="24" t="s">
        <v>3837</v>
      </c>
      <c r="Q424" s="24" t="s">
        <v>3838</v>
      </c>
      <c r="R424" s="24"/>
      <c r="S424" s="24" t="s">
        <v>3781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140</v>
      </c>
      <c r="Y424" s="23" t="s">
        <v>140</v>
      </c>
      <c r="Z424" s="23" t="s">
        <v>140</v>
      </c>
      <c r="AA424" s="23" t="s">
        <v>140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</row>
    <row r="425" customFormat="false" ht="26.85" hidden="false" customHeight="false" outlineLevel="0" collapsed="false">
      <c r="A425" s="21" t="n">
        <v>424</v>
      </c>
      <c r="B425" s="18" t="s">
        <v>3839</v>
      </c>
      <c r="C425" s="23" t="n">
        <v>2</v>
      </c>
      <c r="D425" s="23" t="s">
        <v>126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3799</v>
      </c>
      <c r="H425" s="18" t="s">
        <v>3729</v>
      </c>
      <c r="I425" s="21" t="s">
        <v>3730</v>
      </c>
      <c r="J425" s="22" t="s">
        <v>3840</v>
      </c>
      <c r="K425" s="23" t="s">
        <v>1095</v>
      </c>
      <c r="L425" s="24" t="s">
        <v>3841</v>
      </c>
      <c r="M425" s="24" t="s">
        <v>3842</v>
      </c>
      <c r="N425" s="23" t="s">
        <v>3843</v>
      </c>
      <c r="O425" s="24" t="s">
        <v>3844</v>
      </c>
      <c r="P425" s="24" t="s">
        <v>3845</v>
      </c>
      <c r="Q425" s="24" t="s">
        <v>3846</v>
      </c>
      <c r="R425" s="24"/>
      <c r="S425" s="24" t="s">
        <v>3781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140</v>
      </c>
      <c r="Y425" s="23" t="s">
        <v>140</v>
      </c>
      <c r="Z425" s="23" t="s">
        <v>140</v>
      </c>
      <c r="AA425" s="23" t="s">
        <v>140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</row>
    <row r="426" customFormat="false" ht="26.85" hidden="false" customHeight="false" outlineLevel="0" collapsed="false">
      <c r="A426" s="21" t="n">
        <v>425</v>
      </c>
      <c r="B426" s="18" t="s">
        <v>3847</v>
      </c>
      <c r="C426" s="23" t="n">
        <v>2</v>
      </c>
      <c r="D426" s="23" t="s">
        <v>126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3799</v>
      </c>
      <c r="H426" s="18" t="s">
        <v>3729</v>
      </c>
      <c r="I426" s="21" t="s">
        <v>3730</v>
      </c>
      <c r="J426" s="22" t="s">
        <v>3848</v>
      </c>
      <c r="K426" s="23" t="s">
        <v>1095</v>
      </c>
      <c r="L426" s="24" t="s">
        <v>3849</v>
      </c>
      <c r="M426" s="24" t="s">
        <v>3850</v>
      </c>
      <c r="N426" s="23" t="s">
        <v>3851</v>
      </c>
      <c r="O426" s="24" t="s">
        <v>3852</v>
      </c>
      <c r="P426" s="24" t="s">
        <v>3730</v>
      </c>
      <c r="Q426" s="24" t="s">
        <v>3853</v>
      </c>
      <c r="R426" s="25" t="s">
        <v>3854</v>
      </c>
      <c r="S426" s="24" t="s">
        <v>3781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140</v>
      </c>
      <c r="Y426" s="23" t="s">
        <v>140</v>
      </c>
      <c r="Z426" s="23" t="s">
        <v>140</v>
      </c>
      <c r="AA426" s="23" t="s">
        <v>140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</row>
    <row r="427" customFormat="false" ht="52.2" hidden="false" customHeight="false" outlineLevel="0" collapsed="false">
      <c r="A427" s="21" t="n">
        <v>426</v>
      </c>
      <c r="B427" s="18" t="s">
        <v>3855</v>
      </c>
      <c r="C427" s="20" t="n">
        <v>1</v>
      </c>
      <c r="D427" s="20" t="s">
        <v>126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3799</v>
      </c>
      <c r="H427" s="18" t="s">
        <v>3669</v>
      </c>
      <c r="I427" s="21" t="s">
        <v>3730</v>
      </c>
      <c r="J427" s="22" t="s">
        <v>3856</v>
      </c>
      <c r="K427" s="23" t="s">
        <v>1095</v>
      </c>
      <c r="L427" s="24" t="s">
        <v>3857</v>
      </c>
      <c r="M427" s="24" t="s">
        <v>3858</v>
      </c>
      <c r="N427" s="23" t="s">
        <v>3859</v>
      </c>
      <c r="O427" s="24" t="s">
        <v>3860</v>
      </c>
      <c r="P427" s="24" t="s">
        <v>3730</v>
      </c>
      <c r="Q427" s="24" t="s">
        <v>3861</v>
      </c>
      <c r="R427" s="24"/>
      <c r="S427" s="28" t="s">
        <v>3862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140</v>
      </c>
      <c r="Y427" s="23" t="s">
        <v>140</v>
      </c>
      <c r="Z427" s="23" t="s">
        <v>140</v>
      </c>
      <c r="AA427" s="23" t="s">
        <v>140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</row>
    <row r="428" customFormat="false" ht="25.35" hidden="false" customHeight="false" outlineLevel="0" collapsed="false">
      <c r="A428" s="21" t="n">
        <v>427</v>
      </c>
      <c r="B428" s="18" t="s">
        <v>3863</v>
      </c>
      <c r="C428" s="23" t="n">
        <v>2</v>
      </c>
      <c r="D428" s="23" t="s">
        <v>126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3864</v>
      </c>
      <c r="H428" s="18" t="s">
        <v>3865</v>
      </c>
      <c r="I428" s="21" t="s">
        <v>3730</v>
      </c>
      <c r="J428" s="22" t="s">
        <v>3866</v>
      </c>
      <c r="K428" s="23" t="s">
        <v>1095</v>
      </c>
      <c r="L428" s="24" t="s">
        <v>3867</v>
      </c>
      <c r="M428" s="24" t="s">
        <v>3868</v>
      </c>
      <c r="N428" s="23" t="s">
        <v>3869</v>
      </c>
      <c r="O428" s="24" t="s">
        <v>3870</v>
      </c>
      <c r="P428" s="24" t="s">
        <v>3871</v>
      </c>
      <c r="Q428" s="24" t="s">
        <v>3872</v>
      </c>
      <c r="R428" s="24"/>
      <c r="S428" s="24" t="s">
        <v>3873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140</v>
      </c>
      <c r="Y428" s="23" t="s">
        <v>140</v>
      </c>
      <c r="Z428" s="23" t="s">
        <v>140</v>
      </c>
      <c r="AA428" s="23" t="s">
        <v>140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</row>
    <row r="429" customFormat="false" ht="26.85" hidden="false" customHeight="false" outlineLevel="0" collapsed="false">
      <c r="A429" s="21" t="n">
        <v>428</v>
      </c>
      <c r="B429" s="18" t="s">
        <v>3874</v>
      </c>
      <c r="C429" s="23" t="n">
        <v>2</v>
      </c>
      <c r="D429" s="23" t="s">
        <v>126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3864</v>
      </c>
      <c r="H429" s="18" t="s">
        <v>3865</v>
      </c>
      <c r="I429" s="21" t="s">
        <v>3730</v>
      </c>
      <c r="J429" s="22" t="s">
        <v>3875</v>
      </c>
      <c r="K429" s="23" t="s">
        <v>1095</v>
      </c>
      <c r="L429" s="24" t="s">
        <v>3876</v>
      </c>
      <c r="M429" s="29" t="s">
        <v>3877</v>
      </c>
      <c r="N429" s="23" t="s">
        <v>3878</v>
      </c>
      <c r="O429" s="24" t="s">
        <v>3879</v>
      </c>
      <c r="P429" s="24" t="s">
        <v>3880</v>
      </c>
      <c r="Q429" s="24" t="s">
        <v>3881</v>
      </c>
      <c r="R429" s="24"/>
      <c r="S429" s="24" t="s">
        <v>3873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140</v>
      </c>
      <c r="Y429" s="23" t="s">
        <v>140</v>
      </c>
      <c r="Z429" s="23" t="s">
        <v>140</v>
      </c>
      <c r="AA429" s="23" t="s">
        <v>140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</row>
    <row r="430" customFormat="false" ht="26.85" hidden="false" customHeight="false" outlineLevel="0" collapsed="false">
      <c r="A430" s="21" t="n">
        <v>429</v>
      </c>
      <c r="B430" s="18" t="s">
        <v>3882</v>
      </c>
      <c r="C430" s="23" t="n">
        <v>2</v>
      </c>
      <c r="D430" s="23" t="s">
        <v>126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3864</v>
      </c>
      <c r="H430" s="18" t="s">
        <v>3865</v>
      </c>
      <c r="I430" s="21" t="s">
        <v>3730</v>
      </c>
      <c r="J430" s="22" t="s">
        <v>3883</v>
      </c>
      <c r="K430" s="23" t="s">
        <v>1095</v>
      </c>
      <c r="L430" s="24" t="s">
        <v>3884</v>
      </c>
      <c r="M430" s="24" t="s">
        <v>3885</v>
      </c>
      <c r="N430" s="23" t="s">
        <v>3886</v>
      </c>
      <c r="O430" s="24" t="s">
        <v>3887</v>
      </c>
      <c r="P430" s="24" t="s">
        <v>3730</v>
      </c>
      <c r="Q430" s="24" t="s">
        <v>3888</v>
      </c>
      <c r="R430" s="24"/>
      <c r="S430" s="24" t="s">
        <v>3873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140</v>
      </c>
      <c r="Y430" s="23" t="s">
        <v>140</v>
      </c>
      <c r="Z430" s="23" t="s">
        <v>140</v>
      </c>
      <c r="AA430" s="23" t="s">
        <v>140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</row>
    <row r="431" customFormat="false" ht="26.85" hidden="false" customHeight="false" outlineLevel="0" collapsed="false">
      <c r="A431" s="21" t="n">
        <v>430</v>
      </c>
      <c r="B431" s="18" t="s">
        <v>3889</v>
      </c>
      <c r="C431" s="23" t="n">
        <v>2</v>
      </c>
      <c r="D431" s="23" t="s">
        <v>126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3864</v>
      </c>
      <c r="H431" s="18" t="s">
        <v>3865</v>
      </c>
      <c r="I431" s="21" t="s">
        <v>3730</v>
      </c>
      <c r="J431" s="22" t="s">
        <v>3890</v>
      </c>
      <c r="K431" s="23" t="s">
        <v>1095</v>
      </c>
      <c r="L431" s="24" t="s">
        <v>3891</v>
      </c>
      <c r="M431" s="24" t="s">
        <v>3892</v>
      </c>
      <c r="N431" s="23" t="s">
        <v>3893</v>
      </c>
      <c r="O431" s="24" t="s">
        <v>3894</v>
      </c>
      <c r="P431" s="24" t="s">
        <v>3895</v>
      </c>
      <c r="Q431" s="24" t="s">
        <v>3896</v>
      </c>
      <c r="R431" s="25" t="s">
        <v>3897</v>
      </c>
      <c r="S431" s="24" t="s">
        <v>3873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140</v>
      </c>
      <c r="Y431" s="23" t="s">
        <v>140</v>
      </c>
      <c r="Z431" s="23" t="s">
        <v>140</v>
      </c>
      <c r="AA431" s="23" t="s">
        <v>140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</row>
    <row r="432" customFormat="false" ht="25.35" hidden="false" customHeight="false" outlineLevel="0" collapsed="false">
      <c r="A432" s="21" t="n">
        <v>431</v>
      </c>
      <c r="B432" s="18" t="s">
        <v>3898</v>
      </c>
      <c r="C432" s="23" t="n">
        <v>2</v>
      </c>
      <c r="D432" s="23" t="s">
        <v>126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3864</v>
      </c>
      <c r="H432" s="18" t="s">
        <v>3865</v>
      </c>
      <c r="I432" s="21" t="s">
        <v>3730</v>
      </c>
      <c r="J432" s="22" t="s">
        <v>3899</v>
      </c>
      <c r="K432" s="23" t="s">
        <v>1095</v>
      </c>
      <c r="L432" s="24" t="s">
        <v>3900</v>
      </c>
      <c r="M432" s="24" t="s">
        <v>3901</v>
      </c>
      <c r="N432" s="23" t="s">
        <v>3902</v>
      </c>
      <c r="O432" s="24" t="s">
        <v>3903</v>
      </c>
      <c r="P432" s="24" t="s">
        <v>3904</v>
      </c>
      <c r="Q432" s="24" t="s">
        <v>3905</v>
      </c>
      <c r="R432" s="25" t="s">
        <v>3906</v>
      </c>
      <c r="S432" s="24" t="s">
        <v>3873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140</v>
      </c>
      <c r="Y432" s="23" t="s">
        <v>140</v>
      </c>
      <c r="Z432" s="23" t="s">
        <v>140</v>
      </c>
      <c r="AA432" s="23" t="s">
        <v>140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</row>
    <row r="433" customFormat="false" ht="52.2" hidden="false" customHeight="false" outlineLevel="0" collapsed="false">
      <c r="A433" s="21" t="n">
        <v>432</v>
      </c>
      <c r="B433" s="18" t="s">
        <v>3907</v>
      </c>
      <c r="C433" s="20" t="n">
        <v>1</v>
      </c>
      <c r="D433" s="20" t="s">
        <v>126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3864</v>
      </c>
      <c r="H433" s="18" t="s">
        <v>3669</v>
      </c>
      <c r="I433" s="21" t="s">
        <v>3730</v>
      </c>
      <c r="J433" s="22" t="s">
        <v>3908</v>
      </c>
      <c r="K433" s="23" t="s">
        <v>1095</v>
      </c>
      <c r="L433" s="24" t="s">
        <v>3909</v>
      </c>
      <c r="M433" s="29" t="s">
        <v>3910</v>
      </c>
      <c r="N433" s="23" t="s">
        <v>3911</v>
      </c>
      <c r="O433" s="24" t="s">
        <v>3912</v>
      </c>
      <c r="P433" s="24" t="s">
        <v>3913</v>
      </c>
      <c r="Q433" s="24" t="s">
        <v>3914</v>
      </c>
      <c r="R433" s="25" t="s">
        <v>3915</v>
      </c>
      <c r="S433" s="28" t="s">
        <v>3916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140</v>
      </c>
      <c r="Y433" s="23" t="s">
        <v>140</v>
      </c>
      <c r="Z433" s="23" t="s">
        <v>140</v>
      </c>
      <c r="AA433" s="23" t="s">
        <v>140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</row>
    <row r="434" customFormat="false" ht="25.35" hidden="false" customHeight="false" outlineLevel="0" collapsed="false">
      <c r="A434" s="21" t="n">
        <v>433</v>
      </c>
      <c r="B434" s="18" t="s">
        <v>3917</v>
      </c>
      <c r="C434" s="23" t="n">
        <v>2</v>
      </c>
      <c r="D434" s="23" t="s">
        <v>126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3864</v>
      </c>
      <c r="H434" s="18" t="s">
        <v>3865</v>
      </c>
      <c r="I434" s="21" t="s">
        <v>3730</v>
      </c>
      <c r="J434" s="22" t="s">
        <v>3918</v>
      </c>
      <c r="K434" s="23" t="s">
        <v>1095</v>
      </c>
      <c r="L434" s="24" t="s">
        <v>3919</v>
      </c>
      <c r="M434" s="24" t="s">
        <v>3920</v>
      </c>
      <c r="N434" s="23" t="s">
        <v>3921</v>
      </c>
      <c r="O434" s="24" t="s">
        <v>3922</v>
      </c>
      <c r="P434" s="24" t="s">
        <v>3923</v>
      </c>
      <c r="Q434" s="24" t="s">
        <v>3924</v>
      </c>
      <c r="R434" s="24"/>
      <c r="S434" s="24" t="s">
        <v>3925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140</v>
      </c>
      <c r="Y434" s="23" t="s">
        <v>140</v>
      </c>
      <c r="Z434" s="23" t="s">
        <v>140</v>
      </c>
      <c r="AA434" s="23" t="s">
        <v>140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</row>
    <row r="435" customFormat="false" ht="26.85" hidden="false" customHeight="false" outlineLevel="0" collapsed="false">
      <c r="A435" s="21" t="n">
        <v>434</v>
      </c>
      <c r="B435" s="18" t="s">
        <v>3926</v>
      </c>
      <c r="C435" s="23" t="n">
        <v>2</v>
      </c>
      <c r="D435" s="23" t="s">
        <v>126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3864</v>
      </c>
      <c r="H435" s="18" t="s">
        <v>3865</v>
      </c>
      <c r="I435" s="21" t="s">
        <v>3730</v>
      </c>
      <c r="J435" s="22" t="s">
        <v>3927</v>
      </c>
      <c r="K435" s="23" t="s">
        <v>1095</v>
      </c>
      <c r="L435" s="24" t="s">
        <v>3928</v>
      </c>
      <c r="M435" s="24" t="s">
        <v>3929</v>
      </c>
      <c r="N435" s="23" t="s">
        <v>3930</v>
      </c>
      <c r="O435" s="24" t="s">
        <v>3931</v>
      </c>
      <c r="P435" s="24" t="s">
        <v>3744</v>
      </c>
      <c r="Q435" s="24" t="s">
        <v>3932</v>
      </c>
      <c r="R435" s="24"/>
      <c r="S435" s="24" t="s">
        <v>3925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140</v>
      </c>
      <c r="Y435" s="23" t="s">
        <v>140</v>
      </c>
      <c r="Z435" s="23" t="s">
        <v>140</v>
      </c>
      <c r="AA435" s="23" t="s">
        <v>140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</row>
    <row r="436" customFormat="false" ht="25.35" hidden="false" customHeight="false" outlineLevel="0" collapsed="false">
      <c r="A436" s="21" t="n">
        <v>435</v>
      </c>
      <c r="B436" s="18" t="s">
        <v>3933</v>
      </c>
      <c r="C436" s="23" t="n">
        <v>2</v>
      </c>
      <c r="D436" s="23" t="s">
        <v>126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3864</v>
      </c>
      <c r="H436" s="18" t="s">
        <v>3865</v>
      </c>
      <c r="I436" s="21" t="s">
        <v>3730</v>
      </c>
      <c r="J436" s="22" t="s">
        <v>3934</v>
      </c>
      <c r="K436" s="23" t="s">
        <v>1095</v>
      </c>
      <c r="L436" s="24" t="s">
        <v>3935</v>
      </c>
      <c r="M436" s="24" t="s">
        <v>3936</v>
      </c>
      <c r="N436" s="23" t="s">
        <v>3937</v>
      </c>
      <c r="O436" s="24" t="s">
        <v>3938</v>
      </c>
      <c r="P436" s="24" t="s">
        <v>3730</v>
      </c>
      <c r="Q436" s="24" t="s">
        <v>3939</v>
      </c>
      <c r="R436" s="27" t="s">
        <v>3940</v>
      </c>
      <c r="S436" s="24" t="s">
        <v>3925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140</v>
      </c>
      <c r="Y436" s="23" t="s">
        <v>140</v>
      </c>
      <c r="Z436" s="23" t="s">
        <v>140</v>
      </c>
      <c r="AA436" s="23" t="s">
        <v>140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</row>
    <row r="437" customFormat="false" ht="25.35" hidden="false" customHeight="false" outlineLevel="0" collapsed="false">
      <c r="A437" s="21" t="n">
        <v>436</v>
      </c>
      <c r="B437" s="18" t="s">
        <v>3941</v>
      </c>
      <c r="C437" s="23" t="n">
        <v>2</v>
      </c>
      <c r="D437" s="23" t="s">
        <v>126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3864</v>
      </c>
      <c r="H437" s="18" t="s">
        <v>3865</v>
      </c>
      <c r="I437" s="21" t="s">
        <v>3730</v>
      </c>
      <c r="J437" s="22" t="s">
        <v>3942</v>
      </c>
      <c r="K437" s="23" t="s">
        <v>1095</v>
      </c>
      <c r="L437" s="24" t="s">
        <v>3943</v>
      </c>
      <c r="M437" s="24" t="s">
        <v>3944</v>
      </c>
      <c r="N437" s="23" t="s">
        <v>3945</v>
      </c>
      <c r="O437" s="24" t="s">
        <v>3946</v>
      </c>
      <c r="P437" s="24" t="s">
        <v>3730</v>
      </c>
      <c r="Q437" s="24" t="s">
        <v>3943</v>
      </c>
      <c r="R437" s="25" t="s">
        <v>3947</v>
      </c>
      <c r="S437" s="24" t="s">
        <v>3925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140</v>
      </c>
      <c r="Y437" s="23" t="s">
        <v>140</v>
      </c>
      <c r="Z437" s="23" t="s">
        <v>140</v>
      </c>
      <c r="AA437" s="23" t="s">
        <v>140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</row>
    <row r="438" customFormat="false" ht="52.2" hidden="false" customHeight="false" outlineLevel="0" collapsed="false">
      <c r="A438" s="21" t="n">
        <v>437</v>
      </c>
      <c r="B438" s="18" t="s">
        <v>3948</v>
      </c>
      <c r="C438" s="20" t="n">
        <v>1</v>
      </c>
      <c r="D438" s="20" t="s">
        <v>126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3949</v>
      </c>
      <c r="H438" s="18" t="s">
        <v>3669</v>
      </c>
      <c r="I438" s="21" t="s">
        <v>3950</v>
      </c>
      <c r="J438" s="22" t="s">
        <v>3951</v>
      </c>
      <c r="K438" s="23" t="s">
        <v>1095</v>
      </c>
      <c r="L438" s="24" t="s">
        <v>3952</v>
      </c>
      <c r="M438" s="24" t="s">
        <v>3953</v>
      </c>
      <c r="N438" s="23" t="s">
        <v>3954</v>
      </c>
      <c r="O438" s="24" t="s">
        <v>3955</v>
      </c>
      <c r="P438" s="24" t="s">
        <v>3956</v>
      </c>
      <c r="Q438" s="24" t="s">
        <v>3957</v>
      </c>
      <c r="R438" s="24"/>
      <c r="S438" s="28" t="s">
        <v>3958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140</v>
      </c>
      <c r="Y438" s="23" t="s">
        <v>140</v>
      </c>
      <c r="Z438" s="23" t="s">
        <v>140</v>
      </c>
      <c r="AA438" s="23" t="s">
        <v>140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</row>
    <row r="439" customFormat="false" ht="26.85" hidden="false" customHeight="false" outlineLevel="0" collapsed="false">
      <c r="A439" s="21" t="n">
        <v>438</v>
      </c>
      <c r="B439" s="18" t="s">
        <v>3959</v>
      </c>
      <c r="C439" s="23" t="n">
        <v>2</v>
      </c>
      <c r="D439" s="23" t="s">
        <v>126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3949</v>
      </c>
      <c r="H439" s="18" t="s">
        <v>3960</v>
      </c>
      <c r="I439" s="21" t="s">
        <v>3950</v>
      </c>
      <c r="J439" s="22" t="s">
        <v>3961</v>
      </c>
      <c r="K439" s="23" t="s">
        <v>1095</v>
      </c>
      <c r="L439" s="24" t="s">
        <v>3962</v>
      </c>
      <c r="M439" s="24" t="s">
        <v>3963</v>
      </c>
      <c r="N439" s="23" t="s">
        <v>3964</v>
      </c>
      <c r="O439" s="24" t="s">
        <v>3965</v>
      </c>
      <c r="P439" s="24" t="s">
        <v>3950</v>
      </c>
      <c r="Q439" s="24" t="s">
        <v>3966</v>
      </c>
      <c r="R439" s="24"/>
      <c r="S439" s="24" t="s">
        <v>3967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140</v>
      </c>
      <c r="Y439" s="23" t="s">
        <v>140</v>
      </c>
      <c r="Z439" s="23" t="s">
        <v>140</v>
      </c>
      <c r="AA439" s="23" t="s">
        <v>140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</row>
    <row r="440" customFormat="false" ht="26.85" hidden="false" customHeight="false" outlineLevel="0" collapsed="false">
      <c r="A440" s="21" t="n">
        <v>439</v>
      </c>
      <c r="B440" s="18" t="s">
        <v>3968</v>
      </c>
      <c r="C440" s="23" t="n">
        <v>2</v>
      </c>
      <c r="D440" s="23" t="s">
        <v>126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3949</v>
      </c>
      <c r="H440" s="18" t="s">
        <v>3960</v>
      </c>
      <c r="I440" s="21" t="s">
        <v>3950</v>
      </c>
      <c r="J440" s="22" t="s">
        <v>3969</v>
      </c>
      <c r="K440" s="23" t="s">
        <v>1095</v>
      </c>
      <c r="L440" s="24" t="s">
        <v>3970</v>
      </c>
      <c r="M440" s="24" t="s">
        <v>3971</v>
      </c>
      <c r="N440" s="23" t="s">
        <v>3972</v>
      </c>
      <c r="O440" s="24" t="s">
        <v>3973</v>
      </c>
      <c r="P440" s="24" t="s">
        <v>3974</v>
      </c>
      <c r="Q440" s="24" t="s">
        <v>3492</v>
      </c>
      <c r="R440" s="24"/>
      <c r="S440" s="24" t="s">
        <v>3967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140</v>
      </c>
      <c r="Y440" s="23" t="s">
        <v>140</v>
      </c>
      <c r="Z440" s="23" t="s">
        <v>140</v>
      </c>
      <c r="AA440" s="23" t="s">
        <v>140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</row>
    <row r="441" customFormat="false" ht="26.85" hidden="false" customHeight="false" outlineLevel="0" collapsed="false">
      <c r="A441" s="21" t="n">
        <v>440</v>
      </c>
      <c r="B441" s="18" t="s">
        <v>3975</v>
      </c>
      <c r="C441" s="23" t="n">
        <v>2</v>
      </c>
      <c r="D441" s="23" t="s">
        <v>126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3949</v>
      </c>
      <c r="H441" s="18" t="s">
        <v>3960</v>
      </c>
      <c r="I441" s="21" t="s">
        <v>3950</v>
      </c>
      <c r="J441" s="22" t="s">
        <v>3976</v>
      </c>
      <c r="K441" s="23" t="s">
        <v>1095</v>
      </c>
      <c r="L441" s="24" t="s">
        <v>3977</v>
      </c>
      <c r="M441" s="24" t="s">
        <v>3978</v>
      </c>
      <c r="N441" s="23" t="s">
        <v>3979</v>
      </c>
      <c r="O441" s="24" t="s">
        <v>3980</v>
      </c>
      <c r="P441" s="24" t="s">
        <v>3950</v>
      </c>
      <c r="Q441" s="24" t="s">
        <v>3981</v>
      </c>
      <c r="R441" s="24"/>
      <c r="S441" s="24" t="s">
        <v>3967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140</v>
      </c>
      <c r="Y441" s="23" t="s">
        <v>140</v>
      </c>
      <c r="Z441" s="23" t="s">
        <v>140</v>
      </c>
      <c r="AA441" s="23" t="s">
        <v>140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</row>
    <row r="442" customFormat="false" ht="25.35" hidden="false" customHeight="false" outlineLevel="0" collapsed="false">
      <c r="A442" s="21" t="n">
        <v>441</v>
      </c>
      <c r="B442" s="18" t="s">
        <v>3982</v>
      </c>
      <c r="C442" s="23" t="n">
        <v>2</v>
      </c>
      <c r="D442" s="23" t="s">
        <v>126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3949</v>
      </c>
      <c r="H442" s="18" t="s">
        <v>3960</v>
      </c>
      <c r="I442" s="21" t="s">
        <v>3950</v>
      </c>
      <c r="J442" s="22" t="s">
        <v>3983</v>
      </c>
      <c r="K442" s="23" t="s">
        <v>1095</v>
      </c>
      <c r="L442" s="24" t="s">
        <v>3984</v>
      </c>
      <c r="M442" s="24" t="s">
        <v>3985</v>
      </c>
      <c r="N442" s="23" t="s">
        <v>3986</v>
      </c>
      <c r="O442" s="24" t="s">
        <v>3987</v>
      </c>
      <c r="P442" s="24" t="s">
        <v>3988</v>
      </c>
      <c r="Q442" s="24" t="s">
        <v>3989</v>
      </c>
      <c r="R442" s="24"/>
      <c r="S442" s="24" t="s">
        <v>3967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140</v>
      </c>
      <c r="Y442" s="23" t="s">
        <v>140</v>
      </c>
      <c r="Z442" s="23" t="s">
        <v>140</v>
      </c>
      <c r="AA442" s="23" t="s">
        <v>140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</row>
    <row r="443" customFormat="false" ht="26.85" hidden="false" customHeight="false" outlineLevel="0" collapsed="false">
      <c r="A443" s="21" t="n">
        <v>442</v>
      </c>
      <c r="B443" s="18" t="s">
        <v>3990</v>
      </c>
      <c r="C443" s="23" t="n">
        <v>2</v>
      </c>
      <c r="D443" s="23" t="s">
        <v>126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3949</v>
      </c>
      <c r="H443" s="18" t="s">
        <v>3960</v>
      </c>
      <c r="I443" s="21" t="s">
        <v>3950</v>
      </c>
      <c r="J443" s="22" t="s">
        <v>3991</v>
      </c>
      <c r="K443" s="23" t="s">
        <v>1095</v>
      </c>
      <c r="L443" s="24" t="s">
        <v>3992</v>
      </c>
      <c r="M443" s="24" t="s">
        <v>3993</v>
      </c>
      <c r="N443" s="23" t="s">
        <v>3994</v>
      </c>
      <c r="O443" s="24" t="s">
        <v>3995</v>
      </c>
      <c r="P443" s="24" t="s">
        <v>3950</v>
      </c>
      <c r="Q443" s="24" t="s">
        <v>3996</v>
      </c>
      <c r="R443" s="24"/>
      <c r="S443" s="24" t="s">
        <v>3967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140</v>
      </c>
      <c r="Y443" s="23" t="s">
        <v>140</v>
      </c>
      <c r="Z443" s="23" t="s">
        <v>140</v>
      </c>
      <c r="AA443" s="23" t="s">
        <v>140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</row>
    <row r="444" customFormat="false" ht="25.35" hidden="false" customHeight="false" outlineLevel="0" collapsed="false">
      <c r="A444" s="21" t="n">
        <v>443</v>
      </c>
      <c r="B444" s="18" t="s">
        <v>3997</v>
      </c>
      <c r="C444" s="23" t="n">
        <v>2</v>
      </c>
      <c r="D444" s="23" t="s">
        <v>126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3949</v>
      </c>
      <c r="H444" s="18" t="s">
        <v>3960</v>
      </c>
      <c r="I444" s="21" t="s">
        <v>3950</v>
      </c>
      <c r="J444" s="22" t="s">
        <v>3998</v>
      </c>
      <c r="K444" s="23" t="s">
        <v>1095</v>
      </c>
      <c r="L444" s="24" t="s">
        <v>3999</v>
      </c>
      <c r="M444" s="24" t="s">
        <v>4000</v>
      </c>
      <c r="N444" s="23" t="s">
        <v>4001</v>
      </c>
      <c r="O444" s="24" t="s">
        <v>4002</v>
      </c>
      <c r="P444" s="24" t="s">
        <v>3950</v>
      </c>
      <c r="Q444" s="24" t="s">
        <v>4003</v>
      </c>
      <c r="R444" s="24"/>
      <c r="S444" s="24" t="s">
        <v>3967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140</v>
      </c>
      <c r="Y444" s="23" t="s">
        <v>140</v>
      </c>
      <c r="Z444" s="23" t="s">
        <v>140</v>
      </c>
      <c r="AA444" s="23" t="s">
        <v>140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</row>
    <row r="445" customFormat="false" ht="52.2" hidden="false" customHeight="false" outlineLevel="0" collapsed="false">
      <c r="A445" s="21" t="n">
        <v>444</v>
      </c>
      <c r="B445" s="18" t="s">
        <v>4004</v>
      </c>
      <c r="C445" s="20" t="n">
        <v>1</v>
      </c>
      <c r="D445" s="20" t="s">
        <v>126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3949</v>
      </c>
      <c r="H445" s="18" t="s">
        <v>3669</v>
      </c>
      <c r="I445" s="21" t="s">
        <v>3950</v>
      </c>
      <c r="J445" s="22" t="s">
        <v>4005</v>
      </c>
      <c r="K445" s="23" t="s">
        <v>1095</v>
      </c>
      <c r="L445" s="24" t="s">
        <v>4006</v>
      </c>
      <c r="M445" s="24" t="s">
        <v>4007</v>
      </c>
      <c r="N445" s="23" t="s">
        <v>4008</v>
      </c>
      <c r="O445" s="24" t="s">
        <v>4009</v>
      </c>
      <c r="P445" s="24" t="s">
        <v>4010</v>
      </c>
      <c r="Q445" s="24" t="s">
        <v>4011</v>
      </c>
      <c r="R445" s="24"/>
      <c r="S445" s="28" t="s">
        <v>4012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140</v>
      </c>
      <c r="Y445" s="23" t="s">
        <v>140</v>
      </c>
      <c r="Z445" s="23" t="s">
        <v>140</v>
      </c>
      <c r="AA445" s="23" t="s">
        <v>140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</row>
    <row r="446" customFormat="false" ht="26.85" hidden="false" customHeight="false" outlineLevel="0" collapsed="false">
      <c r="A446" s="21" t="n">
        <v>445</v>
      </c>
      <c r="B446" s="18" t="s">
        <v>4013</v>
      </c>
      <c r="C446" s="23" t="n">
        <v>2</v>
      </c>
      <c r="D446" s="23" t="s">
        <v>126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3949</v>
      </c>
      <c r="H446" s="18" t="s">
        <v>3960</v>
      </c>
      <c r="I446" s="21" t="s">
        <v>3950</v>
      </c>
      <c r="J446" s="22" t="s">
        <v>4014</v>
      </c>
      <c r="K446" s="23" t="s">
        <v>1095</v>
      </c>
      <c r="L446" s="24" t="s">
        <v>4015</v>
      </c>
      <c r="M446" s="24" t="s">
        <v>4016</v>
      </c>
      <c r="N446" s="23" t="s">
        <v>4017</v>
      </c>
      <c r="O446" s="24" t="s">
        <v>4018</v>
      </c>
      <c r="P446" s="24" t="s">
        <v>4019</v>
      </c>
      <c r="Q446" s="24" t="s">
        <v>4020</v>
      </c>
      <c r="R446" s="24"/>
      <c r="S446" s="24" t="s">
        <v>4021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140</v>
      </c>
      <c r="Y446" s="23" t="s">
        <v>140</v>
      </c>
      <c r="Z446" s="23" t="s">
        <v>140</v>
      </c>
      <c r="AA446" s="23" t="s">
        <v>140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</row>
    <row r="447" customFormat="false" ht="26.85" hidden="false" customHeight="false" outlineLevel="0" collapsed="false">
      <c r="A447" s="21" t="n">
        <v>446</v>
      </c>
      <c r="B447" s="18" t="s">
        <v>4022</v>
      </c>
      <c r="C447" s="23" t="n">
        <v>2</v>
      </c>
      <c r="D447" s="23" t="s">
        <v>126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3949</v>
      </c>
      <c r="H447" s="18" t="s">
        <v>3960</v>
      </c>
      <c r="I447" s="21" t="s">
        <v>3950</v>
      </c>
      <c r="J447" s="22" t="s">
        <v>4023</v>
      </c>
      <c r="K447" s="23" t="s">
        <v>1095</v>
      </c>
      <c r="L447" s="29" t="s">
        <v>4024</v>
      </c>
      <c r="M447" s="24" t="s">
        <v>4025</v>
      </c>
      <c r="N447" s="23" t="s">
        <v>4026</v>
      </c>
      <c r="O447" s="24" t="s">
        <v>4027</v>
      </c>
      <c r="P447" s="24" t="s">
        <v>3950</v>
      </c>
      <c r="Q447" s="24" t="s">
        <v>4028</v>
      </c>
      <c r="R447" s="27" t="s">
        <v>4029</v>
      </c>
      <c r="S447" s="24" t="s">
        <v>4021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140</v>
      </c>
      <c r="Y447" s="23" t="s">
        <v>140</v>
      </c>
      <c r="Z447" s="23" t="s">
        <v>140</v>
      </c>
      <c r="AA447" s="23" t="s">
        <v>140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</row>
    <row r="448" customFormat="false" ht="26.85" hidden="false" customHeight="false" outlineLevel="0" collapsed="false">
      <c r="A448" s="21" t="n">
        <v>447</v>
      </c>
      <c r="B448" s="18" t="s">
        <v>4030</v>
      </c>
      <c r="C448" s="23" t="n">
        <v>2</v>
      </c>
      <c r="D448" s="23" t="s">
        <v>126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4031</v>
      </c>
      <c r="H448" s="18" t="s">
        <v>4032</v>
      </c>
      <c r="I448" s="21" t="s">
        <v>3950</v>
      </c>
      <c r="J448" s="22" t="s">
        <v>4033</v>
      </c>
      <c r="K448" s="23" t="s">
        <v>1095</v>
      </c>
      <c r="L448" s="24" t="s">
        <v>4034</v>
      </c>
      <c r="M448" s="24" t="s">
        <v>4035</v>
      </c>
      <c r="N448" s="23" t="s">
        <v>4036</v>
      </c>
      <c r="O448" s="24" t="s">
        <v>4037</v>
      </c>
      <c r="P448" s="24" t="s">
        <v>4038</v>
      </c>
      <c r="Q448" s="24" t="s">
        <v>2465</v>
      </c>
      <c r="R448" s="24"/>
      <c r="S448" s="24" t="s">
        <v>4021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140</v>
      </c>
      <c r="Y448" s="23" t="s">
        <v>140</v>
      </c>
      <c r="Z448" s="23" t="s">
        <v>140</v>
      </c>
      <c r="AA448" s="23" t="s">
        <v>140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</row>
    <row r="449" customFormat="false" ht="26.85" hidden="false" customHeight="false" outlineLevel="0" collapsed="false">
      <c r="A449" s="21" t="n">
        <v>448</v>
      </c>
      <c r="B449" s="18" t="s">
        <v>4039</v>
      </c>
      <c r="C449" s="23" t="n">
        <v>2</v>
      </c>
      <c r="D449" s="23" t="s">
        <v>126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4031</v>
      </c>
      <c r="H449" s="18" t="s">
        <v>4032</v>
      </c>
      <c r="I449" s="21" t="s">
        <v>3950</v>
      </c>
      <c r="J449" s="22" t="s">
        <v>4040</v>
      </c>
      <c r="K449" s="23" t="s">
        <v>1095</v>
      </c>
      <c r="L449" s="24" t="s">
        <v>4041</v>
      </c>
      <c r="M449" s="24" t="s">
        <v>4042</v>
      </c>
      <c r="N449" s="23" t="s">
        <v>4043</v>
      </c>
      <c r="O449" s="24" t="s">
        <v>4044</v>
      </c>
      <c r="P449" s="24" t="s">
        <v>4045</v>
      </c>
      <c r="Q449" s="24" t="s">
        <v>4046</v>
      </c>
      <c r="R449" s="24"/>
      <c r="S449" s="24" t="s">
        <v>4021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140</v>
      </c>
      <c r="Y449" s="23" t="s">
        <v>140</v>
      </c>
      <c r="Z449" s="23" t="s">
        <v>140</v>
      </c>
      <c r="AA449" s="23" t="s">
        <v>140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</row>
    <row r="450" customFormat="false" ht="26.85" hidden="false" customHeight="false" outlineLevel="0" collapsed="false">
      <c r="A450" s="21" t="n">
        <v>449</v>
      </c>
      <c r="B450" s="18" t="s">
        <v>4047</v>
      </c>
      <c r="C450" s="23" t="n">
        <v>2</v>
      </c>
      <c r="D450" s="23" t="s">
        <v>126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4031</v>
      </c>
      <c r="H450" s="18" t="s">
        <v>4032</v>
      </c>
      <c r="I450" s="21" t="s">
        <v>3950</v>
      </c>
      <c r="J450" s="22" t="s">
        <v>4048</v>
      </c>
      <c r="K450" s="23" t="s">
        <v>1095</v>
      </c>
      <c r="L450" s="24" t="s">
        <v>4049</v>
      </c>
      <c r="M450" s="24" t="s">
        <v>4050</v>
      </c>
      <c r="N450" s="23" t="s">
        <v>4051</v>
      </c>
      <c r="O450" s="24" t="s">
        <v>4052</v>
      </c>
      <c r="P450" s="24" t="s">
        <v>4053</v>
      </c>
      <c r="Q450" s="24" t="s">
        <v>4054</v>
      </c>
      <c r="R450" s="27" t="s">
        <v>4055</v>
      </c>
      <c r="S450" s="24" t="s">
        <v>4021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140</v>
      </c>
      <c r="Y450" s="23" t="s">
        <v>140</v>
      </c>
      <c r="Z450" s="23" t="s">
        <v>140</v>
      </c>
      <c r="AA450" s="23" t="s">
        <v>140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</row>
    <row r="451" customFormat="false" ht="52.2" hidden="false" customHeight="false" outlineLevel="0" collapsed="false">
      <c r="A451" s="21" t="n">
        <v>450</v>
      </c>
      <c r="B451" s="18" t="s">
        <v>4056</v>
      </c>
      <c r="C451" s="20" t="n">
        <v>1</v>
      </c>
      <c r="D451" s="20" t="s">
        <v>126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4031</v>
      </c>
      <c r="H451" s="18" t="s">
        <v>4057</v>
      </c>
      <c r="I451" s="21" t="s">
        <v>3950</v>
      </c>
      <c r="J451" s="22" t="s">
        <v>4058</v>
      </c>
      <c r="K451" s="23" t="s">
        <v>1095</v>
      </c>
      <c r="L451" s="24" t="s">
        <v>4059</v>
      </c>
      <c r="M451" s="24" t="s">
        <v>4060</v>
      </c>
      <c r="N451" s="23" t="s">
        <v>4061</v>
      </c>
      <c r="O451" s="24" t="s">
        <v>4062</v>
      </c>
      <c r="P451" s="24" t="s">
        <v>3950</v>
      </c>
      <c r="Q451" s="24" t="s">
        <v>4063</v>
      </c>
      <c r="R451" s="25" t="s">
        <v>4064</v>
      </c>
      <c r="S451" s="28" t="s">
        <v>4065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140</v>
      </c>
      <c r="Y451" s="23" t="s">
        <v>140</v>
      </c>
      <c r="Z451" s="23" t="s">
        <v>140</v>
      </c>
      <c r="AA451" s="23" t="s">
        <v>140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</row>
    <row r="452" customFormat="false" ht="26.85" hidden="false" customHeight="false" outlineLevel="0" collapsed="false">
      <c r="A452" s="21" t="n">
        <v>451</v>
      </c>
      <c r="B452" s="18" t="s">
        <v>4066</v>
      </c>
      <c r="C452" s="23" t="n">
        <v>2</v>
      </c>
      <c r="D452" s="23" t="s">
        <v>126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4031</v>
      </c>
      <c r="H452" s="18" t="s">
        <v>4032</v>
      </c>
      <c r="I452" s="21" t="s">
        <v>3950</v>
      </c>
      <c r="J452" s="22" t="s">
        <v>4067</v>
      </c>
      <c r="K452" s="23" t="s">
        <v>1095</v>
      </c>
      <c r="L452" s="24" t="s">
        <v>4068</v>
      </c>
      <c r="M452" s="24" t="s">
        <v>4069</v>
      </c>
      <c r="N452" s="23" t="s">
        <v>4070</v>
      </c>
      <c r="O452" s="24" t="s">
        <v>4071</v>
      </c>
      <c r="P452" s="24" t="s">
        <v>4072</v>
      </c>
      <c r="Q452" s="24" t="s">
        <v>4073</v>
      </c>
      <c r="R452" s="24"/>
      <c r="S452" s="24" t="s">
        <v>4074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140</v>
      </c>
      <c r="Y452" s="23" t="s">
        <v>140</v>
      </c>
      <c r="Z452" s="23" t="s">
        <v>140</v>
      </c>
      <c r="AA452" s="23" t="s">
        <v>140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</row>
    <row r="453" customFormat="false" ht="26.85" hidden="false" customHeight="false" outlineLevel="0" collapsed="false">
      <c r="A453" s="21" t="n">
        <v>452</v>
      </c>
      <c r="B453" s="18" t="s">
        <v>4075</v>
      </c>
      <c r="C453" s="23" t="n">
        <v>2</v>
      </c>
      <c r="D453" s="23" t="s">
        <v>126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4031</v>
      </c>
      <c r="H453" s="18" t="s">
        <v>4032</v>
      </c>
      <c r="I453" s="21" t="s">
        <v>3950</v>
      </c>
      <c r="J453" s="22" t="s">
        <v>4076</v>
      </c>
      <c r="K453" s="23" t="s">
        <v>1095</v>
      </c>
      <c r="L453" s="24" t="s">
        <v>4077</v>
      </c>
      <c r="M453" s="24" t="s">
        <v>4078</v>
      </c>
      <c r="N453" s="23" t="s">
        <v>4079</v>
      </c>
      <c r="O453" s="24" t="s">
        <v>4080</v>
      </c>
      <c r="P453" s="24" t="s">
        <v>3950</v>
      </c>
      <c r="Q453" s="24" t="s">
        <v>4081</v>
      </c>
      <c r="R453" s="25" t="s">
        <v>4082</v>
      </c>
      <c r="S453" s="24" t="s">
        <v>4074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140</v>
      </c>
      <c r="Y453" s="23" t="s">
        <v>140</v>
      </c>
      <c r="Z453" s="23" t="s">
        <v>140</v>
      </c>
      <c r="AA453" s="23" t="s">
        <v>140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</row>
    <row r="454" customFormat="false" ht="26.85" hidden="false" customHeight="false" outlineLevel="0" collapsed="false">
      <c r="A454" s="21" t="n">
        <v>453</v>
      </c>
      <c r="B454" s="18" t="s">
        <v>4083</v>
      </c>
      <c r="C454" s="23" t="n">
        <v>2</v>
      </c>
      <c r="D454" s="23" t="s">
        <v>126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4031</v>
      </c>
      <c r="H454" s="18" t="s">
        <v>4032</v>
      </c>
      <c r="I454" s="21" t="s">
        <v>3950</v>
      </c>
      <c r="J454" s="22" t="s">
        <v>4084</v>
      </c>
      <c r="K454" s="23" t="s">
        <v>1095</v>
      </c>
      <c r="L454" s="24" t="s">
        <v>4085</v>
      </c>
      <c r="M454" s="24" t="s">
        <v>4086</v>
      </c>
      <c r="N454" s="23" t="s">
        <v>4087</v>
      </c>
      <c r="O454" s="24" t="s">
        <v>4088</v>
      </c>
      <c r="P454" s="24" t="s">
        <v>4089</v>
      </c>
      <c r="Q454" s="24" t="s">
        <v>4090</v>
      </c>
      <c r="R454" s="24"/>
      <c r="S454" s="24" t="s">
        <v>4074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140</v>
      </c>
      <c r="Y454" s="23" t="s">
        <v>140</v>
      </c>
      <c r="Z454" s="23" t="s">
        <v>140</v>
      </c>
      <c r="AA454" s="23" t="s">
        <v>140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</row>
    <row r="455" customFormat="false" ht="52.2" hidden="false" customHeight="false" outlineLevel="0" collapsed="false">
      <c r="A455" s="21" t="n">
        <v>454</v>
      </c>
      <c r="B455" s="18" t="s">
        <v>4091</v>
      </c>
      <c r="C455" s="20" t="n">
        <v>1</v>
      </c>
      <c r="D455" s="20" t="s">
        <v>126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4031</v>
      </c>
      <c r="H455" s="18" t="s">
        <v>4057</v>
      </c>
      <c r="I455" s="21" t="s">
        <v>3950</v>
      </c>
      <c r="J455" s="22" t="s">
        <v>4092</v>
      </c>
      <c r="K455" s="23" t="s">
        <v>1095</v>
      </c>
      <c r="L455" s="24" t="s">
        <v>4093</v>
      </c>
      <c r="M455" s="24" t="s">
        <v>4094</v>
      </c>
      <c r="N455" s="23" t="s">
        <v>4095</v>
      </c>
      <c r="O455" s="24" t="s">
        <v>4096</v>
      </c>
      <c r="P455" s="24" t="s">
        <v>4097</v>
      </c>
      <c r="Q455" s="24" t="s">
        <v>4098</v>
      </c>
      <c r="R455" s="24"/>
      <c r="S455" s="28" t="s">
        <v>4099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140</v>
      </c>
      <c r="Y455" s="23" t="s">
        <v>140</v>
      </c>
      <c r="Z455" s="23" t="s">
        <v>140</v>
      </c>
      <c r="AA455" s="23" t="s">
        <v>140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</row>
    <row r="456" customFormat="false" ht="26.85" hidden="false" customHeight="false" outlineLevel="0" collapsed="false">
      <c r="A456" s="21" t="n">
        <v>455</v>
      </c>
      <c r="B456" s="18" t="s">
        <v>4100</v>
      </c>
      <c r="C456" s="23" t="n">
        <v>2</v>
      </c>
      <c r="D456" s="23" t="s">
        <v>126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4031</v>
      </c>
      <c r="H456" s="18" t="s">
        <v>4032</v>
      </c>
      <c r="I456" s="21" t="s">
        <v>3950</v>
      </c>
      <c r="J456" s="22" t="s">
        <v>4101</v>
      </c>
      <c r="K456" s="23" t="s">
        <v>1095</v>
      </c>
      <c r="L456" s="24" t="s">
        <v>4102</v>
      </c>
      <c r="M456" s="24" t="s">
        <v>4103</v>
      </c>
      <c r="N456" s="23" t="s">
        <v>4104</v>
      </c>
      <c r="O456" s="24" t="s">
        <v>4105</v>
      </c>
      <c r="P456" s="24" t="s">
        <v>4106</v>
      </c>
      <c r="Q456" s="24" t="s">
        <v>4107</v>
      </c>
      <c r="R456" s="25" t="s">
        <v>4108</v>
      </c>
      <c r="S456" s="24" t="s">
        <v>4109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140</v>
      </c>
      <c r="Y456" s="23" t="s">
        <v>140</v>
      </c>
      <c r="Z456" s="23" t="s">
        <v>140</v>
      </c>
      <c r="AA456" s="23" t="s">
        <v>140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</row>
    <row r="457" customFormat="false" ht="26.85" hidden="false" customHeight="false" outlineLevel="0" collapsed="false">
      <c r="A457" s="21" t="n">
        <v>456</v>
      </c>
      <c r="B457" s="18" t="s">
        <v>4110</v>
      </c>
      <c r="C457" s="23" t="n">
        <v>2</v>
      </c>
      <c r="D457" s="23" t="s">
        <v>126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4031</v>
      </c>
      <c r="H457" s="18" t="s">
        <v>4032</v>
      </c>
      <c r="I457" s="21" t="s">
        <v>3950</v>
      </c>
      <c r="J457" s="22" t="s">
        <v>4111</v>
      </c>
      <c r="K457" s="23" t="s">
        <v>1095</v>
      </c>
      <c r="L457" s="24" t="s">
        <v>4112</v>
      </c>
      <c r="M457" s="24" t="s">
        <v>4113</v>
      </c>
      <c r="N457" s="23" t="s">
        <v>4114</v>
      </c>
      <c r="O457" s="24" t="s">
        <v>4115</v>
      </c>
      <c r="P457" s="24" t="s">
        <v>4116</v>
      </c>
      <c r="Q457" s="24" t="s">
        <v>4117</v>
      </c>
      <c r="R457" s="24"/>
      <c r="S457" s="24" t="s">
        <v>4109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140</v>
      </c>
      <c r="Y457" s="23" t="s">
        <v>140</v>
      </c>
      <c r="Z457" s="23" t="s">
        <v>140</v>
      </c>
      <c r="AA457" s="23" t="s">
        <v>140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</row>
    <row r="458" customFormat="false" ht="26.85" hidden="false" customHeight="false" outlineLevel="0" collapsed="false">
      <c r="A458" s="21" t="n">
        <v>457</v>
      </c>
      <c r="B458" s="18" t="s">
        <v>4118</v>
      </c>
      <c r="C458" s="23" t="n">
        <v>2</v>
      </c>
      <c r="D458" s="23" t="s">
        <v>126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4031</v>
      </c>
      <c r="H458" s="18" t="s">
        <v>4032</v>
      </c>
      <c r="I458" s="21" t="s">
        <v>4119</v>
      </c>
      <c r="J458" s="22" t="s">
        <v>4120</v>
      </c>
      <c r="K458" s="23" t="s">
        <v>1095</v>
      </c>
      <c r="L458" s="24" t="s">
        <v>4121</v>
      </c>
      <c r="M458" s="24" t="s">
        <v>4122</v>
      </c>
      <c r="N458" s="23" t="s">
        <v>4123</v>
      </c>
      <c r="O458" s="24" t="s">
        <v>4124</v>
      </c>
      <c r="P458" s="24" t="s">
        <v>4125</v>
      </c>
      <c r="Q458" s="24" t="s">
        <v>4126</v>
      </c>
      <c r="R458" s="24"/>
      <c r="S458" s="24" t="s">
        <v>4109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140</v>
      </c>
      <c r="Y458" s="23" t="s">
        <v>140</v>
      </c>
      <c r="Z458" s="23" t="s">
        <v>140</v>
      </c>
      <c r="AA458" s="23" t="s">
        <v>140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</row>
    <row r="459" customFormat="false" ht="52.2" hidden="false" customHeight="false" outlineLevel="0" collapsed="false">
      <c r="A459" s="21" t="n">
        <v>458</v>
      </c>
      <c r="B459" s="18" t="s">
        <v>4127</v>
      </c>
      <c r="C459" s="20" t="n">
        <v>1</v>
      </c>
      <c r="D459" s="20" t="s">
        <v>126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4031</v>
      </c>
      <c r="H459" s="18" t="s">
        <v>4057</v>
      </c>
      <c r="I459" s="21" t="s">
        <v>4119</v>
      </c>
      <c r="J459" s="22" t="s">
        <v>4128</v>
      </c>
      <c r="K459" s="23" t="s">
        <v>1095</v>
      </c>
      <c r="L459" s="24" t="s">
        <v>4129</v>
      </c>
      <c r="M459" s="24" t="s">
        <v>4130</v>
      </c>
      <c r="N459" s="23" t="s">
        <v>4131</v>
      </c>
      <c r="O459" s="24" t="s">
        <v>4132</v>
      </c>
      <c r="P459" s="24" t="s">
        <v>4125</v>
      </c>
      <c r="Q459" s="24" t="s">
        <v>4133</v>
      </c>
      <c r="R459" s="24"/>
      <c r="S459" s="28" t="s">
        <v>4134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140</v>
      </c>
      <c r="Y459" s="23" t="s">
        <v>140</v>
      </c>
      <c r="Z459" s="23" t="s">
        <v>140</v>
      </c>
      <c r="AA459" s="23" t="s">
        <v>140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</row>
    <row r="460" customFormat="false" ht="26.85" hidden="false" customHeight="false" outlineLevel="0" collapsed="false">
      <c r="A460" s="21" t="n">
        <v>459</v>
      </c>
      <c r="B460" s="18" t="s">
        <v>4135</v>
      </c>
      <c r="C460" s="23" t="n">
        <v>2</v>
      </c>
      <c r="D460" s="23" t="s">
        <v>126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4031</v>
      </c>
      <c r="H460" s="18" t="s">
        <v>4032</v>
      </c>
      <c r="I460" s="21" t="s">
        <v>4119</v>
      </c>
      <c r="J460" s="22" t="s">
        <v>4136</v>
      </c>
      <c r="K460" s="23" t="s">
        <v>1095</v>
      </c>
      <c r="L460" s="24" t="s">
        <v>4137</v>
      </c>
      <c r="M460" s="24" t="s">
        <v>4138</v>
      </c>
      <c r="N460" s="23" t="s">
        <v>4139</v>
      </c>
      <c r="O460" s="24" t="s">
        <v>4140</v>
      </c>
      <c r="P460" s="24" t="s">
        <v>4125</v>
      </c>
      <c r="Q460" s="24" t="s">
        <v>4141</v>
      </c>
      <c r="R460" s="27" t="s">
        <v>4142</v>
      </c>
      <c r="S460" s="24" t="s">
        <v>4143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140</v>
      </c>
      <c r="Y460" s="23" t="s">
        <v>140</v>
      </c>
      <c r="Z460" s="23" t="s">
        <v>140</v>
      </c>
      <c r="AA460" s="23" t="s">
        <v>140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</row>
    <row r="461" customFormat="false" ht="26.85" hidden="false" customHeight="false" outlineLevel="0" collapsed="false">
      <c r="A461" s="21" t="n">
        <v>460</v>
      </c>
      <c r="B461" s="18" t="s">
        <v>4144</v>
      </c>
      <c r="C461" s="23" t="n">
        <v>2</v>
      </c>
      <c r="D461" s="23" t="s">
        <v>126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4145</v>
      </c>
      <c r="H461" s="18" t="s">
        <v>4146</v>
      </c>
      <c r="I461" s="21" t="s">
        <v>4147</v>
      </c>
      <c r="J461" s="22" t="s">
        <v>4148</v>
      </c>
      <c r="K461" s="23" t="s">
        <v>1095</v>
      </c>
      <c r="L461" s="24" t="s">
        <v>4149</v>
      </c>
      <c r="M461" s="24" t="s">
        <v>4150</v>
      </c>
      <c r="N461" s="23" t="s">
        <v>4151</v>
      </c>
      <c r="O461" s="24" t="s">
        <v>4152</v>
      </c>
      <c r="P461" s="24" t="s">
        <v>4153</v>
      </c>
      <c r="Q461" s="24" t="s">
        <v>4154</v>
      </c>
      <c r="R461" s="25" t="s">
        <v>4155</v>
      </c>
      <c r="S461" s="24" t="s">
        <v>4143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140</v>
      </c>
      <c r="Y461" s="23" t="s">
        <v>140</v>
      </c>
      <c r="Z461" s="23" t="s">
        <v>140</v>
      </c>
      <c r="AA461" s="23" t="s">
        <v>140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</row>
    <row r="462" customFormat="false" ht="26.85" hidden="false" customHeight="false" outlineLevel="0" collapsed="false">
      <c r="A462" s="21" t="n">
        <v>461</v>
      </c>
      <c r="B462" s="18" t="s">
        <v>4156</v>
      </c>
      <c r="C462" s="23" t="n">
        <v>2</v>
      </c>
      <c r="D462" s="23" t="s">
        <v>126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4145</v>
      </c>
      <c r="H462" s="18" t="s">
        <v>4146</v>
      </c>
      <c r="I462" s="21" t="s">
        <v>4147</v>
      </c>
      <c r="J462" s="22" t="s">
        <v>4157</v>
      </c>
      <c r="K462" s="23" t="s">
        <v>1095</v>
      </c>
      <c r="L462" s="24" t="s">
        <v>4158</v>
      </c>
      <c r="M462" s="24" t="s">
        <v>4159</v>
      </c>
      <c r="N462" s="23" t="s">
        <v>4160</v>
      </c>
      <c r="O462" s="24" t="s">
        <v>4161</v>
      </c>
      <c r="P462" s="24" t="s">
        <v>4162</v>
      </c>
      <c r="Q462" s="24" t="s">
        <v>4163</v>
      </c>
      <c r="R462" s="24"/>
      <c r="S462" s="24" t="s">
        <v>4143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140</v>
      </c>
      <c r="Y462" s="23" t="s">
        <v>140</v>
      </c>
      <c r="Z462" s="23" t="s">
        <v>140</v>
      </c>
      <c r="AA462" s="23" t="s">
        <v>140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</row>
    <row r="463" customFormat="false" ht="25.35" hidden="false" customHeight="false" outlineLevel="0" collapsed="false">
      <c r="A463" s="21" t="n">
        <v>462</v>
      </c>
      <c r="B463" s="18" t="s">
        <v>4164</v>
      </c>
      <c r="C463" s="23" t="n">
        <v>2</v>
      </c>
      <c r="D463" s="23" t="s">
        <v>126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4145</v>
      </c>
      <c r="H463" s="18" t="s">
        <v>4146</v>
      </c>
      <c r="I463" s="21" t="s">
        <v>4147</v>
      </c>
      <c r="J463" s="22" t="s">
        <v>4165</v>
      </c>
      <c r="K463" s="23" t="s">
        <v>1095</v>
      </c>
      <c r="L463" s="29" t="s">
        <v>4166</v>
      </c>
      <c r="M463" s="24" t="s">
        <v>4167</v>
      </c>
      <c r="N463" s="23" t="s">
        <v>4168</v>
      </c>
      <c r="O463" s="24" t="s">
        <v>4169</v>
      </c>
      <c r="P463" s="24" t="s">
        <v>4147</v>
      </c>
      <c r="Q463" s="24" t="s">
        <v>4170</v>
      </c>
      <c r="R463" s="24"/>
      <c r="S463" s="24" t="s">
        <v>4143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140</v>
      </c>
      <c r="Y463" s="23" t="s">
        <v>140</v>
      </c>
      <c r="Z463" s="23" t="s">
        <v>140</v>
      </c>
      <c r="AA463" s="23" t="s">
        <v>140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</row>
    <row r="464" customFormat="false" ht="26.85" hidden="false" customHeight="false" outlineLevel="0" collapsed="false">
      <c r="A464" s="21" t="n">
        <v>463</v>
      </c>
      <c r="B464" s="18" t="s">
        <v>4171</v>
      </c>
      <c r="C464" s="23" t="n">
        <v>2</v>
      </c>
      <c r="D464" s="23" t="s">
        <v>126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4145</v>
      </c>
      <c r="H464" s="18" t="s">
        <v>4146</v>
      </c>
      <c r="I464" s="21" t="s">
        <v>4147</v>
      </c>
      <c r="J464" s="22" t="s">
        <v>4172</v>
      </c>
      <c r="K464" s="23" t="s">
        <v>1095</v>
      </c>
      <c r="L464" s="24" t="s">
        <v>4173</v>
      </c>
      <c r="M464" s="24" t="s">
        <v>4174</v>
      </c>
      <c r="N464" s="23" t="s">
        <v>4175</v>
      </c>
      <c r="O464" s="24" t="s">
        <v>4176</v>
      </c>
      <c r="P464" s="24" t="s">
        <v>4177</v>
      </c>
      <c r="Q464" s="24" t="s">
        <v>4178</v>
      </c>
      <c r="R464" s="25" t="s">
        <v>4179</v>
      </c>
      <c r="S464" s="24" t="s">
        <v>4143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140</v>
      </c>
      <c r="Y464" s="23" t="s">
        <v>140</v>
      </c>
      <c r="Z464" s="23" t="s">
        <v>140</v>
      </c>
      <c r="AA464" s="23" t="s">
        <v>140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</row>
    <row r="465" customFormat="false" ht="26.85" hidden="false" customHeight="false" outlineLevel="0" collapsed="false">
      <c r="A465" s="21" t="n">
        <v>464</v>
      </c>
      <c r="B465" s="18" t="s">
        <v>4180</v>
      </c>
      <c r="C465" s="23" t="n">
        <v>2</v>
      </c>
      <c r="D465" s="23" t="s">
        <v>126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4145</v>
      </c>
      <c r="H465" s="18" t="s">
        <v>4146</v>
      </c>
      <c r="I465" s="21" t="s">
        <v>4147</v>
      </c>
      <c r="J465" s="22" t="s">
        <v>4181</v>
      </c>
      <c r="K465" s="23" t="s">
        <v>1095</v>
      </c>
      <c r="L465" s="24" t="s">
        <v>4182</v>
      </c>
      <c r="M465" s="24" t="s">
        <v>4183</v>
      </c>
      <c r="N465" s="23" t="s">
        <v>4184</v>
      </c>
      <c r="O465" s="24" t="s">
        <v>4185</v>
      </c>
      <c r="P465" s="24" t="s">
        <v>4147</v>
      </c>
      <c r="Q465" s="24" t="s">
        <v>4186</v>
      </c>
      <c r="R465" s="24"/>
      <c r="S465" s="24" t="s">
        <v>4143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140</v>
      </c>
      <c r="Y465" s="23" t="s">
        <v>140</v>
      </c>
      <c r="Z465" s="23" t="s">
        <v>140</v>
      </c>
      <c r="AA465" s="23" t="s">
        <v>140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</row>
    <row r="466" customFormat="false" ht="26.85" hidden="false" customHeight="false" outlineLevel="0" collapsed="false">
      <c r="A466" s="21" t="n">
        <v>465</v>
      </c>
      <c r="B466" s="18" t="s">
        <v>4187</v>
      </c>
      <c r="C466" s="23" t="n">
        <v>2</v>
      </c>
      <c r="D466" s="23" t="s">
        <v>126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4145</v>
      </c>
      <c r="H466" s="18" t="s">
        <v>4146</v>
      </c>
      <c r="I466" s="21" t="s">
        <v>4147</v>
      </c>
      <c r="J466" s="22" t="s">
        <v>4188</v>
      </c>
      <c r="K466" s="23" t="s">
        <v>1095</v>
      </c>
      <c r="L466" s="24" t="s">
        <v>4189</v>
      </c>
      <c r="M466" s="24" t="s">
        <v>4190</v>
      </c>
      <c r="N466" s="23" t="s">
        <v>4191</v>
      </c>
      <c r="O466" s="24" t="s">
        <v>4192</v>
      </c>
      <c r="P466" s="24" t="s">
        <v>4147</v>
      </c>
      <c r="Q466" s="24" t="s">
        <v>3725</v>
      </c>
      <c r="R466" s="24"/>
      <c r="S466" s="24" t="s">
        <v>4143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140</v>
      </c>
      <c r="Y466" s="23" t="s">
        <v>140</v>
      </c>
      <c r="Z466" s="23" t="s">
        <v>140</v>
      </c>
      <c r="AA466" s="23" t="s">
        <v>140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</row>
    <row r="467" customFormat="false" ht="25.35" hidden="false" customHeight="false" outlineLevel="0" collapsed="false">
      <c r="A467" s="21" t="n">
        <v>466</v>
      </c>
      <c r="B467" s="18" t="s">
        <v>4193</v>
      </c>
      <c r="C467" s="23" t="n">
        <v>2</v>
      </c>
      <c r="D467" s="23" t="s">
        <v>126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4145</v>
      </c>
      <c r="H467" s="18" t="s">
        <v>4146</v>
      </c>
      <c r="I467" s="21" t="s">
        <v>4147</v>
      </c>
      <c r="J467" s="22" t="s">
        <v>4194</v>
      </c>
      <c r="K467" s="23" t="s">
        <v>1095</v>
      </c>
      <c r="L467" s="24" t="s">
        <v>4195</v>
      </c>
      <c r="M467" s="24" t="s">
        <v>4196</v>
      </c>
      <c r="N467" s="23" t="s">
        <v>4197</v>
      </c>
      <c r="O467" s="24" t="s">
        <v>4198</v>
      </c>
      <c r="P467" s="24" t="s">
        <v>4147</v>
      </c>
      <c r="Q467" s="24" t="s">
        <v>4199</v>
      </c>
      <c r="R467" s="24"/>
      <c r="S467" s="24" t="s">
        <v>4143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140</v>
      </c>
      <c r="Y467" s="23" t="s">
        <v>140</v>
      </c>
      <c r="Z467" s="23" t="s">
        <v>140</v>
      </c>
      <c r="AA467" s="23" t="s">
        <v>140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</row>
    <row r="468" customFormat="false" ht="26.85" hidden="false" customHeight="false" outlineLevel="0" collapsed="false">
      <c r="A468" s="21" t="n">
        <v>467</v>
      </c>
      <c r="B468" s="18" t="s">
        <v>4200</v>
      </c>
      <c r="C468" s="23" t="n">
        <v>2</v>
      </c>
      <c r="D468" s="23" t="s">
        <v>126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4145</v>
      </c>
      <c r="H468" s="18" t="s">
        <v>4146</v>
      </c>
      <c r="I468" s="21" t="s">
        <v>4147</v>
      </c>
      <c r="J468" s="22" t="s">
        <v>4201</v>
      </c>
      <c r="K468" s="23" t="s">
        <v>1095</v>
      </c>
      <c r="L468" s="24" t="s">
        <v>4202</v>
      </c>
      <c r="M468" s="24" t="s">
        <v>4203</v>
      </c>
      <c r="N468" s="23" t="s">
        <v>4204</v>
      </c>
      <c r="O468" s="24" t="s">
        <v>4205</v>
      </c>
      <c r="P468" s="24" t="s">
        <v>4147</v>
      </c>
      <c r="Q468" s="24" t="s">
        <v>4206</v>
      </c>
      <c r="R468" s="27" t="s">
        <v>4207</v>
      </c>
      <c r="S468" s="24" t="s">
        <v>4143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140</v>
      </c>
      <c r="Y468" s="23" t="s">
        <v>140</v>
      </c>
      <c r="Z468" s="23" t="s">
        <v>140</v>
      </c>
      <c r="AA468" s="23" t="s">
        <v>140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</row>
    <row r="469" customFormat="false" ht="26.85" hidden="false" customHeight="false" outlineLevel="0" collapsed="false">
      <c r="A469" s="21" t="n">
        <v>468</v>
      </c>
      <c r="B469" s="18" t="s">
        <v>4208</v>
      </c>
      <c r="C469" s="23" t="n">
        <v>2</v>
      </c>
      <c r="D469" s="23" t="s">
        <v>126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4145</v>
      </c>
      <c r="H469" s="18" t="s">
        <v>4146</v>
      </c>
      <c r="I469" s="21" t="s">
        <v>4147</v>
      </c>
      <c r="J469" s="22" t="s">
        <v>4209</v>
      </c>
      <c r="K469" s="23" t="s">
        <v>1095</v>
      </c>
      <c r="L469" s="24" t="s">
        <v>4210</v>
      </c>
      <c r="M469" s="24" t="s">
        <v>4211</v>
      </c>
      <c r="N469" s="23" t="s">
        <v>4212</v>
      </c>
      <c r="O469" s="24" t="s">
        <v>4213</v>
      </c>
      <c r="P469" s="24" t="s">
        <v>4147</v>
      </c>
      <c r="Q469" s="24" t="s">
        <v>4214</v>
      </c>
      <c r="R469" s="24"/>
      <c r="S469" s="24" t="s">
        <v>4143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140</v>
      </c>
      <c r="Y469" s="23" t="s">
        <v>140</v>
      </c>
      <c r="Z469" s="23" t="s">
        <v>140</v>
      </c>
      <c r="AA469" s="23" t="s">
        <v>140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</row>
    <row r="470" customFormat="false" ht="26.85" hidden="false" customHeight="false" outlineLevel="0" collapsed="false">
      <c r="A470" s="21" t="n">
        <v>469</v>
      </c>
      <c r="B470" s="18" t="s">
        <v>4215</v>
      </c>
      <c r="C470" s="23" t="n">
        <v>2</v>
      </c>
      <c r="D470" s="23" t="s">
        <v>126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4145</v>
      </c>
      <c r="H470" s="18" t="s">
        <v>4146</v>
      </c>
      <c r="I470" s="21" t="s">
        <v>4147</v>
      </c>
      <c r="J470" s="22" t="s">
        <v>4216</v>
      </c>
      <c r="K470" s="23" t="s">
        <v>1095</v>
      </c>
      <c r="L470" s="24" t="s">
        <v>4217</v>
      </c>
      <c r="M470" s="24" t="s">
        <v>4218</v>
      </c>
      <c r="N470" s="23" t="s">
        <v>4219</v>
      </c>
      <c r="O470" s="24" t="s">
        <v>4220</v>
      </c>
      <c r="P470" s="24" t="s">
        <v>4147</v>
      </c>
      <c r="Q470" s="24" t="s">
        <v>4221</v>
      </c>
      <c r="R470" s="25" t="s">
        <v>4222</v>
      </c>
      <c r="S470" s="24" t="s">
        <v>4143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140</v>
      </c>
      <c r="Y470" s="23" t="s">
        <v>140</v>
      </c>
      <c r="Z470" s="23" t="s">
        <v>140</v>
      </c>
      <c r="AA470" s="23" t="s">
        <v>140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</row>
    <row r="471" customFormat="false" ht="15" hidden="false" customHeight="false" outlineLevel="0" collapsed="false">
      <c r="A471" s="21" t="n">
        <v>470</v>
      </c>
      <c r="B471" s="18" t="s">
        <v>4223</v>
      </c>
      <c r="C471" s="23" t="n">
        <v>2</v>
      </c>
      <c r="D471" s="23" t="s">
        <v>126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4145</v>
      </c>
      <c r="H471" s="18" t="s">
        <v>4146</v>
      </c>
      <c r="I471" s="21" t="s">
        <v>4147</v>
      </c>
      <c r="J471" s="22" t="s">
        <v>4224</v>
      </c>
      <c r="K471" s="23" t="s">
        <v>1095</v>
      </c>
      <c r="L471" s="24" t="s">
        <v>4225</v>
      </c>
      <c r="M471" s="24" t="s">
        <v>4226</v>
      </c>
      <c r="N471" s="23" t="s">
        <v>4227</v>
      </c>
      <c r="O471" s="24" t="s">
        <v>4228</v>
      </c>
      <c r="P471" s="24" t="s">
        <v>4147</v>
      </c>
      <c r="Q471" s="24" t="s">
        <v>4229</v>
      </c>
      <c r="R471" s="25" t="s">
        <v>4230</v>
      </c>
      <c r="S471" s="24" t="s">
        <v>4143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140</v>
      </c>
      <c r="Y471" s="23" t="s">
        <v>140</v>
      </c>
      <c r="Z471" s="23" t="s">
        <v>140</v>
      </c>
      <c r="AA471" s="23" t="s">
        <v>140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</row>
    <row r="472" customFormat="false" ht="52.2" hidden="false" customHeight="false" outlineLevel="0" collapsed="false">
      <c r="A472" s="21" t="n">
        <v>471</v>
      </c>
      <c r="B472" s="18" t="s">
        <v>4231</v>
      </c>
      <c r="C472" s="20" t="n">
        <v>1</v>
      </c>
      <c r="D472" s="20" t="s">
        <v>126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4145</v>
      </c>
      <c r="H472" s="18" t="s">
        <v>4057</v>
      </c>
      <c r="I472" s="21" t="s">
        <v>4147</v>
      </c>
      <c r="J472" s="22" t="s">
        <v>4232</v>
      </c>
      <c r="K472" s="23" t="s">
        <v>1095</v>
      </c>
      <c r="L472" s="24" t="s">
        <v>4233</v>
      </c>
      <c r="M472" s="24" t="s">
        <v>4234</v>
      </c>
      <c r="N472" s="23" t="s">
        <v>4235</v>
      </c>
      <c r="O472" s="24" t="s">
        <v>4236</v>
      </c>
      <c r="P472" s="24" t="s">
        <v>4162</v>
      </c>
      <c r="Q472" s="24" t="s">
        <v>4237</v>
      </c>
      <c r="R472" s="25" t="s">
        <v>4238</v>
      </c>
      <c r="S472" s="28" t="s">
        <v>4239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140</v>
      </c>
      <c r="Y472" s="23" t="s">
        <v>140</v>
      </c>
      <c r="Z472" s="23" t="s">
        <v>140</v>
      </c>
      <c r="AA472" s="23" t="s">
        <v>140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</row>
    <row r="473" customFormat="false" ht="26.85" hidden="false" customHeight="false" outlineLevel="0" collapsed="false">
      <c r="A473" s="21" t="n">
        <v>472</v>
      </c>
      <c r="B473" s="18" t="s">
        <v>4240</v>
      </c>
      <c r="C473" s="23" t="n">
        <v>2</v>
      </c>
      <c r="D473" s="23" t="s">
        <v>126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4145</v>
      </c>
      <c r="H473" s="18" t="s">
        <v>4146</v>
      </c>
      <c r="I473" s="21" t="s">
        <v>4147</v>
      </c>
      <c r="J473" s="22" t="s">
        <v>4241</v>
      </c>
      <c r="K473" s="23" t="s">
        <v>1095</v>
      </c>
      <c r="L473" s="24" t="s">
        <v>4242</v>
      </c>
      <c r="M473" s="24" t="s">
        <v>4243</v>
      </c>
      <c r="N473" s="23" t="s">
        <v>4244</v>
      </c>
      <c r="O473" s="24" t="s">
        <v>4245</v>
      </c>
      <c r="P473" s="24" t="s">
        <v>4147</v>
      </c>
      <c r="Q473" s="24" t="s">
        <v>4246</v>
      </c>
      <c r="R473" s="25" t="s">
        <v>4247</v>
      </c>
      <c r="S473" s="24" t="s">
        <v>4248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140</v>
      </c>
      <c r="Y473" s="23" t="s">
        <v>140</v>
      </c>
      <c r="Z473" s="23" t="s">
        <v>140</v>
      </c>
      <c r="AA473" s="23" t="s">
        <v>140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</row>
    <row r="474" customFormat="false" ht="26.85" hidden="false" customHeight="false" outlineLevel="0" collapsed="false">
      <c r="A474" s="21" t="n">
        <v>473</v>
      </c>
      <c r="B474" s="18" t="s">
        <v>4249</v>
      </c>
      <c r="C474" s="23" t="n">
        <v>2</v>
      </c>
      <c r="D474" s="23" t="s">
        <v>126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4145</v>
      </c>
      <c r="H474" s="18" t="s">
        <v>4146</v>
      </c>
      <c r="I474" s="21" t="s">
        <v>4147</v>
      </c>
      <c r="J474" s="22" t="s">
        <v>4250</v>
      </c>
      <c r="K474" s="23" t="s">
        <v>1095</v>
      </c>
      <c r="L474" s="24" t="s">
        <v>4251</v>
      </c>
      <c r="M474" s="24" t="s">
        <v>4252</v>
      </c>
      <c r="N474" s="23" t="s">
        <v>4253</v>
      </c>
      <c r="O474" s="24" t="s">
        <v>4254</v>
      </c>
      <c r="P474" s="24" t="s">
        <v>4255</v>
      </c>
      <c r="Q474" s="24" t="s">
        <v>4256</v>
      </c>
      <c r="R474" s="25" t="s">
        <v>4257</v>
      </c>
      <c r="S474" s="24" t="s">
        <v>4248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140</v>
      </c>
      <c r="Y474" s="23" t="s">
        <v>140</v>
      </c>
      <c r="Z474" s="23" t="s">
        <v>140</v>
      </c>
      <c r="AA474" s="23" t="s">
        <v>140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</row>
    <row r="475" customFormat="false" ht="39.55" hidden="false" customHeight="false" outlineLevel="0" collapsed="false">
      <c r="A475" s="21" t="n">
        <v>474</v>
      </c>
      <c r="B475" s="18" t="s">
        <v>4258</v>
      </c>
      <c r="C475" s="20" t="n">
        <v>1</v>
      </c>
      <c r="D475" s="20" t="s">
        <v>126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4259</v>
      </c>
      <c r="H475" s="18" t="s">
        <v>4057</v>
      </c>
      <c r="I475" s="21" t="s">
        <v>4260</v>
      </c>
      <c r="J475" s="22" t="s">
        <v>4261</v>
      </c>
      <c r="K475" s="23" t="s">
        <v>131</v>
      </c>
      <c r="L475" s="24" t="s">
        <v>4262</v>
      </c>
      <c r="M475" s="24" t="s">
        <v>4263</v>
      </c>
      <c r="N475" s="23" t="s">
        <v>4264</v>
      </c>
      <c r="O475" s="24" t="s">
        <v>4265</v>
      </c>
      <c r="P475" s="24" t="s">
        <v>4266</v>
      </c>
      <c r="Q475" s="24" t="s">
        <v>4267</v>
      </c>
      <c r="R475" s="24"/>
      <c r="S475" s="28" t="s">
        <v>4268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140</v>
      </c>
      <c r="Y475" s="23" t="s">
        <v>140</v>
      </c>
      <c r="Z475" s="23" t="s">
        <v>140</v>
      </c>
      <c r="AA475" s="23" t="s">
        <v>140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</row>
    <row r="476" customFormat="false" ht="26.85" hidden="false" customHeight="false" outlineLevel="0" collapsed="false">
      <c r="A476" s="21" t="n">
        <v>475</v>
      </c>
      <c r="B476" s="18" t="s">
        <v>4269</v>
      </c>
      <c r="C476" s="23" t="n">
        <v>2</v>
      </c>
      <c r="D476" s="23" t="s">
        <v>126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4259</v>
      </c>
      <c r="H476" s="18" t="s">
        <v>4270</v>
      </c>
      <c r="I476" s="21" t="s">
        <v>4260</v>
      </c>
      <c r="J476" s="22" t="s">
        <v>4271</v>
      </c>
      <c r="K476" s="23" t="s">
        <v>131</v>
      </c>
      <c r="L476" s="24" t="s">
        <v>4272</v>
      </c>
      <c r="M476" s="24" t="s">
        <v>4273</v>
      </c>
      <c r="N476" s="23" t="s">
        <v>4274</v>
      </c>
      <c r="O476" s="24" t="s">
        <v>4275</v>
      </c>
      <c r="P476" s="24" t="s">
        <v>4276</v>
      </c>
      <c r="Q476" s="24" t="s">
        <v>4267</v>
      </c>
      <c r="R476" s="24"/>
      <c r="S476" s="24" t="s">
        <v>4277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140</v>
      </c>
      <c r="Y476" s="23" t="s">
        <v>140</v>
      </c>
      <c r="Z476" s="23" t="s">
        <v>140</v>
      </c>
      <c r="AA476" s="23" t="s">
        <v>140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</row>
    <row r="477" customFormat="false" ht="26.85" hidden="false" customHeight="false" outlineLevel="0" collapsed="false">
      <c r="A477" s="21" t="n">
        <v>476</v>
      </c>
      <c r="B477" s="18" t="s">
        <v>4278</v>
      </c>
      <c r="C477" s="23" t="n">
        <v>2</v>
      </c>
      <c r="D477" s="23" t="s">
        <v>126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4259</v>
      </c>
      <c r="H477" s="18" t="s">
        <v>4270</v>
      </c>
      <c r="I477" s="21" t="s">
        <v>4260</v>
      </c>
      <c r="J477" s="22" t="s">
        <v>4279</v>
      </c>
      <c r="K477" s="23" t="s">
        <v>131</v>
      </c>
      <c r="L477" s="24" t="s">
        <v>4280</v>
      </c>
      <c r="M477" s="24" t="s">
        <v>4281</v>
      </c>
      <c r="N477" s="23" t="s">
        <v>4282</v>
      </c>
      <c r="O477" s="24" t="s">
        <v>4283</v>
      </c>
      <c r="P477" s="24" t="s">
        <v>4276</v>
      </c>
      <c r="Q477" s="24" t="s">
        <v>4284</v>
      </c>
      <c r="R477" s="25" t="s">
        <v>4285</v>
      </c>
      <c r="S477" s="24" t="s">
        <v>4277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140</v>
      </c>
      <c r="Y477" s="23" t="s">
        <v>140</v>
      </c>
      <c r="Z477" s="23" t="s">
        <v>140</v>
      </c>
      <c r="AA477" s="23" t="s">
        <v>140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</row>
    <row r="478" customFormat="false" ht="39.55" hidden="false" customHeight="false" outlineLevel="0" collapsed="false">
      <c r="A478" s="21" t="n">
        <v>477</v>
      </c>
      <c r="B478" s="18" t="s">
        <v>4286</v>
      </c>
      <c r="C478" s="20" t="n">
        <v>1</v>
      </c>
      <c r="D478" s="20" t="s">
        <v>126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4259</v>
      </c>
      <c r="H478" s="18" t="s">
        <v>4057</v>
      </c>
      <c r="I478" s="21" t="s">
        <v>4260</v>
      </c>
      <c r="J478" s="22" t="s">
        <v>4287</v>
      </c>
      <c r="K478" s="23" t="s">
        <v>131</v>
      </c>
      <c r="L478" s="24" t="s">
        <v>4288</v>
      </c>
      <c r="M478" s="24" t="s">
        <v>4289</v>
      </c>
      <c r="N478" s="23" t="s">
        <v>4290</v>
      </c>
      <c r="O478" s="24" t="s">
        <v>4291</v>
      </c>
      <c r="P478" s="24" t="s">
        <v>4292</v>
      </c>
      <c r="Q478" s="24" t="s">
        <v>4293</v>
      </c>
      <c r="R478" s="24"/>
      <c r="S478" s="28" t="s">
        <v>4294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140</v>
      </c>
      <c r="Y478" s="23" t="s">
        <v>140</v>
      </c>
      <c r="Z478" s="23" t="s">
        <v>140</v>
      </c>
      <c r="AA478" s="23" t="s">
        <v>140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</row>
    <row r="479" customFormat="false" ht="26.85" hidden="false" customHeight="false" outlineLevel="0" collapsed="false">
      <c r="A479" s="21" t="n">
        <v>478</v>
      </c>
      <c r="B479" s="18" t="s">
        <v>4295</v>
      </c>
      <c r="C479" s="20" t="n">
        <v>1</v>
      </c>
      <c r="D479" s="20" t="s">
        <v>126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4259</v>
      </c>
      <c r="H479" s="18" t="s">
        <v>4057</v>
      </c>
      <c r="I479" s="21" t="s">
        <v>4260</v>
      </c>
      <c r="J479" s="22" t="s">
        <v>4296</v>
      </c>
      <c r="K479" s="23" t="s">
        <v>131</v>
      </c>
      <c r="L479" s="24" t="s">
        <v>4297</v>
      </c>
      <c r="M479" s="24" t="s">
        <v>4298</v>
      </c>
      <c r="N479" s="23" t="s">
        <v>4299</v>
      </c>
      <c r="O479" s="24" t="s">
        <v>4300</v>
      </c>
      <c r="P479" s="24" t="s">
        <v>4301</v>
      </c>
      <c r="Q479" s="24" t="s">
        <v>4302</v>
      </c>
      <c r="R479" s="25" t="s">
        <v>4303</v>
      </c>
      <c r="S479" s="24" t="s">
        <v>139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140</v>
      </c>
      <c r="Y479" s="23" t="s">
        <v>140</v>
      </c>
      <c r="Z479" s="23" t="s">
        <v>140</v>
      </c>
      <c r="AA479" s="23" t="s">
        <v>140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</row>
    <row r="480" customFormat="false" ht="26.85" hidden="false" customHeight="false" outlineLevel="0" collapsed="false">
      <c r="A480" s="21" t="n">
        <v>479</v>
      </c>
      <c r="B480" s="18" t="s">
        <v>4304</v>
      </c>
      <c r="C480" s="20" t="n">
        <v>1</v>
      </c>
      <c r="D480" s="20" t="s">
        <v>126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4259</v>
      </c>
      <c r="H480" s="18" t="s">
        <v>4057</v>
      </c>
      <c r="I480" s="21" t="s">
        <v>4260</v>
      </c>
      <c r="J480" s="22" t="s">
        <v>4305</v>
      </c>
      <c r="K480" s="23" t="s">
        <v>131</v>
      </c>
      <c r="L480" s="24" t="s">
        <v>4306</v>
      </c>
      <c r="M480" s="24" t="s">
        <v>4307</v>
      </c>
      <c r="N480" s="23" t="s">
        <v>4308</v>
      </c>
      <c r="O480" s="24" t="s">
        <v>4309</v>
      </c>
      <c r="P480" s="24" t="s">
        <v>4276</v>
      </c>
      <c r="Q480" s="24" t="s">
        <v>4310</v>
      </c>
      <c r="R480" s="24"/>
      <c r="S480" s="24" t="s">
        <v>139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140</v>
      </c>
      <c r="Y480" s="23" t="s">
        <v>140</v>
      </c>
      <c r="Z480" s="23" t="s">
        <v>140</v>
      </c>
      <c r="AA480" s="23" t="s">
        <v>140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</row>
    <row r="481" customFormat="false" ht="26.85" hidden="false" customHeight="false" outlineLevel="0" collapsed="false">
      <c r="A481" s="21" t="n">
        <v>480</v>
      </c>
      <c r="B481" s="18" t="s">
        <v>4311</v>
      </c>
      <c r="C481" s="20" t="n">
        <v>1</v>
      </c>
      <c r="D481" s="20" t="s">
        <v>126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4259</v>
      </c>
      <c r="H481" s="18" t="s">
        <v>4057</v>
      </c>
      <c r="I481" s="21" t="s">
        <v>4260</v>
      </c>
      <c r="J481" s="22" t="s">
        <v>4312</v>
      </c>
      <c r="K481" s="23" t="s">
        <v>131</v>
      </c>
      <c r="L481" s="24" t="s">
        <v>4313</v>
      </c>
      <c r="M481" s="24" t="s">
        <v>4314</v>
      </c>
      <c r="N481" s="23" t="s">
        <v>4315</v>
      </c>
      <c r="O481" s="24" t="s">
        <v>4316</v>
      </c>
      <c r="P481" s="24" t="s">
        <v>4317</v>
      </c>
      <c r="Q481" s="24" t="s">
        <v>4318</v>
      </c>
      <c r="R481" s="24"/>
      <c r="S481" s="24" t="s">
        <v>139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140</v>
      </c>
      <c r="Y481" s="23" t="s">
        <v>140</v>
      </c>
      <c r="Z481" s="23" t="s">
        <v>140</v>
      </c>
      <c r="AA481" s="23" t="s">
        <v>140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</row>
    <row r="482" customFormat="false" ht="15" hidden="false" customHeight="false" outlineLevel="0" collapsed="false">
      <c r="A482" s="21" t="n">
        <v>481</v>
      </c>
      <c r="B482" s="18" t="s">
        <v>4319</v>
      </c>
      <c r="C482" s="20" t="n">
        <v>1</v>
      </c>
      <c r="D482" s="20" t="s">
        <v>126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4259</v>
      </c>
      <c r="H482" s="18" t="s">
        <v>4057</v>
      </c>
      <c r="I482" s="21" t="s">
        <v>4260</v>
      </c>
      <c r="J482" s="22" t="s">
        <v>4320</v>
      </c>
      <c r="K482" s="23" t="s">
        <v>131</v>
      </c>
      <c r="L482" s="24" t="s">
        <v>4321</v>
      </c>
      <c r="M482" s="24" t="s">
        <v>4322</v>
      </c>
      <c r="N482" s="23" t="s">
        <v>4323</v>
      </c>
      <c r="O482" s="24" t="s">
        <v>4324</v>
      </c>
      <c r="P482" s="24" t="s">
        <v>4325</v>
      </c>
      <c r="Q482" s="24" t="s">
        <v>4326</v>
      </c>
      <c r="R482" s="24"/>
      <c r="S482" s="24" t="s">
        <v>139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140</v>
      </c>
      <c r="Y482" s="23" t="s">
        <v>140</v>
      </c>
      <c r="Z482" s="23" t="s">
        <v>140</v>
      </c>
      <c r="AA482" s="23" t="s">
        <v>140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</row>
    <row r="483" customFormat="false" ht="15" hidden="false" customHeight="false" outlineLevel="0" collapsed="false">
      <c r="A483" s="21" t="n">
        <v>482</v>
      </c>
      <c r="B483" s="18" t="s">
        <v>4327</v>
      </c>
      <c r="C483" s="20" t="n">
        <v>1</v>
      </c>
      <c r="D483" s="20" t="s">
        <v>126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4259</v>
      </c>
      <c r="H483" s="18" t="s">
        <v>4057</v>
      </c>
      <c r="I483" s="21" t="s">
        <v>4260</v>
      </c>
      <c r="J483" s="22" t="s">
        <v>4328</v>
      </c>
      <c r="K483" s="23" t="s">
        <v>131</v>
      </c>
      <c r="L483" s="24" t="s">
        <v>4329</v>
      </c>
      <c r="M483" s="24" t="s">
        <v>4330</v>
      </c>
      <c r="N483" s="23" t="s">
        <v>4331</v>
      </c>
      <c r="O483" s="24" t="s">
        <v>4332</v>
      </c>
      <c r="P483" s="24" t="s">
        <v>4333</v>
      </c>
      <c r="Q483" s="24" t="s">
        <v>4329</v>
      </c>
      <c r="R483" s="25" t="s">
        <v>4334</v>
      </c>
      <c r="S483" s="24" t="s">
        <v>139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140</v>
      </c>
      <c r="Y483" s="23" t="s">
        <v>140</v>
      </c>
      <c r="Z483" s="23" t="s">
        <v>140</v>
      </c>
      <c r="AA483" s="23" t="s">
        <v>140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</row>
    <row r="484" customFormat="false" ht="39.55" hidden="false" customHeight="false" outlineLevel="0" collapsed="false">
      <c r="A484" s="21" t="n">
        <v>483</v>
      </c>
      <c r="B484" s="18" t="s">
        <v>4335</v>
      </c>
      <c r="C484" s="23" t="n">
        <v>2</v>
      </c>
      <c r="D484" s="23" t="s">
        <v>126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4259</v>
      </c>
      <c r="H484" s="18" t="s">
        <v>4270</v>
      </c>
      <c r="I484" s="21" t="s">
        <v>4260</v>
      </c>
      <c r="J484" s="22" t="s">
        <v>4336</v>
      </c>
      <c r="K484" s="23" t="s">
        <v>1095</v>
      </c>
      <c r="L484" s="24" t="s">
        <v>4337</v>
      </c>
      <c r="M484" s="24" t="s">
        <v>4338</v>
      </c>
      <c r="N484" s="23" t="s">
        <v>4339</v>
      </c>
      <c r="O484" s="24" t="s">
        <v>4340</v>
      </c>
      <c r="P484" s="24" t="s">
        <v>4341</v>
      </c>
      <c r="Q484" s="24" t="s">
        <v>4342</v>
      </c>
      <c r="R484" s="25" t="s">
        <v>4343</v>
      </c>
      <c r="S484" s="24" t="s">
        <v>4344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140</v>
      </c>
      <c r="Y484" s="23" t="s">
        <v>140</v>
      </c>
      <c r="Z484" s="23" t="s">
        <v>140</v>
      </c>
      <c r="AA484" s="23" t="s">
        <v>140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</row>
    <row r="485" customFormat="false" ht="15" hidden="false" customHeight="false" outlineLevel="0" collapsed="false">
      <c r="A485" s="21" t="n">
        <v>484</v>
      </c>
      <c r="B485" s="18" t="s">
        <v>4345</v>
      </c>
      <c r="C485" s="23" t="n">
        <v>2</v>
      </c>
      <c r="D485" s="23" t="s">
        <v>126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4259</v>
      </c>
      <c r="H485" s="18" t="s">
        <v>4270</v>
      </c>
      <c r="I485" s="21" t="s">
        <v>4260</v>
      </c>
      <c r="J485" s="22" t="s">
        <v>4346</v>
      </c>
      <c r="K485" s="23" t="s">
        <v>1095</v>
      </c>
      <c r="L485" s="24" t="s">
        <v>4347</v>
      </c>
      <c r="M485" s="24" t="s">
        <v>4348</v>
      </c>
      <c r="N485" s="23" t="s">
        <v>4349</v>
      </c>
      <c r="O485" s="24" t="s">
        <v>4350</v>
      </c>
      <c r="P485" s="24" t="s">
        <v>4351</v>
      </c>
      <c r="Q485" s="24" t="s">
        <v>4352</v>
      </c>
      <c r="R485" s="25" t="s">
        <v>4353</v>
      </c>
      <c r="S485" s="24" t="s">
        <v>4344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140</v>
      </c>
      <c r="Y485" s="23" t="s">
        <v>140</v>
      </c>
      <c r="Z485" s="23" t="s">
        <v>140</v>
      </c>
      <c r="AA485" s="23" t="s">
        <v>140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</row>
    <row r="486" customFormat="false" ht="26.85" hidden="false" customHeight="false" outlineLevel="0" collapsed="false">
      <c r="A486" s="21" t="n">
        <v>485</v>
      </c>
      <c r="B486" s="18" t="s">
        <v>4354</v>
      </c>
      <c r="C486" s="23" t="n">
        <v>2</v>
      </c>
      <c r="D486" s="23" t="s">
        <v>126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4259</v>
      </c>
      <c r="H486" s="18" t="s">
        <v>4270</v>
      </c>
      <c r="I486" s="21" t="s">
        <v>4260</v>
      </c>
      <c r="J486" s="22" t="s">
        <v>4355</v>
      </c>
      <c r="K486" s="23" t="s">
        <v>131</v>
      </c>
      <c r="L486" s="24" t="s">
        <v>4356</v>
      </c>
      <c r="M486" s="24" t="s">
        <v>4357</v>
      </c>
      <c r="N486" s="23" t="s">
        <v>4358</v>
      </c>
      <c r="O486" s="24" t="s">
        <v>4359</v>
      </c>
      <c r="P486" s="24" t="s">
        <v>4351</v>
      </c>
      <c r="Q486" s="24" t="s">
        <v>4360</v>
      </c>
      <c r="R486" s="27" t="s">
        <v>4361</v>
      </c>
      <c r="S486" s="24" t="s">
        <v>4344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140</v>
      </c>
      <c r="Y486" s="23" t="s">
        <v>140</v>
      </c>
      <c r="Z486" s="23" t="s">
        <v>140</v>
      </c>
      <c r="AA486" s="23" t="s">
        <v>140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</row>
    <row r="487" customFormat="false" ht="26.85" hidden="false" customHeight="false" outlineLevel="0" collapsed="false">
      <c r="A487" s="21" t="n">
        <v>486</v>
      </c>
      <c r="B487" s="18" t="s">
        <v>4362</v>
      </c>
      <c r="C487" s="23" t="n">
        <v>2</v>
      </c>
      <c r="D487" s="23" t="s">
        <v>126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4259</v>
      </c>
      <c r="H487" s="18" t="s">
        <v>4270</v>
      </c>
      <c r="I487" s="21" t="s">
        <v>4260</v>
      </c>
      <c r="J487" s="22" t="s">
        <v>4363</v>
      </c>
      <c r="K487" s="23" t="s">
        <v>1095</v>
      </c>
      <c r="L487" s="24" t="s">
        <v>4364</v>
      </c>
      <c r="M487" s="24" t="s">
        <v>4365</v>
      </c>
      <c r="N487" s="23" t="s">
        <v>4366</v>
      </c>
      <c r="O487" s="24" t="s">
        <v>4367</v>
      </c>
      <c r="P487" s="24" t="s">
        <v>4368</v>
      </c>
      <c r="Q487" s="24" t="s">
        <v>4369</v>
      </c>
      <c r="R487" s="25" t="s">
        <v>4370</v>
      </c>
      <c r="S487" s="24" t="s">
        <v>4344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140</v>
      </c>
      <c r="Y487" s="23" t="s">
        <v>140</v>
      </c>
      <c r="Z487" s="23" t="s">
        <v>140</v>
      </c>
      <c r="AA487" s="23" t="s">
        <v>140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</row>
    <row r="488" customFormat="false" ht="26.85" hidden="false" customHeight="false" outlineLevel="0" collapsed="false">
      <c r="A488" s="21" t="n">
        <v>487</v>
      </c>
      <c r="B488" s="18" t="s">
        <v>4371</v>
      </c>
      <c r="C488" s="23" t="n">
        <v>2</v>
      </c>
      <c r="D488" s="23" t="s">
        <v>126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4372</v>
      </c>
      <c r="H488" s="18" t="s">
        <v>4270</v>
      </c>
      <c r="I488" s="21" t="s">
        <v>4373</v>
      </c>
      <c r="J488" s="22" t="s">
        <v>4374</v>
      </c>
      <c r="K488" s="23" t="s">
        <v>1095</v>
      </c>
      <c r="L488" s="24" t="s">
        <v>4375</v>
      </c>
      <c r="M488" s="24" t="s">
        <v>4376</v>
      </c>
      <c r="N488" s="23" t="s">
        <v>4377</v>
      </c>
      <c r="O488" s="24" t="s">
        <v>4378</v>
      </c>
      <c r="P488" s="24" t="s">
        <v>4379</v>
      </c>
      <c r="Q488" s="24" t="s">
        <v>4380</v>
      </c>
      <c r="R488" s="25" t="s">
        <v>4381</v>
      </c>
      <c r="S488" s="24" t="s">
        <v>4344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140</v>
      </c>
      <c r="Y488" s="23" t="s">
        <v>140</v>
      </c>
      <c r="Z488" s="23" t="s">
        <v>140</v>
      </c>
      <c r="AA488" s="23" t="s">
        <v>140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</row>
    <row r="489" customFormat="false" ht="26.85" hidden="false" customHeight="false" outlineLevel="0" collapsed="false">
      <c r="A489" s="21" t="n">
        <v>488</v>
      </c>
      <c r="B489" s="18" t="s">
        <v>4382</v>
      </c>
      <c r="C489" s="23" t="n">
        <v>2</v>
      </c>
      <c r="D489" s="23" t="s">
        <v>126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4372</v>
      </c>
      <c r="H489" s="18" t="s">
        <v>4270</v>
      </c>
      <c r="I489" s="21" t="s">
        <v>4373</v>
      </c>
      <c r="J489" s="22" t="s">
        <v>4383</v>
      </c>
      <c r="K489" s="23" t="s">
        <v>1095</v>
      </c>
      <c r="L489" s="24" t="s">
        <v>4384</v>
      </c>
      <c r="M489" s="24" t="s">
        <v>4385</v>
      </c>
      <c r="N489" s="23" t="s">
        <v>4386</v>
      </c>
      <c r="O489" s="24" t="s">
        <v>4387</v>
      </c>
      <c r="P489" s="24" t="s">
        <v>4379</v>
      </c>
      <c r="Q489" s="24" t="s">
        <v>4388</v>
      </c>
      <c r="R489" s="24"/>
      <c r="S489" s="24" t="s">
        <v>4344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140</v>
      </c>
      <c r="Y489" s="23" t="s">
        <v>140</v>
      </c>
      <c r="Z489" s="23" t="s">
        <v>140</v>
      </c>
      <c r="AA489" s="23" t="s">
        <v>140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</row>
    <row r="490" customFormat="false" ht="26.85" hidden="false" customHeight="false" outlineLevel="0" collapsed="false">
      <c r="A490" s="21" t="n">
        <v>489</v>
      </c>
      <c r="B490" s="18" t="s">
        <v>4389</v>
      </c>
      <c r="C490" s="23" t="n">
        <v>2</v>
      </c>
      <c r="D490" s="23" t="s">
        <v>126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4372</v>
      </c>
      <c r="H490" s="18" t="s">
        <v>4390</v>
      </c>
      <c r="I490" s="21" t="s">
        <v>4373</v>
      </c>
      <c r="J490" s="22" t="s">
        <v>4391</v>
      </c>
      <c r="K490" s="23" t="s">
        <v>1095</v>
      </c>
      <c r="L490" s="24" t="s">
        <v>4392</v>
      </c>
      <c r="M490" s="24" t="s">
        <v>4393</v>
      </c>
      <c r="N490" s="23" t="s">
        <v>4394</v>
      </c>
      <c r="O490" s="24" t="s">
        <v>4395</v>
      </c>
      <c r="P490" s="24" t="s">
        <v>4373</v>
      </c>
      <c r="Q490" s="24" t="s">
        <v>4396</v>
      </c>
      <c r="R490" s="24"/>
      <c r="S490" s="24" t="s">
        <v>4344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140</v>
      </c>
      <c r="Y490" s="23" t="s">
        <v>140</v>
      </c>
      <c r="Z490" s="23" t="s">
        <v>140</v>
      </c>
      <c r="AA490" s="23" t="s">
        <v>140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</row>
    <row r="491" customFormat="false" ht="26.85" hidden="false" customHeight="false" outlineLevel="0" collapsed="false">
      <c r="A491" s="21" t="n">
        <v>490</v>
      </c>
      <c r="B491" s="18" t="s">
        <v>4397</v>
      </c>
      <c r="C491" s="23" t="n">
        <v>2</v>
      </c>
      <c r="D491" s="23" t="s">
        <v>126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4372</v>
      </c>
      <c r="H491" s="18" t="s">
        <v>4390</v>
      </c>
      <c r="I491" s="21" t="s">
        <v>4373</v>
      </c>
      <c r="J491" s="22" t="s">
        <v>4398</v>
      </c>
      <c r="K491" s="23" t="s">
        <v>1095</v>
      </c>
      <c r="L491" s="24" t="s">
        <v>4399</v>
      </c>
      <c r="M491" s="24" t="s">
        <v>4400</v>
      </c>
      <c r="N491" s="23" t="s">
        <v>4401</v>
      </c>
      <c r="O491" s="24" t="s">
        <v>4402</v>
      </c>
      <c r="P491" s="24" t="s">
        <v>4373</v>
      </c>
      <c r="Q491" s="24" t="s">
        <v>4403</v>
      </c>
      <c r="R491" s="24"/>
      <c r="S491" s="24" t="s">
        <v>4344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140</v>
      </c>
      <c r="Y491" s="23" t="s">
        <v>140</v>
      </c>
      <c r="Z491" s="23" t="s">
        <v>140</v>
      </c>
      <c r="AA491" s="23" t="s">
        <v>140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</row>
    <row r="492" customFormat="false" ht="15" hidden="false" customHeight="false" outlineLevel="0" collapsed="false">
      <c r="A492" s="21" t="n">
        <v>491</v>
      </c>
      <c r="B492" s="18" t="s">
        <v>4404</v>
      </c>
      <c r="C492" s="23" t="n">
        <v>2</v>
      </c>
      <c r="D492" s="23" t="s">
        <v>126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4372</v>
      </c>
      <c r="H492" s="18" t="s">
        <v>4390</v>
      </c>
      <c r="I492" s="21" t="s">
        <v>4405</v>
      </c>
      <c r="J492" s="22" t="s">
        <v>4406</v>
      </c>
      <c r="K492" s="23" t="s">
        <v>1095</v>
      </c>
      <c r="L492" s="24" t="s">
        <v>4407</v>
      </c>
      <c r="M492" s="24" t="s">
        <v>4408</v>
      </c>
      <c r="N492" s="23" t="s">
        <v>4409</v>
      </c>
      <c r="O492" s="24" t="s">
        <v>4410</v>
      </c>
      <c r="P492" s="24" t="s">
        <v>4405</v>
      </c>
      <c r="Q492" s="24" t="s">
        <v>4411</v>
      </c>
      <c r="R492" s="24"/>
      <c r="S492" s="24" t="s">
        <v>4344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140</v>
      </c>
      <c r="Y492" s="23" t="s">
        <v>140</v>
      </c>
      <c r="Z492" s="23" t="s">
        <v>140</v>
      </c>
      <c r="AA492" s="23" t="s">
        <v>140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</row>
    <row r="493" customFormat="false" ht="26.85" hidden="false" customHeight="false" outlineLevel="0" collapsed="false">
      <c r="A493" s="21" t="n">
        <v>492</v>
      </c>
      <c r="B493" s="18" t="s">
        <v>4412</v>
      </c>
      <c r="C493" s="23" t="n">
        <v>2</v>
      </c>
      <c r="D493" s="23" t="s">
        <v>126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4372</v>
      </c>
      <c r="H493" s="18" t="s">
        <v>4390</v>
      </c>
      <c r="I493" s="21" t="s">
        <v>4405</v>
      </c>
      <c r="J493" s="22" t="s">
        <v>4413</v>
      </c>
      <c r="K493" s="23" t="s">
        <v>1095</v>
      </c>
      <c r="L493" s="24" t="s">
        <v>4414</v>
      </c>
      <c r="M493" s="24" t="s">
        <v>4415</v>
      </c>
      <c r="N493" s="23" t="s">
        <v>4416</v>
      </c>
      <c r="O493" s="24" t="s">
        <v>4417</v>
      </c>
      <c r="P493" s="24" t="s">
        <v>4405</v>
      </c>
      <c r="Q493" s="24" t="s">
        <v>4418</v>
      </c>
      <c r="R493" s="25" t="s">
        <v>4419</v>
      </c>
      <c r="S493" s="24" t="s">
        <v>4344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140</v>
      </c>
      <c r="Y493" s="23" t="s">
        <v>140</v>
      </c>
      <c r="Z493" s="23" t="s">
        <v>140</v>
      </c>
      <c r="AA493" s="23" t="s">
        <v>140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</row>
    <row r="494" customFormat="false" ht="15" hidden="false" customHeight="false" outlineLevel="0" collapsed="false">
      <c r="A494" s="21" t="n">
        <v>493</v>
      </c>
      <c r="B494" s="18" t="s">
        <v>4420</v>
      </c>
      <c r="C494" s="23" t="n">
        <v>2</v>
      </c>
      <c r="D494" s="23" t="s">
        <v>126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4372</v>
      </c>
      <c r="H494" s="18" t="s">
        <v>4390</v>
      </c>
      <c r="I494" s="21" t="s">
        <v>4405</v>
      </c>
      <c r="J494" s="22" t="s">
        <v>4421</v>
      </c>
      <c r="K494" s="23" t="s">
        <v>1095</v>
      </c>
      <c r="L494" s="24" t="s">
        <v>4422</v>
      </c>
      <c r="M494" s="24" t="s">
        <v>4423</v>
      </c>
      <c r="N494" s="23" t="s">
        <v>4424</v>
      </c>
      <c r="O494" s="24" t="s">
        <v>4425</v>
      </c>
      <c r="P494" s="24" t="s">
        <v>4405</v>
      </c>
      <c r="Q494" s="24" t="s">
        <v>4426</v>
      </c>
      <c r="R494" s="24"/>
      <c r="S494" s="24" t="s">
        <v>4344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140</v>
      </c>
      <c r="Y494" s="23" t="s">
        <v>140</v>
      </c>
      <c r="Z494" s="23" t="s">
        <v>140</v>
      </c>
      <c r="AA494" s="23" t="s">
        <v>140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</row>
    <row r="495" customFormat="false" ht="25.35" hidden="false" customHeight="false" outlineLevel="0" collapsed="false">
      <c r="A495" s="21" t="n">
        <v>494</v>
      </c>
      <c r="B495" s="18" t="s">
        <v>4427</v>
      </c>
      <c r="C495" s="23" t="n">
        <v>2</v>
      </c>
      <c r="D495" s="23" t="s">
        <v>126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4372</v>
      </c>
      <c r="H495" s="18" t="s">
        <v>4390</v>
      </c>
      <c r="I495" s="21" t="s">
        <v>4428</v>
      </c>
      <c r="J495" s="22" t="s">
        <v>4429</v>
      </c>
      <c r="K495" s="23" t="s">
        <v>1095</v>
      </c>
      <c r="L495" s="24" t="s">
        <v>4430</v>
      </c>
      <c r="M495" s="24" t="s">
        <v>4431</v>
      </c>
      <c r="N495" s="23" t="s">
        <v>4432</v>
      </c>
      <c r="O495" s="24" t="s">
        <v>4433</v>
      </c>
      <c r="P495" s="24" t="s">
        <v>4428</v>
      </c>
      <c r="Q495" s="24" t="s">
        <v>4434</v>
      </c>
      <c r="R495" s="24"/>
      <c r="S495" s="24" t="s">
        <v>4344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140</v>
      </c>
      <c r="Y495" s="23" t="s">
        <v>140</v>
      </c>
      <c r="Z495" s="23" t="s">
        <v>140</v>
      </c>
      <c r="AA495" s="23" t="s">
        <v>140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</row>
    <row r="496" customFormat="false" ht="15" hidden="false" customHeight="false" outlineLevel="0" collapsed="false">
      <c r="A496" s="21" t="n">
        <v>495</v>
      </c>
      <c r="B496" s="18" t="s">
        <v>4435</v>
      </c>
      <c r="C496" s="23" t="n">
        <v>2</v>
      </c>
      <c r="D496" s="23" t="s">
        <v>126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4372</v>
      </c>
      <c r="H496" s="18" t="s">
        <v>4390</v>
      </c>
      <c r="I496" s="21" t="s">
        <v>4428</v>
      </c>
      <c r="J496" s="22" t="s">
        <v>4436</v>
      </c>
      <c r="K496" s="23" t="s">
        <v>1095</v>
      </c>
      <c r="L496" s="24" t="s">
        <v>4437</v>
      </c>
      <c r="M496" s="24" t="s">
        <v>4438</v>
      </c>
      <c r="N496" s="23" t="s">
        <v>4439</v>
      </c>
      <c r="O496" s="24" t="s">
        <v>4440</v>
      </c>
      <c r="P496" s="24" t="s">
        <v>4428</v>
      </c>
      <c r="Q496" s="24" t="s">
        <v>4441</v>
      </c>
      <c r="R496" s="24"/>
      <c r="S496" s="24" t="s">
        <v>4344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140</v>
      </c>
      <c r="Y496" s="23" t="s">
        <v>140</v>
      </c>
      <c r="Z496" s="23" t="s">
        <v>140</v>
      </c>
      <c r="AA496" s="23" t="s">
        <v>140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</row>
    <row r="497" customFormat="false" ht="15" hidden="false" customHeight="false" outlineLevel="0" collapsed="false">
      <c r="A497" s="21" t="n">
        <v>496</v>
      </c>
      <c r="B497" s="18" t="s">
        <v>4442</v>
      </c>
      <c r="C497" s="23" t="n">
        <v>2</v>
      </c>
      <c r="D497" s="23" t="s">
        <v>126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4372</v>
      </c>
      <c r="H497" s="18" t="s">
        <v>4390</v>
      </c>
      <c r="I497" s="21" t="s">
        <v>4428</v>
      </c>
      <c r="J497" s="22" t="s">
        <v>4443</v>
      </c>
      <c r="K497" s="23" t="s">
        <v>1095</v>
      </c>
      <c r="L497" s="24" t="s">
        <v>4444</v>
      </c>
      <c r="M497" s="24" t="s">
        <v>4445</v>
      </c>
      <c r="N497" s="23" t="s">
        <v>4446</v>
      </c>
      <c r="O497" s="24" t="s">
        <v>4447</v>
      </c>
      <c r="P497" s="24" t="s">
        <v>4448</v>
      </c>
      <c r="Q497" s="24" t="s">
        <v>4449</v>
      </c>
      <c r="R497" s="24"/>
      <c r="S497" s="24" t="s">
        <v>4344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140</v>
      </c>
      <c r="Y497" s="23" t="s">
        <v>140</v>
      </c>
      <c r="Z497" s="23" t="s">
        <v>140</v>
      </c>
      <c r="AA497" s="23" t="s">
        <v>140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</row>
    <row r="498" customFormat="false" ht="26.85" hidden="false" customHeight="false" outlineLevel="0" collapsed="false">
      <c r="A498" s="21" t="n">
        <v>497</v>
      </c>
      <c r="B498" s="18" t="s">
        <v>4450</v>
      </c>
      <c r="C498" s="23" t="n">
        <v>2</v>
      </c>
      <c r="D498" s="23" t="s">
        <v>126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4372</v>
      </c>
      <c r="H498" s="18" t="s">
        <v>4390</v>
      </c>
      <c r="I498" s="21" t="s">
        <v>4428</v>
      </c>
      <c r="J498" s="22" t="s">
        <v>4451</v>
      </c>
      <c r="K498" s="23" t="s">
        <v>1095</v>
      </c>
      <c r="L498" s="24" t="s">
        <v>4452</v>
      </c>
      <c r="M498" s="24" t="s">
        <v>4453</v>
      </c>
      <c r="N498" s="23" t="s">
        <v>4454</v>
      </c>
      <c r="O498" s="24" t="s">
        <v>4455</v>
      </c>
      <c r="P498" s="24" t="s">
        <v>4428</v>
      </c>
      <c r="Q498" s="24" t="s">
        <v>4456</v>
      </c>
      <c r="R498" s="24"/>
      <c r="S498" s="24" t="s">
        <v>4344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140</v>
      </c>
      <c r="Y498" s="23" t="s">
        <v>140</v>
      </c>
      <c r="Z498" s="23" t="s">
        <v>140</v>
      </c>
      <c r="AA498" s="23" t="s">
        <v>140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</row>
    <row r="499" customFormat="false" ht="26.85" hidden="false" customHeight="false" outlineLevel="0" collapsed="false">
      <c r="A499" s="21" t="n">
        <v>498</v>
      </c>
      <c r="B499" s="18" t="s">
        <v>4457</v>
      </c>
      <c r="C499" s="23" t="n">
        <v>2</v>
      </c>
      <c r="D499" s="23" t="s">
        <v>126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4458</v>
      </c>
      <c r="H499" s="18" t="s">
        <v>4459</v>
      </c>
      <c r="I499" s="21" t="s">
        <v>4460</v>
      </c>
      <c r="J499" s="22" t="s">
        <v>4461</v>
      </c>
      <c r="K499" s="23" t="s">
        <v>1095</v>
      </c>
      <c r="L499" s="24" t="s">
        <v>4462</v>
      </c>
      <c r="M499" s="24" t="s">
        <v>4463</v>
      </c>
      <c r="N499" s="23" t="s">
        <v>4464</v>
      </c>
      <c r="O499" s="24" t="s">
        <v>4465</v>
      </c>
      <c r="P499" s="24" t="s">
        <v>4460</v>
      </c>
      <c r="Q499" s="24" t="s">
        <v>4466</v>
      </c>
      <c r="R499" s="24"/>
      <c r="S499" s="24" t="s">
        <v>4344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140</v>
      </c>
      <c r="Y499" s="23" t="s">
        <v>140</v>
      </c>
      <c r="Z499" s="23" t="s">
        <v>140</v>
      </c>
      <c r="AA499" s="23" t="s">
        <v>140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</row>
    <row r="500" customFormat="false" ht="52.2" hidden="false" customHeight="false" outlineLevel="0" collapsed="false">
      <c r="A500" s="21" t="n">
        <v>499</v>
      </c>
      <c r="B500" s="18" t="s">
        <v>4467</v>
      </c>
      <c r="C500" s="20" t="n">
        <v>1</v>
      </c>
      <c r="D500" s="20" t="s">
        <v>126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4458</v>
      </c>
      <c r="H500" s="18" t="s">
        <v>4468</v>
      </c>
      <c r="I500" s="21" t="s">
        <v>4469</v>
      </c>
      <c r="J500" s="22" t="s">
        <v>4470</v>
      </c>
      <c r="K500" s="23" t="s">
        <v>131</v>
      </c>
      <c r="L500" s="24" t="s">
        <v>4471</v>
      </c>
      <c r="M500" s="24" t="s">
        <v>4472</v>
      </c>
      <c r="N500" s="23" t="s">
        <v>4473</v>
      </c>
      <c r="O500" s="24" t="s">
        <v>4474</v>
      </c>
      <c r="P500" s="24" t="s">
        <v>4469</v>
      </c>
      <c r="Q500" s="24" t="s">
        <v>4475</v>
      </c>
      <c r="R500" s="24"/>
      <c r="S500" s="28" t="s">
        <v>4476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140</v>
      </c>
      <c r="Y500" s="23" t="s">
        <v>140</v>
      </c>
      <c r="Z500" s="23" t="s">
        <v>140</v>
      </c>
      <c r="AA500" s="23" t="s">
        <v>140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</row>
    <row r="501" customFormat="false" ht="15" hidden="false" customHeight="false" outlineLevel="0" collapsed="false">
      <c r="A501" s="21" t="n">
        <v>500</v>
      </c>
      <c r="B501" s="18" t="s">
        <v>4477</v>
      </c>
      <c r="C501" s="20" t="n">
        <v>1</v>
      </c>
      <c r="D501" s="20" t="s">
        <v>126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4458</v>
      </c>
      <c r="H501" s="18" t="s">
        <v>4468</v>
      </c>
      <c r="I501" s="21" t="s">
        <v>4469</v>
      </c>
      <c r="J501" s="22" t="s">
        <v>4478</v>
      </c>
      <c r="K501" s="23" t="s">
        <v>131</v>
      </c>
      <c r="L501" s="24" t="s">
        <v>4479</v>
      </c>
      <c r="M501" s="24" t="s">
        <v>4480</v>
      </c>
      <c r="N501" s="23" t="s">
        <v>4481</v>
      </c>
      <c r="O501" s="24" t="s">
        <v>4482</v>
      </c>
      <c r="P501" s="24" t="s">
        <v>4483</v>
      </c>
      <c r="Q501" s="24" t="s">
        <v>4484</v>
      </c>
      <c r="R501" s="24"/>
      <c r="S501" s="24" t="s">
        <v>139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140</v>
      </c>
      <c r="Y501" s="23" t="s">
        <v>140</v>
      </c>
      <c r="Z501" s="23" t="s">
        <v>140</v>
      </c>
      <c r="AA501" s="23" t="s">
        <v>140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</row>
    <row r="502" customFormat="false" ht="25.35" hidden="false" customHeight="false" outlineLevel="0" collapsed="false">
      <c r="A502" s="21" t="n">
        <v>501</v>
      </c>
      <c r="B502" s="18" t="s">
        <v>4485</v>
      </c>
      <c r="C502" s="20" t="n">
        <v>1</v>
      </c>
      <c r="D502" s="20" t="s">
        <v>126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4458</v>
      </c>
      <c r="H502" s="18" t="s">
        <v>4468</v>
      </c>
      <c r="I502" s="21" t="s">
        <v>4469</v>
      </c>
      <c r="J502" s="22" t="s">
        <v>4486</v>
      </c>
      <c r="K502" s="23" t="s">
        <v>131</v>
      </c>
      <c r="L502" s="24" t="s">
        <v>4487</v>
      </c>
      <c r="M502" s="24" t="s">
        <v>4488</v>
      </c>
      <c r="N502" s="23" t="s">
        <v>4489</v>
      </c>
      <c r="O502" s="24" t="s">
        <v>4490</v>
      </c>
      <c r="P502" s="24" t="s">
        <v>4469</v>
      </c>
      <c r="Q502" s="24" t="s">
        <v>4491</v>
      </c>
      <c r="R502" s="25" t="s">
        <v>4492</v>
      </c>
      <c r="S502" s="24" t="s">
        <v>139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140</v>
      </c>
      <c r="Y502" s="23" t="s">
        <v>140</v>
      </c>
      <c r="Z502" s="23" t="s">
        <v>140</v>
      </c>
      <c r="AA502" s="23" t="s">
        <v>140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</row>
    <row r="503" customFormat="false" ht="26.85" hidden="false" customHeight="false" outlineLevel="0" collapsed="false">
      <c r="A503" s="21" t="n">
        <v>502</v>
      </c>
      <c r="B503" s="18" t="s">
        <v>4493</v>
      </c>
      <c r="C503" s="20" t="n">
        <v>1</v>
      </c>
      <c r="D503" s="20" t="s">
        <v>126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4458</v>
      </c>
      <c r="H503" s="18" t="s">
        <v>4468</v>
      </c>
      <c r="I503" s="21" t="s">
        <v>4469</v>
      </c>
      <c r="J503" s="22" t="s">
        <v>4494</v>
      </c>
      <c r="K503" s="23" t="s">
        <v>131</v>
      </c>
      <c r="L503" s="24" t="s">
        <v>4495</v>
      </c>
      <c r="M503" s="29" t="s">
        <v>4496</v>
      </c>
      <c r="N503" s="23" t="s">
        <v>4497</v>
      </c>
      <c r="O503" s="24" t="s">
        <v>4498</v>
      </c>
      <c r="P503" s="24" t="s">
        <v>4499</v>
      </c>
      <c r="Q503" s="24" t="s">
        <v>4500</v>
      </c>
      <c r="R503" s="25" t="s">
        <v>4501</v>
      </c>
      <c r="S503" s="24" t="s">
        <v>139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140</v>
      </c>
      <c r="Y503" s="23" t="s">
        <v>140</v>
      </c>
      <c r="Z503" s="23" t="s">
        <v>140</v>
      </c>
      <c r="AA503" s="23" t="s">
        <v>140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</row>
    <row r="504" customFormat="false" ht="26.85" hidden="false" customHeight="false" outlineLevel="0" collapsed="false">
      <c r="A504" s="21" t="n">
        <v>503</v>
      </c>
      <c r="B504" s="18" t="s">
        <v>4502</v>
      </c>
      <c r="C504" s="20" t="n">
        <v>1</v>
      </c>
      <c r="D504" s="20" t="s">
        <v>126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4458</v>
      </c>
      <c r="H504" s="18" t="s">
        <v>4468</v>
      </c>
      <c r="I504" s="21" t="s">
        <v>4469</v>
      </c>
      <c r="J504" s="22" t="s">
        <v>4503</v>
      </c>
      <c r="K504" s="23" t="s">
        <v>131</v>
      </c>
      <c r="L504" s="24" t="s">
        <v>4504</v>
      </c>
      <c r="M504" s="24" t="s">
        <v>4505</v>
      </c>
      <c r="N504" s="23" t="s">
        <v>4506</v>
      </c>
      <c r="O504" s="24" t="s">
        <v>4507</v>
      </c>
      <c r="P504" s="24" t="s">
        <v>4508</v>
      </c>
      <c r="Q504" s="24" t="s">
        <v>4509</v>
      </c>
      <c r="R504" s="24"/>
      <c r="S504" s="24" t="s">
        <v>139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140</v>
      </c>
      <c r="Y504" s="23" t="s">
        <v>140</v>
      </c>
      <c r="Z504" s="23" t="s">
        <v>140</v>
      </c>
      <c r="AA504" s="23" t="s">
        <v>140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</row>
    <row r="505" customFormat="false" ht="25.35" hidden="false" customHeight="false" outlineLevel="0" collapsed="false">
      <c r="A505" s="21" t="n">
        <v>504</v>
      </c>
      <c r="B505" s="18" t="s">
        <v>4510</v>
      </c>
      <c r="C505" s="23" t="n">
        <v>2</v>
      </c>
      <c r="D505" s="23" t="s">
        <v>126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4458</v>
      </c>
      <c r="H505" s="18" t="s">
        <v>4459</v>
      </c>
      <c r="I505" s="21" t="s">
        <v>4511</v>
      </c>
      <c r="J505" s="22" t="s">
        <v>4512</v>
      </c>
      <c r="K505" s="23" t="s">
        <v>1095</v>
      </c>
      <c r="L505" s="24" t="s">
        <v>4513</v>
      </c>
      <c r="M505" s="24" t="s">
        <v>4514</v>
      </c>
      <c r="N505" s="23" t="s">
        <v>4515</v>
      </c>
      <c r="O505" s="24" t="s">
        <v>4516</v>
      </c>
      <c r="P505" s="24" t="s">
        <v>4511</v>
      </c>
      <c r="Q505" s="24" t="s">
        <v>4517</v>
      </c>
      <c r="R505" s="24"/>
      <c r="S505" s="24" t="s">
        <v>4518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140</v>
      </c>
      <c r="Y505" s="23" t="s">
        <v>140</v>
      </c>
      <c r="Z505" s="23" t="s">
        <v>140</v>
      </c>
      <c r="AA505" s="23" t="s">
        <v>140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</row>
    <row r="506" customFormat="false" ht="39.55" hidden="false" customHeight="false" outlineLevel="0" collapsed="false">
      <c r="A506" s="21" t="n">
        <v>505</v>
      </c>
      <c r="B506" s="18" t="s">
        <v>4519</v>
      </c>
      <c r="C506" s="20" t="n">
        <v>1</v>
      </c>
      <c r="D506" s="20" t="s">
        <v>126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4458</v>
      </c>
      <c r="H506" s="18" t="s">
        <v>4468</v>
      </c>
      <c r="I506" s="21" t="s">
        <v>4511</v>
      </c>
      <c r="J506" s="22" t="s">
        <v>4520</v>
      </c>
      <c r="K506" s="23" t="s">
        <v>1095</v>
      </c>
      <c r="L506" s="24" t="s">
        <v>4521</v>
      </c>
      <c r="M506" s="29" t="s">
        <v>4522</v>
      </c>
      <c r="N506" s="23" t="s">
        <v>4523</v>
      </c>
      <c r="O506" s="24" t="s">
        <v>4524</v>
      </c>
      <c r="P506" s="24" t="s">
        <v>4511</v>
      </c>
      <c r="Q506" s="24" t="s">
        <v>1969</v>
      </c>
      <c r="R506" s="25" t="s">
        <v>4525</v>
      </c>
      <c r="S506" s="28" t="s">
        <v>4526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140</v>
      </c>
      <c r="Y506" s="23" t="s">
        <v>140</v>
      </c>
      <c r="Z506" s="23" t="s">
        <v>140</v>
      </c>
      <c r="AA506" s="23" t="s">
        <v>140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</row>
    <row r="507" customFormat="false" ht="26.85" hidden="false" customHeight="false" outlineLevel="0" collapsed="false">
      <c r="A507" s="21" t="n">
        <v>506</v>
      </c>
      <c r="B507" s="18" t="s">
        <v>4527</v>
      </c>
      <c r="C507" s="23" t="n">
        <v>2</v>
      </c>
      <c r="D507" s="23" t="s">
        <v>126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4458</v>
      </c>
      <c r="H507" s="18" t="s">
        <v>4459</v>
      </c>
      <c r="I507" s="21" t="s">
        <v>4511</v>
      </c>
      <c r="J507" s="22" t="s">
        <v>4528</v>
      </c>
      <c r="K507" s="23" t="s">
        <v>1095</v>
      </c>
      <c r="L507" s="24" t="s">
        <v>4529</v>
      </c>
      <c r="M507" s="24" t="s">
        <v>4530</v>
      </c>
      <c r="N507" s="23" t="s">
        <v>4531</v>
      </c>
      <c r="O507" s="24" t="s">
        <v>4532</v>
      </c>
      <c r="P507" s="24" t="s">
        <v>4511</v>
      </c>
      <c r="Q507" s="24" t="s">
        <v>4533</v>
      </c>
      <c r="R507" s="27" t="s">
        <v>4534</v>
      </c>
      <c r="S507" s="24" t="s">
        <v>4535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140</v>
      </c>
      <c r="Y507" s="23" t="s">
        <v>140</v>
      </c>
      <c r="Z507" s="23" t="s">
        <v>140</v>
      </c>
      <c r="AA507" s="23" t="s">
        <v>140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</row>
    <row r="508" customFormat="false" ht="26.85" hidden="false" customHeight="false" outlineLevel="0" collapsed="false">
      <c r="A508" s="21" t="n">
        <v>507</v>
      </c>
      <c r="B508" s="18" t="s">
        <v>4536</v>
      </c>
      <c r="C508" s="23" t="n">
        <v>2</v>
      </c>
      <c r="D508" s="23" t="s">
        <v>126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4458</v>
      </c>
      <c r="H508" s="18" t="s">
        <v>4459</v>
      </c>
      <c r="I508" s="21" t="s">
        <v>4537</v>
      </c>
      <c r="J508" s="22" t="s">
        <v>4538</v>
      </c>
      <c r="K508" s="23" t="s">
        <v>1095</v>
      </c>
      <c r="L508" s="24" t="s">
        <v>4539</v>
      </c>
      <c r="M508" s="24" t="s">
        <v>4540</v>
      </c>
      <c r="N508" s="23" t="s">
        <v>4541</v>
      </c>
      <c r="O508" s="24" t="s">
        <v>4542</v>
      </c>
      <c r="P508" s="24" t="s">
        <v>4537</v>
      </c>
      <c r="Q508" s="24" t="s">
        <v>4543</v>
      </c>
      <c r="R508" s="25" t="s">
        <v>4544</v>
      </c>
      <c r="S508" s="24" t="s">
        <v>4535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140</v>
      </c>
      <c r="Y508" s="23" t="s">
        <v>140</v>
      </c>
      <c r="Z508" s="23" t="s">
        <v>140</v>
      </c>
      <c r="AA508" s="23" t="s">
        <v>140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</row>
    <row r="509" customFormat="false" ht="26.85" hidden="false" customHeight="false" outlineLevel="0" collapsed="false">
      <c r="A509" s="21" t="n">
        <v>508</v>
      </c>
      <c r="B509" s="18" t="s">
        <v>4545</v>
      </c>
      <c r="C509" s="23" t="n">
        <v>2</v>
      </c>
      <c r="D509" s="23" t="s">
        <v>126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4546</v>
      </c>
      <c r="H509" s="18" t="s">
        <v>4459</v>
      </c>
      <c r="I509" s="21" t="s">
        <v>4547</v>
      </c>
      <c r="J509" s="22" t="s">
        <v>4548</v>
      </c>
      <c r="K509" s="23" t="s">
        <v>1095</v>
      </c>
      <c r="L509" s="24" t="s">
        <v>4549</v>
      </c>
      <c r="M509" s="24" t="s">
        <v>4550</v>
      </c>
      <c r="N509" s="23" t="s">
        <v>4551</v>
      </c>
      <c r="O509" s="24" t="s">
        <v>4552</v>
      </c>
      <c r="P509" s="24" t="s">
        <v>4547</v>
      </c>
      <c r="Q509" s="24" t="s">
        <v>4553</v>
      </c>
      <c r="R509" s="24"/>
      <c r="S509" s="24" t="s">
        <v>4535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140</v>
      </c>
      <c r="Y509" s="23" t="s">
        <v>140</v>
      </c>
      <c r="Z509" s="23" t="s">
        <v>140</v>
      </c>
      <c r="AA509" s="23" t="s">
        <v>140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</row>
    <row r="510" customFormat="false" ht="39.55" hidden="false" customHeight="false" outlineLevel="0" collapsed="false">
      <c r="A510" s="21" t="n">
        <v>509</v>
      </c>
      <c r="B510" s="18" t="s">
        <v>4554</v>
      </c>
      <c r="C510" s="20" t="n">
        <v>1</v>
      </c>
      <c r="D510" s="20" t="s">
        <v>126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4546</v>
      </c>
      <c r="H510" s="18" t="s">
        <v>4468</v>
      </c>
      <c r="I510" s="21" t="s">
        <v>4547</v>
      </c>
      <c r="J510" s="22" t="s">
        <v>4555</v>
      </c>
      <c r="K510" s="23" t="s">
        <v>1095</v>
      </c>
      <c r="L510" s="24" t="s">
        <v>4556</v>
      </c>
      <c r="M510" s="24" t="s">
        <v>4557</v>
      </c>
      <c r="N510" s="23" t="s">
        <v>4558</v>
      </c>
      <c r="O510" s="24" t="s">
        <v>4559</v>
      </c>
      <c r="P510" s="24" t="s">
        <v>4547</v>
      </c>
      <c r="Q510" s="24" t="s">
        <v>4560</v>
      </c>
      <c r="R510" s="25" t="s">
        <v>4561</v>
      </c>
      <c r="S510" s="28" t="s">
        <v>4562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140</v>
      </c>
      <c r="Y510" s="23" t="s">
        <v>140</v>
      </c>
      <c r="Z510" s="23" t="s">
        <v>140</v>
      </c>
      <c r="AA510" s="23" t="s">
        <v>140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</row>
    <row r="511" customFormat="false" ht="26.85" hidden="false" customHeight="false" outlineLevel="0" collapsed="false">
      <c r="A511" s="21" t="n">
        <v>510</v>
      </c>
      <c r="B511" s="18" t="s">
        <v>4563</v>
      </c>
      <c r="C511" s="23" t="n">
        <v>2</v>
      </c>
      <c r="D511" s="23" t="s">
        <v>126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4546</v>
      </c>
      <c r="H511" s="18" t="s">
        <v>4459</v>
      </c>
      <c r="I511" s="21" t="s">
        <v>4547</v>
      </c>
      <c r="J511" s="22" t="s">
        <v>4564</v>
      </c>
      <c r="K511" s="23" t="s">
        <v>1095</v>
      </c>
      <c r="L511" s="24" t="s">
        <v>4565</v>
      </c>
      <c r="M511" s="24" t="s">
        <v>4566</v>
      </c>
      <c r="N511" s="23" t="s">
        <v>4567</v>
      </c>
      <c r="O511" s="24" t="s">
        <v>4568</v>
      </c>
      <c r="P511" s="24" t="s">
        <v>4547</v>
      </c>
      <c r="Q511" s="24" t="s">
        <v>4569</v>
      </c>
      <c r="R511" s="24"/>
      <c r="S511" s="24" t="s">
        <v>4570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140</v>
      </c>
      <c r="Y511" s="23" t="s">
        <v>140</v>
      </c>
      <c r="Z511" s="23" t="s">
        <v>140</v>
      </c>
      <c r="AA511" s="23" t="s">
        <v>140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</row>
    <row r="512" customFormat="false" ht="26.85" hidden="false" customHeight="false" outlineLevel="0" collapsed="false">
      <c r="A512" s="21" t="n">
        <v>511</v>
      </c>
      <c r="B512" s="18" t="s">
        <v>4571</v>
      </c>
      <c r="C512" s="23" t="n">
        <v>2</v>
      </c>
      <c r="D512" s="23" t="s">
        <v>126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4546</v>
      </c>
      <c r="H512" s="18" t="s">
        <v>4459</v>
      </c>
      <c r="I512" s="21" t="s">
        <v>4572</v>
      </c>
      <c r="J512" s="22" t="s">
        <v>4573</v>
      </c>
      <c r="K512" s="23" t="s">
        <v>1095</v>
      </c>
      <c r="L512" s="24" t="s">
        <v>4574</v>
      </c>
      <c r="M512" s="24" t="s">
        <v>4575</v>
      </c>
      <c r="N512" s="23" t="s">
        <v>4576</v>
      </c>
      <c r="O512" s="24" t="s">
        <v>4577</v>
      </c>
      <c r="P512" s="24" t="s">
        <v>4572</v>
      </c>
      <c r="Q512" s="24" t="s">
        <v>2340</v>
      </c>
      <c r="R512" s="25" t="s">
        <v>4578</v>
      </c>
      <c r="S512" s="24" t="s">
        <v>4570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140</v>
      </c>
      <c r="Y512" s="23" t="s">
        <v>140</v>
      </c>
      <c r="Z512" s="23" t="s">
        <v>140</v>
      </c>
      <c r="AA512" s="23" t="s">
        <v>140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</row>
    <row r="513" customFormat="false" ht="26.85" hidden="false" customHeight="false" outlineLevel="0" collapsed="false">
      <c r="A513" s="21" t="n">
        <v>512</v>
      </c>
      <c r="B513" s="18" t="s">
        <v>4579</v>
      </c>
      <c r="C513" s="23" t="n">
        <v>2</v>
      </c>
      <c r="D513" s="23" t="s">
        <v>126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4546</v>
      </c>
      <c r="H513" s="18" t="s">
        <v>4459</v>
      </c>
      <c r="I513" s="21" t="s">
        <v>4572</v>
      </c>
      <c r="J513" s="22" t="s">
        <v>4580</v>
      </c>
      <c r="K513" s="23" t="s">
        <v>1095</v>
      </c>
      <c r="L513" s="24" t="s">
        <v>4581</v>
      </c>
      <c r="M513" s="24" t="s">
        <v>4582</v>
      </c>
      <c r="N513" s="23" t="s">
        <v>4583</v>
      </c>
      <c r="O513" s="24" t="s">
        <v>4584</v>
      </c>
      <c r="P513" s="24" t="s">
        <v>4572</v>
      </c>
      <c r="Q513" s="24" t="s">
        <v>4585</v>
      </c>
      <c r="R513" s="24"/>
      <c r="S513" s="24" t="s">
        <v>4570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140</v>
      </c>
      <c r="Y513" s="23" t="s">
        <v>140</v>
      </c>
      <c r="Z513" s="23" t="s">
        <v>140</v>
      </c>
      <c r="AA513" s="23" t="s">
        <v>140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</row>
    <row r="514" customFormat="false" ht="26.85" hidden="false" customHeight="false" outlineLevel="0" collapsed="false">
      <c r="A514" s="21" t="n">
        <v>513</v>
      </c>
      <c r="B514" s="18" t="s">
        <v>4586</v>
      </c>
      <c r="C514" s="23" t="n">
        <v>2</v>
      </c>
      <c r="D514" s="23" t="s">
        <v>126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4546</v>
      </c>
      <c r="H514" s="18" t="s">
        <v>4587</v>
      </c>
      <c r="I514" s="21" t="s">
        <v>4588</v>
      </c>
      <c r="J514" s="22" t="s">
        <v>4589</v>
      </c>
      <c r="K514" s="23" t="s">
        <v>1095</v>
      </c>
      <c r="L514" s="24" t="s">
        <v>4590</v>
      </c>
      <c r="M514" s="24" t="s">
        <v>4591</v>
      </c>
      <c r="N514" s="23" t="s">
        <v>4592</v>
      </c>
      <c r="O514" s="24" t="s">
        <v>4593</v>
      </c>
      <c r="P514" s="24" t="s">
        <v>4594</v>
      </c>
      <c r="Q514" s="24" t="s">
        <v>4595</v>
      </c>
      <c r="R514" s="24"/>
      <c r="S514" s="24" t="s">
        <v>4570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140</v>
      </c>
      <c r="Y514" s="23" t="s">
        <v>140</v>
      </c>
      <c r="Z514" s="23" t="s">
        <v>140</v>
      </c>
      <c r="AA514" s="23" t="s">
        <v>140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</row>
    <row r="515" customFormat="false" ht="26.85" hidden="false" customHeight="false" outlineLevel="0" collapsed="false">
      <c r="A515" s="21" t="n">
        <v>514</v>
      </c>
      <c r="B515" s="18" t="s">
        <v>4596</v>
      </c>
      <c r="C515" s="23" t="n">
        <v>2</v>
      </c>
      <c r="D515" s="23" t="s">
        <v>126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4546</v>
      </c>
      <c r="H515" s="18" t="s">
        <v>4587</v>
      </c>
      <c r="I515" s="21" t="s">
        <v>4588</v>
      </c>
      <c r="J515" s="22" t="s">
        <v>4597</v>
      </c>
      <c r="K515" s="23" t="s">
        <v>1095</v>
      </c>
      <c r="L515" s="24" t="s">
        <v>4598</v>
      </c>
      <c r="M515" s="24" t="s">
        <v>4599</v>
      </c>
      <c r="N515" s="23" t="s">
        <v>4600</v>
      </c>
      <c r="O515" s="24" t="s">
        <v>4601</v>
      </c>
      <c r="P515" s="24" t="s">
        <v>4602</v>
      </c>
      <c r="Q515" s="24" t="s">
        <v>4603</v>
      </c>
      <c r="R515" s="24"/>
      <c r="S515" s="24" t="s">
        <v>4570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140</v>
      </c>
      <c r="Y515" s="23" t="s">
        <v>140</v>
      </c>
      <c r="Z515" s="23" t="s">
        <v>140</v>
      </c>
      <c r="AA515" s="23" t="s">
        <v>140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</row>
    <row r="516" customFormat="false" ht="25.35" hidden="false" customHeight="false" outlineLevel="0" collapsed="false">
      <c r="A516" s="21" t="n">
        <v>515</v>
      </c>
      <c r="B516" s="18" t="s">
        <v>4604</v>
      </c>
      <c r="C516" s="23" t="n">
        <v>2</v>
      </c>
      <c r="D516" s="23" t="s">
        <v>126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4546</v>
      </c>
      <c r="H516" s="18" t="s">
        <v>4587</v>
      </c>
      <c r="I516" s="21" t="s">
        <v>4605</v>
      </c>
      <c r="J516" s="22" t="s">
        <v>4606</v>
      </c>
      <c r="K516" s="23" t="s">
        <v>1095</v>
      </c>
      <c r="L516" s="24" t="s">
        <v>4607</v>
      </c>
      <c r="M516" s="24" t="s">
        <v>4608</v>
      </c>
      <c r="N516" s="23" t="s">
        <v>4609</v>
      </c>
      <c r="O516" s="24" t="s">
        <v>4610</v>
      </c>
      <c r="P516" s="24" t="s">
        <v>4611</v>
      </c>
      <c r="Q516" s="24" t="s">
        <v>4612</v>
      </c>
      <c r="R516" s="25" t="s">
        <v>4613</v>
      </c>
      <c r="S516" s="24" t="s">
        <v>4570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140</v>
      </c>
      <c r="Y516" s="23" t="s">
        <v>140</v>
      </c>
      <c r="Z516" s="23" t="s">
        <v>140</v>
      </c>
      <c r="AA516" s="23" t="s">
        <v>140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</row>
    <row r="517" customFormat="false" ht="26.85" hidden="false" customHeight="false" outlineLevel="0" collapsed="false">
      <c r="A517" s="21" t="n">
        <v>516</v>
      </c>
      <c r="B517" s="18" t="s">
        <v>4614</v>
      </c>
      <c r="C517" s="23" t="n">
        <v>2</v>
      </c>
      <c r="D517" s="23" t="s">
        <v>126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4546</v>
      </c>
      <c r="H517" s="18" t="s">
        <v>4587</v>
      </c>
      <c r="I517" s="21" t="s">
        <v>4605</v>
      </c>
      <c r="J517" s="22" t="s">
        <v>4615</v>
      </c>
      <c r="K517" s="23" t="s">
        <v>1095</v>
      </c>
      <c r="L517" s="24" t="s">
        <v>4616</v>
      </c>
      <c r="M517" s="24" t="s">
        <v>4617</v>
      </c>
      <c r="N517" s="23" t="s">
        <v>4618</v>
      </c>
      <c r="O517" s="24" t="s">
        <v>4619</v>
      </c>
      <c r="P517" s="24" t="s">
        <v>4620</v>
      </c>
      <c r="Q517" s="24" t="s">
        <v>4621</v>
      </c>
      <c r="R517" s="24"/>
      <c r="S517" s="24" t="s">
        <v>4570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140</v>
      </c>
      <c r="Y517" s="23" t="s">
        <v>140</v>
      </c>
      <c r="Z517" s="23" t="s">
        <v>140</v>
      </c>
      <c r="AA517" s="23" t="s">
        <v>140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</row>
    <row r="518" customFormat="false" ht="26.85" hidden="false" customHeight="false" outlineLevel="0" collapsed="false">
      <c r="A518" s="21" t="n">
        <v>517</v>
      </c>
      <c r="B518" s="18" t="s">
        <v>4622</v>
      </c>
      <c r="C518" s="23" t="n">
        <v>2</v>
      </c>
      <c r="D518" s="23" t="s">
        <v>126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4546</v>
      </c>
      <c r="H518" s="18" t="s">
        <v>4587</v>
      </c>
      <c r="I518" s="21" t="s">
        <v>4605</v>
      </c>
      <c r="J518" s="22" t="s">
        <v>4623</v>
      </c>
      <c r="K518" s="23" t="s">
        <v>1095</v>
      </c>
      <c r="L518" s="24" t="s">
        <v>4624</v>
      </c>
      <c r="M518" s="24" t="s">
        <v>4625</v>
      </c>
      <c r="N518" s="23" t="s">
        <v>4626</v>
      </c>
      <c r="O518" s="24" t="s">
        <v>4627</v>
      </c>
      <c r="P518" s="24" t="s">
        <v>4605</v>
      </c>
      <c r="Q518" s="24" t="s">
        <v>4628</v>
      </c>
      <c r="R518" s="25" t="s">
        <v>4629</v>
      </c>
      <c r="S518" s="24" t="s">
        <v>4570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140</v>
      </c>
      <c r="Y518" s="23" t="s">
        <v>140</v>
      </c>
      <c r="Z518" s="23" t="s">
        <v>140</v>
      </c>
      <c r="AA518" s="23" t="s">
        <v>140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</row>
    <row r="519" customFormat="false" ht="26.85" hidden="false" customHeight="false" outlineLevel="0" collapsed="false">
      <c r="A519" s="21" t="n">
        <v>518</v>
      </c>
      <c r="B519" s="18" t="s">
        <v>4630</v>
      </c>
      <c r="C519" s="23" t="n">
        <v>2</v>
      </c>
      <c r="D519" s="23" t="s">
        <v>126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4546</v>
      </c>
      <c r="H519" s="18" t="s">
        <v>4587</v>
      </c>
      <c r="I519" s="21" t="s">
        <v>4605</v>
      </c>
      <c r="J519" s="22" t="s">
        <v>4631</v>
      </c>
      <c r="K519" s="23" t="s">
        <v>1095</v>
      </c>
      <c r="L519" s="24" t="s">
        <v>4632</v>
      </c>
      <c r="M519" s="24" t="s">
        <v>4633</v>
      </c>
      <c r="N519" s="23" t="s">
        <v>4634</v>
      </c>
      <c r="O519" s="24" t="s">
        <v>4635</v>
      </c>
      <c r="P519" s="24" t="s">
        <v>4605</v>
      </c>
      <c r="Q519" s="24" t="s">
        <v>4636</v>
      </c>
      <c r="R519" s="25" t="s">
        <v>4637</v>
      </c>
      <c r="S519" s="24" t="s">
        <v>4570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140</v>
      </c>
      <c r="Y519" s="23" t="s">
        <v>140</v>
      </c>
      <c r="Z519" s="23" t="s">
        <v>140</v>
      </c>
      <c r="AA519" s="23" t="s">
        <v>140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</row>
    <row r="520" customFormat="false" ht="26.85" hidden="false" customHeight="false" outlineLevel="0" collapsed="false">
      <c r="A520" s="21" t="n">
        <v>519</v>
      </c>
      <c r="B520" s="18" t="s">
        <v>4638</v>
      </c>
      <c r="C520" s="23" t="n">
        <v>2</v>
      </c>
      <c r="D520" s="23" t="s">
        <v>126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4546</v>
      </c>
      <c r="H520" s="18" t="s">
        <v>4587</v>
      </c>
      <c r="I520" s="21" t="s">
        <v>4639</v>
      </c>
      <c r="J520" s="22" t="s">
        <v>4640</v>
      </c>
      <c r="K520" s="23" t="s">
        <v>1095</v>
      </c>
      <c r="L520" s="24" t="s">
        <v>4641</v>
      </c>
      <c r="M520" s="24" t="s">
        <v>4642</v>
      </c>
      <c r="N520" s="23" t="s">
        <v>4643</v>
      </c>
      <c r="O520" s="24" t="s">
        <v>4644</v>
      </c>
      <c r="P520" s="24" t="s">
        <v>4645</v>
      </c>
      <c r="Q520" s="24" t="s">
        <v>4646</v>
      </c>
      <c r="R520" s="24"/>
      <c r="S520" s="24" t="s">
        <v>4570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140</v>
      </c>
      <c r="Y520" s="23" t="s">
        <v>140</v>
      </c>
      <c r="Z520" s="23" t="s">
        <v>140</v>
      </c>
      <c r="AA520" s="23" t="s">
        <v>140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</row>
    <row r="521" customFormat="false" ht="26.85" hidden="false" customHeight="false" outlineLevel="0" collapsed="false">
      <c r="A521" s="21" t="n">
        <v>520</v>
      </c>
      <c r="B521" s="18" t="s">
        <v>4647</v>
      </c>
      <c r="C521" s="23" t="n">
        <v>2</v>
      </c>
      <c r="D521" s="23" t="s">
        <v>126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4546</v>
      </c>
      <c r="H521" s="18" t="s">
        <v>4587</v>
      </c>
      <c r="I521" s="21" t="s">
        <v>4639</v>
      </c>
      <c r="J521" s="22" t="s">
        <v>4648</v>
      </c>
      <c r="K521" s="23" t="s">
        <v>1095</v>
      </c>
      <c r="L521" s="24" t="s">
        <v>4649</v>
      </c>
      <c r="M521" s="24" t="s">
        <v>4650</v>
      </c>
      <c r="N521" s="23" t="s">
        <v>4651</v>
      </c>
      <c r="O521" s="24" t="s">
        <v>4652</v>
      </c>
      <c r="P521" s="24" t="s">
        <v>4653</v>
      </c>
      <c r="Q521" s="24" t="s">
        <v>4654</v>
      </c>
      <c r="R521" s="27" t="s">
        <v>4655</v>
      </c>
      <c r="S521" s="24" t="s">
        <v>4570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140</v>
      </c>
      <c r="Y521" s="23" t="s">
        <v>140</v>
      </c>
      <c r="Z521" s="23" t="s">
        <v>140</v>
      </c>
      <c r="AA521" s="23" t="s">
        <v>140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</row>
    <row r="522" customFormat="false" ht="52.2" hidden="false" customHeight="false" outlineLevel="0" collapsed="false">
      <c r="A522" s="21" t="n">
        <v>521</v>
      </c>
      <c r="B522" s="18" t="s">
        <v>4656</v>
      </c>
      <c r="C522" s="20" t="n">
        <v>1</v>
      </c>
      <c r="D522" s="20" t="s">
        <v>126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4546</v>
      </c>
      <c r="H522" s="18" t="s">
        <v>4468</v>
      </c>
      <c r="I522" s="21" t="s">
        <v>4639</v>
      </c>
      <c r="J522" s="22" t="s">
        <v>4657</v>
      </c>
      <c r="K522" s="23" t="s">
        <v>1095</v>
      </c>
      <c r="L522" s="24" t="s">
        <v>4658</v>
      </c>
      <c r="M522" s="24" t="s">
        <v>4659</v>
      </c>
      <c r="N522" s="23" t="s">
        <v>4660</v>
      </c>
      <c r="O522" s="24" t="s">
        <v>4661</v>
      </c>
      <c r="P522" s="24" t="s">
        <v>4639</v>
      </c>
      <c r="Q522" s="24" t="s">
        <v>4662</v>
      </c>
      <c r="R522" s="25" t="s">
        <v>4663</v>
      </c>
      <c r="S522" s="28" t="s">
        <v>4664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140</v>
      </c>
      <c r="Y522" s="23" t="s">
        <v>140</v>
      </c>
      <c r="Z522" s="23" t="s">
        <v>140</v>
      </c>
      <c r="AA522" s="23" t="s">
        <v>140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</row>
    <row r="523" customFormat="false" ht="26.85" hidden="false" customHeight="false" outlineLevel="0" collapsed="false">
      <c r="A523" s="23" t="n">
        <v>522</v>
      </c>
      <c r="B523" s="30" t="s">
        <v>4665</v>
      </c>
      <c r="C523" s="23" t="n">
        <v>2</v>
      </c>
      <c r="D523" s="23" t="s">
        <v>4666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0" t="s">
        <v>4667</v>
      </c>
      <c r="H523" s="30" t="s">
        <v>4668</v>
      </c>
      <c r="I523" s="23" t="s">
        <v>4669</v>
      </c>
      <c r="J523" s="24" t="s">
        <v>4670</v>
      </c>
      <c r="K523" s="23" t="s">
        <v>131</v>
      </c>
      <c r="L523" s="24" t="s">
        <v>4671</v>
      </c>
      <c r="M523" s="24" t="s">
        <v>4672</v>
      </c>
      <c r="N523" s="23" t="s">
        <v>4673</v>
      </c>
      <c r="O523" s="24" t="s">
        <v>4674</v>
      </c>
      <c r="P523" s="24" t="s">
        <v>4675</v>
      </c>
      <c r="Q523" s="24" t="s">
        <v>253</v>
      </c>
      <c r="R523" s="24"/>
      <c r="S523" s="24" t="s">
        <v>4676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140</v>
      </c>
      <c r="Y523" s="23" t="s">
        <v>140</v>
      </c>
      <c r="Z523" s="23" t="s">
        <v>140</v>
      </c>
      <c r="AA523" s="23" t="s">
        <v>140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</row>
    <row r="524" customFormat="false" ht="26.85" hidden="false" customHeight="false" outlineLevel="0" collapsed="false">
      <c r="A524" s="23" t="n">
        <v>523</v>
      </c>
      <c r="B524" s="30" t="s">
        <v>4677</v>
      </c>
      <c r="C524" s="20" t="n">
        <v>1</v>
      </c>
      <c r="D524" s="20" t="s">
        <v>4666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0" t="s">
        <v>4667</v>
      </c>
      <c r="H524" s="30" t="s">
        <v>4678</v>
      </c>
      <c r="I524" s="23" t="s">
        <v>4669</v>
      </c>
      <c r="J524" s="24" t="s">
        <v>4679</v>
      </c>
      <c r="K524" s="23" t="s">
        <v>131</v>
      </c>
      <c r="L524" s="24" t="s">
        <v>4680</v>
      </c>
      <c r="M524" s="24" t="s">
        <v>4681</v>
      </c>
      <c r="N524" s="23" t="s">
        <v>4682</v>
      </c>
      <c r="O524" s="24" t="s">
        <v>4683</v>
      </c>
      <c r="P524" s="24" t="s">
        <v>4684</v>
      </c>
      <c r="Q524" s="24" t="s">
        <v>4685</v>
      </c>
      <c r="R524" s="25" t="s">
        <v>4686</v>
      </c>
      <c r="S524" s="28" t="s">
        <v>4687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140</v>
      </c>
      <c r="Y524" s="23" t="s">
        <v>140</v>
      </c>
      <c r="Z524" s="23" t="s">
        <v>140</v>
      </c>
      <c r="AA524" s="23" t="s">
        <v>140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</row>
    <row r="525" customFormat="false" ht="26.85" hidden="false" customHeight="false" outlineLevel="0" collapsed="false">
      <c r="A525" s="23" t="n">
        <v>524</v>
      </c>
      <c r="B525" s="30" t="s">
        <v>4688</v>
      </c>
      <c r="C525" s="20" t="n">
        <v>1</v>
      </c>
      <c r="D525" s="20" t="s">
        <v>4666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0" t="s">
        <v>4667</v>
      </c>
      <c r="H525" s="30" t="s">
        <v>4678</v>
      </c>
      <c r="I525" s="23" t="s">
        <v>4669</v>
      </c>
      <c r="J525" s="24" t="s">
        <v>4689</v>
      </c>
      <c r="K525" s="23" t="s">
        <v>131</v>
      </c>
      <c r="L525" s="24" t="s">
        <v>4690</v>
      </c>
      <c r="M525" s="24" t="s">
        <v>4691</v>
      </c>
      <c r="N525" s="23" t="s">
        <v>4692</v>
      </c>
      <c r="O525" s="24" t="s">
        <v>4693</v>
      </c>
      <c r="P525" s="24" t="s">
        <v>4694</v>
      </c>
      <c r="Q525" s="24" t="s">
        <v>4695</v>
      </c>
      <c r="R525" s="25" t="s">
        <v>4696</v>
      </c>
      <c r="S525" s="24" t="s">
        <v>139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140</v>
      </c>
      <c r="Y525" s="23" t="s">
        <v>140</v>
      </c>
      <c r="Z525" s="23" t="s">
        <v>140</v>
      </c>
      <c r="AA525" s="23" t="s">
        <v>140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</row>
    <row r="526" customFormat="false" ht="26.85" hidden="false" customHeight="false" outlineLevel="0" collapsed="false">
      <c r="A526" s="23" t="n">
        <v>525</v>
      </c>
      <c r="B526" s="30" t="s">
        <v>4697</v>
      </c>
      <c r="C526" s="23" t="n">
        <v>2</v>
      </c>
      <c r="D526" s="23" t="s">
        <v>4666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0" t="s">
        <v>4667</v>
      </c>
      <c r="H526" s="30" t="s">
        <v>4668</v>
      </c>
      <c r="I526" s="23" t="s">
        <v>4669</v>
      </c>
      <c r="J526" s="24" t="s">
        <v>4698</v>
      </c>
      <c r="K526" s="23" t="s">
        <v>131</v>
      </c>
      <c r="L526" s="24" t="s">
        <v>4699</v>
      </c>
      <c r="M526" s="24" t="s">
        <v>4700</v>
      </c>
      <c r="N526" s="23" t="s">
        <v>4701</v>
      </c>
      <c r="O526" s="24" t="s">
        <v>4702</v>
      </c>
      <c r="P526" s="24" t="s">
        <v>4703</v>
      </c>
      <c r="Q526" s="24" t="s">
        <v>4704</v>
      </c>
      <c r="R526" s="25" t="s">
        <v>4705</v>
      </c>
      <c r="S526" s="24" t="s">
        <v>4706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140</v>
      </c>
      <c r="Y526" s="23" t="s">
        <v>140</v>
      </c>
      <c r="Z526" s="23" t="s">
        <v>140</v>
      </c>
      <c r="AA526" s="23" t="s">
        <v>140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</row>
    <row r="527" customFormat="false" ht="26.85" hidden="false" customHeight="false" outlineLevel="0" collapsed="false">
      <c r="A527" s="23" t="n">
        <v>526</v>
      </c>
      <c r="B527" s="30" t="s">
        <v>4707</v>
      </c>
      <c r="C527" s="20" t="n">
        <v>1</v>
      </c>
      <c r="D527" s="20" t="s">
        <v>4666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0" t="s">
        <v>4667</v>
      </c>
      <c r="H527" s="30" t="s">
        <v>4678</v>
      </c>
      <c r="I527" s="23" t="s">
        <v>4669</v>
      </c>
      <c r="J527" s="24" t="s">
        <v>4708</v>
      </c>
      <c r="K527" s="23" t="s">
        <v>131</v>
      </c>
      <c r="L527" s="24" t="s">
        <v>4709</v>
      </c>
      <c r="M527" s="24" t="s">
        <v>4710</v>
      </c>
      <c r="N527" s="23" t="s">
        <v>4711</v>
      </c>
      <c r="O527" s="24" t="s">
        <v>4712</v>
      </c>
      <c r="P527" s="24" t="s">
        <v>4713</v>
      </c>
      <c r="Q527" s="24" t="s">
        <v>4714</v>
      </c>
      <c r="R527" s="24"/>
      <c r="S527" s="28" t="s">
        <v>4715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140</v>
      </c>
      <c r="Y527" s="23" t="s">
        <v>140</v>
      </c>
      <c r="Z527" s="23" t="s">
        <v>140</v>
      </c>
      <c r="AA527" s="23" t="s">
        <v>140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</row>
    <row r="528" customFormat="false" ht="26.85" hidden="false" customHeight="false" outlineLevel="0" collapsed="false">
      <c r="A528" s="23" t="n">
        <v>527</v>
      </c>
      <c r="B528" s="30" t="s">
        <v>4716</v>
      </c>
      <c r="C528" s="20" t="n">
        <v>1</v>
      </c>
      <c r="D528" s="20" t="s">
        <v>4666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0" t="s">
        <v>4667</v>
      </c>
      <c r="H528" s="30" t="s">
        <v>4678</v>
      </c>
      <c r="I528" s="23" t="s">
        <v>4669</v>
      </c>
      <c r="J528" s="24" t="s">
        <v>4717</v>
      </c>
      <c r="K528" s="23" t="s">
        <v>131</v>
      </c>
      <c r="L528" s="24" t="s">
        <v>4718</v>
      </c>
      <c r="M528" s="24" t="s">
        <v>4719</v>
      </c>
      <c r="N528" s="23" t="s">
        <v>4720</v>
      </c>
      <c r="O528" s="24" t="s">
        <v>4721</v>
      </c>
      <c r="P528" s="24" t="s">
        <v>4722</v>
      </c>
      <c r="Q528" s="24" t="s">
        <v>4723</v>
      </c>
      <c r="R528" s="25" t="s">
        <v>4724</v>
      </c>
      <c r="S528" s="24" t="s">
        <v>139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140</v>
      </c>
      <c r="Y528" s="23" t="s">
        <v>140</v>
      </c>
      <c r="Z528" s="23" t="s">
        <v>140</v>
      </c>
      <c r="AA528" s="23" t="s">
        <v>140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</row>
    <row r="529" customFormat="false" ht="26.85" hidden="false" customHeight="false" outlineLevel="0" collapsed="false">
      <c r="A529" s="23" t="n">
        <v>528</v>
      </c>
      <c r="B529" s="30" t="s">
        <v>4725</v>
      </c>
      <c r="C529" s="20" t="n">
        <v>1</v>
      </c>
      <c r="D529" s="20" t="s">
        <v>4666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0" t="s">
        <v>4667</v>
      </c>
      <c r="H529" s="30" t="s">
        <v>4678</v>
      </c>
      <c r="I529" s="23" t="s">
        <v>4669</v>
      </c>
      <c r="J529" s="24" t="s">
        <v>4726</v>
      </c>
      <c r="K529" s="23" t="s">
        <v>131</v>
      </c>
      <c r="L529" s="24" t="s">
        <v>4727</v>
      </c>
      <c r="M529" s="29" t="s">
        <v>4728</v>
      </c>
      <c r="N529" s="23" t="s">
        <v>4729</v>
      </c>
      <c r="O529" s="24" t="s">
        <v>4730</v>
      </c>
      <c r="P529" s="24" t="s">
        <v>4731</v>
      </c>
      <c r="Q529" s="24" t="s">
        <v>4732</v>
      </c>
      <c r="R529" s="25" t="s">
        <v>4733</v>
      </c>
      <c r="S529" s="24" t="s">
        <v>139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140</v>
      </c>
      <c r="Y529" s="23" t="s">
        <v>140</v>
      </c>
      <c r="Z529" s="23" t="s">
        <v>140</v>
      </c>
      <c r="AA529" s="23" t="s">
        <v>140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</row>
    <row r="530" customFormat="false" ht="26.85" hidden="false" customHeight="false" outlineLevel="0" collapsed="false">
      <c r="A530" s="23" t="n">
        <v>529</v>
      </c>
      <c r="B530" s="30" t="s">
        <v>4734</v>
      </c>
      <c r="C530" s="20" t="n">
        <v>1</v>
      </c>
      <c r="D530" s="20" t="s">
        <v>4666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0" t="s">
        <v>4667</v>
      </c>
      <c r="H530" s="30" t="s">
        <v>4678</v>
      </c>
      <c r="I530" s="23" t="s">
        <v>4669</v>
      </c>
      <c r="J530" s="24" t="s">
        <v>4735</v>
      </c>
      <c r="K530" s="23" t="s">
        <v>131</v>
      </c>
      <c r="L530" s="24" t="s">
        <v>4736</v>
      </c>
      <c r="M530" s="24" t="s">
        <v>4737</v>
      </c>
      <c r="N530" s="23" t="s">
        <v>4738</v>
      </c>
      <c r="O530" s="24" t="s">
        <v>4739</v>
      </c>
      <c r="P530" s="24" t="s">
        <v>4740</v>
      </c>
      <c r="Q530" s="24" t="s">
        <v>4741</v>
      </c>
      <c r="R530" s="24"/>
      <c r="S530" s="24" t="s">
        <v>139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140</v>
      </c>
      <c r="Y530" s="23" t="s">
        <v>140</v>
      </c>
      <c r="Z530" s="23" t="s">
        <v>140</v>
      </c>
      <c r="AA530" s="23" t="s">
        <v>140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</row>
    <row r="531" customFormat="false" ht="15" hidden="false" customHeight="false" outlineLevel="0" collapsed="false">
      <c r="A531" s="23" t="n">
        <v>530</v>
      </c>
      <c r="B531" s="30" t="s">
        <v>4742</v>
      </c>
      <c r="C531" s="20" t="n">
        <v>1</v>
      </c>
      <c r="D531" s="20" t="s">
        <v>4666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0" t="s">
        <v>4743</v>
      </c>
      <c r="H531" s="30" t="s">
        <v>4678</v>
      </c>
      <c r="I531" s="23" t="s">
        <v>4669</v>
      </c>
      <c r="J531" s="24" t="s">
        <v>4744</v>
      </c>
      <c r="K531" s="23" t="s">
        <v>1095</v>
      </c>
      <c r="L531" s="24" t="s">
        <v>4745</v>
      </c>
      <c r="M531" s="24" t="s">
        <v>4746</v>
      </c>
      <c r="N531" s="23" t="s">
        <v>4747</v>
      </c>
      <c r="O531" s="24" t="s">
        <v>4748</v>
      </c>
      <c r="P531" s="24" t="s">
        <v>4749</v>
      </c>
      <c r="Q531" s="24" t="s">
        <v>4750</v>
      </c>
      <c r="R531" s="24"/>
      <c r="S531" s="24" t="s">
        <v>139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140</v>
      </c>
      <c r="Y531" s="23" t="s">
        <v>140</v>
      </c>
      <c r="Z531" s="23" t="s">
        <v>140</v>
      </c>
      <c r="AA531" s="23" t="s">
        <v>140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</row>
    <row r="532" customFormat="false" ht="15" hidden="false" customHeight="false" outlineLevel="0" collapsed="false">
      <c r="A532" s="23" t="n">
        <v>531</v>
      </c>
      <c r="B532" s="30" t="s">
        <v>4751</v>
      </c>
      <c r="C532" s="20" t="n">
        <v>1</v>
      </c>
      <c r="D532" s="20" t="s">
        <v>4666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0" t="s">
        <v>4743</v>
      </c>
      <c r="H532" s="30" t="s">
        <v>4678</v>
      </c>
      <c r="I532" s="23" t="s">
        <v>4669</v>
      </c>
      <c r="J532" s="24" t="s">
        <v>4752</v>
      </c>
      <c r="K532" s="23" t="s">
        <v>1095</v>
      </c>
      <c r="L532" s="24" t="s">
        <v>4753</v>
      </c>
      <c r="M532" s="24" t="s">
        <v>4754</v>
      </c>
      <c r="N532" s="23" t="s">
        <v>4755</v>
      </c>
      <c r="O532" s="24" t="s">
        <v>4756</v>
      </c>
      <c r="P532" s="24" t="s">
        <v>4757</v>
      </c>
      <c r="Q532" s="24" t="s">
        <v>4758</v>
      </c>
      <c r="R532" s="24"/>
      <c r="S532" s="24" t="s">
        <v>139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140</v>
      </c>
      <c r="Y532" s="23" t="s">
        <v>140</v>
      </c>
      <c r="Z532" s="23" t="s">
        <v>140</v>
      </c>
      <c r="AA532" s="23" t="s">
        <v>140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</row>
    <row r="533" customFormat="false" ht="25.35" hidden="false" customHeight="false" outlineLevel="0" collapsed="false">
      <c r="A533" s="23" t="n">
        <v>532</v>
      </c>
      <c r="B533" s="30" t="s">
        <v>4759</v>
      </c>
      <c r="C533" s="23" t="n">
        <v>2</v>
      </c>
      <c r="D533" s="23" t="s">
        <v>4666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0" t="s">
        <v>4743</v>
      </c>
      <c r="H533" s="30" t="s">
        <v>4668</v>
      </c>
      <c r="I533" s="23" t="s">
        <v>4669</v>
      </c>
      <c r="J533" s="24" t="s">
        <v>4760</v>
      </c>
      <c r="K533" s="23" t="s">
        <v>1095</v>
      </c>
      <c r="L533" s="24" t="s">
        <v>4761</v>
      </c>
      <c r="M533" s="24" t="s">
        <v>4762</v>
      </c>
      <c r="N533" s="23" t="s">
        <v>4763</v>
      </c>
      <c r="O533" s="24" t="s">
        <v>4764</v>
      </c>
      <c r="P533" s="24" t="s">
        <v>4757</v>
      </c>
      <c r="Q533" s="24" t="s">
        <v>4750</v>
      </c>
      <c r="R533" s="24"/>
      <c r="S533" s="24" t="s">
        <v>4765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140</v>
      </c>
      <c r="Y533" s="23" t="s">
        <v>140</v>
      </c>
      <c r="Z533" s="23" t="s">
        <v>140</v>
      </c>
      <c r="AA533" s="23" t="s">
        <v>140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</row>
    <row r="534" customFormat="false" ht="26.85" hidden="false" customHeight="false" outlineLevel="0" collapsed="false">
      <c r="A534" s="23" t="n">
        <v>533</v>
      </c>
      <c r="B534" s="30" t="s">
        <v>4766</v>
      </c>
      <c r="C534" s="23" t="n">
        <v>2</v>
      </c>
      <c r="D534" s="23" t="s">
        <v>4666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0" t="s">
        <v>4743</v>
      </c>
      <c r="H534" s="30" t="s">
        <v>4668</v>
      </c>
      <c r="I534" s="23" t="s">
        <v>4669</v>
      </c>
      <c r="J534" s="24" t="s">
        <v>4767</v>
      </c>
      <c r="K534" s="23" t="s">
        <v>1095</v>
      </c>
      <c r="L534" s="24" t="s">
        <v>4768</v>
      </c>
      <c r="M534" s="24" t="s">
        <v>4769</v>
      </c>
      <c r="N534" s="23" t="s">
        <v>4770</v>
      </c>
      <c r="O534" s="24" t="s">
        <v>4771</v>
      </c>
      <c r="P534" s="24" t="s">
        <v>4757</v>
      </c>
      <c r="Q534" s="24" t="s">
        <v>4750</v>
      </c>
      <c r="R534" s="24"/>
      <c r="S534" s="24" t="s">
        <v>4765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140</v>
      </c>
      <c r="Y534" s="23" t="s">
        <v>140</v>
      </c>
      <c r="Z534" s="23" t="s">
        <v>140</v>
      </c>
      <c r="AA534" s="23" t="s">
        <v>140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</row>
    <row r="535" customFormat="false" ht="39.55" hidden="false" customHeight="false" outlineLevel="0" collapsed="false">
      <c r="A535" s="23" t="n">
        <v>534</v>
      </c>
      <c r="B535" s="30" t="s">
        <v>4772</v>
      </c>
      <c r="C535" s="20" t="n">
        <v>1</v>
      </c>
      <c r="D535" s="20" t="s">
        <v>4666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0" t="s">
        <v>4743</v>
      </c>
      <c r="H535" s="30" t="s">
        <v>4678</v>
      </c>
      <c r="I535" s="23" t="s">
        <v>4669</v>
      </c>
      <c r="J535" s="24" t="s">
        <v>4773</v>
      </c>
      <c r="K535" s="23" t="s">
        <v>1095</v>
      </c>
      <c r="L535" s="24" t="s">
        <v>4774</v>
      </c>
      <c r="M535" s="24" t="s">
        <v>4775</v>
      </c>
      <c r="N535" s="23" t="s">
        <v>4776</v>
      </c>
      <c r="O535" s="24" t="s">
        <v>4777</v>
      </c>
      <c r="P535" s="24" t="s">
        <v>4778</v>
      </c>
      <c r="Q535" s="24" t="s">
        <v>4779</v>
      </c>
      <c r="R535" s="24"/>
      <c r="S535" s="28" t="s">
        <v>4780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140</v>
      </c>
      <c r="Y535" s="23" t="s">
        <v>140</v>
      </c>
      <c r="Z535" s="23" t="s">
        <v>140</v>
      </c>
      <c r="AA535" s="23" t="s">
        <v>140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</row>
    <row r="536" customFormat="false" ht="25.35" hidden="false" customHeight="false" outlineLevel="0" collapsed="false">
      <c r="A536" s="23" t="n">
        <v>535</v>
      </c>
      <c r="B536" s="30" t="s">
        <v>4781</v>
      </c>
      <c r="C536" s="20" t="n">
        <v>1</v>
      </c>
      <c r="D536" s="20" t="s">
        <v>4666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0" t="s">
        <v>4743</v>
      </c>
      <c r="H536" s="30" t="s">
        <v>4678</v>
      </c>
      <c r="I536" s="23" t="s">
        <v>4669</v>
      </c>
      <c r="J536" s="24" t="s">
        <v>4782</v>
      </c>
      <c r="K536" s="23" t="s">
        <v>1095</v>
      </c>
      <c r="L536" s="24" t="s">
        <v>4783</v>
      </c>
      <c r="M536" s="24" t="s">
        <v>4784</v>
      </c>
      <c r="N536" s="23" t="s">
        <v>4785</v>
      </c>
      <c r="O536" s="24" t="s">
        <v>4786</v>
      </c>
      <c r="P536" s="24" t="s">
        <v>4757</v>
      </c>
      <c r="Q536" s="24" t="s">
        <v>4787</v>
      </c>
      <c r="R536" s="24"/>
      <c r="S536" s="24" t="s">
        <v>139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140</v>
      </c>
      <c r="Y536" s="23" t="s">
        <v>140</v>
      </c>
      <c r="Z536" s="23" t="s">
        <v>140</v>
      </c>
      <c r="AA536" s="23" t="s">
        <v>140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</row>
    <row r="537" customFormat="false" ht="25.35" hidden="false" customHeight="false" outlineLevel="0" collapsed="false">
      <c r="A537" s="23" t="n">
        <v>536</v>
      </c>
      <c r="B537" s="30" t="s">
        <v>4788</v>
      </c>
      <c r="C537" s="23" t="n">
        <v>2</v>
      </c>
      <c r="D537" s="23" t="s">
        <v>4666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0" t="s">
        <v>4743</v>
      </c>
      <c r="H537" s="30" t="s">
        <v>4668</v>
      </c>
      <c r="I537" s="23" t="s">
        <v>4669</v>
      </c>
      <c r="J537" s="24" t="s">
        <v>4789</v>
      </c>
      <c r="K537" s="23" t="s">
        <v>1095</v>
      </c>
      <c r="L537" s="24" t="s">
        <v>4790</v>
      </c>
      <c r="M537" s="24" t="s">
        <v>4791</v>
      </c>
      <c r="N537" s="23" t="s">
        <v>4792</v>
      </c>
      <c r="O537" s="24" t="s">
        <v>4793</v>
      </c>
      <c r="P537" s="24" t="s">
        <v>4757</v>
      </c>
      <c r="Q537" s="24" t="s">
        <v>4794</v>
      </c>
      <c r="R537" s="24"/>
      <c r="S537" s="24" t="s">
        <v>4795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140</v>
      </c>
      <c r="Y537" s="23" t="s">
        <v>140</v>
      </c>
      <c r="Z537" s="23" t="s">
        <v>140</v>
      </c>
      <c r="AA537" s="23" t="s">
        <v>140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</row>
    <row r="538" customFormat="false" ht="26.85" hidden="false" customHeight="false" outlineLevel="0" collapsed="false">
      <c r="A538" s="23" t="n">
        <v>537</v>
      </c>
      <c r="B538" s="30" t="s">
        <v>4796</v>
      </c>
      <c r="C538" s="20" t="n">
        <v>1</v>
      </c>
      <c r="D538" s="20" t="s">
        <v>4666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0" t="s">
        <v>4743</v>
      </c>
      <c r="H538" s="30" t="s">
        <v>4678</v>
      </c>
      <c r="I538" s="23" t="s">
        <v>4669</v>
      </c>
      <c r="J538" s="24" t="s">
        <v>4797</v>
      </c>
      <c r="K538" s="23" t="s">
        <v>1095</v>
      </c>
      <c r="L538" s="24" t="s">
        <v>4798</v>
      </c>
      <c r="M538" s="24" t="s">
        <v>4799</v>
      </c>
      <c r="N538" s="23" t="s">
        <v>4800</v>
      </c>
      <c r="O538" s="24" t="s">
        <v>4801</v>
      </c>
      <c r="P538" s="24" t="s">
        <v>4757</v>
      </c>
      <c r="Q538" s="24" t="s">
        <v>4802</v>
      </c>
      <c r="R538" s="24"/>
      <c r="S538" s="28" t="s">
        <v>4803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140</v>
      </c>
      <c r="Y538" s="23" t="s">
        <v>140</v>
      </c>
      <c r="Z538" s="23" t="s">
        <v>140</v>
      </c>
      <c r="AA538" s="23" t="s">
        <v>140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</row>
    <row r="539" customFormat="false" ht="26.85" hidden="false" customHeight="false" outlineLevel="0" collapsed="false">
      <c r="A539" s="23" t="n">
        <v>538</v>
      </c>
      <c r="B539" s="30" t="s">
        <v>4804</v>
      </c>
      <c r="C539" s="20" t="n">
        <v>1</v>
      </c>
      <c r="D539" s="20" t="s">
        <v>4666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0" t="s">
        <v>4805</v>
      </c>
      <c r="H539" s="30" t="s">
        <v>4806</v>
      </c>
      <c r="I539" s="23" t="s">
        <v>4669</v>
      </c>
      <c r="J539" s="24" t="s">
        <v>4807</v>
      </c>
      <c r="K539" s="23" t="s">
        <v>131</v>
      </c>
      <c r="L539" s="24" t="s">
        <v>4808</v>
      </c>
      <c r="M539" s="24" t="s">
        <v>4809</v>
      </c>
      <c r="N539" s="23" t="s">
        <v>4810</v>
      </c>
      <c r="O539" s="24" t="s">
        <v>4811</v>
      </c>
      <c r="P539" s="24" t="s">
        <v>4812</v>
      </c>
      <c r="Q539" s="24" t="s">
        <v>4813</v>
      </c>
      <c r="R539" s="24"/>
      <c r="S539" s="24" t="s">
        <v>139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140</v>
      </c>
      <c r="Y539" s="23" t="s">
        <v>140</v>
      </c>
      <c r="Z539" s="23" t="s">
        <v>140</v>
      </c>
      <c r="AA539" s="23" t="s">
        <v>140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</row>
    <row r="540" customFormat="false" ht="26.85" hidden="false" customHeight="false" outlineLevel="0" collapsed="false">
      <c r="A540" s="23" t="n">
        <v>539</v>
      </c>
      <c r="B540" s="30" t="s">
        <v>4814</v>
      </c>
      <c r="C540" s="20" t="n">
        <v>1</v>
      </c>
      <c r="D540" s="20" t="s">
        <v>4666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0" t="s">
        <v>4805</v>
      </c>
      <c r="H540" s="30" t="s">
        <v>4806</v>
      </c>
      <c r="I540" s="23" t="s">
        <v>4669</v>
      </c>
      <c r="J540" s="24" t="s">
        <v>4815</v>
      </c>
      <c r="K540" s="23" t="s">
        <v>131</v>
      </c>
      <c r="L540" s="24" t="s">
        <v>4816</v>
      </c>
      <c r="M540" s="24" t="s">
        <v>4817</v>
      </c>
      <c r="N540" s="23" t="s">
        <v>4818</v>
      </c>
      <c r="O540" s="24" t="s">
        <v>4819</v>
      </c>
      <c r="P540" s="24" t="s">
        <v>4778</v>
      </c>
      <c r="Q540" s="24" t="s">
        <v>4820</v>
      </c>
      <c r="R540" s="24"/>
      <c r="S540" s="24" t="s">
        <v>139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140</v>
      </c>
      <c r="Y540" s="23" t="s">
        <v>140</v>
      </c>
      <c r="Z540" s="23" t="s">
        <v>140</v>
      </c>
      <c r="AA540" s="23" t="s">
        <v>140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</row>
    <row r="541" customFormat="false" ht="26.85" hidden="false" customHeight="false" outlineLevel="0" collapsed="false">
      <c r="A541" s="23" t="n">
        <v>540</v>
      </c>
      <c r="B541" s="30" t="s">
        <v>4821</v>
      </c>
      <c r="C541" s="23" t="n">
        <v>2</v>
      </c>
      <c r="D541" s="23" t="s">
        <v>4666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0" t="s">
        <v>4805</v>
      </c>
      <c r="H541" s="30" t="s">
        <v>4668</v>
      </c>
      <c r="I541" s="23" t="s">
        <v>4669</v>
      </c>
      <c r="J541" s="24" t="s">
        <v>4822</v>
      </c>
      <c r="K541" s="23" t="s">
        <v>131</v>
      </c>
      <c r="L541" s="24" t="s">
        <v>4823</v>
      </c>
      <c r="M541" s="24" t="s">
        <v>4824</v>
      </c>
      <c r="N541" s="23" t="s">
        <v>4825</v>
      </c>
      <c r="O541" s="24" t="s">
        <v>4826</v>
      </c>
      <c r="P541" s="24" t="s">
        <v>4827</v>
      </c>
      <c r="Q541" s="24" t="s">
        <v>4828</v>
      </c>
      <c r="R541" s="25" t="s">
        <v>4829</v>
      </c>
      <c r="S541" s="24" t="s">
        <v>4830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140</v>
      </c>
      <c r="Y541" s="23" t="s">
        <v>140</v>
      </c>
      <c r="Z541" s="23" t="s">
        <v>140</v>
      </c>
      <c r="AA541" s="23" t="s">
        <v>140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</row>
    <row r="542" customFormat="false" ht="26.85" hidden="false" customHeight="false" outlineLevel="0" collapsed="false">
      <c r="A542" s="23" t="n">
        <v>541</v>
      </c>
      <c r="B542" s="30" t="s">
        <v>4831</v>
      </c>
      <c r="C542" s="23" t="n">
        <v>2</v>
      </c>
      <c r="D542" s="23" t="s">
        <v>4666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0" t="s">
        <v>4805</v>
      </c>
      <c r="H542" s="30" t="s">
        <v>4668</v>
      </c>
      <c r="I542" s="23" t="s">
        <v>4669</v>
      </c>
      <c r="J542" s="24" t="s">
        <v>4832</v>
      </c>
      <c r="K542" s="23" t="s">
        <v>131</v>
      </c>
      <c r="L542" s="24" t="s">
        <v>4833</v>
      </c>
      <c r="M542" s="24" t="s">
        <v>4834</v>
      </c>
      <c r="N542" s="23" t="s">
        <v>4835</v>
      </c>
      <c r="O542" s="24" t="s">
        <v>4836</v>
      </c>
      <c r="P542" s="24" t="s">
        <v>4837</v>
      </c>
      <c r="Q542" s="24" t="s">
        <v>4838</v>
      </c>
      <c r="R542" s="24"/>
      <c r="S542" s="24" t="s">
        <v>4830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140</v>
      </c>
      <c r="Y542" s="23" t="s">
        <v>140</v>
      </c>
      <c r="Z542" s="23" t="s">
        <v>140</v>
      </c>
      <c r="AA542" s="23" t="s">
        <v>140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</row>
    <row r="543" customFormat="false" ht="39.55" hidden="false" customHeight="false" outlineLevel="0" collapsed="false">
      <c r="A543" s="23" t="n">
        <v>542</v>
      </c>
      <c r="B543" s="30" t="s">
        <v>4839</v>
      </c>
      <c r="C543" s="20" t="n">
        <v>1</v>
      </c>
      <c r="D543" s="20" t="s">
        <v>4666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0" t="s">
        <v>4805</v>
      </c>
      <c r="H543" s="30" t="s">
        <v>4806</v>
      </c>
      <c r="I543" s="23" t="s">
        <v>4669</v>
      </c>
      <c r="J543" s="24" t="s">
        <v>4840</v>
      </c>
      <c r="K543" s="23" t="s">
        <v>131</v>
      </c>
      <c r="L543" s="24" t="s">
        <v>4841</v>
      </c>
      <c r="M543" s="29" t="s">
        <v>4842</v>
      </c>
      <c r="N543" s="23" t="s">
        <v>4843</v>
      </c>
      <c r="O543" s="24" t="s">
        <v>4844</v>
      </c>
      <c r="P543" s="24" t="s">
        <v>4845</v>
      </c>
      <c r="Q543" s="24" t="s">
        <v>4846</v>
      </c>
      <c r="R543" s="24"/>
      <c r="S543" s="28" t="s">
        <v>4847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140</v>
      </c>
      <c r="Y543" s="23" t="s">
        <v>140</v>
      </c>
      <c r="Z543" s="23" t="s">
        <v>140</v>
      </c>
      <c r="AA543" s="23" t="s">
        <v>140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</row>
    <row r="544" customFormat="false" ht="26.85" hidden="false" customHeight="false" outlineLevel="0" collapsed="false">
      <c r="A544" s="23" t="n">
        <v>543</v>
      </c>
      <c r="B544" s="30" t="s">
        <v>4848</v>
      </c>
      <c r="C544" s="23" t="n">
        <v>2</v>
      </c>
      <c r="D544" s="23" t="s">
        <v>4666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0" t="s">
        <v>4805</v>
      </c>
      <c r="H544" s="30" t="s">
        <v>4668</v>
      </c>
      <c r="I544" s="23" t="s">
        <v>4669</v>
      </c>
      <c r="J544" s="24" t="s">
        <v>4849</v>
      </c>
      <c r="K544" s="23" t="s">
        <v>131</v>
      </c>
      <c r="L544" s="24" t="s">
        <v>4850</v>
      </c>
      <c r="M544" s="24" t="s">
        <v>4851</v>
      </c>
      <c r="N544" s="23" t="s">
        <v>4852</v>
      </c>
      <c r="O544" s="24" t="s">
        <v>4853</v>
      </c>
      <c r="P544" s="24" t="s">
        <v>4854</v>
      </c>
      <c r="Q544" s="24" t="s">
        <v>4855</v>
      </c>
      <c r="R544" s="24"/>
      <c r="S544" s="24" t="s">
        <v>4856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140</v>
      </c>
      <c r="Y544" s="23" t="s">
        <v>140</v>
      </c>
      <c r="Z544" s="23" t="s">
        <v>140</v>
      </c>
      <c r="AA544" s="23" t="s">
        <v>140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</row>
    <row r="545" customFormat="false" ht="26.85" hidden="false" customHeight="false" outlineLevel="0" collapsed="false">
      <c r="A545" s="23" t="n">
        <v>544</v>
      </c>
      <c r="B545" s="30" t="s">
        <v>4857</v>
      </c>
      <c r="C545" s="23" t="n">
        <v>2</v>
      </c>
      <c r="D545" s="23" t="s">
        <v>4666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0" t="s">
        <v>4805</v>
      </c>
      <c r="H545" s="30" t="s">
        <v>4668</v>
      </c>
      <c r="I545" s="23" t="s">
        <v>4669</v>
      </c>
      <c r="J545" s="24" t="s">
        <v>4858</v>
      </c>
      <c r="K545" s="23" t="s">
        <v>131</v>
      </c>
      <c r="L545" s="24" t="s">
        <v>4859</v>
      </c>
      <c r="M545" s="24" t="s">
        <v>4860</v>
      </c>
      <c r="N545" s="23" t="s">
        <v>4861</v>
      </c>
      <c r="O545" s="24" t="s">
        <v>4862</v>
      </c>
      <c r="P545" s="24" t="s">
        <v>4863</v>
      </c>
      <c r="Q545" s="24" t="s">
        <v>4864</v>
      </c>
      <c r="R545" s="24"/>
      <c r="S545" s="24" t="s">
        <v>4856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140</v>
      </c>
      <c r="Y545" s="23" t="s">
        <v>140</v>
      </c>
      <c r="Z545" s="23" t="s">
        <v>140</v>
      </c>
      <c r="AA545" s="23" t="s">
        <v>140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</row>
    <row r="546" customFormat="false" ht="26.85" hidden="false" customHeight="false" outlineLevel="0" collapsed="false">
      <c r="A546" s="23" t="n">
        <v>545</v>
      </c>
      <c r="B546" s="30" t="s">
        <v>4865</v>
      </c>
      <c r="C546" s="23" t="n">
        <v>2</v>
      </c>
      <c r="D546" s="23" t="s">
        <v>4666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0" t="s">
        <v>4805</v>
      </c>
      <c r="H546" s="30" t="s">
        <v>4668</v>
      </c>
      <c r="I546" s="23" t="s">
        <v>4669</v>
      </c>
      <c r="J546" s="24" t="s">
        <v>4866</v>
      </c>
      <c r="K546" s="23" t="s">
        <v>1095</v>
      </c>
      <c r="L546" s="24" t="s">
        <v>4867</v>
      </c>
      <c r="M546" s="24" t="s">
        <v>4868</v>
      </c>
      <c r="N546" s="23" t="s">
        <v>4869</v>
      </c>
      <c r="O546" s="24" t="s">
        <v>4870</v>
      </c>
      <c r="P546" s="24" t="s">
        <v>4871</v>
      </c>
      <c r="Q546" s="24" t="s">
        <v>4872</v>
      </c>
      <c r="R546" s="25" t="s">
        <v>4873</v>
      </c>
      <c r="S546" s="24" t="s">
        <v>4856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140</v>
      </c>
      <c r="Y546" s="23" t="s">
        <v>140</v>
      </c>
      <c r="Z546" s="23" t="s">
        <v>140</v>
      </c>
      <c r="AA546" s="23" t="s">
        <v>140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</row>
    <row r="547" customFormat="false" ht="52.2" hidden="false" customHeight="false" outlineLevel="0" collapsed="false">
      <c r="A547" s="23" t="n">
        <v>546</v>
      </c>
      <c r="B547" s="30" t="s">
        <v>4874</v>
      </c>
      <c r="C547" s="20" t="n">
        <v>1</v>
      </c>
      <c r="D547" s="20" t="s">
        <v>4666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0" t="s">
        <v>4805</v>
      </c>
      <c r="H547" s="30" t="s">
        <v>4806</v>
      </c>
      <c r="I547" s="23" t="s">
        <v>4669</v>
      </c>
      <c r="J547" s="24" t="s">
        <v>4875</v>
      </c>
      <c r="K547" s="23" t="s">
        <v>131</v>
      </c>
      <c r="L547" s="24" t="s">
        <v>4876</v>
      </c>
      <c r="M547" s="24" t="s">
        <v>4877</v>
      </c>
      <c r="N547" s="23" t="s">
        <v>4878</v>
      </c>
      <c r="O547" s="24" t="s">
        <v>4879</v>
      </c>
      <c r="P547" s="24" t="s">
        <v>4880</v>
      </c>
      <c r="Q547" s="24" t="s">
        <v>4881</v>
      </c>
      <c r="R547" s="25" t="s">
        <v>4882</v>
      </c>
      <c r="S547" s="28" t="s">
        <v>4883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140</v>
      </c>
      <c r="Y547" s="23" t="s">
        <v>140</v>
      </c>
      <c r="Z547" s="23" t="s">
        <v>140</v>
      </c>
      <c r="AA547" s="23" t="s">
        <v>140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</row>
    <row r="548" customFormat="false" ht="26.85" hidden="false" customHeight="false" outlineLevel="0" collapsed="false">
      <c r="A548" s="23" t="n">
        <v>547</v>
      </c>
      <c r="B548" s="30" t="s">
        <v>4884</v>
      </c>
      <c r="C548" s="23" t="n">
        <v>2</v>
      </c>
      <c r="D548" s="23" t="s">
        <v>4666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0" t="s">
        <v>4805</v>
      </c>
      <c r="H548" s="30" t="s">
        <v>4668</v>
      </c>
      <c r="I548" s="23" t="s">
        <v>4669</v>
      </c>
      <c r="J548" s="24" t="s">
        <v>4885</v>
      </c>
      <c r="K548" s="23" t="s">
        <v>1095</v>
      </c>
      <c r="L548" s="24" t="s">
        <v>4886</v>
      </c>
      <c r="M548" s="24" t="s">
        <v>4887</v>
      </c>
      <c r="N548" s="23" t="s">
        <v>4888</v>
      </c>
      <c r="O548" s="24" t="s">
        <v>4889</v>
      </c>
      <c r="P548" s="24" t="s">
        <v>4778</v>
      </c>
      <c r="Q548" s="24" t="s">
        <v>4890</v>
      </c>
      <c r="R548" s="25" t="s">
        <v>4891</v>
      </c>
      <c r="S548" s="24" t="s">
        <v>4892</v>
      </c>
      <c r="T548" s="24" t="str">
        <f aca="false">"["&amp;안내!$C$5&amp;" "&amp;F548&amp;"] "&amp;L548&amp;" | "&amp;J548</f>
        <v>[1분 성경 신약 #115] 천국은 마치 | 마 13:24-52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140</v>
      </c>
      <c r="Y548" s="23" t="s">
        <v>140</v>
      </c>
      <c r="Z548" s="23" t="s">
        <v>140</v>
      </c>
      <c r="AA548" s="23" t="s">
        <v>140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</row>
    <row r="549" customFormat="false" ht="25.35" hidden="false" customHeight="false" outlineLevel="0" collapsed="false">
      <c r="A549" s="23" t="n">
        <v>548</v>
      </c>
      <c r="B549" s="30" t="s">
        <v>4893</v>
      </c>
      <c r="C549" s="23" t="n">
        <v>2</v>
      </c>
      <c r="D549" s="23" t="s">
        <v>4666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0" t="s">
        <v>4894</v>
      </c>
      <c r="H549" s="30" t="s">
        <v>4895</v>
      </c>
      <c r="I549" s="23" t="s">
        <v>4669</v>
      </c>
      <c r="J549" s="24" t="s">
        <v>4896</v>
      </c>
      <c r="K549" s="23" t="s">
        <v>131</v>
      </c>
      <c r="L549" s="24" t="s">
        <v>4897</v>
      </c>
      <c r="M549" s="24" t="s">
        <v>4898</v>
      </c>
      <c r="N549" s="23" t="s">
        <v>4899</v>
      </c>
      <c r="O549" s="24" t="s">
        <v>4900</v>
      </c>
      <c r="P549" s="24" t="s">
        <v>4901</v>
      </c>
      <c r="Q549" s="24" t="s">
        <v>4902</v>
      </c>
      <c r="R549" s="25" t="s">
        <v>4903</v>
      </c>
      <c r="S549" s="24" t="s">
        <v>4892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140</v>
      </c>
      <c r="Y549" s="23" t="s">
        <v>140</v>
      </c>
      <c r="Z549" s="23" t="s">
        <v>140</v>
      </c>
      <c r="AA549" s="23" t="s">
        <v>140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</row>
    <row r="550" customFormat="false" ht="39.55" hidden="false" customHeight="false" outlineLevel="0" collapsed="false">
      <c r="A550" s="23" t="n">
        <v>549</v>
      </c>
      <c r="B550" s="30" t="s">
        <v>4904</v>
      </c>
      <c r="C550" s="20" t="n">
        <v>1</v>
      </c>
      <c r="D550" s="20" t="s">
        <v>4666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0" t="s">
        <v>4894</v>
      </c>
      <c r="H550" s="30" t="s">
        <v>4806</v>
      </c>
      <c r="I550" s="23" t="s">
        <v>4669</v>
      </c>
      <c r="J550" s="24" t="s">
        <v>4905</v>
      </c>
      <c r="K550" s="23" t="s">
        <v>131</v>
      </c>
      <c r="L550" s="24" t="s">
        <v>4906</v>
      </c>
      <c r="M550" s="24" t="s">
        <v>4907</v>
      </c>
      <c r="N550" s="23" t="s">
        <v>4908</v>
      </c>
      <c r="O550" s="24" t="s">
        <v>4909</v>
      </c>
      <c r="P550" s="24" t="s">
        <v>4749</v>
      </c>
      <c r="Q550" s="24" t="s">
        <v>4910</v>
      </c>
      <c r="R550" s="24"/>
      <c r="S550" s="28" t="s">
        <v>4911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140</v>
      </c>
      <c r="Y550" s="23" t="s">
        <v>140</v>
      </c>
      <c r="Z550" s="23" t="s">
        <v>140</v>
      </c>
      <c r="AA550" s="23" t="s">
        <v>140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</row>
    <row r="551" customFormat="false" ht="15" hidden="false" customHeight="false" outlineLevel="0" collapsed="false">
      <c r="A551" s="23" t="n">
        <v>550</v>
      </c>
      <c r="B551" s="30" t="s">
        <v>4912</v>
      </c>
      <c r="C551" s="20" t="n">
        <v>1</v>
      </c>
      <c r="D551" s="20" t="s">
        <v>4666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0" t="s">
        <v>4894</v>
      </c>
      <c r="H551" s="30" t="s">
        <v>4806</v>
      </c>
      <c r="I551" s="23" t="s">
        <v>4669</v>
      </c>
      <c r="J551" s="24" t="s">
        <v>4913</v>
      </c>
      <c r="K551" s="23" t="s">
        <v>131</v>
      </c>
      <c r="L551" s="24" t="s">
        <v>4914</v>
      </c>
      <c r="M551" s="24" t="s">
        <v>4915</v>
      </c>
      <c r="N551" s="23" t="s">
        <v>4916</v>
      </c>
      <c r="O551" s="24" t="s">
        <v>4917</v>
      </c>
      <c r="P551" s="24" t="s">
        <v>4918</v>
      </c>
      <c r="Q551" s="24" t="s">
        <v>4919</v>
      </c>
      <c r="R551" s="24"/>
      <c r="S551" s="24" t="s">
        <v>139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140</v>
      </c>
      <c r="Y551" s="23" t="s">
        <v>140</v>
      </c>
      <c r="Z551" s="23" t="s">
        <v>140</v>
      </c>
      <c r="AA551" s="23" t="s">
        <v>140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</row>
    <row r="552" customFormat="false" ht="26.85" hidden="false" customHeight="false" outlineLevel="0" collapsed="false">
      <c r="A552" s="23" t="n">
        <v>551</v>
      </c>
      <c r="B552" s="30" t="s">
        <v>4920</v>
      </c>
      <c r="C552" s="23" t="n">
        <v>2</v>
      </c>
      <c r="D552" s="23" t="s">
        <v>4666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0" t="s">
        <v>4894</v>
      </c>
      <c r="H552" s="30" t="s">
        <v>4895</v>
      </c>
      <c r="I552" s="23" t="s">
        <v>4669</v>
      </c>
      <c r="J552" s="24" t="s">
        <v>4921</v>
      </c>
      <c r="K552" s="23" t="s">
        <v>131</v>
      </c>
      <c r="L552" s="24" t="s">
        <v>4922</v>
      </c>
      <c r="M552" s="24" t="s">
        <v>4923</v>
      </c>
      <c r="N552" s="23" t="s">
        <v>4924</v>
      </c>
      <c r="O552" s="24" t="s">
        <v>4925</v>
      </c>
      <c r="P552" s="24" t="s">
        <v>4926</v>
      </c>
      <c r="Q552" s="24" t="s">
        <v>4927</v>
      </c>
      <c r="R552" s="24"/>
      <c r="S552" s="24" t="s">
        <v>4928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140</v>
      </c>
      <c r="Y552" s="23" t="s">
        <v>140</v>
      </c>
      <c r="Z552" s="23" t="s">
        <v>140</v>
      </c>
      <c r="AA552" s="23" t="s">
        <v>140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</row>
    <row r="553" customFormat="false" ht="26.85" hidden="false" customHeight="false" outlineLevel="0" collapsed="false">
      <c r="A553" s="23" t="n">
        <v>552</v>
      </c>
      <c r="B553" s="30" t="s">
        <v>4929</v>
      </c>
      <c r="C553" s="23" t="n">
        <v>2</v>
      </c>
      <c r="D553" s="23" t="s">
        <v>4666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0" t="s">
        <v>4894</v>
      </c>
      <c r="H553" s="30" t="s">
        <v>4895</v>
      </c>
      <c r="I553" s="23" t="s">
        <v>4669</v>
      </c>
      <c r="J553" s="24" t="s">
        <v>4930</v>
      </c>
      <c r="K553" s="23" t="s">
        <v>131</v>
      </c>
      <c r="L553" s="24" t="s">
        <v>4931</v>
      </c>
      <c r="M553" s="24" t="s">
        <v>4932</v>
      </c>
      <c r="N553" s="23" t="s">
        <v>4933</v>
      </c>
      <c r="O553" s="24" t="s">
        <v>4934</v>
      </c>
      <c r="P553" s="24" t="s">
        <v>4935</v>
      </c>
      <c r="Q553" s="24" t="s">
        <v>4936</v>
      </c>
      <c r="R553" s="24"/>
      <c r="S553" s="24" t="s">
        <v>4928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140</v>
      </c>
      <c r="Y553" s="23" t="s">
        <v>140</v>
      </c>
      <c r="Z553" s="23" t="s">
        <v>140</v>
      </c>
      <c r="AA553" s="23" t="s">
        <v>140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</row>
    <row r="554" customFormat="false" ht="39.55" hidden="false" customHeight="false" outlineLevel="0" collapsed="false">
      <c r="A554" s="23" t="n">
        <v>553</v>
      </c>
      <c r="B554" s="30" t="s">
        <v>4937</v>
      </c>
      <c r="C554" s="20" t="n">
        <v>1</v>
      </c>
      <c r="D554" s="20" t="s">
        <v>4666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0" t="s">
        <v>4894</v>
      </c>
      <c r="H554" s="30" t="s">
        <v>4806</v>
      </c>
      <c r="I554" s="23" t="s">
        <v>4669</v>
      </c>
      <c r="J554" s="24" t="s">
        <v>4938</v>
      </c>
      <c r="K554" s="23" t="s">
        <v>131</v>
      </c>
      <c r="L554" s="24" t="s">
        <v>4939</v>
      </c>
      <c r="M554" s="24" t="s">
        <v>4940</v>
      </c>
      <c r="N554" s="23" t="s">
        <v>4941</v>
      </c>
      <c r="O554" s="24" t="s">
        <v>4942</v>
      </c>
      <c r="P554" s="24" t="s">
        <v>4918</v>
      </c>
      <c r="Q554" s="24" t="s">
        <v>4943</v>
      </c>
      <c r="R554" s="27" t="s">
        <v>4944</v>
      </c>
      <c r="S554" s="28" t="s">
        <v>4945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140</v>
      </c>
      <c r="Y554" s="23" t="s">
        <v>140</v>
      </c>
      <c r="Z554" s="23" t="s">
        <v>140</v>
      </c>
      <c r="AA554" s="23" t="s">
        <v>140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</row>
    <row r="555" customFormat="false" ht="26.85" hidden="false" customHeight="false" outlineLevel="0" collapsed="false">
      <c r="A555" s="23" t="n">
        <v>554</v>
      </c>
      <c r="B555" s="30" t="s">
        <v>4946</v>
      </c>
      <c r="C555" s="20" t="n">
        <v>1</v>
      </c>
      <c r="D555" s="20" t="s">
        <v>4666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0" t="s">
        <v>4894</v>
      </c>
      <c r="H555" s="30" t="s">
        <v>4806</v>
      </c>
      <c r="I555" s="23" t="s">
        <v>4669</v>
      </c>
      <c r="J555" s="24" t="s">
        <v>4947</v>
      </c>
      <c r="K555" s="23" t="s">
        <v>131</v>
      </c>
      <c r="L555" s="24" t="s">
        <v>4948</v>
      </c>
      <c r="M555" s="24" t="s">
        <v>4949</v>
      </c>
      <c r="N555" s="23" t="s">
        <v>4950</v>
      </c>
      <c r="O555" s="24" t="s">
        <v>4951</v>
      </c>
      <c r="P555" s="24" t="s">
        <v>4952</v>
      </c>
      <c r="Q555" s="24" t="s">
        <v>4953</v>
      </c>
      <c r="R555" s="24"/>
      <c r="S555" s="24" t="s">
        <v>139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140</v>
      </c>
      <c r="Y555" s="23" t="s">
        <v>140</v>
      </c>
      <c r="Z555" s="23" t="s">
        <v>140</v>
      </c>
      <c r="AA555" s="23" t="s">
        <v>140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</row>
    <row r="556" customFormat="false" ht="26.85" hidden="false" customHeight="false" outlineLevel="0" collapsed="false">
      <c r="A556" s="23" t="n">
        <v>555</v>
      </c>
      <c r="B556" s="30" t="s">
        <v>4954</v>
      </c>
      <c r="C556" s="23" t="n">
        <v>2</v>
      </c>
      <c r="D556" s="23" t="s">
        <v>4666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0" t="s">
        <v>4894</v>
      </c>
      <c r="H556" s="30" t="s">
        <v>4895</v>
      </c>
      <c r="I556" s="23" t="s">
        <v>4669</v>
      </c>
      <c r="J556" s="24" t="s">
        <v>4955</v>
      </c>
      <c r="K556" s="23" t="s">
        <v>131</v>
      </c>
      <c r="L556" s="24" t="s">
        <v>4956</v>
      </c>
      <c r="M556" s="24" t="s">
        <v>4957</v>
      </c>
      <c r="N556" s="23" t="s">
        <v>4958</v>
      </c>
      <c r="O556" s="24" t="s">
        <v>4959</v>
      </c>
      <c r="P556" s="24" t="s">
        <v>4960</v>
      </c>
      <c r="Q556" s="24" t="s">
        <v>4961</v>
      </c>
      <c r="R556" s="24"/>
      <c r="S556" s="24" t="s">
        <v>4962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140</v>
      </c>
      <c r="Y556" s="23" t="s">
        <v>140</v>
      </c>
      <c r="Z556" s="23" t="s">
        <v>140</v>
      </c>
      <c r="AA556" s="23" t="s">
        <v>140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</row>
    <row r="557" customFormat="false" ht="26.85" hidden="false" customHeight="false" outlineLevel="0" collapsed="false">
      <c r="A557" s="23" t="n">
        <v>556</v>
      </c>
      <c r="B557" s="30" t="s">
        <v>4963</v>
      </c>
      <c r="C557" s="20" t="n">
        <v>1</v>
      </c>
      <c r="D557" s="20" t="s">
        <v>4666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0" t="s">
        <v>4894</v>
      </c>
      <c r="H557" s="30" t="s">
        <v>4806</v>
      </c>
      <c r="I557" s="23" t="s">
        <v>4669</v>
      </c>
      <c r="J557" s="24" t="s">
        <v>4964</v>
      </c>
      <c r="K557" s="23" t="s">
        <v>131</v>
      </c>
      <c r="L557" s="24" t="s">
        <v>4965</v>
      </c>
      <c r="M557" s="24" t="s">
        <v>4966</v>
      </c>
      <c r="N557" s="23" t="s">
        <v>4967</v>
      </c>
      <c r="O557" s="24" t="s">
        <v>4968</v>
      </c>
      <c r="P557" s="24" t="s">
        <v>4969</v>
      </c>
      <c r="Q557" s="24" t="s">
        <v>4970</v>
      </c>
      <c r="R557" s="24"/>
      <c r="S557" s="28" t="s">
        <v>4971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140</v>
      </c>
      <c r="Y557" s="23" t="s">
        <v>140</v>
      </c>
      <c r="Z557" s="23" t="s">
        <v>140</v>
      </c>
      <c r="AA557" s="23" t="s">
        <v>140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</row>
    <row r="558" customFormat="false" ht="26.85" hidden="false" customHeight="false" outlineLevel="0" collapsed="false">
      <c r="A558" s="23" t="n">
        <v>557</v>
      </c>
      <c r="B558" s="30" t="s">
        <v>4972</v>
      </c>
      <c r="C558" s="20" t="n">
        <v>1</v>
      </c>
      <c r="D558" s="20" t="s">
        <v>4666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0" t="s">
        <v>4894</v>
      </c>
      <c r="H558" s="30" t="s">
        <v>4806</v>
      </c>
      <c r="I558" s="23" t="s">
        <v>4669</v>
      </c>
      <c r="J558" s="24" t="s">
        <v>4973</v>
      </c>
      <c r="K558" s="23" t="s">
        <v>131</v>
      </c>
      <c r="L558" s="24" t="s">
        <v>4974</v>
      </c>
      <c r="M558" s="24" t="s">
        <v>4975</v>
      </c>
      <c r="N558" s="23" t="s">
        <v>4976</v>
      </c>
      <c r="O558" s="24" t="s">
        <v>4977</v>
      </c>
      <c r="P558" s="24" t="s">
        <v>4978</v>
      </c>
      <c r="Q558" s="24" t="s">
        <v>4979</v>
      </c>
      <c r="R558" s="24"/>
      <c r="S558" s="24" t="s">
        <v>139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140</v>
      </c>
      <c r="Y558" s="23" t="s">
        <v>140</v>
      </c>
      <c r="Z558" s="23" t="s">
        <v>140</v>
      </c>
      <c r="AA558" s="23" t="s">
        <v>140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</row>
    <row r="559" customFormat="false" ht="39.55" hidden="false" customHeight="false" outlineLevel="0" collapsed="false">
      <c r="A559" s="23" t="n">
        <v>558</v>
      </c>
      <c r="B559" s="30" t="s">
        <v>4980</v>
      </c>
      <c r="C559" s="23" t="n">
        <v>2</v>
      </c>
      <c r="D559" s="23" t="s">
        <v>4666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0" t="s">
        <v>4894</v>
      </c>
      <c r="H559" s="30" t="s">
        <v>4895</v>
      </c>
      <c r="I559" s="23" t="s">
        <v>4669</v>
      </c>
      <c r="J559" s="24" t="s">
        <v>4981</v>
      </c>
      <c r="K559" s="23" t="s">
        <v>131</v>
      </c>
      <c r="L559" s="24" t="s">
        <v>4982</v>
      </c>
      <c r="M559" s="24" t="s">
        <v>4983</v>
      </c>
      <c r="N559" s="23" t="s">
        <v>4984</v>
      </c>
      <c r="O559" s="24" t="s">
        <v>4985</v>
      </c>
      <c r="P559" s="24" t="s">
        <v>4986</v>
      </c>
      <c r="Q559" s="24" t="s">
        <v>4987</v>
      </c>
      <c r="R559" s="24"/>
      <c r="S559" s="24" t="s">
        <v>4988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140</v>
      </c>
      <c r="Y559" s="23" t="s">
        <v>140</v>
      </c>
      <c r="Z559" s="23" t="s">
        <v>140</v>
      </c>
      <c r="AA559" s="23" t="s">
        <v>140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</row>
    <row r="560" customFormat="false" ht="26.85" hidden="false" customHeight="false" outlineLevel="0" collapsed="false">
      <c r="A560" s="23" t="n">
        <v>559</v>
      </c>
      <c r="B560" s="30" t="s">
        <v>4989</v>
      </c>
      <c r="C560" s="20" t="n">
        <v>1</v>
      </c>
      <c r="D560" s="20" t="s">
        <v>4666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0" t="s">
        <v>4990</v>
      </c>
      <c r="H560" s="30" t="s">
        <v>4991</v>
      </c>
      <c r="I560" s="23" t="s">
        <v>4669</v>
      </c>
      <c r="J560" s="24" t="s">
        <v>4992</v>
      </c>
      <c r="K560" s="23" t="s">
        <v>131</v>
      </c>
      <c r="L560" s="24" t="s">
        <v>4993</v>
      </c>
      <c r="M560" s="24" t="s">
        <v>4994</v>
      </c>
      <c r="N560" s="23" t="s">
        <v>4995</v>
      </c>
      <c r="O560" s="24" t="s">
        <v>4996</v>
      </c>
      <c r="P560" s="24" t="s">
        <v>4749</v>
      </c>
      <c r="Q560" s="24" t="s">
        <v>4997</v>
      </c>
      <c r="R560" s="24"/>
      <c r="S560" s="28" t="s">
        <v>4998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140</v>
      </c>
      <c r="Y560" s="23" t="s">
        <v>140</v>
      </c>
      <c r="Z560" s="23" t="s">
        <v>140</v>
      </c>
      <c r="AA560" s="23" t="s">
        <v>140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</row>
    <row r="561" customFormat="false" ht="26.85" hidden="false" customHeight="false" outlineLevel="0" collapsed="false">
      <c r="A561" s="23" t="n">
        <v>560</v>
      </c>
      <c r="B561" s="30" t="s">
        <v>4999</v>
      </c>
      <c r="C561" s="23" t="n">
        <v>2</v>
      </c>
      <c r="D561" s="23" t="s">
        <v>4666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0" t="s">
        <v>4990</v>
      </c>
      <c r="H561" s="30" t="s">
        <v>4895</v>
      </c>
      <c r="I561" s="23" t="s">
        <v>4669</v>
      </c>
      <c r="J561" s="24" t="s">
        <v>5000</v>
      </c>
      <c r="K561" s="23" t="s">
        <v>131</v>
      </c>
      <c r="L561" s="24" t="s">
        <v>5001</v>
      </c>
      <c r="M561" s="24" t="s">
        <v>5002</v>
      </c>
      <c r="N561" s="23" t="s">
        <v>5003</v>
      </c>
      <c r="O561" s="24" t="s">
        <v>5004</v>
      </c>
      <c r="P561" s="24" t="s">
        <v>5005</v>
      </c>
      <c r="Q561" s="24" t="s">
        <v>2465</v>
      </c>
      <c r="R561" s="24"/>
      <c r="S561" s="24" t="s">
        <v>5006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140</v>
      </c>
      <c r="Y561" s="23" t="s">
        <v>140</v>
      </c>
      <c r="Z561" s="23" t="s">
        <v>140</v>
      </c>
      <c r="AA561" s="23" t="s">
        <v>140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</row>
    <row r="562" customFormat="false" ht="26.85" hidden="false" customHeight="false" outlineLevel="0" collapsed="false">
      <c r="A562" s="23" t="n">
        <v>561</v>
      </c>
      <c r="B562" s="30" t="s">
        <v>5007</v>
      </c>
      <c r="C562" s="23" t="n">
        <v>2</v>
      </c>
      <c r="D562" s="23" t="s">
        <v>4666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0" t="s">
        <v>4990</v>
      </c>
      <c r="H562" s="30" t="s">
        <v>4895</v>
      </c>
      <c r="I562" s="23" t="s">
        <v>4669</v>
      </c>
      <c r="J562" s="24" t="s">
        <v>5008</v>
      </c>
      <c r="K562" s="23" t="s">
        <v>131</v>
      </c>
      <c r="L562" s="24" t="s">
        <v>5009</v>
      </c>
      <c r="M562" s="24" t="s">
        <v>5010</v>
      </c>
      <c r="N562" s="23" t="s">
        <v>5011</v>
      </c>
      <c r="O562" s="24" t="s">
        <v>5012</v>
      </c>
      <c r="P562" s="24" t="s">
        <v>5013</v>
      </c>
      <c r="Q562" s="24" t="s">
        <v>2465</v>
      </c>
      <c r="R562" s="24"/>
      <c r="S562" s="24" t="s">
        <v>5006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140</v>
      </c>
      <c r="Y562" s="23" t="s">
        <v>140</v>
      </c>
      <c r="Z562" s="23" t="s">
        <v>140</v>
      </c>
      <c r="AA562" s="23" t="s">
        <v>140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</row>
    <row r="563" customFormat="false" ht="26.85" hidden="false" customHeight="false" outlineLevel="0" collapsed="false">
      <c r="A563" s="23" t="n">
        <v>562</v>
      </c>
      <c r="B563" s="30" t="s">
        <v>5014</v>
      </c>
      <c r="C563" s="23" t="n">
        <v>2</v>
      </c>
      <c r="D563" s="23" t="s">
        <v>4666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0" t="s">
        <v>4990</v>
      </c>
      <c r="H563" s="30" t="s">
        <v>4895</v>
      </c>
      <c r="I563" s="23" t="s">
        <v>4669</v>
      </c>
      <c r="J563" s="24" t="s">
        <v>5015</v>
      </c>
      <c r="K563" s="23" t="s">
        <v>131</v>
      </c>
      <c r="L563" s="24" t="s">
        <v>5016</v>
      </c>
      <c r="M563" s="24" t="s">
        <v>5017</v>
      </c>
      <c r="N563" s="23" t="s">
        <v>5018</v>
      </c>
      <c r="O563" s="24" t="s">
        <v>5019</v>
      </c>
      <c r="P563" s="24" t="s">
        <v>5020</v>
      </c>
      <c r="Q563" s="24" t="s">
        <v>5021</v>
      </c>
      <c r="R563" s="24"/>
      <c r="S563" s="24" t="s">
        <v>5006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140</v>
      </c>
      <c r="Y563" s="23" t="s">
        <v>140</v>
      </c>
      <c r="Z563" s="23" t="s">
        <v>140</v>
      </c>
      <c r="AA563" s="23" t="s">
        <v>140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</row>
    <row r="564" customFormat="false" ht="26.85" hidden="false" customHeight="false" outlineLevel="0" collapsed="false">
      <c r="A564" s="23" t="n">
        <v>563</v>
      </c>
      <c r="B564" s="30" t="s">
        <v>5022</v>
      </c>
      <c r="C564" s="23" t="n">
        <v>2</v>
      </c>
      <c r="D564" s="23" t="s">
        <v>4666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0" t="s">
        <v>4990</v>
      </c>
      <c r="H564" s="30" t="s">
        <v>4895</v>
      </c>
      <c r="I564" s="23" t="s">
        <v>4669</v>
      </c>
      <c r="J564" s="24" t="s">
        <v>5023</v>
      </c>
      <c r="K564" s="23" t="s">
        <v>131</v>
      </c>
      <c r="L564" s="24" t="s">
        <v>5024</v>
      </c>
      <c r="M564" s="24" t="s">
        <v>5025</v>
      </c>
      <c r="N564" s="23" t="s">
        <v>5026</v>
      </c>
      <c r="O564" s="24" t="s">
        <v>5027</v>
      </c>
      <c r="P564" s="24" t="s">
        <v>4778</v>
      </c>
      <c r="Q564" s="24" t="s">
        <v>5028</v>
      </c>
      <c r="R564" s="25" t="s">
        <v>5029</v>
      </c>
      <c r="S564" s="24" t="s">
        <v>5006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140</v>
      </c>
      <c r="Y564" s="23" t="s">
        <v>140</v>
      </c>
      <c r="Z564" s="23" t="s">
        <v>140</v>
      </c>
      <c r="AA564" s="23" t="s">
        <v>140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</row>
    <row r="565" customFormat="false" ht="15" hidden="false" customHeight="false" outlineLevel="0" collapsed="false">
      <c r="A565" s="23" t="n">
        <v>564</v>
      </c>
      <c r="B565" s="30" t="s">
        <v>5030</v>
      </c>
      <c r="C565" s="23" t="n">
        <v>2</v>
      </c>
      <c r="D565" s="23" t="s">
        <v>4666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0" t="s">
        <v>4990</v>
      </c>
      <c r="H565" s="30" t="s">
        <v>4895</v>
      </c>
      <c r="I565" s="23" t="s">
        <v>4669</v>
      </c>
      <c r="J565" s="24" t="s">
        <v>5031</v>
      </c>
      <c r="K565" s="23" t="s">
        <v>131</v>
      </c>
      <c r="L565" s="24" t="s">
        <v>5032</v>
      </c>
      <c r="M565" s="24" t="s">
        <v>5033</v>
      </c>
      <c r="N565" s="23" t="s">
        <v>5034</v>
      </c>
      <c r="O565" s="24" t="s">
        <v>5035</v>
      </c>
      <c r="P565" s="24" t="s">
        <v>4778</v>
      </c>
      <c r="Q565" s="24" t="s">
        <v>5036</v>
      </c>
      <c r="R565" s="25" t="s">
        <v>5037</v>
      </c>
      <c r="S565" s="24" t="s">
        <v>5006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140</v>
      </c>
      <c r="Y565" s="23" t="s">
        <v>140</v>
      </c>
      <c r="Z565" s="23" t="s">
        <v>140</v>
      </c>
      <c r="AA565" s="23" t="s">
        <v>140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</row>
    <row r="566" customFormat="false" ht="52.2" hidden="false" customHeight="false" outlineLevel="0" collapsed="false">
      <c r="A566" s="23" t="n">
        <v>565</v>
      </c>
      <c r="B566" s="30" t="s">
        <v>5038</v>
      </c>
      <c r="C566" s="20" t="n">
        <v>1</v>
      </c>
      <c r="D566" s="20" t="s">
        <v>4666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0" t="s">
        <v>4990</v>
      </c>
      <c r="H566" s="30" t="s">
        <v>4991</v>
      </c>
      <c r="I566" s="23" t="s">
        <v>4669</v>
      </c>
      <c r="J566" s="24" t="s">
        <v>5039</v>
      </c>
      <c r="K566" s="23" t="s">
        <v>131</v>
      </c>
      <c r="L566" s="24" t="s">
        <v>5040</v>
      </c>
      <c r="M566" s="24" t="s">
        <v>5041</v>
      </c>
      <c r="N566" s="23" t="s">
        <v>5042</v>
      </c>
      <c r="O566" s="24" t="s">
        <v>5043</v>
      </c>
      <c r="P566" s="24" t="s">
        <v>5044</v>
      </c>
      <c r="Q566" s="24" t="s">
        <v>5045</v>
      </c>
      <c r="R566" s="25" t="s">
        <v>5046</v>
      </c>
      <c r="S566" s="28" t="s">
        <v>5047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140</v>
      </c>
      <c r="Y566" s="23" t="s">
        <v>140</v>
      </c>
      <c r="Z566" s="23" t="s">
        <v>140</v>
      </c>
      <c r="AA566" s="23" t="s">
        <v>140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</row>
    <row r="567" customFormat="false" ht="26.85" hidden="false" customHeight="false" outlineLevel="0" collapsed="false">
      <c r="A567" s="23" t="n">
        <v>566</v>
      </c>
      <c r="B567" s="30" t="s">
        <v>5048</v>
      </c>
      <c r="C567" s="20" t="n">
        <v>1</v>
      </c>
      <c r="D567" s="20" t="s">
        <v>4666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0" t="s">
        <v>4990</v>
      </c>
      <c r="H567" s="30" t="s">
        <v>4991</v>
      </c>
      <c r="I567" s="23" t="s">
        <v>4669</v>
      </c>
      <c r="J567" s="24" t="s">
        <v>5049</v>
      </c>
      <c r="K567" s="23" t="s">
        <v>131</v>
      </c>
      <c r="L567" s="24" t="s">
        <v>5050</v>
      </c>
      <c r="M567" s="24" t="s">
        <v>5051</v>
      </c>
      <c r="N567" s="23" t="s">
        <v>5052</v>
      </c>
      <c r="O567" s="24" t="s">
        <v>5053</v>
      </c>
      <c r="P567" s="24" t="s">
        <v>5054</v>
      </c>
      <c r="Q567" s="24" t="s">
        <v>5055</v>
      </c>
      <c r="R567" s="24"/>
      <c r="S567" s="24" t="s">
        <v>139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140</v>
      </c>
      <c r="Y567" s="23" t="s">
        <v>140</v>
      </c>
      <c r="Z567" s="23" t="s">
        <v>140</v>
      </c>
      <c r="AA567" s="23" t="s">
        <v>140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</row>
    <row r="568" customFormat="false" ht="15" hidden="false" customHeight="false" outlineLevel="0" collapsed="false">
      <c r="A568" s="23" t="n">
        <v>567</v>
      </c>
      <c r="B568" s="30" t="s">
        <v>5056</v>
      </c>
      <c r="C568" s="23" t="n">
        <v>2</v>
      </c>
      <c r="D568" s="23" t="s">
        <v>4666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0" t="s">
        <v>4990</v>
      </c>
      <c r="H568" s="30" t="s">
        <v>4895</v>
      </c>
      <c r="I568" s="23" t="s">
        <v>4669</v>
      </c>
      <c r="J568" s="24" t="s">
        <v>5057</v>
      </c>
      <c r="K568" s="23" t="s">
        <v>131</v>
      </c>
      <c r="L568" s="24" t="s">
        <v>5058</v>
      </c>
      <c r="M568" s="24" t="s">
        <v>5059</v>
      </c>
      <c r="N568" s="23" t="s">
        <v>5060</v>
      </c>
      <c r="O568" s="24" t="s">
        <v>5061</v>
      </c>
      <c r="P568" s="24" t="s">
        <v>5062</v>
      </c>
      <c r="Q568" s="24" t="s">
        <v>5063</v>
      </c>
      <c r="R568" s="25" t="s">
        <v>5064</v>
      </c>
      <c r="S568" s="24" t="s">
        <v>5065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140</v>
      </c>
      <c r="Y568" s="23" t="s">
        <v>140</v>
      </c>
      <c r="Z568" s="23" t="s">
        <v>140</v>
      </c>
      <c r="AA568" s="23" t="s">
        <v>140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</row>
    <row r="569" customFormat="false" ht="26.85" hidden="false" customHeight="false" outlineLevel="0" collapsed="false">
      <c r="A569" s="23" t="n">
        <v>568</v>
      </c>
      <c r="B569" s="30" t="s">
        <v>5066</v>
      </c>
      <c r="C569" s="23" t="n">
        <v>2</v>
      </c>
      <c r="D569" s="23" t="s">
        <v>4666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0" t="s">
        <v>5067</v>
      </c>
      <c r="H569" s="30" t="s">
        <v>5068</v>
      </c>
      <c r="I569" s="23" t="s">
        <v>4669</v>
      </c>
      <c r="J569" s="24" t="s">
        <v>5069</v>
      </c>
      <c r="K569" s="23" t="s">
        <v>131</v>
      </c>
      <c r="L569" s="24" t="s">
        <v>5070</v>
      </c>
      <c r="M569" s="29" t="s">
        <v>5071</v>
      </c>
      <c r="N569" s="23" t="s">
        <v>5072</v>
      </c>
      <c r="O569" s="24" t="s">
        <v>5073</v>
      </c>
      <c r="P569" s="24" t="s">
        <v>5074</v>
      </c>
      <c r="Q569" s="24" t="s">
        <v>5075</v>
      </c>
      <c r="R569" s="24"/>
      <c r="S569" s="24" t="s">
        <v>5065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140</v>
      </c>
      <c r="Y569" s="23" t="s">
        <v>140</v>
      </c>
      <c r="Z569" s="23" t="s">
        <v>140</v>
      </c>
      <c r="AA569" s="23" t="s">
        <v>140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</row>
    <row r="570" customFormat="false" ht="39.55" hidden="false" customHeight="false" outlineLevel="0" collapsed="false">
      <c r="A570" s="23" t="n">
        <v>569</v>
      </c>
      <c r="B570" s="30" t="s">
        <v>5076</v>
      </c>
      <c r="C570" s="20" t="n">
        <v>1</v>
      </c>
      <c r="D570" s="20" t="s">
        <v>4666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0" t="s">
        <v>5067</v>
      </c>
      <c r="H570" s="30" t="s">
        <v>4991</v>
      </c>
      <c r="I570" s="23" t="s">
        <v>4669</v>
      </c>
      <c r="J570" s="24" t="s">
        <v>5077</v>
      </c>
      <c r="K570" s="23" t="s">
        <v>131</v>
      </c>
      <c r="L570" s="24" t="s">
        <v>5078</v>
      </c>
      <c r="M570" s="24" t="s">
        <v>5079</v>
      </c>
      <c r="N570" s="23" t="s">
        <v>5080</v>
      </c>
      <c r="O570" s="24" t="s">
        <v>5081</v>
      </c>
      <c r="P570" s="24" t="s">
        <v>4854</v>
      </c>
      <c r="Q570" s="24" t="s">
        <v>5082</v>
      </c>
      <c r="R570" s="25" t="s">
        <v>5083</v>
      </c>
      <c r="S570" s="28" t="s">
        <v>5084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140</v>
      </c>
      <c r="Y570" s="23" t="s">
        <v>140</v>
      </c>
      <c r="Z570" s="23" t="s">
        <v>140</v>
      </c>
      <c r="AA570" s="23" t="s">
        <v>140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</row>
    <row r="571" customFormat="false" ht="26.85" hidden="false" customHeight="false" outlineLevel="0" collapsed="false">
      <c r="A571" s="23" t="n">
        <v>570</v>
      </c>
      <c r="B571" s="30" t="s">
        <v>5085</v>
      </c>
      <c r="C571" s="20" t="n">
        <v>1</v>
      </c>
      <c r="D571" s="20" t="s">
        <v>4666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0" t="s">
        <v>5067</v>
      </c>
      <c r="H571" s="30" t="s">
        <v>4991</v>
      </c>
      <c r="I571" s="23" t="s">
        <v>4669</v>
      </c>
      <c r="J571" s="24" t="s">
        <v>5086</v>
      </c>
      <c r="K571" s="23" t="s">
        <v>131</v>
      </c>
      <c r="L571" s="24" t="s">
        <v>5087</v>
      </c>
      <c r="M571" s="24" t="s">
        <v>5088</v>
      </c>
      <c r="N571" s="23" t="s">
        <v>5089</v>
      </c>
      <c r="O571" s="24" t="s">
        <v>5090</v>
      </c>
      <c r="P571" s="24" t="s">
        <v>5091</v>
      </c>
      <c r="Q571" s="24" t="s">
        <v>5092</v>
      </c>
      <c r="R571" s="24"/>
      <c r="S571" s="24" t="s">
        <v>139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140</v>
      </c>
      <c r="Y571" s="23" t="s">
        <v>140</v>
      </c>
      <c r="Z571" s="23" t="s">
        <v>140</v>
      </c>
      <c r="AA571" s="23" t="s">
        <v>140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</row>
    <row r="572" customFormat="false" ht="26.85" hidden="false" customHeight="false" outlineLevel="0" collapsed="false">
      <c r="A572" s="23" t="n">
        <v>571</v>
      </c>
      <c r="B572" s="30" t="s">
        <v>5093</v>
      </c>
      <c r="C572" s="20" t="n">
        <v>1</v>
      </c>
      <c r="D572" s="20" t="s">
        <v>4666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0" t="s">
        <v>5067</v>
      </c>
      <c r="H572" s="30" t="s">
        <v>4991</v>
      </c>
      <c r="I572" s="23" t="s">
        <v>4669</v>
      </c>
      <c r="J572" s="24" t="s">
        <v>5094</v>
      </c>
      <c r="K572" s="23" t="s">
        <v>131</v>
      </c>
      <c r="L572" s="24" t="s">
        <v>5095</v>
      </c>
      <c r="M572" s="24" t="s">
        <v>5096</v>
      </c>
      <c r="N572" s="23" t="s">
        <v>5097</v>
      </c>
      <c r="O572" s="24" t="s">
        <v>5098</v>
      </c>
      <c r="P572" s="24" t="s">
        <v>5099</v>
      </c>
      <c r="Q572" s="24" t="s">
        <v>5100</v>
      </c>
      <c r="R572" s="24"/>
      <c r="S572" s="24" t="s">
        <v>139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140</v>
      </c>
      <c r="Y572" s="23" t="s">
        <v>140</v>
      </c>
      <c r="Z572" s="23" t="s">
        <v>140</v>
      </c>
      <c r="AA572" s="23" t="s">
        <v>140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</row>
    <row r="573" customFormat="false" ht="26.85" hidden="false" customHeight="false" outlineLevel="0" collapsed="false">
      <c r="A573" s="23" t="n">
        <v>572</v>
      </c>
      <c r="B573" s="30" t="s">
        <v>5101</v>
      </c>
      <c r="C573" s="20" t="n">
        <v>1</v>
      </c>
      <c r="D573" s="20" t="s">
        <v>4666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0" t="s">
        <v>5067</v>
      </c>
      <c r="H573" s="30" t="s">
        <v>4991</v>
      </c>
      <c r="I573" s="23" t="s">
        <v>4669</v>
      </c>
      <c r="J573" s="24" t="s">
        <v>5102</v>
      </c>
      <c r="K573" s="23" t="s">
        <v>131</v>
      </c>
      <c r="L573" s="24" t="s">
        <v>5103</v>
      </c>
      <c r="M573" s="24" t="s">
        <v>5104</v>
      </c>
      <c r="N573" s="23" t="s">
        <v>5105</v>
      </c>
      <c r="O573" s="24" t="s">
        <v>5106</v>
      </c>
      <c r="P573" s="24" t="s">
        <v>5107</v>
      </c>
      <c r="Q573" s="24" t="s">
        <v>5108</v>
      </c>
      <c r="R573" s="25" t="s">
        <v>5109</v>
      </c>
      <c r="S573" s="24" t="s">
        <v>139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140</v>
      </c>
      <c r="Y573" s="23" t="s">
        <v>140</v>
      </c>
      <c r="Z573" s="23" t="s">
        <v>140</v>
      </c>
      <c r="AA573" s="23" t="s">
        <v>140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</row>
    <row r="574" customFormat="false" ht="26.85" hidden="false" customHeight="false" outlineLevel="0" collapsed="false">
      <c r="A574" s="23" t="n">
        <v>573</v>
      </c>
      <c r="B574" s="30" t="s">
        <v>5110</v>
      </c>
      <c r="C574" s="20" t="n">
        <v>1</v>
      </c>
      <c r="D574" s="20" t="s">
        <v>4666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0" t="s">
        <v>5067</v>
      </c>
      <c r="H574" s="30" t="s">
        <v>4991</v>
      </c>
      <c r="I574" s="23" t="s">
        <v>4669</v>
      </c>
      <c r="J574" s="24" t="s">
        <v>5111</v>
      </c>
      <c r="K574" s="23" t="s">
        <v>131</v>
      </c>
      <c r="L574" s="24" t="s">
        <v>5112</v>
      </c>
      <c r="M574" s="24" t="s">
        <v>5113</v>
      </c>
      <c r="N574" s="23" t="s">
        <v>5114</v>
      </c>
      <c r="O574" s="24" t="s">
        <v>5115</v>
      </c>
      <c r="P574" s="24" t="s">
        <v>5116</v>
      </c>
      <c r="Q574" s="24" t="s">
        <v>5117</v>
      </c>
      <c r="R574" s="25" t="s">
        <v>5118</v>
      </c>
      <c r="S574" s="24" t="s">
        <v>139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140</v>
      </c>
      <c r="Y574" s="23" t="s">
        <v>140</v>
      </c>
      <c r="Z574" s="23" t="s">
        <v>140</v>
      </c>
      <c r="AA574" s="23" t="s">
        <v>140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</row>
    <row r="575" customFormat="false" ht="26.85" hidden="false" customHeight="false" outlineLevel="0" collapsed="false">
      <c r="A575" s="23" t="n">
        <v>574</v>
      </c>
      <c r="B575" s="30" t="s">
        <v>5119</v>
      </c>
      <c r="C575" s="20" t="n">
        <v>1</v>
      </c>
      <c r="D575" s="20" t="s">
        <v>4666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0" t="s">
        <v>5067</v>
      </c>
      <c r="H575" s="30" t="s">
        <v>4991</v>
      </c>
      <c r="I575" s="23" t="s">
        <v>4669</v>
      </c>
      <c r="J575" s="24" t="s">
        <v>5120</v>
      </c>
      <c r="K575" s="23" t="s">
        <v>131</v>
      </c>
      <c r="L575" s="24" t="s">
        <v>5121</v>
      </c>
      <c r="M575" s="24" t="s">
        <v>5122</v>
      </c>
      <c r="N575" s="23" t="s">
        <v>5123</v>
      </c>
      <c r="O575" s="24" t="s">
        <v>5124</v>
      </c>
      <c r="P575" s="24" t="s">
        <v>5125</v>
      </c>
      <c r="Q575" s="24" t="s">
        <v>5126</v>
      </c>
      <c r="R575" s="24"/>
      <c r="S575" s="24" t="s">
        <v>139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140</v>
      </c>
      <c r="Y575" s="23" t="s">
        <v>140</v>
      </c>
      <c r="Z575" s="23" t="s">
        <v>140</v>
      </c>
      <c r="AA575" s="23" t="s">
        <v>140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</row>
    <row r="576" customFormat="false" ht="26.85" hidden="false" customHeight="false" outlineLevel="0" collapsed="false">
      <c r="A576" s="23" t="n">
        <v>575</v>
      </c>
      <c r="B576" s="30" t="s">
        <v>5127</v>
      </c>
      <c r="C576" s="20" t="n">
        <v>1</v>
      </c>
      <c r="D576" s="20" t="s">
        <v>4666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0" t="s">
        <v>5067</v>
      </c>
      <c r="H576" s="30" t="s">
        <v>4991</v>
      </c>
      <c r="I576" s="23" t="s">
        <v>4669</v>
      </c>
      <c r="J576" s="24" t="s">
        <v>5128</v>
      </c>
      <c r="K576" s="23" t="s">
        <v>131</v>
      </c>
      <c r="L576" s="24" t="s">
        <v>5129</v>
      </c>
      <c r="M576" s="24" t="s">
        <v>5130</v>
      </c>
      <c r="N576" s="23" t="s">
        <v>5131</v>
      </c>
      <c r="O576" s="24" t="s">
        <v>5132</v>
      </c>
      <c r="P576" s="24" t="s">
        <v>5133</v>
      </c>
      <c r="Q576" s="24" t="s">
        <v>5134</v>
      </c>
      <c r="R576" s="24"/>
      <c r="S576" s="24" t="s">
        <v>139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140</v>
      </c>
      <c r="Y576" s="23" t="s">
        <v>140</v>
      </c>
      <c r="Z576" s="23" t="s">
        <v>140</v>
      </c>
      <c r="AA576" s="23" t="s">
        <v>140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</row>
    <row r="577" customFormat="false" ht="26.85" hidden="false" customHeight="false" outlineLevel="0" collapsed="false">
      <c r="A577" s="23" t="n">
        <v>576</v>
      </c>
      <c r="B577" s="30" t="s">
        <v>5135</v>
      </c>
      <c r="C577" s="20" t="n">
        <v>1</v>
      </c>
      <c r="D577" s="20" t="s">
        <v>4666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0" t="s">
        <v>5067</v>
      </c>
      <c r="H577" s="30" t="s">
        <v>4991</v>
      </c>
      <c r="I577" s="23" t="s">
        <v>4669</v>
      </c>
      <c r="J577" s="24" t="s">
        <v>5136</v>
      </c>
      <c r="K577" s="23" t="s">
        <v>131</v>
      </c>
      <c r="L577" s="24" t="s">
        <v>5137</v>
      </c>
      <c r="M577" s="24" t="s">
        <v>5138</v>
      </c>
      <c r="N577" s="23" t="s">
        <v>5139</v>
      </c>
      <c r="O577" s="24" t="s">
        <v>5140</v>
      </c>
      <c r="P577" s="24" t="s">
        <v>5141</v>
      </c>
      <c r="Q577" s="24" t="s">
        <v>4936</v>
      </c>
      <c r="R577" s="24"/>
      <c r="S577" s="24" t="s">
        <v>139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140</v>
      </c>
      <c r="Y577" s="23" t="s">
        <v>140</v>
      </c>
      <c r="Z577" s="23" t="s">
        <v>140</v>
      </c>
      <c r="AA577" s="23" t="s">
        <v>140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</row>
    <row r="578" customFormat="false" ht="26.85" hidden="false" customHeight="false" outlineLevel="0" collapsed="false">
      <c r="A578" s="23" t="n">
        <v>577</v>
      </c>
      <c r="B578" s="30" t="s">
        <v>5142</v>
      </c>
      <c r="C578" s="23" t="n">
        <v>2</v>
      </c>
      <c r="D578" s="23" t="s">
        <v>4666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0" t="s">
        <v>5143</v>
      </c>
      <c r="H578" s="30" t="s">
        <v>5068</v>
      </c>
      <c r="I578" s="23" t="s">
        <v>5144</v>
      </c>
      <c r="J578" s="24" t="s">
        <v>5145</v>
      </c>
      <c r="K578" s="23" t="s">
        <v>131</v>
      </c>
      <c r="L578" s="24" t="s">
        <v>5146</v>
      </c>
      <c r="M578" s="24" t="s">
        <v>5147</v>
      </c>
      <c r="N578" s="23" t="s">
        <v>5148</v>
      </c>
      <c r="O578" s="24" t="s">
        <v>5149</v>
      </c>
      <c r="P578" s="24" t="s">
        <v>5150</v>
      </c>
      <c r="Q578" s="24" t="s">
        <v>5151</v>
      </c>
      <c r="R578" s="24"/>
      <c r="S578" s="24" t="s">
        <v>5152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140</v>
      </c>
      <c r="Y578" s="23" t="s">
        <v>140</v>
      </c>
      <c r="Z578" s="23" t="s">
        <v>140</v>
      </c>
      <c r="AA578" s="23" t="s">
        <v>140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</row>
    <row r="579" customFormat="false" ht="26.85" hidden="false" customHeight="false" outlineLevel="0" collapsed="false">
      <c r="A579" s="23" t="n">
        <v>578</v>
      </c>
      <c r="B579" s="30" t="s">
        <v>5153</v>
      </c>
      <c r="C579" s="23" t="n">
        <v>2</v>
      </c>
      <c r="D579" s="23" t="s">
        <v>4666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0" t="s">
        <v>5143</v>
      </c>
      <c r="H579" s="30" t="s">
        <v>5068</v>
      </c>
      <c r="I579" s="23" t="s">
        <v>5144</v>
      </c>
      <c r="J579" s="24" t="s">
        <v>5154</v>
      </c>
      <c r="K579" s="23" t="s">
        <v>131</v>
      </c>
      <c r="L579" s="24" t="s">
        <v>5155</v>
      </c>
      <c r="M579" s="24" t="s">
        <v>5156</v>
      </c>
      <c r="N579" s="23" t="s">
        <v>5157</v>
      </c>
      <c r="O579" s="24" t="s">
        <v>5158</v>
      </c>
      <c r="P579" s="24" t="s">
        <v>5159</v>
      </c>
      <c r="Q579" s="24" t="s">
        <v>5160</v>
      </c>
      <c r="R579" s="24"/>
      <c r="S579" s="24" t="s">
        <v>5152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140</v>
      </c>
      <c r="Y579" s="23" t="s">
        <v>140</v>
      </c>
      <c r="Z579" s="23" t="s">
        <v>140</v>
      </c>
      <c r="AA579" s="23" t="s">
        <v>140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</row>
    <row r="580" customFormat="false" ht="39.55" hidden="false" customHeight="false" outlineLevel="0" collapsed="false">
      <c r="A580" s="23" t="n">
        <v>579</v>
      </c>
      <c r="B580" s="30" t="s">
        <v>5161</v>
      </c>
      <c r="C580" s="20" t="n">
        <v>1</v>
      </c>
      <c r="D580" s="20" t="s">
        <v>4666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0" t="s">
        <v>5143</v>
      </c>
      <c r="H580" s="30" t="s">
        <v>5162</v>
      </c>
      <c r="I580" s="23" t="s">
        <v>5144</v>
      </c>
      <c r="J580" s="24" t="s">
        <v>5163</v>
      </c>
      <c r="K580" s="23" t="s">
        <v>131</v>
      </c>
      <c r="L580" s="24" t="s">
        <v>5164</v>
      </c>
      <c r="M580" s="24" t="s">
        <v>5165</v>
      </c>
      <c r="N580" s="23" t="s">
        <v>5166</v>
      </c>
      <c r="O580" s="24" t="s">
        <v>5167</v>
      </c>
      <c r="P580" s="24" t="s">
        <v>5168</v>
      </c>
      <c r="Q580" s="24" t="s">
        <v>5169</v>
      </c>
      <c r="R580" s="24"/>
      <c r="S580" s="28" t="s">
        <v>5170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140</v>
      </c>
      <c r="Y580" s="23" t="s">
        <v>140</v>
      </c>
      <c r="Z580" s="23" t="s">
        <v>140</v>
      </c>
      <c r="AA580" s="23" t="s">
        <v>140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</row>
    <row r="581" customFormat="false" ht="26.85" hidden="false" customHeight="false" outlineLevel="0" collapsed="false">
      <c r="A581" s="23" t="n">
        <v>580</v>
      </c>
      <c r="B581" s="30" t="s">
        <v>5171</v>
      </c>
      <c r="C581" s="23" t="n">
        <v>2</v>
      </c>
      <c r="D581" s="23" t="s">
        <v>4666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0" t="s">
        <v>5143</v>
      </c>
      <c r="H581" s="30" t="s">
        <v>5068</v>
      </c>
      <c r="I581" s="23" t="s">
        <v>5144</v>
      </c>
      <c r="J581" s="24" t="s">
        <v>5172</v>
      </c>
      <c r="K581" s="23" t="s">
        <v>131</v>
      </c>
      <c r="L581" s="24" t="s">
        <v>5173</v>
      </c>
      <c r="M581" s="24" t="s">
        <v>5174</v>
      </c>
      <c r="N581" s="23" t="s">
        <v>5175</v>
      </c>
      <c r="O581" s="24" t="s">
        <v>5176</v>
      </c>
      <c r="P581" s="24" t="s">
        <v>5177</v>
      </c>
      <c r="Q581" s="24" t="s">
        <v>5178</v>
      </c>
      <c r="R581" s="25" t="s">
        <v>4829</v>
      </c>
      <c r="S581" s="24" t="s">
        <v>5179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140</v>
      </c>
      <c r="Y581" s="23" t="s">
        <v>140</v>
      </c>
      <c r="Z581" s="23" t="s">
        <v>140</v>
      </c>
      <c r="AA581" s="23" t="s">
        <v>140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</row>
    <row r="582" customFormat="false" ht="26.85" hidden="false" customHeight="false" outlineLevel="0" collapsed="false">
      <c r="A582" s="23" t="n">
        <v>581</v>
      </c>
      <c r="B582" s="30" t="s">
        <v>5180</v>
      </c>
      <c r="C582" s="20" t="n">
        <v>1</v>
      </c>
      <c r="D582" s="20" t="s">
        <v>4666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0" t="s">
        <v>5143</v>
      </c>
      <c r="H582" s="30" t="s">
        <v>5162</v>
      </c>
      <c r="I582" s="23" t="s">
        <v>5144</v>
      </c>
      <c r="J582" s="24" t="s">
        <v>5181</v>
      </c>
      <c r="K582" s="23" t="s">
        <v>131</v>
      </c>
      <c r="L582" s="24" t="s">
        <v>5182</v>
      </c>
      <c r="M582" s="24" t="s">
        <v>5183</v>
      </c>
      <c r="N582" s="23" t="s">
        <v>5184</v>
      </c>
      <c r="O582" s="24" t="s">
        <v>5185</v>
      </c>
      <c r="P582" s="24" t="s">
        <v>5186</v>
      </c>
      <c r="Q582" s="24" t="s">
        <v>5187</v>
      </c>
      <c r="R582" s="24"/>
      <c r="S582" s="28" t="s">
        <v>5188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140</v>
      </c>
      <c r="Y582" s="23" t="s">
        <v>140</v>
      </c>
      <c r="Z582" s="23" t="s">
        <v>140</v>
      </c>
      <c r="AA582" s="23" t="s">
        <v>140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</row>
    <row r="583" customFormat="false" ht="26.85" hidden="false" customHeight="false" outlineLevel="0" collapsed="false">
      <c r="A583" s="23" t="n">
        <v>582</v>
      </c>
      <c r="B583" s="30" t="s">
        <v>5189</v>
      </c>
      <c r="C583" s="23" t="n">
        <v>2</v>
      </c>
      <c r="D583" s="23" t="s">
        <v>4666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0" t="s">
        <v>5143</v>
      </c>
      <c r="H583" s="30" t="s">
        <v>5068</v>
      </c>
      <c r="I583" s="23" t="s">
        <v>5144</v>
      </c>
      <c r="J583" s="24" t="s">
        <v>5190</v>
      </c>
      <c r="K583" s="23" t="s">
        <v>131</v>
      </c>
      <c r="L583" s="24" t="s">
        <v>5191</v>
      </c>
      <c r="M583" s="24" t="s">
        <v>5192</v>
      </c>
      <c r="N583" s="23" t="s">
        <v>5193</v>
      </c>
      <c r="O583" s="24" t="s">
        <v>5194</v>
      </c>
      <c r="P583" s="24" t="s">
        <v>5195</v>
      </c>
      <c r="Q583" s="24" t="s">
        <v>5196</v>
      </c>
      <c r="R583" s="24"/>
      <c r="S583" s="24" t="s">
        <v>5197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140</v>
      </c>
      <c r="Y583" s="23" t="s">
        <v>140</v>
      </c>
      <c r="Z583" s="23" t="s">
        <v>140</v>
      </c>
      <c r="AA583" s="23" t="s">
        <v>140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</row>
    <row r="584" customFormat="false" ht="26.85" hidden="false" customHeight="false" outlineLevel="0" collapsed="false">
      <c r="A584" s="23" t="n">
        <v>583</v>
      </c>
      <c r="B584" s="30" t="s">
        <v>5198</v>
      </c>
      <c r="C584" s="23" t="n">
        <v>2</v>
      </c>
      <c r="D584" s="23" t="s">
        <v>4666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0" t="s">
        <v>5143</v>
      </c>
      <c r="H584" s="30" t="s">
        <v>5068</v>
      </c>
      <c r="I584" s="23" t="s">
        <v>5144</v>
      </c>
      <c r="J584" s="24" t="s">
        <v>5199</v>
      </c>
      <c r="K584" s="23" t="s">
        <v>131</v>
      </c>
      <c r="L584" s="24" t="s">
        <v>5200</v>
      </c>
      <c r="M584" s="24" t="s">
        <v>5201</v>
      </c>
      <c r="N584" s="23" t="s">
        <v>5202</v>
      </c>
      <c r="O584" s="24" t="s">
        <v>5203</v>
      </c>
      <c r="P584" s="24" t="s">
        <v>5204</v>
      </c>
      <c r="Q584" s="24" t="s">
        <v>5205</v>
      </c>
      <c r="R584" s="24"/>
      <c r="S584" s="24" t="s">
        <v>5197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140</v>
      </c>
      <c r="Y584" s="23" t="s">
        <v>140</v>
      </c>
      <c r="Z584" s="23" t="s">
        <v>140</v>
      </c>
      <c r="AA584" s="23" t="s">
        <v>140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</row>
    <row r="585" customFormat="false" ht="26.85" hidden="false" customHeight="false" outlineLevel="0" collapsed="false">
      <c r="A585" s="23" t="n">
        <v>584</v>
      </c>
      <c r="B585" s="30" t="s">
        <v>5206</v>
      </c>
      <c r="C585" s="23" t="n">
        <v>2</v>
      </c>
      <c r="D585" s="23" t="s">
        <v>4666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0" t="s">
        <v>5143</v>
      </c>
      <c r="H585" s="30" t="s">
        <v>5068</v>
      </c>
      <c r="I585" s="23" t="s">
        <v>5144</v>
      </c>
      <c r="J585" s="24" t="s">
        <v>5207</v>
      </c>
      <c r="K585" s="23" t="s">
        <v>131</v>
      </c>
      <c r="L585" s="24" t="s">
        <v>5208</v>
      </c>
      <c r="M585" s="24" t="s">
        <v>5209</v>
      </c>
      <c r="N585" s="23" t="s">
        <v>5210</v>
      </c>
      <c r="O585" s="24" t="s">
        <v>5211</v>
      </c>
      <c r="P585" s="24" t="s">
        <v>5212</v>
      </c>
      <c r="Q585" s="24" t="s">
        <v>5213</v>
      </c>
      <c r="R585" s="24"/>
      <c r="S585" s="24" t="s">
        <v>5197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140</v>
      </c>
      <c r="Y585" s="23" t="s">
        <v>140</v>
      </c>
      <c r="Z585" s="23" t="s">
        <v>140</v>
      </c>
      <c r="AA585" s="23" t="s">
        <v>140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</row>
    <row r="586" customFormat="false" ht="52.2" hidden="false" customHeight="false" outlineLevel="0" collapsed="false">
      <c r="A586" s="23" t="n">
        <v>585</v>
      </c>
      <c r="B586" s="30" t="s">
        <v>5214</v>
      </c>
      <c r="C586" s="20" t="n">
        <v>1</v>
      </c>
      <c r="D586" s="20" t="s">
        <v>4666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0" t="s">
        <v>5143</v>
      </c>
      <c r="H586" s="30" t="s">
        <v>5162</v>
      </c>
      <c r="I586" s="23" t="s">
        <v>5144</v>
      </c>
      <c r="J586" s="24" t="s">
        <v>5215</v>
      </c>
      <c r="K586" s="23" t="s">
        <v>131</v>
      </c>
      <c r="L586" s="24" t="s">
        <v>5216</v>
      </c>
      <c r="M586" s="24" t="s">
        <v>5217</v>
      </c>
      <c r="N586" s="23" t="s">
        <v>5218</v>
      </c>
      <c r="O586" s="24" t="s">
        <v>5219</v>
      </c>
      <c r="P586" s="24" t="s">
        <v>5220</v>
      </c>
      <c r="Q586" s="24" t="s">
        <v>5221</v>
      </c>
      <c r="R586" s="25" t="s">
        <v>5222</v>
      </c>
      <c r="S586" s="28" t="s">
        <v>5223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140</v>
      </c>
      <c r="Y586" s="23" t="s">
        <v>140</v>
      </c>
      <c r="Z586" s="23" t="s">
        <v>140</v>
      </c>
      <c r="AA586" s="23" t="s">
        <v>140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</row>
    <row r="587" customFormat="false" ht="15" hidden="false" customHeight="false" outlineLevel="0" collapsed="false">
      <c r="A587" s="23" t="n">
        <v>586</v>
      </c>
      <c r="B587" s="30" t="s">
        <v>5224</v>
      </c>
      <c r="C587" s="20" t="n">
        <v>1</v>
      </c>
      <c r="D587" s="20" t="s">
        <v>4666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0" t="s">
        <v>5143</v>
      </c>
      <c r="H587" s="30" t="s">
        <v>5162</v>
      </c>
      <c r="I587" s="23" t="s">
        <v>5144</v>
      </c>
      <c r="J587" s="24" t="s">
        <v>5225</v>
      </c>
      <c r="K587" s="23" t="s">
        <v>131</v>
      </c>
      <c r="L587" s="24" t="s">
        <v>5226</v>
      </c>
      <c r="M587" s="24" t="s">
        <v>5227</v>
      </c>
      <c r="N587" s="23" t="s">
        <v>5228</v>
      </c>
      <c r="O587" s="24" t="s">
        <v>5229</v>
      </c>
      <c r="P587" s="24" t="s">
        <v>5230</v>
      </c>
      <c r="Q587" s="24" t="s">
        <v>5231</v>
      </c>
      <c r="R587" s="24"/>
      <c r="S587" s="24" t="s">
        <v>139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140</v>
      </c>
      <c r="Y587" s="23" t="s">
        <v>140</v>
      </c>
      <c r="Z587" s="23" t="s">
        <v>140</v>
      </c>
      <c r="AA587" s="23" t="s">
        <v>140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</row>
    <row r="588" customFormat="false" ht="25.35" hidden="false" customHeight="false" outlineLevel="0" collapsed="false">
      <c r="A588" s="23" t="n">
        <v>587</v>
      </c>
      <c r="B588" s="30" t="s">
        <v>5232</v>
      </c>
      <c r="C588" s="20" t="n">
        <v>1</v>
      </c>
      <c r="D588" s="20" t="s">
        <v>4666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0" t="s">
        <v>5143</v>
      </c>
      <c r="H588" s="30" t="s">
        <v>5162</v>
      </c>
      <c r="I588" s="23" t="s">
        <v>5144</v>
      </c>
      <c r="J588" s="24" t="s">
        <v>5233</v>
      </c>
      <c r="K588" s="23" t="s">
        <v>131</v>
      </c>
      <c r="L588" s="24" t="s">
        <v>5234</v>
      </c>
      <c r="M588" s="24" t="s">
        <v>5235</v>
      </c>
      <c r="N588" s="23" t="s">
        <v>5236</v>
      </c>
      <c r="O588" s="24" t="s">
        <v>5237</v>
      </c>
      <c r="P588" s="24" t="s">
        <v>5238</v>
      </c>
      <c r="Q588" s="24" t="s">
        <v>5239</v>
      </c>
      <c r="R588" s="25" t="s">
        <v>1184</v>
      </c>
      <c r="S588" s="24" t="s">
        <v>139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140</v>
      </c>
      <c r="Y588" s="23" t="s">
        <v>140</v>
      </c>
      <c r="Z588" s="23" t="s">
        <v>140</v>
      </c>
      <c r="AA588" s="23" t="s">
        <v>140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</row>
    <row r="589" customFormat="false" ht="26.85" hidden="false" customHeight="false" outlineLevel="0" collapsed="false">
      <c r="A589" s="23" t="n">
        <v>588</v>
      </c>
      <c r="B589" s="30" t="s">
        <v>5240</v>
      </c>
      <c r="C589" s="23" t="n">
        <v>2</v>
      </c>
      <c r="D589" s="23" t="s">
        <v>4666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0" t="s">
        <v>5143</v>
      </c>
      <c r="H589" s="30" t="s">
        <v>5068</v>
      </c>
      <c r="I589" s="23" t="s">
        <v>5144</v>
      </c>
      <c r="J589" s="24" t="s">
        <v>5241</v>
      </c>
      <c r="K589" s="23" t="s">
        <v>131</v>
      </c>
      <c r="L589" s="24" t="s">
        <v>5242</v>
      </c>
      <c r="M589" s="24" t="s">
        <v>5243</v>
      </c>
      <c r="N589" s="23" t="s">
        <v>5244</v>
      </c>
      <c r="O589" s="24" t="s">
        <v>5245</v>
      </c>
      <c r="P589" s="24" t="s">
        <v>5246</v>
      </c>
      <c r="Q589" s="24" t="s">
        <v>5247</v>
      </c>
      <c r="R589" s="27" t="s">
        <v>5248</v>
      </c>
      <c r="S589" s="24" t="s">
        <v>5249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140</v>
      </c>
      <c r="Y589" s="23" t="s">
        <v>140</v>
      </c>
      <c r="Z589" s="23" t="s">
        <v>140</v>
      </c>
      <c r="AA589" s="23" t="s">
        <v>140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</row>
    <row r="590" customFormat="false" ht="26.85" hidden="false" customHeight="false" outlineLevel="0" collapsed="false">
      <c r="A590" s="23" t="n">
        <v>589</v>
      </c>
      <c r="B590" s="30" t="s">
        <v>5250</v>
      </c>
      <c r="C590" s="20" t="n">
        <v>1</v>
      </c>
      <c r="D590" s="20" t="s">
        <v>4666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0" t="s">
        <v>5251</v>
      </c>
      <c r="H590" s="30" t="s">
        <v>5162</v>
      </c>
      <c r="I590" s="23" t="s">
        <v>5252</v>
      </c>
      <c r="J590" s="24" t="s">
        <v>5253</v>
      </c>
      <c r="K590" s="23" t="s">
        <v>131</v>
      </c>
      <c r="L590" s="24" t="s">
        <v>5254</v>
      </c>
      <c r="M590" s="24" t="s">
        <v>5255</v>
      </c>
      <c r="N590" s="23" t="s">
        <v>5256</v>
      </c>
      <c r="O590" s="24" t="s">
        <v>5257</v>
      </c>
      <c r="P590" s="24" t="s">
        <v>5258</v>
      </c>
      <c r="Q590" s="24" t="s">
        <v>2953</v>
      </c>
      <c r="R590" s="25" t="s">
        <v>5259</v>
      </c>
      <c r="S590" s="28" t="s">
        <v>5260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140</v>
      </c>
      <c r="Y590" s="23" t="s">
        <v>140</v>
      </c>
      <c r="Z590" s="23" t="s">
        <v>140</v>
      </c>
      <c r="AA590" s="23" t="s">
        <v>140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</row>
    <row r="591" customFormat="false" ht="26.85" hidden="false" customHeight="false" outlineLevel="0" collapsed="false">
      <c r="A591" s="23" t="n">
        <v>590</v>
      </c>
      <c r="B591" s="30" t="s">
        <v>5261</v>
      </c>
      <c r="C591" s="20" t="n">
        <v>1</v>
      </c>
      <c r="D591" s="20" t="s">
        <v>4666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0" t="s">
        <v>5251</v>
      </c>
      <c r="H591" s="30" t="s">
        <v>5162</v>
      </c>
      <c r="I591" s="23" t="s">
        <v>5252</v>
      </c>
      <c r="J591" s="24" t="s">
        <v>5262</v>
      </c>
      <c r="K591" s="23" t="s">
        <v>131</v>
      </c>
      <c r="L591" s="24" t="s">
        <v>5263</v>
      </c>
      <c r="M591" s="24" t="s">
        <v>5264</v>
      </c>
      <c r="N591" s="23" t="s">
        <v>5265</v>
      </c>
      <c r="O591" s="24" t="s">
        <v>5266</v>
      </c>
      <c r="P591" s="24" t="s">
        <v>5267</v>
      </c>
      <c r="Q591" s="24" t="s">
        <v>5268</v>
      </c>
      <c r="R591" s="25" t="s">
        <v>5269</v>
      </c>
      <c r="S591" s="24" t="s">
        <v>139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140</v>
      </c>
      <c r="Y591" s="23" t="s">
        <v>140</v>
      </c>
      <c r="Z591" s="23" t="s">
        <v>140</v>
      </c>
      <c r="AA591" s="23" t="s">
        <v>140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</row>
    <row r="592" customFormat="false" ht="26.85" hidden="false" customHeight="false" outlineLevel="0" collapsed="false">
      <c r="A592" s="23" t="n">
        <v>591</v>
      </c>
      <c r="B592" s="30" t="s">
        <v>5270</v>
      </c>
      <c r="C592" s="23" t="n">
        <v>2</v>
      </c>
      <c r="D592" s="23" t="s">
        <v>4666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0" t="s">
        <v>5251</v>
      </c>
      <c r="H592" s="30" t="s">
        <v>5271</v>
      </c>
      <c r="I592" s="23" t="s">
        <v>5252</v>
      </c>
      <c r="J592" s="24" t="s">
        <v>5272</v>
      </c>
      <c r="K592" s="23" t="s">
        <v>131</v>
      </c>
      <c r="L592" s="24" t="s">
        <v>5273</v>
      </c>
      <c r="M592" s="24" t="s">
        <v>5274</v>
      </c>
      <c r="N592" s="23" t="s">
        <v>5275</v>
      </c>
      <c r="O592" s="24" t="s">
        <v>5276</v>
      </c>
      <c r="P592" s="24" t="s">
        <v>5277</v>
      </c>
      <c r="Q592" s="24" t="s">
        <v>5278</v>
      </c>
      <c r="R592" s="24"/>
      <c r="S592" s="24" t="s">
        <v>5279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140</v>
      </c>
      <c r="Y592" s="23" t="s">
        <v>140</v>
      </c>
      <c r="Z592" s="23" t="s">
        <v>140</v>
      </c>
      <c r="AA592" s="23" t="s">
        <v>140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</row>
    <row r="593" customFormat="false" ht="26.85" hidden="false" customHeight="false" outlineLevel="0" collapsed="false">
      <c r="A593" s="23" t="n">
        <v>592</v>
      </c>
      <c r="B593" s="30" t="s">
        <v>5280</v>
      </c>
      <c r="C593" s="23" t="n">
        <v>2</v>
      </c>
      <c r="D593" s="23" t="s">
        <v>4666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0" t="s">
        <v>5251</v>
      </c>
      <c r="H593" s="30" t="s">
        <v>5271</v>
      </c>
      <c r="I593" s="23" t="s">
        <v>5252</v>
      </c>
      <c r="J593" s="24" t="s">
        <v>5281</v>
      </c>
      <c r="K593" s="23" t="s">
        <v>131</v>
      </c>
      <c r="L593" s="24" t="s">
        <v>5282</v>
      </c>
      <c r="M593" s="24" t="s">
        <v>5283</v>
      </c>
      <c r="N593" s="23" t="s">
        <v>5284</v>
      </c>
      <c r="O593" s="24" t="s">
        <v>5285</v>
      </c>
      <c r="P593" s="24" t="s">
        <v>5286</v>
      </c>
      <c r="Q593" s="24" t="s">
        <v>5287</v>
      </c>
      <c r="R593" s="24"/>
      <c r="S593" s="24" t="s">
        <v>5279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140</v>
      </c>
      <c r="Y593" s="23" t="s">
        <v>140</v>
      </c>
      <c r="Z593" s="23" t="s">
        <v>140</v>
      </c>
      <c r="AA593" s="23" t="s">
        <v>140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</row>
    <row r="594" customFormat="false" ht="39.55" hidden="false" customHeight="false" outlineLevel="0" collapsed="false">
      <c r="A594" s="23" t="n">
        <v>593</v>
      </c>
      <c r="B594" s="30" t="s">
        <v>5288</v>
      </c>
      <c r="C594" s="20" t="n">
        <v>1</v>
      </c>
      <c r="D594" s="20" t="s">
        <v>4666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0" t="s">
        <v>5251</v>
      </c>
      <c r="H594" s="30" t="s">
        <v>5162</v>
      </c>
      <c r="I594" s="23" t="s">
        <v>5252</v>
      </c>
      <c r="J594" s="24" t="s">
        <v>5289</v>
      </c>
      <c r="K594" s="23" t="s">
        <v>131</v>
      </c>
      <c r="L594" s="24" t="s">
        <v>5290</v>
      </c>
      <c r="M594" s="24" t="s">
        <v>5291</v>
      </c>
      <c r="N594" s="23" t="s">
        <v>5292</v>
      </c>
      <c r="O594" s="24" t="s">
        <v>5293</v>
      </c>
      <c r="P594" s="24" t="s">
        <v>5294</v>
      </c>
      <c r="Q594" s="24" t="s">
        <v>5295</v>
      </c>
      <c r="R594" s="25" t="s">
        <v>5296</v>
      </c>
      <c r="S594" s="28" t="s">
        <v>5297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140</v>
      </c>
      <c r="Y594" s="23" t="s">
        <v>140</v>
      </c>
      <c r="Z594" s="23" t="s">
        <v>140</v>
      </c>
      <c r="AA594" s="23" t="s">
        <v>140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</row>
    <row r="595" customFormat="false" ht="26.85" hidden="false" customHeight="false" outlineLevel="0" collapsed="false">
      <c r="A595" s="23" t="n">
        <v>594</v>
      </c>
      <c r="B595" s="30" t="s">
        <v>5298</v>
      </c>
      <c r="C595" s="20" t="n">
        <v>1</v>
      </c>
      <c r="D595" s="20" t="s">
        <v>4666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0" t="s">
        <v>5251</v>
      </c>
      <c r="H595" s="30" t="s">
        <v>5162</v>
      </c>
      <c r="I595" s="23" t="s">
        <v>5252</v>
      </c>
      <c r="J595" s="24" t="s">
        <v>5299</v>
      </c>
      <c r="K595" s="23" t="s">
        <v>131</v>
      </c>
      <c r="L595" s="24" t="s">
        <v>5300</v>
      </c>
      <c r="M595" s="24" t="s">
        <v>5301</v>
      </c>
      <c r="N595" s="23" t="s">
        <v>5302</v>
      </c>
      <c r="O595" s="24" t="s">
        <v>5303</v>
      </c>
      <c r="P595" s="24" t="s">
        <v>5304</v>
      </c>
      <c r="Q595" s="24" t="s">
        <v>5305</v>
      </c>
      <c r="R595" s="24"/>
      <c r="S595" s="24" t="s">
        <v>139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140</v>
      </c>
      <c r="Y595" s="23" t="s">
        <v>140</v>
      </c>
      <c r="Z595" s="23" t="s">
        <v>140</v>
      </c>
      <c r="AA595" s="23" t="s">
        <v>140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</row>
    <row r="596" customFormat="false" ht="26.85" hidden="false" customHeight="false" outlineLevel="0" collapsed="false">
      <c r="A596" s="23" t="n">
        <v>595</v>
      </c>
      <c r="B596" s="30" t="s">
        <v>5306</v>
      </c>
      <c r="C596" s="23" t="n">
        <v>2</v>
      </c>
      <c r="D596" s="23" t="s">
        <v>4666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0" t="s">
        <v>5251</v>
      </c>
      <c r="H596" s="30" t="s">
        <v>5271</v>
      </c>
      <c r="I596" s="23" t="s">
        <v>5252</v>
      </c>
      <c r="J596" s="24" t="s">
        <v>5307</v>
      </c>
      <c r="K596" s="23" t="s">
        <v>131</v>
      </c>
      <c r="L596" s="24" t="s">
        <v>5308</v>
      </c>
      <c r="M596" s="24" t="s">
        <v>5309</v>
      </c>
      <c r="N596" s="23" t="s">
        <v>5310</v>
      </c>
      <c r="O596" s="24" t="s">
        <v>5311</v>
      </c>
      <c r="P596" s="24" t="s">
        <v>5312</v>
      </c>
      <c r="Q596" s="24" t="s">
        <v>2759</v>
      </c>
      <c r="R596" s="24"/>
      <c r="S596" s="24" t="s">
        <v>5313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140</v>
      </c>
      <c r="Y596" s="23" t="s">
        <v>140</v>
      </c>
      <c r="Z596" s="23" t="s">
        <v>140</v>
      </c>
      <c r="AA596" s="23" t="s">
        <v>140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</row>
    <row r="597" customFormat="false" ht="26.85" hidden="false" customHeight="false" outlineLevel="0" collapsed="false">
      <c r="A597" s="23" t="n">
        <v>596</v>
      </c>
      <c r="B597" s="30" t="s">
        <v>5314</v>
      </c>
      <c r="C597" s="20" t="n">
        <v>1</v>
      </c>
      <c r="D597" s="20" t="s">
        <v>4666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0" t="s">
        <v>5251</v>
      </c>
      <c r="H597" s="30" t="s">
        <v>5162</v>
      </c>
      <c r="I597" s="23" t="s">
        <v>5252</v>
      </c>
      <c r="J597" s="24" t="s">
        <v>5315</v>
      </c>
      <c r="K597" s="23" t="s">
        <v>131</v>
      </c>
      <c r="L597" s="24" t="s">
        <v>5316</v>
      </c>
      <c r="M597" s="24" t="s">
        <v>5317</v>
      </c>
      <c r="N597" s="23" t="s">
        <v>5318</v>
      </c>
      <c r="O597" s="24" t="s">
        <v>5319</v>
      </c>
      <c r="P597" s="24" t="s">
        <v>5320</v>
      </c>
      <c r="Q597" s="24" t="s">
        <v>5321</v>
      </c>
      <c r="R597" s="24"/>
      <c r="S597" s="28" t="s">
        <v>5322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140</v>
      </c>
      <c r="Y597" s="23" t="s">
        <v>140</v>
      </c>
      <c r="Z597" s="23" t="s">
        <v>140</v>
      </c>
      <c r="AA597" s="23" t="s">
        <v>140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</row>
    <row r="598" customFormat="false" ht="26.85" hidden="false" customHeight="false" outlineLevel="0" collapsed="false">
      <c r="A598" s="23" t="n">
        <v>597</v>
      </c>
      <c r="B598" s="30" t="s">
        <v>5323</v>
      </c>
      <c r="C598" s="23" t="n">
        <v>2</v>
      </c>
      <c r="D598" s="23" t="s">
        <v>4666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0" t="s">
        <v>5324</v>
      </c>
      <c r="H598" s="30" t="s">
        <v>5271</v>
      </c>
      <c r="I598" s="23" t="s">
        <v>5252</v>
      </c>
      <c r="J598" s="24" t="s">
        <v>5325</v>
      </c>
      <c r="K598" s="23" t="s">
        <v>131</v>
      </c>
      <c r="L598" s="24" t="s">
        <v>5326</v>
      </c>
      <c r="M598" s="24" t="s">
        <v>5327</v>
      </c>
      <c r="N598" s="23" t="s">
        <v>5328</v>
      </c>
      <c r="O598" s="24" t="s">
        <v>5329</v>
      </c>
      <c r="P598" s="24" t="s">
        <v>5330</v>
      </c>
      <c r="Q598" s="24" t="s">
        <v>5326</v>
      </c>
      <c r="R598" s="24"/>
      <c r="S598" s="24" t="s">
        <v>5331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140</v>
      </c>
      <c r="Y598" s="23" t="s">
        <v>140</v>
      </c>
      <c r="Z598" s="23" t="s">
        <v>140</v>
      </c>
      <c r="AA598" s="23" t="s">
        <v>140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</row>
    <row r="599" customFormat="false" ht="26.85" hidden="false" customHeight="false" outlineLevel="0" collapsed="false">
      <c r="A599" s="23" t="n">
        <v>598</v>
      </c>
      <c r="B599" s="30" t="s">
        <v>5332</v>
      </c>
      <c r="C599" s="20" t="n">
        <v>1</v>
      </c>
      <c r="D599" s="20" t="s">
        <v>4666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0" t="s">
        <v>5324</v>
      </c>
      <c r="H599" s="30" t="s">
        <v>5333</v>
      </c>
      <c r="I599" s="23" t="s">
        <v>5252</v>
      </c>
      <c r="J599" s="24" t="s">
        <v>5334</v>
      </c>
      <c r="K599" s="23" t="s">
        <v>131</v>
      </c>
      <c r="L599" s="24" t="s">
        <v>5335</v>
      </c>
      <c r="M599" s="24" t="s">
        <v>5336</v>
      </c>
      <c r="N599" s="23" t="s">
        <v>5337</v>
      </c>
      <c r="O599" s="24" t="s">
        <v>5338</v>
      </c>
      <c r="P599" s="24" t="s">
        <v>5339</v>
      </c>
      <c r="Q599" s="24" t="s">
        <v>5340</v>
      </c>
      <c r="R599" s="24"/>
      <c r="S599" s="28" t="s">
        <v>5341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140</v>
      </c>
      <c r="Y599" s="23" t="s">
        <v>140</v>
      </c>
      <c r="Z599" s="23" t="s">
        <v>140</v>
      </c>
      <c r="AA599" s="23" t="s">
        <v>140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</row>
    <row r="600" customFormat="false" ht="26.85" hidden="false" customHeight="false" outlineLevel="0" collapsed="false">
      <c r="A600" s="23" t="n">
        <v>599</v>
      </c>
      <c r="B600" s="30" t="s">
        <v>5342</v>
      </c>
      <c r="C600" s="23" t="n">
        <v>2</v>
      </c>
      <c r="D600" s="23" t="s">
        <v>4666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0" t="s">
        <v>5324</v>
      </c>
      <c r="H600" s="30" t="s">
        <v>5271</v>
      </c>
      <c r="I600" s="23" t="s">
        <v>5252</v>
      </c>
      <c r="J600" s="24" t="s">
        <v>5343</v>
      </c>
      <c r="K600" s="23" t="s">
        <v>131</v>
      </c>
      <c r="L600" s="24" t="s">
        <v>5344</v>
      </c>
      <c r="M600" s="24" t="s">
        <v>5345</v>
      </c>
      <c r="N600" s="23" t="s">
        <v>5346</v>
      </c>
      <c r="O600" s="24" t="s">
        <v>5347</v>
      </c>
      <c r="P600" s="24" t="s">
        <v>5348</v>
      </c>
      <c r="Q600" s="24" t="s">
        <v>5349</v>
      </c>
      <c r="R600" s="24"/>
      <c r="S600" s="24" t="s">
        <v>5350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140</v>
      </c>
      <c r="Y600" s="23" t="s">
        <v>140</v>
      </c>
      <c r="Z600" s="23" t="s">
        <v>140</v>
      </c>
      <c r="AA600" s="23" t="s">
        <v>140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</row>
    <row r="601" customFormat="false" ht="26.85" hidden="false" customHeight="false" outlineLevel="0" collapsed="false">
      <c r="A601" s="23" t="n">
        <v>600</v>
      </c>
      <c r="B601" s="30" t="s">
        <v>5351</v>
      </c>
      <c r="C601" s="23" t="n">
        <v>2</v>
      </c>
      <c r="D601" s="23" t="s">
        <v>4666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0" t="s">
        <v>5324</v>
      </c>
      <c r="H601" s="30" t="s">
        <v>5271</v>
      </c>
      <c r="I601" s="23" t="s">
        <v>5252</v>
      </c>
      <c r="J601" s="24" t="s">
        <v>5352</v>
      </c>
      <c r="K601" s="23" t="s">
        <v>131</v>
      </c>
      <c r="L601" s="24" t="s">
        <v>5353</v>
      </c>
      <c r="M601" s="24" t="s">
        <v>5354</v>
      </c>
      <c r="N601" s="23" t="s">
        <v>5355</v>
      </c>
      <c r="O601" s="24" t="s">
        <v>5356</v>
      </c>
      <c r="P601" s="24" t="s">
        <v>5357</v>
      </c>
      <c r="Q601" s="24" t="s">
        <v>5358</v>
      </c>
      <c r="R601" s="25" t="s">
        <v>5359</v>
      </c>
      <c r="S601" s="24" t="s">
        <v>5350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140</v>
      </c>
      <c r="Y601" s="23" t="s">
        <v>140</v>
      </c>
      <c r="Z601" s="23" t="s">
        <v>140</v>
      </c>
      <c r="AA601" s="23" t="s">
        <v>140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</row>
    <row r="602" customFormat="false" ht="39.55" hidden="false" customHeight="false" outlineLevel="0" collapsed="false">
      <c r="A602" s="23" t="n">
        <v>601</v>
      </c>
      <c r="B602" s="30" t="s">
        <v>5360</v>
      </c>
      <c r="C602" s="20" t="n">
        <v>1</v>
      </c>
      <c r="D602" s="20" t="s">
        <v>4666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0" t="s">
        <v>5324</v>
      </c>
      <c r="H602" s="30" t="s">
        <v>5333</v>
      </c>
      <c r="I602" s="23" t="s">
        <v>5252</v>
      </c>
      <c r="J602" s="24" t="s">
        <v>5361</v>
      </c>
      <c r="K602" s="23" t="s">
        <v>131</v>
      </c>
      <c r="L602" s="24" t="s">
        <v>5362</v>
      </c>
      <c r="M602" s="24" t="s">
        <v>5363</v>
      </c>
      <c r="N602" s="23" t="s">
        <v>5364</v>
      </c>
      <c r="O602" s="24" t="s">
        <v>5365</v>
      </c>
      <c r="P602" s="24" t="s">
        <v>5366</v>
      </c>
      <c r="Q602" s="24" t="s">
        <v>5367</v>
      </c>
      <c r="R602" s="25" t="s">
        <v>5368</v>
      </c>
      <c r="S602" s="28" t="s">
        <v>5369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140</v>
      </c>
      <c r="Y602" s="23" t="s">
        <v>140</v>
      </c>
      <c r="Z602" s="23" t="s">
        <v>140</v>
      </c>
      <c r="AA602" s="23" t="s">
        <v>140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</row>
    <row r="603" customFormat="false" ht="26.85" hidden="false" customHeight="false" outlineLevel="0" collapsed="false">
      <c r="A603" s="23" t="n">
        <v>602</v>
      </c>
      <c r="B603" s="30" t="s">
        <v>5370</v>
      </c>
      <c r="C603" s="20" t="n">
        <v>1</v>
      </c>
      <c r="D603" s="20" t="s">
        <v>4666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0" t="s">
        <v>5324</v>
      </c>
      <c r="H603" s="30" t="s">
        <v>5333</v>
      </c>
      <c r="I603" s="23" t="s">
        <v>5252</v>
      </c>
      <c r="J603" s="24" t="s">
        <v>5371</v>
      </c>
      <c r="K603" s="23" t="s">
        <v>131</v>
      </c>
      <c r="L603" s="24" t="s">
        <v>5372</v>
      </c>
      <c r="M603" s="24" t="s">
        <v>5373</v>
      </c>
      <c r="N603" s="23" t="s">
        <v>5374</v>
      </c>
      <c r="O603" s="24" t="s">
        <v>5375</v>
      </c>
      <c r="P603" s="24" t="s">
        <v>5376</v>
      </c>
      <c r="Q603" s="24" t="s">
        <v>5377</v>
      </c>
      <c r="R603" s="24"/>
      <c r="S603" s="24" t="s">
        <v>139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140</v>
      </c>
      <c r="Y603" s="23" t="s">
        <v>140</v>
      </c>
      <c r="Z603" s="23" t="s">
        <v>140</v>
      </c>
      <c r="AA603" s="23" t="s">
        <v>140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</row>
    <row r="604" customFormat="false" ht="15" hidden="false" customHeight="false" outlineLevel="0" collapsed="false">
      <c r="A604" s="23" t="n">
        <v>603</v>
      </c>
      <c r="B604" s="30" t="s">
        <v>5378</v>
      </c>
      <c r="C604" s="23" t="n">
        <v>2</v>
      </c>
      <c r="D604" s="23" t="s">
        <v>4666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0" t="s">
        <v>5324</v>
      </c>
      <c r="H604" s="30" t="s">
        <v>5271</v>
      </c>
      <c r="I604" s="23" t="s">
        <v>5252</v>
      </c>
      <c r="J604" s="24" t="s">
        <v>5379</v>
      </c>
      <c r="K604" s="23" t="s">
        <v>1095</v>
      </c>
      <c r="L604" s="24" t="s">
        <v>5380</v>
      </c>
      <c r="M604" s="24" t="s">
        <v>5381</v>
      </c>
      <c r="N604" s="23" t="s">
        <v>5382</v>
      </c>
      <c r="O604" s="24" t="s">
        <v>4793</v>
      </c>
      <c r="P604" s="24" t="s">
        <v>4778</v>
      </c>
      <c r="Q604" s="24" t="s">
        <v>5383</v>
      </c>
      <c r="R604" s="24"/>
      <c r="S604" s="24" t="s">
        <v>5384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140</v>
      </c>
      <c r="Y604" s="23" t="s">
        <v>140</v>
      </c>
      <c r="Z604" s="23" t="s">
        <v>140</v>
      </c>
      <c r="AA604" s="23" t="s">
        <v>140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</row>
    <row r="605" customFormat="false" ht="26.85" hidden="false" customHeight="false" outlineLevel="0" collapsed="false">
      <c r="A605" s="23" t="n">
        <v>604</v>
      </c>
      <c r="B605" s="30" t="s">
        <v>5385</v>
      </c>
      <c r="C605" s="20" t="n">
        <v>1</v>
      </c>
      <c r="D605" s="20" t="s">
        <v>4666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0" t="s">
        <v>5324</v>
      </c>
      <c r="H605" s="30" t="s">
        <v>5333</v>
      </c>
      <c r="I605" s="23" t="s">
        <v>5252</v>
      </c>
      <c r="J605" s="24" t="s">
        <v>5386</v>
      </c>
      <c r="K605" s="23" t="s">
        <v>131</v>
      </c>
      <c r="L605" s="24" t="s">
        <v>5387</v>
      </c>
      <c r="M605" s="24" t="s">
        <v>5388</v>
      </c>
      <c r="N605" s="23" t="s">
        <v>5389</v>
      </c>
      <c r="O605" s="24" t="s">
        <v>5390</v>
      </c>
      <c r="P605" s="24" t="s">
        <v>5391</v>
      </c>
      <c r="Q605" s="24" t="s">
        <v>5392</v>
      </c>
      <c r="R605" s="24"/>
      <c r="S605" s="28" t="s">
        <v>5393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140</v>
      </c>
      <c r="Y605" s="23" t="s">
        <v>140</v>
      </c>
      <c r="Z605" s="23" t="s">
        <v>140</v>
      </c>
      <c r="AA605" s="23" t="s">
        <v>140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</row>
    <row r="606" customFormat="false" ht="26.85" hidden="false" customHeight="false" outlineLevel="0" collapsed="false">
      <c r="A606" s="23" t="n">
        <v>605</v>
      </c>
      <c r="B606" s="30" t="s">
        <v>5394</v>
      </c>
      <c r="C606" s="23" t="n">
        <v>2</v>
      </c>
      <c r="D606" s="23" t="s">
        <v>4666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0" t="s">
        <v>5324</v>
      </c>
      <c r="H606" s="30" t="s">
        <v>5271</v>
      </c>
      <c r="I606" s="23" t="s">
        <v>5252</v>
      </c>
      <c r="J606" s="24" t="s">
        <v>5395</v>
      </c>
      <c r="K606" s="23" t="s">
        <v>131</v>
      </c>
      <c r="L606" s="29" t="s">
        <v>5396</v>
      </c>
      <c r="M606" s="24" t="s">
        <v>5397</v>
      </c>
      <c r="N606" s="23" t="s">
        <v>5398</v>
      </c>
      <c r="O606" s="24" t="s">
        <v>5399</v>
      </c>
      <c r="P606" s="24" t="s">
        <v>5400</v>
      </c>
      <c r="Q606" s="24" t="s">
        <v>5401</v>
      </c>
      <c r="R606" s="24"/>
      <c r="S606" s="24" t="s">
        <v>5402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140</v>
      </c>
      <c r="Y606" s="23" t="s">
        <v>140</v>
      </c>
      <c r="Z606" s="23" t="s">
        <v>140</v>
      </c>
      <c r="AA606" s="23" t="s">
        <v>140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</row>
    <row r="607" customFormat="false" ht="26.85" hidden="false" customHeight="false" outlineLevel="0" collapsed="false">
      <c r="A607" s="23" t="n">
        <v>606</v>
      </c>
      <c r="B607" s="30" t="s">
        <v>5403</v>
      </c>
      <c r="C607" s="23" t="n">
        <v>2</v>
      </c>
      <c r="D607" s="23" t="s">
        <v>4666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0" t="s">
        <v>5324</v>
      </c>
      <c r="H607" s="30" t="s">
        <v>5271</v>
      </c>
      <c r="I607" s="23" t="s">
        <v>5252</v>
      </c>
      <c r="J607" s="24" t="s">
        <v>5404</v>
      </c>
      <c r="K607" s="23" t="s">
        <v>131</v>
      </c>
      <c r="L607" s="24" t="s">
        <v>5405</v>
      </c>
      <c r="M607" s="24" t="s">
        <v>5406</v>
      </c>
      <c r="N607" s="23" t="s">
        <v>5407</v>
      </c>
      <c r="O607" s="24" t="s">
        <v>5408</v>
      </c>
      <c r="P607" s="24" t="s">
        <v>5409</v>
      </c>
      <c r="Q607" s="24" t="s">
        <v>5410</v>
      </c>
      <c r="R607" s="24"/>
      <c r="S607" s="24" t="s">
        <v>5402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140</v>
      </c>
      <c r="Y607" s="23" t="s">
        <v>140</v>
      </c>
      <c r="Z607" s="23" t="s">
        <v>140</v>
      </c>
      <c r="AA607" s="23" t="s">
        <v>140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</row>
    <row r="608" customFormat="false" ht="39.55" hidden="false" customHeight="false" outlineLevel="0" collapsed="false">
      <c r="A608" s="23" t="n">
        <v>607</v>
      </c>
      <c r="B608" s="30" t="s">
        <v>5411</v>
      </c>
      <c r="C608" s="20" t="n">
        <v>1</v>
      </c>
      <c r="D608" s="20" t="s">
        <v>4666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0" t="s">
        <v>5412</v>
      </c>
      <c r="H608" s="30" t="s">
        <v>5333</v>
      </c>
      <c r="I608" s="23" t="s">
        <v>5252</v>
      </c>
      <c r="J608" s="24" t="s">
        <v>5413</v>
      </c>
      <c r="K608" s="23" t="s">
        <v>131</v>
      </c>
      <c r="L608" s="24" t="s">
        <v>5414</v>
      </c>
      <c r="M608" s="29" t="s">
        <v>5415</v>
      </c>
      <c r="N608" s="23" t="s">
        <v>5416</v>
      </c>
      <c r="O608" s="24" t="s">
        <v>5417</v>
      </c>
      <c r="P608" s="24" t="s">
        <v>5418</v>
      </c>
      <c r="Q608" s="24" t="s">
        <v>5419</v>
      </c>
      <c r="R608" s="24"/>
      <c r="S608" s="28" t="s">
        <v>5420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140</v>
      </c>
      <c r="Y608" s="23" t="s">
        <v>140</v>
      </c>
      <c r="Z608" s="23" t="s">
        <v>140</v>
      </c>
      <c r="AA608" s="23" t="s">
        <v>140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</row>
    <row r="609" customFormat="false" ht="26.85" hidden="false" customHeight="false" outlineLevel="0" collapsed="false">
      <c r="A609" s="23" t="n">
        <v>608</v>
      </c>
      <c r="B609" s="30" t="s">
        <v>5421</v>
      </c>
      <c r="C609" s="20" t="n">
        <v>1</v>
      </c>
      <c r="D609" s="20" t="s">
        <v>4666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0" t="s">
        <v>5412</v>
      </c>
      <c r="H609" s="30" t="s">
        <v>5333</v>
      </c>
      <c r="I609" s="23" t="s">
        <v>5252</v>
      </c>
      <c r="J609" s="24" t="s">
        <v>5422</v>
      </c>
      <c r="K609" s="23" t="s">
        <v>131</v>
      </c>
      <c r="L609" s="24" t="s">
        <v>5423</v>
      </c>
      <c r="M609" s="24" t="s">
        <v>5424</v>
      </c>
      <c r="N609" s="23" t="s">
        <v>5425</v>
      </c>
      <c r="O609" s="24" t="s">
        <v>5426</v>
      </c>
      <c r="P609" s="24" t="s">
        <v>5427</v>
      </c>
      <c r="Q609" s="24" t="s">
        <v>5428</v>
      </c>
      <c r="R609" s="24"/>
      <c r="S609" s="24" t="s">
        <v>139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140</v>
      </c>
      <c r="Y609" s="23" t="s">
        <v>140</v>
      </c>
      <c r="Z609" s="23" t="s">
        <v>140</v>
      </c>
      <c r="AA609" s="23" t="s">
        <v>140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</row>
    <row r="610" customFormat="false" ht="26.85" hidden="false" customHeight="false" outlineLevel="0" collapsed="false">
      <c r="A610" s="23" t="n">
        <v>609</v>
      </c>
      <c r="B610" s="30" t="s">
        <v>5429</v>
      </c>
      <c r="C610" s="23" t="n">
        <v>2</v>
      </c>
      <c r="D610" s="23" t="s">
        <v>4666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0" t="s">
        <v>5412</v>
      </c>
      <c r="H610" s="30" t="s">
        <v>5430</v>
      </c>
      <c r="I610" s="23" t="s">
        <v>5252</v>
      </c>
      <c r="J610" s="24" t="s">
        <v>5431</v>
      </c>
      <c r="K610" s="23" t="s">
        <v>131</v>
      </c>
      <c r="L610" s="24" t="s">
        <v>5432</v>
      </c>
      <c r="M610" s="24" t="s">
        <v>5433</v>
      </c>
      <c r="N610" s="23" t="s">
        <v>5434</v>
      </c>
      <c r="O610" s="24" t="s">
        <v>5435</v>
      </c>
      <c r="P610" s="24" t="s">
        <v>5436</v>
      </c>
      <c r="Q610" s="24" t="s">
        <v>5437</v>
      </c>
      <c r="R610" s="25" t="s">
        <v>5438</v>
      </c>
      <c r="S610" s="24" t="s">
        <v>5439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140</v>
      </c>
      <c r="Y610" s="23" t="s">
        <v>140</v>
      </c>
      <c r="Z610" s="23" t="s">
        <v>140</v>
      </c>
      <c r="AA610" s="23" t="s">
        <v>140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</row>
    <row r="611" customFormat="false" ht="26.85" hidden="false" customHeight="false" outlineLevel="0" collapsed="false">
      <c r="A611" s="23" t="n">
        <v>610</v>
      </c>
      <c r="B611" s="30" t="s">
        <v>5440</v>
      </c>
      <c r="C611" s="20" t="n">
        <v>1</v>
      </c>
      <c r="D611" s="20" t="s">
        <v>4666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0" t="s">
        <v>5412</v>
      </c>
      <c r="H611" s="30" t="s">
        <v>5333</v>
      </c>
      <c r="I611" s="23" t="s">
        <v>5252</v>
      </c>
      <c r="J611" s="24" t="s">
        <v>5441</v>
      </c>
      <c r="K611" s="23" t="s">
        <v>131</v>
      </c>
      <c r="L611" s="24" t="s">
        <v>5442</v>
      </c>
      <c r="M611" s="24" t="s">
        <v>5443</v>
      </c>
      <c r="N611" s="23" t="s">
        <v>5444</v>
      </c>
      <c r="O611" s="24" t="s">
        <v>5445</v>
      </c>
      <c r="P611" s="24" t="s">
        <v>5446</v>
      </c>
      <c r="Q611" s="24" t="s">
        <v>5447</v>
      </c>
      <c r="R611" s="24"/>
      <c r="S611" s="28" t="s">
        <v>5448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140</v>
      </c>
      <c r="Y611" s="23" t="s">
        <v>140</v>
      </c>
      <c r="Z611" s="23" t="s">
        <v>140</v>
      </c>
      <c r="AA611" s="23" t="s">
        <v>140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</row>
    <row r="612" customFormat="false" ht="26.85" hidden="false" customHeight="false" outlineLevel="0" collapsed="false">
      <c r="A612" s="23" t="n">
        <v>611</v>
      </c>
      <c r="B612" s="30" t="s">
        <v>5449</v>
      </c>
      <c r="C612" s="20" t="n">
        <v>1</v>
      </c>
      <c r="D612" s="20" t="s">
        <v>4666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0" t="s">
        <v>5412</v>
      </c>
      <c r="H612" s="30" t="s">
        <v>5333</v>
      </c>
      <c r="I612" s="23" t="s">
        <v>5252</v>
      </c>
      <c r="J612" s="24" t="s">
        <v>5450</v>
      </c>
      <c r="K612" s="23" t="s">
        <v>131</v>
      </c>
      <c r="L612" s="24" t="s">
        <v>5451</v>
      </c>
      <c r="M612" s="24" t="s">
        <v>5452</v>
      </c>
      <c r="N612" s="23" t="s">
        <v>5453</v>
      </c>
      <c r="O612" s="24" t="s">
        <v>5454</v>
      </c>
      <c r="P612" s="24" t="s">
        <v>5455</v>
      </c>
      <c r="Q612" s="24" t="s">
        <v>5321</v>
      </c>
      <c r="R612" s="24"/>
      <c r="S612" s="24" t="s">
        <v>139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140</v>
      </c>
      <c r="Y612" s="23" t="s">
        <v>140</v>
      </c>
      <c r="Z612" s="23" t="s">
        <v>140</v>
      </c>
      <c r="AA612" s="23" t="s">
        <v>140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</row>
    <row r="613" customFormat="false" ht="26.85" hidden="false" customHeight="false" outlineLevel="0" collapsed="false">
      <c r="A613" s="23" t="n">
        <v>612</v>
      </c>
      <c r="B613" s="30" t="s">
        <v>5456</v>
      </c>
      <c r="C613" s="20" t="n">
        <v>1</v>
      </c>
      <c r="D613" s="20" t="s">
        <v>4666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0" t="s">
        <v>5412</v>
      </c>
      <c r="H613" s="30" t="s">
        <v>5333</v>
      </c>
      <c r="I613" s="23" t="s">
        <v>5252</v>
      </c>
      <c r="J613" s="24" t="s">
        <v>5457</v>
      </c>
      <c r="K613" s="23" t="s">
        <v>131</v>
      </c>
      <c r="L613" s="24" t="s">
        <v>5458</v>
      </c>
      <c r="M613" s="24" t="s">
        <v>5459</v>
      </c>
      <c r="N613" s="23" t="s">
        <v>5460</v>
      </c>
      <c r="O613" s="24" t="s">
        <v>5461</v>
      </c>
      <c r="P613" s="24" t="s">
        <v>5462</v>
      </c>
      <c r="Q613" s="24" t="s">
        <v>5463</v>
      </c>
      <c r="R613" s="24"/>
      <c r="S613" s="24" t="s">
        <v>139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140</v>
      </c>
      <c r="Y613" s="23" t="s">
        <v>140</v>
      </c>
      <c r="Z613" s="23" t="s">
        <v>140</v>
      </c>
      <c r="AA613" s="23" t="s">
        <v>140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</row>
    <row r="614" customFormat="false" ht="26.85" hidden="false" customHeight="false" outlineLevel="0" collapsed="false">
      <c r="A614" s="23" t="n">
        <v>613</v>
      </c>
      <c r="B614" s="30" t="s">
        <v>5464</v>
      </c>
      <c r="C614" s="23" t="n">
        <v>2</v>
      </c>
      <c r="D614" s="23" t="s">
        <v>4666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0" t="s">
        <v>5412</v>
      </c>
      <c r="H614" s="30" t="s">
        <v>5430</v>
      </c>
      <c r="I614" s="23" t="s">
        <v>5252</v>
      </c>
      <c r="J614" s="24" t="s">
        <v>5465</v>
      </c>
      <c r="K614" s="23" t="s">
        <v>131</v>
      </c>
      <c r="L614" s="24" t="s">
        <v>5466</v>
      </c>
      <c r="M614" s="24" t="s">
        <v>5467</v>
      </c>
      <c r="N614" s="23" t="s">
        <v>5468</v>
      </c>
      <c r="O614" s="24" t="s">
        <v>5469</v>
      </c>
      <c r="P614" s="24" t="s">
        <v>5470</v>
      </c>
      <c r="Q614" s="24" t="s">
        <v>5028</v>
      </c>
      <c r="R614" s="24"/>
      <c r="S614" s="24" t="s">
        <v>5471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140</v>
      </c>
      <c r="Y614" s="23" t="s">
        <v>140</v>
      </c>
      <c r="Z614" s="23" t="s">
        <v>140</v>
      </c>
      <c r="AA614" s="23" t="s">
        <v>140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</row>
    <row r="615" customFormat="false" ht="26.85" hidden="false" customHeight="false" outlineLevel="0" collapsed="false">
      <c r="A615" s="23" t="n">
        <v>614</v>
      </c>
      <c r="B615" s="30" t="s">
        <v>5472</v>
      </c>
      <c r="C615" s="20" t="n">
        <v>1</v>
      </c>
      <c r="D615" s="20" t="s">
        <v>4666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0" t="s">
        <v>5412</v>
      </c>
      <c r="H615" s="30" t="s">
        <v>5333</v>
      </c>
      <c r="I615" s="23" t="s">
        <v>5252</v>
      </c>
      <c r="J615" s="24" t="s">
        <v>5473</v>
      </c>
      <c r="K615" s="23" t="s">
        <v>131</v>
      </c>
      <c r="L615" s="24" t="s">
        <v>5474</v>
      </c>
      <c r="M615" s="24" t="s">
        <v>5475</v>
      </c>
      <c r="N615" s="23" t="s">
        <v>5476</v>
      </c>
      <c r="O615" s="24" t="s">
        <v>5477</v>
      </c>
      <c r="P615" s="24" t="s">
        <v>5478</v>
      </c>
      <c r="Q615" s="24" t="s">
        <v>5479</v>
      </c>
      <c r="R615" s="25" t="s">
        <v>5480</v>
      </c>
      <c r="S615" s="28" t="s">
        <v>5481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140</v>
      </c>
      <c r="Y615" s="23" t="s">
        <v>140</v>
      </c>
      <c r="Z615" s="23" t="s">
        <v>140</v>
      </c>
      <c r="AA615" s="23" t="s">
        <v>140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</row>
    <row r="616" customFormat="false" ht="26.85" hidden="false" customHeight="false" outlineLevel="0" collapsed="false">
      <c r="A616" s="23" t="n">
        <v>615</v>
      </c>
      <c r="B616" s="30" t="s">
        <v>5482</v>
      </c>
      <c r="C616" s="20" t="n">
        <v>1</v>
      </c>
      <c r="D616" s="20" t="s">
        <v>4666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0" t="s">
        <v>5412</v>
      </c>
      <c r="H616" s="30" t="s">
        <v>5333</v>
      </c>
      <c r="I616" s="23" t="s">
        <v>5252</v>
      </c>
      <c r="J616" s="24" t="s">
        <v>5483</v>
      </c>
      <c r="K616" s="23" t="s">
        <v>131</v>
      </c>
      <c r="L616" s="24" t="s">
        <v>5484</v>
      </c>
      <c r="M616" s="24" t="s">
        <v>5485</v>
      </c>
      <c r="N616" s="23" t="s">
        <v>5486</v>
      </c>
      <c r="O616" s="24" t="s">
        <v>5487</v>
      </c>
      <c r="P616" s="24" t="s">
        <v>5488</v>
      </c>
      <c r="Q616" s="24" t="s">
        <v>5489</v>
      </c>
      <c r="R616" s="24"/>
      <c r="S616" s="24" t="s">
        <v>139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140</v>
      </c>
      <c r="Y616" s="23" t="s">
        <v>140</v>
      </c>
      <c r="Z616" s="23" t="s">
        <v>140</v>
      </c>
      <c r="AA616" s="23" t="s">
        <v>140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</row>
    <row r="617" customFormat="false" ht="26.85" hidden="false" customHeight="false" outlineLevel="0" collapsed="false">
      <c r="A617" s="23" t="n">
        <v>616</v>
      </c>
      <c r="B617" s="30" t="s">
        <v>5490</v>
      </c>
      <c r="C617" s="20" t="n">
        <v>1</v>
      </c>
      <c r="D617" s="20" t="s">
        <v>4666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0" t="s">
        <v>5412</v>
      </c>
      <c r="H617" s="30" t="s">
        <v>5333</v>
      </c>
      <c r="I617" s="23" t="s">
        <v>5252</v>
      </c>
      <c r="J617" s="24" t="s">
        <v>5491</v>
      </c>
      <c r="K617" s="23" t="s">
        <v>131</v>
      </c>
      <c r="L617" s="24" t="s">
        <v>5492</v>
      </c>
      <c r="M617" s="24" t="s">
        <v>5493</v>
      </c>
      <c r="N617" s="23" t="s">
        <v>5494</v>
      </c>
      <c r="O617" s="24" t="s">
        <v>5495</v>
      </c>
      <c r="P617" s="24" t="s">
        <v>4778</v>
      </c>
      <c r="Q617" s="24" t="s">
        <v>5496</v>
      </c>
      <c r="R617" s="24"/>
      <c r="S617" s="24" t="s">
        <v>139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140</v>
      </c>
      <c r="Y617" s="23" t="s">
        <v>140</v>
      </c>
      <c r="Z617" s="23" t="s">
        <v>140</v>
      </c>
      <c r="AA617" s="23" t="s">
        <v>140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</row>
    <row r="618" customFormat="false" ht="26.85" hidden="false" customHeight="false" outlineLevel="0" collapsed="false">
      <c r="A618" s="23" t="n">
        <v>617</v>
      </c>
      <c r="B618" s="30" t="s">
        <v>5497</v>
      </c>
      <c r="C618" s="20" t="n">
        <v>1</v>
      </c>
      <c r="D618" s="20" t="s">
        <v>4666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0" t="s">
        <v>5498</v>
      </c>
      <c r="H618" s="30" t="s">
        <v>5499</v>
      </c>
      <c r="I618" s="23" t="s">
        <v>5500</v>
      </c>
      <c r="J618" s="24" t="s">
        <v>5501</v>
      </c>
      <c r="K618" s="23" t="s">
        <v>131</v>
      </c>
      <c r="L618" s="24" t="s">
        <v>5502</v>
      </c>
      <c r="M618" s="24" t="s">
        <v>5503</v>
      </c>
      <c r="N618" s="23" t="s">
        <v>5504</v>
      </c>
      <c r="O618" s="24" t="s">
        <v>5505</v>
      </c>
      <c r="P618" s="24" t="s">
        <v>5506</v>
      </c>
      <c r="Q618" s="24" t="s">
        <v>5507</v>
      </c>
      <c r="R618" s="27" t="s">
        <v>5508</v>
      </c>
      <c r="S618" s="24" t="s">
        <v>139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140</v>
      </c>
      <c r="Y618" s="23" t="s">
        <v>140</v>
      </c>
      <c r="Z618" s="23" t="s">
        <v>140</v>
      </c>
      <c r="AA618" s="23" t="s">
        <v>140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</row>
    <row r="619" customFormat="false" ht="26.85" hidden="false" customHeight="false" outlineLevel="0" collapsed="false">
      <c r="A619" s="23" t="n">
        <v>618</v>
      </c>
      <c r="B619" s="30" t="s">
        <v>5509</v>
      </c>
      <c r="C619" s="23" t="n">
        <v>2</v>
      </c>
      <c r="D619" s="23" t="s">
        <v>4666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0" t="s">
        <v>5498</v>
      </c>
      <c r="H619" s="30" t="s">
        <v>5430</v>
      </c>
      <c r="I619" s="23" t="s">
        <v>5500</v>
      </c>
      <c r="J619" s="24" t="s">
        <v>5510</v>
      </c>
      <c r="K619" s="23" t="s">
        <v>131</v>
      </c>
      <c r="L619" s="24" t="s">
        <v>5511</v>
      </c>
      <c r="M619" s="24" t="s">
        <v>5512</v>
      </c>
      <c r="N619" s="23" t="s">
        <v>5513</v>
      </c>
      <c r="O619" s="24" t="s">
        <v>5514</v>
      </c>
      <c r="P619" s="24" t="s">
        <v>5515</v>
      </c>
      <c r="Q619" s="24" t="s">
        <v>5516</v>
      </c>
      <c r="R619" s="24"/>
      <c r="S619" s="24" t="s">
        <v>5517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140</v>
      </c>
      <c r="Y619" s="23" t="s">
        <v>140</v>
      </c>
      <c r="Z619" s="23" t="s">
        <v>140</v>
      </c>
      <c r="AA619" s="23" t="s">
        <v>140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</row>
    <row r="620" customFormat="false" ht="26.85" hidden="false" customHeight="false" outlineLevel="0" collapsed="false">
      <c r="A620" s="23" t="n">
        <v>619</v>
      </c>
      <c r="B620" s="30" t="s">
        <v>5518</v>
      </c>
      <c r="C620" s="20" t="n">
        <v>1</v>
      </c>
      <c r="D620" s="20" t="s">
        <v>4666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0" t="s">
        <v>5498</v>
      </c>
      <c r="H620" s="30" t="s">
        <v>5499</v>
      </c>
      <c r="I620" s="23" t="s">
        <v>5500</v>
      </c>
      <c r="J620" s="24" t="s">
        <v>5519</v>
      </c>
      <c r="K620" s="23" t="s">
        <v>131</v>
      </c>
      <c r="L620" s="24" t="s">
        <v>5520</v>
      </c>
      <c r="M620" s="24" t="s">
        <v>5521</v>
      </c>
      <c r="N620" s="23" t="s">
        <v>5522</v>
      </c>
      <c r="O620" s="24" t="s">
        <v>5523</v>
      </c>
      <c r="P620" s="24" t="s">
        <v>5524</v>
      </c>
      <c r="Q620" s="24" t="s">
        <v>5525</v>
      </c>
      <c r="R620" s="25" t="s">
        <v>5526</v>
      </c>
      <c r="S620" s="28" t="s">
        <v>5527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140</v>
      </c>
      <c r="Y620" s="23" t="s">
        <v>140</v>
      </c>
      <c r="Z620" s="23" t="s">
        <v>140</v>
      </c>
      <c r="AA620" s="23" t="s">
        <v>140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</row>
    <row r="621" customFormat="false" ht="25.35" hidden="false" customHeight="false" outlineLevel="0" collapsed="false">
      <c r="A621" s="23" t="n">
        <v>620</v>
      </c>
      <c r="B621" s="30" t="s">
        <v>5528</v>
      </c>
      <c r="C621" s="23" t="n">
        <v>2</v>
      </c>
      <c r="D621" s="23" t="s">
        <v>4666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0" t="s">
        <v>5498</v>
      </c>
      <c r="H621" s="30" t="s">
        <v>5430</v>
      </c>
      <c r="I621" s="23" t="s">
        <v>5500</v>
      </c>
      <c r="J621" s="24" t="s">
        <v>5529</v>
      </c>
      <c r="K621" s="23" t="s">
        <v>131</v>
      </c>
      <c r="L621" s="24" t="s">
        <v>5530</v>
      </c>
      <c r="M621" s="24" t="s">
        <v>5531</v>
      </c>
      <c r="N621" s="23" t="s">
        <v>5532</v>
      </c>
      <c r="O621" s="24" t="s">
        <v>5533</v>
      </c>
      <c r="P621" s="24" t="s">
        <v>5534</v>
      </c>
      <c r="Q621" s="24" t="s">
        <v>2465</v>
      </c>
      <c r="R621" s="24"/>
      <c r="S621" s="24" t="s">
        <v>5535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140</v>
      </c>
      <c r="Y621" s="23" t="s">
        <v>140</v>
      </c>
      <c r="Z621" s="23" t="s">
        <v>140</v>
      </c>
      <c r="AA621" s="23" t="s">
        <v>140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</row>
    <row r="622" customFormat="false" ht="26.85" hidden="false" customHeight="false" outlineLevel="0" collapsed="false">
      <c r="A622" s="23" t="n">
        <v>621</v>
      </c>
      <c r="B622" s="30" t="s">
        <v>5536</v>
      </c>
      <c r="C622" s="20" t="n">
        <v>1</v>
      </c>
      <c r="D622" s="20" t="s">
        <v>4666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0" t="s">
        <v>5498</v>
      </c>
      <c r="H622" s="30" t="s">
        <v>5499</v>
      </c>
      <c r="I622" s="23" t="s">
        <v>5500</v>
      </c>
      <c r="J622" s="24" t="s">
        <v>5537</v>
      </c>
      <c r="K622" s="23" t="s">
        <v>131</v>
      </c>
      <c r="L622" s="24" t="s">
        <v>5538</v>
      </c>
      <c r="M622" s="24" t="s">
        <v>5539</v>
      </c>
      <c r="N622" s="23" t="s">
        <v>5540</v>
      </c>
      <c r="O622" s="24" t="s">
        <v>5541</v>
      </c>
      <c r="P622" s="24" t="s">
        <v>5542</v>
      </c>
      <c r="Q622" s="24" t="s">
        <v>5543</v>
      </c>
      <c r="R622" s="25" t="s">
        <v>5544</v>
      </c>
      <c r="S622" s="28" t="s">
        <v>5545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140</v>
      </c>
      <c r="Y622" s="23" t="s">
        <v>140</v>
      </c>
      <c r="Z622" s="23" t="s">
        <v>140</v>
      </c>
      <c r="AA622" s="23" t="s">
        <v>140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</row>
    <row r="623" customFormat="false" ht="26.85" hidden="false" customHeight="false" outlineLevel="0" collapsed="false">
      <c r="A623" s="23" t="n">
        <v>622</v>
      </c>
      <c r="B623" s="30" t="s">
        <v>5546</v>
      </c>
      <c r="C623" s="20" t="n">
        <v>1</v>
      </c>
      <c r="D623" s="20" t="s">
        <v>4666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0" t="s">
        <v>5498</v>
      </c>
      <c r="H623" s="30" t="s">
        <v>5499</v>
      </c>
      <c r="I623" s="23" t="s">
        <v>5500</v>
      </c>
      <c r="J623" s="24" t="s">
        <v>5547</v>
      </c>
      <c r="K623" s="23" t="s">
        <v>131</v>
      </c>
      <c r="L623" s="24" t="s">
        <v>5548</v>
      </c>
      <c r="M623" s="24" t="s">
        <v>5549</v>
      </c>
      <c r="N623" s="23" t="s">
        <v>5550</v>
      </c>
      <c r="O623" s="24" t="s">
        <v>5551</v>
      </c>
      <c r="P623" s="24" t="s">
        <v>5552</v>
      </c>
      <c r="Q623" s="24" t="s">
        <v>5553</v>
      </c>
      <c r="R623" s="25" t="s">
        <v>5554</v>
      </c>
      <c r="S623" s="24" t="s">
        <v>139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140</v>
      </c>
      <c r="Y623" s="23" t="s">
        <v>140</v>
      </c>
      <c r="Z623" s="23" t="s">
        <v>140</v>
      </c>
      <c r="AA623" s="23" t="s">
        <v>140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</row>
    <row r="624" customFormat="false" ht="26.85" hidden="false" customHeight="false" outlineLevel="0" collapsed="false">
      <c r="A624" s="23" t="n">
        <v>623</v>
      </c>
      <c r="B624" s="30" t="s">
        <v>5555</v>
      </c>
      <c r="C624" s="23" t="n">
        <v>2</v>
      </c>
      <c r="D624" s="23" t="s">
        <v>4666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0" t="s">
        <v>5498</v>
      </c>
      <c r="H624" s="30" t="s">
        <v>5430</v>
      </c>
      <c r="I624" s="23" t="s">
        <v>5500</v>
      </c>
      <c r="J624" s="24" t="s">
        <v>5556</v>
      </c>
      <c r="K624" s="23" t="s">
        <v>131</v>
      </c>
      <c r="L624" s="24" t="s">
        <v>5557</v>
      </c>
      <c r="M624" s="24" t="s">
        <v>5558</v>
      </c>
      <c r="N624" s="23" t="s">
        <v>5559</v>
      </c>
      <c r="O624" s="24" t="s">
        <v>5560</v>
      </c>
      <c r="P624" s="24" t="s">
        <v>5561</v>
      </c>
      <c r="Q624" s="24" t="s">
        <v>5562</v>
      </c>
      <c r="R624" s="24"/>
      <c r="S624" s="24" t="s">
        <v>5563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140</v>
      </c>
      <c r="Y624" s="23" t="s">
        <v>140</v>
      </c>
      <c r="Z624" s="23" t="s">
        <v>140</v>
      </c>
      <c r="AA624" s="23" t="s">
        <v>140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</row>
    <row r="625" customFormat="false" ht="26.85" hidden="false" customHeight="false" outlineLevel="0" collapsed="false">
      <c r="A625" s="23" t="n">
        <v>624</v>
      </c>
      <c r="B625" s="30" t="s">
        <v>5564</v>
      </c>
      <c r="C625" s="20" t="n">
        <v>1</v>
      </c>
      <c r="D625" s="20" t="s">
        <v>4666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0" t="s">
        <v>5498</v>
      </c>
      <c r="H625" s="30" t="s">
        <v>5499</v>
      </c>
      <c r="I625" s="23" t="s">
        <v>5500</v>
      </c>
      <c r="J625" s="24" t="s">
        <v>5565</v>
      </c>
      <c r="K625" s="23" t="s">
        <v>131</v>
      </c>
      <c r="L625" s="24" t="s">
        <v>5566</v>
      </c>
      <c r="M625" s="29" t="s">
        <v>5567</v>
      </c>
      <c r="N625" s="23" t="s">
        <v>5568</v>
      </c>
      <c r="O625" s="24" t="s">
        <v>5569</v>
      </c>
      <c r="P625" s="24" t="s">
        <v>5570</v>
      </c>
      <c r="Q625" s="24" t="s">
        <v>5566</v>
      </c>
      <c r="R625" s="24"/>
      <c r="S625" s="28" t="s">
        <v>5571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140</v>
      </c>
      <c r="Y625" s="23" t="s">
        <v>140</v>
      </c>
      <c r="Z625" s="23" t="s">
        <v>140</v>
      </c>
      <c r="AA625" s="23" t="s">
        <v>140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</row>
    <row r="626" customFormat="false" ht="26.85" hidden="false" customHeight="false" outlineLevel="0" collapsed="false">
      <c r="A626" s="23" t="n">
        <v>625</v>
      </c>
      <c r="B626" s="30" t="s">
        <v>5572</v>
      </c>
      <c r="C626" s="20" t="n">
        <v>1</v>
      </c>
      <c r="D626" s="20" t="s">
        <v>4666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0" t="s">
        <v>5498</v>
      </c>
      <c r="H626" s="30" t="s">
        <v>5499</v>
      </c>
      <c r="I626" s="23" t="s">
        <v>5500</v>
      </c>
      <c r="J626" s="24" t="s">
        <v>5573</v>
      </c>
      <c r="K626" s="23" t="s">
        <v>131</v>
      </c>
      <c r="L626" s="24" t="s">
        <v>5574</v>
      </c>
      <c r="M626" s="24" t="s">
        <v>5575</v>
      </c>
      <c r="N626" s="23" t="s">
        <v>5576</v>
      </c>
      <c r="O626" s="24" t="s">
        <v>5577</v>
      </c>
      <c r="P626" s="24" t="s">
        <v>5578</v>
      </c>
      <c r="Q626" s="24" t="s">
        <v>5579</v>
      </c>
      <c r="R626" s="24"/>
      <c r="S626" s="24" t="s">
        <v>139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140</v>
      </c>
      <c r="Y626" s="23" t="s">
        <v>140</v>
      </c>
      <c r="Z626" s="23" t="s">
        <v>140</v>
      </c>
      <c r="AA626" s="23" t="s">
        <v>140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</row>
    <row r="627" customFormat="false" ht="26.85" hidden="false" customHeight="false" outlineLevel="0" collapsed="false">
      <c r="A627" s="23" t="n">
        <v>626</v>
      </c>
      <c r="B627" s="30" t="s">
        <v>5580</v>
      </c>
      <c r="C627" s="20" t="n">
        <v>1</v>
      </c>
      <c r="D627" s="20" t="s">
        <v>4666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0" t="s">
        <v>5498</v>
      </c>
      <c r="H627" s="30" t="s">
        <v>5499</v>
      </c>
      <c r="I627" s="23" t="s">
        <v>5500</v>
      </c>
      <c r="J627" s="24" t="s">
        <v>5581</v>
      </c>
      <c r="K627" s="23" t="s">
        <v>131</v>
      </c>
      <c r="L627" s="24" t="s">
        <v>5582</v>
      </c>
      <c r="M627" s="24" t="s">
        <v>5583</v>
      </c>
      <c r="N627" s="23" t="s">
        <v>5584</v>
      </c>
      <c r="O627" s="24" t="s">
        <v>5585</v>
      </c>
      <c r="P627" s="24" t="s">
        <v>5586</v>
      </c>
      <c r="Q627" s="24" t="s">
        <v>5587</v>
      </c>
      <c r="R627" s="25" t="s">
        <v>5588</v>
      </c>
      <c r="S627" s="24" t="s">
        <v>139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140</v>
      </c>
      <c r="Y627" s="23" t="s">
        <v>140</v>
      </c>
      <c r="Z627" s="23" t="s">
        <v>140</v>
      </c>
      <c r="AA627" s="23" t="s">
        <v>140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</row>
    <row r="628" customFormat="false" ht="26.85" hidden="false" customHeight="false" outlineLevel="0" collapsed="false">
      <c r="A628" s="23" t="n">
        <v>627</v>
      </c>
      <c r="B628" s="30" t="s">
        <v>5589</v>
      </c>
      <c r="C628" s="23" t="n">
        <v>2</v>
      </c>
      <c r="D628" s="23" t="s">
        <v>4666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0" t="s">
        <v>5590</v>
      </c>
      <c r="H628" s="30" t="s">
        <v>5430</v>
      </c>
      <c r="I628" s="23" t="s">
        <v>5500</v>
      </c>
      <c r="J628" s="24" t="s">
        <v>5591</v>
      </c>
      <c r="K628" s="23" t="s">
        <v>131</v>
      </c>
      <c r="L628" s="24" t="s">
        <v>5592</v>
      </c>
      <c r="M628" s="24" t="s">
        <v>5593</v>
      </c>
      <c r="N628" s="23" t="s">
        <v>5594</v>
      </c>
      <c r="O628" s="24" t="s">
        <v>5595</v>
      </c>
      <c r="P628" s="24" t="s">
        <v>4935</v>
      </c>
      <c r="Q628" s="24" t="s">
        <v>5596</v>
      </c>
      <c r="R628" s="24"/>
      <c r="S628" s="24" t="s">
        <v>5597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140</v>
      </c>
      <c r="Y628" s="23" t="s">
        <v>140</v>
      </c>
      <c r="Z628" s="23" t="s">
        <v>140</v>
      </c>
      <c r="AA628" s="23" t="s">
        <v>140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</row>
    <row r="629" customFormat="false" ht="26.85" hidden="false" customHeight="false" outlineLevel="0" collapsed="false">
      <c r="A629" s="23" t="n">
        <v>628</v>
      </c>
      <c r="B629" s="30" t="s">
        <v>5598</v>
      </c>
      <c r="C629" s="20" t="n">
        <v>1</v>
      </c>
      <c r="D629" s="20" t="s">
        <v>4666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0" t="s">
        <v>5590</v>
      </c>
      <c r="H629" s="30" t="s">
        <v>5599</v>
      </c>
      <c r="I629" s="23" t="s">
        <v>5500</v>
      </c>
      <c r="J629" s="24" t="s">
        <v>5600</v>
      </c>
      <c r="K629" s="23" t="s">
        <v>131</v>
      </c>
      <c r="L629" s="24" t="s">
        <v>5601</v>
      </c>
      <c r="M629" s="24" t="s">
        <v>5602</v>
      </c>
      <c r="N629" s="23" t="s">
        <v>5603</v>
      </c>
      <c r="O629" s="24" t="s">
        <v>5604</v>
      </c>
      <c r="P629" s="24" t="s">
        <v>5605</v>
      </c>
      <c r="Q629" s="24" t="s">
        <v>2465</v>
      </c>
      <c r="R629" s="25" t="s">
        <v>5606</v>
      </c>
      <c r="S629" s="28" t="s">
        <v>5607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140</v>
      </c>
      <c r="Y629" s="23" t="s">
        <v>140</v>
      </c>
      <c r="Z629" s="23" t="s">
        <v>140</v>
      </c>
      <c r="AA629" s="23" t="s">
        <v>140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</row>
    <row r="630" customFormat="false" ht="26.85" hidden="false" customHeight="false" outlineLevel="0" collapsed="false">
      <c r="A630" s="23" t="n">
        <v>629</v>
      </c>
      <c r="B630" s="30" t="s">
        <v>5608</v>
      </c>
      <c r="C630" s="23" t="n">
        <v>2</v>
      </c>
      <c r="D630" s="23" t="s">
        <v>4666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0" t="s">
        <v>5590</v>
      </c>
      <c r="H630" s="30" t="s">
        <v>5430</v>
      </c>
      <c r="I630" s="23" t="s">
        <v>5500</v>
      </c>
      <c r="J630" s="24" t="s">
        <v>5609</v>
      </c>
      <c r="K630" s="23" t="s">
        <v>131</v>
      </c>
      <c r="L630" s="24" t="s">
        <v>5610</v>
      </c>
      <c r="M630" s="24" t="s">
        <v>5611</v>
      </c>
      <c r="N630" s="23" t="s">
        <v>5612</v>
      </c>
      <c r="O630" s="24" t="s">
        <v>5613</v>
      </c>
      <c r="P630" s="24" t="s">
        <v>5614</v>
      </c>
      <c r="Q630" s="24" t="s">
        <v>5615</v>
      </c>
      <c r="R630" s="24"/>
      <c r="S630" s="24" t="s">
        <v>5616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140</v>
      </c>
      <c r="Y630" s="23" t="s">
        <v>140</v>
      </c>
      <c r="Z630" s="23" t="s">
        <v>140</v>
      </c>
      <c r="AA630" s="23" t="s">
        <v>140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</row>
    <row r="631" customFormat="false" ht="26.85" hidden="false" customHeight="false" outlineLevel="0" collapsed="false">
      <c r="A631" s="23" t="n">
        <v>630</v>
      </c>
      <c r="B631" s="30" t="s">
        <v>5617</v>
      </c>
      <c r="C631" s="20" t="n">
        <v>1</v>
      </c>
      <c r="D631" s="20" t="s">
        <v>4666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0" t="s">
        <v>5590</v>
      </c>
      <c r="H631" s="30" t="s">
        <v>5599</v>
      </c>
      <c r="I631" s="23" t="s">
        <v>5500</v>
      </c>
      <c r="J631" s="24" t="s">
        <v>5618</v>
      </c>
      <c r="K631" s="23" t="s">
        <v>131</v>
      </c>
      <c r="L631" s="24" t="s">
        <v>5619</v>
      </c>
      <c r="M631" s="24" t="s">
        <v>5620</v>
      </c>
      <c r="N631" s="23" t="s">
        <v>5621</v>
      </c>
      <c r="O631" s="24" t="s">
        <v>5622</v>
      </c>
      <c r="P631" s="24" t="s">
        <v>5623</v>
      </c>
      <c r="Q631" s="24" t="s">
        <v>5624</v>
      </c>
      <c r="R631" s="24"/>
      <c r="S631" s="28" t="s">
        <v>5625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140</v>
      </c>
      <c r="Y631" s="23" t="s">
        <v>140</v>
      </c>
      <c r="Z631" s="23" t="s">
        <v>140</v>
      </c>
      <c r="AA631" s="23" t="s">
        <v>140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</row>
    <row r="632" customFormat="false" ht="15" hidden="false" customHeight="false" outlineLevel="0" collapsed="false">
      <c r="A632" s="23" t="n">
        <v>631</v>
      </c>
      <c r="B632" s="30" t="s">
        <v>5626</v>
      </c>
      <c r="C632" s="20" t="n">
        <v>1</v>
      </c>
      <c r="D632" s="20" t="s">
        <v>4666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0" t="s">
        <v>5590</v>
      </c>
      <c r="H632" s="30" t="s">
        <v>5599</v>
      </c>
      <c r="I632" s="23" t="s">
        <v>5500</v>
      </c>
      <c r="J632" s="24" t="s">
        <v>5627</v>
      </c>
      <c r="K632" s="23" t="s">
        <v>131</v>
      </c>
      <c r="L632" s="24" t="s">
        <v>5628</v>
      </c>
      <c r="M632" s="24" t="s">
        <v>5629</v>
      </c>
      <c r="N632" s="23" t="s">
        <v>5630</v>
      </c>
      <c r="O632" s="24" t="s">
        <v>5631</v>
      </c>
      <c r="P632" s="24" t="s">
        <v>5632</v>
      </c>
      <c r="Q632" s="24" t="s">
        <v>5633</v>
      </c>
      <c r="R632" s="24"/>
      <c r="S632" s="24" t="s">
        <v>139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140</v>
      </c>
      <c r="Y632" s="23" t="s">
        <v>140</v>
      </c>
      <c r="Z632" s="23" t="s">
        <v>140</v>
      </c>
      <c r="AA632" s="23" t="s">
        <v>140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</row>
    <row r="633" customFormat="false" ht="26.85" hidden="false" customHeight="false" outlineLevel="0" collapsed="false">
      <c r="A633" s="23" t="n">
        <v>632</v>
      </c>
      <c r="B633" s="30" t="s">
        <v>5634</v>
      </c>
      <c r="C633" s="20" t="n">
        <v>1</v>
      </c>
      <c r="D633" s="20" t="s">
        <v>4666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0" t="s">
        <v>5590</v>
      </c>
      <c r="H633" s="30" t="s">
        <v>5599</v>
      </c>
      <c r="I633" s="23" t="s">
        <v>5500</v>
      </c>
      <c r="J633" s="24" t="s">
        <v>5635</v>
      </c>
      <c r="K633" s="23" t="s">
        <v>131</v>
      </c>
      <c r="L633" s="24" t="s">
        <v>5636</v>
      </c>
      <c r="M633" s="24" t="s">
        <v>5637</v>
      </c>
      <c r="N633" s="23" t="s">
        <v>5638</v>
      </c>
      <c r="O633" s="24" t="s">
        <v>5639</v>
      </c>
      <c r="P633" s="24" t="s">
        <v>5640</v>
      </c>
      <c r="Q633" s="24" t="s">
        <v>5641</v>
      </c>
      <c r="R633" s="24"/>
      <c r="S633" s="24" t="s">
        <v>139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140</v>
      </c>
      <c r="Y633" s="23" t="s">
        <v>140</v>
      </c>
      <c r="Z633" s="23" t="s">
        <v>140</v>
      </c>
      <c r="AA633" s="23" t="s">
        <v>140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</row>
    <row r="634" customFormat="false" ht="26.85" hidden="false" customHeight="false" outlineLevel="0" collapsed="false">
      <c r="A634" s="23" t="n">
        <v>633</v>
      </c>
      <c r="B634" s="30" t="s">
        <v>5642</v>
      </c>
      <c r="C634" s="23" t="n">
        <v>2</v>
      </c>
      <c r="D634" s="23" t="s">
        <v>4666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0" t="s">
        <v>5590</v>
      </c>
      <c r="H634" s="30" t="s">
        <v>5430</v>
      </c>
      <c r="I634" s="23" t="s">
        <v>5500</v>
      </c>
      <c r="J634" s="24" t="s">
        <v>5643</v>
      </c>
      <c r="K634" s="23" t="s">
        <v>131</v>
      </c>
      <c r="L634" s="24" t="s">
        <v>5644</v>
      </c>
      <c r="M634" s="24" t="s">
        <v>5645</v>
      </c>
      <c r="N634" s="23" t="s">
        <v>5646</v>
      </c>
      <c r="O634" s="24" t="s">
        <v>5647</v>
      </c>
      <c r="P634" s="24" t="s">
        <v>5648</v>
      </c>
      <c r="Q634" s="24" t="s">
        <v>5649</v>
      </c>
      <c r="R634" s="24"/>
      <c r="S634" s="24" t="s">
        <v>5650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140</v>
      </c>
      <c r="Y634" s="23" t="s">
        <v>140</v>
      </c>
      <c r="Z634" s="23" t="s">
        <v>140</v>
      </c>
      <c r="AA634" s="23" t="s">
        <v>140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</row>
    <row r="635" customFormat="false" ht="26.85" hidden="false" customHeight="false" outlineLevel="0" collapsed="false">
      <c r="A635" s="23" t="n">
        <v>634</v>
      </c>
      <c r="B635" s="30" t="s">
        <v>5651</v>
      </c>
      <c r="C635" s="23" t="n">
        <v>2</v>
      </c>
      <c r="D635" s="23" t="s">
        <v>4666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0" t="s">
        <v>5590</v>
      </c>
      <c r="H635" s="30" t="s">
        <v>5430</v>
      </c>
      <c r="I635" s="23" t="s">
        <v>5500</v>
      </c>
      <c r="J635" s="24" t="s">
        <v>5652</v>
      </c>
      <c r="K635" s="23" t="s">
        <v>131</v>
      </c>
      <c r="L635" s="24" t="s">
        <v>5653</v>
      </c>
      <c r="M635" s="24" t="s">
        <v>5654</v>
      </c>
      <c r="N635" s="23" t="s">
        <v>5655</v>
      </c>
      <c r="O635" s="24" t="s">
        <v>5656</v>
      </c>
      <c r="P635" s="24" t="s">
        <v>5657</v>
      </c>
      <c r="Q635" s="24" t="s">
        <v>2340</v>
      </c>
      <c r="R635" s="24"/>
      <c r="S635" s="24" t="s">
        <v>5650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140</v>
      </c>
      <c r="Y635" s="23" t="s">
        <v>140</v>
      </c>
      <c r="Z635" s="23" t="s">
        <v>140</v>
      </c>
      <c r="AA635" s="23" t="s">
        <v>140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</row>
    <row r="636" customFormat="false" ht="39.55" hidden="false" customHeight="false" outlineLevel="0" collapsed="false">
      <c r="A636" s="23" t="n">
        <v>635</v>
      </c>
      <c r="B636" s="30" t="s">
        <v>5658</v>
      </c>
      <c r="C636" s="20" t="n">
        <v>1</v>
      </c>
      <c r="D636" s="20" t="s">
        <v>4666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0" t="s">
        <v>5659</v>
      </c>
      <c r="H636" s="30" t="s">
        <v>5599</v>
      </c>
      <c r="I636" s="23" t="s">
        <v>5500</v>
      </c>
      <c r="J636" s="24" t="s">
        <v>5660</v>
      </c>
      <c r="K636" s="23" t="s">
        <v>131</v>
      </c>
      <c r="L636" s="24" t="s">
        <v>5661</v>
      </c>
      <c r="M636" s="24" t="s">
        <v>5662</v>
      </c>
      <c r="N636" s="23" t="s">
        <v>5663</v>
      </c>
      <c r="O636" s="24" t="s">
        <v>5664</v>
      </c>
      <c r="P636" s="24" t="s">
        <v>4918</v>
      </c>
      <c r="Q636" s="24" t="s">
        <v>5665</v>
      </c>
      <c r="R636" s="24"/>
      <c r="S636" s="28" t="s">
        <v>5666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140</v>
      </c>
      <c r="Y636" s="23" t="s">
        <v>140</v>
      </c>
      <c r="Z636" s="23" t="s">
        <v>140</v>
      </c>
      <c r="AA636" s="23" t="s">
        <v>140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</row>
    <row r="637" customFormat="false" ht="26.85" hidden="false" customHeight="false" outlineLevel="0" collapsed="false">
      <c r="A637" s="23" t="n">
        <v>636</v>
      </c>
      <c r="B637" s="30" t="s">
        <v>5667</v>
      </c>
      <c r="C637" s="23" t="n">
        <v>2</v>
      </c>
      <c r="D637" s="23" t="s">
        <v>4666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0" t="s">
        <v>5659</v>
      </c>
      <c r="H637" s="30" t="s">
        <v>5668</v>
      </c>
      <c r="I637" s="23" t="s">
        <v>5500</v>
      </c>
      <c r="J637" s="24" t="s">
        <v>5669</v>
      </c>
      <c r="K637" s="23" t="s">
        <v>131</v>
      </c>
      <c r="L637" s="24" t="s">
        <v>5670</v>
      </c>
      <c r="M637" s="24" t="s">
        <v>5671</v>
      </c>
      <c r="N637" s="23" t="s">
        <v>5672</v>
      </c>
      <c r="O637" s="24" t="s">
        <v>5673</v>
      </c>
      <c r="P637" s="24" t="s">
        <v>5674</v>
      </c>
      <c r="Q637" s="24" t="s">
        <v>5675</v>
      </c>
      <c r="R637" s="24"/>
      <c r="S637" s="24" t="s">
        <v>5676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140</v>
      </c>
      <c r="Y637" s="23" t="s">
        <v>140</v>
      </c>
      <c r="Z637" s="23" t="s">
        <v>140</v>
      </c>
      <c r="AA637" s="23" t="s">
        <v>140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</row>
    <row r="638" customFormat="false" ht="39.55" hidden="false" customHeight="false" outlineLevel="0" collapsed="false">
      <c r="A638" s="23" t="n">
        <v>637</v>
      </c>
      <c r="B638" s="30" t="s">
        <v>5677</v>
      </c>
      <c r="C638" s="20" t="n">
        <v>1</v>
      </c>
      <c r="D638" s="20" t="s">
        <v>4666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0" t="s">
        <v>5659</v>
      </c>
      <c r="H638" s="30" t="s">
        <v>5599</v>
      </c>
      <c r="I638" s="23" t="s">
        <v>5500</v>
      </c>
      <c r="J638" s="24" t="s">
        <v>5678</v>
      </c>
      <c r="K638" s="23" t="s">
        <v>131</v>
      </c>
      <c r="L638" s="24" t="s">
        <v>5679</v>
      </c>
      <c r="M638" s="24" t="s">
        <v>5680</v>
      </c>
      <c r="N638" s="23" t="s">
        <v>5681</v>
      </c>
      <c r="O638" s="24" t="s">
        <v>5682</v>
      </c>
      <c r="P638" s="24" t="s">
        <v>5683</v>
      </c>
      <c r="Q638" s="24" t="s">
        <v>5665</v>
      </c>
      <c r="R638" s="25" t="s">
        <v>5684</v>
      </c>
      <c r="S638" s="28" t="s">
        <v>5685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140</v>
      </c>
      <c r="Y638" s="23" t="s">
        <v>140</v>
      </c>
      <c r="Z638" s="23" t="s">
        <v>140</v>
      </c>
      <c r="AA638" s="23" t="s">
        <v>140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</row>
    <row r="639" customFormat="false" ht="25.35" hidden="false" customHeight="false" outlineLevel="0" collapsed="false">
      <c r="A639" s="23" t="n">
        <v>638</v>
      </c>
      <c r="B639" s="30" t="s">
        <v>5686</v>
      </c>
      <c r="C639" s="20" t="n">
        <v>1</v>
      </c>
      <c r="D639" s="20" t="s">
        <v>4666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0" t="s">
        <v>5659</v>
      </c>
      <c r="H639" s="30" t="s">
        <v>5599</v>
      </c>
      <c r="I639" s="23" t="s">
        <v>5500</v>
      </c>
      <c r="J639" s="24" t="s">
        <v>5687</v>
      </c>
      <c r="K639" s="23" t="s">
        <v>131</v>
      </c>
      <c r="L639" s="24" t="s">
        <v>5688</v>
      </c>
      <c r="M639" s="24" t="s">
        <v>5689</v>
      </c>
      <c r="N639" s="23" t="s">
        <v>5690</v>
      </c>
      <c r="O639" s="24" t="s">
        <v>5691</v>
      </c>
      <c r="P639" s="24" t="s">
        <v>4778</v>
      </c>
      <c r="Q639" s="24" t="s">
        <v>3725</v>
      </c>
      <c r="R639" s="24"/>
      <c r="S639" s="24" t="s">
        <v>139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140</v>
      </c>
      <c r="Y639" s="23" t="s">
        <v>140</v>
      </c>
      <c r="Z639" s="23" t="s">
        <v>140</v>
      </c>
      <c r="AA639" s="23" t="s">
        <v>140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</row>
    <row r="640" customFormat="false" ht="25.35" hidden="false" customHeight="false" outlineLevel="0" collapsed="false">
      <c r="A640" s="23" t="n">
        <v>639</v>
      </c>
      <c r="B640" s="30" t="s">
        <v>5692</v>
      </c>
      <c r="C640" s="23" t="n">
        <v>2</v>
      </c>
      <c r="D640" s="23" t="s">
        <v>4666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0" t="s">
        <v>5659</v>
      </c>
      <c r="H640" s="30" t="s">
        <v>5668</v>
      </c>
      <c r="I640" s="23" t="s">
        <v>5500</v>
      </c>
      <c r="J640" s="24" t="s">
        <v>5693</v>
      </c>
      <c r="K640" s="23" t="s">
        <v>131</v>
      </c>
      <c r="L640" s="24" t="s">
        <v>5694</v>
      </c>
      <c r="M640" s="24" t="s">
        <v>5695</v>
      </c>
      <c r="N640" s="23" t="s">
        <v>5696</v>
      </c>
      <c r="O640" s="24" t="s">
        <v>5697</v>
      </c>
      <c r="P640" s="24" t="s">
        <v>4778</v>
      </c>
      <c r="Q640" s="24" t="s">
        <v>5698</v>
      </c>
      <c r="R640" s="24"/>
      <c r="S640" s="24" t="s">
        <v>5699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140</v>
      </c>
      <c r="Y640" s="23" t="s">
        <v>140</v>
      </c>
      <c r="Z640" s="23" t="s">
        <v>140</v>
      </c>
      <c r="AA640" s="23" t="s">
        <v>140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</row>
    <row r="641" customFormat="false" ht="26.85" hidden="false" customHeight="false" outlineLevel="0" collapsed="false">
      <c r="A641" s="23" t="n">
        <v>640</v>
      </c>
      <c r="B641" s="30" t="s">
        <v>5700</v>
      </c>
      <c r="C641" s="23" t="n">
        <v>2</v>
      </c>
      <c r="D641" s="23" t="s">
        <v>4666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0" t="s">
        <v>5659</v>
      </c>
      <c r="H641" s="30" t="s">
        <v>5668</v>
      </c>
      <c r="I641" s="23" t="s">
        <v>5500</v>
      </c>
      <c r="J641" s="24" t="s">
        <v>5701</v>
      </c>
      <c r="K641" s="23" t="s">
        <v>131</v>
      </c>
      <c r="L641" s="24" t="s">
        <v>5702</v>
      </c>
      <c r="M641" s="24" t="s">
        <v>5703</v>
      </c>
      <c r="N641" s="23" t="s">
        <v>5704</v>
      </c>
      <c r="O641" s="24" t="s">
        <v>5705</v>
      </c>
      <c r="P641" s="24" t="s">
        <v>5706</v>
      </c>
      <c r="Q641" s="24" t="s">
        <v>5707</v>
      </c>
      <c r="R641" s="24"/>
      <c r="S641" s="24" t="s">
        <v>5699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140</v>
      </c>
      <c r="Y641" s="23" t="s">
        <v>140</v>
      </c>
      <c r="Z641" s="23" t="s">
        <v>140</v>
      </c>
      <c r="AA641" s="23" t="s">
        <v>140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</row>
    <row r="642" customFormat="false" ht="26.85" hidden="false" customHeight="false" outlineLevel="0" collapsed="false">
      <c r="A642" s="23" t="n">
        <v>641</v>
      </c>
      <c r="B642" s="30" t="s">
        <v>5708</v>
      </c>
      <c r="C642" s="23" t="n">
        <v>2</v>
      </c>
      <c r="D642" s="23" t="s">
        <v>4666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0" t="s">
        <v>5659</v>
      </c>
      <c r="H642" s="30" t="s">
        <v>5668</v>
      </c>
      <c r="I642" s="23" t="s">
        <v>5500</v>
      </c>
      <c r="J642" s="24" t="s">
        <v>5709</v>
      </c>
      <c r="K642" s="23" t="s">
        <v>131</v>
      </c>
      <c r="L642" s="24" t="s">
        <v>5710</v>
      </c>
      <c r="M642" s="24" t="s">
        <v>5711</v>
      </c>
      <c r="N642" s="23" t="s">
        <v>5712</v>
      </c>
      <c r="O642" s="24" t="s">
        <v>5713</v>
      </c>
      <c r="P642" s="24" t="s">
        <v>5714</v>
      </c>
      <c r="Q642" s="24" t="s">
        <v>5715</v>
      </c>
      <c r="R642" s="24"/>
      <c r="S642" s="24" t="s">
        <v>5699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140</v>
      </c>
      <c r="Y642" s="23" t="s">
        <v>140</v>
      </c>
      <c r="Z642" s="23" t="s">
        <v>140</v>
      </c>
      <c r="AA642" s="23" t="s">
        <v>140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</row>
    <row r="643" customFormat="false" ht="26.85" hidden="false" customHeight="false" outlineLevel="0" collapsed="false">
      <c r="A643" s="23" t="n">
        <v>642</v>
      </c>
      <c r="B643" s="30" t="s">
        <v>5716</v>
      </c>
      <c r="C643" s="23" t="n">
        <v>2</v>
      </c>
      <c r="D643" s="23" t="s">
        <v>4666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0" t="s">
        <v>5659</v>
      </c>
      <c r="H643" s="30" t="s">
        <v>5668</v>
      </c>
      <c r="I643" s="23" t="s">
        <v>5500</v>
      </c>
      <c r="J643" s="24" t="s">
        <v>5717</v>
      </c>
      <c r="K643" s="23" t="s">
        <v>131</v>
      </c>
      <c r="L643" s="24" t="s">
        <v>5718</v>
      </c>
      <c r="M643" s="24" t="s">
        <v>5719</v>
      </c>
      <c r="N643" s="23" t="s">
        <v>5720</v>
      </c>
      <c r="O643" s="24" t="s">
        <v>5721</v>
      </c>
      <c r="P643" s="24" t="s">
        <v>5722</v>
      </c>
      <c r="Q643" s="24" t="s">
        <v>5108</v>
      </c>
      <c r="R643" s="25" t="s">
        <v>5723</v>
      </c>
      <c r="S643" s="24" t="s">
        <v>5699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140</v>
      </c>
      <c r="Y643" s="23" t="s">
        <v>140</v>
      </c>
      <c r="Z643" s="23" t="s">
        <v>140</v>
      </c>
      <c r="AA643" s="23" t="s">
        <v>140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</row>
    <row r="644" customFormat="false" ht="52.2" hidden="false" customHeight="false" outlineLevel="0" collapsed="false">
      <c r="A644" s="23" t="n">
        <v>643</v>
      </c>
      <c r="B644" s="30" t="s">
        <v>5724</v>
      </c>
      <c r="C644" s="20" t="n">
        <v>1</v>
      </c>
      <c r="D644" s="20" t="s">
        <v>4666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0" t="s">
        <v>5659</v>
      </c>
      <c r="H644" s="30" t="s">
        <v>5599</v>
      </c>
      <c r="I644" s="23" t="s">
        <v>5500</v>
      </c>
      <c r="J644" s="24" t="s">
        <v>5725</v>
      </c>
      <c r="K644" s="23" t="s">
        <v>131</v>
      </c>
      <c r="L644" s="24" t="s">
        <v>5726</v>
      </c>
      <c r="M644" s="24" t="s">
        <v>5727</v>
      </c>
      <c r="N644" s="23" t="s">
        <v>5728</v>
      </c>
      <c r="O644" s="24" t="s">
        <v>5729</v>
      </c>
      <c r="P644" s="24" t="s">
        <v>5730</v>
      </c>
      <c r="Q644" s="24" t="s">
        <v>5731</v>
      </c>
      <c r="R644" s="25" t="s">
        <v>5732</v>
      </c>
      <c r="S644" s="28" t="s">
        <v>5733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140</v>
      </c>
      <c r="Y644" s="23" t="s">
        <v>140</v>
      </c>
      <c r="Z644" s="23" t="s">
        <v>140</v>
      </c>
      <c r="AA644" s="23" t="s">
        <v>140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</row>
    <row r="645" customFormat="false" ht="26.85" hidden="false" customHeight="false" outlineLevel="0" collapsed="false">
      <c r="A645" s="23" t="n">
        <v>644</v>
      </c>
      <c r="B645" s="30" t="s">
        <v>5734</v>
      </c>
      <c r="C645" s="20" t="n">
        <v>1</v>
      </c>
      <c r="D645" s="20" t="s">
        <v>4666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0" t="s">
        <v>5659</v>
      </c>
      <c r="H645" s="30" t="s">
        <v>5599</v>
      </c>
      <c r="I645" s="23" t="s">
        <v>5500</v>
      </c>
      <c r="J645" s="24" t="s">
        <v>5735</v>
      </c>
      <c r="K645" s="23" t="s">
        <v>131</v>
      </c>
      <c r="L645" s="24" t="s">
        <v>5736</v>
      </c>
      <c r="M645" s="24" t="s">
        <v>5737</v>
      </c>
      <c r="N645" s="23" t="s">
        <v>5738</v>
      </c>
      <c r="O645" s="24" t="s">
        <v>5739</v>
      </c>
      <c r="P645" s="24" t="s">
        <v>5740</v>
      </c>
      <c r="Q645" s="24" t="s">
        <v>5741</v>
      </c>
      <c r="R645" s="24"/>
      <c r="S645" s="24" t="s">
        <v>139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140</v>
      </c>
      <c r="Y645" s="23" t="s">
        <v>140</v>
      </c>
      <c r="Z645" s="23" t="s">
        <v>140</v>
      </c>
      <c r="AA645" s="23" t="s">
        <v>140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</row>
    <row r="646" customFormat="false" ht="26.85" hidden="false" customHeight="false" outlineLevel="0" collapsed="false">
      <c r="A646" s="23" t="n">
        <v>645</v>
      </c>
      <c r="B646" s="30" t="s">
        <v>5742</v>
      </c>
      <c r="C646" s="20" t="n">
        <v>1</v>
      </c>
      <c r="D646" s="20" t="s">
        <v>4666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0" t="s">
        <v>5659</v>
      </c>
      <c r="H646" s="30" t="s">
        <v>5599</v>
      </c>
      <c r="I646" s="23" t="s">
        <v>5500</v>
      </c>
      <c r="J646" s="24" t="s">
        <v>5743</v>
      </c>
      <c r="K646" s="23" t="s">
        <v>131</v>
      </c>
      <c r="L646" s="24" t="s">
        <v>5744</v>
      </c>
      <c r="M646" s="24" t="s">
        <v>5745</v>
      </c>
      <c r="N646" s="23" t="s">
        <v>5746</v>
      </c>
      <c r="O646" s="24" t="s">
        <v>5747</v>
      </c>
      <c r="P646" s="24" t="s">
        <v>5748</v>
      </c>
      <c r="Q646" s="24" t="s">
        <v>5749</v>
      </c>
      <c r="R646" s="24"/>
      <c r="S646" s="24" t="s">
        <v>139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140</v>
      </c>
      <c r="Y646" s="23" t="s">
        <v>140</v>
      </c>
      <c r="Z646" s="23" t="s">
        <v>140</v>
      </c>
      <c r="AA646" s="23" t="s">
        <v>140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</row>
    <row r="647" customFormat="false" ht="26.85" hidden="false" customHeight="false" outlineLevel="0" collapsed="false">
      <c r="A647" s="23" t="n">
        <v>646</v>
      </c>
      <c r="B647" s="30" t="s">
        <v>5750</v>
      </c>
      <c r="C647" s="20" t="n">
        <v>1</v>
      </c>
      <c r="D647" s="20" t="s">
        <v>4666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0" t="s">
        <v>5659</v>
      </c>
      <c r="H647" s="30" t="s">
        <v>5599</v>
      </c>
      <c r="I647" s="23" t="s">
        <v>5500</v>
      </c>
      <c r="J647" s="24" t="s">
        <v>5751</v>
      </c>
      <c r="K647" s="23" t="s">
        <v>131</v>
      </c>
      <c r="L647" s="24" t="s">
        <v>5752</v>
      </c>
      <c r="M647" s="24" t="s">
        <v>5753</v>
      </c>
      <c r="N647" s="23" t="s">
        <v>5754</v>
      </c>
      <c r="O647" s="24" t="s">
        <v>5755</v>
      </c>
      <c r="P647" s="24" t="s">
        <v>4918</v>
      </c>
      <c r="Q647" s="24" t="s">
        <v>5756</v>
      </c>
      <c r="R647" s="24"/>
      <c r="S647" s="24" t="s">
        <v>139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140</v>
      </c>
      <c r="Y647" s="23" t="s">
        <v>140</v>
      </c>
      <c r="Z647" s="23" t="s">
        <v>140</v>
      </c>
      <c r="AA647" s="23" t="s">
        <v>140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</row>
    <row r="648" customFormat="false" ht="26.85" hidden="false" customHeight="false" outlineLevel="0" collapsed="false">
      <c r="A648" s="23" t="n">
        <v>647</v>
      </c>
      <c r="B648" s="30" t="s">
        <v>5757</v>
      </c>
      <c r="C648" s="20" t="n">
        <v>1</v>
      </c>
      <c r="D648" s="20" t="s">
        <v>4666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0" t="s">
        <v>5758</v>
      </c>
      <c r="H648" s="30" t="s">
        <v>5759</v>
      </c>
      <c r="I648" s="23" t="s">
        <v>5760</v>
      </c>
      <c r="J648" s="24" t="s">
        <v>5761</v>
      </c>
      <c r="K648" s="23" t="s">
        <v>131</v>
      </c>
      <c r="L648" s="24" t="s">
        <v>5762</v>
      </c>
      <c r="M648" s="24" t="s">
        <v>5763</v>
      </c>
      <c r="N648" s="23" t="s">
        <v>5764</v>
      </c>
      <c r="O648" s="24" t="s">
        <v>5765</v>
      </c>
      <c r="P648" s="24" t="s">
        <v>5766</v>
      </c>
      <c r="Q648" s="24" t="s">
        <v>5767</v>
      </c>
      <c r="R648" s="24"/>
      <c r="S648" s="24" t="s">
        <v>139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140</v>
      </c>
      <c r="Y648" s="23" t="s">
        <v>140</v>
      </c>
      <c r="Z648" s="23" t="s">
        <v>140</v>
      </c>
      <c r="AA648" s="23" t="s">
        <v>140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</row>
    <row r="649" customFormat="false" ht="26.85" hidden="false" customHeight="false" outlineLevel="0" collapsed="false">
      <c r="A649" s="23" t="n">
        <v>648</v>
      </c>
      <c r="B649" s="30" t="s">
        <v>5768</v>
      </c>
      <c r="C649" s="23" t="n">
        <v>2</v>
      </c>
      <c r="D649" s="23" t="s">
        <v>4666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0" t="s">
        <v>5758</v>
      </c>
      <c r="H649" s="30" t="s">
        <v>5668</v>
      </c>
      <c r="I649" s="23" t="s">
        <v>5760</v>
      </c>
      <c r="J649" s="24" t="s">
        <v>5769</v>
      </c>
      <c r="K649" s="23" t="s">
        <v>131</v>
      </c>
      <c r="L649" s="24" t="s">
        <v>5770</v>
      </c>
      <c r="M649" s="29" t="s">
        <v>5771</v>
      </c>
      <c r="N649" s="23" t="s">
        <v>5772</v>
      </c>
      <c r="O649" s="24" t="s">
        <v>5773</v>
      </c>
      <c r="P649" s="24" t="s">
        <v>5774</v>
      </c>
      <c r="Q649" s="24" t="s">
        <v>5665</v>
      </c>
      <c r="R649" s="24"/>
      <c r="S649" s="24" t="s">
        <v>5775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140</v>
      </c>
      <c r="Y649" s="23" t="s">
        <v>140</v>
      </c>
      <c r="Z649" s="23" t="s">
        <v>140</v>
      </c>
      <c r="AA649" s="23" t="s">
        <v>140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</row>
    <row r="650" customFormat="false" ht="26.85" hidden="false" customHeight="false" outlineLevel="0" collapsed="false">
      <c r="A650" s="23" t="n">
        <v>649</v>
      </c>
      <c r="B650" s="30" t="s">
        <v>5776</v>
      </c>
      <c r="C650" s="20" t="n">
        <v>1</v>
      </c>
      <c r="D650" s="20" t="s">
        <v>4666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0" t="s">
        <v>5758</v>
      </c>
      <c r="H650" s="30" t="s">
        <v>5759</v>
      </c>
      <c r="I650" s="23" t="s">
        <v>5760</v>
      </c>
      <c r="J650" s="24" t="s">
        <v>5777</v>
      </c>
      <c r="K650" s="23" t="s">
        <v>131</v>
      </c>
      <c r="L650" s="24" t="s">
        <v>5778</v>
      </c>
      <c r="M650" s="24" t="s">
        <v>5779</v>
      </c>
      <c r="N650" s="23" t="s">
        <v>5780</v>
      </c>
      <c r="O650" s="24" t="s">
        <v>5781</v>
      </c>
      <c r="P650" s="24" t="s">
        <v>5782</v>
      </c>
      <c r="Q650" s="24" t="s">
        <v>5783</v>
      </c>
      <c r="R650" s="25" t="s">
        <v>5784</v>
      </c>
      <c r="S650" s="28" t="s">
        <v>5785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140</v>
      </c>
      <c r="Y650" s="23" t="s">
        <v>140</v>
      </c>
      <c r="Z650" s="23" t="s">
        <v>140</v>
      </c>
      <c r="AA650" s="23" t="s">
        <v>140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</row>
    <row r="651" customFormat="false" ht="26.85" hidden="false" customHeight="false" outlineLevel="0" collapsed="false">
      <c r="A651" s="23" t="n">
        <v>650</v>
      </c>
      <c r="B651" s="30" t="s">
        <v>5786</v>
      </c>
      <c r="C651" s="20" t="n">
        <v>1</v>
      </c>
      <c r="D651" s="20" t="s">
        <v>4666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0" t="s">
        <v>5758</v>
      </c>
      <c r="H651" s="30" t="s">
        <v>5759</v>
      </c>
      <c r="I651" s="23" t="s">
        <v>5760</v>
      </c>
      <c r="J651" s="24" t="s">
        <v>5787</v>
      </c>
      <c r="K651" s="23" t="s">
        <v>131</v>
      </c>
      <c r="L651" s="24" t="s">
        <v>5788</v>
      </c>
      <c r="M651" s="24" t="s">
        <v>5789</v>
      </c>
      <c r="N651" s="23" t="s">
        <v>5790</v>
      </c>
      <c r="O651" s="24" t="s">
        <v>5791</v>
      </c>
      <c r="P651" s="24" t="s">
        <v>5792</v>
      </c>
      <c r="Q651" s="24" t="s">
        <v>5793</v>
      </c>
      <c r="R651" s="24"/>
      <c r="S651" s="24" t="s">
        <v>139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140</v>
      </c>
      <c r="Y651" s="23" t="s">
        <v>140</v>
      </c>
      <c r="Z651" s="23" t="s">
        <v>140</v>
      </c>
      <c r="AA651" s="23" t="s">
        <v>140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</row>
    <row r="652" customFormat="false" ht="26.85" hidden="false" customHeight="false" outlineLevel="0" collapsed="false">
      <c r="A652" s="23" t="n">
        <v>651</v>
      </c>
      <c r="B652" s="30" t="s">
        <v>5794</v>
      </c>
      <c r="C652" s="20" t="n">
        <v>1</v>
      </c>
      <c r="D652" s="20" t="s">
        <v>4666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0" t="s">
        <v>5758</v>
      </c>
      <c r="H652" s="30" t="s">
        <v>5759</v>
      </c>
      <c r="I652" s="23" t="s">
        <v>5760</v>
      </c>
      <c r="J652" s="24" t="s">
        <v>5795</v>
      </c>
      <c r="K652" s="23" t="s">
        <v>131</v>
      </c>
      <c r="L652" s="24" t="s">
        <v>5796</v>
      </c>
      <c r="M652" s="24" t="s">
        <v>5797</v>
      </c>
      <c r="N652" s="23" t="s">
        <v>5798</v>
      </c>
      <c r="O652" s="24" t="s">
        <v>5799</v>
      </c>
      <c r="P652" s="24" t="s">
        <v>5800</v>
      </c>
      <c r="Q652" s="24" t="s">
        <v>5801</v>
      </c>
      <c r="R652" s="24"/>
      <c r="S652" s="24" t="s">
        <v>139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140</v>
      </c>
      <c r="Y652" s="23" t="s">
        <v>140</v>
      </c>
      <c r="Z652" s="23" t="s">
        <v>140</v>
      </c>
      <c r="AA652" s="23" t="s">
        <v>140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</row>
    <row r="653" customFormat="false" ht="15" hidden="false" customHeight="false" outlineLevel="0" collapsed="false">
      <c r="A653" s="23" t="n">
        <v>652</v>
      </c>
      <c r="B653" s="30" t="s">
        <v>5802</v>
      </c>
      <c r="C653" s="20" t="n">
        <v>1</v>
      </c>
      <c r="D653" s="20" t="s">
        <v>4666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0" t="s">
        <v>5758</v>
      </c>
      <c r="H653" s="30" t="s">
        <v>5759</v>
      </c>
      <c r="I653" s="23" t="s">
        <v>5760</v>
      </c>
      <c r="J653" s="24" t="s">
        <v>5803</v>
      </c>
      <c r="K653" s="23" t="s">
        <v>131</v>
      </c>
      <c r="L653" s="24" t="s">
        <v>5804</v>
      </c>
      <c r="M653" s="24" t="s">
        <v>5805</v>
      </c>
      <c r="N653" s="23" t="s">
        <v>5806</v>
      </c>
      <c r="O653" s="24" t="s">
        <v>5807</v>
      </c>
      <c r="P653" s="24" t="s">
        <v>5808</v>
      </c>
      <c r="Q653" s="24" t="s">
        <v>5809</v>
      </c>
      <c r="R653" s="24"/>
      <c r="S653" s="24" t="s">
        <v>139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140</v>
      </c>
      <c r="Y653" s="23" t="s">
        <v>140</v>
      </c>
      <c r="Z653" s="23" t="s">
        <v>140</v>
      </c>
      <c r="AA653" s="23" t="s">
        <v>140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</row>
    <row r="654" customFormat="false" ht="25.35" hidden="false" customHeight="false" outlineLevel="0" collapsed="false">
      <c r="A654" s="23" t="n">
        <v>653</v>
      </c>
      <c r="B654" s="30" t="s">
        <v>5810</v>
      </c>
      <c r="C654" s="23" t="n">
        <v>2</v>
      </c>
      <c r="D654" s="23" t="s">
        <v>4666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0" t="s">
        <v>5758</v>
      </c>
      <c r="H654" s="30" t="s">
        <v>5668</v>
      </c>
      <c r="I654" s="23" t="s">
        <v>5760</v>
      </c>
      <c r="J654" s="24" t="s">
        <v>5811</v>
      </c>
      <c r="K654" s="23" t="s">
        <v>131</v>
      </c>
      <c r="L654" s="24" t="s">
        <v>5812</v>
      </c>
      <c r="M654" s="24" t="s">
        <v>5813</v>
      </c>
      <c r="N654" s="23" t="s">
        <v>5814</v>
      </c>
      <c r="O654" s="24" t="s">
        <v>5815</v>
      </c>
      <c r="P654" s="24" t="s">
        <v>5816</v>
      </c>
      <c r="Q654" s="24" t="s">
        <v>5817</v>
      </c>
      <c r="R654" s="25" t="s">
        <v>5818</v>
      </c>
      <c r="S654" s="24" t="s">
        <v>5819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140</v>
      </c>
      <c r="Y654" s="23" t="s">
        <v>140</v>
      </c>
      <c r="Z654" s="23" t="s">
        <v>140</v>
      </c>
      <c r="AA654" s="23" t="s">
        <v>140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</row>
    <row r="655" customFormat="false" ht="26.85" hidden="false" customHeight="false" outlineLevel="0" collapsed="false">
      <c r="A655" s="23" t="n">
        <v>654</v>
      </c>
      <c r="B655" s="30" t="s">
        <v>5820</v>
      </c>
      <c r="C655" s="23" t="n">
        <v>2</v>
      </c>
      <c r="D655" s="23" t="s">
        <v>4666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0" t="s">
        <v>5758</v>
      </c>
      <c r="H655" s="30" t="s">
        <v>5668</v>
      </c>
      <c r="I655" s="23" t="s">
        <v>5760</v>
      </c>
      <c r="J655" s="24" t="s">
        <v>5821</v>
      </c>
      <c r="K655" s="23" t="s">
        <v>131</v>
      </c>
      <c r="L655" s="24" t="s">
        <v>5822</v>
      </c>
      <c r="M655" s="24" t="s">
        <v>5823</v>
      </c>
      <c r="N655" s="23" t="s">
        <v>5824</v>
      </c>
      <c r="O655" s="24" t="s">
        <v>5825</v>
      </c>
      <c r="P655" s="24" t="s">
        <v>5826</v>
      </c>
      <c r="Q655" s="24" t="s">
        <v>5827</v>
      </c>
      <c r="R655" s="25" t="s">
        <v>5828</v>
      </c>
      <c r="S655" s="24" t="s">
        <v>5819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140</v>
      </c>
      <c r="Y655" s="23" t="s">
        <v>140</v>
      </c>
      <c r="Z655" s="23" t="s">
        <v>140</v>
      </c>
      <c r="AA655" s="23" t="s">
        <v>140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</row>
    <row r="656" customFormat="false" ht="15" hidden="false" customHeight="false" outlineLevel="0" collapsed="false">
      <c r="A656" s="23" t="n">
        <v>655</v>
      </c>
      <c r="B656" s="30" t="s">
        <v>5829</v>
      </c>
      <c r="C656" s="23" t="n">
        <v>2</v>
      </c>
      <c r="D656" s="23" t="s">
        <v>4666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0" t="s">
        <v>5758</v>
      </c>
      <c r="H656" s="30" t="s">
        <v>5668</v>
      </c>
      <c r="I656" s="23" t="s">
        <v>5760</v>
      </c>
      <c r="J656" s="24" t="s">
        <v>5830</v>
      </c>
      <c r="K656" s="23" t="s">
        <v>131</v>
      </c>
      <c r="L656" s="24" t="s">
        <v>5831</v>
      </c>
      <c r="M656" s="24" t="s">
        <v>5832</v>
      </c>
      <c r="N656" s="23" t="s">
        <v>5833</v>
      </c>
      <c r="O656" s="24" t="s">
        <v>5834</v>
      </c>
      <c r="P656" s="24" t="s">
        <v>5835</v>
      </c>
      <c r="Q656" s="24" t="s">
        <v>5836</v>
      </c>
      <c r="R656" s="24"/>
      <c r="S656" s="24" t="s">
        <v>5819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140</v>
      </c>
      <c r="Y656" s="23" t="s">
        <v>140</v>
      </c>
      <c r="Z656" s="23" t="s">
        <v>140</v>
      </c>
      <c r="AA656" s="23" t="s">
        <v>140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</row>
    <row r="657" customFormat="false" ht="39.55" hidden="false" customHeight="false" outlineLevel="0" collapsed="false">
      <c r="A657" s="23" t="n">
        <v>656</v>
      </c>
      <c r="B657" s="30" t="s">
        <v>5837</v>
      </c>
      <c r="C657" s="20" t="n">
        <v>1</v>
      </c>
      <c r="D657" s="20" t="s">
        <v>4666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0" t="s">
        <v>5758</v>
      </c>
      <c r="H657" s="30" t="s">
        <v>5759</v>
      </c>
      <c r="I657" s="23" t="s">
        <v>5760</v>
      </c>
      <c r="J657" s="24" t="s">
        <v>5838</v>
      </c>
      <c r="K657" s="23" t="s">
        <v>131</v>
      </c>
      <c r="L657" s="24" t="s">
        <v>5839</v>
      </c>
      <c r="M657" s="24" t="s">
        <v>5840</v>
      </c>
      <c r="N657" s="23" t="s">
        <v>5841</v>
      </c>
      <c r="O657" s="24" t="s">
        <v>5842</v>
      </c>
      <c r="P657" s="24" t="s">
        <v>5843</v>
      </c>
      <c r="Q657" s="24" t="s">
        <v>5844</v>
      </c>
      <c r="R657" s="25" t="s">
        <v>5845</v>
      </c>
      <c r="S657" s="28" t="s">
        <v>5846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140</v>
      </c>
      <c r="Y657" s="23" t="s">
        <v>140</v>
      </c>
      <c r="Z657" s="23" t="s">
        <v>140</v>
      </c>
      <c r="AA657" s="23" t="s">
        <v>140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</row>
    <row r="658" customFormat="false" ht="26.85" hidden="false" customHeight="false" outlineLevel="0" collapsed="false">
      <c r="A658" s="23" t="n">
        <v>657</v>
      </c>
      <c r="B658" s="30" t="s">
        <v>5847</v>
      </c>
      <c r="C658" s="23" t="n">
        <v>2</v>
      </c>
      <c r="D658" s="23" t="s">
        <v>4666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0" t="s">
        <v>5848</v>
      </c>
      <c r="H658" s="30" t="s">
        <v>5849</v>
      </c>
      <c r="I658" s="23" t="s">
        <v>5760</v>
      </c>
      <c r="J658" s="24" t="s">
        <v>5850</v>
      </c>
      <c r="K658" s="23" t="s">
        <v>131</v>
      </c>
      <c r="L658" s="24" t="s">
        <v>5851</v>
      </c>
      <c r="M658" s="24" t="s">
        <v>5852</v>
      </c>
      <c r="N658" s="23" t="s">
        <v>5853</v>
      </c>
      <c r="O658" s="24" t="s">
        <v>5854</v>
      </c>
      <c r="P658" s="24" t="s">
        <v>5855</v>
      </c>
      <c r="Q658" s="24" t="s">
        <v>5856</v>
      </c>
      <c r="R658" s="24"/>
      <c r="S658" s="24" t="s">
        <v>5857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140</v>
      </c>
      <c r="Y658" s="23" t="s">
        <v>140</v>
      </c>
      <c r="Z658" s="23" t="s">
        <v>140</v>
      </c>
      <c r="AA658" s="23" t="s">
        <v>140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</row>
    <row r="659" customFormat="false" ht="26.85" hidden="false" customHeight="false" outlineLevel="0" collapsed="false">
      <c r="A659" s="23" t="n">
        <v>658</v>
      </c>
      <c r="B659" s="30" t="s">
        <v>5858</v>
      </c>
      <c r="C659" s="20" t="n">
        <v>1</v>
      </c>
      <c r="D659" s="20" t="s">
        <v>4666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0" t="s">
        <v>5848</v>
      </c>
      <c r="H659" s="30" t="s">
        <v>5759</v>
      </c>
      <c r="I659" s="23" t="s">
        <v>5760</v>
      </c>
      <c r="J659" s="24" t="s">
        <v>5859</v>
      </c>
      <c r="K659" s="23" t="s">
        <v>131</v>
      </c>
      <c r="L659" s="24" t="s">
        <v>5860</v>
      </c>
      <c r="M659" s="24" t="s">
        <v>5861</v>
      </c>
      <c r="N659" s="23" t="s">
        <v>5862</v>
      </c>
      <c r="O659" s="24" t="s">
        <v>5863</v>
      </c>
      <c r="P659" s="24" t="s">
        <v>5864</v>
      </c>
      <c r="Q659" s="24" t="s">
        <v>5865</v>
      </c>
      <c r="R659" s="24"/>
      <c r="S659" s="28" t="s">
        <v>5866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140</v>
      </c>
      <c r="Y659" s="23" t="s">
        <v>140</v>
      </c>
      <c r="Z659" s="23" t="s">
        <v>140</v>
      </c>
      <c r="AA659" s="23" t="s">
        <v>140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</row>
    <row r="660" customFormat="false" ht="26.85" hidden="false" customHeight="false" outlineLevel="0" collapsed="false">
      <c r="A660" s="23" t="n">
        <v>659</v>
      </c>
      <c r="B660" s="30" t="s">
        <v>5867</v>
      </c>
      <c r="C660" s="20" t="n">
        <v>1</v>
      </c>
      <c r="D660" s="20" t="s">
        <v>4666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0" t="s">
        <v>5848</v>
      </c>
      <c r="H660" s="30" t="s">
        <v>5759</v>
      </c>
      <c r="I660" s="23" t="s">
        <v>5760</v>
      </c>
      <c r="J660" s="24" t="s">
        <v>5868</v>
      </c>
      <c r="K660" s="23" t="s">
        <v>131</v>
      </c>
      <c r="L660" s="24" t="s">
        <v>5869</v>
      </c>
      <c r="M660" s="24" t="s">
        <v>5870</v>
      </c>
      <c r="N660" s="23" t="s">
        <v>5871</v>
      </c>
      <c r="O660" s="24" t="s">
        <v>5872</v>
      </c>
      <c r="P660" s="24" t="s">
        <v>5873</v>
      </c>
      <c r="Q660" s="24" t="s">
        <v>5874</v>
      </c>
      <c r="R660" s="24"/>
      <c r="S660" s="24" t="s">
        <v>139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140</v>
      </c>
      <c r="Y660" s="23" t="s">
        <v>140</v>
      </c>
      <c r="Z660" s="23" t="s">
        <v>140</v>
      </c>
      <c r="AA660" s="23" t="s">
        <v>140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</row>
    <row r="661" customFormat="false" ht="26.85" hidden="false" customHeight="false" outlineLevel="0" collapsed="false">
      <c r="A661" s="23" t="n">
        <v>660</v>
      </c>
      <c r="B661" s="30" t="s">
        <v>5875</v>
      </c>
      <c r="C661" s="23" t="n">
        <v>2</v>
      </c>
      <c r="D661" s="23" t="s">
        <v>4666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0" t="s">
        <v>5848</v>
      </c>
      <c r="H661" s="30" t="s">
        <v>5849</v>
      </c>
      <c r="I661" s="23" t="s">
        <v>5760</v>
      </c>
      <c r="J661" s="24" t="s">
        <v>5876</v>
      </c>
      <c r="K661" s="23" t="s">
        <v>131</v>
      </c>
      <c r="L661" s="24" t="s">
        <v>5877</v>
      </c>
      <c r="M661" s="24" t="s">
        <v>5878</v>
      </c>
      <c r="N661" s="23" t="s">
        <v>5879</v>
      </c>
      <c r="O661" s="24" t="s">
        <v>5880</v>
      </c>
      <c r="P661" s="24" t="s">
        <v>5881</v>
      </c>
      <c r="Q661" s="24" t="s">
        <v>5882</v>
      </c>
      <c r="R661" s="24"/>
      <c r="S661" s="24" t="s">
        <v>5883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140</v>
      </c>
      <c r="Y661" s="23" t="s">
        <v>140</v>
      </c>
      <c r="Z661" s="23" t="s">
        <v>140</v>
      </c>
      <c r="AA661" s="23" t="s">
        <v>140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</row>
    <row r="662" customFormat="false" ht="26.85" hidden="false" customHeight="false" outlineLevel="0" collapsed="false">
      <c r="A662" s="23" t="n">
        <v>661</v>
      </c>
      <c r="B662" s="30" t="s">
        <v>5884</v>
      </c>
      <c r="C662" s="23" t="n">
        <v>2</v>
      </c>
      <c r="D662" s="23" t="s">
        <v>4666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0" t="s">
        <v>5848</v>
      </c>
      <c r="H662" s="30" t="s">
        <v>5849</v>
      </c>
      <c r="I662" s="23" t="s">
        <v>5760</v>
      </c>
      <c r="J662" s="24" t="s">
        <v>5885</v>
      </c>
      <c r="K662" s="23" t="s">
        <v>131</v>
      </c>
      <c r="L662" s="24" t="s">
        <v>5886</v>
      </c>
      <c r="M662" s="24" t="s">
        <v>5887</v>
      </c>
      <c r="N662" s="23" t="s">
        <v>5888</v>
      </c>
      <c r="O662" s="24" t="s">
        <v>5889</v>
      </c>
      <c r="P662" s="24" t="s">
        <v>5890</v>
      </c>
      <c r="Q662" s="24" t="s">
        <v>5891</v>
      </c>
      <c r="R662" s="24"/>
      <c r="S662" s="24" t="s">
        <v>5883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140</v>
      </c>
      <c r="Y662" s="23" t="s">
        <v>140</v>
      </c>
      <c r="Z662" s="23" t="s">
        <v>140</v>
      </c>
      <c r="AA662" s="23" t="s">
        <v>140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</row>
    <row r="663" customFormat="false" ht="39.55" hidden="false" customHeight="false" outlineLevel="0" collapsed="false">
      <c r="A663" s="23" t="n">
        <v>662</v>
      </c>
      <c r="B663" s="30" t="s">
        <v>5892</v>
      </c>
      <c r="C663" s="20" t="n">
        <v>1</v>
      </c>
      <c r="D663" s="20" t="s">
        <v>4666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0" t="s">
        <v>5848</v>
      </c>
      <c r="H663" s="30" t="s">
        <v>5759</v>
      </c>
      <c r="I663" s="23" t="s">
        <v>5760</v>
      </c>
      <c r="J663" s="24" t="s">
        <v>5893</v>
      </c>
      <c r="K663" s="23" t="s">
        <v>131</v>
      </c>
      <c r="L663" s="24" t="s">
        <v>5894</v>
      </c>
      <c r="M663" s="24" t="s">
        <v>5895</v>
      </c>
      <c r="N663" s="23" t="s">
        <v>5896</v>
      </c>
      <c r="O663" s="24" t="s">
        <v>5897</v>
      </c>
      <c r="P663" s="24" t="s">
        <v>5898</v>
      </c>
      <c r="Q663" s="24" t="s">
        <v>5899</v>
      </c>
      <c r="R663" s="24"/>
      <c r="S663" s="28" t="s">
        <v>5900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140</v>
      </c>
      <c r="Y663" s="23" t="s">
        <v>140</v>
      </c>
      <c r="Z663" s="23" t="s">
        <v>140</v>
      </c>
      <c r="AA663" s="23" t="s">
        <v>140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</row>
    <row r="664" customFormat="false" ht="26.85" hidden="false" customHeight="false" outlineLevel="0" collapsed="false">
      <c r="A664" s="23" t="n">
        <v>663</v>
      </c>
      <c r="B664" s="30" t="s">
        <v>5901</v>
      </c>
      <c r="C664" s="23" t="n">
        <v>2</v>
      </c>
      <c r="D664" s="23" t="s">
        <v>4666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0" t="s">
        <v>5848</v>
      </c>
      <c r="H664" s="30" t="s">
        <v>5849</v>
      </c>
      <c r="I664" s="23" t="s">
        <v>5760</v>
      </c>
      <c r="J664" s="24" t="s">
        <v>5902</v>
      </c>
      <c r="K664" s="23" t="s">
        <v>131</v>
      </c>
      <c r="L664" s="24" t="s">
        <v>5903</v>
      </c>
      <c r="M664" s="24" t="s">
        <v>5904</v>
      </c>
      <c r="N664" s="23" t="s">
        <v>5905</v>
      </c>
      <c r="O664" s="24" t="s">
        <v>5906</v>
      </c>
      <c r="P664" s="24" t="s">
        <v>5907</v>
      </c>
      <c r="Q664" s="24" t="s">
        <v>5908</v>
      </c>
      <c r="R664" s="24"/>
      <c r="S664" s="24" t="s">
        <v>5909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140</v>
      </c>
      <c r="Y664" s="23" t="s">
        <v>140</v>
      </c>
      <c r="Z664" s="23" t="s">
        <v>140</v>
      </c>
      <c r="AA664" s="23" t="s">
        <v>140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</row>
    <row r="665" customFormat="false" ht="39.55" hidden="false" customHeight="false" outlineLevel="0" collapsed="false">
      <c r="A665" s="23" t="n">
        <v>664</v>
      </c>
      <c r="B665" s="30" t="s">
        <v>5910</v>
      </c>
      <c r="C665" s="20" t="n">
        <v>1</v>
      </c>
      <c r="D665" s="20" t="s">
        <v>4666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0" t="s">
        <v>5848</v>
      </c>
      <c r="H665" s="30" t="s">
        <v>5759</v>
      </c>
      <c r="I665" s="23" t="s">
        <v>5760</v>
      </c>
      <c r="J665" s="24" t="s">
        <v>5911</v>
      </c>
      <c r="K665" s="23" t="s">
        <v>131</v>
      </c>
      <c r="L665" s="24" t="s">
        <v>5912</v>
      </c>
      <c r="M665" s="24" t="s">
        <v>5913</v>
      </c>
      <c r="N665" s="23" t="s">
        <v>5914</v>
      </c>
      <c r="O665" s="24" t="s">
        <v>5915</v>
      </c>
      <c r="P665" s="24" t="s">
        <v>5916</v>
      </c>
      <c r="Q665" s="24" t="s">
        <v>5917</v>
      </c>
      <c r="R665" s="25" t="s">
        <v>5918</v>
      </c>
      <c r="S665" s="28" t="s">
        <v>5919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140</v>
      </c>
      <c r="Y665" s="23" t="s">
        <v>140</v>
      </c>
      <c r="Z665" s="23" t="s">
        <v>140</v>
      </c>
      <c r="AA665" s="23" t="s">
        <v>140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</row>
    <row r="666" customFormat="false" ht="26.85" hidden="false" customHeight="false" outlineLevel="0" collapsed="false">
      <c r="A666" s="23" t="n">
        <v>665</v>
      </c>
      <c r="B666" s="30" t="s">
        <v>5920</v>
      </c>
      <c r="C666" s="20" t="n">
        <v>1</v>
      </c>
      <c r="D666" s="20" t="s">
        <v>4666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0" t="s">
        <v>5921</v>
      </c>
      <c r="H666" s="30" t="s">
        <v>5922</v>
      </c>
      <c r="I666" s="23" t="s">
        <v>5760</v>
      </c>
      <c r="J666" s="24" t="s">
        <v>5923</v>
      </c>
      <c r="K666" s="23" t="s">
        <v>131</v>
      </c>
      <c r="L666" s="24" t="s">
        <v>5924</v>
      </c>
      <c r="M666" s="24" t="s">
        <v>5925</v>
      </c>
      <c r="N666" s="23" t="s">
        <v>5926</v>
      </c>
      <c r="O666" s="24" t="s">
        <v>5927</v>
      </c>
      <c r="P666" s="24" t="s">
        <v>5928</v>
      </c>
      <c r="Q666" s="24" t="s">
        <v>5929</v>
      </c>
      <c r="R666" s="24"/>
      <c r="S666" s="24" t="s">
        <v>139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140</v>
      </c>
      <c r="Y666" s="23" t="s">
        <v>140</v>
      </c>
      <c r="Z666" s="23" t="s">
        <v>140</v>
      </c>
      <c r="AA666" s="23" t="s">
        <v>140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</row>
    <row r="667" customFormat="false" ht="26.85" hidden="false" customHeight="false" outlineLevel="0" collapsed="false">
      <c r="A667" s="23" t="n">
        <v>666</v>
      </c>
      <c r="B667" s="30" t="s">
        <v>5930</v>
      </c>
      <c r="C667" s="23" t="n">
        <v>2</v>
      </c>
      <c r="D667" s="23" t="s">
        <v>4666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0" t="s">
        <v>5921</v>
      </c>
      <c r="H667" s="30" t="s">
        <v>5849</v>
      </c>
      <c r="I667" s="23" t="s">
        <v>5760</v>
      </c>
      <c r="J667" s="24" t="s">
        <v>5931</v>
      </c>
      <c r="K667" s="23" t="s">
        <v>131</v>
      </c>
      <c r="L667" s="24" t="s">
        <v>5932</v>
      </c>
      <c r="M667" s="24" t="s">
        <v>5933</v>
      </c>
      <c r="N667" s="23" t="s">
        <v>5934</v>
      </c>
      <c r="O667" s="24" t="s">
        <v>5935</v>
      </c>
      <c r="P667" s="24" t="s">
        <v>5936</v>
      </c>
      <c r="Q667" s="24" t="s">
        <v>5937</v>
      </c>
      <c r="R667" s="24"/>
      <c r="S667" s="24" t="s">
        <v>5938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140</v>
      </c>
      <c r="Y667" s="23" t="s">
        <v>140</v>
      </c>
      <c r="Z667" s="23" t="s">
        <v>140</v>
      </c>
      <c r="AA667" s="23" t="s">
        <v>140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</row>
    <row r="668" customFormat="false" ht="26.85" hidden="false" customHeight="false" outlineLevel="0" collapsed="false">
      <c r="A668" s="23" t="n">
        <v>667</v>
      </c>
      <c r="B668" s="30" t="s">
        <v>5939</v>
      </c>
      <c r="C668" s="23" t="n">
        <v>2</v>
      </c>
      <c r="D668" s="23" t="s">
        <v>4666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0" t="s">
        <v>5921</v>
      </c>
      <c r="H668" s="30" t="s">
        <v>5849</v>
      </c>
      <c r="I668" s="23" t="s">
        <v>5760</v>
      </c>
      <c r="J668" s="24" t="s">
        <v>5940</v>
      </c>
      <c r="K668" s="23" t="s">
        <v>131</v>
      </c>
      <c r="L668" s="24" t="s">
        <v>5941</v>
      </c>
      <c r="M668" s="24" t="s">
        <v>5942</v>
      </c>
      <c r="N668" s="23" t="s">
        <v>5943</v>
      </c>
      <c r="O668" s="24" t="s">
        <v>5944</v>
      </c>
      <c r="P668" s="24" t="s">
        <v>5945</v>
      </c>
      <c r="Q668" s="24" t="s">
        <v>5946</v>
      </c>
      <c r="R668" s="25" t="s">
        <v>5947</v>
      </c>
      <c r="S668" s="24" t="s">
        <v>5938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140</v>
      </c>
      <c r="Y668" s="23" t="s">
        <v>140</v>
      </c>
      <c r="Z668" s="23" t="s">
        <v>140</v>
      </c>
      <c r="AA668" s="23" t="s">
        <v>140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</row>
    <row r="669" customFormat="false" ht="39.55" hidden="false" customHeight="false" outlineLevel="0" collapsed="false">
      <c r="A669" s="23" t="n">
        <v>668</v>
      </c>
      <c r="B669" s="30" t="s">
        <v>5948</v>
      </c>
      <c r="C669" s="20" t="n">
        <v>1</v>
      </c>
      <c r="D669" s="20" t="s">
        <v>4666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0" t="s">
        <v>5921</v>
      </c>
      <c r="H669" s="30" t="s">
        <v>5922</v>
      </c>
      <c r="I669" s="23" t="s">
        <v>5760</v>
      </c>
      <c r="J669" s="24" t="s">
        <v>5949</v>
      </c>
      <c r="K669" s="23" t="s">
        <v>131</v>
      </c>
      <c r="L669" s="24" t="s">
        <v>5950</v>
      </c>
      <c r="M669" s="24" t="s">
        <v>5951</v>
      </c>
      <c r="N669" s="23" t="s">
        <v>5952</v>
      </c>
      <c r="O669" s="24" t="s">
        <v>5953</v>
      </c>
      <c r="P669" s="24" t="s">
        <v>5954</v>
      </c>
      <c r="Q669" s="24" t="s">
        <v>5955</v>
      </c>
      <c r="R669" s="24"/>
      <c r="S669" s="28" t="s">
        <v>5956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140</v>
      </c>
      <c r="Y669" s="23" t="s">
        <v>140</v>
      </c>
      <c r="Z669" s="23" t="s">
        <v>140</v>
      </c>
      <c r="AA669" s="23" t="s">
        <v>140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</row>
    <row r="670" customFormat="false" ht="25.35" hidden="false" customHeight="false" outlineLevel="0" collapsed="false">
      <c r="A670" s="23" t="n">
        <v>669</v>
      </c>
      <c r="B670" s="30" t="s">
        <v>5957</v>
      </c>
      <c r="C670" s="23" t="n">
        <v>2</v>
      </c>
      <c r="D670" s="23" t="s">
        <v>4666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0" t="s">
        <v>5921</v>
      </c>
      <c r="H670" s="30" t="s">
        <v>5849</v>
      </c>
      <c r="I670" s="23" t="s">
        <v>5760</v>
      </c>
      <c r="J670" s="24" t="s">
        <v>5958</v>
      </c>
      <c r="K670" s="23" t="s">
        <v>131</v>
      </c>
      <c r="L670" s="24" t="s">
        <v>5959</v>
      </c>
      <c r="M670" s="24" t="s">
        <v>5960</v>
      </c>
      <c r="N670" s="23" t="s">
        <v>5961</v>
      </c>
      <c r="O670" s="24" t="s">
        <v>5962</v>
      </c>
      <c r="P670" s="24" t="s">
        <v>5963</v>
      </c>
      <c r="Q670" s="24" t="s">
        <v>5964</v>
      </c>
      <c r="R670" s="24"/>
      <c r="S670" s="24" t="s">
        <v>5965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140</v>
      </c>
      <c r="Y670" s="23" t="s">
        <v>140</v>
      </c>
      <c r="Z670" s="23" t="s">
        <v>140</v>
      </c>
      <c r="AA670" s="23" t="s">
        <v>140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</row>
    <row r="671" customFormat="false" ht="39.55" hidden="false" customHeight="false" outlineLevel="0" collapsed="false">
      <c r="A671" s="23" t="n">
        <v>670</v>
      </c>
      <c r="B671" s="30" t="s">
        <v>5966</v>
      </c>
      <c r="C671" s="20" t="n">
        <v>1</v>
      </c>
      <c r="D671" s="20" t="s">
        <v>4666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0" t="s">
        <v>5921</v>
      </c>
      <c r="H671" s="30" t="s">
        <v>5922</v>
      </c>
      <c r="I671" s="23" t="s">
        <v>5760</v>
      </c>
      <c r="J671" s="24" t="s">
        <v>5967</v>
      </c>
      <c r="K671" s="23" t="s">
        <v>131</v>
      </c>
      <c r="L671" s="24" t="s">
        <v>5968</v>
      </c>
      <c r="M671" s="24" t="s">
        <v>5969</v>
      </c>
      <c r="N671" s="23" t="s">
        <v>5970</v>
      </c>
      <c r="O671" s="24" t="s">
        <v>5971</v>
      </c>
      <c r="P671" s="24" t="s">
        <v>5972</v>
      </c>
      <c r="Q671" s="24" t="s">
        <v>5973</v>
      </c>
      <c r="R671" s="25" t="s">
        <v>5828</v>
      </c>
      <c r="S671" s="28" t="s">
        <v>5974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140</v>
      </c>
      <c r="Y671" s="23" t="s">
        <v>140</v>
      </c>
      <c r="Z671" s="23" t="s">
        <v>140</v>
      </c>
      <c r="AA671" s="23" t="s">
        <v>140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</row>
    <row r="672" customFormat="false" ht="15" hidden="false" customHeight="false" outlineLevel="0" collapsed="false">
      <c r="A672" s="23" t="n">
        <v>671</v>
      </c>
      <c r="B672" s="30" t="s">
        <v>5975</v>
      </c>
      <c r="C672" s="23" t="n">
        <v>2</v>
      </c>
      <c r="D672" s="23" t="s">
        <v>4666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0" t="s">
        <v>5921</v>
      </c>
      <c r="H672" s="30" t="s">
        <v>5849</v>
      </c>
      <c r="I672" s="23" t="s">
        <v>5760</v>
      </c>
      <c r="J672" s="24" t="s">
        <v>5976</v>
      </c>
      <c r="K672" s="23" t="s">
        <v>131</v>
      </c>
      <c r="L672" s="24" t="s">
        <v>5977</v>
      </c>
      <c r="M672" s="24" t="s">
        <v>5978</v>
      </c>
      <c r="N672" s="23" t="s">
        <v>5979</v>
      </c>
      <c r="O672" s="24" t="s">
        <v>5980</v>
      </c>
      <c r="P672" s="24" t="s">
        <v>5981</v>
      </c>
      <c r="Q672" s="24" t="s">
        <v>5982</v>
      </c>
      <c r="R672" s="25" t="s">
        <v>5983</v>
      </c>
      <c r="S672" s="24" t="s">
        <v>5984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140</v>
      </c>
      <c r="Y672" s="23" t="s">
        <v>140</v>
      </c>
      <c r="Z672" s="23" t="s">
        <v>140</v>
      </c>
      <c r="AA672" s="23" t="s">
        <v>140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</row>
    <row r="673" customFormat="false" ht="26.85" hidden="false" customHeight="false" outlineLevel="0" collapsed="false">
      <c r="A673" s="23" t="n">
        <v>672</v>
      </c>
      <c r="B673" s="30" t="s">
        <v>5985</v>
      </c>
      <c r="C673" s="20" t="n">
        <v>1</v>
      </c>
      <c r="D673" s="20" t="s">
        <v>4666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0" t="s">
        <v>5921</v>
      </c>
      <c r="H673" s="30" t="s">
        <v>5922</v>
      </c>
      <c r="I673" s="23" t="s">
        <v>5760</v>
      </c>
      <c r="J673" s="24" t="s">
        <v>5986</v>
      </c>
      <c r="K673" s="23" t="s">
        <v>131</v>
      </c>
      <c r="L673" s="24" t="s">
        <v>5987</v>
      </c>
      <c r="M673" s="24" t="s">
        <v>5988</v>
      </c>
      <c r="N673" s="23" t="s">
        <v>5989</v>
      </c>
      <c r="O673" s="24" t="s">
        <v>5990</v>
      </c>
      <c r="P673" s="24" t="s">
        <v>5991</v>
      </c>
      <c r="Q673" s="24" t="s">
        <v>5992</v>
      </c>
      <c r="R673" s="24"/>
      <c r="S673" s="28" t="s">
        <v>5993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140</v>
      </c>
      <c r="Y673" s="23" t="s">
        <v>140</v>
      </c>
      <c r="Z673" s="23" t="s">
        <v>140</v>
      </c>
      <c r="AA673" s="23" t="s">
        <v>140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</row>
    <row r="674" customFormat="false" ht="26.85" hidden="false" customHeight="false" outlineLevel="0" collapsed="false">
      <c r="A674" s="23" t="n">
        <v>673</v>
      </c>
      <c r="B674" s="30" t="s">
        <v>5994</v>
      </c>
      <c r="C674" s="23" t="n">
        <v>2</v>
      </c>
      <c r="D674" s="23" t="s">
        <v>4666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0" t="s">
        <v>5921</v>
      </c>
      <c r="H674" s="30" t="s">
        <v>5849</v>
      </c>
      <c r="I674" s="23" t="s">
        <v>5760</v>
      </c>
      <c r="J674" s="24" t="s">
        <v>5995</v>
      </c>
      <c r="K674" s="23" t="s">
        <v>131</v>
      </c>
      <c r="L674" s="24" t="s">
        <v>3867</v>
      </c>
      <c r="M674" s="24" t="s">
        <v>5996</v>
      </c>
      <c r="N674" s="23" t="s">
        <v>5997</v>
      </c>
      <c r="O674" s="24" t="s">
        <v>5998</v>
      </c>
      <c r="P674" s="24" t="s">
        <v>5999</v>
      </c>
      <c r="Q674" s="24" t="s">
        <v>6000</v>
      </c>
      <c r="R674" s="24"/>
      <c r="S674" s="24" t="s">
        <v>6001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140</v>
      </c>
      <c r="Y674" s="23" t="s">
        <v>140</v>
      </c>
      <c r="Z674" s="23" t="s">
        <v>140</v>
      </c>
      <c r="AA674" s="23" t="s">
        <v>140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</row>
    <row r="675" customFormat="false" ht="26.85" hidden="false" customHeight="false" outlineLevel="0" collapsed="false">
      <c r="A675" s="23" t="n">
        <v>674</v>
      </c>
      <c r="B675" s="30" t="s">
        <v>6002</v>
      </c>
      <c r="C675" s="23" t="n">
        <v>2</v>
      </c>
      <c r="D675" s="23" t="s">
        <v>4666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0" t="s">
        <v>5921</v>
      </c>
      <c r="H675" s="30" t="s">
        <v>5849</v>
      </c>
      <c r="I675" s="23" t="s">
        <v>5760</v>
      </c>
      <c r="J675" s="24" t="s">
        <v>6003</v>
      </c>
      <c r="K675" s="23" t="s">
        <v>131</v>
      </c>
      <c r="L675" s="24" t="s">
        <v>6004</v>
      </c>
      <c r="M675" s="24" t="s">
        <v>6005</v>
      </c>
      <c r="N675" s="23" t="s">
        <v>6006</v>
      </c>
      <c r="O675" s="24" t="s">
        <v>6007</v>
      </c>
      <c r="P675" s="24" t="s">
        <v>6008</v>
      </c>
      <c r="Q675" s="24" t="s">
        <v>6009</v>
      </c>
      <c r="R675" s="24"/>
      <c r="S675" s="24" t="s">
        <v>6001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140</v>
      </c>
      <c r="Y675" s="23" t="s">
        <v>140</v>
      </c>
      <c r="Z675" s="23" t="s">
        <v>140</v>
      </c>
      <c r="AA675" s="23" t="s">
        <v>140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</row>
    <row r="676" customFormat="false" ht="39.55" hidden="false" customHeight="false" outlineLevel="0" collapsed="false">
      <c r="A676" s="23" t="n">
        <v>675</v>
      </c>
      <c r="B676" s="30" t="s">
        <v>6010</v>
      </c>
      <c r="C676" s="20" t="n">
        <v>1</v>
      </c>
      <c r="D676" s="20" t="s">
        <v>4666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0" t="s">
        <v>5921</v>
      </c>
      <c r="H676" s="30" t="s">
        <v>5922</v>
      </c>
      <c r="I676" s="23" t="s">
        <v>5760</v>
      </c>
      <c r="J676" s="24" t="s">
        <v>6011</v>
      </c>
      <c r="K676" s="23" t="s">
        <v>131</v>
      </c>
      <c r="L676" s="24" t="s">
        <v>6012</v>
      </c>
      <c r="M676" s="24" t="s">
        <v>6013</v>
      </c>
      <c r="N676" s="23" t="s">
        <v>6014</v>
      </c>
      <c r="O676" s="24" t="s">
        <v>6015</v>
      </c>
      <c r="P676" s="24" t="s">
        <v>6016</v>
      </c>
      <c r="Q676" s="24" t="s">
        <v>6017</v>
      </c>
      <c r="R676" s="24"/>
      <c r="S676" s="28" t="s">
        <v>6018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140</v>
      </c>
      <c r="Y676" s="23" t="s">
        <v>140</v>
      </c>
      <c r="Z676" s="23" t="s">
        <v>140</v>
      </c>
      <c r="AA676" s="23" t="s">
        <v>140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</row>
    <row r="677" customFormat="false" ht="26.85" hidden="false" customHeight="false" outlineLevel="0" collapsed="false">
      <c r="A677" s="23" t="n">
        <v>676</v>
      </c>
      <c r="B677" s="30" t="s">
        <v>6019</v>
      </c>
      <c r="C677" s="23" t="n">
        <v>2</v>
      </c>
      <c r="D677" s="23" t="s">
        <v>4666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0" t="s">
        <v>6020</v>
      </c>
      <c r="H677" s="30" t="s">
        <v>6021</v>
      </c>
      <c r="I677" s="23" t="s">
        <v>5760</v>
      </c>
      <c r="J677" s="24" t="s">
        <v>6022</v>
      </c>
      <c r="K677" s="23" t="s">
        <v>131</v>
      </c>
      <c r="L677" s="24" t="s">
        <v>6023</v>
      </c>
      <c r="M677" s="24" t="s">
        <v>6024</v>
      </c>
      <c r="N677" s="23" t="s">
        <v>6025</v>
      </c>
      <c r="O677" s="24" t="s">
        <v>6026</v>
      </c>
      <c r="P677" s="24" t="s">
        <v>6027</v>
      </c>
      <c r="Q677" s="24" t="s">
        <v>6028</v>
      </c>
      <c r="R677" s="24"/>
      <c r="S677" s="24" t="s">
        <v>6029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140</v>
      </c>
      <c r="Y677" s="23" t="s">
        <v>140</v>
      </c>
      <c r="Z677" s="23" t="s">
        <v>140</v>
      </c>
      <c r="AA677" s="23" t="s">
        <v>140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</row>
    <row r="678" customFormat="false" ht="26.85" hidden="false" customHeight="false" outlineLevel="0" collapsed="false">
      <c r="A678" s="23" t="n">
        <v>677</v>
      </c>
      <c r="B678" s="30" t="s">
        <v>6030</v>
      </c>
      <c r="C678" s="23" t="n">
        <v>2</v>
      </c>
      <c r="D678" s="23" t="s">
        <v>4666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0" t="s">
        <v>6020</v>
      </c>
      <c r="H678" s="30" t="s">
        <v>6021</v>
      </c>
      <c r="I678" s="23" t="s">
        <v>5760</v>
      </c>
      <c r="J678" s="24" t="s">
        <v>6031</v>
      </c>
      <c r="K678" s="23" t="s">
        <v>131</v>
      </c>
      <c r="L678" s="24" t="s">
        <v>6032</v>
      </c>
      <c r="M678" s="24" t="s">
        <v>6033</v>
      </c>
      <c r="N678" s="23" t="s">
        <v>6034</v>
      </c>
      <c r="O678" s="24" t="s">
        <v>6035</v>
      </c>
      <c r="P678" s="24" t="s">
        <v>6036</v>
      </c>
      <c r="Q678" s="24" t="s">
        <v>6037</v>
      </c>
      <c r="R678" s="24"/>
      <c r="S678" s="24" t="s">
        <v>6029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140</v>
      </c>
      <c r="Y678" s="23" t="s">
        <v>140</v>
      </c>
      <c r="Z678" s="23" t="s">
        <v>140</v>
      </c>
      <c r="AA678" s="23" t="s">
        <v>140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</row>
    <row r="679" customFormat="false" ht="26.85" hidden="false" customHeight="false" outlineLevel="0" collapsed="false">
      <c r="A679" s="23" t="n">
        <v>678</v>
      </c>
      <c r="B679" s="30" t="s">
        <v>6038</v>
      </c>
      <c r="C679" s="23" t="n">
        <v>2</v>
      </c>
      <c r="D679" s="23" t="s">
        <v>4666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0" t="s">
        <v>6020</v>
      </c>
      <c r="H679" s="30" t="s">
        <v>6021</v>
      </c>
      <c r="I679" s="23" t="s">
        <v>5760</v>
      </c>
      <c r="J679" s="24" t="s">
        <v>6039</v>
      </c>
      <c r="K679" s="23" t="s">
        <v>131</v>
      </c>
      <c r="L679" s="29" t="s">
        <v>6040</v>
      </c>
      <c r="M679" s="24" t="s">
        <v>6041</v>
      </c>
      <c r="N679" s="23" t="s">
        <v>6042</v>
      </c>
      <c r="O679" s="24" t="s">
        <v>6043</v>
      </c>
      <c r="P679" s="24" t="s">
        <v>6044</v>
      </c>
      <c r="Q679" s="24" t="s">
        <v>6045</v>
      </c>
      <c r="R679" s="24"/>
      <c r="S679" s="24" t="s">
        <v>6029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140</v>
      </c>
      <c r="Y679" s="23" t="s">
        <v>140</v>
      </c>
      <c r="Z679" s="23" t="s">
        <v>140</v>
      </c>
      <c r="AA679" s="23" t="s">
        <v>140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</row>
    <row r="680" customFormat="false" ht="26.85" hidden="false" customHeight="false" outlineLevel="0" collapsed="false">
      <c r="A680" s="23" t="n">
        <v>679</v>
      </c>
      <c r="B680" s="30" t="s">
        <v>6046</v>
      </c>
      <c r="C680" s="23" t="n">
        <v>2</v>
      </c>
      <c r="D680" s="23" t="s">
        <v>4666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0" t="s">
        <v>6020</v>
      </c>
      <c r="H680" s="30" t="s">
        <v>6021</v>
      </c>
      <c r="I680" s="23" t="s">
        <v>5760</v>
      </c>
      <c r="J680" s="24" t="s">
        <v>6047</v>
      </c>
      <c r="K680" s="23" t="s">
        <v>131</v>
      </c>
      <c r="L680" s="24" t="s">
        <v>6048</v>
      </c>
      <c r="M680" s="24" t="s">
        <v>6049</v>
      </c>
      <c r="N680" s="23" t="s">
        <v>6050</v>
      </c>
      <c r="O680" s="24" t="s">
        <v>6051</v>
      </c>
      <c r="P680" s="24" t="s">
        <v>6052</v>
      </c>
      <c r="Q680" s="24" t="s">
        <v>6053</v>
      </c>
      <c r="R680" s="24"/>
      <c r="S680" s="24" t="s">
        <v>6029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140</v>
      </c>
      <c r="Y680" s="23" t="s">
        <v>140</v>
      </c>
      <c r="Z680" s="23" t="s">
        <v>140</v>
      </c>
      <c r="AA680" s="23" t="s">
        <v>140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</row>
    <row r="681" customFormat="false" ht="26.85" hidden="false" customHeight="false" outlineLevel="0" collapsed="false">
      <c r="A681" s="23" t="n">
        <v>680</v>
      </c>
      <c r="B681" s="30" t="s">
        <v>6054</v>
      </c>
      <c r="C681" s="23" t="n">
        <v>2</v>
      </c>
      <c r="D681" s="23" t="s">
        <v>4666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0" t="s">
        <v>6020</v>
      </c>
      <c r="H681" s="30" t="s">
        <v>6021</v>
      </c>
      <c r="I681" s="23" t="s">
        <v>5760</v>
      </c>
      <c r="J681" s="24" t="s">
        <v>6055</v>
      </c>
      <c r="K681" s="23" t="s">
        <v>131</v>
      </c>
      <c r="L681" s="24" t="s">
        <v>6056</v>
      </c>
      <c r="M681" s="24" t="s">
        <v>6057</v>
      </c>
      <c r="N681" s="23" t="s">
        <v>6058</v>
      </c>
      <c r="O681" s="24" t="s">
        <v>6059</v>
      </c>
      <c r="P681" s="24" t="s">
        <v>6060</v>
      </c>
      <c r="Q681" s="24" t="s">
        <v>6061</v>
      </c>
      <c r="R681" s="24"/>
      <c r="S681" s="24" t="s">
        <v>6029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140</v>
      </c>
      <c r="Y681" s="23" t="s">
        <v>140</v>
      </c>
      <c r="Z681" s="23" t="s">
        <v>140</v>
      </c>
      <c r="AA681" s="23" t="s">
        <v>140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</row>
    <row r="682" customFormat="false" ht="52.2" hidden="false" customHeight="false" outlineLevel="0" collapsed="false">
      <c r="A682" s="23" t="n">
        <v>681</v>
      </c>
      <c r="B682" s="30" t="s">
        <v>6062</v>
      </c>
      <c r="C682" s="20" t="n">
        <v>1</v>
      </c>
      <c r="D682" s="20" t="s">
        <v>4666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0" t="s">
        <v>6020</v>
      </c>
      <c r="H682" s="30" t="s">
        <v>5922</v>
      </c>
      <c r="I682" s="23" t="s">
        <v>5760</v>
      </c>
      <c r="J682" s="24" t="s">
        <v>6063</v>
      </c>
      <c r="K682" s="23" t="s">
        <v>131</v>
      </c>
      <c r="L682" s="24" t="s">
        <v>6064</v>
      </c>
      <c r="M682" s="29" t="s">
        <v>6065</v>
      </c>
      <c r="N682" s="23" t="s">
        <v>6066</v>
      </c>
      <c r="O682" s="24" t="s">
        <v>6067</v>
      </c>
      <c r="P682" s="24" t="s">
        <v>6068</v>
      </c>
      <c r="Q682" s="24" t="s">
        <v>6069</v>
      </c>
      <c r="R682" s="24"/>
      <c r="S682" s="28" t="s">
        <v>6070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140</v>
      </c>
      <c r="Y682" s="23" t="s">
        <v>140</v>
      </c>
      <c r="Z682" s="23" t="s">
        <v>140</v>
      </c>
      <c r="AA682" s="23" t="s">
        <v>140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</row>
    <row r="683" customFormat="false" ht="26.85" hidden="false" customHeight="false" outlineLevel="0" collapsed="false">
      <c r="A683" s="23" t="n">
        <v>682</v>
      </c>
      <c r="B683" s="30" t="s">
        <v>6071</v>
      </c>
      <c r="C683" s="20" t="n">
        <v>1</v>
      </c>
      <c r="D683" s="20" t="s">
        <v>4666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0" t="s">
        <v>6020</v>
      </c>
      <c r="H683" s="30" t="s">
        <v>5922</v>
      </c>
      <c r="I683" s="23" t="s">
        <v>5760</v>
      </c>
      <c r="J683" s="24" t="s">
        <v>6072</v>
      </c>
      <c r="K683" s="23" t="s">
        <v>131</v>
      </c>
      <c r="L683" s="29" t="s">
        <v>6073</v>
      </c>
      <c r="M683" s="24" t="s">
        <v>6074</v>
      </c>
      <c r="N683" s="23" t="s">
        <v>6075</v>
      </c>
      <c r="O683" s="24" t="s">
        <v>6076</v>
      </c>
      <c r="P683" s="24" t="s">
        <v>6077</v>
      </c>
      <c r="Q683" s="24" t="s">
        <v>6078</v>
      </c>
      <c r="R683" s="24"/>
      <c r="S683" s="24" t="s">
        <v>139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140</v>
      </c>
      <c r="Y683" s="23" t="s">
        <v>140</v>
      </c>
      <c r="Z683" s="23" t="s">
        <v>140</v>
      </c>
      <c r="AA683" s="23" t="s">
        <v>140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</row>
    <row r="684" customFormat="false" ht="26.85" hidden="false" customHeight="false" outlineLevel="0" collapsed="false">
      <c r="A684" s="23" t="n">
        <v>683</v>
      </c>
      <c r="B684" s="30" t="s">
        <v>6079</v>
      </c>
      <c r="C684" s="23" t="n">
        <v>2</v>
      </c>
      <c r="D684" s="23" t="s">
        <v>4666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0" t="s">
        <v>6020</v>
      </c>
      <c r="H684" s="30" t="s">
        <v>6021</v>
      </c>
      <c r="I684" s="23" t="s">
        <v>5760</v>
      </c>
      <c r="J684" s="24" t="s">
        <v>6080</v>
      </c>
      <c r="K684" s="23" t="s">
        <v>131</v>
      </c>
      <c r="L684" s="24" t="s">
        <v>6081</v>
      </c>
      <c r="M684" s="24" t="s">
        <v>6082</v>
      </c>
      <c r="N684" s="23" t="s">
        <v>6083</v>
      </c>
      <c r="O684" s="24" t="s">
        <v>6084</v>
      </c>
      <c r="P684" s="24" t="s">
        <v>6085</v>
      </c>
      <c r="Q684" s="24" t="s">
        <v>6086</v>
      </c>
      <c r="R684" s="25" t="s">
        <v>6087</v>
      </c>
      <c r="S684" s="24" t="s">
        <v>6088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140</v>
      </c>
      <c r="Y684" s="23" t="s">
        <v>140</v>
      </c>
      <c r="Z684" s="23" t="s">
        <v>140</v>
      </c>
      <c r="AA684" s="23" t="s">
        <v>140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</row>
    <row r="685" customFormat="false" ht="26.85" hidden="false" customHeight="false" outlineLevel="0" collapsed="false">
      <c r="A685" s="23" t="n">
        <v>684</v>
      </c>
      <c r="B685" s="30" t="s">
        <v>6089</v>
      </c>
      <c r="C685" s="20" t="n">
        <v>1</v>
      </c>
      <c r="D685" s="20" t="s">
        <v>4666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0" t="s">
        <v>6020</v>
      </c>
      <c r="H685" s="30" t="s">
        <v>5922</v>
      </c>
      <c r="I685" s="23" t="s">
        <v>5760</v>
      </c>
      <c r="J685" s="24" t="s">
        <v>6090</v>
      </c>
      <c r="K685" s="23" t="s">
        <v>131</v>
      </c>
      <c r="L685" s="24" t="s">
        <v>6091</v>
      </c>
      <c r="M685" s="24" t="s">
        <v>6092</v>
      </c>
      <c r="N685" s="23" t="s">
        <v>6093</v>
      </c>
      <c r="O685" s="24" t="s">
        <v>6094</v>
      </c>
      <c r="P685" s="24" t="s">
        <v>6095</v>
      </c>
      <c r="Q685" s="24" t="s">
        <v>6096</v>
      </c>
      <c r="R685" s="24"/>
      <c r="S685" s="28" t="s">
        <v>6097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140</v>
      </c>
      <c r="Y685" s="23" t="s">
        <v>140</v>
      </c>
      <c r="Z685" s="23" t="s">
        <v>140</v>
      </c>
      <c r="AA685" s="23" t="s">
        <v>140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</row>
    <row r="686" customFormat="false" ht="26.85" hidden="false" customHeight="false" outlineLevel="0" collapsed="false">
      <c r="A686" s="23" t="n">
        <v>685</v>
      </c>
      <c r="B686" s="30" t="s">
        <v>6098</v>
      </c>
      <c r="C686" s="23" t="n">
        <v>2</v>
      </c>
      <c r="D686" s="23" t="s">
        <v>4666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0" t="s">
        <v>6099</v>
      </c>
      <c r="H686" s="30" t="s">
        <v>6021</v>
      </c>
      <c r="I686" s="23" t="s">
        <v>6100</v>
      </c>
      <c r="J686" s="24" t="s">
        <v>6101</v>
      </c>
      <c r="K686" s="23" t="s">
        <v>1095</v>
      </c>
      <c r="L686" s="24" t="s">
        <v>6102</v>
      </c>
      <c r="M686" s="24" t="s">
        <v>6103</v>
      </c>
      <c r="N686" s="23" t="s">
        <v>6104</v>
      </c>
      <c r="O686" s="24" t="s">
        <v>6105</v>
      </c>
      <c r="P686" s="24" t="s">
        <v>6106</v>
      </c>
      <c r="Q686" s="24" t="s">
        <v>6107</v>
      </c>
      <c r="R686" s="24"/>
      <c r="S686" s="24" t="s">
        <v>6108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140</v>
      </c>
      <c r="Y686" s="23" t="s">
        <v>140</v>
      </c>
      <c r="Z686" s="23" t="s">
        <v>140</v>
      </c>
      <c r="AA686" s="23" t="s">
        <v>140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</row>
    <row r="687" customFormat="false" ht="26.85" hidden="false" customHeight="false" outlineLevel="0" collapsed="false">
      <c r="A687" s="23" t="n">
        <v>686</v>
      </c>
      <c r="B687" s="30" t="s">
        <v>6109</v>
      </c>
      <c r="C687" s="23" t="n">
        <v>2</v>
      </c>
      <c r="D687" s="23" t="s">
        <v>4666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0" t="s">
        <v>6099</v>
      </c>
      <c r="H687" s="30" t="s">
        <v>6021</v>
      </c>
      <c r="I687" s="23" t="s">
        <v>6100</v>
      </c>
      <c r="J687" s="24" t="s">
        <v>6110</v>
      </c>
      <c r="K687" s="23" t="s">
        <v>1095</v>
      </c>
      <c r="L687" s="24" t="s">
        <v>6111</v>
      </c>
      <c r="M687" s="24" t="s">
        <v>6112</v>
      </c>
      <c r="N687" s="23" t="s">
        <v>6113</v>
      </c>
      <c r="O687" s="24" t="s">
        <v>6114</v>
      </c>
      <c r="P687" s="24" t="s">
        <v>6106</v>
      </c>
      <c r="Q687" s="24" t="s">
        <v>6115</v>
      </c>
      <c r="R687" s="24"/>
      <c r="S687" s="24" t="s">
        <v>6108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140</v>
      </c>
      <c r="Y687" s="23" t="s">
        <v>140</v>
      </c>
      <c r="Z687" s="23" t="s">
        <v>140</v>
      </c>
      <c r="AA687" s="23" t="s">
        <v>140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</row>
    <row r="688" customFormat="false" ht="39.55" hidden="false" customHeight="false" outlineLevel="0" collapsed="false">
      <c r="A688" s="23" t="n">
        <v>687</v>
      </c>
      <c r="B688" s="30" t="s">
        <v>6116</v>
      </c>
      <c r="C688" s="20" t="n">
        <v>1</v>
      </c>
      <c r="D688" s="20" t="s">
        <v>4666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0" t="s">
        <v>6099</v>
      </c>
      <c r="H688" s="30" t="s">
        <v>6117</v>
      </c>
      <c r="I688" s="23" t="s">
        <v>6100</v>
      </c>
      <c r="J688" s="24" t="s">
        <v>6118</v>
      </c>
      <c r="K688" s="23" t="s">
        <v>1095</v>
      </c>
      <c r="L688" s="24" t="s">
        <v>6119</v>
      </c>
      <c r="M688" s="24" t="s">
        <v>6120</v>
      </c>
      <c r="N688" s="23" t="s">
        <v>6121</v>
      </c>
      <c r="O688" s="24" t="s">
        <v>6122</v>
      </c>
      <c r="P688" s="24" t="s">
        <v>6106</v>
      </c>
      <c r="Q688" s="24" t="s">
        <v>5112</v>
      </c>
      <c r="R688" s="25" t="s">
        <v>6123</v>
      </c>
      <c r="S688" s="28" t="s">
        <v>6124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140</v>
      </c>
      <c r="Y688" s="23" t="s">
        <v>140</v>
      </c>
      <c r="Z688" s="23" t="s">
        <v>140</v>
      </c>
      <c r="AA688" s="23" t="s">
        <v>140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</row>
    <row r="689" customFormat="false" ht="26.85" hidden="false" customHeight="false" outlineLevel="0" collapsed="false">
      <c r="A689" s="23" t="n">
        <v>688</v>
      </c>
      <c r="B689" s="30" t="s">
        <v>6125</v>
      </c>
      <c r="C689" s="23" t="n">
        <v>2</v>
      </c>
      <c r="D689" s="23" t="s">
        <v>4666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0" t="s">
        <v>6099</v>
      </c>
      <c r="H689" s="30" t="s">
        <v>6126</v>
      </c>
      <c r="I689" s="23" t="s">
        <v>6100</v>
      </c>
      <c r="J689" s="24" t="s">
        <v>6127</v>
      </c>
      <c r="K689" s="23" t="s">
        <v>1095</v>
      </c>
      <c r="L689" s="24" t="s">
        <v>6128</v>
      </c>
      <c r="M689" s="24" t="s">
        <v>6129</v>
      </c>
      <c r="N689" s="23" t="s">
        <v>6130</v>
      </c>
      <c r="O689" s="24" t="s">
        <v>6131</v>
      </c>
      <c r="P689" s="24" t="s">
        <v>6132</v>
      </c>
      <c r="Q689" s="24" t="s">
        <v>6133</v>
      </c>
      <c r="R689" s="24"/>
      <c r="S689" s="24" t="s">
        <v>6134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140</v>
      </c>
      <c r="Y689" s="23" t="s">
        <v>140</v>
      </c>
      <c r="Z689" s="23" t="s">
        <v>140</v>
      </c>
      <c r="AA689" s="23" t="s">
        <v>140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</row>
    <row r="690" customFormat="false" ht="39.55" hidden="false" customHeight="false" outlineLevel="0" collapsed="false">
      <c r="A690" s="23" t="n">
        <v>689</v>
      </c>
      <c r="B690" s="30" t="s">
        <v>6135</v>
      </c>
      <c r="C690" s="23" t="n">
        <v>2</v>
      </c>
      <c r="D690" s="23" t="s">
        <v>4666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0" t="s">
        <v>6099</v>
      </c>
      <c r="H690" s="30" t="s">
        <v>6126</v>
      </c>
      <c r="I690" s="23" t="s">
        <v>6100</v>
      </c>
      <c r="J690" s="24" t="s">
        <v>6136</v>
      </c>
      <c r="K690" s="23" t="s">
        <v>1095</v>
      </c>
      <c r="L690" s="24" t="s">
        <v>6137</v>
      </c>
      <c r="M690" s="24" t="s">
        <v>6138</v>
      </c>
      <c r="N690" s="23" t="s">
        <v>6139</v>
      </c>
      <c r="O690" s="24" t="s">
        <v>6140</v>
      </c>
      <c r="P690" s="24" t="s">
        <v>6141</v>
      </c>
      <c r="Q690" s="24" t="s">
        <v>6142</v>
      </c>
      <c r="R690" s="25" t="s">
        <v>6143</v>
      </c>
      <c r="S690" s="24" t="s">
        <v>6134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140</v>
      </c>
      <c r="Y690" s="23" t="s">
        <v>140</v>
      </c>
      <c r="Z690" s="23" t="s">
        <v>140</v>
      </c>
      <c r="AA690" s="23" t="s">
        <v>140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</row>
    <row r="691" customFormat="false" ht="26.85" hidden="false" customHeight="false" outlineLevel="0" collapsed="false">
      <c r="A691" s="23" t="n">
        <v>690</v>
      </c>
      <c r="B691" s="30" t="s">
        <v>6144</v>
      </c>
      <c r="C691" s="23" t="n">
        <v>2</v>
      </c>
      <c r="D691" s="23" t="s">
        <v>4666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0" t="s">
        <v>6099</v>
      </c>
      <c r="H691" s="30" t="s">
        <v>6126</v>
      </c>
      <c r="I691" s="23" t="s">
        <v>6100</v>
      </c>
      <c r="J691" s="24" t="s">
        <v>6145</v>
      </c>
      <c r="K691" s="23" t="s">
        <v>1095</v>
      </c>
      <c r="L691" s="24" t="s">
        <v>6146</v>
      </c>
      <c r="M691" s="24" t="s">
        <v>6147</v>
      </c>
      <c r="N691" s="23" t="s">
        <v>6148</v>
      </c>
      <c r="O691" s="24" t="s">
        <v>6149</v>
      </c>
      <c r="P691" s="24" t="s">
        <v>6106</v>
      </c>
      <c r="Q691" s="24" t="s">
        <v>6150</v>
      </c>
      <c r="R691" s="25" t="s">
        <v>6151</v>
      </c>
      <c r="S691" s="24" t="s">
        <v>6134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140</v>
      </c>
      <c r="Y691" s="23" t="s">
        <v>140</v>
      </c>
      <c r="Z691" s="23" t="s">
        <v>140</v>
      </c>
      <c r="AA691" s="23" t="s">
        <v>140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</row>
    <row r="692" customFormat="false" ht="26.85" hidden="false" customHeight="false" outlineLevel="0" collapsed="false">
      <c r="A692" s="23" t="n">
        <v>691</v>
      </c>
      <c r="B692" s="30" t="s">
        <v>6152</v>
      </c>
      <c r="C692" s="23" t="n">
        <v>2</v>
      </c>
      <c r="D692" s="23" t="s">
        <v>4666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0" t="s">
        <v>6099</v>
      </c>
      <c r="H692" s="30" t="s">
        <v>6126</v>
      </c>
      <c r="I692" s="23" t="s">
        <v>6100</v>
      </c>
      <c r="J692" s="24" t="s">
        <v>6153</v>
      </c>
      <c r="K692" s="23" t="s">
        <v>1095</v>
      </c>
      <c r="L692" s="24" t="s">
        <v>6154</v>
      </c>
      <c r="M692" s="24" t="s">
        <v>6155</v>
      </c>
      <c r="N692" s="23" t="s">
        <v>6156</v>
      </c>
      <c r="O692" s="24" t="s">
        <v>6157</v>
      </c>
      <c r="P692" s="24" t="s">
        <v>6106</v>
      </c>
      <c r="Q692" s="24" t="s">
        <v>6158</v>
      </c>
      <c r="R692" s="24"/>
      <c r="S692" s="24" t="s">
        <v>6134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140</v>
      </c>
      <c r="Y692" s="23" t="s">
        <v>140</v>
      </c>
      <c r="Z692" s="23" t="s">
        <v>140</v>
      </c>
      <c r="AA692" s="23" t="s">
        <v>140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</row>
    <row r="693" customFormat="false" ht="26.85" hidden="false" customHeight="false" outlineLevel="0" collapsed="false">
      <c r="A693" s="23" t="n">
        <v>692</v>
      </c>
      <c r="B693" s="30" t="s">
        <v>6159</v>
      </c>
      <c r="C693" s="23" t="n">
        <v>2</v>
      </c>
      <c r="D693" s="23" t="s">
        <v>4666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0" t="s">
        <v>6099</v>
      </c>
      <c r="H693" s="30" t="s">
        <v>6126</v>
      </c>
      <c r="I693" s="23" t="s">
        <v>6100</v>
      </c>
      <c r="J693" s="24" t="s">
        <v>6160</v>
      </c>
      <c r="K693" s="23" t="s">
        <v>1095</v>
      </c>
      <c r="L693" s="24" t="s">
        <v>6161</v>
      </c>
      <c r="M693" s="24" t="s">
        <v>6162</v>
      </c>
      <c r="N693" s="23" t="s">
        <v>6163</v>
      </c>
      <c r="O693" s="24" t="s">
        <v>6164</v>
      </c>
      <c r="P693" s="24" t="s">
        <v>6106</v>
      </c>
      <c r="Q693" s="24" t="s">
        <v>6165</v>
      </c>
      <c r="R693" s="24"/>
      <c r="S693" s="24" t="s">
        <v>6134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140</v>
      </c>
      <c r="Y693" s="23" t="s">
        <v>140</v>
      </c>
      <c r="Z693" s="23" t="s">
        <v>140</v>
      </c>
      <c r="AA693" s="23" t="s">
        <v>140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</row>
    <row r="694" customFormat="false" ht="52.2" hidden="false" customHeight="false" outlineLevel="0" collapsed="false">
      <c r="A694" s="23" t="n">
        <v>693</v>
      </c>
      <c r="B694" s="30" t="s">
        <v>6166</v>
      </c>
      <c r="C694" s="20" t="n">
        <v>1</v>
      </c>
      <c r="D694" s="20" t="s">
        <v>4666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0" t="s">
        <v>6099</v>
      </c>
      <c r="H694" s="30" t="s">
        <v>6117</v>
      </c>
      <c r="I694" s="23" t="s">
        <v>6100</v>
      </c>
      <c r="J694" s="24" t="s">
        <v>6167</v>
      </c>
      <c r="K694" s="23" t="s">
        <v>1095</v>
      </c>
      <c r="L694" s="24" t="s">
        <v>6168</v>
      </c>
      <c r="M694" s="24" t="s">
        <v>6169</v>
      </c>
      <c r="N694" s="23" t="s">
        <v>6170</v>
      </c>
      <c r="O694" s="24" t="s">
        <v>6171</v>
      </c>
      <c r="P694" s="24" t="s">
        <v>6106</v>
      </c>
      <c r="Q694" s="24" t="s">
        <v>6172</v>
      </c>
      <c r="R694" s="25" t="s">
        <v>6173</v>
      </c>
      <c r="S694" s="28" t="s">
        <v>6174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140</v>
      </c>
      <c r="Y694" s="23" t="s">
        <v>140</v>
      </c>
      <c r="Z694" s="23" t="s">
        <v>140</v>
      </c>
      <c r="AA694" s="23" t="s">
        <v>140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</row>
    <row r="695" customFormat="false" ht="26.85" hidden="false" customHeight="false" outlineLevel="0" collapsed="false">
      <c r="A695" s="23" t="n">
        <v>694</v>
      </c>
      <c r="B695" s="30" t="s">
        <v>6175</v>
      </c>
      <c r="C695" s="23" t="n">
        <v>2</v>
      </c>
      <c r="D695" s="23" t="s">
        <v>4666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0" t="s">
        <v>6099</v>
      </c>
      <c r="H695" s="30" t="s">
        <v>6126</v>
      </c>
      <c r="I695" s="23" t="s">
        <v>6100</v>
      </c>
      <c r="J695" s="24" t="s">
        <v>6176</v>
      </c>
      <c r="K695" s="23" t="s">
        <v>1095</v>
      </c>
      <c r="L695" s="24" t="s">
        <v>6177</v>
      </c>
      <c r="M695" s="24" t="s">
        <v>6178</v>
      </c>
      <c r="N695" s="23" t="s">
        <v>6179</v>
      </c>
      <c r="O695" s="24" t="s">
        <v>6180</v>
      </c>
      <c r="P695" s="24" t="s">
        <v>6106</v>
      </c>
      <c r="Q695" s="24" t="s">
        <v>6181</v>
      </c>
      <c r="R695" s="25" t="s">
        <v>6182</v>
      </c>
      <c r="S695" s="24" t="s">
        <v>6183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140</v>
      </c>
      <c r="Y695" s="23" t="s">
        <v>140</v>
      </c>
      <c r="Z695" s="23" t="s">
        <v>140</v>
      </c>
      <c r="AA695" s="23" t="s">
        <v>140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</row>
    <row r="696" customFormat="false" ht="26.85" hidden="false" customHeight="false" outlineLevel="0" collapsed="false">
      <c r="A696" s="23" t="n">
        <v>695</v>
      </c>
      <c r="B696" s="30" t="s">
        <v>6184</v>
      </c>
      <c r="C696" s="23" t="n">
        <v>2</v>
      </c>
      <c r="D696" s="23" t="s">
        <v>4666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0" t="s">
        <v>6099</v>
      </c>
      <c r="H696" s="30" t="s">
        <v>6126</v>
      </c>
      <c r="I696" s="23" t="s">
        <v>6100</v>
      </c>
      <c r="J696" s="24" t="s">
        <v>6185</v>
      </c>
      <c r="K696" s="23" t="s">
        <v>1095</v>
      </c>
      <c r="L696" s="24" t="s">
        <v>6186</v>
      </c>
      <c r="M696" s="24" t="s">
        <v>6187</v>
      </c>
      <c r="N696" s="23" t="s">
        <v>6188</v>
      </c>
      <c r="O696" s="24" t="s">
        <v>6189</v>
      </c>
      <c r="P696" s="24" t="s">
        <v>6106</v>
      </c>
      <c r="Q696" s="24" t="s">
        <v>6190</v>
      </c>
      <c r="R696" s="24"/>
      <c r="S696" s="24" t="s">
        <v>6183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140</v>
      </c>
      <c r="Y696" s="23" t="s">
        <v>140</v>
      </c>
      <c r="Z696" s="23" t="s">
        <v>140</v>
      </c>
      <c r="AA696" s="23" t="s">
        <v>140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</row>
    <row r="697" customFormat="false" ht="26.85" hidden="false" customHeight="false" outlineLevel="0" collapsed="false">
      <c r="A697" s="23" t="n">
        <v>696</v>
      </c>
      <c r="B697" s="30" t="s">
        <v>6191</v>
      </c>
      <c r="C697" s="23" t="n">
        <v>2</v>
      </c>
      <c r="D697" s="23" t="s">
        <v>4666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0" t="s">
        <v>6099</v>
      </c>
      <c r="H697" s="30" t="s">
        <v>6126</v>
      </c>
      <c r="I697" s="23" t="s">
        <v>6100</v>
      </c>
      <c r="J697" s="24" t="s">
        <v>6192</v>
      </c>
      <c r="K697" s="23" t="s">
        <v>1095</v>
      </c>
      <c r="L697" s="24" t="s">
        <v>6193</v>
      </c>
      <c r="M697" s="24" t="s">
        <v>6194</v>
      </c>
      <c r="N697" s="23" t="s">
        <v>6195</v>
      </c>
      <c r="O697" s="24" t="s">
        <v>6196</v>
      </c>
      <c r="P697" s="24" t="s">
        <v>6106</v>
      </c>
      <c r="Q697" s="24" t="s">
        <v>6197</v>
      </c>
      <c r="R697" s="24"/>
      <c r="S697" s="24" t="s">
        <v>6183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140</v>
      </c>
      <c r="Y697" s="23" t="s">
        <v>140</v>
      </c>
      <c r="Z697" s="23" t="s">
        <v>140</v>
      </c>
      <c r="AA697" s="23" t="s">
        <v>140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</row>
    <row r="698" customFormat="false" ht="26.85" hidden="false" customHeight="false" outlineLevel="0" collapsed="false">
      <c r="A698" s="23" t="n">
        <v>697</v>
      </c>
      <c r="B698" s="30" t="s">
        <v>6198</v>
      </c>
      <c r="C698" s="23" t="n">
        <v>2</v>
      </c>
      <c r="D698" s="23" t="s">
        <v>4666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0" t="s">
        <v>6099</v>
      </c>
      <c r="H698" s="30" t="s">
        <v>6126</v>
      </c>
      <c r="I698" s="23" t="s">
        <v>6100</v>
      </c>
      <c r="J698" s="24" t="s">
        <v>6199</v>
      </c>
      <c r="K698" s="23" t="s">
        <v>1095</v>
      </c>
      <c r="L698" s="24" t="s">
        <v>6200</v>
      </c>
      <c r="M698" s="24" t="s">
        <v>6201</v>
      </c>
      <c r="N698" s="23" t="s">
        <v>6202</v>
      </c>
      <c r="O698" s="24" t="s">
        <v>6203</v>
      </c>
      <c r="P698" s="24" t="s">
        <v>6204</v>
      </c>
      <c r="Q698" s="24" t="s">
        <v>6205</v>
      </c>
      <c r="R698" s="24"/>
      <c r="S698" s="24" t="s">
        <v>6183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140</v>
      </c>
      <c r="Y698" s="23" t="s">
        <v>140</v>
      </c>
      <c r="Z698" s="23" t="s">
        <v>140</v>
      </c>
      <c r="AA698" s="23" t="s">
        <v>140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</row>
    <row r="699" customFormat="false" ht="26.85" hidden="false" customHeight="false" outlineLevel="0" collapsed="false">
      <c r="A699" s="23" t="n">
        <v>698</v>
      </c>
      <c r="B699" s="30" t="s">
        <v>6206</v>
      </c>
      <c r="C699" s="23" t="n">
        <v>2</v>
      </c>
      <c r="D699" s="23" t="s">
        <v>4666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0" t="s">
        <v>6207</v>
      </c>
      <c r="H699" s="30" t="s">
        <v>6208</v>
      </c>
      <c r="I699" s="23" t="s">
        <v>6209</v>
      </c>
      <c r="J699" s="24" t="s">
        <v>6210</v>
      </c>
      <c r="K699" s="23" t="s">
        <v>1095</v>
      </c>
      <c r="L699" s="24" t="s">
        <v>6211</v>
      </c>
      <c r="M699" s="24" t="s">
        <v>6212</v>
      </c>
      <c r="N699" s="23" t="s">
        <v>6213</v>
      </c>
      <c r="O699" s="24" t="s">
        <v>6214</v>
      </c>
      <c r="P699" s="24" t="s">
        <v>6106</v>
      </c>
      <c r="Q699" s="24" t="s">
        <v>6215</v>
      </c>
      <c r="R699" s="24"/>
      <c r="S699" s="24" t="s">
        <v>6183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140</v>
      </c>
      <c r="Y699" s="23" t="s">
        <v>140</v>
      </c>
      <c r="Z699" s="23" t="s">
        <v>140</v>
      </c>
      <c r="AA699" s="23" t="s">
        <v>140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</row>
    <row r="700" customFormat="false" ht="26.85" hidden="false" customHeight="false" outlineLevel="0" collapsed="false">
      <c r="A700" s="23" t="n">
        <v>699</v>
      </c>
      <c r="B700" s="30" t="s">
        <v>6216</v>
      </c>
      <c r="C700" s="23" t="n">
        <v>2</v>
      </c>
      <c r="D700" s="23" t="s">
        <v>4666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0" t="s">
        <v>6207</v>
      </c>
      <c r="H700" s="30" t="s">
        <v>6208</v>
      </c>
      <c r="I700" s="23" t="s">
        <v>6209</v>
      </c>
      <c r="J700" s="24" t="s">
        <v>6217</v>
      </c>
      <c r="K700" s="23" t="s">
        <v>1095</v>
      </c>
      <c r="L700" s="24" t="s">
        <v>6218</v>
      </c>
      <c r="M700" s="24" t="s">
        <v>6219</v>
      </c>
      <c r="N700" s="23" t="s">
        <v>6220</v>
      </c>
      <c r="O700" s="24" t="s">
        <v>6221</v>
      </c>
      <c r="P700" s="24" t="s">
        <v>6222</v>
      </c>
      <c r="Q700" s="24" t="s">
        <v>6223</v>
      </c>
      <c r="R700" s="25" t="s">
        <v>6224</v>
      </c>
      <c r="S700" s="24" t="s">
        <v>6183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140</v>
      </c>
      <c r="Y700" s="23" t="s">
        <v>140</v>
      </c>
      <c r="Z700" s="23" t="s">
        <v>140</v>
      </c>
      <c r="AA700" s="23" t="s">
        <v>140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</row>
    <row r="701" customFormat="false" ht="26.85" hidden="false" customHeight="false" outlineLevel="0" collapsed="false">
      <c r="A701" s="23" t="n">
        <v>700</v>
      </c>
      <c r="B701" s="30" t="s">
        <v>6225</v>
      </c>
      <c r="C701" s="23" t="n">
        <v>2</v>
      </c>
      <c r="D701" s="23" t="s">
        <v>4666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0" t="s">
        <v>6207</v>
      </c>
      <c r="H701" s="30" t="s">
        <v>6208</v>
      </c>
      <c r="I701" s="23" t="s">
        <v>6209</v>
      </c>
      <c r="J701" s="24" t="s">
        <v>6226</v>
      </c>
      <c r="K701" s="23" t="s">
        <v>1095</v>
      </c>
      <c r="L701" s="24" t="s">
        <v>6227</v>
      </c>
      <c r="M701" s="24" t="s">
        <v>6228</v>
      </c>
      <c r="N701" s="23" t="s">
        <v>6229</v>
      </c>
      <c r="O701" s="24" t="s">
        <v>6230</v>
      </c>
      <c r="P701" s="24" t="s">
        <v>6106</v>
      </c>
      <c r="Q701" s="24" t="s">
        <v>6231</v>
      </c>
      <c r="R701" s="25" t="s">
        <v>6232</v>
      </c>
      <c r="S701" s="24" t="s">
        <v>6183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140</v>
      </c>
      <c r="Y701" s="23" t="s">
        <v>140</v>
      </c>
      <c r="Z701" s="23" t="s">
        <v>140</v>
      </c>
      <c r="AA701" s="23" t="s">
        <v>140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</row>
    <row r="702" customFormat="false" ht="26.85" hidden="false" customHeight="false" outlineLevel="0" collapsed="false">
      <c r="A702" s="23" t="n">
        <v>701</v>
      </c>
      <c r="B702" s="30" t="s">
        <v>6233</v>
      </c>
      <c r="C702" s="23" t="n">
        <v>2</v>
      </c>
      <c r="D702" s="23" t="s">
        <v>4666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0" t="s">
        <v>6207</v>
      </c>
      <c r="H702" s="30" t="s">
        <v>6208</v>
      </c>
      <c r="I702" s="23" t="s">
        <v>6209</v>
      </c>
      <c r="J702" s="24" t="s">
        <v>6234</v>
      </c>
      <c r="K702" s="23" t="s">
        <v>1095</v>
      </c>
      <c r="L702" s="24" t="s">
        <v>6235</v>
      </c>
      <c r="M702" s="24" t="s">
        <v>6236</v>
      </c>
      <c r="N702" s="23" t="s">
        <v>6237</v>
      </c>
      <c r="O702" s="24" t="s">
        <v>6238</v>
      </c>
      <c r="P702" s="24" t="s">
        <v>6106</v>
      </c>
      <c r="Q702" s="24" t="s">
        <v>6239</v>
      </c>
      <c r="R702" s="24"/>
      <c r="S702" s="24" t="s">
        <v>6183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140</v>
      </c>
      <c r="Y702" s="23" t="s">
        <v>140</v>
      </c>
      <c r="Z702" s="23" t="s">
        <v>140</v>
      </c>
      <c r="AA702" s="23" t="s">
        <v>140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</row>
    <row r="703" customFormat="false" ht="26.85" hidden="false" customHeight="false" outlineLevel="0" collapsed="false">
      <c r="A703" s="23" t="n">
        <v>702</v>
      </c>
      <c r="B703" s="30" t="s">
        <v>6240</v>
      </c>
      <c r="C703" s="23" t="n">
        <v>2</v>
      </c>
      <c r="D703" s="23" t="s">
        <v>4666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0" t="s">
        <v>6207</v>
      </c>
      <c r="H703" s="30" t="s">
        <v>6208</v>
      </c>
      <c r="I703" s="23" t="s">
        <v>6209</v>
      </c>
      <c r="J703" s="24" t="s">
        <v>6241</v>
      </c>
      <c r="K703" s="23" t="s">
        <v>1095</v>
      </c>
      <c r="L703" s="24" t="s">
        <v>6242</v>
      </c>
      <c r="M703" s="24" t="s">
        <v>6243</v>
      </c>
      <c r="N703" s="23" t="s">
        <v>6244</v>
      </c>
      <c r="O703" s="24" t="s">
        <v>6245</v>
      </c>
      <c r="P703" s="24" t="s">
        <v>6106</v>
      </c>
      <c r="Q703" s="24" t="s">
        <v>6246</v>
      </c>
      <c r="R703" s="24"/>
      <c r="S703" s="24" t="s">
        <v>6183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140</v>
      </c>
      <c r="Y703" s="23" t="s">
        <v>140</v>
      </c>
      <c r="Z703" s="23" t="s">
        <v>140</v>
      </c>
      <c r="AA703" s="23" t="s">
        <v>140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</row>
    <row r="704" customFormat="false" ht="26.85" hidden="false" customHeight="false" outlineLevel="0" collapsed="false">
      <c r="A704" s="23" t="n">
        <v>703</v>
      </c>
      <c r="B704" s="30" t="s">
        <v>6247</v>
      </c>
      <c r="C704" s="23" t="n">
        <v>2</v>
      </c>
      <c r="D704" s="23" t="s">
        <v>4666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0" t="s">
        <v>6207</v>
      </c>
      <c r="H704" s="30" t="s">
        <v>6208</v>
      </c>
      <c r="I704" s="23" t="s">
        <v>6209</v>
      </c>
      <c r="J704" s="24" t="s">
        <v>6248</v>
      </c>
      <c r="K704" s="23" t="s">
        <v>1095</v>
      </c>
      <c r="L704" s="24" t="s">
        <v>6249</v>
      </c>
      <c r="M704" s="24" t="s">
        <v>6250</v>
      </c>
      <c r="N704" s="23" t="s">
        <v>6251</v>
      </c>
      <c r="O704" s="24" t="s">
        <v>6252</v>
      </c>
      <c r="P704" s="24" t="s">
        <v>6253</v>
      </c>
      <c r="Q704" s="24" t="s">
        <v>6254</v>
      </c>
      <c r="R704" s="25" t="s">
        <v>6255</v>
      </c>
      <c r="S704" s="24" t="s">
        <v>6183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140</v>
      </c>
      <c r="Y704" s="23" t="s">
        <v>140</v>
      </c>
      <c r="Z704" s="23" t="s">
        <v>140</v>
      </c>
      <c r="AA704" s="23" t="s">
        <v>140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</row>
    <row r="705" customFormat="false" ht="26.85" hidden="false" customHeight="false" outlineLevel="0" collapsed="false">
      <c r="A705" s="23" t="n">
        <v>704</v>
      </c>
      <c r="B705" s="30" t="s">
        <v>6256</v>
      </c>
      <c r="C705" s="23" t="n">
        <v>2</v>
      </c>
      <c r="D705" s="23" t="s">
        <v>4666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0" t="s">
        <v>6207</v>
      </c>
      <c r="H705" s="30" t="s">
        <v>6208</v>
      </c>
      <c r="I705" s="23" t="s">
        <v>6209</v>
      </c>
      <c r="J705" s="24" t="s">
        <v>6257</v>
      </c>
      <c r="K705" s="23" t="s">
        <v>1095</v>
      </c>
      <c r="L705" s="24" t="s">
        <v>6258</v>
      </c>
      <c r="M705" s="24" t="s">
        <v>6259</v>
      </c>
      <c r="N705" s="23" t="s">
        <v>6260</v>
      </c>
      <c r="O705" s="24" t="s">
        <v>6261</v>
      </c>
      <c r="P705" s="24" t="s">
        <v>6106</v>
      </c>
      <c r="Q705" s="24" t="s">
        <v>6262</v>
      </c>
      <c r="R705" s="25" t="s">
        <v>6263</v>
      </c>
      <c r="S705" s="24" t="s">
        <v>6183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140</v>
      </c>
      <c r="Y705" s="23" t="s">
        <v>140</v>
      </c>
      <c r="Z705" s="23" t="s">
        <v>140</v>
      </c>
      <c r="AA705" s="23" t="s">
        <v>140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</row>
    <row r="706" customFormat="false" ht="52.2" hidden="false" customHeight="false" outlineLevel="0" collapsed="false">
      <c r="A706" s="23" t="n">
        <v>705</v>
      </c>
      <c r="B706" s="30" t="s">
        <v>6264</v>
      </c>
      <c r="C706" s="20" t="n">
        <v>1</v>
      </c>
      <c r="D706" s="20" t="s">
        <v>4666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0" t="s">
        <v>6207</v>
      </c>
      <c r="H706" s="30" t="s">
        <v>6117</v>
      </c>
      <c r="I706" s="23" t="s">
        <v>6209</v>
      </c>
      <c r="J706" s="24" t="s">
        <v>6265</v>
      </c>
      <c r="K706" s="23" t="s">
        <v>1095</v>
      </c>
      <c r="L706" s="24" t="s">
        <v>6266</v>
      </c>
      <c r="M706" s="24" t="s">
        <v>6267</v>
      </c>
      <c r="N706" s="23" t="s">
        <v>6268</v>
      </c>
      <c r="O706" s="24" t="s">
        <v>6269</v>
      </c>
      <c r="P706" s="24" t="s">
        <v>6106</v>
      </c>
      <c r="Q706" s="24" t="s">
        <v>6270</v>
      </c>
      <c r="R706" s="25" t="s">
        <v>6271</v>
      </c>
      <c r="S706" s="28" t="s">
        <v>6272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140</v>
      </c>
      <c r="Y706" s="23" t="s">
        <v>140</v>
      </c>
      <c r="Z706" s="23" t="s">
        <v>140</v>
      </c>
      <c r="AA706" s="23" t="s">
        <v>140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</row>
    <row r="707" customFormat="false" ht="26.85" hidden="false" customHeight="false" outlineLevel="0" collapsed="false">
      <c r="A707" s="23" t="n">
        <v>706</v>
      </c>
      <c r="B707" s="30" t="s">
        <v>6273</v>
      </c>
      <c r="C707" s="23" t="n">
        <v>2</v>
      </c>
      <c r="D707" s="23" t="s">
        <v>4666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0" t="s">
        <v>6207</v>
      </c>
      <c r="H707" s="30" t="s">
        <v>6208</v>
      </c>
      <c r="I707" s="23" t="s">
        <v>6209</v>
      </c>
      <c r="J707" s="24" t="s">
        <v>6274</v>
      </c>
      <c r="K707" s="23" t="s">
        <v>1095</v>
      </c>
      <c r="L707" s="24" t="s">
        <v>6275</v>
      </c>
      <c r="M707" s="24" t="s">
        <v>6276</v>
      </c>
      <c r="N707" s="23" t="s">
        <v>6277</v>
      </c>
      <c r="O707" s="24" t="s">
        <v>6278</v>
      </c>
      <c r="P707" s="24" t="s">
        <v>6106</v>
      </c>
      <c r="Q707" s="24" t="s">
        <v>6279</v>
      </c>
      <c r="R707" s="25" t="s">
        <v>6280</v>
      </c>
      <c r="S707" s="24" t="s">
        <v>6281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140</v>
      </c>
      <c r="Y707" s="23" t="s">
        <v>140</v>
      </c>
      <c r="Z707" s="23" t="s">
        <v>140</v>
      </c>
      <c r="AA707" s="23" t="s">
        <v>140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</row>
    <row r="708" customFormat="false" ht="39.55" hidden="false" customHeight="false" outlineLevel="0" collapsed="false">
      <c r="A708" s="23" t="n">
        <v>707</v>
      </c>
      <c r="B708" s="30" t="s">
        <v>6282</v>
      </c>
      <c r="C708" s="20" t="n">
        <v>1</v>
      </c>
      <c r="D708" s="20" t="s">
        <v>4666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0" t="s">
        <v>6207</v>
      </c>
      <c r="H708" s="30" t="s">
        <v>6117</v>
      </c>
      <c r="I708" s="23" t="s">
        <v>6209</v>
      </c>
      <c r="J708" s="24" t="s">
        <v>6283</v>
      </c>
      <c r="K708" s="23" t="s">
        <v>1095</v>
      </c>
      <c r="L708" s="24" t="s">
        <v>6284</v>
      </c>
      <c r="M708" s="24" t="s">
        <v>6285</v>
      </c>
      <c r="N708" s="23" t="s">
        <v>6286</v>
      </c>
      <c r="O708" s="24" t="s">
        <v>6287</v>
      </c>
      <c r="P708" s="24" t="s">
        <v>6288</v>
      </c>
      <c r="Q708" s="24" t="s">
        <v>6289</v>
      </c>
      <c r="R708" s="25" t="s">
        <v>6290</v>
      </c>
      <c r="S708" s="28" t="s">
        <v>6291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140</v>
      </c>
      <c r="Y708" s="23" t="s">
        <v>140</v>
      </c>
      <c r="Z708" s="23" t="s">
        <v>140</v>
      </c>
      <c r="AA708" s="23" t="s">
        <v>140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</row>
    <row r="709" customFormat="false" ht="26.85" hidden="false" customHeight="false" outlineLevel="0" collapsed="false">
      <c r="A709" s="23" t="n">
        <v>708</v>
      </c>
      <c r="B709" s="30" t="s">
        <v>6292</v>
      </c>
      <c r="C709" s="23" t="n">
        <v>2</v>
      </c>
      <c r="D709" s="23" t="s">
        <v>4666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0" t="s">
        <v>6293</v>
      </c>
      <c r="H709" s="30" t="s">
        <v>6294</v>
      </c>
      <c r="I709" s="23" t="s">
        <v>6295</v>
      </c>
      <c r="J709" s="24" t="s">
        <v>6296</v>
      </c>
      <c r="K709" s="23" t="s">
        <v>1095</v>
      </c>
      <c r="L709" s="24" t="s">
        <v>6297</v>
      </c>
      <c r="M709" s="24" t="s">
        <v>6298</v>
      </c>
      <c r="N709" s="23" t="s">
        <v>6299</v>
      </c>
      <c r="O709" s="24" t="s">
        <v>6300</v>
      </c>
      <c r="P709" s="24" t="s">
        <v>6106</v>
      </c>
      <c r="Q709" s="24" t="s">
        <v>6301</v>
      </c>
      <c r="R709" s="24"/>
      <c r="S709" s="24" t="s">
        <v>6302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140</v>
      </c>
      <c r="Y709" s="23" t="s">
        <v>140</v>
      </c>
      <c r="Z709" s="23" t="s">
        <v>140</v>
      </c>
      <c r="AA709" s="23" t="s">
        <v>140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</row>
    <row r="710" customFormat="false" ht="26.85" hidden="false" customHeight="false" outlineLevel="0" collapsed="false">
      <c r="A710" s="23" t="n">
        <v>709</v>
      </c>
      <c r="B710" s="30" t="s">
        <v>6303</v>
      </c>
      <c r="C710" s="23" t="n">
        <v>2</v>
      </c>
      <c r="D710" s="23" t="s">
        <v>4666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0" t="s">
        <v>6293</v>
      </c>
      <c r="H710" s="30" t="s">
        <v>6294</v>
      </c>
      <c r="I710" s="23" t="s">
        <v>6295</v>
      </c>
      <c r="J710" s="24" t="s">
        <v>6304</v>
      </c>
      <c r="K710" s="23" t="s">
        <v>1095</v>
      </c>
      <c r="L710" s="24" t="s">
        <v>6305</v>
      </c>
      <c r="M710" s="24" t="s">
        <v>6306</v>
      </c>
      <c r="N710" s="23" t="s">
        <v>6307</v>
      </c>
      <c r="O710" s="24" t="s">
        <v>6308</v>
      </c>
      <c r="P710" s="24" t="s">
        <v>6106</v>
      </c>
      <c r="Q710" s="24" t="s">
        <v>6309</v>
      </c>
      <c r="R710" s="24"/>
      <c r="S710" s="24" t="s">
        <v>6302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140</v>
      </c>
      <c r="Y710" s="23" t="s">
        <v>140</v>
      </c>
      <c r="Z710" s="23" t="s">
        <v>140</v>
      </c>
      <c r="AA710" s="23" t="s">
        <v>140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</row>
    <row r="711" customFormat="false" ht="26.85" hidden="false" customHeight="false" outlineLevel="0" collapsed="false">
      <c r="A711" s="23" t="n">
        <v>710</v>
      </c>
      <c r="B711" s="30" t="s">
        <v>6310</v>
      </c>
      <c r="C711" s="23" t="n">
        <v>2</v>
      </c>
      <c r="D711" s="23" t="s">
        <v>4666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0" t="s">
        <v>6293</v>
      </c>
      <c r="H711" s="30" t="s">
        <v>6294</v>
      </c>
      <c r="I711" s="23" t="s">
        <v>6295</v>
      </c>
      <c r="J711" s="24" t="s">
        <v>6311</v>
      </c>
      <c r="K711" s="23" t="s">
        <v>1095</v>
      </c>
      <c r="L711" s="24" t="s">
        <v>6312</v>
      </c>
      <c r="M711" s="24" t="s">
        <v>6313</v>
      </c>
      <c r="N711" s="23" t="s">
        <v>6314</v>
      </c>
      <c r="O711" s="24" t="s">
        <v>6315</v>
      </c>
      <c r="P711" s="24" t="s">
        <v>6106</v>
      </c>
      <c r="Q711" s="24" t="s">
        <v>6316</v>
      </c>
      <c r="R711" s="24"/>
      <c r="S711" s="24" t="s">
        <v>6302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140</v>
      </c>
      <c r="Y711" s="23" t="s">
        <v>140</v>
      </c>
      <c r="Z711" s="23" t="s">
        <v>140</v>
      </c>
      <c r="AA711" s="23" t="s">
        <v>140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</row>
    <row r="712" customFormat="false" ht="26.85" hidden="false" customHeight="false" outlineLevel="0" collapsed="false">
      <c r="A712" s="23" t="n">
        <v>711</v>
      </c>
      <c r="B712" s="30" t="s">
        <v>6317</v>
      </c>
      <c r="C712" s="23" t="n">
        <v>2</v>
      </c>
      <c r="D712" s="23" t="s">
        <v>4666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0" t="s">
        <v>6293</v>
      </c>
      <c r="H712" s="30" t="s">
        <v>6294</v>
      </c>
      <c r="I712" s="23" t="s">
        <v>6295</v>
      </c>
      <c r="J712" s="24" t="s">
        <v>6318</v>
      </c>
      <c r="K712" s="23" t="s">
        <v>1095</v>
      </c>
      <c r="L712" s="24" t="s">
        <v>6319</v>
      </c>
      <c r="M712" s="24" t="s">
        <v>6320</v>
      </c>
      <c r="N712" s="23" t="s">
        <v>6321</v>
      </c>
      <c r="O712" s="24" t="s">
        <v>6322</v>
      </c>
      <c r="P712" s="24" t="s">
        <v>6106</v>
      </c>
      <c r="Q712" s="24" t="s">
        <v>6323</v>
      </c>
      <c r="R712" s="24"/>
      <c r="S712" s="24" t="s">
        <v>6302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140</v>
      </c>
      <c r="Y712" s="23" t="s">
        <v>140</v>
      </c>
      <c r="Z712" s="23" t="s">
        <v>140</v>
      </c>
      <c r="AA712" s="23" t="s">
        <v>140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</row>
    <row r="713" customFormat="false" ht="26.85" hidden="false" customHeight="false" outlineLevel="0" collapsed="false">
      <c r="A713" s="23" t="n">
        <v>712</v>
      </c>
      <c r="B713" s="30" t="s">
        <v>6324</v>
      </c>
      <c r="C713" s="23" t="n">
        <v>2</v>
      </c>
      <c r="D713" s="23" t="s">
        <v>4666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0" t="s">
        <v>6293</v>
      </c>
      <c r="H713" s="30" t="s">
        <v>6294</v>
      </c>
      <c r="I713" s="23" t="s">
        <v>6295</v>
      </c>
      <c r="J713" s="24" t="s">
        <v>6325</v>
      </c>
      <c r="K713" s="23" t="s">
        <v>1095</v>
      </c>
      <c r="L713" s="24" t="s">
        <v>6326</v>
      </c>
      <c r="M713" s="24" t="s">
        <v>6327</v>
      </c>
      <c r="N713" s="23" t="s">
        <v>6328</v>
      </c>
      <c r="O713" s="24" t="s">
        <v>6329</v>
      </c>
      <c r="P713" s="24" t="s">
        <v>6330</v>
      </c>
      <c r="Q713" s="24" t="s">
        <v>6331</v>
      </c>
      <c r="R713" s="25" t="s">
        <v>6332</v>
      </c>
      <c r="S713" s="24" t="s">
        <v>6302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140</v>
      </c>
      <c r="Y713" s="23" t="s">
        <v>140</v>
      </c>
      <c r="Z713" s="23" t="s">
        <v>140</v>
      </c>
      <c r="AA713" s="23" t="s">
        <v>140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</row>
    <row r="714" customFormat="false" ht="26.85" hidden="false" customHeight="false" outlineLevel="0" collapsed="false">
      <c r="A714" s="23" t="n">
        <v>713</v>
      </c>
      <c r="B714" s="30" t="s">
        <v>6333</v>
      </c>
      <c r="C714" s="23" t="n">
        <v>2</v>
      </c>
      <c r="D714" s="23" t="s">
        <v>4666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0" t="s">
        <v>6293</v>
      </c>
      <c r="H714" s="30" t="s">
        <v>6294</v>
      </c>
      <c r="I714" s="23" t="s">
        <v>6295</v>
      </c>
      <c r="J714" s="24" t="s">
        <v>6334</v>
      </c>
      <c r="K714" s="23" t="s">
        <v>1095</v>
      </c>
      <c r="L714" s="24" t="s">
        <v>6335</v>
      </c>
      <c r="M714" s="24" t="s">
        <v>6336</v>
      </c>
      <c r="N714" s="23" t="s">
        <v>6337</v>
      </c>
      <c r="O714" s="24" t="s">
        <v>6338</v>
      </c>
      <c r="P714" s="24" t="s">
        <v>6106</v>
      </c>
      <c r="Q714" s="24" t="s">
        <v>6339</v>
      </c>
      <c r="R714" s="24"/>
      <c r="S714" s="24" t="s">
        <v>6302</v>
      </c>
      <c r="T714" s="24" t="str">
        <f aca="false">"["&amp;안내!$C$5&amp;" "&amp;F714&amp;"] "&amp;L714&amp;" | "&amp;J714</f>
        <v>[1분 성경 신약 #202] 내 은혜가 네게 족하도다 | 고후 10:1-13:14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140</v>
      </c>
      <c r="Y714" s="23" t="s">
        <v>140</v>
      </c>
      <c r="Z714" s="23" t="s">
        <v>140</v>
      </c>
      <c r="AA714" s="23" t="s">
        <v>140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</row>
    <row r="715" customFormat="false" ht="25.35" hidden="false" customHeight="false" outlineLevel="0" collapsed="false">
      <c r="A715" s="23" t="n">
        <v>714</v>
      </c>
      <c r="B715" s="30" t="s">
        <v>6340</v>
      </c>
      <c r="C715" s="23" t="n">
        <v>2</v>
      </c>
      <c r="D715" s="23" t="s">
        <v>4666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0" t="s">
        <v>6293</v>
      </c>
      <c r="H715" s="30" t="s">
        <v>6294</v>
      </c>
      <c r="I715" s="23" t="s">
        <v>6341</v>
      </c>
      <c r="J715" s="24" t="s">
        <v>6342</v>
      </c>
      <c r="K715" s="23" t="s">
        <v>1095</v>
      </c>
      <c r="L715" s="24" t="s">
        <v>6343</v>
      </c>
      <c r="M715" s="24" t="s">
        <v>6344</v>
      </c>
      <c r="N715" s="23" t="s">
        <v>6345</v>
      </c>
      <c r="O715" s="24" t="s">
        <v>6346</v>
      </c>
      <c r="P715" s="24" t="s">
        <v>6347</v>
      </c>
      <c r="Q715" s="24" t="s">
        <v>6348</v>
      </c>
      <c r="R715" s="27" t="s">
        <v>6349</v>
      </c>
      <c r="S715" s="24" t="s">
        <v>6302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140</v>
      </c>
      <c r="Y715" s="23" t="s">
        <v>140</v>
      </c>
      <c r="Z715" s="23" t="s">
        <v>140</v>
      </c>
      <c r="AA715" s="23" t="s">
        <v>140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</row>
    <row r="716" customFormat="false" ht="26.85" hidden="false" customHeight="false" outlineLevel="0" collapsed="false">
      <c r="A716" s="23" t="n">
        <v>715</v>
      </c>
      <c r="B716" s="30" t="s">
        <v>6350</v>
      </c>
      <c r="C716" s="23" t="n">
        <v>2</v>
      </c>
      <c r="D716" s="23" t="s">
        <v>4666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0" t="s">
        <v>6293</v>
      </c>
      <c r="H716" s="30" t="s">
        <v>6294</v>
      </c>
      <c r="I716" s="23" t="s">
        <v>6341</v>
      </c>
      <c r="J716" s="24" t="s">
        <v>6351</v>
      </c>
      <c r="K716" s="23" t="s">
        <v>1095</v>
      </c>
      <c r="L716" s="24" t="s">
        <v>6352</v>
      </c>
      <c r="M716" s="24" t="s">
        <v>6353</v>
      </c>
      <c r="N716" s="23" t="s">
        <v>6354</v>
      </c>
      <c r="O716" s="24" t="s">
        <v>6355</v>
      </c>
      <c r="P716" s="24" t="s">
        <v>6106</v>
      </c>
      <c r="Q716" s="24" t="s">
        <v>6356</v>
      </c>
      <c r="R716" s="25" t="s">
        <v>6357</v>
      </c>
      <c r="S716" s="24" t="s">
        <v>6302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140</v>
      </c>
      <c r="Y716" s="23" t="s">
        <v>140</v>
      </c>
      <c r="Z716" s="23" t="s">
        <v>140</v>
      </c>
      <c r="AA716" s="23" t="s">
        <v>140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</row>
    <row r="717" customFormat="false" ht="26.85" hidden="false" customHeight="false" outlineLevel="0" collapsed="false">
      <c r="A717" s="23" t="n">
        <v>716</v>
      </c>
      <c r="B717" s="30" t="s">
        <v>6358</v>
      </c>
      <c r="C717" s="23" t="n">
        <v>2</v>
      </c>
      <c r="D717" s="23" t="s">
        <v>4666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0" t="s">
        <v>6293</v>
      </c>
      <c r="H717" s="30" t="s">
        <v>6294</v>
      </c>
      <c r="I717" s="23" t="s">
        <v>6341</v>
      </c>
      <c r="J717" s="24" t="s">
        <v>6359</v>
      </c>
      <c r="K717" s="23" t="s">
        <v>1095</v>
      </c>
      <c r="L717" s="24" t="s">
        <v>6360</v>
      </c>
      <c r="M717" s="24" t="s">
        <v>6361</v>
      </c>
      <c r="N717" s="23" t="s">
        <v>6362</v>
      </c>
      <c r="O717" s="24" t="s">
        <v>6363</v>
      </c>
      <c r="P717" s="24" t="s">
        <v>6106</v>
      </c>
      <c r="Q717" s="24" t="s">
        <v>6364</v>
      </c>
      <c r="R717" s="24"/>
      <c r="S717" s="24" t="s">
        <v>6302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140</v>
      </c>
      <c r="Y717" s="23" t="s">
        <v>140</v>
      </c>
      <c r="Z717" s="23" t="s">
        <v>140</v>
      </c>
      <c r="AA717" s="23" t="s">
        <v>140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</row>
    <row r="718" customFormat="false" ht="52.2" hidden="false" customHeight="false" outlineLevel="0" collapsed="false">
      <c r="A718" s="23" t="n">
        <v>717</v>
      </c>
      <c r="B718" s="30" t="s">
        <v>6365</v>
      </c>
      <c r="C718" s="20" t="n">
        <v>1</v>
      </c>
      <c r="D718" s="20" t="s">
        <v>4666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0" t="s">
        <v>6293</v>
      </c>
      <c r="H718" s="30" t="s">
        <v>6117</v>
      </c>
      <c r="I718" s="23" t="s">
        <v>6341</v>
      </c>
      <c r="J718" s="24" t="s">
        <v>6366</v>
      </c>
      <c r="K718" s="23" t="s">
        <v>1095</v>
      </c>
      <c r="L718" s="24" t="s">
        <v>6367</v>
      </c>
      <c r="M718" s="24" t="s">
        <v>6368</v>
      </c>
      <c r="N718" s="23" t="s">
        <v>6369</v>
      </c>
      <c r="O718" s="24" t="s">
        <v>6370</v>
      </c>
      <c r="P718" s="24" t="s">
        <v>6106</v>
      </c>
      <c r="Q718" s="24" t="s">
        <v>6371</v>
      </c>
      <c r="R718" s="24"/>
      <c r="S718" s="28" t="s">
        <v>6372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140</v>
      </c>
      <c r="Y718" s="23" t="s">
        <v>140</v>
      </c>
      <c r="Z718" s="23" t="s">
        <v>140</v>
      </c>
      <c r="AA718" s="23" t="s">
        <v>140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</row>
    <row r="719" customFormat="false" ht="26.85" hidden="false" customHeight="false" outlineLevel="0" collapsed="false">
      <c r="A719" s="23" t="n">
        <v>718</v>
      </c>
      <c r="B719" s="30" t="s">
        <v>6373</v>
      </c>
      <c r="C719" s="23" t="n">
        <v>2</v>
      </c>
      <c r="D719" s="23" t="s">
        <v>4666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0" t="s">
        <v>6293</v>
      </c>
      <c r="H719" s="30" t="s">
        <v>6294</v>
      </c>
      <c r="I719" s="23" t="s">
        <v>6341</v>
      </c>
      <c r="J719" s="24" t="s">
        <v>6374</v>
      </c>
      <c r="K719" s="23" t="s">
        <v>1095</v>
      </c>
      <c r="L719" s="24" t="s">
        <v>6375</v>
      </c>
      <c r="M719" s="24" t="s">
        <v>6376</v>
      </c>
      <c r="N719" s="23" t="s">
        <v>6377</v>
      </c>
      <c r="O719" s="24" t="s">
        <v>6378</v>
      </c>
      <c r="P719" s="24" t="s">
        <v>6106</v>
      </c>
      <c r="Q719" s="24" t="s">
        <v>6379</v>
      </c>
      <c r="R719" s="24"/>
      <c r="S719" s="24" t="s">
        <v>6380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140</v>
      </c>
      <c r="Y719" s="23" t="s">
        <v>140</v>
      </c>
      <c r="Z719" s="23" t="s">
        <v>140</v>
      </c>
      <c r="AA719" s="23" t="s">
        <v>140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</row>
    <row r="720" customFormat="false" ht="26.85" hidden="false" customHeight="false" outlineLevel="0" collapsed="false">
      <c r="A720" s="23" t="n">
        <v>719</v>
      </c>
      <c r="B720" s="30" t="s">
        <v>6381</v>
      </c>
      <c r="C720" s="23" t="n">
        <v>2</v>
      </c>
      <c r="D720" s="23" t="s">
        <v>4666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0" t="s">
        <v>6382</v>
      </c>
      <c r="H720" s="30" t="s">
        <v>6383</v>
      </c>
      <c r="I720" s="23" t="s">
        <v>6384</v>
      </c>
      <c r="J720" s="24" t="s">
        <v>6385</v>
      </c>
      <c r="K720" s="23" t="s">
        <v>1095</v>
      </c>
      <c r="L720" s="24" t="s">
        <v>6386</v>
      </c>
      <c r="M720" s="24" t="s">
        <v>6387</v>
      </c>
      <c r="N720" s="23" t="s">
        <v>6388</v>
      </c>
      <c r="O720" s="24" t="s">
        <v>6389</v>
      </c>
      <c r="P720" s="24" t="s">
        <v>6106</v>
      </c>
      <c r="Q720" s="24" t="s">
        <v>6390</v>
      </c>
      <c r="R720" s="25" t="s">
        <v>6391</v>
      </c>
      <c r="S720" s="24" t="s">
        <v>6380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140</v>
      </c>
      <c r="Y720" s="23" t="s">
        <v>140</v>
      </c>
      <c r="Z720" s="23" t="s">
        <v>140</v>
      </c>
      <c r="AA720" s="23" t="s">
        <v>140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</row>
    <row r="721" customFormat="false" ht="39.55" hidden="false" customHeight="false" outlineLevel="0" collapsed="false">
      <c r="A721" s="23" t="n">
        <v>720</v>
      </c>
      <c r="B721" s="30" t="s">
        <v>6392</v>
      </c>
      <c r="C721" s="20" t="n">
        <v>1</v>
      </c>
      <c r="D721" s="20" t="s">
        <v>4666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0" t="s">
        <v>6382</v>
      </c>
      <c r="H721" s="30" t="s">
        <v>6117</v>
      </c>
      <c r="I721" s="23" t="s">
        <v>6384</v>
      </c>
      <c r="J721" s="24" t="s">
        <v>6393</v>
      </c>
      <c r="K721" s="23" t="s">
        <v>1095</v>
      </c>
      <c r="L721" s="24" t="s">
        <v>6394</v>
      </c>
      <c r="M721" s="24" t="s">
        <v>6395</v>
      </c>
      <c r="N721" s="23" t="s">
        <v>6396</v>
      </c>
      <c r="O721" s="24" t="s">
        <v>6397</v>
      </c>
      <c r="P721" s="24" t="s">
        <v>6106</v>
      </c>
      <c r="Q721" s="24" t="s">
        <v>6398</v>
      </c>
      <c r="R721" s="25" t="s">
        <v>6399</v>
      </c>
      <c r="S721" s="28" t="s">
        <v>6400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140</v>
      </c>
      <c r="Y721" s="23" t="s">
        <v>140</v>
      </c>
      <c r="Z721" s="23" t="s">
        <v>140</v>
      </c>
      <c r="AA721" s="23" t="s">
        <v>140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</row>
    <row r="722" customFormat="false" ht="26.85" hidden="false" customHeight="false" outlineLevel="0" collapsed="false">
      <c r="A722" s="23" t="n">
        <v>721</v>
      </c>
      <c r="B722" s="30" t="s">
        <v>6401</v>
      </c>
      <c r="C722" s="23" t="n">
        <v>2</v>
      </c>
      <c r="D722" s="23" t="s">
        <v>4666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0" t="s">
        <v>6382</v>
      </c>
      <c r="H722" s="30" t="s">
        <v>6383</v>
      </c>
      <c r="I722" s="23" t="s">
        <v>6384</v>
      </c>
      <c r="J722" s="24" t="s">
        <v>6402</v>
      </c>
      <c r="K722" s="23" t="s">
        <v>1095</v>
      </c>
      <c r="L722" s="24" t="s">
        <v>6403</v>
      </c>
      <c r="M722" s="24" t="s">
        <v>6404</v>
      </c>
      <c r="N722" s="23" t="s">
        <v>6405</v>
      </c>
      <c r="O722" s="24" t="s">
        <v>6406</v>
      </c>
      <c r="P722" s="24" t="s">
        <v>6106</v>
      </c>
      <c r="Q722" s="24" t="s">
        <v>6407</v>
      </c>
      <c r="R722" s="24"/>
      <c r="S722" s="24" t="s">
        <v>6408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140</v>
      </c>
      <c r="Y722" s="23" t="s">
        <v>140</v>
      </c>
      <c r="Z722" s="23" t="s">
        <v>140</v>
      </c>
      <c r="AA722" s="23" t="s">
        <v>140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</row>
    <row r="723" customFormat="false" ht="26.85" hidden="false" customHeight="false" outlineLevel="0" collapsed="false">
      <c r="A723" s="23" t="n">
        <v>722</v>
      </c>
      <c r="B723" s="30" t="s">
        <v>6409</v>
      </c>
      <c r="C723" s="23" t="n">
        <v>2</v>
      </c>
      <c r="D723" s="23" t="s">
        <v>4666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0" t="s">
        <v>6382</v>
      </c>
      <c r="H723" s="30" t="s">
        <v>6383</v>
      </c>
      <c r="I723" s="23" t="s">
        <v>6384</v>
      </c>
      <c r="J723" s="24" t="s">
        <v>6410</v>
      </c>
      <c r="K723" s="23" t="s">
        <v>1095</v>
      </c>
      <c r="L723" s="24" t="s">
        <v>6411</v>
      </c>
      <c r="M723" s="24" t="s">
        <v>6412</v>
      </c>
      <c r="N723" s="23" t="s">
        <v>6413</v>
      </c>
      <c r="O723" s="24" t="s">
        <v>6414</v>
      </c>
      <c r="P723" s="24" t="s">
        <v>6106</v>
      </c>
      <c r="Q723" s="24" t="s">
        <v>6415</v>
      </c>
      <c r="R723" s="24"/>
      <c r="S723" s="24" t="s">
        <v>6408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140</v>
      </c>
      <c r="Y723" s="23" t="s">
        <v>140</v>
      </c>
      <c r="Z723" s="23" t="s">
        <v>140</v>
      </c>
      <c r="AA723" s="23" t="s">
        <v>140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</row>
    <row r="724" customFormat="false" ht="26.85" hidden="false" customHeight="false" outlineLevel="0" collapsed="false">
      <c r="A724" s="23" t="n">
        <v>723</v>
      </c>
      <c r="B724" s="30" t="s">
        <v>6416</v>
      </c>
      <c r="C724" s="23" t="n">
        <v>2</v>
      </c>
      <c r="D724" s="23" t="s">
        <v>4666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0" t="s">
        <v>6382</v>
      </c>
      <c r="H724" s="30" t="s">
        <v>6383</v>
      </c>
      <c r="I724" s="23" t="s">
        <v>6384</v>
      </c>
      <c r="J724" s="24" t="s">
        <v>6417</v>
      </c>
      <c r="K724" s="23" t="s">
        <v>1095</v>
      </c>
      <c r="L724" s="24" t="s">
        <v>6418</v>
      </c>
      <c r="M724" s="24" t="s">
        <v>6419</v>
      </c>
      <c r="N724" s="23" t="s">
        <v>6420</v>
      </c>
      <c r="O724" s="24" t="s">
        <v>6421</v>
      </c>
      <c r="P724" s="24" t="s">
        <v>6106</v>
      </c>
      <c r="Q724" s="24" t="s">
        <v>6422</v>
      </c>
      <c r="R724" s="27" t="s">
        <v>6423</v>
      </c>
      <c r="S724" s="24" t="s">
        <v>6408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140</v>
      </c>
      <c r="Y724" s="23" t="s">
        <v>140</v>
      </c>
      <c r="Z724" s="23" t="s">
        <v>140</v>
      </c>
      <c r="AA724" s="23" t="s">
        <v>140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</row>
    <row r="725" customFormat="false" ht="39.55" hidden="false" customHeight="false" outlineLevel="0" collapsed="false">
      <c r="A725" s="23" t="n">
        <v>724</v>
      </c>
      <c r="B725" s="30" t="s">
        <v>6424</v>
      </c>
      <c r="C725" s="20" t="n">
        <v>1</v>
      </c>
      <c r="D725" s="20" t="s">
        <v>4666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0" t="s">
        <v>6382</v>
      </c>
      <c r="H725" s="30" t="s">
        <v>6117</v>
      </c>
      <c r="I725" s="23" t="s">
        <v>6384</v>
      </c>
      <c r="J725" s="24" t="s">
        <v>6425</v>
      </c>
      <c r="K725" s="23" t="s">
        <v>1095</v>
      </c>
      <c r="L725" s="24" t="s">
        <v>6426</v>
      </c>
      <c r="M725" s="24" t="s">
        <v>6427</v>
      </c>
      <c r="N725" s="23" t="s">
        <v>6428</v>
      </c>
      <c r="O725" s="24" t="s">
        <v>6429</v>
      </c>
      <c r="P725" s="24" t="s">
        <v>6430</v>
      </c>
      <c r="Q725" s="24" t="s">
        <v>6431</v>
      </c>
      <c r="R725" s="25" t="s">
        <v>6432</v>
      </c>
      <c r="S725" s="28" t="s">
        <v>6433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140</v>
      </c>
      <c r="Y725" s="23" t="s">
        <v>140</v>
      </c>
      <c r="Z725" s="23" t="s">
        <v>140</v>
      </c>
      <c r="AA725" s="23" t="s">
        <v>140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</row>
    <row r="726" customFormat="false" ht="26.85" hidden="false" customHeight="false" outlineLevel="0" collapsed="false">
      <c r="A726" s="23" t="n">
        <v>725</v>
      </c>
      <c r="B726" s="30" t="s">
        <v>6434</v>
      </c>
      <c r="C726" s="23" t="n">
        <v>2</v>
      </c>
      <c r="D726" s="23" t="s">
        <v>4666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0" t="s">
        <v>6382</v>
      </c>
      <c r="H726" s="30" t="s">
        <v>6383</v>
      </c>
      <c r="I726" s="23" t="s">
        <v>6435</v>
      </c>
      <c r="J726" s="24" t="s">
        <v>6436</v>
      </c>
      <c r="K726" s="23" t="s">
        <v>1095</v>
      </c>
      <c r="L726" s="24" t="s">
        <v>6437</v>
      </c>
      <c r="M726" s="24" t="s">
        <v>6438</v>
      </c>
      <c r="N726" s="23" t="s">
        <v>6439</v>
      </c>
      <c r="O726" s="24" t="s">
        <v>6440</v>
      </c>
      <c r="P726" s="24" t="s">
        <v>6106</v>
      </c>
      <c r="Q726" s="24" t="s">
        <v>6441</v>
      </c>
      <c r="R726" s="24"/>
      <c r="S726" s="24" t="s">
        <v>6442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140</v>
      </c>
      <c r="Y726" s="23" t="s">
        <v>140</v>
      </c>
      <c r="Z726" s="23" t="s">
        <v>140</v>
      </c>
      <c r="AA726" s="23" t="s">
        <v>140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</row>
    <row r="727" customFormat="false" ht="26.85" hidden="false" customHeight="false" outlineLevel="0" collapsed="false">
      <c r="A727" s="23" t="n">
        <v>726</v>
      </c>
      <c r="B727" s="30" t="s">
        <v>6443</v>
      </c>
      <c r="C727" s="23" t="n">
        <v>2</v>
      </c>
      <c r="D727" s="23" t="s">
        <v>4666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0" t="s">
        <v>6382</v>
      </c>
      <c r="H727" s="30" t="s">
        <v>6383</v>
      </c>
      <c r="I727" s="23" t="s">
        <v>6435</v>
      </c>
      <c r="J727" s="24" t="s">
        <v>6444</v>
      </c>
      <c r="K727" s="23" t="s">
        <v>1095</v>
      </c>
      <c r="L727" s="24" t="s">
        <v>6445</v>
      </c>
      <c r="M727" s="24" t="s">
        <v>6446</v>
      </c>
      <c r="N727" s="23" t="s">
        <v>6447</v>
      </c>
      <c r="O727" s="24" t="s">
        <v>6448</v>
      </c>
      <c r="P727" s="24" t="s">
        <v>6449</v>
      </c>
      <c r="Q727" s="24" t="s">
        <v>6450</v>
      </c>
      <c r="R727" s="25" t="s">
        <v>6451</v>
      </c>
      <c r="S727" s="24" t="s">
        <v>6442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140</v>
      </c>
      <c r="Y727" s="23" t="s">
        <v>140</v>
      </c>
      <c r="Z727" s="23" t="s">
        <v>140</v>
      </c>
      <c r="AA727" s="23" t="s">
        <v>140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</row>
    <row r="728" customFormat="false" ht="39.55" hidden="false" customHeight="false" outlineLevel="0" collapsed="false">
      <c r="A728" s="23" t="n">
        <v>727</v>
      </c>
      <c r="B728" s="30" t="s">
        <v>6452</v>
      </c>
      <c r="C728" s="23" t="n">
        <v>2</v>
      </c>
      <c r="D728" s="23" t="s">
        <v>4666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0" t="s">
        <v>6382</v>
      </c>
      <c r="H728" s="30" t="s">
        <v>6383</v>
      </c>
      <c r="I728" s="23" t="s">
        <v>6435</v>
      </c>
      <c r="J728" s="24" t="s">
        <v>6453</v>
      </c>
      <c r="K728" s="23" t="s">
        <v>1095</v>
      </c>
      <c r="L728" s="24" t="s">
        <v>6454</v>
      </c>
      <c r="M728" s="24" t="s">
        <v>6455</v>
      </c>
      <c r="N728" s="23" t="s">
        <v>6456</v>
      </c>
      <c r="O728" s="24" t="s">
        <v>6457</v>
      </c>
      <c r="P728" s="24" t="s">
        <v>6106</v>
      </c>
      <c r="Q728" s="24" t="s">
        <v>6458</v>
      </c>
      <c r="R728" s="24"/>
      <c r="S728" s="24" t="s">
        <v>6442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140</v>
      </c>
      <c r="Y728" s="23" t="s">
        <v>140</v>
      </c>
      <c r="Z728" s="23" t="s">
        <v>140</v>
      </c>
      <c r="AA728" s="23" t="s">
        <v>140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</row>
    <row r="729" customFormat="false" ht="26.85" hidden="false" customHeight="false" outlineLevel="0" collapsed="false">
      <c r="A729" s="23" t="n">
        <v>728</v>
      </c>
      <c r="B729" s="30" t="s">
        <v>6459</v>
      </c>
      <c r="C729" s="23" t="n">
        <v>2</v>
      </c>
      <c r="D729" s="23" t="s">
        <v>4666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0" t="s">
        <v>6382</v>
      </c>
      <c r="H729" s="30" t="s">
        <v>6383</v>
      </c>
      <c r="I729" s="23" t="s">
        <v>6435</v>
      </c>
      <c r="J729" s="24" t="s">
        <v>6460</v>
      </c>
      <c r="K729" s="23" t="s">
        <v>1095</v>
      </c>
      <c r="L729" s="24" t="s">
        <v>6461</v>
      </c>
      <c r="M729" s="24" t="s">
        <v>6462</v>
      </c>
      <c r="N729" s="23" t="s">
        <v>6463</v>
      </c>
      <c r="O729" s="24" t="s">
        <v>6464</v>
      </c>
      <c r="P729" s="24" t="s">
        <v>6106</v>
      </c>
      <c r="Q729" s="24" t="s">
        <v>6465</v>
      </c>
      <c r="R729" s="27" t="s">
        <v>6466</v>
      </c>
      <c r="S729" s="24" t="s">
        <v>6442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140</v>
      </c>
      <c r="Y729" s="23" t="s">
        <v>140</v>
      </c>
      <c r="Z729" s="23" t="s">
        <v>140</v>
      </c>
      <c r="AA729" s="23" t="s">
        <v>140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</row>
    <row r="730" customFormat="false" ht="26.85" hidden="false" customHeight="false" outlineLevel="0" collapsed="false">
      <c r="A730" s="23" t="n">
        <v>729</v>
      </c>
      <c r="B730" s="30" t="s">
        <v>6467</v>
      </c>
      <c r="C730" s="23" t="n">
        <v>2</v>
      </c>
      <c r="D730" s="23" t="s">
        <v>4666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0" t="s">
        <v>6468</v>
      </c>
      <c r="H730" s="30" t="s">
        <v>6469</v>
      </c>
      <c r="I730" s="23" t="s">
        <v>6470</v>
      </c>
      <c r="J730" s="24" t="s">
        <v>6471</v>
      </c>
      <c r="K730" s="23" t="s">
        <v>1095</v>
      </c>
      <c r="L730" s="24" t="s">
        <v>6472</v>
      </c>
      <c r="M730" s="24" t="s">
        <v>6473</v>
      </c>
      <c r="N730" s="23" t="s">
        <v>6474</v>
      </c>
      <c r="O730" s="24" t="s">
        <v>6475</v>
      </c>
      <c r="P730" s="24" t="s">
        <v>6106</v>
      </c>
      <c r="Q730" s="24" t="s">
        <v>6476</v>
      </c>
      <c r="R730" s="27" t="s">
        <v>6477</v>
      </c>
      <c r="S730" s="24" t="s">
        <v>6442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140</v>
      </c>
      <c r="Y730" s="23" t="s">
        <v>140</v>
      </c>
      <c r="Z730" s="23" t="s">
        <v>140</v>
      </c>
      <c r="AA730" s="23" t="s">
        <v>140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</row>
    <row r="731" customFormat="false" ht="26.85" hidden="false" customHeight="false" outlineLevel="0" collapsed="false">
      <c r="A731" s="23" t="n">
        <v>730</v>
      </c>
      <c r="B731" s="30" t="s">
        <v>6478</v>
      </c>
      <c r="C731" s="23" t="n">
        <v>2</v>
      </c>
      <c r="D731" s="23" t="s">
        <v>4666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0" t="s">
        <v>6468</v>
      </c>
      <c r="H731" s="30" t="s">
        <v>6469</v>
      </c>
      <c r="I731" s="23" t="s">
        <v>6470</v>
      </c>
      <c r="J731" s="24" t="s">
        <v>6479</v>
      </c>
      <c r="K731" s="23" t="s">
        <v>1095</v>
      </c>
      <c r="L731" s="24" t="s">
        <v>6480</v>
      </c>
      <c r="M731" s="24" t="s">
        <v>6481</v>
      </c>
      <c r="N731" s="23" t="s">
        <v>6482</v>
      </c>
      <c r="O731" s="24" t="s">
        <v>6483</v>
      </c>
      <c r="P731" s="24" t="s">
        <v>6106</v>
      </c>
      <c r="Q731" s="24" t="s">
        <v>6484</v>
      </c>
      <c r="R731" s="25" t="s">
        <v>6485</v>
      </c>
      <c r="S731" s="24" t="s">
        <v>6442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140</v>
      </c>
      <c r="Y731" s="23" t="s">
        <v>140</v>
      </c>
      <c r="Z731" s="23" t="s">
        <v>140</v>
      </c>
      <c r="AA731" s="23" t="s">
        <v>140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</row>
    <row r="732" customFormat="false" ht="26.85" hidden="false" customHeight="false" outlineLevel="0" collapsed="false">
      <c r="A732" s="23" t="n">
        <v>731</v>
      </c>
      <c r="B732" s="30" t="s">
        <v>6486</v>
      </c>
      <c r="C732" s="23" t="n">
        <v>2</v>
      </c>
      <c r="D732" s="23" t="s">
        <v>4666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0" t="s">
        <v>6468</v>
      </c>
      <c r="H732" s="30" t="s">
        <v>6469</v>
      </c>
      <c r="I732" s="23" t="s">
        <v>6470</v>
      </c>
      <c r="J732" s="24" t="s">
        <v>6487</v>
      </c>
      <c r="K732" s="23" t="s">
        <v>1095</v>
      </c>
      <c r="L732" s="24" t="s">
        <v>6488</v>
      </c>
      <c r="M732" s="24" t="s">
        <v>6489</v>
      </c>
      <c r="N732" s="23" t="s">
        <v>6490</v>
      </c>
      <c r="O732" s="24" t="s">
        <v>6491</v>
      </c>
      <c r="P732" s="24" t="s">
        <v>6106</v>
      </c>
      <c r="Q732" s="24" t="s">
        <v>6492</v>
      </c>
      <c r="R732" s="24"/>
      <c r="S732" s="24" t="s">
        <v>6442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140</v>
      </c>
      <c r="Y732" s="23" t="s">
        <v>140</v>
      </c>
      <c r="Z732" s="23" t="s">
        <v>140</v>
      </c>
      <c r="AA732" s="23" t="s">
        <v>140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</row>
    <row r="733" customFormat="false" ht="26.85" hidden="false" customHeight="false" outlineLevel="0" collapsed="false">
      <c r="A733" s="23" t="n">
        <v>732</v>
      </c>
      <c r="B733" s="30" t="s">
        <v>6493</v>
      </c>
      <c r="C733" s="23" t="n">
        <v>2</v>
      </c>
      <c r="D733" s="23" t="s">
        <v>4666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0" t="s">
        <v>6468</v>
      </c>
      <c r="H733" s="30" t="s">
        <v>6469</v>
      </c>
      <c r="I733" s="23" t="s">
        <v>6470</v>
      </c>
      <c r="J733" s="24" t="s">
        <v>6494</v>
      </c>
      <c r="K733" s="23" t="s">
        <v>1095</v>
      </c>
      <c r="L733" s="24" t="s">
        <v>6495</v>
      </c>
      <c r="M733" s="24" t="s">
        <v>6496</v>
      </c>
      <c r="N733" s="23" t="s">
        <v>6497</v>
      </c>
      <c r="O733" s="24" t="s">
        <v>6498</v>
      </c>
      <c r="P733" s="24" t="s">
        <v>6106</v>
      </c>
      <c r="Q733" s="24" t="s">
        <v>6422</v>
      </c>
      <c r="R733" s="24"/>
      <c r="S733" s="24" t="s">
        <v>6442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140</v>
      </c>
      <c r="Y733" s="23" t="s">
        <v>140</v>
      </c>
      <c r="Z733" s="23" t="s">
        <v>140</v>
      </c>
      <c r="AA733" s="23" t="s">
        <v>140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</row>
    <row r="734" customFormat="false" ht="26.85" hidden="false" customHeight="false" outlineLevel="0" collapsed="false">
      <c r="A734" s="23" t="n">
        <v>733</v>
      </c>
      <c r="B734" s="30" t="s">
        <v>6499</v>
      </c>
      <c r="C734" s="23" t="n">
        <v>2</v>
      </c>
      <c r="D734" s="23" t="s">
        <v>4666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0" t="s">
        <v>6468</v>
      </c>
      <c r="H734" s="30" t="s">
        <v>6469</v>
      </c>
      <c r="I734" s="23" t="s">
        <v>6500</v>
      </c>
      <c r="J734" s="24" t="s">
        <v>6501</v>
      </c>
      <c r="K734" s="23" t="s">
        <v>1095</v>
      </c>
      <c r="L734" s="24" t="s">
        <v>6502</v>
      </c>
      <c r="M734" s="24" t="s">
        <v>6503</v>
      </c>
      <c r="N734" s="23" t="s">
        <v>6504</v>
      </c>
      <c r="O734" s="24" t="s">
        <v>6505</v>
      </c>
      <c r="P734" s="24" t="s">
        <v>6506</v>
      </c>
      <c r="Q734" s="24" t="s">
        <v>6507</v>
      </c>
      <c r="R734" s="24"/>
      <c r="S734" s="24" t="s">
        <v>6442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140</v>
      </c>
      <c r="Y734" s="23" t="s">
        <v>140</v>
      </c>
      <c r="Z734" s="23" t="s">
        <v>140</v>
      </c>
      <c r="AA734" s="23" t="s">
        <v>140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</row>
    <row r="735" customFormat="false" ht="26.85" hidden="false" customHeight="false" outlineLevel="0" collapsed="false">
      <c r="A735" s="23" t="n">
        <v>734</v>
      </c>
      <c r="B735" s="30" t="s">
        <v>6508</v>
      </c>
      <c r="C735" s="23" t="n">
        <v>2</v>
      </c>
      <c r="D735" s="23" t="s">
        <v>4666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0" t="s">
        <v>6468</v>
      </c>
      <c r="H735" s="30" t="s">
        <v>6469</v>
      </c>
      <c r="I735" s="23" t="s">
        <v>6500</v>
      </c>
      <c r="J735" s="24" t="s">
        <v>6509</v>
      </c>
      <c r="K735" s="23" t="s">
        <v>1095</v>
      </c>
      <c r="L735" s="24" t="s">
        <v>6510</v>
      </c>
      <c r="M735" s="24" t="s">
        <v>6511</v>
      </c>
      <c r="N735" s="23" t="s">
        <v>6512</v>
      </c>
      <c r="O735" s="24" t="s">
        <v>6513</v>
      </c>
      <c r="P735" s="24" t="s">
        <v>6106</v>
      </c>
      <c r="Q735" s="24" t="s">
        <v>6514</v>
      </c>
      <c r="R735" s="25" t="s">
        <v>6515</v>
      </c>
      <c r="S735" s="24" t="s">
        <v>6442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140</v>
      </c>
      <c r="Y735" s="23" t="s">
        <v>140</v>
      </c>
      <c r="Z735" s="23" t="s">
        <v>140</v>
      </c>
      <c r="AA735" s="23" t="s">
        <v>140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</row>
    <row r="736" customFormat="false" ht="26.85" hidden="false" customHeight="false" outlineLevel="0" collapsed="false">
      <c r="A736" s="23" t="n">
        <v>735</v>
      </c>
      <c r="B736" s="30" t="s">
        <v>6516</v>
      </c>
      <c r="C736" s="23" t="n">
        <v>2</v>
      </c>
      <c r="D736" s="23" t="s">
        <v>4666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0" t="s">
        <v>6468</v>
      </c>
      <c r="H736" s="30" t="s">
        <v>6469</v>
      </c>
      <c r="I736" s="23" t="s">
        <v>6500</v>
      </c>
      <c r="J736" s="24" t="s">
        <v>6517</v>
      </c>
      <c r="K736" s="23" t="s">
        <v>1095</v>
      </c>
      <c r="L736" s="24" t="s">
        <v>6518</v>
      </c>
      <c r="M736" s="24" t="s">
        <v>6519</v>
      </c>
      <c r="N736" s="23" t="s">
        <v>6520</v>
      </c>
      <c r="O736" s="24" t="s">
        <v>6521</v>
      </c>
      <c r="P736" s="24" t="s">
        <v>6106</v>
      </c>
      <c r="Q736" s="24" t="s">
        <v>6522</v>
      </c>
      <c r="R736" s="24"/>
      <c r="S736" s="24" t="s">
        <v>6442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140</v>
      </c>
      <c r="Y736" s="23" t="s">
        <v>140</v>
      </c>
      <c r="Z736" s="23" t="s">
        <v>140</v>
      </c>
      <c r="AA736" s="23" t="s">
        <v>140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</row>
    <row r="737" customFormat="false" ht="26.85" hidden="false" customHeight="false" outlineLevel="0" collapsed="false">
      <c r="A737" s="23" t="n">
        <v>736</v>
      </c>
      <c r="B737" s="30" t="s">
        <v>6523</v>
      </c>
      <c r="C737" s="23" t="n">
        <v>2</v>
      </c>
      <c r="D737" s="23" t="s">
        <v>4666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0" t="s">
        <v>6468</v>
      </c>
      <c r="H737" s="30" t="s">
        <v>6469</v>
      </c>
      <c r="I737" s="23" t="s">
        <v>6524</v>
      </c>
      <c r="J737" s="24" t="s">
        <v>6525</v>
      </c>
      <c r="K737" s="23" t="s">
        <v>1095</v>
      </c>
      <c r="L737" s="24" t="s">
        <v>6526</v>
      </c>
      <c r="M737" s="24" t="s">
        <v>6527</v>
      </c>
      <c r="N737" s="23" t="s">
        <v>6528</v>
      </c>
      <c r="O737" s="24" t="s">
        <v>6529</v>
      </c>
      <c r="P737" s="24" t="s">
        <v>6106</v>
      </c>
      <c r="Q737" s="24" t="s">
        <v>6530</v>
      </c>
      <c r="R737" s="25" t="s">
        <v>6531</v>
      </c>
      <c r="S737" s="24" t="s">
        <v>6442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140</v>
      </c>
      <c r="Y737" s="23" t="s">
        <v>140</v>
      </c>
      <c r="Z737" s="23" t="s">
        <v>140</v>
      </c>
      <c r="AA737" s="23" t="s">
        <v>140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</row>
    <row r="738" customFormat="false" ht="26.85" hidden="false" customHeight="false" outlineLevel="0" collapsed="false">
      <c r="A738" s="23" t="n">
        <v>737</v>
      </c>
      <c r="B738" s="30" t="s">
        <v>6532</v>
      </c>
      <c r="C738" s="23" t="n">
        <v>2</v>
      </c>
      <c r="D738" s="23" t="s">
        <v>4666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0" t="s">
        <v>6468</v>
      </c>
      <c r="H738" s="30" t="s">
        <v>6469</v>
      </c>
      <c r="I738" s="23" t="s">
        <v>6524</v>
      </c>
      <c r="J738" s="24" t="s">
        <v>6533</v>
      </c>
      <c r="K738" s="23" t="s">
        <v>1095</v>
      </c>
      <c r="L738" s="24" t="s">
        <v>6534</v>
      </c>
      <c r="M738" s="24" t="s">
        <v>6535</v>
      </c>
      <c r="N738" s="23" t="s">
        <v>6536</v>
      </c>
      <c r="O738" s="24" t="s">
        <v>6537</v>
      </c>
      <c r="P738" s="24" t="s">
        <v>6106</v>
      </c>
      <c r="Q738" s="24" t="s">
        <v>6538</v>
      </c>
      <c r="R738" s="24"/>
      <c r="S738" s="24" t="s">
        <v>6442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140</v>
      </c>
      <c r="Y738" s="23" t="s">
        <v>140</v>
      </c>
      <c r="Z738" s="23" t="s">
        <v>140</v>
      </c>
      <c r="AA738" s="23" t="s">
        <v>140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</row>
    <row r="739" customFormat="false" ht="26.85" hidden="false" customHeight="false" outlineLevel="0" collapsed="false">
      <c r="A739" s="23" t="n">
        <v>738</v>
      </c>
      <c r="B739" s="30" t="s">
        <v>6539</v>
      </c>
      <c r="C739" s="23" t="n">
        <v>2</v>
      </c>
      <c r="D739" s="23" t="s">
        <v>4666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0" t="s">
        <v>6540</v>
      </c>
      <c r="H739" s="30" t="s">
        <v>6541</v>
      </c>
      <c r="I739" s="23" t="s">
        <v>6542</v>
      </c>
      <c r="J739" s="24" t="s">
        <v>6543</v>
      </c>
      <c r="K739" s="23" t="s">
        <v>1095</v>
      </c>
      <c r="L739" s="24" t="s">
        <v>6544</v>
      </c>
      <c r="M739" s="24" t="s">
        <v>6545</v>
      </c>
      <c r="N739" s="23" t="s">
        <v>6546</v>
      </c>
      <c r="O739" s="24" t="s">
        <v>6547</v>
      </c>
      <c r="P739" s="24" t="s">
        <v>6548</v>
      </c>
      <c r="Q739" s="24" t="s">
        <v>6549</v>
      </c>
      <c r="R739" s="24"/>
      <c r="S739" s="24" t="s">
        <v>6442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140</v>
      </c>
      <c r="Y739" s="23" t="s">
        <v>140</v>
      </c>
      <c r="Z739" s="23" t="s">
        <v>140</v>
      </c>
      <c r="AA739" s="23" t="s">
        <v>140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</row>
    <row r="740" customFormat="false" ht="39.55" hidden="false" customHeight="false" outlineLevel="0" collapsed="false">
      <c r="A740" s="23" t="n">
        <v>739</v>
      </c>
      <c r="B740" s="30" t="s">
        <v>6550</v>
      </c>
      <c r="C740" s="23" t="n">
        <v>2</v>
      </c>
      <c r="D740" s="23" t="s">
        <v>4666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0" t="s">
        <v>6540</v>
      </c>
      <c r="H740" s="30" t="s">
        <v>6541</v>
      </c>
      <c r="I740" s="23" t="s">
        <v>6542</v>
      </c>
      <c r="J740" s="24" t="s">
        <v>6551</v>
      </c>
      <c r="K740" s="23" t="s">
        <v>1095</v>
      </c>
      <c r="L740" s="24" t="s">
        <v>6552</v>
      </c>
      <c r="M740" s="24" t="s">
        <v>6553</v>
      </c>
      <c r="N740" s="23" t="s">
        <v>6554</v>
      </c>
      <c r="O740" s="24" t="s">
        <v>6555</v>
      </c>
      <c r="P740" s="24" t="s">
        <v>6106</v>
      </c>
      <c r="Q740" s="24" t="s">
        <v>6556</v>
      </c>
      <c r="R740" s="25" t="s">
        <v>6557</v>
      </c>
      <c r="S740" s="24" t="s">
        <v>6442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140</v>
      </c>
      <c r="Y740" s="23" t="s">
        <v>140</v>
      </c>
      <c r="Z740" s="23" t="s">
        <v>140</v>
      </c>
      <c r="AA740" s="23" t="s">
        <v>140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</row>
    <row r="741" customFormat="false" ht="26.85" hidden="false" customHeight="false" outlineLevel="0" collapsed="false">
      <c r="A741" s="23" t="n">
        <v>740</v>
      </c>
      <c r="B741" s="30" t="s">
        <v>6558</v>
      </c>
      <c r="C741" s="23" t="n">
        <v>2</v>
      </c>
      <c r="D741" s="23" t="s">
        <v>4666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0" t="s">
        <v>6540</v>
      </c>
      <c r="H741" s="30" t="s">
        <v>6541</v>
      </c>
      <c r="I741" s="23" t="s">
        <v>6542</v>
      </c>
      <c r="J741" s="24" t="s">
        <v>6559</v>
      </c>
      <c r="K741" s="23" t="s">
        <v>1095</v>
      </c>
      <c r="L741" s="24" t="s">
        <v>6560</v>
      </c>
      <c r="M741" s="24" t="s">
        <v>6561</v>
      </c>
      <c r="N741" s="23" t="s">
        <v>6562</v>
      </c>
      <c r="O741" s="24" t="s">
        <v>6563</v>
      </c>
      <c r="P741" s="24" t="s">
        <v>6548</v>
      </c>
      <c r="Q741" s="24" t="s">
        <v>6564</v>
      </c>
      <c r="R741" s="25" t="s">
        <v>6565</v>
      </c>
      <c r="S741" s="24" t="s">
        <v>6442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140</v>
      </c>
      <c r="Y741" s="23" t="s">
        <v>140</v>
      </c>
      <c r="Z741" s="23" t="s">
        <v>140</v>
      </c>
      <c r="AA741" s="23" t="s">
        <v>140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</row>
    <row r="742" customFormat="false" ht="26.85" hidden="false" customHeight="false" outlineLevel="0" collapsed="false">
      <c r="A742" s="23" t="n">
        <v>741</v>
      </c>
      <c r="B742" s="30" t="s">
        <v>6566</v>
      </c>
      <c r="C742" s="23" t="n">
        <v>2</v>
      </c>
      <c r="D742" s="23" t="s">
        <v>4666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0" t="s">
        <v>6540</v>
      </c>
      <c r="H742" s="30" t="s">
        <v>6541</v>
      </c>
      <c r="I742" s="23" t="s">
        <v>6542</v>
      </c>
      <c r="J742" s="24" t="s">
        <v>6567</v>
      </c>
      <c r="K742" s="23" t="s">
        <v>1095</v>
      </c>
      <c r="L742" s="24" t="s">
        <v>6568</v>
      </c>
      <c r="M742" s="24" t="s">
        <v>6569</v>
      </c>
      <c r="N742" s="23" t="s">
        <v>6570</v>
      </c>
      <c r="O742" s="24" t="s">
        <v>6571</v>
      </c>
      <c r="P742" s="24" t="s">
        <v>6548</v>
      </c>
      <c r="Q742" s="24" t="s">
        <v>6572</v>
      </c>
      <c r="R742" s="25" t="s">
        <v>6573</v>
      </c>
      <c r="S742" s="24" t="s">
        <v>6442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140</v>
      </c>
      <c r="Y742" s="23" t="s">
        <v>140</v>
      </c>
      <c r="Z742" s="23" t="s">
        <v>140</v>
      </c>
      <c r="AA742" s="23" t="s">
        <v>140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</row>
    <row r="743" customFormat="false" ht="39.55" hidden="false" customHeight="false" outlineLevel="0" collapsed="false">
      <c r="A743" s="23" t="n">
        <v>742</v>
      </c>
      <c r="B743" s="30" t="s">
        <v>6574</v>
      </c>
      <c r="C743" s="23" t="n">
        <v>2</v>
      </c>
      <c r="D743" s="23" t="s">
        <v>4666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0" t="s">
        <v>6540</v>
      </c>
      <c r="H743" s="30" t="s">
        <v>6541</v>
      </c>
      <c r="I743" s="23" t="s">
        <v>6575</v>
      </c>
      <c r="J743" s="24" t="s">
        <v>6576</v>
      </c>
      <c r="K743" s="23" t="s">
        <v>1095</v>
      </c>
      <c r="L743" s="24" t="s">
        <v>6577</v>
      </c>
      <c r="M743" s="24" t="s">
        <v>6578</v>
      </c>
      <c r="N743" s="23" t="s">
        <v>6579</v>
      </c>
      <c r="O743" s="24" t="s">
        <v>6580</v>
      </c>
      <c r="P743" s="24" t="s">
        <v>6581</v>
      </c>
      <c r="Q743" s="24" t="s">
        <v>6582</v>
      </c>
      <c r="R743" s="24"/>
      <c r="S743" s="24" t="s">
        <v>6442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140</v>
      </c>
      <c r="Y743" s="23" t="s">
        <v>140</v>
      </c>
      <c r="Z743" s="23" t="s">
        <v>140</v>
      </c>
      <c r="AA743" s="23" t="s">
        <v>140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</row>
    <row r="744" customFormat="false" ht="26.85" hidden="false" customHeight="false" outlineLevel="0" collapsed="false">
      <c r="A744" s="23" t="n">
        <v>743</v>
      </c>
      <c r="B744" s="30" t="s">
        <v>6583</v>
      </c>
      <c r="C744" s="23" t="n">
        <v>2</v>
      </c>
      <c r="D744" s="23" t="s">
        <v>4666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0" t="s">
        <v>6540</v>
      </c>
      <c r="H744" s="30" t="s">
        <v>6541</v>
      </c>
      <c r="I744" s="23" t="s">
        <v>6575</v>
      </c>
      <c r="J744" s="24" t="s">
        <v>6584</v>
      </c>
      <c r="K744" s="23" t="s">
        <v>1095</v>
      </c>
      <c r="L744" s="24" t="s">
        <v>6585</v>
      </c>
      <c r="M744" s="24" t="s">
        <v>6586</v>
      </c>
      <c r="N744" s="23" t="s">
        <v>6587</v>
      </c>
      <c r="O744" s="24" t="s">
        <v>6588</v>
      </c>
      <c r="P744" s="24" t="s">
        <v>6548</v>
      </c>
      <c r="Q744" s="24" t="s">
        <v>6589</v>
      </c>
      <c r="R744" s="24"/>
      <c r="S744" s="24" t="s">
        <v>6442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140</v>
      </c>
      <c r="Y744" s="23" t="s">
        <v>140</v>
      </c>
      <c r="Z744" s="23" t="s">
        <v>140</v>
      </c>
      <c r="AA744" s="23" t="s">
        <v>140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</row>
    <row r="745" customFormat="false" ht="39.55" hidden="false" customHeight="false" outlineLevel="0" collapsed="false">
      <c r="A745" s="23" t="n">
        <v>744</v>
      </c>
      <c r="B745" s="30" t="s">
        <v>6590</v>
      </c>
      <c r="C745" s="23" t="n">
        <v>2</v>
      </c>
      <c r="D745" s="23" t="s">
        <v>4666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0" t="s">
        <v>6540</v>
      </c>
      <c r="H745" s="30" t="s">
        <v>6541</v>
      </c>
      <c r="I745" s="23" t="s">
        <v>6575</v>
      </c>
      <c r="J745" s="24" t="s">
        <v>6591</v>
      </c>
      <c r="K745" s="23" t="s">
        <v>1095</v>
      </c>
      <c r="L745" s="24" t="s">
        <v>6592</v>
      </c>
      <c r="M745" s="24" t="s">
        <v>6593</v>
      </c>
      <c r="N745" s="23" t="s">
        <v>6594</v>
      </c>
      <c r="O745" s="24" t="s">
        <v>6595</v>
      </c>
      <c r="P745" s="24" t="s">
        <v>6106</v>
      </c>
      <c r="Q745" s="24" t="s">
        <v>6596</v>
      </c>
      <c r="R745" s="25" t="s">
        <v>6597</v>
      </c>
      <c r="S745" s="24" t="s">
        <v>6442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140</v>
      </c>
      <c r="Y745" s="23" t="s">
        <v>140</v>
      </c>
      <c r="Z745" s="23" t="s">
        <v>140</v>
      </c>
      <c r="AA745" s="23" t="s">
        <v>140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</row>
    <row r="746" customFormat="false" ht="26.85" hidden="false" customHeight="false" outlineLevel="0" collapsed="false">
      <c r="A746" s="23" t="n">
        <v>745</v>
      </c>
      <c r="B746" s="30" t="s">
        <v>6598</v>
      </c>
      <c r="C746" s="23" t="n">
        <v>2</v>
      </c>
      <c r="D746" s="23" t="s">
        <v>4666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0" t="s">
        <v>6540</v>
      </c>
      <c r="H746" s="30" t="s">
        <v>6541</v>
      </c>
      <c r="I746" s="23" t="s">
        <v>6599</v>
      </c>
      <c r="J746" s="24" t="s">
        <v>6600</v>
      </c>
      <c r="K746" s="23" t="s">
        <v>1095</v>
      </c>
      <c r="L746" s="24" t="s">
        <v>6601</v>
      </c>
      <c r="M746" s="24" t="s">
        <v>6602</v>
      </c>
      <c r="N746" s="23" t="s">
        <v>6603</v>
      </c>
      <c r="O746" s="24" t="s">
        <v>6604</v>
      </c>
      <c r="P746" s="24" t="s">
        <v>6605</v>
      </c>
      <c r="Q746" s="24" t="s">
        <v>6606</v>
      </c>
      <c r="R746" s="24"/>
      <c r="S746" s="24" t="s">
        <v>6442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140</v>
      </c>
      <c r="Y746" s="23" t="s">
        <v>140</v>
      </c>
      <c r="Z746" s="23" t="s">
        <v>140</v>
      </c>
      <c r="AA746" s="23" t="s">
        <v>140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</row>
    <row r="747" customFormat="false" ht="39.55" hidden="false" customHeight="false" outlineLevel="0" collapsed="false">
      <c r="A747" s="23" t="n">
        <v>746</v>
      </c>
      <c r="B747" s="30" t="s">
        <v>6607</v>
      </c>
      <c r="C747" s="23" t="n">
        <v>2</v>
      </c>
      <c r="D747" s="23" t="s">
        <v>4666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0" t="s">
        <v>6540</v>
      </c>
      <c r="H747" s="30" t="s">
        <v>6541</v>
      </c>
      <c r="I747" s="23" t="s">
        <v>6599</v>
      </c>
      <c r="J747" s="24" t="s">
        <v>6608</v>
      </c>
      <c r="K747" s="23" t="s">
        <v>1095</v>
      </c>
      <c r="L747" s="24" t="s">
        <v>6609</v>
      </c>
      <c r="M747" s="24" t="s">
        <v>6610</v>
      </c>
      <c r="N747" s="23" t="s">
        <v>6611</v>
      </c>
      <c r="O747" s="24" t="s">
        <v>6612</v>
      </c>
      <c r="P747" s="24" t="s">
        <v>6605</v>
      </c>
      <c r="Q747" s="24" t="s">
        <v>6613</v>
      </c>
      <c r="R747" s="25" t="s">
        <v>6399</v>
      </c>
      <c r="S747" s="24" t="s">
        <v>6442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140</v>
      </c>
      <c r="Y747" s="23" t="s">
        <v>140</v>
      </c>
      <c r="Z747" s="23" t="s">
        <v>140</v>
      </c>
      <c r="AA747" s="23" t="s">
        <v>140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</row>
    <row r="748" customFormat="false" ht="26.85" hidden="false" customHeight="false" outlineLevel="0" collapsed="false">
      <c r="A748" s="23" t="n">
        <v>747</v>
      </c>
      <c r="B748" s="30" t="s">
        <v>6614</v>
      </c>
      <c r="C748" s="23" t="n">
        <v>2</v>
      </c>
      <c r="D748" s="23" t="s">
        <v>4666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0" t="s">
        <v>6540</v>
      </c>
      <c r="H748" s="30" t="s">
        <v>6541</v>
      </c>
      <c r="I748" s="23" t="s">
        <v>6615</v>
      </c>
      <c r="J748" s="24" t="s">
        <v>6616</v>
      </c>
      <c r="K748" s="23" t="s">
        <v>1095</v>
      </c>
      <c r="L748" s="24" t="s">
        <v>6617</v>
      </c>
      <c r="M748" s="24" t="s">
        <v>6618</v>
      </c>
      <c r="N748" s="23" t="s">
        <v>6619</v>
      </c>
      <c r="O748" s="24" t="s">
        <v>6620</v>
      </c>
      <c r="P748" s="24" t="s">
        <v>6621</v>
      </c>
      <c r="Q748" s="24" t="s">
        <v>6622</v>
      </c>
      <c r="R748" s="25" t="s">
        <v>6623</v>
      </c>
      <c r="S748" s="24" t="s">
        <v>6442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140</v>
      </c>
      <c r="Y748" s="23" t="s">
        <v>140</v>
      </c>
      <c r="Z748" s="23" t="s">
        <v>140</v>
      </c>
      <c r="AA748" s="23" t="s">
        <v>140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</row>
    <row r="749" customFormat="false" ht="26.85" hidden="false" customHeight="false" outlineLevel="0" collapsed="false">
      <c r="A749" s="23" t="n">
        <v>748</v>
      </c>
      <c r="B749" s="30" t="s">
        <v>6624</v>
      </c>
      <c r="C749" s="23" t="n">
        <v>2</v>
      </c>
      <c r="D749" s="23" t="s">
        <v>4666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0" t="s">
        <v>6625</v>
      </c>
      <c r="H749" s="30" t="s">
        <v>6626</v>
      </c>
      <c r="I749" s="23" t="s">
        <v>6627</v>
      </c>
      <c r="J749" s="24" t="s">
        <v>6628</v>
      </c>
      <c r="K749" s="23" t="s">
        <v>1095</v>
      </c>
      <c r="L749" s="24" t="s">
        <v>6629</v>
      </c>
      <c r="M749" s="24" t="s">
        <v>6630</v>
      </c>
      <c r="N749" s="23" t="s">
        <v>6631</v>
      </c>
      <c r="O749" s="24" t="s">
        <v>6632</v>
      </c>
      <c r="P749" s="24" t="s">
        <v>6633</v>
      </c>
      <c r="Q749" s="24" t="s">
        <v>3523</v>
      </c>
      <c r="R749" s="25" t="s">
        <v>6634</v>
      </c>
      <c r="S749" s="24" t="s">
        <v>6442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140</v>
      </c>
      <c r="Y749" s="23" t="s">
        <v>140</v>
      </c>
      <c r="Z749" s="23" t="s">
        <v>140</v>
      </c>
      <c r="AA749" s="23" t="s">
        <v>140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</row>
    <row r="750" customFormat="false" ht="26.85" hidden="false" customHeight="false" outlineLevel="0" collapsed="false">
      <c r="A750" s="23" t="n">
        <v>749</v>
      </c>
      <c r="B750" s="30" t="s">
        <v>6635</v>
      </c>
      <c r="C750" s="23" t="n">
        <v>2</v>
      </c>
      <c r="D750" s="23" t="s">
        <v>4666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0" t="s">
        <v>6625</v>
      </c>
      <c r="H750" s="30" t="s">
        <v>6626</v>
      </c>
      <c r="I750" s="23" t="s">
        <v>6627</v>
      </c>
      <c r="J750" s="24" t="s">
        <v>6636</v>
      </c>
      <c r="K750" s="23" t="s">
        <v>1095</v>
      </c>
      <c r="L750" s="24" t="s">
        <v>6637</v>
      </c>
      <c r="M750" s="24" t="s">
        <v>6638</v>
      </c>
      <c r="N750" s="23" t="s">
        <v>6639</v>
      </c>
      <c r="O750" s="24" t="s">
        <v>6640</v>
      </c>
      <c r="P750" s="24" t="s">
        <v>6641</v>
      </c>
      <c r="Q750" s="24" t="s">
        <v>6642</v>
      </c>
      <c r="R750" s="24"/>
      <c r="S750" s="24" t="s">
        <v>6442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140</v>
      </c>
      <c r="Y750" s="23" t="s">
        <v>140</v>
      </c>
      <c r="Z750" s="23" t="s">
        <v>140</v>
      </c>
      <c r="AA750" s="23" t="s">
        <v>140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</row>
    <row r="751" customFormat="false" ht="26.85" hidden="false" customHeight="false" outlineLevel="0" collapsed="false">
      <c r="A751" s="23" t="n">
        <v>750</v>
      </c>
      <c r="B751" s="30" t="s">
        <v>6643</v>
      </c>
      <c r="C751" s="23" t="n">
        <v>2</v>
      </c>
      <c r="D751" s="23" t="s">
        <v>4666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0" t="s">
        <v>6625</v>
      </c>
      <c r="H751" s="30" t="s">
        <v>6626</v>
      </c>
      <c r="I751" s="23" t="s">
        <v>6627</v>
      </c>
      <c r="J751" s="24" t="s">
        <v>6644</v>
      </c>
      <c r="K751" s="23" t="s">
        <v>1095</v>
      </c>
      <c r="L751" s="24" t="s">
        <v>6645</v>
      </c>
      <c r="M751" s="24" t="s">
        <v>6646</v>
      </c>
      <c r="N751" s="23" t="s">
        <v>6647</v>
      </c>
      <c r="O751" s="24" t="s">
        <v>6648</v>
      </c>
      <c r="P751" s="24" t="s">
        <v>6649</v>
      </c>
      <c r="Q751" s="24" t="s">
        <v>6650</v>
      </c>
      <c r="R751" s="24"/>
      <c r="S751" s="24" t="s">
        <v>6442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140</v>
      </c>
      <c r="Y751" s="23" t="s">
        <v>140</v>
      </c>
      <c r="Z751" s="23" t="s">
        <v>140</v>
      </c>
      <c r="AA751" s="23" t="s">
        <v>140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</row>
    <row r="752" customFormat="false" ht="26.85" hidden="false" customHeight="false" outlineLevel="0" collapsed="false">
      <c r="A752" s="23" t="n">
        <v>751</v>
      </c>
      <c r="B752" s="30" t="s">
        <v>6651</v>
      </c>
      <c r="C752" s="23" t="n">
        <v>2</v>
      </c>
      <c r="D752" s="23" t="s">
        <v>4666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0" t="s">
        <v>6625</v>
      </c>
      <c r="H752" s="30" t="s">
        <v>6626</v>
      </c>
      <c r="I752" s="23" t="s">
        <v>6627</v>
      </c>
      <c r="J752" s="24" t="s">
        <v>6652</v>
      </c>
      <c r="K752" s="23" t="s">
        <v>1095</v>
      </c>
      <c r="L752" s="24" t="s">
        <v>6653</v>
      </c>
      <c r="M752" s="24" t="s">
        <v>6654</v>
      </c>
      <c r="N752" s="23" t="s">
        <v>6655</v>
      </c>
      <c r="O752" s="24" t="s">
        <v>6656</v>
      </c>
      <c r="P752" s="24" t="s">
        <v>6657</v>
      </c>
      <c r="Q752" s="24" t="s">
        <v>6658</v>
      </c>
      <c r="R752" s="27" t="s">
        <v>6659</v>
      </c>
      <c r="S752" s="24" t="s">
        <v>6442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140</v>
      </c>
      <c r="Y752" s="23" t="s">
        <v>140</v>
      </c>
      <c r="Z752" s="23" t="s">
        <v>140</v>
      </c>
      <c r="AA752" s="23" t="s">
        <v>140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</row>
    <row r="753" customFormat="false" ht="26.85" hidden="false" customHeight="false" outlineLevel="0" collapsed="false">
      <c r="A753" s="23" t="n">
        <v>752</v>
      </c>
      <c r="B753" s="30" t="s">
        <v>6660</v>
      </c>
      <c r="C753" s="23" t="n">
        <v>2</v>
      </c>
      <c r="D753" s="23" t="s">
        <v>4666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0" t="s">
        <v>6625</v>
      </c>
      <c r="H753" s="30" t="s">
        <v>6626</v>
      </c>
      <c r="I753" s="23" t="s">
        <v>6627</v>
      </c>
      <c r="J753" s="24" t="s">
        <v>6661</v>
      </c>
      <c r="K753" s="23" t="s">
        <v>1095</v>
      </c>
      <c r="L753" s="24" t="s">
        <v>6662</v>
      </c>
      <c r="M753" s="24" t="s">
        <v>6663</v>
      </c>
      <c r="N753" s="23" t="s">
        <v>6664</v>
      </c>
      <c r="O753" s="24" t="s">
        <v>6665</v>
      </c>
      <c r="P753" s="24" t="s">
        <v>6666</v>
      </c>
      <c r="Q753" s="24" t="s">
        <v>6667</v>
      </c>
      <c r="R753" s="24"/>
      <c r="S753" s="24" t="s">
        <v>6442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140</v>
      </c>
      <c r="Y753" s="23" t="s">
        <v>140</v>
      </c>
      <c r="Z753" s="23" t="s">
        <v>140</v>
      </c>
      <c r="AA753" s="23" t="s">
        <v>140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</row>
    <row r="754" customFormat="false" ht="26.85" hidden="false" customHeight="false" outlineLevel="0" collapsed="false">
      <c r="A754" s="23" t="n">
        <v>753</v>
      </c>
      <c r="B754" s="30" t="s">
        <v>6668</v>
      </c>
      <c r="C754" s="23" t="n">
        <v>2</v>
      </c>
      <c r="D754" s="23" t="s">
        <v>4666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0" t="s">
        <v>6625</v>
      </c>
      <c r="H754" s="30" t="s">
        <v>6626</v>
      </c>
      <c r="I754" s="23" t="s">
        <v>6627</v>
      </c>
      <c r="J754" s="24" t="s">
        <v>6669</v>
      </c>
      <c r="K754" s="23" t="s">
        <v>1095</v>
      </c>
      <c r="L754" s="24" t="s">
        <v>6670</v>
      </c>
      <c r="M754" s="24" t="s">
        <v>6671</v>
      </c>
      <c r="N754" s="23" t="s">
        <v>6672</v>
      </c>
      <c r="O754" s="24" t="s">
        <v>6673</v>
      </c>
      <c r="P754" s="24" t="s">
        <v>6674</v>
      </c>
      <c r="Q754" s="24" t="s">
        <v>6675</v>
      </c>
      <c r="R754" s="25" t="s">
        <v>6676</v>
      </c>
      <c r="S754" s="24" t="s">
        <v>6442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140</v>
      </c>
      <c r="Y754" s="23" t="s">
        <v>140</v>
      </c>
      <c r="Z754" s="23" t="s">
        <v>140</v>
      </c>
      <c r="AA754" s="23" t="s">
        <v>140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</row>
    <row r="755" customFormat="false" ht="26.85" hidden="false" customHeight="false" outlineLevel="0" collapsed="false">
      <c r="A755" s="23" t="n">
        <v>754</v>
      </c>
      <c r="B755" s="30" t="s">
        <v>6677</v>
      </c>
      <c r="C755" s="23" t="n">
        <v>2</v>
      </c>
      <c r="D755" s="23" t="s">
        <v>4666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0" t="s">
        <v>6625</v>
      </c>
      <c r="H755" s="30" t="s">
        <v>6626</v>
      </c>
      <c r="I755" s="23" t="s">
        <v>6627</v>
      </c>
      <c r="J755" s="24" t="s">
        <v>6678</v>
      </c>
      <c r="K755" s="23" t="s">
        <v>1095</v>
      </c>
      <c r="L755" s="24" t="s">
        <v>6679</v>
      </c>
      <c r="M755" s="24" t="s">
        <v>6680</v>
      </c>
      <c r="N755" s="23" t="s">
        <v>6681</v>
      </c>
      <c r="O755" s="24" t="s">
        <v>6682</v>
      </c>
      <c r="P755" s="24" t="s">
        <v>3475</v>
      </c>
      <c r="Q755" s="24" t="s">
        <v>6279</v>
      </c>
      <c r="R755" s="27" t="s">
        <v>6683</v>
      </c>
      <c r="S755" s="24" t="s">
        <v>6442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140</v>
      </c>
      <c r="Y755" s="23" t="s">
        <v>140</v>
      </c>
      <c r="Z755" s="23" t="s">
        <v>140</v>
      </c>
      <c r="AA755" s="23" t="s">
        <v>140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</row>
    <row r="756" customFormat="false" ht="52.2" hidden="false" customHeight="false" outlineLevel="0" collapsed="false">
      <c r="A756" s="23" t="n">
        <v>755</v>
      </c>
      <c r="B756" s="30" t="s">
        <v>6684</v>
      </c>
      <c r="C756" s="20" t="n">
        <v>1</v>
      </c>
      <c r="D756" s="20" t="s">
        <v>4666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0" t="s">
        <v>6625</v>
      </c>
      <c r="H756" s="30" t="s">
        <v>6685</v>
      </c>
      <c r="I756" s="23" t="s">
        <v>6627</v>
      </c>
      <c r="J756" s="24" t="s">
        <v>6686</v>
      </c>
      <c r="K756" s="23" t="s">
        <v>1095</v>
      </c>
      <c r="L756" s="24" t="s">
        <v>6687</v>
      </c>
      <c r="M756" s="24" t="s">
        <v>6688</v>
      </c>
      <c r="N756" s="23" t="s">
        <v>6689</v>
      </c>
      <c r="O756" s="24" t="s">
        <v>6690</v>
      </c>
      <c r="P756" s="24" t="s">
        <v>6691</v>
      </c>
      <c r="Q756" s="24" t="s">
        <v>6692</v>
      </c>
      <c r="R756" s="25" t="s">
        <v>6693</v>
      </c>
      <c r="S756" s="28" t="s">
        <v>6694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140</v>
      </c>
      <c r="Y756" s="23" t="s">
        <v>140</v>
      </c>
      <c r="Z756" s="23" t="s">
        <v>140</v>
      </c>
      <c r="AA756" s="23" t="s">
        <v>140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</row>
    <row r="757" customFormat="false" ht="26.85" hidden="false" customHeight="false" outlineLevel="0" collapsed="false">
      <c r="A757" s="23" t="n">
        <v>756</v>
      </c>
      <c r="B757" s="30" t="s">
        <v>6695</v>
      </c>
      <c r="C757" s="23" t="n">
        <v>2</v>
      </c>
      <c r="D757" s="23" t="s">
        <v>4666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0" t="s">
        <v>6625</v>
      </c>
      <c r="H757" s="30" t="s">
        <v>6626</v>
      </c>
      <c r="I757" s="23" t="s">
        <v>6627</v>
      </c>
      <c r="J757" s="24" t="s">
        <v>6696</v>
      </c>
      <c r="K757" s="23" t="s">
        <v>1095</v>
      </c>
      <c r="L757" s="24" t="s">
        <v>6697</v>
      </c>
      <c r="M757" s="24" t="s">
        <v>6698</v>
      </c>
      <c r="N757" s="23" t="s">
        <v>6699</v>
      </c>
      <c r="O757" s="24" t="s">
        <v>6700</v>
      </c>
      <c r="P757" s="24" t="s">
        <v>6701</v>
      </c>
      <c r="Q757" s="24" t="s">
        <v>6702</v>
      </c>
      <c r="R757" s="24"/>
      <c r="S757" s="24" t="s">
        <v>6703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140</v>
      </c>
      <c r="Y757" s="23" t="s">
        <v>140</v>
      </c>
      <c r="Z757" s="23" t="s">
        <v>140</v>
      </c>
      <c r="AA757" s="23" t="s">
        <v>140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</row>
    <row r="758" customFormat="false" ht="26.85" hidden="false" customHeight="false" outlineLevel="0" collapsed="false">
      <c r="A758" s="23" t="n">
        <v>757</v>
      </c>
      <c r="B758" s="30" t="s">
        <v>6704</v>
      </c>
      <c r="C758" s="23" t="n">
        <v>2</v>
      </c>
      <c r="D758" s="23" t="s">
        <v>4666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0" t="s">
        <v>6625</v>
      </c>
      <c r="H758" s="30" t="s">
        <v>6626</v>
      </c>
      <c r="I758" s="23" t="s">
        <v>6627</v>
      </c>
      <c r="J758" s="24" t="s">
        <v>6705</v>
      </c>
      <c r="K758" s="23" t="s">
        <v>1095</v>
      </c>
      <c r="L758" s="24" t="s">
        <v>6706</v>
      </c>
      <c r="M758" s="24" t="s">
        <v>6707</v>
      </c>
      <c r="N758" s="23" t="s">
        <v>6708</v>
      </c>
      <c r="O758" s="24" t="s">
        <v>6709</v>
      </c>
      <c r="P758" s="24" t="s">
        <v>6710</v>
      </c>
      <c r="Q758" s="24" t="s">
        <v>6711</v>
      </c>
      <c r="R758" s="24"/>
      <c r="S758" s="24" t="s">
        <v>6703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140</v>
      </c>
      <c r="Y758" s="23" t="s">
        <v>140</v>
      </c>
      <c r="Z758" s="23" t="s">
        <v>140</v>
      </c>
      <c r="AA758" s="23" t="s">
        <v>140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</row>
    <row r="759" customFormat="false" ht="26.85" hidden="false" customHeight="false" outlineLevel="0" collapsed="false">
      <c r="A759" s="23" t="n">
        <v>758</v>
      </c>
      <c r="B759" s="30" t="s">
        <v>6712</v>
      </c>
      <c r="C759" s="23" t="n">
        <v>2</v>
      </c>
      <c r="D759" s="23" t="s">
        <v>4666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0" t="s">
        <v>6713</v>
      </c>
      <c r="H759" s="30" t="s">
        <v>6714</v>
      </c>
      <c r="I759" s="23" t="s">
        <v>6715</v>
      </c>
      <c r="J759" s="24" t="s">
        <v>6716</v>
      </c>
      <c r="K759" s="23" t="s">
        <v>1095</v>
      </c>
      <c r="L759" s="24" t="s">
        <v>6717</v>
      </c>
      <c r="M759" s="24" t="s">
        <v>6718</v>
      </c>
      <c r="N759" s="23" t="s">
        <v>6719</v>
      </c>
      <c r="O759" s="24" t="s">
        <v>6720</v>
      </c>
      <c r="P759" s="24" t="s">
        <v>6721</v>
      </c>
      <c r="Q759" s="24" t="s">
        <v>6722</v>
      </c>
      <c r="R759" s="24"/>
      <c r="S759" s="24" t="s">
        <v>6703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140</v>
      </c>
      <c r="Y759" s="23" t="s">
        <v>140</v>
      </c>
      <c r="Z759" s="23" t="s">
        <v>140</v>
      </c>
      <c r="AA759" s="23" t="s">
        <v>140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</row>
    <row r="760" customFormat="false" ht="26.85" hidden="false" customHeight="false" outlineLevel="0" collapsed="false">
      <c r="A760" s="23" t="n">
        <v>759</v>
      </c>
      <c r="B760" s="30" t="s">
        <v>6723</v>
      </c>
      <c r="C760" s="23" t="n">
        <v>2</v>
      </c>
      <c r="D760" s="23" t="s">
        <v>4666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0" t="s">
        <v>6713</v>
      </c>
      <c r="H760" s="30" t="s">
        <v>6714</v>
      </c>
      <c r="I760" s="23" t="s">
        <v>6715</v>
      </c>
      <c r="J760" s="24" t="s">
        <v>6724</v>
      </c>
      <c r="K760" s="23" t="s">
        <v>1095</v>
      </c>
      <c r="L760" s="24" t="s">
        <v>6725</v>
      </c>
      <c r="M760" s="24" t="s">
        <v>6726</v>
      </c>
      <c r="N760" s="23" t="s">
        <v>6727</v>
      </c>
      <c r="O760" s="24" t="s">
        <v>6728</v>
      </c>
      <c r="P760" s="24" t="s">
        <v>6721</v>
      </c>
      <c r="Q760" s="24" t="s">
        <v>6729</v>
      </c>
      <c r="R760" s="24"/>
      <c r="S760" s="24" t="s">
        <v>6703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140</v>
      </c>
      <c r="Y760" s="23" t="s">
        <v>140</v>
      </c>
      <c r="Z760" s="23" t="s">
        <v>140</v>
      </c>
      <c r="AA760" s="23" t="s">
        <v>140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</row>
    <row r="761" customFormat="false" ht="26.85" hidden="false" customHeight="false" outlineLevel="0" collapsed="false">
      <c r="A761" s="23" t="n">
        <v>760</v>
      </c>
      <c r="B761" s="30" t="s">
        <v>6730</v>
      </c>
      <c r="C761" s="23" t="n">
        <v>2</v>
      </c>
      <c r="D761" s="23" t="s">
        <v>4666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0" t="s">
        <v>6713</v>
      </c>
      <c r="H761" s="30" t="s">
        <v>6714</v>
      </c>
      <c r="I761" s="23" t="s">
        <v>6715</v>
      </c>
      <c r="J761" s="24" t="s">
        <v>6731</v>
      </c>
      <c r="K761" s="23" t="s">
        <v>1095</v>
      </c>
      <c r="L761" s="24" t="s">
        <v>6732</v>
      </c>
      <c r="M761" s="24" t="s">
        <v>6733</v>
      </c>
      <c r="N761" s="23" t="s">
        <v>6734</v>
      </c>
      <c r="O761" s="24" t="s">
        <v>6735</v>
      </c>
      <c r="P761" s="24" t="s">
        <v>6736</v>
      </c>
      <c r="Q761" s="24" t="s">
        <v>6737</v>
      </c>
      <c r="R761" s="25" t="s">
        <v>6738</v>
      </c>
      <c r="S761" s="24" t="s">
        <v>6703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140</v>
      </c>
      <c r="Y761" s="23" t="s">
        <v>140</v>
      </c>
      <c r="Z761" s="23" t="s">
        <v>140</v>
      </c>
      <c r="AA761" s="23" t="s">
        <v>140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</row>
    <row r="762" customFormat="false" ht="26.85" hidden="false" customHeight="false" outlineLevel="0" collapsed="false">
      <c r="A762" s="23" t="n">
        <v>761</v>
      </c>
      <c r="B762" s="30" t="s">
        <v>6739</v>
      </c>
      <c r="C762" s="23" t="n">
        <v>2</v>
      </c>
      <c r="D762" s="23" t="s">
        <v>4666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0" t="s">
        <v>6713</v>
      </c>
      <c r="H762" s="30" t="s">
        <v>6714</v>
      </c>
      <c r="I762" s="23" t="s">
        <v>6715</v>
      </c>
      <c r="J762" s="24" t="s">
        <v>6740</v>
      </c>
      <c r="K762" s="23" t="s">
        <v>1095</v>
      </c>
      <c r="L762" s="24" t="s">
        <v>6741</v>
      </c>
      <c r="M762" s="24" t="s">
        <v>6742</v>
      </c>
      <c r="N762" s="23" t="s">
        <v>6743</v>
      </c>
      <c r="O762" s="24" t="s">
        <v>6744</v>
      </c>
      <c r="P762" s="24" t="s">
        <v>6721</v>
      </c>
      <c r="Q762" s="24" t="s">
        <v>6745</v>
      </c>
      <c r="R762" s="24"/>
      <c r="S762" s="24" t="s">
        <v>6703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140</v>
      </c>
      <c r="Y762" s="23" t="s">
        <v>140</v>
      </c>
      <c r="Z762" s="23" t="s">
        <v>140</v>
      </c>
      <c r="AA762" s="23" t="s">
        <v>140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</row>
    <row r="763" customFormat="false" ht="26.85" hidden="false" customHeight="false" outlineLevel="0" collapsed="false">
      <c r="A763" s="23" t="n">
        <v>762</v>
      </c>
      <c r="B763" s="30" t="s">
        <v>6746</v>
      </c>
      <c r="C763" s="23" t="n">
        <v>2</v>
      </c>
      <c r="D763" s="23" t="s">
        <v>4666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0" t="s">
        <v>6713</v>
      </c>
      <c r="H763" s="30" t="s">
        <v>6714</v>
      </c>
      <c r="I763" s="23" t="s">
        <v>6715</v>
      </c>
      <c r="J763" s="24" t="s">
        <v>6747</v>
      </c>
      <c r="K763" s="23" t="s">
        <v>1095</v>
      </c>
      <c r="L763" s="24" t="s">
        <v>6748</v>
      </c>
      <c r="M763" s="24" t="s">
        <v>6749</v>
      </c>
      <c r="N763" s="23" t="s">
        <v>6750</v>
      </c>
      <c r="O763" s="24" t="s">
        <v>6751</v>
      </c>
      <c r="P763" s="24" t="s">
        <v>6752</v>
      </c>
      <c r="Q763" s="24" t="s">
        <v>6753</v>
      </c>
      <c r="R763" s="27" t="s">
        <v>6754</v>
      </c>
      <c r="S763" s="24" t="s">
        <v>6703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140</v>
      </c>
      <c r="Y763" s="23" t="s">
        <v>140</v>
      </c>
      <c r="Z763" s="23" t="s">
        <v>140</v>
      </c>
      <c r="AA763" s="23" t="s">
        <v>140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</row>
    <row r="764" customFormat="false" ht="39.55" hidden="false" customHeight="false" outlineLevel="0" collapsed="false">
      <c r="A764" s="23" t="n">
        <v>763</v>
      </c>
      <c r="B764" s="30" t="s">
        <v>6755</v>
      </c>
      <c r="C764" s="23" t="n">
        <v>2</v>
      </c>
      <c r="D764" s="23" t="s">
        <v>4666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0" t="s">
        <v>6713</v>
      </c>
      <c r="H764" s="30" t="s">
        <v>6714</v>
      </c>
      <c r="I764" s="23" t="s">
        <v>6756</v>
      </c>
      <c r="J764" s="24" t="s">
        <v>6757</v>
      </c>
      <c r="K764" s="23" t="s">
        <v>1095</v>
      </c>
      <c r="L764" s="24" t="s">
        <v>6758</v>
      </c>
      <c r="M764" s="24" t="s">
        <v>6759</v>
      </c>
      <c r="N764" s="23" t="s">
        <v>6760</v>
      </c>
      <c r="O764" s="24" t="s">
        <v>6761</v>
      </c>
      <c r="P764" s="24" t="s">
        <v>6762</v>
      </c>
      <c r="Q764" s="24" t="s">
        <v>6763</v>
      </c>
      <c r="R764" s="24"/>
      <c r="S764" s="24" t="s">
        <v>6703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140</v>
      </c>
      <c r="Y764" s="23" t="s">
        <v>140</v>
      </c>
      <c r="Z764" s="23" t="s">
        <v>140</v>
      </c>
      <c r="AA764" s="23" t="s">
        <v>140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</row>
    <row r="765" customFormat="false" ht="26.85" hidden="false" customHeight="false" outlineLevel="0" collapsed="false">
      <c r="A765" s="23" t="n">
        <v>764</v>
      </c>
      <c r="B765" s="30" t="s">
        <v>6764</v>
      </c>
      <c r="C765" s="23" t="n">
        <v>2</v>
      </c>
      <c r="D765" s="23" t="s">
        <v>4666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0" t="s">
        <v>6713</v>
      </c>
      <c r="H765" s="30" t="s">
        <v>6714</v>
      </c>
      <c r="I765" s="23" t="s">
        <v>6756</v>
      </c>
      <c r="J765" s="24" t="s">
        <v>6765</v>
      </c>
      <c r="K765" s="23" t="s">
        <v>1095</v>
      </c>
      <c r="L765" s="24" t="s">
        <v>6766</v>
      </c>
      <c r="M765" s="24" t="s">
        <v>6767</v>
      </c>
      <c r="N765" s="23" t="s">
        <v>6768</v>
      </c>
      <c r="O765" s="24" t="s">
        <v>6769</v>
      </c>
      <c r="P765" s="24" t="s">
        <v>6762</v>
      </c>
      <c r="Q765" s="24" t="s">
        <v>6770</v>
      </c>
      <c r="R765" s="25" t="s">
        <v>6771</v>
      </c>
      <c r="S765" s="24" t="s">
        <v>6703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140</v>
      </c>
      <c r="Y765" s="23" t="s">
        <v>140</v>
      </c>
      <c r="Z765" s="23" t="s">
        <v>140</v>
      </c>
      <c r="AA765" s="23" t="s">
        <v>140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</row>
    <row r="766" customFormat="false" ht="39.55" hidden="false" customHeight="false" outlineLevel="0" collapsed="false">
      <c r="A766" s="23" t="n">
        <v>765</v>
      </c>
      <c r="B766" s="30" t="s">
        <v>6772</v>
      </c>
      <c r="C766" s="23" t="n">
        <v>2</v>
      </c>
      <c r="D766" s="23" t="s">
        <v>4666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0" t="s">
        <v>6713</v>
      </c>
      <c r="H766" s="30" t="s">
        <v>6714</v>
      </c>
      <c r="I766" s="23" t="s">
        <v>6756</v>
      </c>
      <c r="J766" s="24" t="s">
        <v>6773</v>
      </c>
      <c r="K766" s="23" t="s">
        <v>1095</v>
      </c>
      <c r="L766" s="24" t="s">
        <v>6774</v>
      </c>
      <c r="M766" s="24" t="s">
        <v>6775</v>
      </c>
      <c r="N766" s="23" t="s">
        <v>6776</v>
      </c>
      <c r="O766" s="24" t="s">
        <v>6777</v>
      </c>
      <c r="P766" s="24" t="s">
        <v>6762</v>
      </c>
      <c r="Q766" s="24" t="s">
        <v>6778</v>
      </c>
      <c r="R766" s="27" t="s">
        <v>6779</v>
      </c>
      <c r="S766" s="24" t="s">
        <v>6703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140</v>
      </c>
      <c r="Y766" s="23" t="s">
        <v>140</v>
      </c>
      <c r="Z766" s="23" t="s">
        <v>140</v>
      </c>
      <c r="AA766" s="23" t="s">
        <v>140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</row>
    <row r="767" customFormat="false" ht="26.85" hidden="false" customHeight="false" outlineLevel="0" collapsed="false">
      <c r="A767" s="23" t="n">
        <v>766</v>
      </c>
      <c r="B767" s="30" t="s">
        <v>6780</v>
      </c>
      <c r="C767" s="23" t="n">
        <v>2</v>
      </c>
      <c r="D767" s="23" t="s">
        <v>4666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0" t="s">
        <v>6713</v>
      </c>
      <c r="H767" s="30" t="s">
        <v>6714</v>
      </c>
      <c r="I767" s="23" t="s">
        <v>6756</v>
      </c>
      <c r="J767" s="24" t="s">
        <v>6781</v>
      </c>
      <c r="K767" s="23" t="s">
        <v>1095</v>
      </c>
      <c r="L767" s="24" t="s">
        <v>6782</v>
      </c>
      <c r="M767" s="24" t="s">
        <v>6783</v>
      </c>
      <c r="N767" s="23" t="s">
        <v>6784</v>
      </c>
      <c r="O767" s="24" t="s">
        <v>6785</v>
      </c>
      <c r="P767" s="24" t="s">
        <v>6762</v>
      </c>
      <c r="Q767" s="24" t="s">
        <v>6786</v>
      </c>
      <c r="R767" s="24"/>
      <c r="S767" s="24" t="s">
        <v>6703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140</v>
      </c>
      <c r="Y767" s="23" t="s">
        <v>140</v>
      </c>
      <c r="Z767" s="23" t="s">
        <v>140</v>
      </c>
      <c r="AA767" s="23" t="s">
        <v>140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</row>
    <row r="768" customFormat="false" ht="26.85" hidden="false" customHeight="false" outlineLevel="0" collapsed="false">
      <c r="A768" s="23" t="n">
        <v>767</v>
      </c>
      <c r="B768" s="30" t="s">
        <v>6787</v>
      </c>
      <c r="C768" s="23" t="n">
        <v>2</v>
      </c>
      <c r="D768" s="23" t="s">
        <v>4666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0" t="s">
        <v>6713</v>
      </c>
      <c r="H768" s="30" t="s">
        <v>6714</v>
      </c>
      <c r="I768" s="23" t="s">
        <v>6788</v>
      </c>
      <c r="J768" s="24" t="s">
        <v>6789</v>
      </c>
      <c r="K768" s="23" t="s">
        <v>1095</v>
      </c>
      <c r="L768" s="24" t="s">
        <v>6790</v>
      </c>
      <c r="M768" s="24" t="s">
        <v>6791</v>
      </c>
      <c r="N768" s="23" t="s">
        <v>6792</v>
      </c>
      <c r="O768" s="24" t="s">
        <v>6793</v>
      </c>
      <c r="P768" s="24" t="s">
        <v>6762</v>
      </c>
      <c r="Q768" s="24" t="s">
        <v>6794</v>
      </c>
      <c r="R768" s="25" t="s">
        <v>6795</v>
      </c>
      <c r="S768" s="24" t="s">
        <v>6703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140</v>
      </c>
      <c r="Y768" s="23" t="s">
        <v>140</v>
      </c>
      <c r="Z768" s="23" t="s">
        <v>140</v>
      </c>
      <c r="AA768" s="23" t="s">
        <v>140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</row>
    <row r="769" customFormat="false" ht="15" hidden="false" customHeight="false" outlineLevel="0" collapsed="false">
      <c r="A769" s="23" t="n">
        <v>768</v>
      </c>
      <c r="B769" s="30" t="s">
        <v>6796</v>
      </c>
      <c r="C769" s="23" t="n">
        <v>2</v>
      </c>
      <c r="D769" s="23" t="s">
        <v>4666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0" t="s">
        <v>6713</v>
      </c>
      <c r="H769" s="30" t="s">
        <v>6714</v>
      </c>
      <c r="I769" s="23" t="s">
        <v>6788</v>
      </c>
      <c r="J769" s="24" t="s">
        <v>6797</v>
      </c>
      <c r="K769" s="23" t="s">
        <v>1095</v>
      </c>
      <c r="L769" s="24" t="s">
        <v>6798</v>
      </c>
      <c r="M769" s="24" t="s">
        <v>6799</v>
      </c>
      <c r="N769" s="23" t="s">
        <v>6800</v>
      </c>
      <c r="O769" s="24" t="s">
        <v>6801</v>
      </c>
      <c r="P769" s="24" t="s">
        <v>6762</v>
      </c>
      <c r="Q769" s="24" t="s">
        <v>6802</v>
      </c>
      <c r="R769" s="25" t="s">
        <v>6803</v>
      </c>
      <c r="S769" s="24" t="s">
        <v>6703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140</v>
      </c>
      <c r="Y769" s="23" t="s">
        <v>140</v>
      </c>
      <c r="Z769" s="23" t="s">
        <v>140</v>
      </c>
      <c r="AA769" s="23" t="s">
        <v>140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</row>
    <row r="770" customFormat="false" ht="26.85" hidden="false" customHeight="false" outlineLevel="0" collapsed="false">
      <c r="A770" s="23" t="n">
        <v>769</v>
      </c>
      <c r="B770" s="30" t="s">
        <v>6804</v>
      </c>
      <c r="C770" s="23" t="n">
        <v>2</v>
      </c>
      <c r="D770" s="23" t="s">
        <v>4666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0" t="s">
        <v>6713</v>
      </c>
      <c r="H770" s="30" t="s">
        <v>6714</v>
      </c>
      <c r="I770" s="23" t="s">
        <v>6788</v>
      </c>
      <c r="J770" s="24" t="s">
        <v>6805</v>
      </c>
      <c r="K770" s="23" t="s">
        <v>1095</v>
      </c>
      <c r="L770" s="24" t="s">
        <v>6806</v>
      </c>
      <c r="M770" s="24" t="s">
        <v>6807</v>
      </c>
      <c r="N770" s="23" t="s">
        <v>6808</v>
      </c>
      <c r="O770" s="24" t="s">
        <v>6809</v>
      </c>
      <c r="P770" s="24" t="s">
        <v>6762</v>
      </c>
      <c r="Q770" s="24" t="s">
        <v>6810</v>
      </c>
      <c r="R770" s="25" t="s">
        <v>6811</v>
      </c>
      <c r="S770" s="24" t="s">
        <v>6703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140</v>
      </c>
      <c r="Y770" s="23" t="s">
        <v>140</v>
      </c>
      <c r="Z770" s="23" t="s">
        <v>140</v>
      </c>
      <c r="AA770" s="23" t="s">
        <v>140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</row>
    <row r="771" customFormat="false" ht="26.85" hidden="false" customHeight="false" outlineLevel="0" collapsed="false">
      <c r="A771" s="23" t="n">
        <v>770</v>
      </c>
      <c r="B771" s="30" t="s">
        <v>6812</v>
      </c>
      <c r="C771" s="23" t="n">
        <v>2</v>
      </c>
      <c r="D771" s="23" t="s">
        <v>4666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0" t="s">
        <v>6813</v>
      </c>
      <c r="H771" s="30" t="s">
        <v>6814</v>
      </c>
      <c r="I771" s="23" t="s">
        <v>6815</v>
      </c>
      <c r="J771" s="24" t="s">
        <v>6816</v>
      </c>
      <c r="K771" s="23" t="s">
        <v>1095</v>
      </c>
      <c r="L771" s="24" t="s">
        <v>6817</v>
      </c>
      <c r="M771" s="24" t="s">
        <v>6818</v>
      </c>
      <c r="N771" s="23" t="s">
        <v>6819</v>
      </c>
      <c r="O771" s="24" t="s">
        <v>6820</v>
      </c>
      <c r="P771" s="24" t="s">
        <v>6821</v>
      </c>
      <c r="Q771" s="24" t="s">
        <v>6822</v>
      </c>
      <c r="R771" s="24"/>
      <c r="S771" s="24" t="s">
        <v>6703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140</v>
      </c>
      <c r="Y771" s="23" t="s">
        <v>140</v>
      </c>
      <c r="Z771" s="23" t="s">
        <v>140</v>
      </c>
      <c r="AA771" s="23" t="s">
        <v>140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</row>
    <row r="772" customFormat="false" ht="26.85" hidden="false" customHeight="false" outlineLevel="0" collapsed="false">
      <c r="A772" s="23" t="n">
        <v>771</v>
      </c>
      <c r="B772" s="30" t="s">
        <v>6823</v>
      </c>
      <c r="C772" s="23" t="n">
        <v>2</v>
      </c>
      <c r="D772" s="23" t="s">
        <v>4666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0" t="s">
        <v>6813</v>
      </c>
      <c r="H772" s="30" t="s">
        <v>6814</v>
      </c>
      <c r="I772" s="23" t="s">
        <v>6815</v>
      </c>
      <c r="J772" s="24" t="s">
        <v>6824</v>
      </c>
      <c r="K772" s="23" t="s">
        <v>1095</v>
      </c>
      <c r="L772" s="24" t="s">
        <v>6825</v>
      </c>
      <c r="M772" s="24" t="s">
        <v>6826</v>
      </c>
      <c r="N772" s="23" t="s">
        <v>6827</v>
      </c>
      <c r="O772" s="24" t="s">
        <v>6828</v>
      </c>
      <c r="P772" s="24" t="s">
        <v>6821</v>
      </c>
      <c r="Q772" s="24" t="s">
        <v>6829</v>
      </c>
      <c r="R772" s="24"/>
      <c r="S772" s="24" t="s">
        <v>6703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140</v>
      </c>
      <c r="Y772" s="23" t="s">
        <v>140</v>
      </c>
      <c r="Z772" s="23" t="s">
        <v>140</v>
      </c>
      <c r="AA772" s="23" t="s">
        <v>140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</row>
    <row r="773" customFormat="false" ht="25.35" hidden="false" customHeight="false" outlineLevel="0" collapsed="false">
      <c r="A773" s="23" t="n">
        <v>772</v>
      </c>
      <c r="B773" s="30" t="s">
        <v>6830</v>
      </c>
      <c r="C773" s="23" t="n">
        <v>2</v>
      </c>
      <c r="D773" s="23" t="s">
        <v>4666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0" t="s">
        <v>6813</v>
      </c>
      <c r="H773" s="30" t="s">
        <v>6814</v>
      </c>
      <c r="I773" s="23" t="s">
        <v>6815</v>
      </c>
      <c r="J773" s="24" t="s">
        <v>6831</v>
      </c>
      <c r="K773" s="23" t="s">
        <v>1095</v>
      </c>
      <c r="L773" s="24" t="s">
        <v>6832</v>
      </c>
      <c r="M773" s="24" t="s">
        <v>6833</v>
      </c>
      <c r="N773" s="23" t="s">
        <v>6834</v>
      </c>
      <c r="O773" s="24" t="s">
        <v>6835</v>
      </c>
      <c r="P773" s="24" t="s">
        <v>6821</v>
      </c>
      <c r="Q773" s="24" t="s">
        <v>6836</v>
      </c>
      <c r="R773" s="27" t="s">
        <v>6837</v>
      </c>
      <c r="S773" s="24" t="s">
        <v>6703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140</v>
      </c>
      <c r="Y773" s="23" t="s">
        <v>140</v>
      </c>
      <c r="Z773" s="23" t="s">
        <v>140</v>
      </c>
      <c r="AA773" s="23" t="s">
        <v>140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</row>
    <row r="774" customFormat="false" ht="26.85" hidden="false" customHeight="false" outlineLevel="0" collapsed="false">
      <c r="A774" s="23" t="n">
        <v>773</v>
      </c>
      <c r="B774" s="30" t="s">
        <v>6838</v>
      </c>
      <c r="C774" s="23" t="n">
        <v>2</v>
      </c>
      <c r="D774" s="23" t="s">
        <v>4666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0" t="s">
        <v>6813</v>
      </c>
      <c r="H774" s="30" t="s">
        <v>6814</v>
      </c>
      <c r="I774" s="23" t="s">
        <v>6815</v>
      </c>
      <c r="J774" s="24" t="s">
        <v>6839</v>
      </c>
      <c r="K774" s="23" t="s">
        <v>1095</v>
      </c>
      <c r="L774" s="24" t="s">
        <v>6840</v>
      </c>
      <c r="M774" s="24" t="s">
        <v>6841</v>
      </c>
      <c r="N774" s="23" t="s">
        <v>6842</v>
      </c>
      <c r="O774" s="24" t="s">
        <v>6843</v>
      </c>
      <c r="P774" s="24" t="s">
        <v>6821</v>
      </c>
      <c r="Q774" s="24" t="s">
        <v>6844</v>
      </c>
      <c r="R774" s="25" t="s">
        <v>6845</v>
      </c>
      <c r="S774" s="24" t="s">
        <v>6703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140</v>
      </c>
      <c r="Y774" s="23" t="s">
        <v>140</v>
      </c>
      <c r="Z774" s="23" t="s">
        <v>140</v>
      </c>
      <c r="AA774" s="23" t="s">
        <v>140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</row>
    <row r="775" customFormat="false" ht="26.85" hidden="false" customHeight="false" outlineLevel="0" collapsed="false">
      <c r="A775" s="23" t="n">
        <v>774</v>
      </c>
      <c r="B775" s="30" t="s">
        <v>6846</v>
      </c>
      <c r="C775" s="23" t="n">
        <v>2</v>
      </c>
      <c r="D775" s="23" t="s">
        <v>4666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0" t="s">
        <v>6813</v>
      </c>
      <c r="H775" s="30" t="s">
        <v>6814</v>
      </c>
      <c r="I775" s="23" t="s">
        <v>6847</v>
      </c>
      <c r="J775" s="24" t="s">
        <v>6848</v>
      </c>
      <c r="K775" s="23" t="s">
        <v>1095</v>
      </c>
      <c r="L775" s="24" t="s">
        <v>6849</v>
      </c>
      <c r="M775" s="24" t="s">
        <v>6850</v>
      </c>
      <c r="N775" s="23" t="s">
        <v>6851</v>
      </c>
      <c r="O775" s="24" t="s">
        <v>6852</v>
      </c>
      <c r="P775" s="24" t="s">
        <v>6853</v>
      </c>
      <c r="Q775" s="24" t="s">
        <v>6854</v>
      </c>
      <c r="R775" s="25" t="s">
        <v>6855</v>
      </c>
      <c r="S775" s="24" t="s">
        <v>6703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140</v>
      </c>
      <c r="Y775" s="23" t="s">
        <v>140</v>
      </c>
      <c r="Z775" s="23" t="s">
        <v>140</v>
      </c>
      <c r="AA775" s="23" t="s">
        <v>140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</row>
    <row r="776" customFormat="false" ht="26.85" hidden="false" customHeight="false" outlineLevel="0" collapsed="false">
      <c r="A776" s="23" t="n">
        <v>775</v>
      </c>
      <c r="B776" s="30" t="s">
        <v>6856</v>
      </c>
      <c r="C776" s="23" t="n">
        <v>2</v>
      </c>
      <c r="D776" s="23" t="s">
        <v>4666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0" t="s">
        <v>6813</v>
      </c>
      <c r="H776" s="30" t="s">
        <v>6814</v>
      </c>
      <c r="I776" s="23" t="s">
        <v>6857</v>
      </c>
      <c r="J776" s="24" t="s">
        <v>6858</v>
      </c>
      <c r="K776" s="23" t="s">
        <v>1095</v>
      </c>
      <c r="L776" s="24" t="s">
        <v>6859</v>
      </c>
      <c r="M776" s="24" t="s">
        <v>6860</v>
      </c>
      <c r="N776" s="23" t="s">
        <v>6861</v>
      </c>
      <c r="O776" s="24" t="s">
        <v>6862</v>
      </c>
      <c r="P776" s="24" t="s">
        <v>6863</v>
      </c>
      <c r="Q776" s="24" t="s">
        <v>6864</v>
      </c>
      <c r="R776" s="27" t="s">
        <v>6865</v>
      </c>
      <c r="S776" s="24" t="s">
        <v>6703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140</v>
      </c>
      <c r="Y776" s="23" t="s">
        <v>140</v>
      </c>
      <c r="Z776" s="23" t="s">
        <v>140</v>
      </c>
      <c r="AA776" s="23" t="s">
        <v>140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</row>
    <row r="777" customFormat="false" ht="26.85" hidden="false" customHeight="false" outlineLevel="0" collapsed="false">
      <c r="A777" s="23" t="n">
        <v>776</v>
      </c>
      <c r="B777" s="30" t="s">
        <v>6866</v>
      </c>
      <c r="C777" s="23" t="n">
        <v>2</v>
      </c>
      <c r="D777" s="23" t="s">
        <v>4666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0" t="s">
        <v>6813</v>
      </c>
      <c r="H777" s="30" t="s">
        <v>6814</v>
      </c>
      <c r="I777" s="23" t="s">
        <v>6867</v>
      </c>
      <c r="J777" s="24" t="s">
        <v>6868</v>
      </c>
      <c r="K777" s="23" t="s">
        <v>1095</v>
      </c>
      <c r="L777" s="24" t="s">
        <v>6869</v>
      </c>
      <c r="M777" s="24" t="s">
        <v>6870</v>
      </c>
      <c r="N777" s="23" t="s">
        <v>6871</v>
      </c>
      <c r="O777" s="24" t="s">
        <v>6872</v>
      </c>
      <c r="P777" s="24" t="s">
        <v>6873</v>
      </c>
      <c r="Q777" s="24" t="s">
        <v>6874</v>
      </c>
      <c r="R777" s="27" t="s">
        <v>6875</v>
      </c>
      <c r="S777" s="24" t="s">
        <v>6703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140</v>
      </c>
      <c r="Y777" s="23" t="s">
        <v>140</v>
      </c>
      <c r="Z777" s="23" t="s">
        <v>140</v>
      </c>
      <c r="AA777" s="23" t="s">
        <v>140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</row>
    <row r="778" customFormat="false" ht="26.85" hidden="false" customHeight="false" outlineLevel="0" collapsed="false">
      <c r="A778" s="23" t="n">
        <v>777</v>
      </c>
      <c r="B778" s="30" t="s">
        <v>6876</v>
      </c>
      <c r="C778" s="23" t="n">
        <v>2</v>
      </c>
      <c r="D778" s="23" t="s">
        <v>4666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0" t="s">
        <v>6877</v>
      </c>
      <c r="H778" s="30" t="s">
        <v>6878</v>
      </c>
      <c r="I778" s="23" t="s">
        <v>6879</v>
      </c>
      <c r="J778" s="24" t="s">
        <v>6880</v>
      </c>
      <c r="K778" s="23" t="s">
        <v>1095</v>
      </c>
      <c r="L778" s="24" t="s">
        <v>6881</v>
      </c>
      <c r="M778" s="24" t="s">
        <v>6882</v>
      </c>
      <c r="N778" s="23" t="s">
        <v>6883</v>
      </c>
      <c r="O778" s="24" t="s">
        <v>6884</v>
      </c>
      <c r="P778" s="24" t="s">
        <v>6821</v>
      </c>
      <c r="Q778" s="24" t="s">
        <v>6885</v>
      </c>
      <c r="R778" s="24"/>
      <c r="S778" s="24" t="s">
        <v>6703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140</v>
      </c>
      <c r="Y778" s="23" t="s">
        <v>140</v>
      </c>
      <c r="Z778" s="23" t="s">
        <v>140</v>
      </c>
      <c r="AA778" s="23" t="s">
        <v>140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</row>
    <row r="779" customFormat="false" ht="26.85" hidden="false" customHeight="false" outlineLevel="0" collapsed="false">
      <c r="A779" s="23" t="n">
        <v>778</v>
      </c>
      <c r="B779" s="30" t="s">
        <v>6886</v>
      </c>
      <c r="C779" s="23" t="n">
        <v>2</v>
      </c>
      <c r="D779" s="23" t="s">
        <v>4666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0" t="s">
        <v>6877</v>
      </c>
      <c r="H779" s="30" t="s">
        <v>6878</v>
      </c>
      <c r="I779" s="23" t="s">
        <v>6879</v>
      </c>
      <c r="J779" s="24" t="s">
        <v>6887</v>
      </c>
      <c r="K779" s="23" t="s">
        <v>1095</v>
      </c>
      <c r="L779" s="24" t="s">
        <v>6888</v>
      </c>
      <c r="M779" s="24" t="s">
        <v>6889</v>
      </c>
      <c r="N779" s="23" t="s">
        <v>6890</v>
      </c>
      <c r="O779" s="24" t="s">
        <v>6891</v>
      </c>
      <c r="P779" s="24" t="s">
        <v>6892</v>
      </c>
      <c r="Q779" s="24" t="s">
        <v>6893</v>
      </c>
      <c r="R779" s="25" t="s">
        <v>6894</v>
      </c>
      <c r="S779" s="24" t="s">
        <v>6703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140</v>
      </c>
      <c r="Y779" s="23" t="s">
        <v>140</v>
      </c>
      <c r="Z779" s="23" t="s">
        <v>140</v>
      </c>
      <c r="AA779" s="23" t="s">
        <v>140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</row>
    <row r="780" customFormat="false" ht="26.85" hidden="false" customHeight="false" outlineLevel="0" collapsed="false">
      <c r="A780" s="23" t="n">
        <v>779</v>
      </c>
      <c r="B780" s="30" t="s">
        <v>6895</v>
      </c>
      <c r="C780" s="23" t="n">
        <v>2</v>
      </c>
      <c r="D780" s="23" t="s">
        <v>4666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0" t="s">
        <v>6877</v>
      </c>
      <c r="H780" s="30" t="s">
        <v>6878</v>
      </c>
      <c r="I780" s="23" t="s">
        <v>6879</v>
      </c>
      <c r="J780" s="24" t="s">
        <v>6896</v>
      </c>
      <c r="K780" s="23" t="s">
        <v>1095</v>
      </c>
      <c r="L780" s="24" t="s">
        <v>6897</v>
      </c>
      <c r="M780" s="24" t="s">
        <v>6898</v>
      </c>
      <c r="N780" s="23" t="s">
        <v>6899</v>
      </c>
      <c r="O780" s="24" t="s">
        <v>6900</v>
      </c>
      <c r="P780" s="24" t="s">
        <v>6901</v>
      </c>
      <c r="Q780" s="24" t="s">
        <v>6902</v>
      </c>
      <c r="R780" s="25" t="s">
        <v>6903</v>
      </c>
      <c r="S780" s="24" t="s">
        <v>6703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140</v>
      </c>
      <c r="Y780" s="23" t="s">
        <v>140</v>
      </c>
      <c r="Z780" s="23" t="s">
        <v>140</v>
      </c>
      <c r="AA780" s="23" t="s">
        <v>140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</row>
    <row r="781" customFormat="false" ht="26.85" hidden="false" customHeight="false" outlineLevel="0" collapsed="false">
      <c r="A781" s="23" t="n">
        <v>780</v>
      </c>
      <c r="B781" s="30" t="s">
        <v>6904</v>
      </c>
      <c r="C781" s="23" t="n">
        <v>2</v>
      </c>
      <c r="D781" s="23" t="s">
        <v>4666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0" t="s">
        <v>6877</v>
      </c>
      <c r="H781" s="30" t="s">
        <v>6878</v>
      </c>
      <c r="I781" s="23" t="s">
        <v>6879</v>
      </c>
      <c r="J781" s="24" t="s">
        <v>6905</v>
      </c>
      <c r="K781" s="23" t="s">
        <v>1095</v>
      </c>
      <c r="L781" s="24" t="s">
        <v>6906</v>
      </c>
      <c r="M781" s="24" t="s">
        <v>6907</v>
      </c>
      <c r="N781" s="23" t="s">
        <v>6908</v>
      </c>
      <c r="O781" s="24" t="s">
        <v>6909</v>
      </c>
      <c r="P781" s="24" t="s">
        <v>6910</v>
      </c>
      <c r="Q781" s="24" t="s">
        <v>6902</v>
      </c>
      <c r="R781" s="27" t="s">
        <v>6911</v>
      </c>
      <c r="S781" s="24" t="s">
        <v>6703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140</v>
      </c>
      <c r="Y781" s="23" t="s">
        <v>140</v>
      </c>
      <c r="Z781" s="23" t="s">
        <v>140</v>
      </c>
      <c r="AA781" s="23" t="s">
        <v>140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</row>
    <row r="782" customFormat="false" ht="52.2" hidden="false" customHeight="false" outlineLevel="0" collapsed="false">
      <c r="A782" s="23" t="n">
        <v>781</v>
      </c>
      <c r="B782" s="30" t="s">
        <v>6912</v>
      </c>
      <c r="C782" s="20" t="n">
        <v>1</v>
      </c>
      <c r="D782" s="20" t="s">
        <v>4666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0" t="s">
        <v>6877</v>
      </c>
      <c r="H782" s="30" t="s">
        <v>6685</v>
      </c>
      <c r="I782" s="23" t="s">
        <v>6879</v>
      </c>
      <c r="J782" s="24" t="s">
        <v>6913</v>
      </c>
      <c r="K782" s="23" t="s">
        <v>1095</v>
      </c>
      <c r="L782" s="24" t="s">
        <v>6914</v>
      </c>
      <c r="M782" s="24" t="s">
        <v>6915</v>
      </c>
      <c r="N782" s="23" t="s">
        <v>6916</v>
      </c>
      <c r="O782" s="24" t="s">
        <v>6917</v>
      </c>
      <c r="P782" s="24" t="s">
        <v>6918</v>
      </c>
      <c r="Q782" s="24" t="s">
        <v>6919</v>
      </c>
      <c r="R782" s="24"/>
      <c r="S782" s="28" t="s">
        <v>6920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140</v>
      </c>
      <c r="Y782" s="23" t="s">
        <v>140</v>
      </c>
      <c r="Z782" s="23" t="s">
        <v>140</v>
      </c>
      <c r="AA782" s="23" t="s">
        <v>140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</row>
    <row r="783" customFormat="false" ht="26.85" hidden="false" customHeight="false" outlineLevel="0" collapsed="false">
      <c r="A783" s="23" t="n">
        <v>782</v>
      </c>
      <c r="B783" s="30" t="s">
        <v>6921</v>
      </c>
      <c r="C783" s="23" t="n">
        <v>2</v>
      </c>
      <c r="D783" s="23" t="s">
        <v>4666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0" t="s">
        <v>6877</v>
      </c>
      <c r="H783" s="30" t="s">
        <v>6878</v>
      </c>
      <c r="I783" s="23" t="s">
        <v>6879</v>
      </c>
      <c r="J783" s="24" t="s">
        <v>6922</v>
      </c>
      <c r="K783" s="23" t="s">
        <v>1095</v>
      </c>
      <c r="L783" s="24" t="s">
        <v>6923</v>
      </c>
      <c r="M783" s="24" t="s">
        <v>6924</v>
      </c>
      <c r="N783" s="23" t="s">
        <v>6925</v>
      </c>
      <c r="O783" s="24" t="s">
        <v>6926</v>
      </c>
      <c r="P783" s="24" t="s">
        <v>6927</v>
      </c>
      <c r="Q783" s="24" t="s">
        <v>6928</v>
      </c>
      <c r="R783" s="25" t="s">
        <v>6929</v>
      </c>
      <c r="S783" s="24" t="s">
        <v>6930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140</v>
      </c>
      <c r="Y783" s="23" t="s">
        <v>140</v>
      </c>
      <c r="Z783" s="23" t="s">
        <v>140</v>
      </c>
      <c r="AA783" s="23" t="s">
        <v>140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</row>
    <row r="784" customFormat="false" ht="26.85" hidden="false" customHeight="false" outlineLevel="0" collapsed="false">
      <c r="A784" s="23" t="n">
        <v>783</v>
      </c>
      <c r="B784" s="30" t="s">
        <v>6931</v>
      </c>
      <c r="C784" s="20" t="n">
        <v>1</v>
      </c>
      <c r="D784" s="20" t="s">
        <v>4666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0" t="s">
        <v>6877</v>
      </c>
      <c r="H784" s="30" t="s">
        <v>6685</v>
      </c>
      <c r="I784" s="23" t="s">
        <v>6879</v>
      </c>
      <c r="J784" s="24" t="s">
        <v>6932</v>
      </c>
      <c r="K784" s="23" t="s">
        <v>1095</v>
      </c>
      <c r="L784" s="24" t="s">
        <v>6933</v>
      </c>
      <c r="M784" s="24" t="s">
        <v>6934</v>
      </c>
      <c r="N784" s="23" t="s">
        <v>6935</v>
      </c>
      <c r="O784" s="24" t="s">
        <v>6936</v>
      </c>
      <c r="P784" s="24" t="s">
        <v>6937</v>
      </c>
      <c r="Q784" s="24" t="s">
        <v>6938</v>
      </c>
      <c r="R784" s="25" t="s">
        <v>6939</v>
      </c>
      <c r="S784" s="28" t="s">
        <v>6940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140</v>
      </c>
      <c r="Y784" s="23" t="s">
        <v>140</v>
      </c>
      <c r="Z784" s="23" t="s">
        <v>140</v>
      </c>
      <c r="AA784" s="23" t="s">
        <v>140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</row>
    <row r="785" customFormat="false" ht="26.85" hidden="false" customHeight="false" outlineLevel="0" collapsed="false">
      <c r="A785" s="23" t="n">
        <v>784</v>
      </c>
      <c r="B785" s="30" t="s">
        <v>6941</v>
      </c>
      <c r="C785" s="23" t="n">
        <v>2</v>
      </c>
      <c r="D785" s="23" t="s">
        <v>4666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0" t="s">
        <v>6877</v>
      </c>
      <c r="H785" s="30" t="s">
        <v>6878</v>
      </c>
      <c r="I785" s="23" t="s">
        <v>6879</v>
      </c>
      <c r="J785" s="24" t="s">
        <v>6942</v>
      </c>
      <c r="K785" s="23" t="s">
        <v>1095</v>
      </c>
      <c r="L785" s="24" t="s">
        <v>6943</v>
      </c>
      <c r="M785" s="24" t="s">
        <v>6944</v>
      </c>
      <c r="N785" s="23" t="s">
        <v>6945</v>
      </c>
      <c r="O785" s="24" t="s">
        <v>6946</v>
      </c>
      <c r="P785" s="24" t="s">
        <v>6947</v>
      </c>
      <c r="Q785" s="24" t="s">
        <v>6948</v>
      </c>
      <c r="R785" s="25" t="s">
        <v>6949</v>
      </c>
      <c r="S785" s="24" t="s">
        <v>6950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140</v>
      </c>
      <c r="Y785" s="23" t="s">
        <v>140</v>
      </c>
      <c r="Z785" s="23" t="s">
        <v>140</v>
      </c>
      <c r="AA785" s="23" t="s">
        <v>140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</row>
    <row r="786" customFormat="false" ht="39.55" hidden="false" customHeight="false" outlineLevel="0" collapsed="false">
      <c r="A786" s="23" t="n">
        <v>785</v>
      </c>
      <c r="B786" s="30" t="s">
        <v>6951</v>
      </c>
      <c r="C786" s="23" t="n">
        <v>2</v>
      </c>
      <c r="D786" s="23" t="s">
        <v>4666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0" t="s">
        <v>6877</v>
      </c>
      <c r="H786" s="30" t="s">
        <v>6878</v>
      </c>
      <c r="I786" s="23" t="s">
        <v>6879</v>
      </c>
      <c r="J786" s="24" t="s">
        <v>6952</v>
      </c>
      <c r="K786" s="23" t="s">
        <v>1095</v>
      </c>
      <c r="L786" s="24" t="s">
        <v>6953</v>
      </c>
      <c r="M786" s="24" t="s">
        <v>6954</v>
      </c>
      <c r="N786" s="23" t="s">
        <v>6955</v>
      </c>
      <c r="O786" s="24" t="s">
        <v>6956</v>
      </c>
      <c r="P786" s="24" t="s">
        <v>6957</v>
      </c>
      <c r="Q786" s="24" t="s">
        <v>6958</v>
      </c>
      <c r="R786" s="27" t="s">
        <v>6959</v>
      </c>
      <c r="S786" s="24" t="s">
        <v>6950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140</v>
      </c>
      <c r="Y786" s="23" t="s">
        <v>140</v>
      </c>
      <c r="Z786" s="23" t="s">
        <v>140</v>
      </c>
      <c r="AA786" s="23" t="s">
        <v>140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</row>
    <row r="787" customFormat="false" ht="26.85" hidden="false" customHeight="false" outlineLevel="0" collapsed="false">
      <c r="A787" s="23" t="n">
        <v>786</v>
      </c>
      <c r="B787" s="30" t="s">
        <v>6960</v>
      </c>
      <c r="C787" s="23" t="n">
        <v>2</v>
      </c>
      <c r="D787" s="23" t="s">
        <v>4666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0" t="s">
        <v>6877</v>
      </c>
      <c r="H787" s="30" t="s">
        <v>6878</v>
      </c>
      <c r="I787" s="23" t="s">
        <v>6879</v>
      </c>
      <c r="J787" s="24" t="s">
        <v>6961</v>
      </c>
      <c r="K787" s="23" t="s">
        <v>1095</v>
      </c>
      <c r="L787" s="24" t="s">
        <v>6962</v>
      </c>
      <c r="M787" s="24" t="s">
        <v>6963</v>
      </c>
      <c r="N787" s="23" t="s">
        <v>6964</v>
      </c>
      <c r="O787" s="24" t="s">
        <v>6965</v>
      </c>
      <c r="P787" s="24" t="s">
        <v>6966</v>
      </c>
      <c r="Q787" s="24" t="s">
        <v>6967</v>
      </c>
      <c r="R787" s="25" t="s">
        <v>6968</v>
      </c>
      <c r="S787" s="24" t="s">
        <v>6950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140</v>
      </c>
      <c r="Y787" s="23" t="s">
        <v>140</v>
      </c>
      <c r="Z787" s="23" t="s">
        <v>140</v>
      </c>
      <c r="AA787" s="23" t="s">
        <v>140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</row>
    <row r="788" customFormat="false" ht="26.85" hidden="false" customHeight="false" outlineLevel="0" collapsed="false">
      <c r="A788" s="23" t="n">
        <v>787</v>
      </c>
      <c r="B788" s="30" t="s">
        <v>6969</v>
      </c>
      <c r="C788" s="23" t="n">
        <v>2</v>
      </c>
      <c r="D788" s="23" t="s">
        <v>4666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0" t="s">
        <v>6877</v>
      </c>
      <c r="H788" s="30" t="s">
        <v>6878</v>
      </c>
      <c r="I788" s="23" t="s">
        <v>6879</v>
      </c>
      <c r="J788" s="24" t="s">
        <v>6970</v>
      </c>
      <c r="K788" s="23" t="s">
        <v>1095</v>
      </c>
      <c r="L788" s="24" t="s">
        <v>6971</v>
      </c>
      <c r="M788" s="24" t="s">
        <v>6972</v>
      </c>
      <c r="N788" s="23" t="s">
        <v>6973</v>
      </c>
      <c r="O788" s="24" t="s">
        <v>6974</v>
      </c>
      <c r="P788" s="24" t="s">
        <v>6975</v>
      </c>
      <c r="Q788" s="24" t="s">
        <v>6976</v>
      </c>
      <c r="R788" s="25" t="s">
        <v>6977</v>
      </c>
      <c r="S788" s="24" t="s">
        <v>6950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140</v>
      </c>
      <c r="Y788" s="23" t="s">
        <v>140</v>
      </c>
      <c r="Z788" s="23" t="s">
        <v>140</v>
      </c>
      <c r="AA788" s="23" t="s">
        <v>140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</row>
    <row r="789" customFormat="false" ht="26.85" hidden="false" customHeight="false" outlineLevel="0" collapsed="false">
      <c r="A789" s="23" t="n">
        <v>788</v>
      </c>
      <c r="B789" s="30" t="s">
        <v>6978</v>
      </c>
      <c r="C789" s="23" t="n">
        <v>2</v>
      </c>
      <c r="D789" s="23" t="s">
        <v>4666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0" t="s">
        <v>6979</v>
      </c>
      <c r="H789" s="30" t="s">
        <v>6980</v>
      </c>
      <c r="I789" s="23" t="s">
        <v>6879</v>
      </c>
      <c r="J789" s="24" t="s">
        <v>6981</v>
      </c>
      <c r="K789" s="23" t="s">
        <v>1095</v>
      </c>
      <c r="L789" s="24" t="s">
        <v>6982</v>
      </c>
      <c r="M789" s="24" t="s">
        <v>6983</v>
      </c>
      <c r="N789" s="23" t="s">
        <v>6984</v>
      </c>
      <c r="O789" s="24" t="s">
        <v>6985</v>
      </c>
      <c r="P789" s="24" t="s">
        <v>6986</v>
      </c>
      <c r="Q789" s="24" t="s">
        <v>6987</v>
      </c>
      <c r="R789" s="27" t="s">
        <v>6988</v>
      </c>
      <c r="S789" s="24" t="s">
        <v>6950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140</v>
      </c>
      <c r="Y789" s="23" t="s">
        <v>140</v>
      </c>
      <c r="Z789" s="23" t="s">
        <v>140</v>
      </c>
      <c r="AA789" s="23" t="s">
        <v>140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</row>
    <row r="790" customFormat="false" ht="26.85" hidden="false" customHeight="false" outlineLevel="0" collapsed="false">
      <c r="A790" s="23" t="n">
        <v>789</v>
      </c>
      <c r="B790" s="30" t="s">
        <v>6989</v>
      </c>
      <c r="C790" s="23" t="n">
        <v>2</v>
      </c>
      <c r="D790" s="23" t="s">
        <v>4666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0" t="s">
        <v>6979</v>
      </c>
      <c r="H790" s="30" t="s">
        <v>6980</v>
      </c>
      <c r="I790" s="23" t="s">
        <v>6879</v>
      </c>
      <c r="J790" s="24" t="s">
        <v>6990</v>
      </c>
      <c r="K790" s="23" t="s">
        <v>1095</v>
      </c>
      <c r="L790" s="24" t="s">
        <v>6991</v>
      </c>
      <c r="M790" s="24" t="s">
        <v>6992</v>
      </c>
      <c r="N790" s="23" t="s">
        <v>6993</v>
      </c>
      <c r="O790" s="24" t="s">
        <v>6994</v>
      </c>
      <c r="P790" s="24" t="s">
        <v>6995</v>
      </c>
      <c r="Q790" s="24" t="s">
        <v>6996</v>
      </c>
      <c r="R790" s="27" t="s">
        <v>6997</v>
      </c>
      <c r="S790" s="24" t="s">
        <v>6950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140</v>
      </c>
      <c r="Y790" s="23" t="s">
        <v>140</v>
      </c>
      <c r="Z790" s="23" t="s">
        <v>140</v>
      </c>
      <c r="AA790" s="23" t="s">
        <v>140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</row>
    <row r="791" customFormat="false" ht="26.85" hidden="false" customHeight="false" outlineLevel="0" collapsed="false">
      <c r="A791" s="23" t="n">
        <v>790</v>
      </c>
      <c r="B791" s="30" t="s">
        <v>6998</v>
      </c>
      <c r="C791" s="23" t="n">
        <v>2</v>
      </c>
      <c r="D791" s="23" t="s">
        <v>4666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0" t="s">
        <v>6979</v>
      </c>
      <c r="H791" s="30" t="s">
        <v>6980</v>
      </c>
      <c r="I791" s="23" t="s">
        <v>6879</v>
      </c>
      <c r="J791" s="24" t="s">
        <v>6999</v>
      </c>
      <c r="K791" s="23" t="s">
        <v>1095</v>
      </c>
      <c r="L791" s="24" t="s">
        <v>7000</v>
      </c>
      <c r="M791" s="24" t="s">
        <v>7001</v>
      </c>
      <c r="N791" s="23" t="s">
        <v>7002</v>
      </c>
      <c r="O791" s="24" t="s">
        <v>7003</v>
      </c>
      <c r="P791" s="24" t="s">
        <v>7004</v>
      </c>
      <c r="Q791" s="24" t="s">
        <v>7005</v>
      </c>
      <c r="R791" s="24"/>
      <c r="S791" s="24" t="s">
        <v>6950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140</v>
      </c>
      <c r="Y791" s="23" t="s">
        <v>140</v>
      </c>
      <c r="Z791" s="23" t="s">
        <v>140</v>
      </c>
      <c r="AA791" s="23" t="s">
        <v>140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</row>
    <row r="792" customFormat="false" ht="26.85" hidden="false" customHeight="false" outlineLevel="0" collapsed="false">
      <c r="A792" s="23" t="n">
        <v>791</v>
      </c>
      <c r="B792" s="30" t="s">
        <v>7006</v>
      </c>
      <c r="C792" s="23" t="n">
        <v>2</v>
      </c>
      <c r="D792" s="23" t="s">
        <v>4666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0" t="s">
        <v>6979</v>
      </c>
      <c r="H792" s="30" t="s">
        <v>6980</v>
      </c>
      <c r="I792" s="23" t="s">
        <v>6879</v>
      </c>
      <c r="J792" s="24" t="s">
        <v>7007</v>
      </c>
      <c r="K792" s="23" t="s">
        <v>1095</v>
      </c>
      <c r="L792" s="24" t="s">
        <v>7008</v>
      </c>
      <c r="M792" s="24" t="s">
        <v>7009</v>
      </c>
      <c r="N792" s="23" t="s">
        <v>7010</v>
      </c>
      <c r="O792" s="24" t="s">
        <v>7011</v>
      </c>
      <c r="P792" s="24" t="s">
        <v>7012</v>
      </c>
      <c r="Q792" s="24" t="s">
        <v>7013</v>
      </c>
      <c r="R792" s="25" t="s">
        <v>6968</v>
      </c>
      <c r="S792" s="24" t="s">
        <v>6950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140</v>
      </c>
      <c r="Y792" s="23" t="s">
        <v>140</v>
      </c>
      <c r="Z792" s="23" t="s">
        <v>140</v>
      </c>
      <c r="AA792" s="23" t="s">
        <v>140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</row>
    <row r="793" customFormat="false" ht="26.85" hidden="false" customHeight="false" outlineLevel="0" collapsed="false">
      <c r="A793" s="23" t="n">
        <v>792</v>
      </c>
      <c r="B793" s="30" t="s">
        <v>7014</v>
      </c>
      <c r="C793" s="23" t="n">
        <v>2</v>
      </c>
      <c r="D793" s="23" t="s">
        <v>4666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0" t="s">
        <v>6979</v>
      </c>
      <c r="H793" s="30" t="s">
        <v>6980</v>
      </c>
      <c r="I793" s="23" t="s">
        <v>6879</v>
      </c>
      <c r="J793" s="24" t="s">
        <v>7015</v>
      </c>
      <c r="K793" s="23" t="s">
        <v>1095</v>
      </c>
      <c r="L793" s="24" t="s">
        <v>7016</v>
      </c>
      <c r="M793" s="24" t="s">
        <v>7017</v>
      </c>
      <c r="N793" s="23" t="s">
        <v>7018</v>
      </c>
      <c r="O793" s="24" t="s">
        <v>7019</v>
      </c>
      <c r="P793" s="24" t="s">
        <v>7020</v>
      </c>
      <c r="Q793" s="24" t="s">
        <v>7021</v>
      </c>
      <c r="R793" s="25" t="s">
        <v>7022</v>
      </c>
      <c r="S793" s="24" t="s">
        <v>6950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140</v>
      </c>
      <c r="Y793" s="23" t="s">
        <v>140</v>
      </c>
      <c r="Z793" s="23" t="s">
        <v>140</v>
      </c>
      <c r="AA793" s="23" t="s">
        <v>140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</row>
    <row r="794" customFormat="false" ht="39.55" hidden="false" customHeight="false" outlineLevel="0" collapsed="false">
      <c r="A794" s="23" t="n">
        <v>793</v>
      </c>
      <c r="B794" s="30" t="s">
        <v>7023</v>
      </c>
      <c r="C794" s="20" t="n">
        <v>1</v>
      </c>
      <c r="D794" s="20" t="s">
        <v>4666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0" t="s">
        <v>6979</v>
      </c>
      <c r="H794" s="30" t="s">
        <v>6685</v>
      </c>
      <c r="I794" s="23" t="s">
        <v>6879</v>
      </c>
      <c r="J794" s="24" t="s">
        <v>7024</v>
      </c>
      <c r="K794" s="23" t="s">
        <v>1095</v>
      </c>
      <c r="L794" s="24" t="s">
        <v>7025</v>
      </c>
      <c r="M794" s="24" t="s">
        <v>7026</v>
      </c>
      <c r="N794" s="23" t="s">
        <v>7027</v>
      </c>
      <c r="O794" s="24" t="s">
        <v>7028</v>
      </c>
      <c r="P794" s="24" t="s">
        <v>7029</v>
      </c>
      <c r="Q794" s="24" t="s">
        <v>7030</v>
      </c>
      <c r="R794" s="24"/>
      <c r="S794" s="28" t="s">
        <v>7031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140</v>
      </c>
      <c r="Y794" s="23" t="s">
        <v>140</v>
      </c>
      <c r="Z794" s="23" t="s">
        <v>140</v>
      </c>
      <c r="AA794" s="23" t="s">
        <v>140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</row>
    <row r="795" customFormat="false" ht="26.85" hidden="false" customHeight="false" outlineLevel="0" collapsed="false">
      <c r="A795" s="23" t="n">
        <v>794</v>
      </c>
      <c r="B795" s="30" t="s">
        <v>7032</v>
      </c>
      <c r="C795" s="23" t="n">
        <v>2</v>
      </c>
      <c r="D795" s="23" t="s">
        <v>4666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0" t="s">
        <v>6979</v>
      </c>
      <c r="H795" s="30" t="s">
        <v>6980</v>
      </c>
      <c r="I795" s="23" t="s">
        <v>6879</v>
      </c>
      <c r="J795" s="24" t="s">
        <v>7033</v>
      </c>
      <c r="K795" s="23" t="s">
        <v>1095</v>
      </c>
      <c r="L795" s="24" t="s">
        <v>7034</v>
      </c>
      <c r="M795" s="24" t="s">
        <v>7035</v>
      </c>
      <c r="N795" s="23" t="s">
        <v>7036</v>
      </c>
      <c r="O795" s="24" t="s">
        <v>7037</v>
      </c>
      <c r="P795" s="24" t="s">
        <v>7038</v>
      </c>
      <c r="Q795" s="24" t="s">
        <v>7039</v>
      </c>
      <c r="R795" s="25" t="s">
        <v>7040</v>
      </c>
      <c r="S795" s="24" t="s">
        <v>7041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140</v>
      </c>
      <c r="Y795" s="23" t="s">
        <v>140</v>
      </c>
      <c r="Z795" s="23" t="s">
        <v>140</v>
      </c>
      <c r="AA795" s="23" t="s">
        <v>140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</row>
    <row r="796" customFormat="false" ht="39.55" hidden="false" customHeight="false" outlineLevel="0" collapsed="false">
      <c r="A796" s="23" t="n">
        <v>795</v>
      </c>
      <c r="B796" s="30" t="s">
        <v>7042</v>
      </c>
      <c r="C796" s="23" t="n">
        <v>2</v>
      </c>
      <c r="D796" s="23" t="s">
        <v>4666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0" t="s">
        <v>6979</v>
      </c>
      <c r="H796" s="30" t="s">
        <v>6980</v>
      </c>
      <c r="I796" s="23" t="s">
        <v>6879</v>
      </c>
      <c r="J796" s="24" t="s">
        <v>7043</v>
      </c>
      <c r="K796" s="23" t="s">
        <v>1095</v>
      </c>
      <c r="L796" s="24" t="s">
        <v>7044</v>
      </c>
      <c r="M796" s="24" t="s">
        <v>7045</v>
      </c>
      <c r="N796" s="23" t="s">
        <v>7046</v>
      </c>
      <c r="O796" s="24" t="s">
        <v>7047</v>
      </c>
      <c r="P796" s="24" t="s">
        <v>7048</v>
      </c>
      <c r="Q796" s="24" t="s">
        <v>7049</v>
      </c>
      <c r="R796" s="25" t="s">
        <v>7050</v>
      </c>
      <c r="S796" s="24" t="s">
        <v>7041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140</v>
      </c>
      <c r="Y796" s="23" t="s">
        <v>140</v>
      </c>
      <c r="Z796" s="23" t="s">
        <v>140</v>
      </c>
      <c r="AA796" s="23" t="s">
        <v>140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</row>
    <row r="797" customFormat="false" ht="39.55" hidden="false" customHeight="false" outlineLevel="0" collapsed="false">
      <c r="A797" s="23" t="n">
        <v>796</v>
      </c>
      <c r="B797" s="30" t="s">
        <v>7051</v>
      </c>
      <c r="C797" s="20" t="n">
        <v>1</v>
      </c>
      <c r="D797" s="20" t="s">
        <v>4666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0" t="s">
        <v>6979</v>
      </c>
      <c r="H797" s="30" t="s">
        <v>6685</v>
      </c>
      <c r="I797" s="23" t="s">
        <v>6879</v>
      </c>
      <c r="J797" s="24" t="s">
        <v>7052</v>
      </c>
      <c r="K797" s="23" t="s">
        <v>1095</v>
      </c>
      <c r="L797" s="24" t="s">
        <v>3943</v>
      </c>
      <c r="M797" s="24" t="s">
        <v>7053</v>
      </c>
      <c r="N797" s="23" t="s">
        <v>7054</v>
      </c>
      <c r="O797" s="24" t="s">
        <v>7055</v>
      </c>
      <c r="P797" s="24" t="s">
        <v>7056</v>
      </c>
      <c r="Q797" s="24" t="s">
        <v>3943</v>
      </c>
      <c r="R797" s="24"/>
      <c r="S797" s="28" t="s">
        <v>7057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140</v>
      </c>
      <c r="Y797" s="23" t="s">
        <v>140</v>
      </c>
      <c r="Z797" s="23" t="s">
        <v>140</v>
      </c>
      <c r="AA797" s="23" t="s">
        <v>140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</row>
    <row r="798" customFormat="false" ht="26.85" hidden="false" customHeight="false" outlineLevel="0" collapsed="false">
      <c r="A798" s="23" t="n">
        <v>797</v>
      </c>
      <c r="B798" s="30" t="s">
        <v>7058</v>
      </c>
      <c r="C798" s="20" t="n">
        <v>1</v>
      </c>
      <c r="D798" s="20" t="s">
        <v>4666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0" t="s">
        <v>6979</v>
      </c>
      <c r="H798" s="30" t="s">
        <v>6685</v>
      </c>
      <c r="I798" s="23" t="s">
        <v>6879</v>
      </c>
      <c r="J798" s="24" t="s">
        <v>7059</v>
      </c>
      <c r="K798" s="23" t="s">
        <v>1095</v>
      </c>
      <c r="L798" s="24" t="s">
        <v>7060</v>
      </c>
      <c r="M798" s="24" t="s">
        <v>7061</v>
      </c>
      <c r="N798" s="23" t="s">
        <v>7062</v>
      </c>
      <c r="O798" s="24" t="s">
        <v>7063</v>
      </c>
      <c r="P798" s="24" t="s">
        <v>7064</v>
      </c>
      <c r="Q798" s="24" t="s">
        <v>7065</v>
      </c>
      <c r="R798" s="25" t="s">
        <v>7066</v>
      </c>
      <c r="S798" s="24" t="s">
        <v>139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140</v>
      </c>
      <c r="Y798" s="23" t="s">
        <v>140</v>
      </c>
      <c r="Z798" s="23" t="s">
        <v>140</v>
      </c>
      <c r="AA798" s="23" t="s">
        <v>140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</row>
    <row r="799" customFormat="false" ht="39.55" hidden="false" customHeight="false" outlineLevel="0" collapsed="false">
      <c r="A799" s="23" t="n">
        <v>798</v>
      </c>
      <c r="B799" s="30" t="s">
        <v>7067</v>
      </c>
      <c r="C799" s="20" t="n">
        <v>1</v>
      </c>
      <c r="D799" s="20" t="s">
        <v>4666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0" t="s">
        <v>6979</v>
      </c>
      <c r="H799" s="30" t="s">
        <v>6685</v>
      </c>
      <c r="I799" s="23" t="s">
        <v>6879</v>
      </c>
      <c r="J799" s="24" t="s">
        <v>7068</v>
      </c>
      <c r="K799" s="23" t="s">
        <v>1095</v>
      </c>
      <c r="L799" s="24" t="s">
        <v>7069</v>
      </c>
      <c r="M799" s="24" t="s">
        <v>7070</v>
      </c>
      <c r="N799" s="23" t="s">
        <v>7071</v>
      </c>
      <c r="O799" s="24" t="s">
        <v>7072</v>
      </c>
      <c r="P799" s="24" t="s">
        <v>7073</v>
      </c>
      <c r="Q799" s="24" t="s">
        <v>7074</v>
      </c>
      <c r="R799" s="27" t="s">
        <v>7075</v>
      </c>
      <c r="S799" s="24" t="s">
        <v>139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140</v>
      </c>
      <c r="Y799" s="23" t="s">
        <v>140</v>
      </c>
      <c r="Z799" s="23" t="s">
        <v>140</v>
      </c>
      <c r="AA799" s="23" t="s">
        <v>140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</row>
  </sheetData>
  <autoFilter ref="A1:AD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32"/>
    <col collapsed="false" customWidth="true" hidden="false" outlineLevel="0" max="14" min="14" style="0" width="44"/>
    <col collapsed="false" customWidth="true" hidden="false" outlineLevel="0" max="15" min="15" style="0" width="32"/>
    <col collapsed="false" customWidth="true" hidden="false" outlineLevel="0" max="16" min="16" style="0" width="11"/>
    <col collapsed="false" customWidth="true" hidden="false" outlineLevel="0" max="17" min="17" style="0" width="5"/>
    <col collapsed="false" customWidth="true" hidden="false" outlineLevel="0" max="21" min="18" style="0" width="8"/>
    <col collapsed="false" customWidth="true" hidden="false" outlineLevel="0" max="22" min="22" style="0" width="16"/>
  </cols>
  <sheetData>
    <row r="1" customFormat="false" ht="30" hidden="false" customHeight="true" outlineLevel="0" collapsed="false">
      <c r="A1" s="16" t="s">
        <v>95</v>
      </c>
      <c r="B1" s="16" t="s">
        <v>7076</v>
      </c>
      <c r="C1" s="16" t="s">
        <v>97</v>
      </c>
      <c r="D1" s="16" t="s">
        <v>98</v>
      </c>
      <c r="E1" s="16" t="s">
        <v>7077</v>
      </c>
      <c r="F1" s="16" t="s">
        <v>7078</v>
      </c>
      <c r="G1" s="16" t="s">
        <v>7079</v>
      </c>
      <c r="H1" s="17" t="s">
        <v>7080</v>
      </c>
      <c r="I1" s="16" t="s">
        <v>7081</v>
      </c>
      <c r="J1" s="16" t="s">
        <v>7082</v>
      </c>
      <c r="K1" s="16" t="s">
        <v>7083</v>
      </c>
      <c r="L1" s="16" t="s">
        <v>7084</v>
      </c>
      <c r="M1" s="16" t="s">
        <v>7085</v>
      </c>
      <c r="N1" s="16" t="s">
        <v>7086</v>
      </c>
      <c r="O1" s="16" t="s">
        <v>7087</v>
      </c>
      <c r="P1" s="16" t="s">
        <v>7088</v>
      </c>
      <c r="Q1" s="16" t="s">
        <v>116</v>
      </c>
      <c r="R1" s="16" t="s">
        <v>118</v>
      </c>
      <c r="S1" s="16" t="s">
        <v>119</v>
      </c>
      <c r="T1" s="16" t="s">
        <v>120</v>
      </c>
      <c r="U1" s="16" t="s">
        <v>121</v>
      </c>
      <c r="V1" s="16" t="s">
        <v>122</v>
      </c>
    </row>
    <row r="2" customFormat="false" ht="26.85" hidden="false" customHeight="false" outlineLevel="0" collapsed="false">
      <c r="A2" s="23" t="n">
        <v>1</v>
      </c>
      <c r="B2" s="19" t="s">
        <v>128</v>
      </c>
      <c r="C2" s="20" t="n">
        <v>1</v>
      </c>
      <c r="D2" s="20" t="s">
        <v>126</v>
      </c>
      <c r="E2" s="24" t="s">
        <v>7089</v>
      </c>
      <c r="F2" s="29" t="s">
        <v>127</v>
      </c>
      <c r="G2" s="24" t="s">
        <v>7090</v>
      </c>
      <c r="H2" s="23" t="n">
        <f aca="false">COUNTIF(A타입_제작표!$H$2:$H$799,B2)</f>
        <v>10</v>
      </c>
      <c r="I2" s="23" t="n">
        <f aca="false">H2*안내!$C$7+안내!$C$8</f>
        <v>640</v>
      </c>
      <c r="J2" s="23" t="n">
        <f aca="false">ROUND(I2/60,1)</f>
        <v>10.7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24" t="s">
        <v>7091</v>
      </c>
      <c r="N2" s="29" t="s">
        <v>7092</v>
      </c>
      <c r="O2" s="24" t="s">
        <v>7093</v>
      </c>
      <c r="P2" s="26" t="n">
        <f aca="false">_xlfn.MAXIFS(A타입_제작표!$U$2:$U$799,A타입_제작표!$H$2:$H$799,B2)+1</f>
        <v>46401</v>
      </c>
      <c r="Q2" s="23" t="str">
        <f aca="false">CHOOSE(WEEKDAY(P2,2),"월","화","수","목","금","토","일")</f>
        <v>목</v>
      </c>
      <c r="R2" s="23" t="s">
        <v>140</v>
      </c>
      <c r="S2" s="23" t="s">
        <v>140</v>
      </c>
      <c r="T2" s="23" t="s">
        <v>140</v>
      </c>
      <c r="U2" s="23" t="s">
        <v>140</v>
      </c>
      <c r="V2" s="24"/>
    </row>
    <row r="3" customFormat="false" ht="26.85" hidden="false" customHeight="false" outlineLevel="0" collapsed="false">
      <c r="A3" s="23" t="n">
        <v>2</v>
      </c>
      <c r="B3" s="19" t="s">
        <v>218</v>
      </c>
      <c r="C3" s="20" t="n">
        <v>1</v>
      </c>
      <c r="D3" s="20" t="s">
        <v>126</v>
      </c>
      <c r="E3" s="24" t="s">
        <v>7094</v>
      </c>
      <c r="F3" s="29" t="s">
        <v>217</v>
      </c>
      <c r="G3" s="24" t="s">
        <v>7095</v>
      </c>
      <c r="H3" s="23" t="n">
        <f aca="false">COUNTIF(A타입_제작표!$H$2:$H$799,B3)</f>
        <v>8</v>
      </c>
      <c r="I3" s="23" t="n">
        <f aca="false">H3*안내!$C$7+안내!$C$8</f>
        <v>536</v>
      </c>
      <c r="J3" s="23" t="n">
        <f aca="false">ROUND(I3/60,1)</f>
        <v>8.9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7096</v>
      </c>
      <c r="N3" s="24" t="s">
        <v>7097</v>
      </c>
      <c r="O3" s="24" t="s">
        <v>7098</v>
      </c>
      <c r="P3" s="26" t="n">
        <f aca="false">_xlfn.MAXIFS(A타입_제작표!$U$2:$U$799,A타입_제작표!$H$2:$H$799,B3)+1</f>
        <v>46409</v>
      </c>
      <c r="Q3" s="23" t="str">
        <f aca="false">CHOOSE(WEEKDAY(P3,2),"월","화","수","목","금","토","일")</f>
        <v>금</v>
      </c>
      <c r="R3" s="23" t="s">
        <v>140</v>
      </c>
      <c r="S3" s="23" t="s">
        <v>140</v>
      </c>
      <c r="T3" s="23" t="s">
        <v>140</v>
      </c>
      <c r="U3" s="23" t="s">
        <v>140</v>
      </c>
      <c r="V3" s="24"/>
    </row>
    <row r="4" customFormat="false" ht="63.4" hidden="false" customHeight="false" outlineLevel="0" collapsed="false">
      <c r="A4" s="23" t="n">
        <v>3</v>
      </c>
      <c r="B4" s="19" t="s">
        <v>336</v>
      </c>
      <c r="C4" s="20" t="n">
        <v>1</v>
      </c>
      <c r="D4" s="20" t="s">
        <v>126</v>
      </c>
      <c r="E4" s="24" t="s">
        <v>7099</v>
      </c>
      <c r="F4" s="29" t="s">
        <v>7100</v>
      </c>
      <c r="G4" s="24" t="s">
        <v>7101</v>
      </c>
      <c r="H4" s="23" t="n">
        <f aca="false">COUNTIF(A타입_제작표!$H$2:$H$799,B4)</f>
        <v>8</v>
      </c>
      <c r="I4" s="23" t="n">
        <f aca="false">H4*안내!$C$7+안내!$C$8</f>
        <v>536</v>
      </c>
      <c r="J4" s="23" t="n">
        <f aca="false">ROUND(I4/60,1)</f>
        <v>8.9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7102</v>
      </c>
      <c r="N4" s="24" t="s">
        <v>7103</v>
      </c>
      <c r="O4" s="24" t="s">
        <v>7104</v>
      </c>
      <c r="P4" s="26" t="n">
        <f aca="false">_xlfn.MAXIFS(A타입_제작표!$U$2:$U$799,A타입_제작표!$H$2:$H$799,B4)+1</f>
        <v>46417</v>
      </c>
      <c r="Q4" s="23" t="str">
        <f aca="false">CHOOSE(WEEKDAY(P4,2),"월","화","수","목","금","토","일")</f>
        <v>토</v>
      </c>
      <c r="R4" s="23" t="s">
        <v>140</v>
      </c>
      <c r="S4" s="23" t="s">
        <v>140</v>
      </c>
      <c r="T4" s="23" t="s">
        <v>140</v>
      </c>
      <c r="U4" s="23" t="s">
        <v>140</v>
      </c>
      <c r="V4" s="24"/>
    </row>
    <row r="5" customFormat="false" ht="52.2" hidden="false" customHeight="false" outlineLevel="0" collapsed="false">
      <c r="A5" s="23" t="n">
        <v>4</v>
      </c>
      <c r="B5" s="19" t="s">
        <v>536</v>
      </c>
      <c r="C5" s="20" t="n">
        <v>1</v>
      </c>
      <c r="D5" s="20" t="s">
        <v>126</v>
      </c>
      <c r="E5" s="24" t="s">
        <v>7105</v>
      </c>
      <c r="F5" s="29" t="s">
        <v>7106</v>
      </c>
      <c r="G5" s="24" t="s">
        <v>7107</v>
      </c>
      <c r="H5" s="23" t="n">
        <f aca="false">COUNTIF(A타입_제작표!$H$2:$H$799,B5)</f>
        <v>11</v>
      </c>
      <c r="I5" s="23" t="n">
        <f aca="false">H5*안내!$C$7+안내!$C$8</f>
        <v>692</v>
      </c>
      <c r="J5" s="23" t="n">
        <f aca="false">ROUND(I5/60,1)</f>
        <v>11.5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7108</v>
      </c>
      <c r="N5" s="24" t="s">
        <v>7109</v>
      </c>
      <c r="O5" s="24" t="s">
        <v>7110</v>
      </c>
      <c r="P5" s="26" t="n">
        <f aca="false">_xlfn.MAXIFS(A타입_제작표!$U$2:$U$799,A타입_제작표!$H$2:$H$799,B5)+1</f>
        <v>46428</v>
      </c>
      <c r="Q5" s="23" t="str">
        <f aca="false">CHOOSE(WEEKDAY(P5,2),"월","화","수","목","금","토","일")</f>
        <v>수</v>
      </c>
      <c r="R5" s="23" t="s">
        <v>140</v>
      </c>
      <c r="S5" s="23" t="s">
        <v>140</v>
      </c>
      <c r="T5" s="23" t="s">
        <v>140</v>
      </c>
      <c r="U5" s="23" t="s">
        <v>140</v>
      </c>
      <c r="V5" s="24"/>
    </row>
    <row r="6" customFormat="false" ht="52.2" hidden="false" customHeight="false" outlineLevel="0" collapsed="false">
      <c r="A6" s="23" t="n">
        <v>5</v>
      </c>
      <c r="B6" s="19" t="s">
        <v>733</v>
      </c>
      <c r="C6" s="20" t="n">
        <v>1</v>
      </c>
      <c r="D6" s="20" t="s">
        <v>126</v>
      </c>
      <c r="E6" s="24" t="s">
        <v>7111</v>
      </c>
      <c r="F6" s="29" t="s">
        <v>7112</v>
      </c>
      <c r="G6" s="24" t="s">
        <v>7113</v>
      </c>
      <c r="H6" s="23" t="n">
        <f aca="false">COUNTIF(A타입_제작표!$H$2:$H$799,B6)</f>
        <v>11</v>
      </c>
      <c r="I6" s="23" t="n">
        <f aca="false">H6*안내!$C$7+안내!$C$8</f>
        <v>692</v>
      </c>
      <c r="J6" s="23" t="n">
        <f aca="false">ROUND(I6/60,1)</f>
        <v>11.5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7114</v>
      </c>
      <c r="N6" s="24" t="s">
        <v>7115</v>
      </c>
      <c r="O6" s="24" t="s">
        <v>7116</v>
      </c>
      <c r="P6" s="26" t="n">
        <f aca="false">_xlfn.MAXIFS(A타입_제작표!$U$2:$U$799,A타입_제작표!$H$2:$H$799,B6)+1</f>
        <v>46439</v>
      </c>
      <c r="Q6" s="23" t="str">
        <f aca="false">CHOOSE(WEEKDAY(P6,2),"월","화","수","목","금","토","일")</f>
        <v>일</v>
      </c>
      <c r="R6" s="23" t="s">
        <v>140</v>
      </c>
      <c r="S6" s="23" t="s">
        <v>140</v>
      </c>
      <c r="T6" s="23" t="s">
        <v>140</v>
      </c>
      <c r="U6" s="23" t="s">
        <v>140</v>
      </c>
      <c r="V6" s="24"/>
    </row>
    <row r="7" customFormat="false" ht="52.2" hidden="false" customHeight="false" outlineLevel="0" collapsed="false">
      <c r="A7" s="23" t="n">
        <v>6</v>
      </c>
      <c r="B7" s="19" t="s">
        <v>902</v>
      </c>
      <c r="C7" s="20" t="n">
        <v>1</v>
      </c>
      <c r="D7" s="20" t="s">
        <v>126</v>
      </c>
      <c r="E7" s="24" t="s">
        <v>7117</v>
      </c>
      <c r="F7" s="29" t="s">
        <v>7118</v>
      </c>
      <c r="G7" s="24" t="s">
        <v>7119</v>
      </c>
      <c r="H7" s="23" t="n">
        <f aca="false">COUNTIF(A타입_제작표!$H$2:$H$799,B7)</f>
        <v>11</v>
      </c>
      <c r="I7" s="23" t="n">
        <f aca="false">H7*안내!$C$7+안내!$C$8</f>
        <v>692</v>
      </c>
      <c r="J7" s="23" t="n">
        <f aca="false">ROUND(I7/60,1)</f>
        <v>11.5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7120</v>
      </c>
      <c r="N7" s="24" t="s">
        <v>7121</v>
      </c>
      <c r="O7" s="24" t="s">
        <v>7122</v>
      </c>
      <c r="P7" s="26" t="n">
        <f aca="false">_xlfn.MAXIFS(A타입_제작표!$U$2:$U$799,A타입_제작표!$H$2:$H$799,B7)+1</f>
        <v>46450</v>
      </c>
      <c r="Q7" s="23" t="str">
        <f aca="false">CHOOSE(WEEKDAY(P7,2),"월","화","수","목","금","토","일")</f>
        <v>목</v>
      </c>
      <c r="R7" s="23" t="s">
        <v>140</v>
      </c>
      <c r="S7" s="23" t="s">
        <v>140</v>
      </c>
      <c r="T7" s="23" t="s">
        <v>140</v>
      </c>
      <c r="U7" s="23" t="s">
        <v>140</v>
      </c>
      <c r="V7" s="24"/>
    </row>
    <row r="8" customFormat="false" ht="74.6" hidden="false" customHeight="false" outlineLevel="0" collapsed="false">
      <c r="A8" s="23" t="n">
        <v>7</v>
      </c>
      <c r="B8" s="19" t="s">
        <v>1069</v>
      </c>
      <c r="C8" s="20" t="n">
        <v>1</v>
      </c>
      <c r="D8" s="20" t="s">
        <v>126</v>
      </c>
      <c r="E8" s="24" t="s">
        <v>7123</v>
      </c>
      <c r="F8" s="29" t="s">
        <v>7124</v>
      </c>
      <c r="G8" s="24" t="s">
        <v>7125</v>
      </c>
      <c r="H8" s="23" t="n">
        <f aca="false">COUNTIF(A타입_제작표!$H$2:$H$799,B8)</f>
        <v>7</v>
      </c>
      <c r="I8" s="23" t="n">
        <f aca="false">H8*안내!$C$7+안내!$C$8</f>
        <v>484</v>
      </c>
      <c r="J8" s="23" t="n">
        <f aca="false">ROUND(I8/60,1)</f>
        <v>8.1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#066</v>
      </c>
      <c r="M8" s="24" t="s">
        <v>7126</v>
      </c>
      <c r="N8" s="24" t="s">
        <v>7127</v>
      </c>
      <c r="O8" s="24" t="s">
        <v>7128</v>
      </c>
      <c r="P8" s="26" t="n">
        <f aca="false">_xlfn.MAXIFS(A타입_제작표!$U$2:$U$799,A타입_제작표!$H$2:$H$799,B8)+1</f>
        <v>46457</v>
      </c>
      <c r="Q8" s="23" t="str">
        <f aca="false">CHOOSE(WEEKDAY(P8,2),"월","화","수","목","금","토","일")</f>
        <v>목</v>
      </c>
      <c r="R8" s="23" t="s">
        <v>140</v>
      </c>
      <c r="S8" s="23" t="s">
        <v>140</v>
      </c>
      <c r="T8" s="23" t="s">
        <v>140</v>
      </c>
      <c r="U8" s="23" t="s">
        <v>140</v>
      </c>
      <c r="V8" s="24"/>
    </row>
    <row r="9" customFormat="false" ht="102.95" hidden="false" customHeight="false" outlineLevel="0" collapsed="false">
      <c r="A9" s="23" t="n">
        <v>8</v>
      </c>
      <c r="B9" s="19" t="s">
        <v>1354</v>
      </c>
      <c r="C9" s="20" t="n">
        <v>1</v>
      </c>
      <c r="D9" s="20" t="s">
        <v>126</v>
      </c>
      <c r="E9" s="24" t="s">
        <v>7129</v>
      </c>
      <c r="F9" s="29" t="s">
        <v>7130</v>
      </c>
      <c r="G9" s="24" t="s">
        <v>7131</v>
      </c>
      <c r="H9" s="23" t="n">
        <f aca="false">COUNTIF(A타입_제작표!$H$2:$H$799,B9)</f>
        <v>11</v>
      </c>
      <c r="I9" s="23" t="n">
        <f aca="false">H9*안내!$C$7+안내!$C$8</f>
        <v>692</v>
      </c>
      <c r="J9" s="23" t="n">
        <f aca="false">ROUND(I9/60,1)</f>
        <v>11.5</v>
      </c>
      <c r="K9" s="23" t="str">
        <f aca="false">D9&amp;" #"&amp;TEXT(_xlfn.MINIFS(A타입_제작표!$E$2:$E$799,A타입_제작표!$H$2:$H$799,B9),"000")</f>
        <v>구약 #067</v>
      </c>
      <c r="L9" s="23" t="str">
        <f aca="false">D9&amp;" #"&amp;TEXT(_xlfn.MAXIFS(A타입_제작표!$E$2:$E$799,A타입_제작표!$H$2:$H$799,B9),"000")</f>
        <v>구약 #077</v>
      </c>
      <c r="M9" s="24" t="s">
        <v>7132</v>
      </c>
      <c r="N9" s="24" t="s">
        <v>7133</v>
      </c>
      <c r="O9" s="24" t="s">
        <v>7134</v>
      </c>
      <c r="P9" s="26" t="n">
        <f aca="false">_xlfn.MAXIFS(A타입_제작표!$U$2:$U$799,A타입_제작표!$H$2:$H$799,B9)+1</f>
        <v>46468</v>
      </c>
      <c r="Q9" s="23" t="str">
        <f aca="false">CHOOSE(WEEKDAY(P9,2),"월","화","수","목","금","토","일")</f>
        <v>월</v>
      </c>
      <c r="R9" s="23" t="s">
        <v>140</v>
      </c>
      <c r="S9" s="23" t="s">
        <v>140</v>
      </c>
      <c r="T9" s="23" t="s">
        <v>140</v>
      </c>
      <c r="U9" s="23" t="s">
        <v>140</v>
      </c>
      <c r="V9" s="24"/>
    </row>
    <row r="10" customFormat="false" ht="64.9" hidden="false" customHeight="false" outlineLevel="0" collapsed="false">
      <c r="A10" s="23" t="n">
        <v>9</v>
      </c>
      <c r="B10" s="19" t="s">
        <v>1673</v>
      </c>
      <c r="C10" s="20" t="n">
        <v>1</v>
      </c>
      <c r="D10" s="20" t="s">
        <v>126</v>
      </c>
      <c r="E10" s="24" t="s">
        <v>7135</v>
      </c>
      <c r="F10" s="29" t="s">
        <v>7136</v>
      </c>
      <c r="G10" s="24" t="s">
        <v>7137</v>
      </c>
      <c r="H10" s="23" t="n">
        <f aca="false">COUNTIF(A타입_제작표!$H$2:$H$799,B10)</f>
        <v>8</v>
      </c>
      <c r="I10" s="23" t="n">
        <f aca="false">H10*안내!$C$7+안내!$C$8</f>
        <v>536</v>
      </c>
      <c r="J10" s="23" t="n">
        <f aca="false">ROUND(I10/60,1)</f>
        <v>8.9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7138</v>
      </c>
      <c r="N10" s="24" t="s">
        <v>7139</v>
      </c>
      <c r="O10" s="24" t="s">
        <v>7140</v>
      </c>
      <c r="P10" s="26" t="n">
        <f aca="false">_xlfn.MAXIFS(A타입_제작표!$U$2:$U$799,A타입_제작표!$H$2:$H$799,B10)+1</f>
        <v>46476</v>
      </c>
      <c r="Q10" s="23" t="str">
        <f aca="false">CHOOSE(WEEKDAY(P10,2),"월","화","수","목","금","토","일")</f>
        <v>화</v>
      </c>
      <c r="R10" s="23" t="s">
        <v>140</v>
      </c>
      <c r="S10" s="23" t="s">
        <v>140</v>
      </c>
      <c r="T10" s="23" t="s">
        <v>140</v>
      </c>
      <c r="U10" s="23" t="s">
        <v>140</v>
      </c>
      <c r="V10" s="24"/>
    </row>
    <row r="11" customFormat="false" ht="39.55" hidden="false" customHeight="false" outlineLevel="0" collapsed="false">
      <c r="A11" s="23" t="n">
        <v>10</v>
      </c>
      <c r="B11" s="19" t="s">
        <v>1924</v>
      </c>
      <c r="C11" s="20" t="n">
        <v>1</v>
      </c>
      <c r="D11" s="20" t="s">
        <v>126</v>
      </c>
      <c r="E11" s="24" t="s">
        <v>7141</v>
      </c>
      <c r="F11" s="29" t="s">
        <v>7142</v>
      </c>
      <c r="G11" s="24" t="s">
        <v>7143</v>
      </c>
      <c r="H11" s="23" t="n">
        <f aca="false">COUNTIF(A타입_제작표!$H$2:$H$799,B11)</f>
        <v>10</v>
      </c>
      <c r="I11" s="23" t="n">
        <f aca="false">H11*안내!$C$7+안내!$C$8</f>
        <v>640</v>
      </c>
      <c r="J11" s="23" t="n">
        <f aca="false">ROUND(I11/60,1)</f>
        <v>10.7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7144</v>
      </c>
      <c r="N11" s="24" t="s">
        <v>7145</v>
      </c>
      <c r="O11" s="24" t="s">
        <v>7146</v>
      </c>
      <c r="P11" s="26" t="n">
        <f aca="false">_xlfn.MAXIFS(A타입_제작표!$U$2:$U$799,A타입_제작표!$H$2:$H$799,B11)+1</f>
        <v>46486</v>
      </c>
      <c r="Q11" s="23" t="str">
        <f aca="false">CHOOSE(WEEKDAY(P11,2),"월","화","수","목","금","토","일")</f>
        <v>금</v>
      </c>
      <c r="R11" s="23" t="s">
        <v>140</v>
      </c>
      <c r="S11" s="23" t="s">
        <v>140</v>
      </c>
      <c r="T11" s="23" t="s">
        <v>140</v>
      </c>
      <c r="U11" s="23" t="s">
        <v>140</v>
      </c>
      <c r="V11" s="24"/>
    </row>
    <row r="12" customFormat="false" ht="50.7" hidden="false" customHeight="false" outlineLevel="0" collapsed="false">
      <c r="A12" s="23" t="n">
        <v>11</v>
      </c>
      <c r="B12" s="19" t="s">
        <v>2075</v>
      </c>
      <c r="C12" s="20" t="n">
        <v>1</v>
      </c>
      <c r="D12" s="20" t="s">
        <v>126</v>
      </c>
      <c r="E12" s="24" t="s">
        <v>7147</v>
      </c>
      <c r="F12" s="29" t="s">
        <v>7148</v>
      </c>
      <c r="G12" s="24" t="s">
        <v>7149</v>
      </c>
      <c r="H12" s="23" t="n">
        <f aca="false">COUNTIF(A타입_제작표!$H$2:$H$799,B12)</f>
        <v>9</v>
      </c>
      <c r="I12" s="23" t="n">
        <f aca="false">H12*안내!$C$7+안내!$C$8</f>
        <v>588</v>
      </c>
      <c r="J12" s="23" t="n">
        <f aca="false">ROUND(I12/60,1)</f>
        <v>9.8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7150</v>
      </c>
      <c r="N12" s="24" t="s">
        <v>7151</v>
      </c>
      <c r="O12" s="24" t="s">
        <v>7152</v>
      </c>
      <c r="P12" s="26" t="n">
        <f aca="false">_xlfn.MAXIFS(A타입_제작표!$U$2:$U$799,A타입_제작표!$H$2:$H$799,B12)+1</f>
        <v>46495</v>
      </c>
      <c r="Q12" s="23" t="str">
        <f aca="false">CHOOSE(WEEKDAY(P12,2),"월","화","수","목","금","토","일")</f>
        <v>일</v>
      </c>
      <c r="R12" s="23" t="s">
        <v>140</v>
      </c>
      <c r="S12" s="23" t="s">
        <v>140</v>
      </c>
      <c r="T12" s="23" t="s">
        <v>140</v>
      </c>
      <c r="U12" s="23" t="s">
        <v>140</v>
      </c>
      <c r="V12" s="24"/>
    </row>
    <row r="13" customFormat="false" ht="39.55" hidden="false" customHeight="false" outlineLevel="0" collapsed="false">
      <c r="A13" s="23" t="n">
        <v>12</v>
      </c>
      <c r="B13" s="19" t="s">
        <v>2306</v>
      </c>
      <c r="C13" s="20" t="n">
        <v>1</v>
      </c>
      <c r="D13" s="20" t="s">
        <v>126</v>
      </c>
      <c r="E13" s="24" t="s">
        <v>7153</v>
      </c>
      <c r="F13" s="29" t="s">
        <v>7154</v>
      </c>
      <c r="G13" s="24" t="s">
        <v>7155</v>
      </c>
      <c r="H13" s="23" t="n">
        <f aca="false">COUNTIF(A타입_제작표!$H$2:$H$799,B13)</f>
        <v>9</v>
      </c>
      <c r="I13" s="23" t="n">
        <f aca="false">H13*안내!$C$7+안내!$C$8</f>
        <v>588</v>
      </c>
      <c r="J13" s="23" t="n">
        <f aca="false">ROUND(I13/60,1)</f>
        <v>9.8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7156</v>
      </c>
      <c r="N13" s="24" t="s">
        <v>7157</v>
      </c>
      <c r="O13" s="24" t="s">
        <v>7158</v>
      </c>
      <c r="P13" s="26" t="n">
        <f aca="false">_xlfn.MAXIFS(A타입_제작표!$U$2:$U$799,A타입_제작표!$H$2:$H$799,B13)+1</f>
        <v>46504</v>
      </c>
      <c r="Q13" s="23" t="str">
        <f aca="false">CHOOSE(WEEKDAY(P13,2),"월","화","수","목","금","토","일")</f>
        <v>화</v>
      </c>
      <c r="R13" s="23" t="s">
        <v>140</v>
      </c>
      <c r="S13" s="23" t="s">
        <v>140</v>
      </c>
      <c r="T13" s="23" t="s">
        <v>140</v>
      </c>
      <c r="U13" s="23" t="s">
        <v>140</v>
      </c>
      <c r="V13" s="24"/>
    </row>
    <row r="14" customFormat="false" ht="52.2" hidden="false" customHeight="false" outlineLevel="0" collapsed="false">
      <c r="A14" s="23" t="n">
        <v>13</v>
      </c>
      <c r="B14" s="19" t="s">
        <v>2494</v>
      </c>
      <c r="C14" s="20" t="n">
        <v>1</v>
      </c>
      <c r="D14" s="20" t="s">
        <v>126</v>
      </c>
      <c r="E14" s="24" t="s">
        <v>7159</v>
      </c>
      <c r="F14" s="29" t="s">
        <v>7160</v>
      </c>
      <c r="G14" s="24" t="s">
        <v>7161</v>
      </c>
      <c r="H14" s="23" t="n">
        <f aca="false">COUNTIF(A타입_제작표!$H$2:$H$799,B14)</f>
        <v>8</v>
      </c>
      <c r="I14" s="23" t="n">
        <f aca="false">H14*안내!$C$7+안내!$C$8</f>
        <v>536</v>
      </c>
      <c r="J14" s="23" t="n">
        <f aca="false">ROUND(I14/60,1)</f>
        <v>8.9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7162</v>
      </c>
      <c r="N14" s="24" t="s">
        <v>7163</v>
      </c>
      <c r="O14" s="24" t="s">
        <v>7164</v>
      </c>
      <c r="P14" s="26" t="n">
        <f aca="false">_xlfn.MAXIFS(A타입_제작표!$U$2:$U$799,A타입_제작표!$H$2:$H$799,B14)+1</f>
        <v>46512</v>
      </c>
      <c r="Q14" s="23" t="str">
        <f aca="false">CHOOSE(WEEKDAY(P14,2),"월","화","수","목","금","토","일")</f>
        <v>수</v>
      </c>
      <c r="R14" s="23" t="s">
        <v>140</v>
      </c>
      <c r="S14" s="23" t="s">
        <v>140</v>
      </c>
      <c r="T14" s="23" t="s">
        <v>140</v>
      </c>
      <c r="U14" s="23" t="s">
        <v>140</v>
      </c>
      <c r="V14" s="24"/>
    </row>
    <row r="15" customFormat="false" ht="77.6" hidden="false" customHeight="false" outlineLevel="0" collapsed="false">
      <c r="A15" s="23" t="n">
        <v>14</v>
      </c>
      <c r="B15" s="19" t="s">
        <v>2654</v>
      </c>
      <c r="C15" s="20" t="n">
        <v>1</v>
      </c>
      <c r="D15" s="20" t="s">
        <v>126</v>
      </c>
      <c r="E15" s="24" t="s">
        <v>7165</v>
      </c>
      <c r="F15" s="29" t="s">
        <v>7166</v>
      </c>
      <c r="G15" s="24" t="s">
        <v>7167</v>
      </c>
      <c r="H15" s="23" t="n">
        <f aca="false">COUNTIF(A타입_제작표!$H$2:$H$799,B15)</f>
        <v>9</v>
      </c>
      <c r="I15" s="23" t="n">
        <f aca="false">H15*안내!$C$7+안내!$C$8</f>
        <v>588</v>
      </c>
      <c r="J15" s="23" t="n">
        <f aca="false">ROUND(I15/60,1)</f>
        <v>9.8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7168</v>
      </c>
      <c r="N15" s="24" t="s">
        <v>7169</v>
      </c>
      <c r="O15" s="24" t="s">
        <v>7170</v>
      </c>
      <c r="P15" s="26" t="n">
        <f aca="false">_xlfn.MAXIFS(A타입_제작표!$U$2:$U$799,A타입_제작표!$H$2:$H$799,B15)+1</f>
        <v>46521</v>
      </c>
      <c r="Q15" s="23" t="str">
        <f aca="false">CHOOSE(WEEKDAY(P15,2),"월","화","수","목","금","토","일")</f>
        <v>금</v>
      </c>
      <c r="R15" s="23" t="s">
        <v>140</v>
      </c>
      <c r="S15" s="23" t="s">
        <v>140</v>
      </c>
      <c r="T15" s="23" t="s">
        <v>140</v>
      </c>
      <c r="U15" s="23" t="s">
        <v>140</v>
      </c>
      <c r="V15" s="24"/>
    </row>
    <row r="16" customFormat="false" ht="77.6" hidden="false" customHeight="false" outlineLevel="0" collapsed="false">
      <c r="A16" s="23" t="n">
        <v>15</v>
      </c>
      <c r="B16" s="19" t="s">
        <v>2937</v>
      </c>
      <c r="C16" s="20" t="n">
        <v>1</v>
      </c>
      <c r="D16" s="20" t="s">
        <v>126</v>
      </c>
      <c r="E16" s="24" t="s">
        <v>7171</v>
      </c>
      <c r="F16" s="29" t="s">
        <v>7172</v>
      </c>
      <c r="G16" s="24" t="s">
        <v>7173</v>
      </c>
      <c r="H16" s="23" t="n">
        <f aca="false">COUNTIF(A타입_제작표!$H$2:$H$799,B16)</f>
        <v>8</v>
      </c>
      <c r="I16" s="23" t="n">
        <f aca="false">H16*안내!$C$7+안내!$C$8</f>
        <v>536</v>
      </c>
      <c r="J16" s="23" t="n">
        <f aca="false">ROUND(I16/60,1)</f>
        <v>8.9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7174</v>
      </c>
      <c r="N16" s="24" t="s">
        <v>7175</v>
      </c>
      <c r="O16" s="24" t="s">
        <v>7176</v>
      </c>
      <c r="P16" s="26" t="n">
        <f aca="false">_xlfn.MAXIFS(A타입_제작표!$U$2:$U$799,A타입_제작표!$H$2:$H$799,B16)+1</f>
        <v>46529</v>
      </c>
      <c r="Q16" s="23" t="str">
        <f aca="false">CHOOSE(WEEKDAY(P16,2),"월","화","수","목","금","토","일")</f>
        <v>토</v>
      </c>
      <c r="R16" s="23" t="s">
        <v>140</v>
      </c>
      <c r="S16" s="23" t="s">
        <v>140</v>
      </c>
      <c r="T16" s="23" t="s">
        <v>140</v>
      </c>
      <c r="U16" s="23" t="s">
        <v>140</v>
      </c>
      <c r="V16" s="24"/>
    </row>
    <row r="17" customFormat="false" ht="52.2" hidden="false" customHeight="false" outlineLevel="0" collapsed="false">
      <c r="A17" s="23" t="n">
        <v>16</v>
      </c>
      <c r="B17" s="19" t="s">
        <v>3150</v>
      </c>
      <c r="C17" s="20" t="n">
        <v>1</v>
      </c>
      <c r="D17" s="20" t="s">
        <v>126</v>
      </c>
      <c r="E17" s="24" t="s">
        <v>7177</v>
      </c>
      <c r="F17" s="29" t="s">
        <v>7178</v>
      </c>
      <c r="G17" s="24" t="s">
        <v>7179</v>
      </c>
      <c r="H17" s="23" t="n">
        <f aca="false">COUNTIF(A타입_제작표!$H$2:$H$799,B17)</f>
        <v>10</v>
      </c>
      <c r="I17" s="23" t="n">
        <f aca="false">H17*안내!$C$7+안내!$C$8</f>
        <v>640</v>
      </c>
      <c r="J17" s="23" t="n">
        <f aca="false">ROUND(I17/60,1)</f>
        <v>10.7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7180</v>
      </c>
      <c r="N17" s="24" t="s">
        <v>7181</v>
      </c>
      <c r="O17" s="24" t="s">
        <v>7182</v>
      </c>
      <c r="P17" s="26" t="n">
        <f aca="false">_xlfn.MAXIFS(A타입_제작표!$U$2:$U$799,A타입_제작표!$H$2:$H$799,B17)+1</f>
        <v>46539</v>
      </c>
      <c r="Q17" s="23" t="str">
        <f aca="false">CHOOSE(WEEKDAY(P17,2),"월","화","수","목","금","토","일")</f>
        <v>화</v>
      </c>
      <c r="R17" s="23" t="s">
        <v>140</v>
      </c>
      <c r="S17" s="23" t="s">
        <v>140</v>
      </c>
      <c r="T17" s="23" t="s">
        <v>140</v>
      </c>
      <c r="U17" s="23" t="s">
        <v>140</v>
      </c>
      <c r="V17" s="24"/>
    </row>
    <row r="18" customFormat="false" ht="90.25" hidden="false" customHeight="false" outlineLevel="0" collapsed="false">
      <c r="A18" s="23" t="n">
        <v>17</v>
      </c>
      <c r="B18" s="19" t="s">
        <v>3329</v>
      </c>
      <c r="C18" s="20" t="n">
        <v>1</v>
      </c>
      <c r="D18" s="20" t="s">
        <v>126</v>
      </c>
      <c r="E18" s="24" t="s">
        <v>7183</v>
      </c>
      <c r="F18" s="29" t="s">
        <v>7184</v>
      </c>
      <c r="G18" s="24" t="s">
        <v>7185</v>
      </c>
      <c r="H18" s="23" t="n">
        <f aca="false">COUNTIF(A타입_제작표!$H$2:$H$799,B18)</f>
        <v>7</v>
      </c>
      <c r="I18" s="23" t="n">
        <f aca="false">H18*안내!$C$7+안내!$C$8</f>
        <v>484</v>
      </c>
      <c r="J18" s="23" t="n">
        <f aca="false">ROUND(I18/60,1)</f>
        <v>8.1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#155</v>
      </c>
      <c r="M18" s="24" t="s">
        <v>7186</v>
      </c>
      <c r="N18" s="24" t="s">
        <v>7187</v>
      </c>
      <c r="O18" s="24" t="s">
        <v>7188</v>
      </c>
      <c r="P18" s="26" t="n">
        <f aca="false">_xlfn.MAXIFS(A타입_제작표!$U$2:$U$799,A타입_제작표!$H$2:$H$799,B18)+1</f>
        <v>46546</v>
      </c>
      <c r="Q18" s="23" t="str">
        <f aca="false">CHOOSE(WEEKDAY(P18,2),"월","화","수","목","금","토","일")</f>
        <v>화</v>
      </c>
      <c r="R18" s="23" t="s">
        <v>140</v>
      </c>
      <c r="S18" s="23" t="s">
        <v>140</v>
      </c>
      <c r="T18" s="23" t="s">
        <v>140</v>
      </c>
      <c r="U18" s="23" t="s">
        <v>140</v>
      </c>
      <c r="V18" s="24"/>
    </row>
    <row r="19" customFormat="false" ht="128.35" hidden="false" customHeight="false" outlineLevel="0" collapsed="false">
      <c r="A19" s="23" t="n">
        <v>18</v>
      </c>
      <c r="B19" s="19" t="s">
        <v>3669</v>
      </c>
      <c r="C19" s="20" t="n">
        <v>1</v>
      </c>
      <c r="D19" s="20" t="s">
        <v>126</v>
      </c>
      <c r="E19" s="24" t="s">
        <v>7189</v>
      </c>
      <c r="F19" s="29" t="s">
        <v>7190</v>
      </c>
      <c r="G19" s="24" t="s">
        <v>7191</v>
      </c>
      <c r="H19" s="23" t="n">
        <f aca="false">COUNTIF(A타입_제작표!$H$2:$H$799,B19)</f>
        <v>8</v>
      </c>
      <c r="I19" s="23" t="n">
        <f aca="false">H19*안내!$C$7+안내!$C$8</f>
        <v>536</v>
      </c>
      <c r="J19" s="23" t="n">
        <f aca="false">ROUND(I19/60,1)</f>
        <v>8.9</v>
      </c>
      <c r="K19" s="23" t="str">
        <f aca="false">D19&amp;" #"&amp;TEXT(_xlfn.MINIFS(A타입_제작표!$E$2:$E$799,A타입_제작표!$H$2:$H$799,B19),"000")</f>
        <v>구약 #156</v>
      </c>
      <c r="L19" s="23" t="str">
        <f aca="false">D19&amp;" #"&amp;TEXT(_xlfn.MAXIFS(A타입_제작표!$E$2:$E$799,A타입_제작표!$H$2:$H$799,B19),"000")</f>
        <v>구약 #163</v>
      </c>
      <c r="M19" s="24" t="s">
        <v>7192</v>
      </c>
      <c r="N19" s="24" t="s">
        <v>7193</v>
      </c>
      <c r="O19" s="24" t="s">
        <v>7194</v>
      </c>
      <c r="P19" s="26" t="n">
        <f aca="false">_xlfn.MAXIFS(A타입_제작표!$U$2:$U$799,A타입_제작표!$H$2:$H$799,B19)+1</f>
        <v>46554</v>
      </c>
      <c r="Q19" s="23" t="str">
        <f aca="false">CHOOSE(WEEKDAY(P19,2),"월","화","수","목","금","토","일")</f>
        <v>수</v>
      </c>
      <c r="R19" s="23" t="s">
        <v>140</v>
      </c>
      <c r="S19" s="23" t="s">
        <v>140</v>
      </c>
      <c r="T19" s="23" t="s">
        <v>140</v>
      </c>
      <c r="U19" s="23" t="s">
        <v>140</v>
      </c>
      <c r="V19" s="24"/>
    </row>
    <row r="20" customFormat="false" ht="76.1" hidden="false" customHeight="false" outlineLevel="0" collapsed="false">
      <c r="A20" s="23" t="n">
        <v>19</v>
      </c>
      <c r="B20" s="19" t="s">
        <v>4057</v>
      </c>
      <c r="C20" s="20" t="n">
        <v>1</v>
      </c>
      <c r="D20" s="20" t="s">
        <v>126</v>
      </c>
      <c r="E20" s="24" t="s">
        <v>7195</v>
      </c>
      <c r="F20" s="29" t="s">
        <v>7196</v>
      </c>
      <c r="G20" s="24" t="s">
        <v>7197</v>
      </c>
      <c r="H20" s="23" t="n">
        <f aca="false">COUNTIF(A타입_제작표!$H$2:$H$799,B20)</f>
        <v>11</v>
      </c>
      <c r="I20" s="23" t="n">
        <f aca="false">H20*안내!$C$7+안내!$C$8</f>
        <v>692</v>
      </c>
      <c r="J20" s="23" t="n">
        <f aca="false">ROUND(I20/60,1)</f>
        <v>11.5</v>
      </c>
      <c r="K20" s="23" t="str">
        <f aca="false">D20&amp;" #"&amp;TEXT(_xlfn.MINIFS(A타입_제작표!$E$2:$E$799,A타입_제작표!$H$2:$H$799,B20),"000")</f>
        <v>구약 #164</v>
      </c>
      <c r="L20" s="23" t="str">
        <f aca="false">D20&amp;" #"&amp;TEXT(_xlfn.MAXIFS(A타입_제작표!$E$2:$E$799,A타입_제작표!$H$2:$H$799,B20),"000")</f>
        <v>구약 #174</v>
      </c>
      <c r="M20" s="24" t="s">
        <v>7198</v>
      </c>
      <c r="N20" s="24" t="s">
        <v>7199</v>
      </c>
      <c r="O20" s="24" t="s">
        <v>7200</v>
      </c>
      <c r="P20" s="26" t="n">
        <f aca="false">_xlfn.MAXIFS(A타입_제작표!$U$2:$U$799,A타입_제작표!$H$2:$H$799,B20)+1</f>
        <v>46565</v>
      </c>
      <c r="Q20" s="23" t="str">
        <f aca="false">CHOOSE(WEEKDAY(P20,2),"월","화","수","목","금","토","일")</f>
        <v>일</v>
      </c>
      <c r="R20" s="23" t="s">
        <v>140</v>
      </c>
      <c r="S20" s="23" t="s">
        <v>140</v>
      </c>
      <c r="T20" s="23" t="s">
        <v>140</v>
      </c>
      <c r="U20" s="23" t="s">
        <v>140</v>
      </c>
      <c r="V20" s="24"/>
    </row>
    <row r="21" customFormat="false" ht="52.2" hidden="false" customHeight="false" outlineLevel="0" collapsed="false">
      <c r="A21" s="23" t="n">
        <v>20</v>
      </c>
      <c r="B21" s="19" t="s">
        <v>4468</v>
      </c>
      <c r="C21" s="20" t="n">
        <v>1</v>
      </c>
      <c r="D21" s="20" t="s">
        <v>126</v>
      </c>
      <c r="E21" s="24" t="s">
        <v>7201</v>
      </c>
      <c r="F21" s="29" t="s">
        <v>7202</v>
      </c>
      <c r="G21" s="24" t="s">
        <v>7203</v>
      </c>
      <c r="H21" s="23" t="n">
        <f aca="false">COUNTIF(A타입_제작표!$H$2:$H$799,B21)</f>
        <v>8</v>
      </c>
      <c r="I21" s="23" t="n">
        <f aca="false">H21*안내!$C$7+안내!$C$8</f>
        <v>536</v>
      </c>
      <c r="J21" s="23" t="n">
        <f aca="false">ROUND(I21/60,1)</f>
        <v>8.9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7204</v>
      </c>
      <c r="N21" s="24" t="s">
        <v>7205</v>
      </c>
      <c r="O21" s="24" t="s">
        <v>7206</v>
      </c>
      <c r="P21" s="26" t="n">
        <f aca="false">_xlfn.MAXIFS(A타입_제작표!$U$2:$U$799,A타입_제작표!$H$2:$H$799,B21)+1</f>
        <v>46573</v>
      </c>
      <c r="Q21" s="23" t="str">
        <f aca="false">CHOOSE(WEEKDAY(P21,2),"월","화","수","목","금","토","일")</f>
        <v>월</v>
      </c>
      <c r="R21" s="23" t="s">
        <v>140</v>
      </c>
      <c r="S21" s="23" t="s">
        <v>140</v>
      </c>
      <c r="T21" s="23" t="s">
        <v>140</v>
      </c>
      <c r="U21" s="23" t="s">
        <v>140</v>
      </c>
      <c r="V21" s="24"/>
    </row>
    <row r="22" customFormat="false" ht="39.55" hidden="false" customHeight="false" outlineLevel="0" collapsed="false">
      <c r="A22" s="23" t="n">
        <v>21</v>
      </c>
      <c r="B22" s="19" t="s">
        <v>4678</v>
      </c>
      <c r="C22" s="20" t="n">
        <v>1</v>
      </c>
      <c r="D22" s="20" t="s">
        <v>4666</v>
      </c>
      <c r="E22" s="24" t="s">
        <v>7207</v>
      </c>
      <c r="F22" s="29" t="s">
        <v>7208</v>
      </c>
      <c r="G22" s="24" t="s">
        <v>7209</v>
      </c>
      <c r="H22" s="23" t="n">
        <f aca="false">COUNTIF(A타입_제작표!$H$2:$H$799,B22)</f>
        <v>11</v>
      </c>
      <c r="I22" s="23" t="n">
        <f aca="false">H22*안내!$C$7+안내!$C$8</f>
        <v>692</v>
      </c>
      <c r="J22" s="23" t="n">
        <f aca="false">ROUND(I22/60,1)</f>
        <v>11.5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7210</v>
      </c>
      <c r="N22" s="24" t="s">
        <v>7211</v>
      </c>
      <c r="O22" s="24" t="s">
        <v>7212</v>
      </c>
      <c r="P22" s="26" t="n">
        <f aca="false">_xlfn.MAXIFS(A타입_제작표!$U$2:$U$799,A타입_제작표!$H$2:$H$799,B22)+1</f>
        <v>46410</v>
      </c>
      <c r="Q22" s="23" t="str">
        <f aca="false">CHOOSE(WEEKDAY(P22,2),"월","화","수","목","금","토","일")</f>
        <v>토</v>
      </c>
      <c r="R22" s="23" t="s">
        <v>140</v>
      </c>
      <c r="S22" s="23" t="s">
        <v>140</v>
      </c>
      <c r="T22" s="23" t="s">
        <v>140</v>
      </c>
      <c r="U22" s="23" t="s">
        <v>140</v>
      </c>
      <c r="V22" s="24"/>
    </row>
    <row r="23" customFormat="false" ht="39.55" hidden="false" customHeight="false" outlineLevel="0" collapsed="false">
      <c r="A23" s="23" t="n">
        <v>22</v>
      </c>
      <c r="B23" s="19" t="s">
        <v>4806</v>
      </c>
      <c r="C23" s="20" t="n">
        <v>1</v>
      </c>
      <c r="D23" s="20" t="s">
        <v>4666</v>
      </c>
      <c r="E23" s="24" t="s">
        <v>7213</v>
      </c>
      <c r="F23" s="29" t="s">
        <v>7214</v>
      </c>
      <c r="G23" s="24" t="s">
        <v>7215</v>
      </c>
      <c r="H23" s="23" t="n">
        <f aca="false">COUNTIF(A타입_제작표!$H$2:$H$799,B23)</f>
        <v>10</v>
      </c>
      <c r="I23" s="23" t="n">
        <f aca="false">H23*안내!$C$7+안내!$C$8</f>
        <v>640</v>
      </c>
      <c r="J23" s="23" t="n">
        <f aca="false">ROUND(I23/60,1)</f>
        <v>10.7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7216</v>
      </c>
      <c r="N23" s="24" t="s">
        <v>7217</v>
      </c>
      <c r="O23" s="24" t="s">
        <v>7218</v>
      </c>
      <c r="P23" s="26" t="n">
        <f aca="false">_xlfn.MAXIFS(A타입_제작표!$U$2:$U$799,A타입_제작표!$H$2:$H$799,B23)+1</f>
        <v>46427</v>
      </c>
      <c r="Q23" s="23" t="str">
        <f aca="false">CHOOSE(WEEKDAY(P23,2),"월","화","수","목","금","토","일")</f>
        <v>화</v>
      </c>
      <c r="R23" s="23" t="s">
        <v>140</v>
      </c>
      <c r="S23" s="23" t="s">
        <v>140</v>
      </c>
      <c r="T23" s="23" t="s">
        <v>140</v>
      </c>
      <c r="U23" s="23" t="s">
        <v>140</v>
      </c>
      <c r="V23" s="24"/>
    </row>
    <row r="24" customFormat="false" ht="39.55" hidden="false" customHeight="false" outlineLevel="0" collapsed="false">
      <c r="A24" s="23" t="n">
        <v>23</v>
      </c>
      <c r="B24" s="19" t="s">
        <v>4991</v>
      </c>
      <c r="C24" s="20" t="n">
        <v>1</v>
      </c>
      <c r="D24" s="20" t="s">
        <v>4666</v>
      </c>
      <c r="E24" s="24" t="s">
        <v>7219</v>
      </c>
      <c r="F24" s="29" t="s">
        <v>7220</v>
      </c>
      <c r="G24" s="24" t="s">
        <v>7221</v>
      </c>
      <c r="H24" s="23" t="n">
        <f aca="false">COUNTIF(A타입_제작표!$H$2:$H$799,B24)</f>
        <v>11</v>
      </c>
      <c r="I24" s="23" t="n">
        <f aca="false">H24*안내!$C$7+안내!$C$8</f>
        <v>692</v>
      </c>
      <c r="J24" s="23" t="n">
        <f aca="false">ROUND(I24/60,1)</f>
        <v>11.5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7222</v>
      </c>
      <c r="N24" s="24" t="s">
        <v>7223</v>
      </c>
      <c r="O24" s="24" t="s">
        <v>7224</v>
      </c>
      <c r="P24" s="26" t="n">
        <f aca="false">_xlfn.MAXIFS(A타입_제작표!$U$2:$U$799,A타입_제작표!$H$2:$H$799,B24)+1</f>
        <v>46446</v>
      </c>
      <c r="Q24" s="23" t="str">
        <f aca="false">CHOOSE(WEEKDAY(P24,2),"월","화","수","목","금","토","일")</f>
        <v>일</v>
      </c>
      <c r="R24" s="23" t="s">
        <v>140</v>
      </c>
      <c r="S24" s="23" t="s">
        <v>140</v>
      </c>
      <c r="T24" s="23" t="s">
        <v>140</v>
      </c>
      <c r="U24" s="23" t="s">
        <v>140</v>
      </c>
      <c r="V24" s="24"/>
    </row>
    <row r="25" customFormat="false" ht="26.85" hidden="false" customHeight="false" outlineLevel="0" collapsed="false">
      <c r="A25" s="23" t="n">
        <v>24</v>
      </c>
      <c r="B25" s="19" t="s">
        <v>5162</v>
      </c>
      <c r="C25" s="20" t="n">
        <v>1</v>
      </c>
      <c r="D25" s="20" t="s">
        <v>4666</v>
      </c>
      <c r="E25" s="24" t="s">
        <v>7225</v>
      </c>
      <c r="F25" s="29" t="s">
        <v>7226</v>
      </c>
      <c r="G25" s="24" t="s">
        <v>7227</v>
      </c>
      <c r="H25" s="23" t="n">
        <f aca="false">COUNTIF(A타입_제작표!$H$2:$H$799,B25)</f>
        <v>10</v>
      </c>
      <c r="I25" s="23" t="n">
        <f aca="false">H25*안내!$C$7+안내!$C$8</f>
        <v>640</v>
      </c>
      <c r="J25" s="23" t="n">
        <f aca="false">ROUND(I25/60,1)</f>
        <v>10.7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7228</v>
      </c>
      <c r="N25" s="24" t="s">
        <v>7229</v>
      </c>
      <c r="O25" s="24" t="s">
        <v>7230</v>
      </c>
      <c r="P25" s="26" t="n">
        <f aca="false">_xlfn.MAXIFS(A타입_제작표!$U$2:$U$799,A타입_제작표!$H$2:$H$799,B25)+1</f>
        <v>46464</v>
      </c>
      <c r="Q25" s="23" t="str">
        <f aca="false">CHOOSE(WEEKDAY(P25,2),"월","화","수","목","금","토","일")</f>
        <v>목</v>
      </c>
      <c r="R25" s="23" t="s">
        <v>140</v>
      </c>
      <c r="S25" s="23" t="s">
        <v>140</v>
      </c>
      <c r="T25" s="23" t="s">
        <v>140</v>
      </c>
      <c r="U25" s="23" t="s">
        <v>140</v>
      </c>
      <c r="V25" s="24"/>
    </row>
    <row r="26" customFormat="false" ht="39.55" hidden="false" customHeight="false" outlineLevel="0" collapsed="false">
      <c r="A26" s="23" t="n">
        <v>25</v>
      </c>
      <c r="B26" s="19" t="s">
        <v>5333</v>
      </c>
      <c r="C26" s="20" t="n">
        <v>1</v>
      </c>
      <c r="D26" s="20" t="s">
        <v>4666</v>
      </c>
      <c r="E26" s="24" t="s">
        <v>7231</v>
      </c>
      <c r="F26" s="29" t="s">
        <v>7232</v>
      </c>
      <c r="G26" s="24" t="s">
        <v>7233</v>
      </c>
      <c r="H26" s="23" t="n">
        <f aca="false">COUNTIF(A타입_제작표!$H$2:$H$799,B26)</f>
        <v>12</v>
      </c>
      <c r="I26" s="23" t="n">
        <f aca="false">H26*안내!$C$7+안내!$C$8</f>
        <v>744</v>
      </c>
      <c r="J26" s="23" t="n">
        <f aca="false">ROUND(I26/60,1)</f>
        <v>12.4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7234</v>
      </c>
      <c r="N26" s="24" t="s">
        <v>7235</v>
      </c>
      <c r="O26" s="24" t="s">
        <v>7236</v>
      </c>
      <c r="P26" s="26" t="n">
        <f aca="false">_xlfn.MAXIFS(A타입_제작표!$U$2:$U$799,A타입_제작표!$H$2:$H$799,B26)+1</f>
        <v>46485</v>
      </c>
      <c r="Q26" s="23" t="str">
        <f aca="false">CHOOSE(WEEKDAY(P26,2),"월","화","수","목","금","토","일")</f>
        <v>목</v>
      </c>
      <c r="R26" s="23" t="s">
        <v>140</v>
      </c>
      <c r="S26" s="23" t="s">
        <v>140</v>
      </c>
      <c r="T26" s="23" t="s">
        <v>140</v>
      </c>
      <c r="U26" s="23" t="s">
        <v>140</v>
      </c>
      <c r="V26" s="24"/>
    </row>
    <row r="27" customFormat="false" ht="26.85" hidden="false" customHeight="false" outlineLevel="0" collapsed="false">
      <c r="A27" s="23" t="n">
        <v>26</v>
      </c>
      <c r="B27" s="19" t="s">
        <v>5499</v>
      </c>
      <c r="C27" s="20" t="n">
        <v>1</v>
      </c>
      <c r="D27" s="20" t="s">
        <v>4666</v>
      </c>
      <c r="E27" s="24" t="s">
        <v>7237</v>
      </c>
      <c r="F27" s="29" t="s">
        <v>5498</v>
      </c>
      <c r="G27" s="24" t="s">
        <v>7238</v>
      </c>
      <c r="H27" s="23" t="n">
        <f aca="false">COUNTIF(A타입_제작표!$H$2:$H$799,B27)</f>
        <v>7</v>
      </c>
      <c r="I27" s="23" t="n">
        <f aca="false">H27*안내!$C$7+안내!$C$8</f>
        <v>484</v>
      </c>
      <c r="J27" s="23" t="n">
        <f aca="false">ROUND(I27/60,1)</f>
        <v>8.1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#061</v>
      </c>
      <c r="M27" s="24" t="s">
        <v>7239</v>
      </c>
      <c r="N27" s="24" t="s">
        <v>7240</v>
      </c>
      <c r="O27" s="24" t="s">
        <v>7241</v>
      </c>
      <c r="P27" s="26" t="n">
        <f aca="false">_xlfn.MAXIFS(A타입_제작표!$U$2:$U$799,A타입_제작표!$H$2:$H$799,B27)+1</f>
        <v>46497</v>
      </c>
      <c r="Q27" s="23" t="str">
        <f aca="false">CHOOSE(WEEKDAY(P27,2),"월","화","수","목","금","토","일")</f>
        <v>화</v>
      </c>
      <c r="R27" s="23" t="s">
        <v>140</v>
      </c>
      <c r="S27" s="23" t="s">
        <v>140</v>
      </c>
      <c r="T27" s="23" t="s">
        <v>140</v>
      </c>
      <c r="U27" s="23" t="s">
        <v>140</v>
      </c>
      <c r="V27" s="24"/>
    </row>
    <row r="28" customFormat="false" ht="39.55" hidden="false" customHeight="false" outlineLevel="0" collapsed="false">
      <c r="A28" s="23" t="n">
        <v>27</v>
      </c>
      <c r="B28" s="19" t="s">
        <v>5599</v>
      </c>
      <c r="C28" s="20" t="n">
        <v>1</v>
      </c>
      <c r="D28" s="20" t="s">
        <v>4666</v>
      </c>
      <c r="E28" s="24" t="s">
        <v>7242</v>
      </c>
      <c r="F28" s="29" t="s">
        <v>7243</v>
      </c>
      <c r="G28" s="24" t="s">
        <v>7244</v>
      </c>
      <c r="H28" s="23" t="n">
        <f aca="false">COUNTIF(A타입_제작표!$H$2:$H$799,B28)</f>
        <v>11</v>
      </c>
      <c r="I28" s="23" t="n">
        <f aca="false">H28*안내!$C$7+안내!$C$8</f>
        <v>692</v>
      </c>
      <c r="J28" s="23" t="n">
        <f aca="false">ROUND(I28/60,1)</f>
        <v>11.5</v>
      </c>
      <c r="K28" s="23" t="str">
        <f aca="false">D28&amp;" #"&amp;TEXT(_xlfn.MINIFS(A타입_제작표!$E$2:$E$799,A타입_제작표!$H$2:$H$799,B28),"000")</f>
        <v>신약 #062</v>
      </c>
      <c r="L28" s="23" t="str">
        <f aca="false">D28&amp;" #"&amp;TEXT(_xlfn.MAXIFS(A타입_제작표!$E$2:$E$799,A타입_제작표!$H$2:$H$799,B28),"000")</f>
        <v>신약 #072</v>
      </c>
      <c r="M28" s="24" t="s">
        <v>7245</v>
      </c>
      <c r="N28" s="29" t="s">
        <v>7246</v>
      </c>
      <c r="O28" s="24" t="s">
        <v>7247</v>
      </c>
      <c r="P28" s="26" t="n">
        <f aca="false">_xlfn.MAXIFS(A타입_제작표!$U$2:$U$799,A타입_제작표!$H$2:$H$799,B28)+1</f>
        <v>46516</v>
      </c>
      <c r="Q28" s="23" t="str">
        <f aca="false">CHOOSE(WEEKDAY(P28,2),"월","화","수","목","금","토","일")</f>
        <v>일</v>
      </c>
      <c r="R28" s="23" t="s">
        <v>140</v>
      </c>
      <c r="S28" s="23" t="s">
        <v>140</v>
      </c>
      <c r="T28" s="23" t="s">
        <v>140</v>
      </c>
      <c r="U28" s="23" t="s">
        <v>140</v>
      </c>
      <c r="V28" s="24"/>
    </row>
    <row r="29" customFormat="false" ht="39.55" hidden="false" customHeight="false" outlineLevel="0" collapsed="false">
      <c r="A29" s="23" t="n">
        <v>28</v>
      </c>
      <c r="B29" s="19" t="s">
        <v>5759</v>
      </c>
      <c r="C29" s="20" t="n">
        <v>1</v>
      </c>
      <c r="D29" s="20" t="s">
        <v>4666</v>
      </c>
      <c r="E29" s="24" t="s">
        <v>7248</v>
      </c>
      <c r="F29" s="29" t="s">
        <v>7249</v>
      </c>
      <c r="G29" s="24" t="s">
        <v>7250</v>
      </c>
      <c r="H29" s="23" t="n">
        <f aca="false">COUNTIF(A타입_제작표!$H$2:$H$799,B29)</f>
        <v>10</v>
      </c>
      <c r="I29" s="23" t="n">
        <f aca="false">H29*안내!$C$7+안내!$C$8</f>
        <v>640</v>
      </c>
      <c r="J29" s="23" t="n">
        <f aca="false">ROUND(I29/60,1)</f>
        <v>10.7</v>
      </c>
      <c r="K29" s="23" t="str">
        <f aca="false">D29&amp;" #"&amp;TEXT(_xlfn.MINIFS(A타입_제작표!$E$2:$E$799,A타입_제작표!$H$2:$H$799,B29),"000")</f>
        <v>신약 #073</v>
      </c>
      <c r="L29" s="23" t="str">
        <f aca="false">D29&amp;" #"&amp;TEXT(_xlfn.MAXIFS(A타입_제작표!$E$2:$E$799,A타입_제작표!$H$2:$H$799,B29),"000")</f>
        <v>신약 #082</v>
      </c>
      <c r="M29" s="24" t="s">
        <v>7251</v>
      </c>
      <c r="N29" s="24" t="s">
        <v>7252</v>
      </c>
      <c r="O29" s="24" t="s">
        <v>7253</v>
      </c>
      <c r="P29" s="26" t="n">
        <f aca="false">_xlfn.MAXIFS(A타입_제작표!$U$2:$U$799,A타입_제작표!$H$2:$H$799,B29)+1</f>
        <v>46534</v>
      </c>
      <c r="Q29" s="23" t="str">
        <f aca="false">CHOOSE(WEEKDAY(P29,2),"월","화","수","목","금","토","일")</f>
        <v>목</v>
      </c>
      <c r="R29" s="23" t="s">
        <v>140</v>
      </c>
      <c r="S29" s="23" t="s">
        <v>140</v>
      </c>
      <c r="T29" s="23" t="s">
        <v>140</v>
      </c>
      <c r="U29" s="23" t="s">
        <v>140</v>
      </c>
      <c r="V29" s="24"/>
    </row>
    <row r="30" customFormat="false" ht="26.85" hidden="false" customHeight="false" outlineLevel="0" collapsed="false">
      <c r="A30" s="23" t="n">
        <v>29</v>
      </c>
      <c r="B30" s="19" t="s">
        <v>5922</v>
      </c>
      <c r="C30" s="20" t="n">
        <v>1</v>
      </c>
      <c r="D30" s="20" t="s">
        <v>4666</v>
      </c>
      <c r="E30" s="24" t="s">
        <v>7254</v>
      </c>
      <c r="F30" s="29" t="s">
        <v>7255</v>
      </c>
      <c r="G30" s="24" t="s">
        <v>7256</v>
      </c>
      <c r="H30" s="23" t="n">
        <f aca="false">COUNTIF(A타입_제작표!$H$2:$H$799,B30)</f>
        <v>8</v>
      </c>
      <c r="I30" s="23" t="n">
        <f aca="false">H30*안내!$C$7+안내!$C$8</f>
        <v>536</v>
      </c>
      <c r="J30" s="23" t="n">
        <f aca="false">ROUND(I30/60,1)</f>
        <v>8.9</v>
      </c>
      <c r="K30" s="23" t="str">
        <f aca="false">D30&amp;" #"&amp;TEXT(_xlfn.MINIFS(A타입_제작표!$E$2:$E$799,A타입_제작표!$H$2:$H$799,B30),"000")</f>
        <v>신약 #083</v>
      </c>
      <c r="L30" s="23" t="str">
        <f aca="false">D30&amp;" #"&amp;TEXT(_xlfn.MAXIFS(A타입_제작표!$E$2:$E$799,A타입_제작표!$H$2:$H$799,B30),"000")</f>
        <v>신약 #090</v>
      </c>
      <c r="M30" s="24" t="s">
        <v>7257</v>
      </c>
      <c r="N30" s="24" t="s">
        <v>7258</v>
      </c>
      <c r="O30" s="24" t="s">
        <v>7259</v>
      </c>
      <c r="P30" s="26" t="n">
        <f aca="false">_xlfn.MAXIFS(A타입_제작표!$U$2:$U$799,A타입_제작표!$H$2:$H$799,B30)+1</f>
        <v>46548</v>
      </c>
      <c r="Q30" s="23" t="str">
        <f aca="false">CHOOSE(WEEKDAY(P30,2),"월","화","수","목","금","토","일")</f>
        <v>목</v>
      </c>
      <c r="R30" s="23" t="s">
        <v>140</v>
      </c>
      <c r="S30" s="23" t="s">
        <v>140</v>
      </c>
      <c r="T30" s="23" t="s">
        <v>140</v>
      </c>
      <c r="U30" s="23" t="s">
        <v>140</v>
      </c>
      <c r="V30" s="24"/>
    </row>
    <row r="31" customFormat="false" ht="77.6" hidden="false" customHeight="false" outlineLevel="0" collapsed="false">
      <c r="A31" s="23" t="n">
        <v>30</v>
      </c>
      <c r="B31" s="19" t="s">
        <v>6117</v>
      </c>
      <c r="C31" s="20" t="n">
        <v>1</v>
      </c>
      <c r="D31" s="20" t="s">
        <v>4666</v>
      </c>
      <c r="E31" s="24" t="s">
        <v>7260</v>
      </c>
      <c r="F31" s="29" t="s">
        <v>7261</v>
      </c>
      <c r="G31" s="24" t="s">
        <v>7262</v>
      </c>
      <c r="H31" s="23" t="n">
        <f aca="false">COUNTIF(A타입_제작표!$H$2:$H$799,B31)</f>
        <v>7</v>
      </c>
      <c r="I31" s="23" t="n">
        <f aca="false">H31*안내!$C$7+안내!$C$8</f>
        <v>484</v>
      </c>
      <c r="J31" s="23" t="n">
        <f aca="false">ROUND(I31/60,1)</f>
        <v>8.1</v>
      </c>
      <c r="K31" s="23" t="str">
        <f aca="false">D31&amp;" #"&amp;TEXT(_xlfn.MINIFS(A타입_제작표!$E$2:$E$799,A타입_제작표!$H$2:$H$799,B31),"000")</f>
        <v>신약 #091</v>
      </c>
      <c r="L31" s="23" t="str">
        <f aca="false">D31&amp;" #"&amp;TEXT(_xlfn.MAXIFS(A타입_제작표!$E$2:$E$799,A타입_제작표!$H$2:$H$799,B31),"000")</f>
        <v>신약 #097</v>
      </c>
      <c r="M31" s="24" t="s">
        <v>7263</v>
      </c>
      <c r="N31" s="24" t="s">
        <v>7264</v>
      </c>
      <c r="O31" s="24" t="s">
        <v>7265</v>
      </c>
      <c r="P31" s="26" t="n">
        <f aca="false">_xlfn.MAXIFS(A타입_제작표!$U$2:$U$799,A타입_제작표!$H$2:$H$799,B31)+1</f>
        <v>46560</v>
      </c>
      <c r="Q31" s="23" t="str">
        <f aca="false">CHOOSE(WEEKDAY(P31,2),"월","화","수","목","금","토","일")</f>
        <v>화</v>
      </c>
      <c r="R31" s="23" t="s">
        <v>140</v>
      </c>
      <c r="S31" s="23" t="s">
        <v>140</v>
      </c>
      <c r="T31" s="23" t="s">
        <v>140</v>
      </c>
      <c r="U31" s="23" t="s">
        <v>140</v>
      </c>
      <c r="V31" s="24"/>
    </row>
    <row r="32" customFormat="false" ht="77.6" hidden="false" customHeight="false" outlineLevel="0" collapsed="false">
      <c r="A32" s="23" t="n">
        <v>31</v>
      </c>
      <c r="B32" s="19" t="s">
        <v>6685</v>
      </c>
      <c r="C32" s="20" t="n">
        <v>1</v>
      </c>
      <c r="D32" s="20" t="s">
        <v>4666</v>
      </c>
      <c r="E32" s="24" t="s">
        <v>7266</v>
      </c>
      <c r="F32" s="29" t="s">
        <v>7267</v>
      </c>
      <c r="G32" s="24" t="s">
        <v>7268</v>
      </c>
      <c r="H32" s="23" t="n">
        <f aca="false">COUNTIF(A타입_제작표!$H$2:$H$799,B32)</f>
        <v>7</v>
      </c>
      <c r="I32" s="23" t="n">
        <f aca="false">H32*안내!$C$7+안내!$C$8</f>
        <v>484</v>
      </c>
      <c r="J32" s="23" t="n">
        <f aca="false">ROUND(I32/60,1)</f>
        <v>8.1</v>
      </c>
      <c r="K32" s="23" t="str">
        <f aca="false">D32&amp;" #"&amp;TEXT(_xlfn.MINIFS(A타입_제작표!$E$2:$E$799,A타입_제작표!$H$2:$H$799,B32),"000")</f>
        <v>신약 #098</v>
      </c>
      <c r="L32" s="23" t="str">
        <f aca="false">D32&amp;" #"&amp;TEXT(_xlfn.MAXIFS(A타입_제작표!$E$2:$E$799,A타입_제작표!$H$2:$H$799,B32),"000")</f>
        <v>신약 #104</v>
      </c>
      <c r="M32" s="24" t="s">
        <v>7269</v>
      </c>
      <c r="N32" s="24" t="s">
        <v>7270</v>
      </c>
      <c r="O32" s="24" t="s">
        <v>7271</v>
      </c>
      <c r="P32" s="26" t="n">
        <f aca="false">_xlfn.MAXIFS(A타입_제작표!$U$2:$U$799,A타입_제작표!$H$2:$H$799,B32)+1</f>
        <v>46572</v>
      </c>
      <c r="Q32" s="23" t="str">
        <f aca="false">CHOOSE(WEEKDAY(P32,2),"월","화","수","목","금","토","일")</f>
        <v>일</v>
      </c>
      <c r="R32" s="23" t="s">
        <v>140</v>
      </c>
      <c r="S32" s="23" t="s">
        <v>140</v>
      </c>
      <c r="T32" s="23" t="s">
        <v>140</v>
      </c>
      <c r="U32" s="23" t="s">
        <v>140</v>
      </c>
      <c r="V32" s="24"/>
    </row>
    <row r="33" customFormat="false" ht="50.7" hidden="false" customHeight="false" outlineLevel="0" collapsed="false">
      <c r="A33" s="23" t="n">
        <v>32</v>
      </c>
      <c r="B33" s="30" t="s">
        <v>228</v>
      </c>
      <c r="C33" s="23" t="n">
        <v>2</v>
      </c>
      <c r="D33" s="23" t="s">
        <v>126</v>
      </c>
      <c r="E33" s="24" t="s">
        <v>7272</v>
      </c>
      <c r="F33" s="29" t="s">
        <v>7273</v>
      </c>
      <c r="G33" s="24" t="s">
        <v>7274</v>
      </c>
      <c r="H33" s="23" t="n">
        <f aca="false">COUNTIF(A타입_제작표!$H$2:$H$799,B33)</f>
        <v>10</v>
      </c>
      <c r="I33" s="23" t="n">
        <f aca="false">H33*안내!$C$7+안내!$C$8</f>
        <v>640</v>
      </c>
      <c r="J33" s="23" t="n">
        <f aca="false">ROUND(I33/60,1)</f>
        <v>10.7</v>
      </c>
      <c r="K33" s="23" t="str">
        <f aca="false">D33&amp;" #"&amp;TEXT(_xlfn.MINIFS(A타입_제작표!$E$2:$E$799,A타입_제작표!$H$2:$H$799,B33),"000")</f>
        <v>구약 #183</v>
      </c>
      <c r="L33" s="23" t="str">
        <f aca="false">D33&amp;" #"&amp;TEXT(_xlfn.MAXIFS(A타입_제작표!$E$2:$E$799,A타입_제작표!$H$2:$H$799,B33),"000")</f>
        <v>구약 #192</v>
      </c>
      <c r="M33" s="24" t="s">
        <v>7096</v>
      </c>
      <c r="N33" s="24" t="s">
        <v>7275</v>
      </c>
      <c r="O33" s="24" t="s">
        <v>7276</v>
      </c>
      <c r="P33" s="26" t="n">
        <f aca="false">_xlfn.MAXIFS(A타입_제작표!$U$2:$U$799,A타입_제작표!$H$2:$H$799,B33)+1</f>
        <v>46590</v>
      </c>
      <c r="Q33" s="23" t="str">
        <f aca="false">CHOOSE(WEEKDAY(P33,2),"월","화","수","목","금","토","일")</f>
        <v>목</v>
      </c>
      <c r="R33" s="23" t="s">
        <v>140</v>
      </c>
      <c r="S33" s="23" t="s">
        <v>140</v>
      </c>
      <c r="T33" s="23" t="s">
        <v>140</v>
      </c>
      <c r="U33" s="23" t="s">
        <v>140</v>
      </c>
      <c r="V33" s="24"/>
    </row>
    <row r="34" customFormat="false" ht="39.55" hidden="false" customHeight="false" outlineLevel="0" collapsed="false">
      <c r="A34" s="23" t="n">
        <v>33</v>
      </c>
      <c r="B34" s="30" t="s">
        <v>412</v>
      </c>
      <c r="C34" s="23" t="n">
        <v>2</v>
      </c>
      <c r="D34" s="23" t="s">
        <v>126</v>
      </c>
      <c r="E34" s="24" t="s">
        <v>7277</v>
      </c>
      <c r="F34" s="29" t="s">
        <v>7278</v>
      </c>
      <c r="G34" s="24" t="s">
        <v>7279</v>
      </c>
      <c r="H34" s="23" t="n">
        <f aca="false">COUNTIF(A타입_제작표!$H$2:$H$799,B34)</f>
        <v>9</v>
      </c>
      <c r="I34" s="23" t="n">
        <f aca="false">H34*안내!$C$7+안내!$C$8</f>
        <v>588</v>
      </c>
      <c r="J34" s="23" t="n">
        <f aca="false">ROUND(I34/60,1)</f>
        <v>9.8</v>
      </c>
      <c r="K34" s="23" t="str">
        <f aca="false">D34&amp;" #"&amp;TEXT(_xlfn.MINIFS(A타입_제작표!$E$2:$E$799,A타입_제작표!$H$2:$H$799,B34),"000")</f>
        <v>구약 #193</v>
      </c>
      <c r="L34" s="23" t="str">
        <f aca="false">D34&amp;" #"&amp;TEXT(_xlfn.MAXIFS(A타입_제작표!$E$2:$E$799,A타입_제작표!$H$2:$H$799,B34),"000")</f>
        <v>구약 #201</v>
      </c>
      <c r="M34" s="24" t="s">
        <v>7280</v>
      </c>
      <c r="N34" s="24" t="s">
        <v>7281</v>
      </c>
      <c r="O34" s="24" t="s">
        <v>7282</v>
      </c>
      <c r="P34" s="26" t="n">
        <f aca="false">_xlfn.MAXIFS(A타입_제작표!$U$2:$U$799,A타입_제작표!$H$2:$H$799,B34)+1</f>
        <v>46599</v>
      </c>
      <c r="Q34" s="23" t="str">
        <f aca="false">CHOOSE(WEEKDAY(P34,2),"월","화","수","목","금","토","일")</f>
        <v>토</v>
      </c>
      <c r="R34" s="23" t="s">
        <v>140</v>
      </c>
      <c r="S34" s="23" t="s">
        <v>140</v>
      </c>
      <c r="T34" s="23" t="s">
        <v>140</v>
      </c>
      <c r="U34" s="23" t="s">
        <v>140</v>
      </c>
      <c r="V34" s="24"/>
    </row>
    <row r="35" customFormat="false" ht="26.85" hidden="false" customHeight="false" outlineLevel="0" collapsed="false">
      <c r="A35" s="23" t="n">
        <v>34</v>
      </c>
      <c r="B35" s="30" t="s">
        <v>545</v>
      </c>
      <c r="C35" s="23" t="n">
        <v>2</v>
      </c>
      <c r="D35" s="23" t="s">
        <v>126</v>
      </c>
      <c r="E35" s="24" t="s">
        <v>7283</v>
      </c>
      <c r="F35" s="29" t="s">
        <v>7284</v>
      </c>
      <c r="G35" s="24" t="s">
        <v>7285</v>
      </c>
      <c r="H35" s="23" t="n">
        <f aca="false">COUNTIF(A타입_제작표!$H$2:$H$799,B35)</f>
        <v>10</v>
      </c>
      <c r="I35" s="23" t="n">
        <f aca="false">H35*안내!$C$7+안내!$C$8</f>
        <v>640</v>
      </c>
      <c r="J35" s="23" t="n">
        <f aca="false">ROUND(I35/60,1)</f>
        <v>10.7</v>
      </c>
      <c r="K35" s="23" t="str">
        <f aca="false">D35&amp;" #"&amp;TEXT(_xlfn.MINIFS(A타입_제작표!$E$2:$E$799,A타입_제작표!$H$2:$H$799,B35),"000")</f>
        <v>구약 #202</v>
      </c>
      <c r="L35" s="23" t="str">
        <f aca="false">D35&amp;" #"&amp;TEXT(_xlfn.MAXIFS(A타입_제작표!$E$2:$E$799,A타입_제작표!$H$2:$H$799,B35),"000")</f>
        <v>구약 #211</v>
      </c>
      <c r="M35" s="24" t="s">
        <v>7108</v>
      </c>
      <c r="N35" s="24" t="s">
        <v>7286</v>
      </c>
      <c r="O35" s="24" t="s">
        <v>7110</v>
      </c>
      <c r="P35" s="26" t="n">
        <f aca="false">_xlfn.MAXIFS(A타입_제작표!$U$2:$U$799,A타입_제작표!$H$2:$H$799,B35)+1</f>
        <v>46609</v>
      </c>
      <c r="Q35" s="23" t="str">
        <f aca="false">CHOOSE(WEEKDAY(P35,2),"월","화","수","목","금","토","일")</f>
        <v>화</v>
      </c>
      <c r="R35" s="23" t="s">
        <v>140</v>
      </c>
      <c r="S35" s="23" t="s">
        <v>140</v>
      </c>
      <c r="T35" s="23" t="s">
        <v>140</v>
      </c>
      <c r="U35" s="23" t="s">
        <v>140</v>
      </c>
      <c r="V35" s="24"/>
    </row>
    <row r="36" customFormat="false" ht="52.2" hidden="false" customHeight="false" outlineLevel="0" collapsed="false">
      <c r="A36" s="23" t="n">
        <v>35</v>
      </c>
      <c r="B36" s="30" t="s">
        <v>686</v>
      </c>
      <c r="C36" s="23" t="n">
        <v>2</v>
      </c>
      <c r="D36" s="23" t="s">
        <v>126</v>
      </c>
      <c r="E36" s="24" t="s">
        <v>7287</v>
      </c>
      <c r="F36" s="29" t="s">
        <v>7288</v>
      </c>
      <c r="G36" s="24" t="s">
        <v>7289</v>
      </c>
      <c r="H36" s="23" t="n">
        <f aca="false">COUNTIF(A타입_제작표!$H$2:$H$799,B36)</f>
        <v>7</v>
      </c>
      <c r="I36" s="23" t="n">
        <f aca="false">H36*안내!$C$7+안내!$C$8</f>
        <v>484</v>
      </c>
      <c r="J36" s="23" t="n">
        <f aca="false">ROUND(I36/60,1)</f>
        <v>8.1</v>
      </c>
      <c r="K36" s="23" t="str">
        <f aca="false">D36&amp;" #"&amp;TEXT(_xlfn.MINIFS(A타입_제작표!$E$2:$E$799,A타입_제작표!$H$2:$H$799,B36),"000")</f>
        <v>구약 #212</v>
      </c>
      <c r="L36" s="23" t="str">
        <f aca="false">D36&amp;" #"&amp;TEXT(_xlfn.MAXIFS(A타입_제작표!$E$2:$E$799,A타입_제작표!$H$2:$H$799,B36),"000")</f>
        <v>구약 #218</v>
      </c>
      <c r="M36" s="24" t="s">
        <v>7290</v>
      </c>
      <c r="N36" s="24" t="s">
        <v>7291</v>
      </c>
      <c r="O36" s="24" t="s">
        <v>7292</v>
      </c>
      <c r="P36" s="26" t="n">
        <f aca="false">_xlfn.MAXIFS(A타입_제작표!$U$2:$U$799,A타입_제작표!$H$2:$H$799,B36)+1</f>
        <v>46616</v>
      </c>
      <c r="Q36" s="23" t="str">
        <f aca="false">CHOOSE(WEEKDAY(P36,2),"월","화","수","목","금","토","일")</f>
        <v>화</v>
      </c>
      <c r="R36" s="23" t="s">
        <v>140</v>
      </c>
      <c r="S36" s="23" t="s">
        <v>140</v>
      </c>
      <c r="T36" s="23" t="s">
        <v>140</v>
      </c>
      <c r="U36" s="23" t="s">
        <v>140</v>
      </c>
      <c r="V36" s="24"/>
    </row>
    <row r="37" customFormat="false" ht="52.2" hidden="false" customHeight="false" outlineLevel="0" collapsed="false">
      <c r="A37" s="23" t="n">
        <v>36</v>
      </c>
      <c r="B37" s="30" t="s">
        <v>873</v>
      </c>
      <c r="C37" s="23" t="n">
        <v>2</v>
      </c>
      <c r="D37" s="23" t="s">
        <v>126</v>
      </c>
      <c r="E37" s="24" t="s">
        <v>7293</v>
      </c>
      <c r="F37" s="29" t="s">
        <v>7294</v>
      </c>
      <c r="G37" s="24" t="s">
        <v>7295</v>
      </c>
      <c r="H37" s="23" t="n">
        <f aca="false">COUNTIF(A타입_제작표!$H$2:$H$799,B37)</f>
        <v>8</v>
      </c>
      <c r="I37" s="23" t="n">
        <f aca="false">H37*안내!$C$7+안내!$C$8</f>
        <v>536</v>
      </c>
      <c r="J37" s="23" t="n">
        <f aca="false">ROUND(I37/60,1)</f>
        <v>8.9</v>
      </c>
      <c r="K37" s="23" t="str">
        <f aca="false">D37&amp;" #"&amp;TEXT(_xlfn.MINIFS(A타입_제작표!$E$2:$E$799,A타입_제작표!$H$2:$H$799,B37),"000")</f>
        <v>구약 #219</v>
      </c>
      <c r="L37" s="23" t="str">
        <f aca="false">D37&amp;" #"&amp;TEXT(_xlfn.MAXIFS(A타입_제작표!$E$2:$E$799,A타입_제작표!$H$2:$H$799,B37),"000")</f>
        <v>구약 #226</v>
      </c>
      <c r="M37" s="24" t="s">
        <v>7296</v>
      </c>
      <c r="N37" s="24" t="s">
        <v>7297</v>
      </c>
      <c r="O37" s="24" t="s">
        <v>7298</v>
      </c>
      <c r="P37" s="26" t="n">
        <f aca="false">_xlfn.MAXIFS(A타입_제작표!$U$2:$U$799,A타입_제작표!$H$2:$H$799,B37)+1</f>
        <v>46624</v>
      </c>
      <c r="Q37" s="23" t="str">
        <f aca="false">CHOOSE(WEEKDAY(P37,2),"월","화","수","목","금","토","일")</f>
        <v>수</v>
      </c>
      <c r="R37" s="23" t="s">
        <v>140</v>
      </c>
      <c r="S37" s="23" t="s">
        <v>140</v>
      </c>
      <c r="T37" s="23" t="s">
        <v>140</v>
      </c>
      <c r="U37" s="23" t="s">
        <v>140</v>
      </c>
      <c r="V37" s="24"/>
    </row>
    <row r="38" customFormat="false" ht="76.1" hidden="false" customHeight="false" outlineLevel="0" collapsed="false">
      <c r="A38" s="23" t="n">
        <v>37</v>
      </c>
      <c r="B38" s="30" t="s">
        <v>1022</v>
      </c>
      <c r="C38" s="23" t="n">
        <v>2</v>
      </c>
      <c r="D38" s="23" t="s">
        <v>126</v>
      </c>
      <c r="E38" s="24" t="s">
        <v>7299</v>
      </c>
      <c r="F38" s="29" t="s">
        <v>7300</v>
      </c>
      <c r="G38" s="24" t="s">
        <v>7301</v>
      </c>
      <c r="H38" s="23" t="n">
        <f aca="false">COUNTIF(A타입_제작표!$H$2:$H$799,B38)</f>
        <v>11</v>
      </c>
      <c r="I38" s="23" t="n">
        <f aca="false">H38*안내!$C$7+안내!$C$8</f>
        <v>692</v>
      </c>
      <c r="J38" s="23" t="n">
        <f aca="false">ROUND(I38/60,1)</f>
        <v>11.5</v>
      </c>
      <c r="K38" s="23" t="str">
        <f aca="false">D38&amp;" #"&amp;TEXT(_xlfn.MINIFS(A타입_제작표!$E$2:$E$799,A타입_제작표!$H$2:$H$799,B38),"000")</f>
        <v>구약 #227</v>
      </c>
      <c r="L38" s="23" t="str">
        <f aca="false">D38&amp;" #"&amp;TEXT(_xlfn.MAXIFS(A타입_제작표!$E$2:$E$799,A타입_제작표!$H$2:$H$799,B38),"000")</f>
        <v>구약 #237</v>
      </c>
      <c r="M38" s="24" t="s">
        <v>7302</v>
      </c>
      <c r="N38" s="24" t="s">
        <v>7303</v>
      </c>
      <c r="O38" s="24" t="s">
        <v>7304</v>
      </c>
      <c r="P38" s="26" t="n">
        <f aca="false">_xlfn.MAXIFS(A타입_제작표!$U$2:$U$799,A타입_제작표!$H$2:$H$799,B38)+1</f>
        <v>46635</v>
      </c>
      <c r="Q38" s="23" t="str">
        <f aca="false">CHOOSE(WEEKDAY(P38,2),"월","화","수","목","금","토","일")</f>
        <v>일</v>
      </c>
      <c r="R38" s="23" t="s">
        <v>140</v>
      </c>
      <c r="S38" s="23" t="s">
        <v>140</v>
      </c>
      <c r="T38" s="23" t="s">
        <v>140</v>
      </c>
      <c r="U38" s="23" t="s">
        <v>140</v>
      </c>
      <c r="V38" s="24"/>
    </row>
    <row r="39" customFormat="false" ht="26.85" hidden="false" customHeight="false" outlineLevel="0" collapsed="false">
      <c r="A39" s="23" t="n">
        <v>38</v>
      </c>
      <c r="B39" s="30" t="s">
        <v>1203</v>
      </c>
      <c r="C39" s="23" t="n">
        <v>2</v>
      </c>
      <c r="D39" s="23" t="s">
        <v>126</v>
      </c>
      <c r="E39" s="24" t="s">
        <v>7305</v>
      </c>
      <c r="F39" s="29" t="s">
        <v>1202</v>
      </c>
      <c r="G39" s="24" t="s">
        <v>7306</v>
      </c>
      <c r="H39" s="23" t="n">
        <f aca="false">COUNTIF(A타입_제작표!$H$2:$H$799,B39)</f>
        <v>11</v>
      </c>
      <c r="I39" s="23" t="n">
        <f aca="false">H39*안내!$C$7+안내!$C$8</f>
        <v>692</v>
      </c>
      <c r="J39" s="23" t="n">
        <f aca="false">ROUND(I39/60,1)</f>
        <v>11.5</v>
      </c>
      <c r="K39" s="23" t="str">
        <f aca="false">D39&amp;" #"&amp;TEXT(_xlfn.MINIFS(A타입_제작표!$E$2:$E$799,A타입_제작표!$H$2:$H$799,B39),"000")</f>
        <v>구약 #238</v>
      </c>
      <c r="L39" s="23" t="str">
        <f aca="false">D39&amp;" #"&amp;TEXT(_xlfn.MAXIFS(A타입_제작표!$E$2:$E$799,A타입_제작표!$H$2:$H$799,B39),"000")</f>
        <v>구약 #248</v>
      </c>
      <c r="M39" s="24" t="s">
        <v>7307</v>
      </c>
      <c r="N39" s="24" t="s">
        <v>7308</v>
      </c>
      <c r="O39" s="24" t="s">
        <v>7309</v>
      </c>
      <c r="P39" s="26" t="n">
        <f aca="false">_xlfn.MAXIFS(A타입_제작표!$U$2:$U$799,A타입_제작표!$H$2:$H$799,B39)+1</f>
        <v>46646</v>
      </c>
      <c r="Q39" s="23" t="str">
        <f aca="false">CHOOSE(WEEKDAY(P39,2),"월","화","수","목","금","토","일")</f>
        <v>목</v>
      </c>
      <c r="R39" s="23" t="s">
        <v>140</v>
      </c>
      <c r="S39" s="23" t="s">
        <v>140</v>
      </c>
      <c r="T39" s="23" t="s">
        <v>140</v>
      </c>
      <c r="U39" s="23" t="s">
        <v>140</v>
      </c>
      <c r="V39" s="24"/>
    </row>
    <row r="40" customFormat="false" ht="52.2" hidden="false" customHeight="false" outlineLevel="0" collapsed="false">
      <c r="A40" s="23" t="n">
        <v>39</v>
      </c>
      <c r="B40" s="30" t="s">
        <v>1304</v>
      </c>
      <c r="C40" s="23" t="n">
        <v>2</v>
      </c>
      <c r="D40" s="23" t="s">
        <v>126</v>
      </c>
      <c r="E40" s="24" t="s">
        <v>7310</v>
      </c>
      <c r="F40" s="29" t="s">
        <v>7311</v>
      </c>
      <c r="G40" s="24" t="s">
        <v>7312</v>
      </c>
      <c r="H40" s="23" t="n">
        <f aca="false">COUNTIF(A타입_제작표!$H$2:$H$799,B40)</f>
        <v>9</v>
      </c>
      <c r="I40" s="23" t="n">
        <f aca="false">H40*안내!$C$7+안내!$C$8</f>
        <v>588</v>
      </c>
      <c r="J40" s="23" t="n">
        <f aca="false">ROUND(I40/60,1)</f>
        <v>9.8</v>
      </c>
      <c r="K40" s="23" t="str">
        <f aca="false">D40&amp;" #"&amp;TEXT(_xlfn.MINIFS(A타입_제작표!$E$2:$E$799,A타입_제작표!$H$2:$H$799,B40),"000")</f>
        <v>구약 #249</v>
      </c>
      <c r="L40" s="23" t="str">
        <f aca="false">D40&amp;" #"&amp;TEXT(_xlfn.MAXIFS(A타입_제작표!$E$2:$E$799,A타입_제작표!$H$2:$H$799,B40),"000")</f>
        <v>구약 #257</v>
      </c>
      <c r="M40" s="24" t="s">
        <v>7132</v>
      </c>
      <c r="N40" s="24" t="s">
        <v>7313</v>
      </c>
      <c r="O40" s="24" t="s">
        <v>7134</v>
      </c>
      <c r="P40" s="26" t="n">
        <f aca="false">_xlfn.MAXIFS(A타입_제작표!$U$2:$U$799,A타입_제작표!$H$2:$H$799,B40)+1</f>
        <v>46655</v>
      </c>
      <c r="Q40" s="23" t="str">
        <f aca="false">CHOOSE(WEEKDAY(P40,2),"월","화","수","목","금","토","일")</f>
        <v>토</v>
      </c>
      <c r="R40" s="23" t="s">
        <v>140</v>
      </c>
      <c r="S40" s="23" t="s">
        <v>140</v>
      </c>
      <c r="T40" s="23" t="s">
        <v>140</v>
      </c>
      <c r="U40" s="23" t="s">
        <v>140</v>
      </c>
      <c r="V40" s="24"/>
    </row>
    <row r="41" customFormat="false" ht="26.85" hidden="false" customHeight="false" outlineLevel="0" collapsed="false">
      <c r="A41" s="23" t="n">
        <v>40</v>
      </c>
      <c r="B41" s="30" t="s">
        <v>1397</v>
      </c>
      <c r="C41" s="23" t="n">
        <v>2</v>
      </c>
      <c r="D41" s="23" t="s">
        <v>126</v>
      </c>
      <c r="E41" s="24" t="s">
        <v>7314</v>
      </c>
      <c r="F41" s="29" t="s">
        <v>1372</v>
      </c>
      <c r="G41" s="24" t="s">
        <v>7315</v>
      </c>
      <c r="H41" s="23" t="n">
        <f aca="false">COUNTIF(A타입_제작표!$H$2:$H$799,B41)</f>
        <v>9</v>
      </c>
      <c r="I41" s="23" t="n">
        <f aca="false">H41*안내!$C$7+안내!$C$8</f>
        <v>588</v>
      </c>
      <c r="J41" s="23" t="n">
        <f aca="false">ROUND(I41/60,1)</f>
        <v>9.8</v>
      </c>
      <c r="K41" s="23" t="str">
        <f aca="false">D41&amp;" #"&amp;TEXT(_xlfn.MINIFS(A타입_제작표!$E$2:$E$799,A타입_제작표!$H$2:$H$799,B41),"000")</f>
        <v>구약 #258</v>
      </c>
      <c r="L41" s="23" t="str">
        <f aca="false">D41&amp;" #"&amp;TEXT(_xlfn.MAXIFS(A타입_제작표!$E$2:$E$799,A타입_제작표!$H$2:$H$799,B41),"000")</f>
        <v>구약 #266</v>
      </c>
      <c r="M41" s="24" t="s">
        <v>7316</v>
      </c>
      <c r="N41" s="24" t="s">
        <v>7317</v>
      </c>
      <c r="O41" s="24" t="s">
        <v>7318</v>
      </c>
      <c r="P41" s="26" t="n">
        <f aca="false">_xlfn.MAXIFS(A타입_제작표!$U$2:$U$799,A타입_제작표!$H$2:$H$799,B41)+1</f>
        <v>46664</v>
      </c>
      <c r="Q41" s="23" t="str">
        <f aca="false">CHOOSE(WEEKDAY(P41,2),"월","화","수","목","금","토","일")</f>
        <v>월</v>
      </c>
      <c r="R41" s="23" t="s">
        <v>140</v>
      </c>
      <c r="S41" s="23" t="s">
        <v>140</v>
      </c>
      <c r="T41" s="23" t="s">
        <v>140</v>
      </c>
      <c r="U41" s="23" t="s">
        <v>140</v>
      </c>
      <c r="V41" s="24"/>
    </row>
    <row r="42" customFormat="false" ht="26.85" hidden="false" customHeight="false" outlineLevel="0" collapsed="false">
      <c r="A42" s="23" t="n">
        <v>41</v>
      </c>
      <c r="B42" s="30" t="s">
        <v>1493</v>
      </c>
      <c r="C42" s="23" t="n">
        <v>2</v>
      </c>
      <c r="D42" s="23" t="s">
        <v>126</v>
      </c>
      <c r="E42" s="24" t="s">
        <v>7319</v>
      </c>
      <c r="F42" s="29" t="s">
        <v>1492</v>
      </c>
      <c r="G42" s="24" t="s">
        <v>7320</v>
      </c>
      <c r="H42" s="23" t="n">
        <f aca="false">COUNTIF(A타입_제작표!$H$2:$H$799,B42)</f>
        <v>12</v>
      </c>
      <c r="I42" s="23" t="n">
        <f aca="false">H42*안내!$C$7+안내!$C$8</f>
        <v>744</v>
      </c>
      <c r="J42" s="23" t="n">
        <f aca="false">ROUND(I42/60,1)</f>
        <v>12.4</v>
      </c>
      <c r="K42" s="23" t="str">
        <f aca="false">D42&amp;" #"&amp;TEXT(_xlfn.MINIFS(A타입_제작표!$E$2:$E$799,A타입_제작표!$H$2:$H$799,B42),"000")</f>
        <v>구약 #267</v>
      </c>
      <c r="L42" s="23" t="str">
        <f aca="false">D42&amp;" #"&amp;TEXT(_xlfn.MAXIFS(A타입_제작표!$E$2:$E$799,A타입_제작표!$H$2:$H$799,B42),"000")</f>
        <v>구약 #278</v>
      </c>
      <c r="M42" s="24" t="s">
        <v>7321</v>
      </c>
      <c r="N42" s="24" t="s">
        <v>7322</v>
      </c>
      <c r="O42" s="24" t="s">
        <v>7323</v>
      </c>
      <c r="P42" s="26" t="n">
        <f aca="false">_xlfn.MAXIFS(A타입_제작표!$U$2:$U$799,A타입_제작표!$H$2:$H$799,B42)+1</f>
        <v>46676</v>
      </c>
      <c r="Q42" s="23" t="str">
        <f aca="false">CHOOSE(WEEKDAY(P42,2),"월","화","수","목","금","토","일")</f>
        <v>토</v>
      </c>
      <c r="R42" s="23" t="s">
        <v>140</v>
      </c>
      <c r="S42" s="23" t="s">
        <v>140</v>
      </c>
      <c r="T42" s="23" t="s">
        <v>140</v>
      </c>
      <c r="U42" s="23" t="s">
        <v>140</v>
      </c>
      <c r="V42" s="24"/>
    </row>
    <row r="43" customFormat="false" ht="52.2" hidden="false" customHeight="false" outlineLevel="0" collapsed="false">
      <c r="A43" s="23" t="n">
        <v>42</v>
      </c>
      <c r="B43" s="30" t="s">
        <v>1626</v>
      </c>
      <c r="C43" s="23" t="n">
        <v>2</v>
      </c>
      <c r="D43" s="23" t="s">
        <v>126</v>
      </c>
      <c r="E43" s="24" t="s">
        <v>7324</v>
      </c>
      <c r="F43" s="29" t="s">
        <v>7325</v>
      </c>
      <c r="G43" s="24" t="s">
        <v>7326</v>
      </c>
      <c r="H43" s="23" t="n">
        <f aca="false">COUNTIF(A타입_제작표!$H$2:$H$799,B43)</f>
        <v>9</v>
      </c>
      <c r="I43" s="23" t="n">
        <f aca="false">H43*안내!$C$7+안내!$C$8</f>
        <v>588</v>
      </c>
      <c r="J43" s="23" t="n">
        <f aca="false">ROUND(I43/60,1)</f>
        <v>9.8</v>
      </c>
      <c r="K43" s="23" t="str">
        <f aca="false">D43&amp;" #"&amp;TEXT(_xlfn.MINIFS(A타입_제작표!$E$2:$E$799,A타입_제작표!$H$2:$H$799,B43),"000")</f>
        <v>구약 #279</v>
      </c>
      <c r="L43" s="23" t="str">
        <f aca="false">D43&amp;" #"&amp;TEXT(_xlfn.MAXIFS(A타입_제작표!$E$2:$E$799,A타입_제작표!$H$2:$H$799,B43),"000")</f>
        <v>구약 #287</v>
      </c>
      <c r="M43" s="24" t="s">
        <v>7327</v>
      </c>
      <c r="N43" s="24" t="s">
        <v>7328</v>
      </c>
      <c r="O43" s="24" t="s">
        <v>7329</v>
      </c>
      <c r="P43" s="26" t="n">
        <f aca="false">_xlfn.MAXIFS(A타입_제작표!$U$2:$U$799,A타입_제작표!$H$2:$H$799,B43)+1</f>
        <v>46685</v>
      </c>
      <c r="Q43" s="23" t="str">
        <f aca="false">CHOOSE(WEEKDAY(P43,2),"월","화","수","목","금","토","일")</f>
        <v>월</v>
      </c>
      <c r="R43" s="23" t="s">
        <v>140</v>
      </c>
      <c r="S43" s="23" t="s">
        <v>140</v>
      </c>
      <c r="T43" s="23" t="s">
        <v>140</v>
      </c>
      <c r="U43" s="23" t="s">
        <v>140</v>
      </c>
      <c r="V43" s="24"/>
    </row>
    <row r="44" customFormat="false" ht="39.55" hidden="false" customHeight="false" outlineLevel="0" collapsed="false">
      <c r="A44" s="23" t="n">
        <v>43</v>
      </c>
      <c r="B44" s="30" t="s">
        <v>1741</v>
      </c>
      <c r="C44" s="23" t="n">
        <v>2</v>
      </c>
      <c r="D44" s="23" t="s">
        <v>126</v>
      </c>
      <c r="E44" s="24" t="s">
        <v>7330</v>
      </c>
      <c r="F44" s="29" t="s">
        <v>7331</v>
      </c>
      <c r="G44" s="24" t="s">
        <v>7332</v>
      </c>
      <c r="H44" s="23" t="n">
        <f aca="false">COUNTIF(A타입_제작표!$H$2:$H$799,B44)</f>
        <v>14</v>
      </c>
      <c r="I44" s="23" t="n">
        <f aca="false">H44*안내!$C$7+안내!$C$8</f>
        <v>848</v>
      </c>
      <c r="J44" s="23" t="n">
        <f aca="false">ROUND(I44/60,1)</f>
        <v>14.1</v>
      </c>
      <c r="K44" s="23" t="str">
        <f aca="false">D44&amp;" #"&amp;TEXT(_xlfn.MINIFS(A타입_제작표!$E$2:$E$799,A타입_제작표!$H$2:$H$799,B44),"000")</f>
        <v>구약 #288</v>
      </c>
      <c r="L44" s="23" t="str">
        <f aca="false">D44&amp;" #"&amp;TEXT(_xlfn.MAXIFS(A타입_제작표!$E$2:$E$799,A타입_제작표!$H$2:$H$799,B44),"000")</f>
        <v>구약 #301</v>
      </c>
      <c r="M44" s="24" t="s">
        <v>7333</v>
      </c>
      <c r="N44" s="24" t="s">
        <v>7334</v>
      </c>
      <c r="O44" s="24" t="s">
        <v>7335</v>
      </c>
      <c r="P44" s="26" t="n">
        <f aca="false">_xlfn.MAXIFS(A타입_제작표!$U$2:$U$799,A타입_제작표!$H$2:$H$799,B44)+1</f>
        <v>46699</v>
      </c>
      <c r="Q44" s="23" t="str">
        <f aca="false">CHOOSE(WEEKDAY(P44,2),"월","화","수","목","금","토","일")</f>
        <v>월</v>
      </c>
      <c r="R44" s="23" t="s">
        <v>140</v>
      </c>
      <c r="S44" s="23" t="s">
        <v>140</v>
      </c>
      <c r="T44" s="23" t="s">
        <v>140</v>
      </c>
      <c r="U44" s="23" t="s">
        <v>140</v>
      </c>
      <c r="V44" s="24"/>
    </row>
    <row r="45" customFormat="false" ht="39.55" hidden="false" customHeight="false" outlineLevel="0" collapsed="false">
      <c r="A45" s="23" t="n">
        <v>44</v>
      </c>
      <c r="B45" s="30" t="s">
        <v>1943</v>
      </c>
      <c r="C45" s="23" t="n">
        <v>2</v>
      </c>
      <c r="D45" s="23" t="s">
        <v>126</v>
      </c>
      <c r="E45" s="24" t="s">
        <v>7141</v>
      </c>
      <c r="F45" s="29" t="s">
        <v>7142</v>
      </c>
      <c r="G45" s="24" t="s">
        <v>7336</v>
      </c>
      <c r="H45" s="23" t="n">
        <f aca="false">COUNTIF(A타입_제작표!$H$2:$H$799,B45)</f>
        <v>7</v>
      </c>
      <c r="I45" s="23" t="n">
        <f aca="false">H45*안내!$C$7+안내!$C$8</f>
        <v>484</v>
      </c>
      <c r="J45" s="23" t="n">
        <f aca="false">ROUND(I45/60,1)</f>
        <v>8.1</v>
      </c>
      <c r="K45" s="23" t="str">
        <f aca="false">D45&amp;" #"&amp;TEXT(_xlfn.MINIFS(A타입_제작표!$E$2:$E$799,A타입_제작표!$H$2:$H$799,B45),"000")</f>
        <v>구약 #302</v>
      </c>
      <c r="L45" s="23" t="str">
        <f aca="false">D45&amp;" #"&amp;TEXT(_xlfn.MAXIFS(A타입_제작표!$E$2:$E$799,A타입_제작표!$H$2:$H$799,B45),"000")</f>
        <v>구약 #308</v>
      </c>
      <c r="M45" s="24" t="s">
        <v>7144</v>
      </c>
      <c r="N45" s="24" t="s">
        <v>7145</v>
      </c>
      <c r="O45" s="24" t="s">
        <v>7146</v>
      </c>
      <c r="P45" s="26" t="n">
        <f aca="false">_xlfn.MAXIFS(A타입_제작표!$U$2:$U$799,A타입_제작표!$H$2:$H$799,B45)+1</f>
        <v>46706</v>
      </c>
      <c r="Q45" s="23" t="str">
        <f aca="false">CHOOSE(WEEKDAY(P45,2),"월","화","수","목","금","토","일")</f>
        <v>월</v>
      </c>
      <c r="R45" s="23" t="s">
        <v>140</v>
      </c>
      <c r="S45" s="23" t="s">
        <v>140</v>
      </c>
      <c r="T45" s="23" t="s">
        <v>140</v>
      </c>
      <c r="U45" s="23" t="s">
        <v>140</v>
      </c>
      <c r="V45" s="24"/>
    </row>
    <row r="46" customFormat="false" ht="52.2" hidden="false" customHeight="false" outlineLevel="0" collapsed="false">
      <c r="A46" s="23" t="n">
        <v>45</v>
      </c>
      <c r="B46" s="30" t="s">
        <v>2083</v>
      </c>
      <c r="C46" s="23" t="n">
        <v>2</v>
      </c>
      <c r="D46" s="23" t="s">
        <v>126</v>
      </c>
      <c r="E46" s="24" t="s">
        <v>7337</v>
      </c>
      <c r="F46" s="29" t="s">
        <v>7338</v>
      </c>
      <c r="G46" s="24" t="s">
        <v>7339</v>
      </c>
      <c r="H46" s="23" t="n">
        <f aca="false">COUNTIF(A타입_제작표!$H$2:$H$799,B46)</f>
        <v>12</v>
      </c>
      <c r="I46" s="23" t="n">
        <f aca="false">H46*안내!$C$7+안내!$C$8</f>
        <v>744</v>
      </c>
      <c r="J46" s="23" t="n">
        <f aca="false">ROUND(I46/60,1)</f>
        <v>12.4</v>
      </c>
      <c r="K46" s="23" t="str">
        <f aca="false">D46&amp;" #"&amp;TEXT(_xlfn.MINIFS(A타입_제작표!$E$2:$E$799,A타입_제작표!$H$2:$H$799,B46),"000")</f>
        <v>구약 #309</v>
      </c>
      <c r="L46" s="23" t="str">
        <f aca="false">D46&amp;" #"&amp;TEXT(_xlfn.MAXIFS(A타입_제작표!$E$2:$E$799,A타입_제작표!$H$2:$H$799,B46),"000")</f>
        <v>구약 #320</v>
      </c>
      <c r="M46" s="24" t="s">
        <v>7150</v>
      </c>
      <c r="N46" s="24" t="s">
        <v>7340</v>
      </c>
      <c r="O46" s="24" t="s">
        <v>7341</v>
      </c>
      <c r="P46" s="26" t="n">
        <f aca="false">_xlfn.MAXIFS(A타입_제작표!$U$2:$U$799,A타입_제작표!$H$2:$H$799,B46)+1</f>
        <v>46718</v>
      </c>
      <c r="Q46" s="23" t="str">
        <f aca="false">CHOOSE(WEEKDAY(P46,2),"월","화","수","목","금","토","일")</f>
        <v>토</v>
      </c>
      <c r="R46" s="23" t="s">
        <v>140</v>
      </c>
      <c r="S46" s="23" t="s">
        <v>140</v>
      </c>
      <c r="T46" s="23" t="s">
        <v>140</v>
      </c>
      <c r="U46" s="23" t="s">
        <v>140</v>
      </c>
      <c r="V46" s="24"/>
    </row>
    <row r="47" customFormat="false" ht="38.05" hidden="false" customHeight="false" outlineLevel="0" collapsed="false">
      <c r="A47" s="23" t="n">
        <v>46</v>
      </c>
      <c r="B47" s="30" t="s">
        <v>2233</v>
      </c>
      <c r="C47" s="23" t="n">
        <v>2</v>
      </c>
      <c r="D47" s="23" t="s">
        <v>126</v>
      </c>
      <c r="E47" s="24" t="s">
        <v>7342</v>
      </c>
      <c r="F47" s="29" t="s">
        <v>7343</v>
      </c>
      <c r="G47" s="24" t="s">
        <v>7344</v>
      </c>
      <c r="H47" s="23" t="n">
        <f aca="false">COUNTIF(A타입_제작표!$H$2:$H$799,B47)</f>
        <v>12</v>
      </c>
      <c r="I47" s="23" t="n">
        <f aca="false">H47*안내!$C$7+안내!$C$8</f>
        <v>744</v>
      </c>
      <c r="J47" s="23" t="n">
        <f aca="false">ROUND(I47/60,1)</f>
        <v>12.4</v>
      </c>
      <c r="K47" s="23" t="str">
        <f aca="false">D47&amp;" #"&amp;TEXT(_xlfn.MINIFS(A타입_제작표!$E$2:$E$799,A타입_제작표!$H$2:$H$799,B47),"000")</f>
        <v>구약 #321</v>
      </c>
      <c r="L47" s="23" t="str">
        <f aca="false">D47&amp;" #"&amp;TEXT(_xlfn.MAXIFS(A타입_제작표!$E$2:$E$799,A타입_제작표!$H$2:$H$799,B47),"000")</f>
        <v>구약 #332</v>
      </c>
      <c r="M47" s="24" t="s">
        <v>7345</v>
      </c>
      <c r="N47" s="24" t="s">
        <v>7346</v>
      </c>
      <c r="O47" s="24" t="s">
        <v>7347</v>
      </c>
      <c r="P47" s="26" t="n">
        <f aca="false">_xlfn.MAXIFS(A타입_제작표!$U$2:$U$799,A타입_제작표!$H$2:$H$799,B47)+1</f>
        <v>46730</v>
      </c>
      <c r="Q47" s="23" t="str">
        <f aca="false">CHOOSE(WEEKDAY(P47,2),"월","화","수","목","금","토","일")</f>
        <v>목</v>
      </c>
      <c r="R47" s="23" t="s">
        <v>140</v>
      </c>
      <c r="S47" s="23" t="s">
        <v>140</v>
      </c>
      <c r="T47" s="23" t="s">
        <v>140</v>
      </c>
      <c r="U47" s="23" t="s">
        <v>140</v>
      </c>
      <c r="V47" s="24"/>
    </row>
    <row r="48" customFormat="false" ht="52.2" hidden="false" customHeight="false" outlineLevel="0" collapsed="false">
      <c r="A48" s="23" t="n">
        <v>47</v>
      </c>
      <c r="B48" s="30" t="s">
        <v>2406</v>
      </c>
      <c r="C48" s="23" t="n">
        <v>2</v>
      </c>
      <c r="D48" s="23" t="s">
        <v>126</v>
      </c>
      <c r="E48" s="24" t="s">
        <v>7348</v>
      </c>
      <c r="F48" s="29" t="s">
        <v>7349</v>
      </c>
      <c r="G48" s="24" t="s">
        <v>7350</v>
      </c>
      <c r="H48" s="23" t="n">
        <f aca="false">COUNTIF(A타입_제작표!$H$2:$H$799,B48)</f>
        <v>8</v>
      </c>
      <c r="I48" s="23" t="n">
        <f aca="false">H48*안내!$C$7+안내!$C$8</f>
        <v>536</v>
      </c>
      <c r="J48" s="23" t="n">
        <f aca="false">ROUND(I48/60,1)</f>
        <v>8.9</v>
      </c>
      <c r="K48" s="23" t="str">
        <f aca="false">D48&amp;" #"&amp;TEXT(_xlfn.MINIFS(A타입_제작표!$E$2:$E$799,A타입_제작표!$H$2:$H$799,B48),"000")</f>
        <v>구약 #333</v>
      </c>
      <c r="L48" s="23" t="str">
        <f aca="false">D48&amp;" #"&amp;TEXT(_xlfn.MAXIFS(A타입_제작표!$E$2:$E$799,A타입_제작표!$H$2:$H$799,B48),"000")</f>
        <v>구약 #340</v>
      </c>
      <c r="M48" s="24" t="s">
        <v>7351</v>
      </c>
      <c r="N48" s="24" t="s">
        <v>7352</v>
      </c>
      <c r="O48" s="24" t="s">
        <v>7353</v>
      </c>
      <c r="P48" s="26" t="n">
        <f aca="false">_xlfn.MAXIFS(A타입_제작표!$U$2:$U$799,A타입_제작표!$H$2:$H$799,B48)+1</f>
        <v>46738</v>
      </c>
      <c r="Q48" s="23" t="str">
        <f aca="false">CHOOSE(WEEKDAY(P48,2),"월","화","수","목","금","토","일")</f>
        <v>금</v>
      </c>
      <c r="R48" s="23" t="s">
        <v>140</v>
      </c>
      <c r="S48" s="23" t="s">
        <v>140</v>
      </c>
      <c r="T48" s="23" t="s">
        <v>140</v>
      </c>
      <c r="U48" s="23" t="s">
        <v>140</v>
      </c>
      <c r="V48" s="24"/>
    </row>
    <row r="49" customFormat="false" ht="52.2" hidden="false" customHeight="false" outlineLevel="0" collapsed="false">
      <c r="A49" s="23" t="n">
        <v>48</v>
      </c>
      <c r="B49" s="30" t="s">
        <v>2579</v>
      </c>
      <c r="C49" s="23" t="n">
        <v>2</v>
      </c>
      <c r="D49" s="23" t="s">
        <v>126</v>
      </c>
      <c r="E49" s="24" t="s">
        <v>7354</v>
      </c>
      <c r="F49" s="29" t="s">
        <v>7355</v>
      </c>
      <c r="G49" s="24" t="s">
        <v>7356</v>
      </c>
      <c r="H49" s="23" t="n">
        <f aca="false">COUNTIF(A타입_제작표!$H$2:$H$799,B49)</f>
        <v>11</v>
      </c>
      <c r="I49" s="23" t="n">
        <f aca="false">H49*안내!$C$7+안내!$C$8</f>
        <v>692</v>
      </c>
      <c r="J49" s="23" t="n">
        <f aca="false">ROUND(I49/60,1)</f>
        <v>11.5</v>
      </c>
      <c r="K49" s="23" t="str">
        <f aca="false">D49&amp;" #"&amp;TEXT(_xlfn.MINIFS(A타입_제작표!$E$2:$E$799,A타입_제작표!$H$2:$H$799,B49),"000")</f>
        <v>구약 #341</v>
      </c>
      <c r="L49" s="23" t="str">
        <f aca="false">D49&amp;" #"&amp;TEXT(_xlfn.MAXIFS(A타입_제작표!$E$2:$E$799,A타입_제작표!$H$2:$H$799,B49),"000")</f>
        <v>구약 #351</v>
      </c>
      <c r="M49" s="24" t="s">
        <v>7357</v>
      </c>
      <c r="N49" s="24" t="s">
        <v>7358</v>
      </c>
      <c r="O49" s="24" t="s">
        <v>7359</v>
      </c>
      <c r="P49" s="26" t="n">
        <f aca="false">_xlfn.MAXIFS(A타입_제작표!$U$2:$U$799,A타입_제작표!$H$2:$H$799,B49)+1</f>
        <v>46749</v>
      </c>
      <c r="Q49" s="23" t="str">
        <f aca="false">CHOOSE(WEEKDAY(P49,2),"월","화","수","목","금","토","일")</f>
        <v>화</v>
      </c>
      <c r="R49" s="23" t="s">
        <v>140</v>
      </c>
      <c r="S49" s="23" t="s">
        <v>140</v>
      </c>
      <c r="T49" s="23" t="s">
        <v>140</v>
      </c>
      <c r="U49" s="23" t="s">
        <v>140</v>
      </c>
      <c r="V49" s="24"/>
    </row>
    <row r="50" customFormat="false" ht="52.2" hidden="false" customHeight="false" outlineLevel="0" collapsed="false">
      <c r="A50" s="23" t="n">
        <v>49</v>
      </c>
      <c r="B50" s="30" t="s">
        <v>2727</v>
      </c>
      <c r="C50" s="23" t="n">
        <v>2</v>
      </c>
      <c r="D50" s="23" t="s">
        <v>126</v>
      </c>
      <c r="E50" s="24" t="s">
        <v>7360</v>
      </c>
      <c r="F50" s="29" t="s">
        <v>7361</v>
      </c>
      <c r="G50" s="24" t="s">
        <v>7362</v>
      </c>
      <c r="H50" s="23" t="n">
        <f aca="false">COUNTIF(A타입_제작표!$H$2:$H$799,B50)</f>
        <v>10</v>
      </c>
      <c r="I50" s="23" t="n">
        <f aca="false">H50*안내!$C$7+안내!$C$8</f>
        <v>640</v>
      </c>
      <c r="J50" s="23" t="n">
        <f aca="false">ROUND(I50/60,1)</f>
        <v>10.7</v>
      </c>
      <c r="K50" s="23" t="str">
        <f aca="false">D50&amp;" #"&amp;TEXT(_xlfn.MINIFS(A타입_제작표!$E$2:$E$799,A타입_제작표!$H$2:$H$799,B50),"000")</f>
        <v>구약 #352</v>
      </c>
      <c r="L50" s="23" t="str">
        <f aca="false">D50&amp;" #"&amp;TEXT(_xlfn.MAXIFS(A타입_제작표!$E$2:$E$799,A타입_제작표!$H$2:$H$799,B50),"000")</f>
        <v>구약 #361</v>
      </c>
      <c r="M50" s="24" t="s">
        <v>7363</v>
      </c>
      <c r="N50" s="24" t="s">
        <v>7364</v>
      </c>
      <c r="O50" s="24" t="s">
        <v>7365</v>
      </c>
      <c r="P50" s="26" t="n">
        <f aca="false">_xlfn.MAXIFS(A타입_제작표!$U$2:$U$799,A타입_제작표!$H$2:$H$799,B50)+1</f>
        <v>46759</v>
      </c>
      <c r="Q50" s="23" t="str">
        <f aca="false">CHOOSE(WEEKDAY(P50,2),"월","화","수","목","금","토","일")</f>
        <v>금</v>
      </c>
      <c r="R50" s="23" t="s">
        <v>140</v>
      </c>
      <c r="S50" s="23" t="s">
        <v>140</v>
      </c>
      <c r="T50" s="23" t="s">
        <v>140</v>
      </c>
      <c r="U50" s="23" t="s">
        <v>140</v>
      </c>
      <c r="V50" s="24"/>
    </row>
    <row r="51" customFormat="false" ht="26.85" hidden="false" customHeight="false" outlineLevel="0" collapsed="false">
      <c r="A51" s="23" t="n">
        <v>50</v>
      </c>
      <c r="B51" s="30" t="s">
        <v>2861</v>
      </c>
      <c r="C51" s="23" t="n">
        <v>2</v>
      </c>
      <c r="D51" s="23" t="s">
        <v>126</v>
      </c>
      <c r="E51" s="24" t="s">
        <v>7366</v>
      </c>
      <c r="F51" s="29" t="s">
        <v>2860</v>
      </c>
      <c r="G51" s="24" t="s">
        <v>7367</v>
      </c>
      <c r="H51" s="23" t="n">
        <f aca="false">COUNTIF(A타입_제작표!$H$2:$H$799,B51)</f>
        <v>7</v>
      </c>
      <c r="I51" s="23" t="n">
        <f aca="false">H51*안내!$C$7+안내!$C$8</f>
        <v>484</v>
      </c>
      <c r="J51" s="23" t="n">
        <f aca="false">ROUND(I51/60,1)</f>
        <v>8.1</v>
      </c>
      <c r="K51" s="23" t="str">
        <f aca="false">D51&amp;" #"&amp;TEXT(_xlfn.MINIFS(A타입_제작표!$E$2:$E$799,A타입_제작표!$H$2:$H$799,B51),"000")</f>
        <v>구약 #362</v>
      </c>
      <c r="L51" s="23" t="str">
        <f aca="false">D51&amp;" #"&amp;TEXT(_xlfn.MAXIFS(A타입_제작표!$E$2:$E$799,A타입_제작표!$H$2:$H$799,B51),"000")</f>
        <v>구약 #368</v>
      </c>
      <c r="M51" s="24" t="s">
        <v>7368</v>
      </c>
      <c r="N51" s="24" t="s">
        <v>7369</v>
      </c>
      <c r="O51" s="24" t="s">
        <v>7370</v>
      </c>
      <c r="P51" s="26" t="n">
        <f aca="false">_xlfn.MAXIFS(A타입_제작표!$U$2:$U$799,A타입_제작표!$H$2:$H$799,B51)+1</f>
        <v>46766</v>
      </c>
      <c r="Q51" s="23" t="str">
        <f aca="false">CHOOSE(WEEKDAY(P51,2),"월","화","수","목","금","토","일")</f>
        <v>금</v>
      </c>
      <c r="R51" s="23" t="s">
        <v>140</v>
      </c>
      <c r="S51" s="23" t="s">
        <v>140</v>
      </c>
      <c r="T51" s="23" t="s">
        <v>140</v>
      </c>
      <c r="U51" s="23" t="s">
        <v>140</v>
      </c>
      <c r="V51" s="24"/>
    </row>
    <row r="52" customFormat="false" ht="52.2" hidden="false" customHeight="false" outlineLevel="0" collapsed="false">
      <c r="A52" s="23" t="n">
        <v>51</v>
      </c>
      <c r="B52" s="30" t="s">
        <v>2921</v>
      </c>
      <c r="C52" s="23" t="n">
        <v>2</v>
      </c>
      <c r="D52" s="23" t="s">
        <v>126</v>
      </c>
      <c r="E52" s="24" t="s">
        <v>7371</v>
      </c>
      <c r="F52" s="29" t="s">
        <v>7372</v>
      </c>
      <c r="G52" s="24" t="s">
        <v>7373</v>
      </c>
      <c r="H52" s="23" t="n">
        <f aca="false">COUNTIF(A타입_제작표!$H$2:$H$799,B52)</f>
        <v>12</v>
      </c>
      <c r="I52" s="23" t="n">
        <f aca="false">H52*안내!$C$7+안내!$C$8</f>
        <v>744</v>
      </c>
      <c r="J52" s="23" t="n">
        <f aca="false">ROUND(I52/60,1)</f>
        <v>12.4</v>
      </c>
      <c r="K52" s="23" t="str">
        <f aca="false">D52&amp;" #"&amp;TEXT(_xlfn.MINIFS(A타입_제작표!$E$2:$E$799,A타입_제작표!$H$2:$H$799,B52),"000")</f>
        <v>구약 #369</v>
      </c>
      <c r="L52" s="23" t="str">
        <f aca="false">D52&amp;" #"&amp;TEXT(_xlfn.MAXIFS(A타입_제작표!$E$2:$E$799,A타입_제작표!$H$2:$H$799,B52),"000")</f>
        <v>구약 #380</v>
      </c>
      <c r="M52" s="24" t="s">
        <v>7174</v>
      </c>
      <c r="N52" s="24" t="s">
        <v>7374</v>
      </c>
      <c r="O52" s="24" t="s">
        <v>7176</v>
      </c>
      <c r="P52" s="26" t="n">
        <f aca="false">_xlfn.MAXIFS(A타입_제작표!$U$2:$U$799,A타입_제작표!$H$2:$H$799,B52)+1</f>
        <v>46778</v>
      </c>
      <c r="Q52" s="23" t="str">
        <f aca="false">CHOOSE(WEEKDAY(P52,2),"월","화","수","목","금","토","일")</f>
        <v>수</v>
      </c>
      <c r="R52" s="23" t="s">
        <v>140</v>
      </c>
      <c r="S52" s="23" t="s">
        <v>140</v>
      </c>
      <c r="T52" s="23" t="s">
        <v>140</v>
      </c>
      <c r="U52" s="23" t="s">
        <v>140</v>
      </c>
      <c r="V52" s="24"/>
    </row>
    <row r="53" customFormat="false" ht="52.2" hidden="false" customHeight="false" outlineLevel="0" collapsed="false">
      <c r="A53" s="23" t="n">
        <v>52</v>
      </c>
      <c r="B53" s="30" t="s">
        <v>3078</v>
      </c>
      <c r="C53" s="23" t="n">
        <v>2</v>
      </c>
      <c r="D53" s="23" t="s">
        <v>126</v>
      </c>
      <c r="E53" s="24" t="s">
        <v>7375</v>
      </c>
      <c r="F53" s="29" t="s">
        <v>7376</v>
      </c>
      <c r="G53" s="24" t="s">
        <v>7377</v>
      </c>
      <c r="H53" s="23" t="n">
        <f aca="false">COUNTIF(A타입_제작표!$H$2:$H$799,B53)</f>
        <v>10</v>
      </c>
      <c r="I53" s="23" t="n">
        <f aca="false">H53*안내!$C$7+안내!$C$8</f>
        <v>640</v>
      </c>
      <c r="J53" s="23" t="n">
        <f aca="false">ROUND(I53/60,1)</f>
        <v>10.7</v>
      </c>
      <c r="K53" s="23" t="str">
        <f aca="false">D53&amp;" #"&amp;TEXT(_xlfn.MINIFS(A타입_제작표!$E$2:$E$799,A타입_제작표!$H$2:$H$799,B53),"000")</f>
        <v>구약 #381</v>
      </c>
      <c r="L53" s="23" t="str">
        <f aca="false">D53&amp;" #"&amp;TEXT(_xlfn.MAXIFS(A타입_제작표!$E$2:$E$799,A타입_제작표!$H$2:$H$799,B53),"000")</f>
        <v>구약 #390</v>
      </c>
      <c r="M53" s="24" t="s">
        <v>7378</v>
      </c>
      <c r="N53" s="24" t="s">
        <v>7379</v>
      </c>
      <c r="O53" s="24" t="s">
        <v>7380</v>
      </c>
      <c r="P53" s="26" t="n">
        <f aca="false">_xlfn.MAXIFS(A타입_제작표!$U$2:$U$799,A타입_제작표!$H$2:$H$799,B53)+1</f>
        <v>46788</v>
      </c>
      <c r="Q53" s="23" t="str">
        <f aca="false">CHOOSE(WEEKDAY(P53,2),"월","화","수","목","금","토","일")</f>
        <v>토</v>
      </c>
      <c r="R53" s="23" t="s">
        <v>140</v>
      </c>
      <c r="S53" s="23" t="s">
        <v>140</v>
      </c>
      <c r="T53" s="23" t="s">
        <v>140</v>
      </c>
      <c r="U53" s="23" t="s">
        <v>140</v>
      </c>
      <c r="V53" s="24"/>
    </row>
    <row r="54" customFormat="false" ht="52.2" hidden="false" customHeight="false" outlineLevel="0" collapsed="false">
      <c r="A54" s="23" t="n">
        <v>53</v>
      </c>
      <c r="B54" s="30" t="s">
        <v>3258</v>
      </c>
      <c r="C54" s="23" t="n">
        <v>2</v>
      </c>
      <c r="D54" s="23" t="s">
        <v>126</v>
      </c>
      <c r="E54" s="24" t="s">
        <v>7381</v>
      </c>
      <c r="F54" s="29" t="s">
        <v>7382</v>
      </c>
      <c r="G54" s="24" t="s">
        <v>7383</v>
      </c>
      <c r="H54" s="23" t="n">
        <f aca="false">COUNTIF(A타입_제작표!$H$2:$H$799,B54)</f>
        <v>11</v>
      </c>
      <c r="I54" s="23" t="n">
        <f aca="false">H54*안내!$C$7+안내!$C$8</f>
        <v>692</v>
      </c>
      <c r="J54" s="23" t="n">
        <f aca="false">ROUND(I54/60,1)</f>
        <v>11.5</v>
      </c>
      <c r="K54" s="23" t="str">
        <f aca="false">D54&amp;" #"&amp;TEXT(_xlfn.MINIFS(A타입_제작표!$E$2:$E$799,A타입_제작표!$H$2:$H$799,B54),"000")</f>
        <v>구약 #391</v>
      </c>
      <c r="L54" s="23" t="str">
        <f aca="false">D54&amp;" #"&amp;TEXT(_xlfn.MAXIFS(A타입_제작표!$E$2:$E$799,A타입_제작표!$H$2:$H$799,B54),"000")</f>
        <v>구약 #401</v>
      </c>
      <c r="M54" s="24" t="s">
        <v>7384</v>
      </c>
      <c r="N54" s="29" t="s">
        <v>7385</v>
      </c>
      <c r="O54" s="24" t="s">
        <v>7386</v>
      </c>
      <c r="P54" s="26" t="n">
        <f aca="false">_xlfn.MAXIFS(A타입_제작표!$U$2:$U$799,A타입_제작표!$H$2:$H$799,B54)+1</f>
        <v>46799</v>
      </c>
      <c r="Q54" s="23" t="str">
        <f aca="false">CHOOSE(WEEKDAY(P54,2),"월","화","수","목","금","토","일")</f>
        <v>수</v>
      </c>
      <c r="R54" s="23" t="s">
        <v>140</v>
      </c>
      <c r="S54" s="23" t="s">
        <v>140</v>
      </c>
      <c r="T54" s="23" t="s">
        <v>140</v>
      </c>
      <c r="U54" s="23" t="s">
        <v>140</v>
      </c>
      <c r="V54" s="24"/>
    </row>
    <row r="55" customFormat="false" ht="26.85" hidden="false" customHeight="false" outlineLevel="0" collapsed="false">
      <c r="A55" s="23" t="n">
        <v>54</v>
      </c>
      <c r="B55" s="30" t="s">
        <v>3399</v>
      </c>
      <c r="C55" s="23" t="n">
        <v>2</v>
      </c>
      <c r="D55" s="23" t="s">
        <v>126</v>
      </c>
      <c r="E55" s="24" t="s">
        <v>7387</v>
      </c>
      <c r="F55" s="29" t="s">
        <v>3398</v>
      </c>
      <c r="G55" s="24" t="s">
        <v>7388</v>
      </c>
      <c r="H55" s="23" t="n">
        <f aca="false">COUNTIF(A타입_제작표!$H$2:$H$799,B55)</f>
        <v>7</v>
      </c>
      <c r="I55" s="23" t="n">
        <f aca="false">H55*안내!$C$7+안내!$C$8</f>
        <v>484</v>
      </c>
      <c r="J55" s="23" t="n">
        <f aca="false">ROUND(I55/60,1)</f>
        <v>8.1</v>
      </c>
      <c r="K55" s="23" t="str">
        <f aca="false">D55&amp;" #"&amp;TEXT(_xlfn.MINIFS(A타입_제작표!$E$2:$E$799,A타입_제작표!$H$2:$H$799,B55),"000")</f>
        <v>구약 #402</v>
      </c>
      <c r="L55" s="23" t="str">
        <f aca="false">D55&amp;" #"&amp;TEXT(_xlfn.MAXIFS(A타입_제작표!$E$2:$E$799,A타입_제작표!$H$2:$H$799,B55),"000")</f>
        <v>구약 #408</v>
      </c>
      <c r="M55" s="24" t="s">
        <v>7389</v>
      </c>
      <c r="N55" s="29" t="s">
        <v>7390</v>
      </c>
      <c r="O55" s="24" t="s">
        <v>7391</v>
      </c>
      <c r="P55" s="26" t="n">
        <f aca="false">_xlfn.MAXIFS(A타입_제작표!$U$2:$U$799,A타입_제작표!$H$2:$H$799,B55)+1</f>
        <v>46806</v>
      </c>
      <c r="Q55" s="23" t="str">
        <f aca="false">CHOOSE(WEEKDAY(P55,2),"월","화","수","목","금","토","일")</f>
        <v>수</v>
      </c>
      <c r="R55" s="23" t="s">
        <v>140</v>
      </c>
      <c r="S55" s="23" t="s">
        <v>140</v>
      </c>
      <c r="T55" s="23" t="s">
        <v>140</v>
      </c>
      <c r="U55" s="23" t="s">
        <v>140</v>
      </c>
      <c r="V55" s="24"/>
    </row>
    <row r="56" customFormat="false" ht="26.85" hidden="false" customHeight="false" outlineLevel="0" collapsed="false">
      <c r="A56" s="23" t="n">
        <v>55</v>
      </c>
      <c r="B56" s="30" t="s">
        <v>3462</v>
      </c>
      <c r="C56" s="23" t="n">
        <v>2</v>
      </c>
      <c r="D56" s="23" t="s">
        <v>126</v>
      </c>
      <c r="E56" s="24" t="s">
        <v>7392</v>
      </c>
      <c r="F56" s="29" t="s">
        <v>3461</v>
      </c>
      <c r="G56" s="24" t="s">
        <v>7393</v>
      </c>
      <c r="H56" s="23" t="n">
        <f aca="false">COUNTIF(A타입_제작표!$H$2:$H$799,B56)</f>
        <v>7</v>
      </c>
      <c r="I56" s="23" t="n">
        <f aca="false">H56*안내!$C$7+안내!$C$8</f>
        <v>484</v>
      </c>
      <c r="J56" s="23" t="n">
        <f aca="false">ROUND(I56/60,1)</f>
        <v>8.1</v>
      </c>
      <c r="K56" s="23" t="str">
        <f aca="false">D56&amp;" #"&amp;TEXT(_xlfn.MINIFS(A타입_제작표!$E$2:$E$799,A타입_제작표!$H$2:$H$799,B56),"000")</f>
        <v>구약 #409</v>
      </c>
      <c r="L56" s="23" t="str">
        <f aca="false">D56&amp;" #"&amp;TEXT(_xlfn.MAXIFS(A타입_제작표!$E$2:$E$799,A타입_제작표!$H$2:$H$799,B56),"000")</f>
        <v>구약 #415</v>
      </c>
      <c r="M56" s="24" t="s">
        <v>7394</v>
      </c>
      <c r="N56" s="24" t="s">
        <v>7395</v>
      </c>
      <c r="O56" s="24" t="s">
        <v>7396</v>
      </c>
      <c r="P56" s="26" t="n">
        <f aca="false">_xlfn.MAXIFS(A타입_제작표!$U$2:$U$799,A타입_제작표!$H$2:$H$799,B56)+1</f>
        <v>46813</v>
      </c>
      <c r="Q56" s="23" t="str">
        <f aca="false">CHOOSE(WEEKDAY(P56,2),"월","화","수","목","금","토","일")</f>
        <v>수</v>
      </c>
      <c r="R56" s="23" t="s">
        <v>140</v>
      </c>
      <c r="S56" s="23" t="s">
        <v>140</v>
      </c>
      <c r="T56" s="23" t="s">
        <v>140</v>
      </c>
      <c r="U56" s="23" t="s">
        <v>140</v>
      </c>
      <c r="V56" s="24"/>
    </row>
    <row r="57" customFormat="false" ht="39.55" hidden="false" customHeight="false" outlineLevel="0" collapsed="false">
      <c r="A57" s="23" t="n">
        <v>56</v>
      </c>
      <c r="B57" s="30" t="s">
        <v>3516</v>
      </c>
      <c r="C57" s="23" t="n">
        <v>2</v>
      </c>
      <c r="D57" s="23" t="s">
        <v>126</v>
      </c>
      <c r="E57" s="24" t="s">
        <v>7397</v>
      </c>
      <c r="F57" s="29" t="s">
        <v>7398</v>
      </c>
      <c r="G57" s="24" t="s">
        <v>7399</v>
      </c>
      <c r="H57" s="23" t="n">
        <f aca="false">COUNTIF(A타입_제작표!$H$2:$H$799,B57)</f>
        <v>14</v>
      </c>
      <c r="I57" s="23" t="n">
        <f aca="false">H57*안내!$C$7+안내!$C$8</f>
        <v>848</v>
      </c>
      <c r="J57" s="23" t="n">
        <f aca="false">ROUND(I57/60,1)</f>
        <v>14.1</v>
      </c>
      <c r="K57" s="23" t="str">
        <f aca="false">D57&amp;" #"&amp;TEXT(_xlfn.MINIFS(A타입_제작표!$E$2:$E$799,A타입_제작표!$H$2:$H$799,B57),"000")</f>
        <v>구약 #416</v>
      </c>
      <c r="L57" s="23" t="str">
        <f aca="false">D57&amp;" #"&amp;TEXT(_xlfn.MAXIFS(A타입_제작표!$E$2:$E$799,A타입_제작표!$H$2:$H$799,B57),"000")</f>
        <v>구약 #429</v>
      </c>
      <c r="M57" s="24" t="s">
        <v>7400</v>
      </c>
      <c r="N57" s="29" t="s">
        <v>7401</v>
      </c>
      <c r="O57" s="24" t="s">
        <v>7402</v>
      </c>
      <c r="P57" s="26" t="n">
        <f aca="false">_xlfn.MAXIFS(A타입_제작표!$U$2:$U$799,A타입_제작표!$H$2:$H$799,B57)+1</f>
        <v>46827</v>
      </c>
      <c r="Q57" s="23" t="str">
        <f aca="false">CHOOSE(WEEKDAY(P57,2),"월","화","수","목","금","토","일")</f>
        <v>수</v>
      </c>
      <c r="R57" s="23" t="s">
        <v>140</v>
      </c>
      <c r="S57" s="23" t="s">
        <v>140</v>
      </c>
      <c r="T57" s="23" t="s">
        <v>140</v>
      </c>
      <c r="U57" s="23" t="s">
        <v>140</v>
      </c>
      <c r="V57" s="24"/>
    </row>
    <row r="58" customFormat="false" ht="26.85" hidden="false" customHeight="false" outlineLevel="0" collapsed="false">
      <c r="A58" s="23" t="n">
        <v>57</v>
      </c>
      <c r="B58" s="30" t="s">
        <v>3659</v>
      </c>
      <c r="C58" s="23" t="n">
        <v>2</v>
      </c>
      <c r="D58" s="23" t="s">
        <v>126</v>
      </c>
      <c r="E58" s="24" t="s">
        <v>7403</v>
      </c>
      <c r="F58" s="29" t="s">
        <v>3658</v>
      </c>
      <c r="G58" s="24" t="s">
        <v>7404</v>
      </c>
      <c r="H58" s="23" t="n">
        <f aca="false">COUNTIF(A타입_제작표!$H$2:$H$799,B58)</f>
        <v>7</v>
      </c>
      <c r="I58" s="23" t="n">
        <f aca="false">H58*안내!$C$7+안내!$C$8</f>
        <v>484</v>
      </c>
      <c r="J58" s="23" t="n">
        <f aca="false">ROUND(I58/60,1)</f>
        <v>8.1</v>
      </c>
      <c r="K58" s="23" t="str">
        <f aca="false">D58&amp;" #"&amp;TEXT(_xlfn.MINIFS(A타입_제작표!$E$2:$E$799,A타입_제작표!$H$2:$H$799,B58),"000")</f>
        <v>구약 #430</v>
      </c>
      <c r="L58" s="23" t="str">
        <f aca="false">D58&amp;" #"&amp;TEXT(_xlfn.MAXIFS(A타입_제작표!$E$2:$E$799,A타입_제작표!$H$2:$H$799,B58),"000")</f>
        <v>구약 #436</v>
      </c>
      <c r="M58" s="24" t="s">
        <v>7192</v>
      </c>
      <c r="N58" s="24" t="s">
        <v>7405</v>
      </c>
      <c r="O58" s="24" t="s">
        <v>7406</v>
      </c>
      <c r="P58" s="26" t="n">
        <f aca="false">_xlfn.MAXIFS(A타입_제작표!$U$2:$U$799,A타입_제작표!$H$2:$H$799,B58)+1</f>
        <v>46834</v>
      </c>
      <c r="Q58" s="23" t="str">
        <f aca="false">CHOOSE(WEEKDAY(P58,2),"월","화","수","목","금","토","일")</f>
        <v>수</v>
      </c>
      <c r="R58" s="23" t="s">
        <v>140</v>
      </c>
      <c r="S58" s="23" t="s">
        <v>140</v>
      </c>
      <c r="T58" s="23" t="s">
        <v>140</v>
      </c>
      <c r="U58" s="23" t="s">
        <v>140</v>
      </c>
      <c r="V58" s="24"/>
    </row>
    <row r="59" customFormat="false" ht="52.2" hidden="false" customHeight="false" outlineLevel="0" collapsed="false">
      <c r="A59" s="23" t="n">
        <v>58</v>
      </c>
      <c r="B59" s="30" t="s">
        <v>3729</v>
      </c>
      <c r="C59" s="23" t="n">
        <v>2</v>
      </c>
      <c r="D59" s="23" t="s">
        <v>126</v>
      </c>
      <c r="E59" s="24" t="s">
        <v>7407</v>
      </c>
      <c r="F59" s="29" t="s">
        <v>7408</v>
      </c>
      <c r="G59" s="24" t="s">
        <v>7409</v>
      </c>
      <c r="H59" s="23" t="n">
        <f aca="false">COUNTIF(A타입_제작표!$H$2:$H$799,B59)</f>
        <v>12</v>
      </c>
      <c r="I59" s="23" t="n">
        <f aca="false">H59*안내!$C$7+안내!$C$8</f>
        <v>744</v>
      </c>
      <c r="J59" s="23" t="n">
        <f aca="false">ROUND(I59/60,1)</f>
        <v>12.4</v>
      </c>
      <c r="K59" s="23" t="str">
        <f aca="false">D59&amp;" #"&amp;TEXT(_xlfn.MINIFS(A타입_제작표!$E$2:$E$799,A타입_제작표!$H$2:$H$799,B59),"000")</f>
        <v>구약 #437</v>
      </c>
      <c r="L59" s="23" t="str">
        <f aca="false">D59&amp;" #"&amp;TEXT(_xlfn.MAXIFS(A타입_제작표!$E$2:$E$799,A타입_제작표!$H$2:$H$799,B59),"000")</f>
        <v>구약 #448</v>
      </c>
      <c r="M59" s="24" t="s">
        <v>7410</v>
      </c>
      <c r="N59" s="24" t="s">
        <v>7411</v>
      </c>
      <c r="O59" s="24" t="s">
        <v>7412</v>
      </c>
      <c r="P59" s="26" t="n">
        <f aca="false">_xlfn.MAXIFS(A타입_제작표!$U$2:$U$799,A타입_제작표!$H$2:$H$799,B59)+1</f>
        <v>46846</v>
      </c>
      <c r="Q59" s="23" t="str">
        <f aca="false">CHOOSE(WEEKDAY(P59,2),"월","화","수","목","금","토","일")</f>
        <v>월</v>
      </c>
      <c r="R59" s="23" t="s">
        <v>140</v>
      </c>
      <c r="S59" s="23" t="s">
        <v>140</v>
      </c>
      <c r="T59" s="23" t="s">
        <v>140</v>
      </c>
      <c r="U59" s="23" t="s">
        <v>140</v>
      </c>
      <c r="V59" s="24"/>
    </row>
    <row r="60" customFormat="false" ht="26.85" hidden="false" customHeight="false" outlineLevel="0" collapsed="false">
      <c r="A60" s="23" t="n">
        <v>59</v>
      </c>
      <c r="B60" s="30" t="s">
        <v>3865</v>
      </c>
      <c r="C60" s="23" t="n">
        <v>2</v>
      </c>
      <c r="D60" s="23" t="s">
        <v>126</v>
      </c>
      <c r="E60" s="24" t="s">
        <v>7413</v>
      </c>
      <c r="F60" s="29" t="s">
        <v>3864</v>
      </c>
      <c r="G60" s="24" t="s">
        <v>7414</v>
      </c>
      <c r="H60" s="23" t="n">
        <f aca="false">COUNTIF(A타입_제작표!$H$2:$H$799,B60)</f>
        <v>9</v>
      </c>
      <c r="I60" s="23" t="n">
        <f aca="false">H60*안내!$C$7+안내!$C$8</f>
        <v>588</v>
      </c>
      <c r="J60" s="23" t="n">
        <f aca="false">ROUND(I60/60,1)</f>
        <v>9.8</v>
      </c>
      <c r="K60" s="23" t="str">
        <f aca="false">D60&amp;" #"&amp;TEXT(_xlfn.MINIFS(A타입_제작표!$E$2:$E$799,A타입_제작표!$H$2:$H$799,B60),"000")</f>
        <v>구약 #449</v>
      </c>
      <c r="L60" s="23" t="str">
        <f aca="false">D60&amp;" #"&amp;TEXT(_xlfn.MAXIFS(A타입_제작표!$E$2:$E$799,A타입_제작표!$H$2:$H$799,B60),"000")</f>
        <v>구약 #457</v>
      </c>
      <c r="M60" s="24" t="s">
        <v>7415</v>
      </c>
      <c r="N60" s="24" t="s">
        <v>7416</v>
      </c>
      <c r="O60" s="24" t="s">
        <v>7417</v>
      </c>
      <c r="P60" s="26" t="n">
        <f aca="false">_xlfn.MAXIFS(A타입_제작표!$U$2:$U$799,A타입_제작표!$H$2:$H$799,B60)+1</f>
        <v>46855</v>
      </c>
      <c r="Q60" s="23" t="str">
        <f aca="false">CHOOSE(WEEKDAY(P60,2),"월","화","수","목","금","토","일")</f>
        <v>수</v>
      </c>
      <c r="R60" s="23" t="s">
        <v>140</v>
      </c>
      <c r="S60" s="23" t="s">
        <v>140</v>
      </c>
      <c r="T60" s="23" t="s">
        <v>140</v>
      </c>
      <c r="U60" s="23" t="s">
        <v>140</v>
      </c>
      <c r="V60" s="24"/>
    </row>
    <row r="61" customFormat="false" ht="26.85" hidden="false" customHeight="false" outlineLevel="0" collapsed="false">
      <c r="A61" s="23" t="n">
        <v>60</v>
      </c>
      <c r="B61" s="30" t="s">
        <v>3960</v>
      </c>
      <c r="C61" s="23" t="n">
        <v>2</v>
      </c>
      <c r="D61" s="23" t="s">
        <v>126</v>
      </c>
      <c r="E61" s="24" t="s">
        <v>7418</v>
      </c>
      <c r="F61" s="29" t="s">
        <v>3949</v>
      </c>
      <c r="G61" s="24" t="s">
        <v>7419</v>
      </c>
      <c r="H61" s="23" t="n">
        <f aca="false">COUNTIF(A타입_제작표!$H$2:$H$799,B61)</f>
        <v>8</v>
      </c>
      <c r="I61" s="23" t="n">
        <f aca="false">H61*안내!$C$7+안내!$C$8</f>
        <v>536</v>
      </c>
      <c r="J61" s="23" t="n">
        <f aca="false">ROUND(I61/60,1)</f>
        <v>8.9</v>
      </c>
      <c r="K61" s="23" t="str">
        <f aca="false">D61&amp;" #"&amp;TEXT(_xlfn.MINIFS(A타입_제작표!$E$2:$E$799,A타입_제작표!$H$2:$H$799,B61),"000")</f>
        <v>구약 #458</v>
      </c>
      <c r="L61" s="23" t="str">
        <f aca="false">D61&amp;" #"&amp;TEXT(_xlfn.MAXIFS(A타입_제작표!$E$2:$E$799,A타입_제작표!$H$2:$H$799,B61),"000")</f>
        <v>구약 #465</v>
      </c>
      <c r="M61" s="24" t="s">
        <v>7420</v>
      </c>
      <c r="N61" s="24" t="s">
        <v>7421</v>
      </c>
      <c r="O61" s="24" t="s">
        <v>7422</v>
      </c>
      <c r="P61" s="26" t="n">
        <f aca="false">_xlfn.MAXIFS(A타입_제작표!$U$2:$U$799,A타입_제작표!$H$2:$H$799,B61)+1</f>
        <v>46863</v>
      </c>
      <c r="Q61" s="23" t="str">
        <f aca="false">CHOOSE(WEEKDAY(P61,2),"월","화","수","목","금","토","일")</f>
        <v>목</v>
      </c>
      <c r="R61" s="23" t="s">
        <v>140</v>
      </c>
      <c r="S61" s="23" t="s">
        <v>140</v>
      </c>
      <c r="T61" s="23" t="s">
        <v>140</v>
      </c>
      <c r="U61" s="23" t="s">
        <v>140</v>
      </c>
      <c r="V61" s="24"/>
    </row>
    <row r="62" customFormat="false" ht="26.85" hidden="false" customHeight="false" outlineLevel="0" collapsed="false">
      <c r="A62" s="23" t="n">
        <v>61</v>
      </c>
      <c r="B62" s="30" t="s">
        <v>4032</v>
      </c>
      <c r="C62" s="23" t="n">
        <v>2</v>
      </c>
      <c r="D62" s="23" t="s">
        <v>126</v>
      </c>
      <c r="E62" s="24" t="s">
        <v>7423</v>
      </c>
      <c r="F62" s="29" t="s">
        <v>4031</v>
      </c>
      <c r="G62" s="24" t="s">
        <v>7424</v>
      </c>
      <c r="H62" s="23" t="n">
        <f aca="false">COUNTIF(A타입_제작표!$H$2:$H$799,B62)</f>
        <v>10</v>
      </c>
      <c r="I62" s="23" t="n">
        <f aca="false">H62*안내!$C$7+안내!$C$8</f>
        <v>640</v>
      </c>
      <c r="J62" s="23" t="n">
        <f aca="false">ROUND(I62/60,1)</f>
        <v>10.7</v>
      </c>
      <c r="K62" s="23" t="str">
        <f aca="false">D62&amp;" #"&amp;TEXT(_xlfn.MINIFS(A타입_제작표!$E$2:$E$799,A타입_제작표!$H$2:$H$799,B62),"000")</f>
        <v>구약 #466</v>
      </c>
      <c r="L62" s="23" t="str">
        <f aca="false">D62&amp;" #"&amp;TEXT(_xlfn.MAXIFS(A타입_제작표!$E$2:$E$799,A타입_제작표!$H$2:$H$799,B62),"000")</f>
        <v>구약 #475</v>
      </c>
      <c r="M62" s="24" t="s">
        <v>7198</v>
      </c>
      <c r="N62" s="24" t="s">
        <v>7425</v>
      </c>
      <c r="O62" s="24" t="s">
        <v>7426</v>
      </c>
      <c r="P62" s="26" t="n">
        <f aca="false">_xlfn.MAXIFS(A타입_제작표!$U$2:$U$799,A타입_제작표!$H$2:$H$799,B62)+1</f>
        <v>46873</v>
      </c>
      <c r="Q62" s="23" t="str">
        <f aca="false">CHOOSE(WEEKDAY(P62,2),"월","화","수","목","금","토","일")</f>
        <v>일</v>
      </c>
      <c r="R62" s="23" t="s">
        <v>140</v>
      </c>
      <c r="S62" s="23" t="s">
        <v>140</v>
      </c>
      <c r="T62" s="23" t="s">
        <v>140</v>
      </c>
      <c r="U62" s="23" t="s">
        <v>140</v>
      </c>
      <c r="V62" s="24"/>
    </row>
    <row r="63" customFormat="false" ht="26.85" hidden="false" customHeight="false" outlineLevel="0" collapsed="false">
      <c r="A63" s="23" t="n">
        <v>62</v>
      </c>
      <c r="B63" s="30" t="s">
        <v>4146</v>
      </c>
      <c r="C63" s="23" t="n">
        <v>2</v>
      </c>
      <c r="D63" s="23" t="s">
        <v>126</v>
      </c>
      <c r="E63" s="24" t="s">
        <v>7427</v>
      </c>
      <c r="F63" s="29" t="s">
        <v>4145</v>
      </c>
      <c r="G63" s="24" t="s">
        <v>7428</v>
      </c>
      <c r="H63" s="23" t="n">
        <f aca="false">COUNTIF(A타입_제작표!$H$2:$H$799,B63)</f>
        <v>13</v>
      </c>
      <c r="I63" s="23" t="n">
        <f aca="false">H63*안내!$C$7+안내!$C$8</f>
        <v>796</v>
      </c>
      <c r="J63" s="23" t="n">
        <f aca="false">ROUND(I63/60,1)</f>
        <v>13.3</v>
      </c>
      <c r="K63" s="23" t="str">
        <f aca="false">D63&amp;" #"&amp;TEXT(_xlfn.MINIFS(A타입_제작표!$E$2:$E$799,A타입_제작표!$H$2:$H$799,B63),"000")</f>
        <v>구약 #476</v>
      </c>
      <c r="L63" s="23" t="str">
        <f aca="false">D63&amp;" #"&amp;TEXT(_xlfn.MAXIFS(A타입_제작표!$E$2:$E$799,A타입_제작표!$H$2:$H$799,B63),"000")</f>
        <v>구약 #488</v>
      </c>
      <c r="M63" s="24" t="s">
        <v>7429</v>
      </c>
      <c r="N63" s="24" t="s">
        <v>7430</v>
      </c>
      <c r="O63" s="24" t="s">
        <v>7431</v>
      </c>
      <c r="P63" s="26" t="n">
        <f aca="false">_xlfn.MAXIFS(A타입_제작표!$U$2:$U$799,A타입_제작표!$H$2:$H$799,B63)+1</f>
        <v>46886</v>
      </c>
      <c r="Q63" s="23" t="str">
        <f aca="false">CHOOSE(WEEKDAY(P63,2),"월","화","수","목","금","토","일")</f>
        <v>토</v>
      </c>
      <c r="R63" s="23" t="s">
        <v>140</v>
      </c>
      <c r="S63" s="23" t="s">
        <v>140</v>
      </c>
      <c r="T63" s="23" t="s">
        <v>140</v>
      </c>
      <c r="U63" s="23" t="s">
        <v>140</v>
      </c>
      <c r="V63" s="24"/>
    </row>
    <row r="64" customFormat="false" ht="52.2" hidden="false" customHeight="false" outlineLevel="0" collapsed="false">
      <c r="A64" s="23" t="n">
        <v>63</v>
      </c>
      <c r="B64" s="30" t="s">
        <v>4270</v>
      </c>
      <c r="C64" s="23" t="n">
        <v>2</v>
      </c>
      <c r="D64" s="23" t="s">
        <v>126</v>
      </c>
      <c r="E64" s="24" t="s">
        <v>7432</v>
      </c>
      <c r="F64" s="29" t="s">
        <v>7433</v>
      </c>
      <c r="G64" s="24" t="s">
        <v>7434</v>
      </c>
      <c r="H64" s="23" t="n">
        <f aca="false">COUNTIF(A타입_제작표!$H$2:$H$799,B64)</f>
        <v>8</v>
      </c>
      <c r="I64" s="23" t="n">
        <f aca="false">H64*안내!$C$7+안내!$C$8</f>
        <v>536</v>
      </c>
      <c r="J64" s="23" t="n">
        <f aca="false">ROUND(I64/60,1)</f>
        <v>8.9</v>
      </c>
      <c r="K64" s="23" t="str">
        <f aca="false">D64&amp;" #"&amp;TEXT(_xlfn.MINIFS(A타입_제작표!$E$2:$E$799,A타입_제작표!$H$2:$H$799,B64),"000")</f>
        <v>구약 #489</v>
      </c>
      <c r="L64" s="23" t="str">
        <f aca="false">D64&amp;" #"&amp;TEXT(_xlfn.MAXIFS(A타입_제작표!$E$2:$E$799,A타입_제작표!$H$2:$H$799,B64),"000")</f>
        <v>구약 #496</v>
      </c>
      <c r="M64" s="24" t="s">
        <v>7435</v>
      </c>
      <c r="N64" s="24" t="s">
        <v>7436</v>
      </c>
      <c r="O64" s="24" t="s">
        <v>7437</v>
      </c>
      <c r="P64" s="26" t="n">
        <f aca="false">_xlfn.MAXIFS(A타입_제작표!$U$2:$U$799,A타입_제작표!$H$2:$H$799,B64)+1</f>
        <v>46894</v>
      </c>
      <c r="Q64" s="23" t="str">
        <f aca="false">CHOOSE(WEEKDAY(P64,2),"월","화","수","목","금","토","일")</f>
        <v>일</v>
      </c>
      <c r="R64" s="23" t="s">
        <v>140</v>
      </c>
      <c r="S64" s="23" t="s">
        <v>140</v>
      </c>
      <c r="T64" s="23" t="s">
        <v>140</v>
      </c>
      <c r="U64" s="23" t="s">
        <v>140</v>
      </c>
      <c r="V64" s="24"/>
    </row>
    <row r="65" customFormat="false" ht="26.85" hidden="false" customHeight="false" outlineLevel="0" collapsed="false">
      <c r="A65" s="23" t="n">
        <v>64</v>
      </c>
      <c r="B65" s="30" t="s">
        <v>4390</v>
      </c>
      <c r="C65" s="23" t="n">
        <v>2</v>
      </c>
      <c r="D65" s="23" t="s">
        <v>126</v>
      </c>
      <c r="E65" s="24" t="s">
        <v>7438</v>
      </c>
      <c r="F65" s="29" t="s">
        <v>4372</v>
      </c>
      <c r="G65" s="24" t="s">
        <v>7439</v>
      </c>
      <c r="H65" s="23" t="n">
        <f aca="false">COUNTIF(A타입_제작표!$H$2:$H$799,B65)</f>
        <v>9</v>
      </c>
      <c r="I65" s="23" t="n">
        <f aca="false">H65*안내!$C$7+안내!$C$8</f>
        <v>588</v>
      </c>
      <c r="J65" s="23" t="n">
        <f aca="false">ROUND(I65/60,1)</f>
        <v>9.8</v>
      </c>
      <c r="K65" s="23" t="str">
        <f aca="false">D65&amp;" #"&amp;TEXT(_xlfn.MINIFS(A타입_제작표!$E$2:$E$799,A타입_제작표!$H$2:$H$799,B65),"000")</f>
        <v>구약 #497</v>
      </c>
      <c r="L65" s="23" t="str">
        <f aca="false">D65&amp;" #"&amp;TEXT(_xlfn.MAXIFS(A타입_제작표!$E$2:$E$799,A타입_제작표!$H$2:$H$799,B65),"000")</f>
        <v>구약 #505</v>
      </c>
      <c r="M65" s="24" t="s">
        <v>7440</v>
      </c>
      <c r="N65" s="24" t="s">
        <v>7441</v>
      </c>
      <c r="O65" s="24" t="s">
        <v>7442</v>
      </c>
      <c r="P65" s="26" t="n">
        <f aca="false">_xlfn.MAXIFS(A타입_제작표!$U$2:$U$799,A타입_제작표!$H$2:$H$799,B65)+1</f>
        <v>46903</v>
      </c>
      <c r="Q65" s="23" t="str">
        <f aca="false">CHOOSE(WEEKDAY(P65,2),"월","화","수","목","금","토","일")</f>
        <v>화</v>
      </c>
      <c r="R65" s="23" t="s">
        <v>140</v>
      </c>
      <c r="S65" s="23" t="s">
        <v>140</v>
      </c>
      <c r="T65" s="23" t="s">
        <v>140</v>
      </c>
      <c r="U65" s="23" t="s">
        <v>140</v>
      </c>
      <c r="V65" s="24"/>
    </row>
    <row r="66" customFormat="false" ht="52.2" hidden="false" customHeight="false" outlineLevel="0" collapsed="false">
      <c r="A66" s="23" t="n">
        <v>65</v>
      </c>
      <c r="B66" s="30" t="s">
        <v>4459</v>
      </c>
      <c r="C66" s="23" t="n">
        <v>2</v>
      </c>
      <c r="D66" s="23" t="s">
        <v>126</v>
      </c>
      <c r="E66" s="24" t="s">
        <v>7201</v>
      </c>
      <c r="F66" s="29" t="s">
        <v>7202</v>
      </c>
      <c r="G66" s="24" t="s">
        <v>7443</v>
      </c>
      <c r="H66" s="23" t="n">
        <f aca="false">COUNTIF(A타입_제작표!$H$2:$H$799,B66)</f>
        <v>8</v>
      </c>
      <c r="I66" s="23" t="n">
        <f aca="false">H66*안내!$C$7+안내!$C$8</f>
        <v>536</v>
      </c>
      <c r="J66" s="23" t="n">
        <f aca="false">ROUND(I66/60,1)</f>
        <v>8.9</v>
      </c>
      <c r="K66" s="23" t="str">
        <f aca="false">D66&amp;" #"&amp;TEXT(_xlfn.MINIFS(A타입_제작표!$E$2:$E$799,A타입_제작표!$H$2:$H$799,B66),"000")</f>
        <v>구약 #506</v>
      </c>
      <c r="L66" s="23" t="str">
        <f aca="false">D66&amp;" #"&amp;TEXT(_xlfn.MAXIFS(A타입_제작표!$E$2:$E$799,A타입_제작표!$H$2:$H$799,B66),"000")</f>
        <v>구약 #513</v>
      </c>
      <c r="M66" s="24" t="s">
        <v>7204</v>
      </c>
      <c r="N66" s="24" t="s">
        <v>7205</v>
      </c>
      <c r="O66" s="24" t="s">
        <v>7206</v>
      </c>
      <c r="P66" s="26" t="n">
        <f aca="false">_xlfn.MAXIFS(A타입_제작표!$U$2:$U$799,A타입_제작표!$H$2:$H$799,B66)+1</f>
        <v>46911</v>
      </c>
      <c r="Q66" s="23" t="str">
        <f aca="false">CHOOSE(WEEKDAY(P66,2),"월","화","수","목","금","토","일")</f>
        <v>수</v>
      </c>
      <c r="R66" s="23" t="s">
        <v>140</v>
      </c>
      <c r="S66" s="23" t="s">
        <v>140</v>
      </c>
      <c r="T66" s="23" t="s">
        <v>140</v>
      </c>
      <c r="U66" s="23" t="s">
        <v>140</v>
      </c>
      <c r="V66" s="24"/>
    </row>
    <row r="67" customFormat="false" ht="26.85" hidden="false" customHeight="false" outlineLevel="0" collapsed="false">
      <c r="A67" s="23" t="n">
        <v>66</v>
      </c>
      <c r="B67" s="30" t="s">
        <v>4587</v>
      </c>
      <c r="C67" s="23" t="n">
        <v>2</v>
      </c>
      <c r="D67" s="23" t="s">
        <v>126</v>
      </c>
      <c r="E67" s="24" t="s">
        <v>7444</v>
      </c>
      <c r="F67" s="29" t="s">
        <v>4546</v>
      </c>
      <c r="G67" s="24" t="s">
        <v>7445</v>
      </c>
      <c r="H67" s="23" t="n">
        <f aca="false">COUNTIF(A타입_제작표!$H$2:$H$799,B67)</f>
        <v>8</v>
      </c>
      <c r="I67" s="23" t="n">
        <f aca="false">H67*안내!$C$7+안내!$C$8</f>
        <v>536</v>
      </c>
      <c r="J67" s="23" t="n">
        <f aca="false">ROUND(I67/60,1)</f>
        <v>8.9</v>
      </c>
      <c r="K67" s="23" t="str">
        <f aca="false">D67&amp;" #"&amp;TEXT(_xlfn.MINIFS(A타입_제작표!$E$2:$E$799,A타입_제작표!$H$2:$H$799,B67),"000")</f>
        <v>구약 #514</v>
      </c>
      <c r="L67" s="23" t="str">
        <f aca="false">D67&amp;" #"&amp;TEXT(_xlfn.MAXIFS(A타입_제작표!$E$2:$E$799,A타입_제작표!$H$2:$H$799,B67),"000")</f>
        <v>구약 #521</v>
      </c>
      <c r="M67" s="24" t="s">
        <v>7446</v>
      </c>
      <c r="N67" s="24" t="s">
        <v>7447</v>
      </c>
      <c r="O67" s="24" t="s">
        <v>7448</v>
      </c>
      <c r="P67" s="26" t="n">
        <f aca="false">_xlfn.MAXIFS(A타입_제작표!$U$2:$U$799,A타입_제작표!$H$2:$H$799,B67)+1</f>
        <v>46919</v>
      </c>
      <c r="Q67" s="23" t="str">
        <f aca="false">CHOOSE(WEEKDAY(P67,2),"월","화","수","목","금","토","일")</f>
        <v>목</v>
      </c>
      <c r="R67" s="23" t="s">
        <v>140</v>
      </c>
      <c r="S67" s="23" t="s">
        <v>140</v>
      </c>
      <c r="T67" s="23" t="s">
        <v>140</v>
      </c>
      <c r="U67" s="23" t="s">
        <v>140</v>
      </c>
      <c r="V67" s="24"/>
    </row>
    <row r="68" customFormat="false" ht="50.7" hidden="false" customHeight="false" outlineLevel="0" collapsed="false">
      <c r="A68" s="23" t="n">
        <v>67</v>
      </c>
      <c r="B68" s="30" t="s">
        <v>4668</v>
      </c>
      <c r="C68" s="23" t="n">
        <v>2</v>
      </c>
      <c r="D68" s="23" t="s">
        <v>4666</v>
      </c>
      <c r="E68" s="24" t="s">
        <v>7449</v>
      </c>
      <c r="F68" s="29" t="s">
        <v>7450</v>
      </c>
      <c r="G68" s="24" t="s">
        <v>7451</v>
      </c>
      <c r="H68" s="23" t="n">
        <f aca="false">COUNTIF(A타입_제작표!$H$2:$H$799,B68)</f>
        <v>11</v>
      </c>
      <c r="I68" s="23" t="n">
        <f aca="false">H68*안내!$C$7+안내!$C$8</f>
        <v>692</v>
      </c>
      <c r="J68" s="23" t="n">
        <f aca="false">ROUND(I68/60,1)</f>
        <v>11.5</v>
      </c>
      <c r="K68" s="23" t="str">
        <f aca="false">D68&amp;" #"&amp;TEXT(_xlfn.MINIFS(A타입_제작표!$E$2:$E$799,A타입_제작표!$H$2:$H$799,B68),"000")</f>
        <v>신약 #105</v>
      </c>
      <c r="L68" s="23" t="str">
        <f aca="false">D68&amp;" #"&amp;TEXT(_xlfn.MAXIFS(A타입_제작표!$E$2:$E$799,A타입_제작표!$H$2:$H$799,B68),"000")</f>
        <v>신약 #115</v>
      </c>
      <c r="M68" s="24" t="s">
        <v>7210</v>
      </c>
      <c r="N68" s="24" t="s">
        <v>7452</v>
      </c>
      <c r="O68" s="24" t="s">
        <v>7212</v>
      </c>
      <c r="P68" s="26" t="n">
        <f aca="false">_xlfn.MAXIFS(A타입_제작표!$U$2:$U$799,A타입_제작표!$H$2:$H$799,B68)+1</f>
        <v>46599</v>
      </c>
      <c r="Q68" s="23" t="str">
        <f aca="false">CHOOSE(WEEKDAY(P68,2),"월","화","수","목","금","토","일")</f>
        <v>토</v>
      </c>
      <c r="R68" s="23" t="s">
        <v>140</v>
      </c>
      <c r="S68" s="23" t="s">
        <v>140</v>
      </c>
      <c r="T68" s="23" t="s">
        <v>140</v>
      </c>
      <c r="U68" s="23" t="s">
        <v>140</v>
      </c>
      <c r="V68" s="24"/>
    </row>
    <row r="69" customFormat="false" ht="52.2" hidden="false" customHeight="false" outlineLevel="0" collapsed="false">
      <c r="A69" s="23" t="n">
        <v>68</v>
      </c>
      <c r="B69" s="30" t="s">
        <v>4895</v>
      </c>
      <c r="C69" s="23" t="n">
        <v>2</v>
      </c>
      <c r="D69" s="23" t="s">
        <v>4666</v>
      </c>
      <c r="E69" s="24" t="s">
        <v>7453</v>
      </c>
      <c r="F69" s="29" t="s">
        <v>7454</v>
      </c>
      <c r="G69" s="24" t="s">
        <v>7455</v>
      </c>
      <c r="H69" s="23" t="n">
        <f aca="false">COUNTIF(A타입_제작표!$H$2:$H$799,B69)</f>
        <v>11</v>
      </c>
      <c r="I69" s="23" t="n">
        <f aca="false">H69*안내!$C$7+안내!$C$8</f>
        <v>692</v>
      </c>
      <c r="J69" s="23" t="n">
        <f aca="false">ROUND(I69/60,1)</f>
        <v>11.5</v>
      </c>
      <c r="K69" s="23" t="str">
        <f aca="false">D69&amp;" #"&amp;TEXT(_xlfn.MINIFS(A타입_제작표!$E$2:$E$799,A타입_제작표!$H$2:$H$799,B69),"000")</f>
        <v>신약 #116</v>
      </c>
      <c r="L69" s="23" t="str">
        <f aca="false">D69&amp;" #"&amp;TEXT(_xlfn.MAXIFS(A타입_제작표!$E$2:$E$799,A타입_제작표!$H$2:$H$799,B69),"000")</f>
        <v>신약 #126</v>
      </c>
      <c r="M69" s="24" t="s">
        <v>7456</v>
      </c>
      <c r="N69" s="29" t="s">
        <v>7457</v>
      </c>
      <c r="O69" s="24" t="s">
        <v>7458</v>
      </c>
      <c r="P69" s="26" t="n">
        <f aca="false">_xlfn.MAXIFS(A타입_제작표!$U$2:$U$799,A타입_제작표!$H$2:$H$799,B69)+1</f>
        <v>46618</v>
      </c>
      <c r="Q69" s="23" t="str">
        <f aca="false">CHOOSE(WEEKDAY(P69,2),"월","화","수","목","금","토","일")</f>
        <v>목</v>
      </c>
      <c r="R69" s="23" t="s">
        <v>140</v>
      </c>
      <c r="S69" s="23" t="s">
        <v>140</v>
      </c>
      <c r="T69" s="23" t="s">
        <v>140</v>
      </c>
      <c r="U69" s="23" t="s">
        <v>140</v>
      </c>
      <c r="V69" s="24"/>
    </row>
    <row r="70" customFormat="false" ht="26.85" hidden="false" customHeight="false" outlineLevel="0" collapsed="false">
      <c r="A70" s="23" t="n">
        <v>69</v>
      </c>
      <c r="B70" s="30" t="s">
        <v>5068</v>
      </c>
      <c r="C70" s="23" t="n">
        <v>2</v>
      </c>
      <c r="D70" s="23" t="s">
        <v>4666</v>
      </c>
      <c r="E70" s="24" t="s">
        <v>7459</v>
      </c>
      <c r="F70" s="29" t="s">
        <v>7460</v>
      </c>
      <c r="G70" s="24" t="s">
        <v>7461</v>
      </c>
      <c r="H70" s="23" t="n">
        <f aca="false">COUNTIF(A타입_제작표!$H$2:$H$799,B70)</f>
        <v>8</v>
      </c>
      <c r="I70" s="23" t="n">
        <f aca="false">H70*안내!$C$7+안내!$C$8</f>
        <v>536</v>
      </c>
      <c r="J70" s="23" t="n">
        <f aca="false">ROUND(I70/60,1)</f>
        <v>8.9</v>
      </c>
      <c r="K70" s="23" t="str">
        <f aca="false">D70&amp;" #"&amp;TEXT(_xlfn.MINIFS(A타입_제작표!$E$2:$E$799,A타입_제작표!$H$2:$H$799,B70),"000")</f>
        <v>신약 #127</v>
      </c>
      <c r="L70" s="23" t="str">
        <f aca="false">D70&amp;" #"&amp;TEXT(_xlfn.MAXIFS(A타입_제작표!$E$2:$E$799,A타입_제작표!$H$2:$H$799,B70),"000")</f>
        <v>신약 #134</v>
      </c>
      <c r="M70" s="24" t="s">
        <v>7462</v>
      </c>
      <c r="N70" s="24" t="s">
        <v>7463</v>
      </c>
      <c r="O70" s="24" t="s">
        <v>7464</v>
      </c>
      <c r="P70" s="26" t="n">
        <f aca="false">_xlfn.MAXIFS(A타입_제작표!$U$2:$U$799,A타입_제작표!$H$2:$H$799,B70)+1</f>
        <v>46632</v>
      </c>
      <c r="Q70" s="23" t="str">
        <f aca="false">CHOOSE(WEEKDAY(P70,2),"월","화","수","목","금","토","일")</f>
        <v>목</v>
      </c>
      <c r="R70" s="23" t="s">
        <v>140</v>
      </c>
      <c r="S70" s="23" t="s">
        <v>140</v>
      </c>
      <c r="T70" s="23" t="s">
        <v>140</v>
      </c>
      <c r="U70" s="23" t="s">
        <v>140</v>
      </c>
      <c r="V70" s="24"/>
    </row>
    <row r="71" customFormat="false" ht="26.85" hidden="false" customHeight="false" outlineLevel="0" collapsed="false">
      <c r="A71" s="23" t="n">
        <v>70</v>
      </c>
      <c r="B71" s="30" t="s">
        <v>5271</v>
      </c>
      <c r="C71" s="23" t="n">
        <v>2</v>
      </c>
      <c r="D71" s="23" t="s">
        <v>4666</v>
      </c>
      <c r="E71" s="24" t="s">
        <v>7465</v>
      </c>
      <c r="F71" s="29" t="s">
        <v>7466</v>
      </c>
      <c r="G71" s="24" t="s">
        <v>7467</v>
      </c>
      <c r="H71" s="23" t="n">
        <f aca="false">COUNTIF(A타입_제작표!$H$2:$H$799,B71)</f>
        <v>9</v>
      </c>
      <c r="I71" s="23" t="n">
        <f aca="false">H71*안내!$C$7+안내!$C$8</f>
        <v>588</v>
      </c>
      <c r="J71" s="23" t="n">
        <f aca="false">ROUND(I71/60,1)</f>
        <v>9.8</v>
      </c>
      <c r="K71" s="23" t="str">
        <f aca="false">D71&amp;" #"&amp;TEXT(_xlfn.MINIFS(A타입_제작표!$E$2:$E$799,A타입_제작표!$H$2:$H$799,B71),"000")</f>
        <v>신약 #135</v>
      </c>
      <c r="L71" s="23" t="str">
        <f aca="false">D71&amp;" #"&amp;TEXT(_xlfn.MAXIFS(A타입_제작표!$E$2:$E$799,A타입_제작표!$H$2:$H$799,B71),"000")</f>
        <v>신약 #143</v>
      </c>
      <c r="M71" s="24" t="s">
        <v>7468</v>
      </c>
      <c r="N71" s="24" t="s">
        <v>7469</v>
      </c>
      <c r="O71" s="24" t="s">
        <v>7470</v>
      </c>
      <c r="P71" s="26" t="n">
        <f aca="false">_xlfn.MAXIFS(A타입_제작표!$U$2:$U$799,A타입_제작표!$H$2:$H$799,B71)+1</f>
        <v>46648</v>
      </c>
      <c r="Q71" s="23" t="str">
        <f aca="false">CHOOSE(WEEKDAY(P71,2),"월","화","수","목","금","토","일")</f>
        <v>토</v>
      </c>
      <c r="R71" s="23" t="s">
        <v>140</v>
      </c>
      <c r="S71" s="23" t="s">
        <v>140</v>
      </c>
      <c r="T71" s="23" t="s">
        <v>140</v>
      </c>
      <c r="U71" s="23" t="s">
        <v>140</v>
      </c>
      <c r="V71" s="24"/>
    </row>
    <row r="72" customFormat="false" ht="64.9" hidden="false" customHeight="false" outlineLevel="0" collapsed="false">
      <c r="A72" s="23" t="n">
        <v>71</v>
      </c>
      <c r="B72" s="30" t="s">
        <v>5430</v>
      </c>
      <c r="C72" s="23" t="n">
        <v>2</v>
      </c>
      <c r="D72" s="23" t="s">
        <v>4666</v>
      </c>
      <c r="E72" s="24" t="s">
        <v>7471</v>
      </c>
      <c r="F72" s="29" t="s">
        <v>7472</v>
      </c>
      <c r="G72" s="24" t="s">
        <v>7473</v>
      </c>
      <c r="H72" s="23" t="n">
        <f aca="false">COUNTIF(A타입_제작표!$H$2:$H$799,B72)</f>
        <v>9</v>
      </c>
      <c r="I72" s="23" t="n">
        <f aca="false">H72*안내!$C$7+안내!$C$8</f>
        <v>588</v>
      </c>
      <c r="J72" s="23" t="n">
        <f aca="false">ROUND(I72/60,1)</f>
        <v>9.8</v>
      </c>
      <c r="K72" s="23" t="str">
        <f aca="false">D72&amp;" #"&amp;TEXT(_xlfn.MINIFS(A타입_제작표!$E$2:$E$799,A타입_제작표!$H$2:$H$799,B72),"000")</f>
        <v>신약 #144</v>
      </c>
      <c r="L72" s="23" t="str">
        <f aca="false">D72&amp;" #"&amp;TEXT(_xlfn.MAXIFS(A타입_제작표!$E$2:$E$799,A타입_제작표!$H$2:$H$799,B72),"000")</f>
        <v>신약 #152</v>
      </c>
      <c r="M72" s="24" t="s">
        <v>7474</v>
      </c>
      <c r="N72" s="24" t="s">
        <v>7475</v>
      </c>
      <c r="O72" s="24" t="s">
        <v>7476</v>
      </c>
      <c r="P72" s="26" t="n">
        <f aca="false">_xlfn.MAXIFS(A타입_제작표!$U$2:$U$799,A타입_제작표!$H$2:$H$799,B72)+1</f>
        <v>46663</v>
      </c>
      <c r="Q72" s="23" t="str">
        <f aca="false">CHOOSE(WEEKDAY(P72,2),"월","화","수","목","금","토","일")</f>
        <v>일</v>
      </c>
      <c r="R72" s="23" t="s">
        <v>140</v>
      </c>
      <c r="S72" s="23" t="s">
        <v>140</v>
      </c>
      <c r="T72" s="23" t="s">
        <v>140</v>
      </c>
      <c r="U72" s="23" t="s">
        <v>140</v>
      </c>
      <c r="V72" s="24"/>
    </row>
    <row r="73" customFormat="false" ht="26.85" hidden="false" customHeight="false" outlineLevel="0" collapsed="false">
      <c r="A73" s="23" t="n">
        <v>72</v>
      </c>
      <c r="B73" s="30" t="s">
        <v>5668</v>
      </c>
      <c r="C73" s="23" t="n">
        <v>2</v>
      </c>
      <c r="D73" s="23" t="s">
        <v>4666</v>
      </c>
      <c r="E73" s="24" t="s">
        <v>7477</v>
      </c>
      <c r="F73" s="29" t="s">
        <v>7478</v>
      </c>
      <c r="G73" s="24" t="s">
        <v>7479</v>
      </c>
      <c r="H73" s="23" t="n">
        <f aca="false">COUNTIF(A타입_제작표!$H$2:$H$799,B73)</f>
        <v>9</v>
      </c>
      <c r="I73" s="23" t="n">
        <f aca="false">H73*안내!$C$7+안내!$C$8</f>
        <v>588</v>
      </c>
      <c r="J73" s="23" t="n">
        <f aca="false">ROUND(I73/60,1)</f>
        <v>9.8</v>
      </c>
      <c r="K73" s="23" t="str">
        <f aca="false">D73&amp;" #"&amp;TEXT(_xlfn.MINIFS(A타입_제작표!$E$2:$E$799,A타입_제작표!$H$2:$H$799,B73),"000")</f>
        <v>신약 #153</v>
      </c>
      <c r="L73" s="23" t="str">
        <f aca="false">D73&amp;" #"&amp;TEXT(_xlfn.MAXIFS(A타입_제작표!$E$2:$E$799,A타입_제작표!$H$2:$H$799,B73),"000")</f>
        <v>신약 #161</v>
      </c>
      <c r="M73" s="24" t="s">
        <v>7480</v>
      </c>
      <c r="N73" s="24" t="s">
        <v>7481</v>
      </c>
      <c r="O73" s="24" t="s">
        <v>7482</v>
      </c>
      <c r="P73" s="26" t="n">
        <f aca="false">_xlfn.MAXIFS(A타입_제작표!$U$2:$U$799,A타입_제작표!$H$2:$H$799,B73)+1</f>
        <v>46679</v>
      </c>
      <c r="Q73" s="23" t="str">
        <f aca="false">CHOOSE(WEEKDAY(P73,2),"월","화","수","목","금","토","일")</f>
        <v>화</v>
      </c>
      <c r="R73" s="23" t="s">
        <v>140</v>
      </c>
      <c r="S73" s="23" t="s">
        <v>140</v>
      </c>
      <c r="T73" s="23" t="s">
        <v>140</v>
      </c>
      <c r="U73" s="23" t="s">
        <v>140</v>
      </c>
      <c r="V73" s="24"/>
    </row>
    <row r="74" customFormat="false" ht="39.55" hidden="false" customHeight="false" outlineLevel="0" collapsed="false">
      <c r="A74" s="23" t="n">
        <v>73</v>
      </c>
      <c r="B74" s="30" t="s">
        <v>5849</v>
      </c>
      <c r="C74" s="23" t="n">
        <v>2</v>
      </c>
      <c r="D74" s="23" t="s">
        <v>4666</v>
      </c>
      <c r="E74" s="24" t="s">
        <v>7483</v>
      </c>
      <c r="F74" s="29" t="s">
        <v>7484</v>
      </c>
      <c r="G74" s="24" t="s">
        <v>7485</v>
      </c>
      <c r="H74" s="23" t="n">
        <f aca="false">COUNTIF(A타입_제작표!$H$2:$H$799,B74)</f>
        <v>10</v>
      </c>
      <c r="I74" s="23" t="n">
        <f aca="false">H74*안내!$C$7+안내!$C$8</f>
        <v>640</v>
      </c>
      <c r="J74" s="23" t="n">
        <f aca="false">ROUND(I74/60,1)</f>
        <v>10.7</v>
      </c>
      <c r="K74" s="23" t="str">
        <f aca="false">D74&amp;" #"&amp;TEXT(_xlfn.MINIFS(A타입_제작표!$E$2:$E$799,A타입_제작표!$H$2:$H$799,B74),"000")</f>
        <v>신약 #162</v>
      </c>
      <c r="L74" s="23" t="str">
        <f aca="false">D74&amp;" #"&amp;TEXT(_xlfn.MAXIFS(A타입_제작표!$E$2:$E$799,A타입_제작표!$H$2:$H$799,B74),"000")</f>
        <v>신약 #171</v>
      </c>
      <c r="M74" s="24" t="s">
        <v>7486</v>
      </c>
      <c r="N74" s="24" t="s">
        <v>7487</v>
      </c>
      <c r="O74" s="24" t="s">
        <v>7488</v>
      </c>
      <c r="P74" s="26" t="n">
        <f aca="false">_xlfn.MAXIFS(A타입_제작표!$U$2:$U$799,A타입_제작표!$H$2:$H$799,B74)+1</f>
        <v>46697</v>
      </c>
      <c r="Q74" s="23" t="str">
        <f aca="false">CHOOSE(WEEKDAY(P74,2),"월","화","수","목","금","토","일")</f>
        <v>토</v>
      </c>
      <c r="R74" s="23" t="s">
        <v>140</v>
      </c>
      <c r="S74" s="23" t="s">
        <v>140</v>
      </c>
      <c r="T74" s="23" t="s">
        <v>140</v>
      </c>
      <c r="U74" s="23" t="s">
        <v>140</v>
      </c>
      <c r="V74" s="24"/>
    </row>
    <row r="75" customFormat="false" ht="39.55" hidden="false" customHeight="false" outlineLevel="0" collapsed="false">
      <c r="A75" s="23" t="n">
        <v>74</v>
      </c>
      <c r="B75" s="30" t="s">
        <v>6021</v>
      </c>
      <c r="C75" s="23" t="n">
        <v>2</v>
      </c>
      <c r="D75" s="23" t="s">
        <v>4666</v>
      </c>
      <c r="E75" s="24" t="s">
        <v>7489</v>
      </c>
      <c r="F75" s="29" t="s">
        <v>7490</v>
      </c>
      <c r="G75" s="24" t="s">
        <v>7491</v>
      </c>
      <c r="H75" s="23" t="n">
        <f aca="false">COUNTIF(A타입_제작표!$H$2:$H$799,B75)</f>
        <v>8</v>
      </c>
      <c r="I75" s="23" t="n">
        <f aca="false">H75*안내!$C$7+안내!$C$8</f>
        <v>536</v>
      </c>
      <c r="J75" s="23" t="n">
        <f aca="false">ROUND(I75/60,1)</f>
        <v>8.9</v>
      </c>
      <c r="K75" s="23" t="str">
        <f aca="false">D75&amp;" #"&amp;TEXT(_xlfn.MINIFS(A타입_제작표!$E$2:$E$799,A타입_제작표!$H$2:$H$799,B75),"000")</f>
        <v>신약 #172</v>
      </c>
      <c r="L75" s="23" t="str">
        <f aca="false">D75&amp;" #"&amp;TEXT(_xlfn.MAXIFS(A타입_제작표!$E$2:$E$799,A타입_제작표!$H$2:$H$799,B75),"000")</f>
        <v>신약 #179</v>
      </c>
      <c r="M75" s="24" t="s">
        <v>7492</v>
      </c>
      <c r="N75" s="24" t="s">
        <v>7493</v>
      </c>
      <c r="O75" s="24" t="s">
        <v>7494</v>
      </c>
      <c r="P75" s="26" t="n">
        <f aca="false">_xlfn.MAXIFS(A타입_제작표!$U$2:$U$799,A타입_제작표!$H$2:$H$799,B75)+1</f>
        <v>46711</v>
      </c>
      <c r="Q75" s="23" t="str">
        <f aca="false">CHOOSE(WEEKDAY(P75,2),"월","화","수","목","금","토","일")</f>
        <v>토</v>
      </c>
      <c r="R75" s="23" t="s">
        <v>140</v>
      </c>
      <c r="S75" s="23" t="s">
        <v>140</v>
      </c>
      <c r="T75" s="23" t="s">
        <v>140</v>
      </c>
      <c r="U75" s="23" t="s">
        <v>140</v>
      </c>
      <c r="V75" s="24"/>
    </row>
    <row r="76" customFormat="false" ht="26.85" hidden="false" customHeight="false" outlineLevel="0" collapsed="false">
      <c r="A76" s="23" t="n">
        <v>75</v>
      </c>
      <c r="B76" s="30" t="s">
        <v>6126</v>
      </c>
      <c r="C76" s="23" t="n">
        <v>2</v>
      </c>
      <c r="D76" s="23" t="s">
        <v>4666</v>
      </c>
      <c r="E76" s="24" t="s">
        <v>7495</v>
      </c>
      <c r="F76" s="29" t="s">
        <v>6099</v>
      </c>
      <c r="G76" s="24" t="s">
        <v>7496</v>
      </c>
      <c r="H76" s="23" t="n">
        <f aca="false">COUNTIF(A타입_제작표!$H$2:$H$799,B76)</f>
        <v>9</v>
      </c>
      <c r="I76" s="23" t="n">
        <f aca="false">H76*안내!$C$7+안내!$C$8</f>
        <v>588</v>
      </c>
      <c r="J76" s="23" t="n">
        <f aca="false">ROUND(I76/60,1)</f>
        <v>9.8</v>
      </c>
      <c r="K76" s="23" t="str">
        <f aca="false">D76&amp;" #"&amp;TEXT(_xlfn.MINIFS(A타입_제작표!$E$2:$E$799,A타입_제작표!$H$2:$H$799,B76),"000")</f>
        <v>신약 #180</v>
      </c>
      <c r="L76" s="23" t="str">
        <f aca="false">D76&amp;" #"&amp;TEXT(_xlfn.MAXIFS(A타입_제작표!$E$2:$E$799,A타입_제작표!$H$2:$H$799,B76),"000")</f>
        <v>신약 #188</v>
      </c>
      <c r="M76" s="24" t="s">
        <v>7263</v>
      </c>
      <c r="N76" s="24" t="s">
        <v>7497</v>
      </c>
      <c r="O76" s="24" t="s">
        <v>7498</v>
      </c>
      <c r="P76" s="26" t="n">
        <f aca="false">_xlfn.MAXIFS(A타입_제작표!$U$2:$U$799,A타입_제작표!$H$2:$H$799,B76)+1</f>
        <v>46726</v>
      </c>
      <c r="Q76" s="23" t="str">
        <f aca="false">CHOOSE(WEEKDAY(P76,2),"월","화","수","목","금","토","일")</f>
        <v>일</v>
      </c>
      <c r="R76" s="23" t="s">
        <v>140</v>
      </c>
      <c r="S76" s="23" t="s">
        <v>140</v>
      </c>
      <c r="T76" s="23" t="s">
        <v>140</v>
      </c>
      <c r="U76" s="23" t="s">
        <v>140</v>
      </c>
      <c r="V76" s="24"/>
    </row>
    <row r="77" customFormat="false" ht="26.85" hidden="false" customHeight="false" outlineLevel="0" collapsed="false">
      <c r="A77" s="23" t="n">
        <v>76</v>
      </c>
      <c r="B77" s="30" t="s">
        <v>6208</v>
      </c>
      <c r="C77" s="23" t="n">
        <v>2</v>
      </c>
      <c r="D77" s="23" t="s">
        <v>4666</v>
      </c>
      <c r="E77" s="24" t="s">
        <v>7499</v>
      </c>
      <c r="F77" s="29" t="s">
        <v>6207</v>
      </c>
      <c r="G77" s="24" t="s">
        <v>7500</v>
      </c>
      <c r="H77" s="23" t="n">
        <f aca="false">COUNTIF(A타입_제작표!$H$2:$H$799,B77)</f>
        <v>8</v>
      </c>
      <c r="I77" s="23" t="n">
        <f aca="false">H77*안내!$C$7+안내!$C$8</f>
        <v>536</v>
      </c>
      <c r="J77" s="23" t="n">
        <f aca="false">ROUND(I77/60,1)</f>
        <v>8.9</v>
      </c>
      <c r="K77" s="23" t="str">
        <f aca="false">D77&amp;" #"&amp;TEXT(_xlfn.MINIFS(A타입_제작표!$E$2:$E$799,A타입_제작표!$H$2:$H$799,B77),"000")</f>
        <v>신약 #189</v>
      </c>
      <c r="L77" s="23" t="str">
        <f aca="false">D77&amp;" #"&amp;TEXT(_xlfn.MAXIFS(A타입_제작표!$E$2:$E$799,A타입_제작표!$H$2:$H$799,B77),"000")</f>
        <v>신약 #196</v>
      </c>
      <c r="M77" s="24" t="s">
        <v>7501</v>
      </c>
      <c r="N77" s="24" t="s">
        <v>7502</v>
      </c>
      <c r="O77" s="24" t="s">
        <v>7503</v>
      </c>
      <c r="P77" s="26" t="n">
        <f aca="false">_xlfn.MAXIFS(A타입_제작표!$U$2:$U$799,A타입_제작표!$H$2:$H$799,B77)+1</f>
        <v>46740</v>
      </c>
      <c r="Q77" s="23" t="str">
        <f aca="false">CHOOSE(WEEKDAY(P77,2),"월","화","수","목","금","토","일")</f>
        <v>일</v>
      </c>
      <c r="R77" s="23" t="s">
        <v>140</v>
      </c>
      <c r="S77" s="23" t="s">
        <v>140</v>
      </c>
      <c r="T77" s="23" t="s">
        <v>140</v>
      </c>
      <c r="U77" s="23" t="s">
        <v>140</v>
      </c>
      <c r="V77" s="24"/>
    </row>
    <row r="78" customFormat="false" ht="26.85" hidden="false" customHeight="false" outlineLevel="0" collapsed="false">
      <c r="A78" s="23" t="n">
        <v>77</v>
      </c>
      <c r="B78" s="30" t="s">
        <v>6294</v>
      </c>
      <c r="C78" s="23" t="n">
        <v>2</v>
      </c>
      <c r="D78" s="23" t="s">
        <v>4666</v>
      </c>
      <c r="E78" s="24" t="s">
        <v>7504</v>
      </c>
      <c r="F78" s="29" t="s">
        <v>6293</v>
      </c>
      <c r="G78" s="24" t="s">
        <v>7505</v>
      </c>
      <c r="H78" s="23" t="n">
        <f aca="false">COUNTIF(A타입_제작표!$H$2:$H$799,B78)</f>
        <v>10</v>
      </c>
      <c r="I78" s="23" t="n">
        <f aca="false">H78*안내!$C$7+안내!$C$8</f>
        <v>640</v>
      </c>
      <c r="J78" s="23" t="n">
        <f aca="false">ROUND(I78/60,1)</f>
        <v>10.7</v>
      </c>
      <c r="K78" s="23" t="str">
        <f aca="false">D78&amp;" #"&amp;TEXT(_xlfn.MINIFS(A타입_제작표!$E$2:$E$799,A타입_제작표!$H$2:$H$799,B78),"000")</f>
        <v>신약 #197</v>
      </c>
      <c r="L78" s="23" t="str">
        <f aca="false">D78&amp;" #"&amp;TEXT(_xlfn.MAXIFS(A타입_제작표!$E$2:$E$799,A타입_제작표!$H$2:$H$799,B78),"000")</f>
        <v>신약 #206</v>
      </c>
      <c r="M78" s="24" t="s">
        <v>7506</v>
      </c>
      <c r="N78" s="24" t="s">
        <v>7507</v>
      </c>
      <c r="O78" s="24" t="s">
        <v>7508</v>
      </c>
      <c r="P78" s="26" t="n">
        <f aca="false">_xlfn.MAXIFS(A타입_제작표!$U$2:$U$799,A타입_제작표!$H$2:$H$799,B78)+1</f>
        <v>46758</v>
      </c>
      <c r="Q78" s="23" t="str">
        <f aca="false">CHOOSE(WEEKDAY(P78,2),"월","화","수","목","금","토","일")</f>
        <v>목</v>
      </c>
      <c r="R78" s="23" t="s">
        <v>140</v>
      </c>
      <c r="S78" s="23" t="s">
        <v>140</v>
      </c>
      <c r="T78" s="23" t="s">
        <v>140</v>
      </c>
      <c r="U78" s="23" t="s">
        <v>140</v>
      </c>
      <c r="V78" s="24"/>
    </row>
    <row r="79" customFormat="false" ht="26.85" hidden="false" customHeight="false" outlineLevel="0" collapsed="false">
      <c r="A79" s="23" t="n">
        <v>78</v>
      </c>
      <c r="B79" s="30" t="s">
        <v>6383</v>
      </c>
      <c r="C79" s="23" t="n">
        <v>2</v>
      </c>
      <c r="D79" s="23" t="s">
        <v>4666</v>
      </c>
      <c r="E79" s="24" t="s">
        <v>7509</v>
      </c>
      <c r="F79" s="29" t="s">
        <v>6382</v>
      </c>
      <c r="G79" s="24" t="s">
        <v>7510</v>
      </c>
      <c r="H79" s="23" t="n">
        <f aca="false">COUNTIF(A타입_제작표!$H$2:$H$799,B79)</f>
        <v>8</v>
      </c>
      <c r="I79" s="23" t="n">
        <f aca="false">H79*안내!$C$7+안내!$C$8</f>
        <v>536</v>
      </c>
      <c r="J79" s="23" t="n">
        <f aca="false">ROUND(I79/60,1)</f>
        <v>8.9</v>
      </c>
      <c r="K79" s="23" t="str">
        <f aca="false">D79&amp;" #"&amp;TEXT(_xlfn.MINIFS(A타입_제작표!$E$2:$E$799,A타입_제작표!$H$2:$H$799,B79),"000")</f>
        <v>신약 #207</v>
      </c>
      <c r="L79" s="23" t="str">
        <f aca="false">D79&amp;" #"&amp;TEXT(_xlfn.MAXIFS(A타입_제작표!$E$2:$E$799,A타입_제작표!$H$2:$H$799,B79),"000")</f>
        <v>신약 #214</v>
      </c>
      <c r="M79" s="24" t="s">
        <v>7511</v>
      </c>
      <c r="N79" s="24" t="s">
        <v>7512</v>
      </c>
      <c r="O79" s="24" t="s">
        <v>7513</v>
      </c>
      <c r="P79" s="26" t="n">
        <f aca="false">_xlfn.MAXIFS(A타입_제작표!$U$2:$U$799,A타입_제작표!$H$2:$H$799,B79)+1</f>
        <v>46772</v>
      </c>
      <c r="Q79" s="23" t="str">
        <f aca="false">CHOOSE(WEEKDAY(P79,2),"월","화","수","목","금","토","일")</f>
        <v>목</v>
      </c>
      <c r="R79" s="23" t="s">
        <v>140</v>
      </c>
      <c r="S79" s="23" t="s">
        <v>140</v>
      </c>
      <c r="T79" s="23" t="s">
        <v>140</v>
      </c>
      <c r="U79" s="23" t="s">
        <v>140</v>
      </c>
      <c r="V79" s="24"/>
    </row>
    <row r="80" customFormat="false" ht="26.85" hidden="false" customHeight="false" outlineLevel="0" collapsed="false">
      <c r="A80" s="23" t="n">
        <v>79</v>
      </c>
      <c r="B80" s="30" t="s">
        <v>6469</v>
      </c>
      <c r="C80" s="23" t="n">
        <v>2</v>
      </c>
      <c r="D80" s="23" t="s">
        <v>4666</v>
      </c>
      <c r="E80" s="24" t="s">
        <v>7514</v>
      </c>
      <c r="F80" s="29" t="s">
        <v>6468</v>
      </c>
      <c r="G80" s="24" t="s">
        <v>7515</v>
      </c>
      <c r="H80" s="23" t="n">
        <f aca="false">COUNTIF(A타입_제작표!$H$2:$H$799,B80)</f>
        <v>9</v>
      </c>
      <c r="I80" s="23" t="n">
        <f aca="false">H80*안내!$C$7+안내!$C$8</f>
        <v>588</v>
      </c>
      <c r="J80" s="23" t="n">
        <f aca="false">ROUND(I80/60,1)</f>
        <v>9.8</v>
      </c>
      <c r="K80" s="23" t="str">
        <f aca="false">D80&amp;" #"&amp;TEXT(_xlfn.MINIFS(A타입_제작표!$E$2:$E$799,A타입_제작표!$H$2:$H$799,B80),"000")</f>
        <v>신약 #215</v>
      </c>
      <c r="L80" s="23" t="str">
        <f aca="false">D80&amp;" #"&amp;TEXT(_xlfn.MAXIFS(A타입_제작표!$E$2:$E$799,A타입_제작표!$H$2:$H$799,B80),"000")</f>
        <v>신약 #223</v>
      </c>
      <c r="M80" s="24" t="s">
        <v>7516</v>
      </c>
      <c r="N80" s="24" t="s">
        <v>7517</v>
      </c>
      <c r="O80" s="24" t="s">
        <v>7518</v>
      </c>
      <c r="P80" s="26" t="n">
        <f aca="false">_xlfn.MAXIFS(A타입_제작표!$U$2:$U$799,A타입_제작표!$H$2:$H$799,B80)+1</f>
        <v>46788</v>
      </c>
      <c r="Q80" s="23" t="str">
        <f aca="false">CHOOSE(WEEKDAY(P80,2),"월","화","수","목","금","토","일")</f>
        <v>토</v>
      </c>
      <c r="R80" s="23" t="s">
        <v>140</v>
      </c>
      <c r="S80" s="23" t="s">
        <v>140</v>
      </c>
      <c r="T80" s="23" t="s">
        <v>140</v>
      </c>
      <c r="U80" s="23" t="s">
        <v>140</v>
      </c>
      <c r="V80" s="24"/>
    </row>
    <row r="81" customFormat="false" ht="26.85" hidden="false" customHeight="false" outlineLevel="0" collapsed="false">
      <c r="A81" s="23" t="n">
        <v>80</v>
      </c>
      <c r="B81" s="30" t="s">
        <v>6541</v>
      </c>
      <c r="C81" s="23" t="n">
        <v>2</v>
      </c>
      <c r="D81" s="23" t="s">
        <v>4666</v>
      </c>
      <c r="E81" s="24" t="s">
        <v>7519</v>
      </c>
      <c r="F81" s="29" t="s">
        <v>6540</v>
      </c>
      <c r="G81" s="24" t="s">
        <v>7520</v>
      </c>
      <c r="H81" s="23" t="n">
        <f aca="false">COUNTIF(A타입_제작표!$H$2:$H$799,B81)</f>
        <v>10</v>
      </c>
      <c r="I81" s="23" t="n">
        <f aca="false">H81*안내!$C$7+안내!$C$8</f>
        <v>640</v>
      </c>
      <c r="J81" s="23" t="n">
        <f aca="false">ROUND(I81/60,1)</f>
        <v>10.7</v>
      </c>
      <c r="K81" s="23" t="str">
        <f aca="false">D81&amp;" #"&amp;TEXT(_xlfn.MINIFS(A타입_제작표!$E$2:$E$799,A타입_제작표!$H$2:$H$799,B81),"000")</f>
        <v>신약 #224</v>
      </c>
      <c r="L81" s="23" t="str">
        <f aca="false">D81&amp;" #"&amp;TEXT(_xlfn.MAXIFS(A타입_제작표!$E$2:$E$799,A타입_제작표!$H$2:$H$799,B81),"000")</f>
        <v>신약 #233</v>
      </c>
      <c r="M81" s="24" t="s">
        <v>7521</v>
      </c>
      <c r="N81" s="24" t="s">
        <v>7522</v>
      </c>
      <c r="O81" s="24" t="s">
        <v>7523</v>
      </c>
      <c r="P81" s="26" t="n">
        <f aca="false">_xlfn.MAXIFS(A타입_제작표!$U$2:$U$799,A타입_제작표!$H$2:$H$799,B81)+1</f>
        <v>46805</v>
      </c>
      <c r="Q81" s="23" t="str">
        <f aca="false">CHOOSE(WEEKDAY(P81,2),"월","화","수","목","금","토","일")</f>
        <v>화</v>
      </c>
      <c r="R81" s="23" t="s">
        <v>140</v>
      </c>
      <c r="S81" s="23" t="s">
        <v>140</v>
      </c>
      <c r="T81" s="23" t="s">
        <v>140</v>
      </c>
      <c r="U81" s="23" t="s">
        <v>140</v>
      </c>
      <c r="V81" s="24"/>
    </row>
    <row r="82" customFormat="false" ht="26.85" hidden="false" customHeight="false" outlineLevel="0" collapsed="false">
      <c r="A82" s="23" t="n">
        <v>81</v>
      </c>
      <c r="B82" s="30" t="s">
        <v>6626</v>
      </c>
      <c r="C82" s="23" t="n">
        <v>2</v>
      </c>
      <c r="D82" s="23" t="s">
        <v>4666</v>
      </c>
      <c r="E82" s="24" t="s">
        <v>7524</v>
      </c>
      <c r="F82" s="29" t="s">
        <v>6625</v>
      </c>
      <c r="G82" s="24" t="s">
        <v>7525</v>
      </c>
      <c r="H82" s="23" t="n">
        <f aca="false">COUNTIF(A타입_제작표!$H$2:$H$799,B82)</f>
        <v>9</v>
      </c>
      <c r="I82" s="23" t="n">
        <f aca="false">H82*안내!$C$7+안내!$C$8</f>
        <v>588</v>
      </c>
      <c r="J82" s="23" t="n">
        <f aca="false">ROUND(I82/60,1)</f>
        <v>9.8</v>
      </c>
      <c r="K82" s="23" t="str">
        <f aca="false">D82&amp;" #"&amp;TEXT(_xlfn.MINIFS(A타입_제작표!$E$2:$E$799,A타입_제작표!$H$2:$H$799,B82),"000")</f>
        <v>신약 #234</v>
      </c>
      <c r="L82" s="23" t="str">
        <f aca="false">D82&amp;" #"&amp;TEXT(_xlfn.MAXIFS(A타입_제작표!$E$2:$E$799,A타입_제작표!$H$2:$H$799,B82),"000")</f>
        <v>신약 #242</v>
      </c>
      <c r="M82" s="24" t="s">
        <v>7269</v>
      </c>
      <c r="N82" s="24" t="s">
        <v>7526</v>
      </c>
      <c r="O82" s="24" t="s">
        <v>7527</v>
      </c>
      <c r="P82" s="26" t="n">
        <f aca="false">_xlfn.MAXIFS(A타입_제작표!$U$2:$U$799,A타입_제작표!$H$2:$H$799,B82)+1</f>
        <v>46821</v>
      </c>
      <c r="Q82" s="23" t="str">
        <f aca="false">CHOOSE(WEEKDAY(P82,2),"월","화","수","목","금","토","일")</f>
        <v>목</v>
      </c>
      <c r="R82" s="23" t="s">
        <v>140</v>
      </c>
      <c r="S82" s="23" t="s">
        <v>140</v>
      </c>
      <c r="T82" s="23" t="s">
        <v>140</v>
      </c>
      <c r="U82" s="23" t="s">
        <v>140</v>
      </c>
      <c r="V82" s="24"/>
    </row>
    <row r="83" customFormat="false" ht="26.85" hidden="false" customHeight="false" outlineLevel="0" collapsed="false">
      <c r="A83" s="23" t="n">
        <v>82</v>
      </c>
      <c r="B83" s="30" t="s">
        <v>6714</v>
      </c>
      <c r="C83" s="23" t="n">
        <v>2</v>
      </c>
      <c r="D83" s="23" t="s">
        <v>4666</v>
      </c>
      <c r="E83" s="24" t="s">
        <v>7528</v>
      </c>
      <c r="F83" s="29" t="s">
        <v>6713</v>
      </c>
      <c r="G83" s="24" t="s">
        <v>7529</v>
      </c>
      <c r="H83" s="23" t="n">
        <f aca="false">COUNTIF(A타입_제작표!$H$2:$H$799,B83)</f>
        <v>12</v>
      </c>
      <c r="I83" s="23" t="n">
        <f aca="false">H83*안내!$C$7+안내!$C$8</f>
        <v>744</v>
      </c>
      <c r="J83" s="23" t="n">
        <f aca="false">ROUND(I83/60,1)</f>
        <v>12.4</v>
      </c>
      <c r="K83" s="23" t="str">
        <f aca="false">D83&amp;" #"&amp;TEXT(_xlfn.MINIFS(A타입_제작표!$E$2:$E$799,A타입_제작표!$H$2:$H$799,B83),"000")</f>
        <v>신약 #243</v>
      </c>
      <c r="L83" s="23" t="str">
        <f aca="false">D83&amp;" #"&amp;TEXT(_xlfn.MAXIFS(A타입_제작표!$E$2:$E$799,A타입_제작표!$H$2:$H$799,B83),"000")</f>
        <v>신약 #254</v>
      </c>
      <c r="M83" s="24" t="s">
        <v>7530</v>
      </c>
      <c r="N83" s="24" t="s">
        <v>7531</v>
      </c>
      <c r="O83" s="24" t="s">
        <v>7532</v>
      </c>
      <c r="P83" s="26" t="n">
        <f aca="false">_xlfn.MAXIFS(A타입_제작표!$U$2:$U$799,A타입_제작표!$H$2:$H$799,B83)+1</f>
        <v>46842</v>
      </c>
      <c r="Q83" s="23" t="str">
        <f aca="false">CHOOSE(WEEKDAY(P83,2),"월","화","수","목","금","토","일")</f>
        <v>목</v>
      </c>
      <c r="R83" s="23" t="s">
        <v>140</v>
      </c>
      <c r="S83" s="23" t="s">
        <v>140</v>
      </c>
      <c r="T83" s="23" t="s">
        <v>140</v>
      </c>
      <c r="U83" s="23" t="s">
        <v>140</v>
      </c>
      <c r="V83" s="24"/>
    </row>
    <row r="84" customFormat="false" ht="26.85" hidden="false" customHeight="false" outlineLevel="0" collapsed="false">
      <c r="A84" s="23" t="n">
        <v>83</v>
      </c>
      <c r="B84" s="30" t="s">
        <v>6814</v>
      </c>
      <c r="C84" s="23" t="n">
        <v>2</v>
      </c>
      <c r="D84" s="23" t="s">
        <v>4666</v>
      </c>
      <c r="E84" s="24" t="s">
        <v>7533</v>
      </c>
      <c r="F84" s="29" t="s">
        <v>6813</v>
      </c>
      <c r="G84" s="24" t="s">
        <v>7534</v>
      </c>
      <c r="H84" s="23" t="n">
        <f aca="false">COUNTIF(A타입_제작표!$H$2:$H$799,B84)</f>
        <v>7</v>
      </c>
      <c r="I84" s="23" t="n">
        <f aca="false">H84*안내!$C$7+안내!$C$8</f>
        <v>484</v>
      </c>
      <c r="J84" s="23" t="n">
        <f aca="false">ROUND(I84/60,1)</f>
        <v>8.1</v>
      </c>
      <c r="K84" s="23" t="str">
        <f aca="false">D84&amp;" #"&amp;TEXT(_xlfn.MINIFS(A타입_제작표!$E$2:$E$799,A타입_제작표!$H$2:$H$799,B84),"000")</f>
        <v>신약 #255</v>
      </c>
      <c r="L84" s="23" t="str">
        <f aca="false">D84&amp;" #"&amp;TEXT(_xlfn.MAXIFS(A타입_제작표!$E$2:$E$799,A타입_제작표!$H$2:$H$799,B84),"000")</f>
        <v>신약 #261</v>
      </c>
      <c r="M84" s="24" t="s">
        <v>7535</v>
      </c>
      <c r="N84" s="24" t="s">
        <v>7536</v>
      </c>
      <c r="O84" s="24" t="s">
        <v>7537</v>
      </c>
      <c r="P84" s="26" t="n">
        <f aca="false">_xlfn.MAXIFS(A타입_제작표!$U$2:$U$799,A타입_제작표!$H$2:$H$799,B84)+1</f>
        <v>46854</v>
      </c>
      <c r="Q84" s="23" t="str">
        <f aca="false">CHOOSE(WEEKDAY(P84,2),"월","화","수","목","금","토","일")</f>
        <v>화</v>
      </c>
      <c r="R84" s="23" t="s">
        <v>140</v>
      </c>
      <c r="S84" s="23" t="s">
        <v>140</v>
      </c>
      <c r="T84" s="23" t="s">
        <v>140</v>
      </c>
      <c r="U84" s="23" t="s">
        <v>140</v>
      </c>
      <c r="V84" s="24"/>
    </row>
    <row r="85" customFormat="false" ht="26.85" hidden="false" customHeight="false" outlineLevel="0" collapsed="false">
      <c r="A85" s="23" t="n">
        <v>84</v>
      </c>
      <c r="B85" s="30" t="s">
        <v>6878</v>
      </c>
      <c r="C85" s="23" t="n">
        <v>2</v>
      </c>
      <c r="D85" s="23" t="s">
        <v>4666</v>
      </c>
      <c r="E85" s="24" t="s">
        <v>7538</v>
      </c>
      <c r="F85" s="29" t="s">
        <v>6877</v>
      </c>
      <c r="G85" s="24" t="s">
        <v>7539</v>
      </c>
      <c r="H85" s="23" t="n">
        <f aca="false">COUNTIF(A타입_제작표!$H$2:$H$799,B85)</f>
        <v>9</v>
      </c>
      <c r="I85" s="23" t="n">
        <f aca="false">H85*안내!$C$7+안내!$C$8</f>
        <v>588</v>
      </c>
      <c r="J85" s="23" t="n">
        <f aca="false">ROUND(I85/60,1)</f>
        <v>9.8</v>
      </c>
      <c r="K85" s="23" t="str">
        <f aca="false">D85&amp;" #"&amp;TEXT(_xlfn.MINIFS(A타입_제작표!$E$2:$E$799,A타입_제작표!$H$2:$H$799,B85),"000")</f>
        <v>신약 #262</v>
      </c>
      <c r="L85" s="23" t="str">
        <f aca="false">D85&amp;" #"&amp;TEXT(_xlfn.MAXIFS(A타입_제작표!$E$2:$E$799,A타입_제작표!$H$2:$H$799,B85),"000")</f>
        <v>신약 #270</v>
      </c>
      <c r="M85" s="24" t="s">
        <v>7540</v>
      </c>
      <c r="N85" s="24" t="s">
        <v>7541</v>
      </c>
      <c r="O85" s="24" t="s">
        <v>7542</v>
      </c>
      <c r="P85" s="26" t="n">
        <f aca="false">_xlfn.MAXIFS(A타입_제작표!$U$2:$U$799,A타입_제작표!$H$2:$H$799,B85)+1</f>
        <v>46870</v>
      </c>
      <c r="Q85" s="23" t="str">
        <f aca="false">CHOOSE(WEEKDAY(P85,2),"월","화","수","목","금","토","일")</f>
        <v>목</v>
      </c>
      <c r="R85" s="23" t="s">
        <v>140</v>
      </c>
      <c r="S85" s="23" t="s">
        <v>140</v>
      </c>
      <c r="T85" s="23" t="s">
        <v>140</v>
      </c>
      <c r="U85" s="23" t="s">
        <v>140</v>
      </c>
      <c r="V85" s="24"/>
    </row>
    <row r="86" customFormat="false" ht="26.85" hidden="false" customHeight="false" outlineLevel="0" collapsed="false">
      <c r="A86" s="23" t="n">
        <v>85</v>
      </c>
      <c r="B86" s="30" t="s">
        <v>6980</v>
      </c>
      <c r="C86" s="23" t="n">
        <v>2</v>
      </c>
      <c r="D86" s="23" t="s">
        <v>4666</v>
      </c>
      <c r="E86" s="24" t="s">
        <v>7543</v>
      </c>
      <c r="F86" s="29" t="s">
        <v>6979</v>
      </c>
      <c r="G86" s="24" t="s">
        <v>7544</v>
      </c>
      <c r="H86" s="23" t="n">
        <f aca="false">COUNTIF(A타입_제작표!$H$2:$H$799,B86)</f>
        <v>7</v>
      </c>
      <c r="I86" s="23" t="n">
        <f aca="false">H86*안내!$C$7+안내!$C$8</f>
        <v>484</v>
      </c>
      <c r="J86" s="23" t="n">
        <f aca="false">ROUND(I86/60,1)</f>
        <v>8.1</v>
      </c>
      <c r="K86" s="23" t="str">
        <f aca="false">D86&amp;" #"&amp;TEXT(_xlfn.MINIFS(A타입_제작표!$E$2:$E$799,A타입_제작표!$H$2:$H$799,B86),"000")</f>
        <v>신약 #271</v>
      </c>
      <c r="L86" s="23" t="str">
        <f aca="false">D86&amp;" #"&amp;TEXT(_xlfn.MAXIFS(A타입_제작표!$E$2:$E$799,A타입_제작표!$H$2:$H$799,B86),"000")</f>
        <v>신약 #277</v>
      </c>
      <c r="M86" s="24" t="s">
        <v>7545</v>
      </c>
      <c r="N86" s="24" t="s">
        <v>7546</v>
      </c>
      <c r="O86" s="24" t="s">
        <v>7547</v>
      </c>
      <c r="P86" s="26" t="n">
        <f aca="false">_xlfn.MAXIFS(A타입_제작표!$U$2:$U$799,A타입_제작표!$H$2:$H$799,B86)+1</f>
        <v>46882</v>
      </c>
      <c r="Q86" s="23" t="str">
        <f aca="false">CHOOSE(WEEKDAY(P86,2),"월","화","수","목","금","토","일")</f>
        <v>화</v>
      </c>
      <c r="R86" s="23" t="s">
        <v>140</v>
      </c>
      <c r="S86" s="23" t="s">
        <v>140</v>
      </c>
      <c r="T86" s="23" t="s">
        <v>140</v>
      </c>
      <c r="U86" s="23" t="s">
        <v>140</v>
      </c>
      <c r="V86" s="24"/>
    </row>
  </sheetData>
  <autoFilter ref="A1:V86"/>
  <dataValidations count="1">
    <dataValidation allowBlank="true" errorStyle="stop" operator="between" showDropDown="false" showErrorMessage="false" showInputMessage="false" sqref="R2:U8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32"/>
    <col collapsed="false" customWidth="true" hidden="false" outlineLevel="0" max="13" min="13" style="0" width="40"/>
    <col collapsed="false" customWidth="true" hidden="false" outlineLevel="0" max="14" min="14" style="0" width="32"/>
    <col collapsed="false" customWidth="true" hidden="false" outlineLevel="0" max="15" min="15" style="0" width="30"/>
    <col collapsed="false" customWidth="true" hidden="false" outlineLevel="0" max="16" min="16" style="0" width="12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95</v>
      </c>
      <c r="B1" s="17" t="s">
        <v>7548</v>
      </c>
      <c r="C1" s="16" t="s">
        <v>7077</v>
      </c>
      <c r="D1" s="16" t="s">
        <v>7549</v>
      </c>
      <c r="E1" s="16" t="s">
        <v>7079</v>
      </c>
      <c r="F1" s="17" t="s">
        <v>7080</v>
      </c>
      <c r="G1" s="16" t="s">
        <v>7550</v>
      </c>
      <c r="H1" s="16" t="s">
        <v>7081</v>
      </c>
      <c r="I1" s="16" t="s">
        <v>7082</v>
      </c>
      <c r="J1" s="16" t="s">
        <v>7551</v>
      </c>
      <c r="K1" s="16" t="s">
        <v>7552</v>
      </c>
      <c r="L1" s="16" t="s">
        <v>7085</v>
      </c>
      <c r="M1" s="16" t="s">
        <v>7086</v>
      </c>
      <c r="N1" s="16" t="s">
        <v>7087</v>
      </c>
      <c r="O1" s="16" t="s">
        <v>7553</v>
      </c>
      <c r="P1" s="16" t="s">
        <v>7554</v>
      </c>
      <c r="Q1" s="16" t="s">
        <v>118</v>
      </c>
      <c r="R1" s="16" t="s">
        <v>119</v>
      </c>
      <c r="S1" s="16" t="s">
        <v>120</v>
      </c>
      <c r="T1" s="16" t="s">
        <v>121</v>
      </c>
      <c r="U1" s="16" t="s">
        <v>122</v>
      </c>
    </row>
    <row r="2" customFormat="false" ht="26.85" hidden="false" customHeight="false" outlineLevel="0" collapsed="false">
      <c r="A2" s="23" t="n">
        <v>1</v>
      </c>
      <c r="B2" s="30" t="s">
        <v>127</v>
      </c>
      <c r="C2" s="24" t="s">
        <v>7089</v>
      </c>
      <c r="D2" s="24" t="s">
        <v>129</v>
      </c>
      <c r="E2" s="24" t="s">
        <v>7090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640</v>
      </c>
      <c r="I2" s="23" t="n">
        <f aca="false">ROUND(H2/60,1)</f>
        <v>10.7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24" t="s">
        <v>7091</v>
      </c>
      <c r="M2" s="29" t="s">
        <v>7092</v>
      </c>
      <c r="N2" s="24" t="s">
        <v>7093</v>
      </c>
      <c r="O2" s="24"/>
      <c r="P2" s="26" t="n">
        <f aca="false">_xlfn.MAXIFS(A타입_제작표!$U$2:$U$799,A타입_제작표!$G$2:$G$799,B2)</f>
        <v>46400</v>
      </c>
      <c r="Q2" s="23" t="s">
        <v>140</v>
      </c>
      <c r="R2" s="23" t="s">
        <v>140</v>
      </c>
      <c r="S2" s="23" t="s">
        <v>140</v>
      </c>
      <c r="T2" s="23" t="s">
        <v>140</v>
      </c>
      <c r="U2" s="24"/>
    </row>
    <row r="3" customFormat="false" ht="26.85" hidden="false" customHeight="false" outlineLevel="0" collapsed="false">
      <c r="A3" s="23" t="n">
        <v>2</v>
      </c>
      <c r="B3" s="30" t="s">
        <v>217</v>
      </c>
      <c r="C3" s="24" t="s">
        <v>7094</v>
      </c>
      <c r="D3" s="24" t="s">
        <v>129</v>
      </c>
      <c r="E3" s="24" t="s">
        <v>7555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796</v>
      </c>
      <c r="I3" s="23" t="n">
        <f aca="false">ROUND(H3/60,1)</f>
        <v>13.3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7096</v>
      </c>
      <c r="M3" s="24" t="s">
        <v>7097</v>
      </c>
      <c r="N3" s="24" t="s">
        <v>7098</v>
      </c>
      <c r="O3" s="24"/>
      <c r="P3" s="26" t="n">
        <f aca="false">_xlfn.MAXIFS(A타입_제작표!$U$2:$U$799,A타입_제작표!$G$2:$G$799,B3)</f>
        <v>46584</v>
      </c>
      <c r="Q3" s="23" t="s">
        <v>140</v>
      </c>
      <c r="R3" s="23" t="s">
        <v>140</v>
      </c>
      <c r="S3" s="23" t="s">
        <v>140</v>
      </c>
      <c r="T3" s="23" t="s">
        <v>140</v>
      </c>
      <c r="U3" s="24"/>
    </row>
    <row r="4" customFormat="false" ht="26.85" hidden="false" customHeight="false" outlineLevel="0" collapsed="false">
      <c r="A4" s="23" t="n">
        <v>3</v>
      </c>
      <c r="B4" s="30" t="s">
        <v>335</v>
      </c>
      <c r="C4" s="24" t="s">
        <v>7556</v>
      </c>
      <c r="D4" s="24" t="s">
        <v>129</v>
      </c>
      <c r="E4" s="24" t="s">
        <v>7557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484</v>
      </c>
      <c r="I4" s="23" t="n">
        <f aca="false">ROUND(H4/60,1)</f>
        <v>8.1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7102</v>
      </c>
      <c r="M4" s="24" t="s">
        <v>7558</v>
      </c>
      <c r="N4" s="24" t="s">
        <v>7559</v>
      </c>
      <c r="O4" s="24"/>
      <c r="P4" s="26" t="n">
        <f aca="false">_xlfn.MAXIFS(A타입_제작표!$U$2:$U$799,A타입_제작표!$G$2:$G$799,B4)</f>
        <v>46589</v>
      </c>
      <c r="Q4" s="23" t="s">
        <v>140</v>
      </c>
      <c r="R4" s="23" t="s">
        <v>140</v>
      </c>
      <c r="S4" s="23" t="s">
        <v>140</v>
      </c>
      <c r="T4" s="23" t="s">
        <v>140</v>
      </c>
      <c r="U4" s="24"/>
    </row>
    <row r="5" customFormat="false" ht="26.85" hidden="false" customHeight="false" outlineLevel="0" collapsed="false">
      <c r="A5" s="23" t="n">
        <v>4</v>
      </c>
      <c r="B5" s="30" t="s">
        <v>401</v>
      </c>
      <c r="C5" s="24" t="s">
        <v>7560</v>
      </c>
      <c r="D5" s="24" t="s">
        <v>129</v>
      </c>
      <c r="E5" s="24" t="s">
        <v>7561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536</v>
      </c>
      <c r="I5" s="23" t="n">
        <f aca="false">ROUND(H5/60,1)</f>
        <v>8.9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7280</v>
      </c>
      <c r="M5" s="24" t="s">
        <v>7562</v>
      </c>
      <c r="N5" s="24" t="s">
        <v>7563</v>
      </c>
      <c r="O5" s="24"/>
      <c r="P5" s="26" t="n">
        <f aca="false">_xlfn.MAXIFS(A타입_제작표!$U$2:$U$799,A타입_제작표!$G$2:$G$799,B5)</f>
        <v>46594</v>
      </c>
      <c r="Q5" s="23" t="s">
        <v>140</v>
      </c>
      <c r="R5" s="23" t="s">
        <v>140</v>
      </c>
      <c r="S5" s="23" t="s">
        <v>140</v>
      </c>
      <c r="T5" s="23" t="s">
        <v>140</v>
      </c>
      <c r="U5" s="24"/>
    </row>
    <row r="6" customFormat="false" ht="26.85" hidden="false" customHeight="false" outlineLevel="0" collapsed="false">
      <c r="A6" s="23" t="n">
        <v>5</v>
      </c>
      <c r="B6" s="30" t="s">
        <v>475</v>
      </c>
      <c r="C6" s="24" t="s">
        <v>7564</v>
      </c>
      <c r="D6" s="24" t="s">
        <v>129</v>
      </c>
      <c r="E6" s="24" t="s">
        <v>7565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484</v>
      </c>
      <c r="I6" s="23" t="n">
        <f aca="false">ROUND(H6/60,1)</f>
        <v>8.1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7566</v>
      </c>
      <c r="M6" s="24" t="s">
        <v>7567</v>
      </c>
      <c r="N6" s="24" t="s">
        <v>7568</v>
      </c>
      <c r="O6" s="24"/>
      <c r="P6" s="26" t="n">
        <f aca="false">_xlfn.MAXIFS(A타입_제작표!$U$2:$U$799,A타입_제작표!$G$2:$G$799,B6)</f>
        <v>46598</v>
      </c>
      <c r="Q6" s="23" t="s">
        <v>140</v>
      </c>
      <c r="R6" s="23" t="s">
        <v>140</v>
      </c>
      <c r="S6" s="23" t="s">
        <v>140</v>
      </c>
      <c r="T6" s="23" t="s">
        <v>140</v>
      </c>
      <c r="U6" s="24"/>
    </row>
    <row r="7" customFormat="false" ht="15" hidden="false" customHeight="false" outlineLevel="0" collapsed="false">
      <c r="A7" s="23" t="n">
        <v>6</v>
      </c>
      <c r="B7" s="30" t="s">
        <v>535</v>
      </c>
      <c r="C7" s="24" t="s">
        <v>7569</v>
      </c>
      <c r="D7" s="24" t="s">
        <v>129</v>
      </c>
      <c r="E7" s="24" t="s">
        <v>7570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536</v>
      </c>
      <c r="I7" s="23" t="n">
        <f aca="false">ROUND(H7/60,1)</f>
        <v>8.9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7108</v>
      </c>
      <c r="M7" s="24" t="s">
        <v>7571</v>
      </c>
      <c r="N7" s="24" t="s">
        <v>7572</v>
      </c>
      <c r="O7" s="24"/>
      <c r="P7" s="26" t="n">
        <f aca="false">_xlfn.MAXIFS(A타입_제작표!$U$2:$U$799,A타입_제작표!$G$2:$G$799,B7)</f>
        <v>46603</v>
      </c>
      <c r="Q7" s="23" t="s">
        <v>140</v>
      </c>
      <c r="R7" s="23" t="s">
        <v>140</v>
      </c>
      <c r="S7" s="23" t="s">
        <v>140</v>
      </c>
      <c r="T7" s="23" t="s">
        <v>140</v>
      </c>
      <c r="U7" s="24"/>
    </row>
    <row r="8" customFormat="false" ht="26.85" hidden="false" customHeight="false" outlineLevel="0" collapsed="false">
      <c r="A8" s="23" t="n">
        <v>7</v>
      </c>
      <c r="B8" s="30" t="s">
        <v>607</v>
      </c>
      <c r="C8" s="24" t="s">
        <v>7573</v>
      </c>
      <c r="D8" s="24" t="s">
        <v>129</v>
      </c>
      <c r="E8" s="24" t="s">
        <v>7574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484</v>
      </c>
      <c r="I8" s="23" t="n">
        <f aca="false">ROUND(H8/60,1)</f>
        <v>8.1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7575</v>
      </c>
      <c r="M8" s="24" t="s">
        <v>7576</v>
      </c>
      <c r="N8" s="24" t="s">
        <v>7577</v>
      </c>
      <c r="O8" s="24"/>
      <c r="P8" s="26" t="n">
        <f aca="false">_xlfn.MAXIFS(A타입_제작표!$U$2:$U$799,A타입_제작표!$G$2:$G$799,B8)</f>
        <v>46608</v>
      </c>
      <c r="Q8" s="23" t="s">
        <v>140</v>
      </c>
      <c r="R8" s="23" t="s">
        <v>140</v>
      </c>
      <c r="S8" s="23" t="s">
        <v>140</v>
      </c>
      <c r="T8" s="23" t="s">
        <v>140</v>
      </c>
      <c r="U8" s="24"/>
    </row>
    <row r="9" customFormat="false" ht="26.85" hidden="false" customHeight="false" outlineLevel="0" collapsed="false">
      <c r="A9" s="23" t="n">
        <v>8</v>
      </c>
      <c r="B9" s="30" t="s">
        <v>668</v>
      </c>
      <c r="C9" s="24" t="s">
        <v>7578</v>
      </c>
      <c r="D9" s="24" t="s">
        <v>129</v>
      </c>
      <c r="E9" s="24" t="s">
        <v>7579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484</v>
      </c>
      <c r="I9" s="23" t="n">
        <f aca="false">ROUND(H9/60,1)</f>
        <v>8.1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7290</v>
      </c>
      <c r="M9" s="24" t="s">
        <v>7580</v>
      </c>
      <c r="N9" s="24" t="s">
        <v>7581</v>
      </c>
      <c r="O9" s="24"/>
      <c r="P9" s="26" t="n">
        <f aca="false">_xlfn.MAXIFS(A타입_제작표!$U$2:$U$799,A타입_제작표!$G$2:$G$799,B9)</f>
        <v>46609</v>
      </c>
      <c r="Q9" s="23" t="s">
        <v>140</v>
      </c>
      <c r="R9" s="23" t="s">
        <v>140</v>
      </c>
      <c r="S9" s="23" t="s">
        <v>140</v>
      </c>
      <c r="T9" s="23" t="s">
        <v>140</v>
      </c>
      <c r="U9" s="24"/>
    </row>
    <row r="10" customFormat="false" ht="26.85" hidden="false" customHeight="false" outlineLevel="0" collapsed="false">
      <c r="A10" s="23" t="n">
        <v>9</v>
      </c>
      <c r="B10" s="30" t="s">
        <v>732</v>
      </c>
      <c r="C10" s="24" t="s">
        <v>7582</v>
      </c>
      <c r="D10" s="24" t="s">
        <v>129</v>
      </c>
      <c r="E10" s="24" t="s">
        <v>7583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692</v>
      </c>
      <c r="I10" s="23" t="n">
        <f aca="false">ROUND(H10/60,1)</f>
        <v>11.5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7114</v>
      </c>
      <c r="M10" s="24" t="s">
        <v>7584</v>
      </c>
      <c r="N10" s="24" t="s">
        <v>7585</v>
      </c>
      <c r="O10" s="24"/>
      <c r="P10" s="26" t="n">
        <f aca="false">_xlfn.MAXIFS(A타입_제작표!$U$2:$U$799,A타입_제작표!$G$2:$G$799,B10)</f>
        <v>46615</v>
      </c>
      <c r="Q10" s="23" t="s">
        <v>140</v>
      </c>
      <c r="R10" s="23" t="s">
        <v>140</v>
      </c>
      <c r="S10" s="23" t="s">
        <v>140</v>
      </c>
      <c r="T10" s="23" t="s">
        <v>140</v>
      </c>
      <c r="U10" s="24"/>
    </row>
    <row r="11" customFormat="false" ht="26.85" hidden="false" customHeight="false" outlineLevel="0" collapsed="false">
      <c r="A11" s="23" t="n">
        <v>10</v>
      </c>
      <c r="B11" s="30" t="s">
        <v>828</v>
      </c>
      <c r="C11" s="24" t="s">
        <v>7586</v>
      </c>
      <c r="D11" s="24" t="s">
        <v>829</v>
      </c>
      <c r="E11" s="24" t="s">
        <v>7587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536</v>
      </c>
      <c r="I11" s="23" t="n">
        <f aca="false">ROUND(H11/60,1)</f>
        <v>8.9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7296</v>
      </c>
      <c r="M11" s="24" t="s">
        <v>7588</v>
      </c>
      <c r="N11" s="24" t="s">
        <v>7589</v>
      </c>
      <c r="O11" s="24"/>
      <c r="P11" s="26" t="n">
        <f aca="false">_xlfn.MAXIFS(A타입_제작표!$U$2:$U$799,A타입_제작표!$G$2:$G$799,B11)</f>
        <v>46617</v>
      </c>
      <c r="Q11" s="23" t="s">
        <v>140</v>
      </c>
      <c r="R11" s="23" t="s">
        <v>140</v>
      </c>
      <c r="S11" s="23" t="s">
        <v>140</v>
      </c>
      <c r="T11" s="23" t="s">
        <v>140</v>
      </c>
      <c r="U11" s="24"/>
    </row>
    <row r="12" customFormat="false" ht="26.85" hidden="false" customHeight="false" outlineLevel="0" collapsed="false">
      <c r="A12" s="23" t="n">
        <v>11</v>
      </c>
      <c r="B12" s="30" t="s">
        <v>901</v>
      </c>
      <c r="C12" s="24" t="s">
        <v>7590</v>
      </c>
      <c r="D12" s="24" t="s">
        <v>829</v>
      </c>
      <c r="E12" s="24" t="s">
        <v>7591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692</v>
      </c>
      <c r="I12" s="23" t="n">
        <f aca="false">ROUND(H12/60,1)</f>
        <v>11.5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7120</v>
      </c>
      <c r="M12" s="24" t="s">
        <v>7592</v>
      </c>
      <c r="N12" s="24" t="s">
        <v>7593</v>
      </c>
      <c r="O12" s="24"/>
      <c r="P12" s="26" t="n">
        <f aca="false">_xlfn.MAXIFS(A타입_제작표!$U$2:$U$799,A타입_제작표!$G$2:$G$799,B12)</f>
        <v>46623</v>
      </c>
      <c r="Q12" s="23" t="s">
        <v>140</v>
      </c>
      <c r="R12" s="23" t="s">
        <v>140</v>
      </c>
      <c r="S12" s="23" t="s">
        <v>140</v>
      </c>
      <c r="T12" s="23" t="s">
        <v>140</v>
      </c>
      <c r="U12" s="24"/>
    </row>
    <row r="13" customFormat="false" ht="26.85" hidden="false" customHeight="false" outlineLevel="0" collapsed="false">
      <c r="A13" s="23" t="n">
        <v>12</v>
      </c>
      <c r="B13" s="30" t="s">
        <v>995</v>
      </c>
      <c r="C13" s="24" t="s">
        <v>7594</v>
      </c>
      <c r="D13" s="24" t="s">
        <v>829</v>
      </c>
      <c r="E13" s="24" t="s">
        <v>7595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536</v>
      </c>
      <c r="I13" s="23" t="n">
        <f aca="false">ROUND(H13/60,1)</f>
        <v>8.9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7302</v>
      </c>
      <c r="M13" s="24" t="s">
        <v>7596</v>
      </c>
      <c r="N13" s="24" t="s">
        <v>7597</v>
      </c>
      <c r="O13" s="24"/>
      <c r="P13" s="26" t="n">
        <f aca="false">_xlfn.MAXIFS(A타입_제작표!$U$2:$U$799,A타입_제작표!$G$2:$G$799,B13)</f>
        <v>46625</v>
      </c>
      <c r="Q13" s="23" t="s">
        <v>140</v>
      </c>
      <c r="R13" s="23" t="s">
        <v>140</v>
      </c>
      <c r="S13" s="23" t="s">
        <v>140</v>
      </c>
      <c r="T13" s="23" t="s">
        <v>140</v>
      </c>
      <c r="U13" s="24"/>
    </row>
    <row r="14" customFormat="false" ht="26.85" hidden="false" customHeight="false" outlineLevel="0" collapsed="false">
      <c r="A14" s="23" t="n">
        <v>13</v>
      </c>
      <c r="B14" s="30" t="s">
        <v>1068</v>
      </c>
      <c r="C14" s="24" t="s">
        <v>7598</v>
      </c>
      <c r="D14" s="24" t="s">
        <v>829</v>
      </c>
      <c r="E14" s="24" t="s">
        <v>7599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536</v>
      </c>
      <c r="I14" s="23" t="n">
        <f aca="false">ROUND(H14/60,1)</f>
        <v>8.9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7126</v>
      </c>
      <c r="M14" s="24" t="s">
        <v>7600</v>
      </c>
      <c r="N14" s="24" t="s">
        <v>7601</v>
      </c>
      <c r="O14" s="24"/>
      <c r="P14" s="26" t="n">
        <f aca="false">_xlfn.MAXIFS(A타입_제작표!$U$2:$U$799,A타입_제작표!$G$2:$G$799,B14)</f>
        <v>46629</v>
      </c>
      <c r="Q14" s="23" t="s">
        <v>140</v>
      </c>
      <c r="R14" s="23" t="s">
        <v>140</v>
      </c>
      <c r="S14" s="23" t="s">
        <v>140</v>
      </c>
      <c r="T14" s="23" t="s">
        <v>140</v>
      </c>
      <c r="U14" s="24"/>
    </row>
    <row r="15" customFormat="false" ht="26.85" hidden="false" customHeight="false" outlineLevel="0" collapsed="false">
      <c r="A15" s="23" t="n">
        <v>14</v>
      </c>
      <c r="B15" s="30" t="s">
        <v>1141</v>
      </c>
      <c r="C15" s="24" t="s">
        <v>7602</v>
      </c>
      <c r="D15" s="24" t="s">
        <v>829</v>
      </c>
      <c r="E15" s="24" t="s">
        <v>7603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484</v>
      </c>
      <c r="I15" s="23" t="n">
        <f aca="false">ROUND(H15/60,1)</f>
        <v>8.1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7604</v>
      </c>
      <c r="M15" s="24" t="s">
        <v>7605</v>
      </c>
      <c r="N15" s="24" t="s">
        <v>7606</v>
      </c>
      <c r="O15" s="24"/>
      <c r="P15" s="26" t="n">
        <f aca="false">_xlfn.MAXIFS(A타입_제작표!$U$2:$U$799,A타입_제작표!$G$2:$G$799,B15)</f>
        <v>46634</v>
      </c>
      <c r="Q15" s="23" t="s">
        <v>140</v>
      </c>
      <c r="R15" s="23" t="s">
        <v>140</v>
      </c>
      <c r="S15" s="23" t="s">
        <v>140</v>
      </c>
      <c r="T15" s="23" t="s">
        <v>140</v>
      </c>
      <c r="U15" s="24"/>
    </row>
    <row r="16" customFormat="false" ht="26.85" hidden="false" customHeight="false" outlineLevel="0" collapsed="false">
      <c r="A16" s="23" t="n">
        <v>15</v>
      </c>
      <c r="B16" s="30" t="s">
        <v>1202</v>
      </c>
      <c r="C16" s="24" t="s">
        <v>7305</v>
      </c>
      <c r="D16" s="24" t="s">
        <v>1204</v>
      </c>
      <c r="E16" s="24" t="s">
        <v>7306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744</v>
      </c>
      <c r="I16" s="23" t="n">
        <f aca="false">ROUND(H16/60,1)</f>
        <v>12.4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7307</v>
      </c>
      <c r="M16" s="24" t="s">
        <v>7308</v>
      </c>
      <c r="N16" s="24" t="s">
        <v>7309</v>
      </c>
      <c r="O16" s="24"/>
      <c r="P16" s="26" t="n">
        <f aca="false">_xlfn.MAXIFS(A타입_제작표!$U$2:$U$799,A타입_제작표!$G$2:$G$799,B16)</f>
        <v>46645</v>
      </c>
      <c r="Q16" s="23" t="s">
        <v>140</v>
      </c>
      <c r="R16" s="23" t="s">
        <v>140</v>
      </c>
      <c r="S16" s="23" t="s">
        <v>140</v>
      </c>
      <c r="T16" s="23" t="s">
        <v>140</v>
      </c>
      <c r="U16" s="24"/>
    </row>
    <row r="17" customFormat="false" ht="26.85" hidden="false" customHeight="false" outlineLevel="0" collapsed="false">
      <c r="A17" s="23" t="n">
        <v>16</v>
      </c>
      <c r="B17" s="30" t="s">
        <v>1303</v>
      </c>
      <c r="C17" s="24" t="s">
        <v>7607</v>
      </c>
      <c r="D17" s="24" t="s">
        <v>1305</v>
      </c>
      <c r="E17" s="24" t="s">
        <v>7608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536</v>
      </c>
      <c r="I17" s="23" t="n">
        <f aca="false">ROUND(H17/60,1)</f>
        <v>8.9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7132</v>
      </c>
      <c r="M17" s="24" t="s">
        <v>7609</v>
      </c>
      <c r="N17" s="24" t="s">
        <v>7610</v>
      </c>
      <c r="O17" s="24"/>
      <c r="P17" s="26" t="n">
        <f aca="false">_xlfn.MAXIFS(A타입_제작표!$U$2:$U$799,A타입_제작표!$G$2:$G$799,B17)</f>
        <v>46651</v>
      </c>
      <c r="Q17" s="23" t="s">
        <v>140</v>
      </c>
      <c r="R17" s="23" t="s">
        <v>140</v>
      </c>
      <c r="S17" s="23" t="s">
        <v>140</v>
      </c>
      <c r="T17" s="23" t="s">
        <v>140</v>
      </c>
      <c r="U17" s="24"/>
    </row>
    <row r="18" customFormat="false" ht="26.85" hidden="false" customHeight="false" outlineLevel="0" collapsed="false">
      <c r="A18" s="23" t="n">
        <v>17</v>
      </c>
      <c r="B18" s="30" t="s">
        <v>1372</v>
      </c>
      <c r="C18" s="24" t="s">
        <v>7314</v>
      </c>
      <c r="D18" s="24" t="s">
        <v>1305</v>
      </c>
      <c r="E18" s="24" t="s">
        <v>7611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848</v>
      </c>
      <c r="I18" s="23" t="n">
        <f aca="false">ROUND(H18/60,1)</f>
        <v>14.1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7316</v>
      </c>
      <c r="M18" s="24" t="s">
        <v>7317</v>
      </c>
      <c r="N18" s="24" t="s">
        <v>7318</v>
      </c>
      <c r="O18" s="24"/>
      <c r="P18" s="26" t="n">
        <f aca="false">_xlfn.MAXIFS(A타입_제작표!$U$2:$U$799,A타입_제작표!$G$2:$G$799,B18)</f>
        <v>46663</v>
      </c>
      <c r="Q18" s="23" t="s">
        <v>140</v>
      </c>
      <c r="R18" s="23" t="s">
        <v>140</v>
      </c>
      <c r="S18" s="23" t="s">
        <v>140</v>
      </c>
      <c r="T18" s="23" t="s">
        <v>140</v>
      </c>
      <c r="U18" s="24"/>
    </row>
    <row r="19" customFormat="false" ht="26.85" hidden="false" customHeight="false" outlineLevel="0" collapsed="false">
      <c r="A19" s="23" t="n">
        <v>18</v>
      </c>
      <c r="B19" s="30" t="s">
        <v>1492</v>
      </c>
      <c r="C19" s="24" t="s">
        <v>7319</v>
      </c>
      <c r="D19" s="24" t="s">
        <v>1494</v>
      </c>
      <c r="E19" s="24" t="s">
        <v>7612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848</v>
      </c>
      <c r="I19" s="23" t="n">
        <f aca="false">ROUND(H19/60,1)</f>
        <v>14.1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7321</v>
      </c>
      <c r="M19" s="24" t="s">
        <v>7322</v>
      </c>
      <c r="N19" s="24" t="s">
        <v>7323</v>
      </c>
      <c r="O19" s="24"/>
      <c r="P19" s="26" t="n">
        <f aca="false">_xlfn.MAXIFS(A타입_제작표!$U$2:$U$799,A타입_제작표!$G$2:$G$799,B19)</f>
        <v>46675</v>
      </c>
      <c r="Q19" s="23" t="s">
        <v>140</v>
      </c>
      <c r="R19" s="23" t="s">
        <v>140</v>
      </c>
      <c r="S19" s="23" t="s">
        <v>140</v>
      </c>
      <c r="T19" s="23" t="s">
        <v>140</v>
      </c>
      <c r="U19" s="24"/>
    </row>
    <row r="20" customFormat="false" ht="39.55" hidden="false" customHeight="false" outlineLevel="0" collapsed="false">
      <c r="A20" s="23" t="n">
        <v>19</v>
      </c>
      <c r="B20" s="30" t="s">
        <v>1600</v>
      </c>
      <c r="C20" s="24" t="s">
        <v>7613</v>
      </c>
      <c r="D20" s="24" t="s">
        <v>1601</v>
      </c>
      <c r="E20" s="24" t="s">
        <v>7614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484</v>
      </c>
      <c r="I20" s="23" t="n">
        <f aca="false">ROUND(H20/60,1)</f>
        <v>8.1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7327</v>
      </c>
      <c r="M20" s="24" t="s">
        <v>7615</v>
      </c>
      <c r="N20" s="24" t="s">
        <v>7616</v>
      </c>
      <c r="O20" s="24"/>
      <c r="P20" s="26" t="n">
        <f aca="false">_xlfn.MAXIFS(A타입_제작표!$U$2:$U$799,A타입_제작표!$G$2:$G$799,B20)</f>
        <v>46677</v>
      </c>
      <c r="Q20" s="23" t="s">
        <v>140</v>
      </c>
      <c r="R20" s="23" t="s">
        <v>140</v>
      </c>
      <c r="S20" s="23" t="s">
        <v>140</v>
      </c>
      <c r="T20" s="23" t="s">
        <v>140</v>
      </c>
      <c r="U20" s="24"/>
    </row>
    <row r="21" customFormat="false" ht="26.85" hidden="false" customHeight="false" outlineLevel="0" collapsed="false">
      <c r="A21" s="23" t="n">
        <v>20</v>
      </c>
      <c r="B21" s="30" t="s">
        <v>1664</v>
      </c>
      <c r="C21" s="24" t="s">
        <v>7617</v>
      </c>
      <c r="D21" s="24" t="s">
        <v>1601</v>
      </c>
      <c r="E21" s="24" t="s">
        <v>7618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588</v>
      </c>
      <c r="I21" s="23" t="n">
        <f aca="false">ROUND(H21/60,1)</f>
        <v>9.8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7138</v>
      </c>
      <c r="M21" s="24" t="s">
        <v>7619</v>
      </c>
      <c r="N21" s="24" t="s">
        <v>7620</v>
      </c>
      <c r="O21" s="24"/>
      <c r="P21" s="26" t="n">
        <f aca="false">_xlfn.MAXIFS(A타입_제작표!$U$2:$U$799,A타입_제작표!$G$2:$G$799,B21)</f>
        <v>46684</v>
      </c>
      <c r="Q21" s="23" t="s">
        <v>140</v>
      </c>
      <c r="R21" s="23" t="s">
        <v>140</v>
      </c>
      <c r="S21" s="23" t="s">
        <v>140</v>
      </c>
      <c r="T21" s="23" t="s">
        <v>140</v>
      </c>
      <c r="U21" s="24"/>
    </row>
    <row r="22" customFormat="false" ht="26.85" hidden="false" customHeight="false" outlineLevel="0" collapsed="false">
      <c r="A22" s="23" t="n">
        <v>21</v>
      </c>
      <c r="B22" s="30" t="s">
        <v>1740</v>
      </c>
      <c r="C22" s="24" t="s">
        <v>7621</v>
      </c>
      <c r="D22" s="24" t="s">
        <v>1742</v>
      </c>
      <c r="E22" s="24" t="s">
        <v>7622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588</v>
      </c>
      <c r="I22" s="23" t="n">
        <f aca="false">ROUND(H22/60,1)</f>
        <v>9.8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7333</v>
      </c>
      <c r="M22" s="24" t="s">
        <v>7623</v>
      </c>
      <c r="N22" s="24" t="s">
        <v>7624</v>
      </c>
      <c r="O22" s="24"/>
      <c r="P22" s="26" t="n">
        <f aca="false">_xlfn.MAXIFS(A타입_제작표!$U$2:$U$799,A타입_제작표!$G$2:$G$799,B22)</f>
        <v>46690</v>
      </c>
      <c r="Q22" s="23" t="s">
        <v>140</v>
      </c>
      <c r="R22" s="23" t="s">
        <v>140</v>
      </c>
      <c r="S22" s="23" t="s">
        <v>140</v>
      </c>
      <c r="T22" s="23" t="s">
        <v>140</v>
      </c>
      <c r="U22" s="24"/>
    </row>
    <row r="23" customFormat="false" ht="26.85" hidden="false" customHeight="false" outlineLevel="0" collapsed="false">
      <c r="A23" s="23" t="n">
        <v>22</v>
      </c>
      <c r="B23" s="30" t="s">
        <v>1824</v>
      </c>
      <c r="C23" s="24" t="s">
        <v>7625</v>
      </c>
      <c r="D23" s="24" t="s">
        <v>1742</v>
      </c>
      <c r="E23" s="24" t="s">
        <v>7626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692</v>
      </c>
      <c r="I23" s="23" t="n">
        <f aca="false">ROUND(H23/60,1)</f>
        <v>11.5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7627</v>
      </c>
      <c r="M23" s="24" t="s">
        <v>7628</v>
      </c>
      <c r="N23" s="24" t="s">
        <v>7629</v>
      </c>
      <c r="O23" s="24"/>
      <c r="P23" s="26" t="n">
        <f aca="false">_xlfn.MAXIFS(A타입_제작표!$U$2:$U$799,A타입_제작표!$G$2:$G$799,B23)</f>
        <v>46698</v>
      </c>
      <c r="Q23" s="23" t="s">
        <v>140</v>
      </c>
      <c r="R23" s="23" t="s">
        <v>140</v>
      </c>
      <c r="S23" s="23" t="s">
        <v>140</v>
      </c>
      <c r="T23" s="23" t="s">
        <v>140</v>
      </c>
      <c r="U23" s="24"/>
    </row>
    <row r="24" customFormat="false" ht="26.85" hidden="false" customHeight="false" outlineLevel="0" collapsed="false">
      <c r="A24" s="23" t="n">
        <v>23</v>
      </c>
      <c r="B24" s="30" t="s">
        <v>1923</v>
      </c>
      <c r="C24" s="24" t="s">
        <v>7630</v>
      </c>
      <c r="D24" s="24" t="s">
        <v>7631</v>
      </c>
      <c r="E24" s="24" t="s">
        <v>7632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536</v>
      </c>
      <c r="I24" s="23" t="n">
        <f aca="false">ROUND(H24/60,1)</f>
        <v>8.9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7144</v>
      </c>
      <c r="M24" s="24" t="s">
        <v>7633</v>
      </c>
      <c r="N24" s="24" t="s">
        <v>7634</v>
      </c>
      <c r="O24" s="24"/>
      <c r="P24" s="26" t="n">
        <f aca="false">_xlfn.MAXIFS(A타입_제작표!$U$2:$U$799,A타입_제작표!$G$2:$G$799,B24)</f>
        <v>46700</v>
      </c>
      <c r="Q24" s="23" t="s">
        <v>140</v>
      </c>
      <c r="R24" s="23" t="s">
        <v>140</v>
      </c>
      <c r="S24" s="23" t="s">
        <v>140</v>
      </c>
      <c r="T24" s="23" t="s">
        <v>140</v>
      </c>
      <c r="U24" s="24"/>
    </row>
    <row r="25" customFormat="false" ht="26.85" hidden="false" customHeight="false" outlineLevel="0" collapsed="false">
      <c r="A25" s="23" t="n">
        <v>24</v>
      </c>
      <c r="B25" s="30" t="s">
        <v>1998</v>
      </c>
      <c r="C25" s="24" t="s">
        <v>7635</v>
      </c>
      <c r="D25" s="24" t="s">
        <v>1972</v>
      </c>
      <c r="E25" s="24" t="s">
        <v>7636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588</v>
      </c>
      <c r="I25" s="23" t="n">
        <f aca="false">ROUND(H25/60,1)</f>
        <v>9.8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7637</v>
      </c>
      <c r="M25" s="24" t="s">
        <v>7638</v>
      </c>
      <c r="N25" s="24" t="s">
        <v>7639</v>
      </c>
      <c r="O25" s="24"/>
      <c r="P25" s="26" t="n">
        <f aca="false">_xlfn.MAXIFS(A타입_제작표!$U$2:$U$799,A타입_제작표!$G$2:$G$799,B25)</f>
        <v>46705</v>
      </c>
      <c r="Q25" s="23" t="s">
        <v>140</v>
      </c>
      <c r="R25" s="23" t="s">
        <v>140</v>
      </c>
      <c r="S25" s="23" t="s">
        <v>140</v>
      </c>
      <c r="T25" s="23" t="s">
        <v>140</v>
      </c>
      <c r="U25" s="24"/>
    </row>
    <row r="26" customFormat="false" ht="26.85" hidden="false" customHeight="false" outlineLevel="0" collapsed="false">
      <c r="A26" s="23" t="n">
        <v>25</v>
      </c>
      <c r="B26" s="30" t="s">
        <v>2074</v>
      </c>
      <c r="C26" s="24" t="s">
        <v>7640</v>
      </c>
      <c r="D26" s="24" t="s">
        <v>1972</v>
      </c>
      <c r="E26" s="24" t="s">
        <v>7641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640</v>
      </c>
      <c r="I26" s="23" t="n">
        <f aca="false">ROUND(H26/60,1)</f>
        <v>10.7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7150</v>
      </c>
      <c r="M26" s="24" t="s">
        <v>7642</v>
      </c>
      <c r="N26" s="24" t="s">
        <v>7643</v>
      </c>
      <c r="O26" s="24"/>
      <c r="P26" s="26" t="n">
        <f aca="false">_xlfn.MAXIFS(A타입_제작표!$U$2:$U$799,A타입_제작표!$G$2:$G$799,B26)</f>
        <v>46709</v>
      </c>
      <c r="Q26" s="23" t="s">
        <v>140</v>
      </c>
      <c r="R26" s="23" t="s">
        <v>140</v>
      </c>
      <c r="S26" s="23" t="s">
        <v>140</v>
      </c>
      <c r="T26" s="23" t="s">
        <v>140</v>
      </c>
      <c r="U26" s="24"/>
    </row>
    <row r="27" customFormat="false" ht="26.85" hidden="false" customHeight="false" outlineLevel="0" collapsed="false">
      <c r="A27" s="23" t="n">
        <v>26</v>
      </c>
      <c r="B27" s="30" t="s">
        <v>2163</v>
      </c>
      <c r="C27" s="24" t="s">
        <v>7644</v>
      </c>
      <c r="D27" s="24" t="s">
        <v>7645</v>
      </c>
      <c r="E27" s="24" t="s">
        <v>7646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536</v>
      </c>
      <c r="I27" s="23" t="n">
        <f aca="false">ROUND(H27/60,1)</f>
        <v>8.9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7647</v>
      </c>
      <c r="M27" s="24" t="s">
        <v>7648</v>
      </c>
      <c r="N27" s="24" t="s">
        <v>7649</v>
      </c>
      <c r="O27" s="24"/>
      <c r="P27" s="26" t="n">
        <f aca="false">_xlfn.MAXIFS(A타입_제작표!$U$2:$U$799,A타입_제작표!$G$2:$G$799,B27)</f>
        <v>46717</v>
      </c>
      <c r="Q27" s="23" t="s">
        <v>140</v>
      </c>
      <c r="R27" s="23" t="s">
        <v>140</v>
      </c>
      <c r="S27" s="23" t="s">
        <v>140</v>
      </c>
      <c r="T27" s="23" t="s">
        <v>140</v>
      </c>
      <c r="U27" s="24"/>
    </row>
    <row r="28" customFormat="false" ht="26.85" hidden="false" customHeight="false" outlineLevel="0" collapsed="false">
      <c r="A28" s="23" t="n">
        <v>27</v>
      </c>
      <c r="B28" s="30" t="s">
        <v>2232</v>
      </c>
      <c r="C28" s="24" t="s">
        <v>7650</v>
      </c>
      <c r="D28" s="24" t="s">
        <v>2215</v>
      </c>
      <c r="E28" s="24" t="s">
        <v>7651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536</v>
      </c>
      <c r="I28" s="23" t="n">
        <f aca="false">ROUND(H28/60,1)</f>
        <v>8.9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7345</v>
      </c>
      <c r="M28" s="24" t="s">
        <v>7652</v>
      </c>
      <c r="N28" s="24" t="s">
        <v>7653</v>
      </c>
      <c r="O28" s="24"/>
      <c r="P28" s="26" t="n">
        <f aca="false">_xlfn.MAXIFS(A타입_제작표!$U$2:$U$799,A타입_제작표!$G$2:$G$799,B28)</f>
        <v>46722</v>
      </c>
      <c r="Q28" s="23" t="s">
        <v>140</v>
      </c>
      <c r="R28" s="23" t="s">
        <v>140</v>
      </c>
      <c r="S28" s="23" t="s">
        <v>140</v>
      </c>
      <c r="T28" s="23" t="s">
        <v>140</v>
      </c>
      <c r="U28" s="24"/>
    </row>
    <row r="29" customFormat="false" ht="26.85" hidden="false" customHeight="false" outlineLevel="0" collapsed="false">
      <c r="A29" s="23" t="n">
        <v>28</v>
      </c>
      <c r="B29" s="30" t="s">
        <v>2305</v>
      </c>
      <c r="C29" s="24" t="s">
        <v>7654</v>
      </c>
      <c r="D29" s="24" t="s">
        <v>2215</v>
      </c>
      <c r="E29" s="24" t="s">
        <v>7655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692</v>
      </c>
      <c r="I29" s="23" t="n">
        <f aca="false">ROUND(H29/60,1)</f>
        <v>11.5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7156</v>
      </c>
      <c r="M29" s="24" t="s">
        <v>7656</v>
      </c>
      <c r="N29" s="24" t="s">
        <v>7657</v>
      </c>
      <c r="O29" s="24"/>
      <c r="P29" s="26" t="n">
        <f aca="false">_xlfn.MAXIFS(A타입_제작표!$U$2:$U$799,A타입_제작표!$G$2:$G$799,B29)</f>
        <v>46729</v>
      </c>
      <c r="Q29" s="23" t="s">
        <v>140</v>
      </c>
      <c r="R29" s="23" t="s">
        <v>140</v>
      </c>
      <c r="S29" s="23" t="s">
        <v>140</v>
      </c>
      <c r="T29" s="23" t="s">
        <v>140</v>
      </c>
      <c r="U29" s="24"/>
    </row>
    <row r="30" customFormat="false" ht="26.85" hidden="false" customHeight="false" outlineLevel="0" collapsed="false">
      <c r="A30" s="23" t="n">
        <v>29</v>
      </c>
      <c r="B30" s="30" t="s">
        <v>2405</v>
      </c>
      <c r="C30" s="24" t="s">
        <v>7658</v>
      </c>
      <c r="D30" s="24" t="s">
        <v>2407</v>
      </c>
      <c r="E30" s="24" t="s">
        <v>7659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640</v>
      </c>
      <c r="I30" s="23" t="n">
        <f aca="false">ROUND(H30/60,1)</f>
        <v>10.7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7351</v>
      </c>
      <c r="M30" s="24" t="s">
        <v>7660</v>
      </c>
      <c r="N30" s="24" t="s">
        <v>7661</v>
      </c>
      <c r="O30" s="24"/>
      <c r="P30" s="26" t="n">
        <f aca="false">_xlfn.MAXIFS(A타입_제작표!$U$2:$U$799,A타입_제작표!$G$2:$G$799,B30)</f>
        <v>46734</v>
      </c>
      <c r="Q30" s="23" t="s">
        <v>140</v>
      </c>
      <c r="R30" s="23" t="s">
        <v>140</v>
      </c>
      <c r="S30" s="23" t="s">
        <v>140</v>
      </c>
      <c r="T30" s="23" t="s">
        <v>140</v>
      </c>
      <c r="U30" s="24"/>
    </row>
    <row r="31" customFormat="false" ht="26.85" hidden="false" customHeight="false" outlineLevel="0" collapsed="false">
      <c r="A31" s="23" t="n">
        <v>30</v>
      </c>
      <c r="B31" s="30" t="s">
        <v>2493</v>
      </c>
      <c r="C31" s="24" t="s">
        <v>7662</v>
      </c>
      <c r="D31" s="24" t="s">
        <v>2407</v>
      </c>
      <c r="E31" s="24" t="s">
        <v>7663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536</v>
      </c>
      <c r="I31" s="23" t="n">
        <f aca="false">ROUND(H31/60,1)</f>
        <v>8.9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7162</v>
      </c>
      <c r="M31" s="24" t="s">
        <v>7664</v>
      </c>
      <c r="N31" s="24" t="s">
        <v>7665</v>
      </c>
      <c r="O31" s="24"/>
      <c r="P31" s="26" t="n">
        <f aca="false">_xlfn.MAXIFS(A타입_제작표!$U$2:$U$799,A타입_제작표!$G$2:$G$799,B31)</f>
        <v>46737</v>
      </c>
      <c r="Q31" s="23" t="s">
        <v>140</v>
      </c>
      <c r="R31" s="23" t="s">
        <v>140</v>
      </c>
      <c r="S31" s="23" t="s">
        <v>140</v>
      </c>
      <c r="T31" s="23" t="s">
        <v>140</v>
      </c>
      <c r="U31" s="24"/>
    </row>
    <row r="32" customFormat="false" ht="26.85" hidden="false" customHeight="false" outlineLevel="0" collapsed="false">
      <c r="A32" s="23" t="n">
        <v>31</v>
      </c>
      <c r="B32" s="30" t="s">
        <v>2561</v>
      </c>
      <c r="C32" s="24" t="s">
        <v>7666</v>
      </c>
      <c r="D32" s="24" t="s">
        <v>7667</v>
      </c>
      <c r="E32" s="24" t="s">
        <v>7668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536</v>
      </c>
      <c r="I32" s="23" t="n">
        <f aca="false">ROUND(H32/60,1)</f>
        <v>8.9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7357</v>
      </c>
      <c r="M32" s="24" t="s">
        <v>7669</v>
      </c>
      <c r="N32" s="24" t="s">
        <v>7670</v>
      </c>
      <c r="O32" s="24"/>
      <c r="P32" s="26" t="n">
        <f aca="false">_xlfn.MAXIFS(A타입_제작표!$U$2:$U$799,A타입_제작표!$G$2:$G$799,B32)</f>
        <v>46742</v>
      </c>
      <c r="Q32" s="23" t="s">
        <v>140</v>
      </c>
      <c r="R32" s="23" t="s">
        <v>140</v>
      </c>
      <c r="S32" s="23" t="s">
        <v>140</v>
      </c>
      <c r="T32" s="23" t="s">
        <v>140</v>
      </c>
      <c r="U32" s="24"/>
    </row>
    <row r="33" customFormat="false" ht="26.85" hidden="false" customHeight="false" outlineLevel="0" collapsed="false">
      <c r="A33" s="23" t="n">
        <v>32</v>
      </c>
      <c r="B33" s="30" t="s">
        <v>2636</v>
      </c>
      <c r="C33" s="24" t="s">
        <v>7671</v>
      </c>
      <c r="D33" s="24" t="s">
        <v>2606</v>
      </c>
      <c r="E33" s="24" t="s">
        <v>7672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640</v>
      </c>
      <c r="I33" s="23" t="n">
        <f aca="false">ROUND(H33/60,1)</f>
        <v>10.7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7168</v>
      </c>
      <c r="M33" s="24" t="s">
        <v>7673</v>
      </c>
      <c r="N33" s="24" t="s">
        <v>7674</v>
      </c>
      <c r="O33" s="24"/>
      <c r="P33" s="26" t="n">
        <f aca="false">_xlfn.MAXIFS(A타입_제작표!$U$2:$U$799,A타입_제작표!$G$2:$G$799,B33)</f>
        <v>46748</v>
      </c>
      <c r="Q33" s="23" t="s">
        <v>140</v>
      </c>
      <c r="R33" s="23" t="s">
        <v>140</v>
      </c>
      <c r="S33" s="23" t="s">
        <v>140</v>
      </c>
      <c r="T33" s="23" t="s">
        <v>140</v>
      </c>
      <c r="U33" s="24"/>
    </row>
    <row r="34" customFormat="false" ht="26.85" hidden="false" customHeight="false" outlineLevel="0" collapsed="false">
      <c r="A34" s="23" t="n">
        <v>33</v>
      </c>
      <c r="B34" s="30" t="s">
        <v>2726</v>
      </c>
      <c r="C34" s="24" t="s">
        <v>2780</v>
      </c>
      <c r="D34" s="24" t="s">
        <v>2606</v>
      </c>
      <c r="E34" s="24" t="s">
        <v>7675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484</v>
      </c>
      <c r="I34" s="23" t="n">
        <f aca="false">ROUND(H34/60,1)</f>
        <v>8.1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7363</v>
      </c>
      <c r="M34" s="24" t="s">
        <v>7676</v>
      </c>
      <c r="N34" s="24" t="s">
        <v>7677</v>
      </c>
      <c r="O34" s="24"/>
      <c r="P34" s="26" t="n">
        <f aca="false">_xlfn.MAXIFS(A타입_제작표!$U$2:$U$799,A타입_제작표!$G$2:$G$799,B34)</f>
        <v>46753</v>
      </c>
      <c r="Q34" s="23" t="s">
        <v>140</v>
      </c>
      <c r="R34" s="23" t="s">
        <v>140</v>
      </c>
      <c r="S34" s="23" t="s">
        <v>140</v>
      </c>
      <c r="T34" s="23" t="s">
        <v>140</v>
      </c>
      <c r="U34" s="24"/>
    </row>
    <row r="35" customFormat="false" ht="26.85" hidden="false" customHeight="false" outlineLevel="0" collapsed="false">
      <c r="A35" s="23" t="n">
        <v>34</v>
      </c>
      <c r="B35" s="30" t="s">
        <v>2788</v>
      </c>
      <c r="C35" s="24" t="s">
        <v>7678</v>
      </c>
      <c r="D35" s="24" t="s">
        <v>2606</v>
      </c>
      <c r="E35" s="24" t="s">
        <v>7679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536</v>
      </c>
      <c r="I35" s="23" t="n">
        <f aca="false">ROUND(H35/60,1)</f>
        <v>8.9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7680</v>
      </c>
      <c r="M35" s="24" t="s">
        <v>7681</v>
      </c>
      <c r="N35" s="24" t="s">
        <v>7682</v>
      </c>
      <c r="O35" s="24"/>
      <c r="P35" s="26" t="n">
        <f aca="false">_xlfn.MAXIFS(A타입_제작표!$U$2:$U$799,A타입_제작표!$G$2:$G$799,B35)</f>
        <v>46758</v>
      </c>
      <c r="Q35" s="23" t="s">
        <v>140</v>
      </c>
      <c r="R35" s="23" t="s">
        <v>140</v>
      </c>
      <c r="S35" s="23" t="s">
        <v>140</v>
      </c>
      <c r="T35" s="23" t="s">
        <v>140</v>
      </c>
      <c r="U35" s="24"/>
    </row>
    <row r="36" customFormat="false" ht="26.85" hidden="false" customHeight="false" outlineLevel="0" collapsed="false">
      <c r="A36" s="23" t="n">
        <v>35</v>
      </c>
      <c r="B36" s="30" t="s">
        <v>2860</v>
      </c>
      <c r="C36" s="24" t="s">
        <v>7366</v>
      </c>
      <c r="D36" s="24" t="s">
        <v>2862</v>
      </c>
      <c r="E36" s="24" t="s">
        <v>7367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484</v>
      </c>
      <c r="I36" s="23" t="n">
        <f aca="false">ROUND(H36/60,1)</f>
        <v>8.1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7368</v>
      </c>
      <c r="M36" s="24" t="s">
        <v>7369</v>
      </c>
      <c r="N36" s="24" t="s">
        <v>7370</v>
      </c>
      <c r="O36" s="24"/>
      <c r="P36" s="26" t="n">
        <f aca="false">_xlfn.MAXIFS(A타입_제작표!$U$2:$U$799,A타입_제작표!$G$2:$G$799,B36)</f>
        <v>46765</v>
      </c>
      <c r="Q36" s="23" t="s">
        <v>140</v>
      </c>
      <c r="R36" s="23" t="s">
        <v>140</v>
      </c>
      <c r="S36" s="23" t="s">
        <v>140</v>
      </c>
      <c r="T36" s="23" t="s">
        <v>140</v>
      </c>
      <c r="U36" s="24"/>
    </row>
    <row r="37" customFormat="false" ht="26.85" hidden="false" customHeight="false" outlineLevel="0" collapsed="false">
      <c r="A37" s="23" t="n">
        <v>36</v>
      </c>
      <c r="B37" s="30" t="s">
        <v>2920</v>
      </c>
      <c r="C37" s="24" t="s">
        <v>7683</v>
      </c>
      <c r="D37" s="24" t="s">
        <v>2922</v>
      </c>
      <c r="E37" s="24" t="s">
        <v>7684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536</v>
      </c>
      <c r="I37" s="23" t="n">
        <f aca="false">ROUND(H37/60,1)</f>
        <v>8.9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7174</v>
      </c>
      <c r="M37" s="24" t="s">
        <v>7685</v>
      </c>
      <c r="N37" s="24" t="s">
        <v>7686</v>
      </c>
      <c r="O37" s="24"/>
      <c r="P37" s="26" t="n">
        <f aca="false">_xlfn.MAXIFS(A타입_제작표!$U$2:$U$799,A타입_제작표!$G$2:$G$799,B37)</f>
        <v>46771</v>
      </c>
      <c r="Q37" s="23" t="s">
        <v>140</v>
      </c>
      <c r="R37" s="23" t="s">
        <v>140</v>
      </c>
      <c r="S37" s="23" t="s">
        <v>140</v>
      </c>
      <c r="T37" s="23" t="s">
        <v>140</v>
      </c>
      <c r="U37" s="24"/>
    </row>
    <row r="38" customFormat="false" ht="26.85" hidden="false" customHeight="false" outlineLevel="0" collapsed="false">
      <c r="A38" s="23" t="n">
        <v>37</v>
      </c>
      <c r="B38" s="30" t="s">
        <v>2989</v>
      </c>
      <c r="C38" s="24" t="s">
        <v>7687</v>
      </c>
      <c r="D38" s="24" t="s">
        <v>2990</v>
      </c>
      <c r="E38" s="24" t="s">
        <v>7688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536</v>
      </c>
      <c r="I38" s="23" t="n">
        <f aca="false">ROUND(H38/60,1)</f>
        <v>8.9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7689</v>
      </c>
      <c r="M38" s="24" t="s">
        <v>7690</v>
      </c>
      <c r="N38" s="24" t="s">
        <v>7691</v>
      </c>
      <c r="O38" s="24"/>
      <c r="P38" s="26" t="n">
        <f aca="false">_xlfn.MAXIFS(A타입_제작표!$U$2:$U$799,A타입_제작표!$G$2:$G$799,B38)</f>
        <v>46777</v>
      </c>
      <c r="Q38" s="23" t="s">
        <v>140</v>
      </c>
      <c r="R38" s="23" t="s">
        <v>140</v>
      </c>
      <c r="S38" s="23" t="s">
        <v>140</v>
      </c>
      <c r="T38" s="23" t="s">
        <v>140</v>
      </c>
      <c r="U38" s="24"/>
    </row>
    <row r="39" customFormat="false" ht="26.85" hidden="false" customHeight="false" outlineLevel="0" collapsed="false">
      <c r="A39" s="23" t="n">
        <v>38</v>
      </c>
      <c r="B39" s="30" t="s">
        <v>3059</v>
      </c>
      <c r="C39" s="24" t="s">
        <v>7692</v>
      </c>
      <c r="D39" s="24" t="s">
        <v>3060</v>
      </c>
      <c r="E39" s="24" t="s">
        <v>7693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588</v>
      </c>
      <c r="I39" s="23" t="n">
        <f aca="false">ROUND(H39/60,1)</f>
        <v>9.8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7378</v>
      </c>
      <c r="M39" s="24" t="s">
        <v>7694</v>
      </c>
      <c r="N39" s="24" t="s">
        <v>7695</v>
      </c>
      <c r="O39" s="24"/>
      <c r="P39" s="26" t="n">
        <f aca="false">_xlfn.MAXIFS(A타입_제작표!$U$2:$U$799,A타입_제작표!$G$2:$G$799,B39)</f>
        <v>46782</v>
      </c>
      <c r="Q39" s="23" t="s">
        <v>140</v>
      </c>
      <c r="R39" s="23" t="s">
        <v>140</v>
      </c>
      <c r="S39" s="23" t="s">
        <v>140</v>
      </c>
      <c r="T39" s="23" t="s">
        <v>140</v>
      </c>
      <c r="U39" s="24"/>
    </row>
    <row r="40" customFormat="false" ht="26.85" hidden="false" customHeight="false" outlineLevel="0" collapsed="false">
      <c r="A40" s="23" t="n">
        <v>39</v>
      </c>
      <c r="B40" s="30" t="s">
        <v>3139</v>
      </c>
      <c r="C40" s="24" t="s">
        <v>7696</v>
      </c>
      <c r="D40" s="24" t="s">
        <v>3140</v>
      </c>
      <c r="E40" s="24" t="s">
        <v>7697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640</v>
      </c>
      <c r="I40" s="23" t="n">
        <f aca="false">ROUND(H40/60,1)</f>
        <v>10.7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7180</v>
      </c>
      <c r="M40" s="24" t="s">
        <v>7698</v>
      </c>
      <c r="N40" s="24" t="s">
        <v>7699</v>
      </c>
      <c r="O40" s="24"/>
      <c r="P40" s="26" t="n">
        <f aca="false">_xlfn.MAXIFS(A타입_제작표!$U$2:$U$799,A타입_제작표!$G$2:$G$799,B40)</f>
        <v>46787</v>
      </c>
      <c r="Q40" s="23" t="s">
        <v>140</v>
      </c>
      <c r="R40" s="23" t="s">
        <v>140</v>
      </c>
      <c r="S40" s="23" t="s">
        <v>140</v>
      </c>
      <c r="T40" s="23" t="s">
        <v>140</v>
      </c>
      <c r="U40" s="24"/>
    </row>
    <row r="41" customFormat="false" ht="26.85" hidden="false" customHeight="false" outlineLevel="0" collapsed="false">
      <c r="A41" s="23" t="n">
        <v>40</v>
      </c>
      <c r="B41" s="30" t="s">
        <v>3228</v>
      </c>
      <c r="C41" s="24" t="s">
        <v>7700</v>
      </c>
      <c r="D41" s="24" t="s">
        <v>3229</v>
      </c>
      <c r="E41" s="24" t="s">
        <v>7701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692</v>
      </c>
      <c r="I41" s="23" t="n">
        <f aca="false">ROUND(H41/60,1)</f>
        <v>11.5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24" t="s">
        <v>7384</v>
      </c>
      <c r="M41" s="29" t="s">
        <v>7702</v>
      </c>
      <c r="N41" s="24" t="s">
        <v>7703</v>
      </c>
      <c r="O41" s="24"/>
      <c r="P41" s="26" t="n">
        <f aca="false">_xlfn.MAXIFS(A타입_제작표!$U$2:$U$799,A타입_제작표!$G$2:$G$799,B41)</f>
        <v>46793</v>
      </c>
      <c r="Q41" s="23" t="s">
        <v>140</v>
      </c>
      <c r="R41" s="23" t="s">
        <v>140</v>
      </c>
      <c r="S41" s="23" t="s">
        <v>140</v>
      </c>
      <c r="T41" s="23" t="s">
        <v>140</v>
      </c>
      <c r="U41" s="24"/>
    </row>
    <row r="42" customFormat="false" ht="26.85" hidden="false" customHeight="false" outlineLevel="0" collapsed="false">
      <c r="A42" s="23" t="n">
        <v>41</v>
      </c>
      <c r="B42" s="30" t="s">
        <v>3328</v>
      </c>
      <c r="C42" s="24" t="s">
        <v>7704</v>
      </c>
      <c r="D42" s="24" t="s">
        <v>3330</v>
      </c>
      <c r="E42" s="24" t="s">
        <v>7705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536</v>
      </c>
      <c r="I42" s="23" t="n">
        <f aca="false">ROUND(H42/60,1)</f>
        <v>8.9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7186</v>
      </c>
      <c r="M42" s="24" t="s">
        <v>7706</v>
      </c>
      <c r="N42" s="24" t="s">
        <v>7707</v>
      </c>
      <c r="O42" s="24"/>
      <c r="P42" s="26" t="n">
        <f aca="false">_xlfn.MAXIFS(A타입_제작표!$U$2:$U$799,A타입_제작표!$G$2:$G$799,B42)</f>
        <v>46798</v>
      </c>
      <c r="Q42" s="23" t="s">
        <v>140</v>
      </c>
      <c r="R42" s="23" t="s">
        <v>140</v>
      </c>
      <c r="S42" s="23" t="s">
        <v>140</v>
      </c>
      <c r="T42" s="23" t="s">
        <v>140</v>
      </c>
      <c r="U42" s="24"/>
    </row>
    <row r="43" customFormat="false" ht="26.85" hidden="false" customHeight="false" outlineLevel="0" collapsed="false">
      <c r="A43" s="23" t="n">
        <v>42</v>
      </c>
      <c r="B43" s="30" t="s">
        <v>3398</v>
      </c>
      <c r="C43" s="24" t="s">
        <v>7387</v>
      </c>
      <c r="D43" s="24" t="s">
        <v>3330</v>
      </c>
      <c r="E43" s="24" t="s">
        <v>7388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536</v>
      </c>
      <c r="I43" s="23" t="n">
        <f aca="false">ROUND(H43/60,1)</f>
        <v>8.9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24" t="s">
        <v>7389</v>
      </c>
      <c r="M43" s="29" t="s">
        <v>7390</v>
      </c>
      <c r="N43" s="24" t="s">
        <v>7391</v>
      </c>
      <c r="O43" s="24"/>
      <c r="P43" s="26" t="n">
        <f aca="false">_xlfn.MAXIFS(A타입_제작표!$U$2:$U$799,A타입_제작표!$G$2:$G$799,B43)</f>
        <v>46805</v>
      </c>
      <c r="Q43" s="23" t="s">
        <v>140</v>
      </c>
      <c r="R43" s="23" t="s">
        <v>140</v>
      </c>
      <c r="S43" s="23" t="s">
        <v>140</v>
      </c>
      <c r="T43" s="23" t="s">
        <v>140</v>
      </c>
      <c r="U43" s="24"/>
    </row>
    <row r="44" customFormat="false" ht="26.85" hidden="false" customHeight="false" outlineLevel="0" collapsed="false">
      <c r="A44" s="23" t="n">
        <v>43</v>
      </c>
      <c r="B44" s="30" t="s">
        <v>3461</v>
      </c>
      <c r="C44" s="24" t="s">
        <v>7392</v>
      </c>
      <c r="D44" s="24" t="s">
        <v>3330</v>
      </c>
      <c r="E44" s="24" t="s">
        <v>7393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484</v>
      </c>
      <c r="I44" s="23" t="n">
        <f aca="false">ROUND(H44/60,1)</f>
        <v>8.1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7394</v>
      </c>
      <c r="M44" s="24" t="s">
        <v>7395</v>
      </c>
      <c r="N44" s="24" t="s">
        <v>7396</v>
      </c>
      <c r="O44" s="24"/>
      <c r="P44" s="26" t="n">
        <f aca="false">_xlfn.MAXIFS(A타입_제작표!$U$2:$U$799,A타입_제작표!$G$2:$G$799,B44)</f>
        <v>46812</v>
      </c>
      <c r="Q44" s="23" t="s">
        <v>140</v>
      </c>
      <c r="R44" s="23" t="s">
        <v>140</v>
      </c>
      <c r="S44" s="23" t="s">
        <v>140</v>
      </c>
      <c r="T44" s="23" t="s">
        <v>140</v>
      </c>
      <c r="U44" s="24"/>
    </row>
    <row r="45" customFormat="false" ht="26.85" hidden="false" customHeight="false" outlineLevel="0" collapsed="false">
      <c r="A45" s="23" t="n">
        <v>44</v>
      </c>
      <c r="B45" s="30" t="s">
        <v>3515</v>
      </c>
      <c r="C45" s="24" t="s">
        <v>7708</v>
      </c>
      <c r="D45" s="24" t="s">
        <v>3330</v>
      </c>
      <c r="E45" s="24" t="s">
        <v>7709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536</v>
      </c>
      <c r="I45" s="23" t="n">
        <f aca="false">ROUND(H45/60,1)</f>
        <v>8.9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24" t="s">
        <v>7400</v>
      </c>
      <c r="M45" s="29" t="s">
        <v>7710</v>
      </c>
      <c r="N45" s="24" t="s">
        <v>7711</v>
      </c>
      <c r="O45" s="24"/>
      <c r="P45" s="26" t="n">
        <f aca="false">_xlfn.MAXIFS(A타입_제작표!$U$2:$U$799,A타입_제작표!$G$2:$G$799,B45)</f>
        <v>46818</v>
      </c>
      <c r="Q45" s="23" t="s">
        <v>140</v>
      </c>
      <c r="R45" s="23" t="s">
        <v>140</v>
      </c>
      <c r="S45" s="23" t="s">
        <v>140</v>
      </c>
      <c r="T45" s="23" t="s">
        <v>140</v>
      </c>
      <c r="U45" s="24"/>
    </row>
    <row r="46" customFormat="false" ht="26.85" hidden="false" customHeight="false" outlineLevel="0" collapsed="false">
      <c r="A46" s="23" t="n">
        <v>45</v>
      </c>
      <c r="B46" s="30" t="s">
        <v>3582</v>
      </c>
      <c r="C46" s="24" t="s">
        <v>7712</v>
      </c>
      <c r="D46" s="24" t="s">
        <v>3583</v>
      </c>
      <c r="E46" s="24" t="s">
        <v>7713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588</v>
      </c>
      <c r="I46" s="23" t="n">
        <f aca="false">ROUND(H46/60,1)</f>
        <v>9.8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7714</v>
      </c>
      <c r="M46" s="24" t="s">
        <v>7715</v>
      </c>
      <c r="N46" s="24" t="s">
        <v>7716</v>
      </c>
      <c r="O46" s="24"/>
      <c r="P46" s="26" t="n">
        <f aca="false">_xlfn.MAXIFS(A타입_제작표!$U$2:$U$799,A타입_제작표!$G$2:$G$799,B46)</f>
        <v>46826</v>
      </c>
      <c r="Q46" s="23" t="s">
        <v>140</v>
      </c>
      <c r="R46" s="23" t="s">
        <v>140</v>
      </c>
      <c r="S46" s="23" t="s">
        <v>140</v>
      </c>
      <c r="T46" s="23" t="s">
        <v>140</v>
      </c>
      <c r="U46" s="24"/>
    </row>
    <row r="47" customFormat="false" ht="26.85" hidden="false" customHeight="false" outlineLevel="0" collapsed="false">
      <c r="A47" s="23" t="n">
        <v>46</v>
      </c>
      <c r="B47" s="30" t="s">
        <v>3658</v>
      </c>
      <c r="C47" s="24" t="s">
        <v>7403</v>
      </c>
      <c r="D47" s="24" t="s">
        <v>7717</v>
      </c>
      <c r="E47" s="24" t="s">
        <v>7404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536</v>
      </c>
      <c r="I47" s="23" t="n">
        <f aca="false">ROUND(H47/60,1)</f>
        <v>8.9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7192</v>
      </c>
      <c r="M47" s="24" t="s">
        <v>7405</v>
      </c>
      <c r="N47" s="24" t="s">
        <v>7406</v>
      </c>
      <c r="O47" s="24"/>
      <c r="P47" s="26" t="n">
        <f aca="false">_xlfn.MAXIFS(A타입_제작표!$U$2:$U$799,A타입_제작표!$G$2:$G$799,B47)</f>
        <v>46833</v>
      </c>
      <c r="Q47" s="23" t="s">
        <v>140</v>
      </c>
      <c r="R47" s="23" t="s">
        <v>140</v>
      </c>
      <c r="S47" s="23" t="s">
        <v>140</v>
      </c>
      <c r="T47" s="23" t="s">
        <v>140</v>
      </c>
      <c r="U47" s="24"/>
    </row>
    <row r="48" customFormat="false" ht="26.85" hidden="false" customHeight="false" outlineLevel="0" collapsed="false">
      <c r="A48" s="23" t="n">
        <v>47</v>
      </c>
      <c r="B48" s="30" t="s">
        <v>3728</v>
      </c>
      <c r="C48" s="24" t="s">
        <v>7718</v>
      </c>
      <c r="D48" s="24" t="s">
        <v>3730</v>
      </c>
      <c r="E48" s="24" t="s">
        <v>7719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536</v>
      </c>
      <c r="I48" s="23" t="n">
        <f aca="false">ROUND(H48/60,1)</f>
        <v>8.9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7410</v>
      </c>
      <c r="M48" s="24" t="s">
        <v>7720</v>
      </c>
      <c r="N48" s="24" t="s">
        <v>7721</v>
      </c>
      <c r="O48" s="24"/>
      <c r="P48" s="26" t="n">
        <f aca="false">_xlfn.MAXIFS(A타입_제작표!$U$2:$U$799,A타입_제작표!$G$2:$G$799,B48)</f>
        <v>46838</v>
      </c>
      <c r="Q48" s="23" t="s">
        <v>140</v>
      </c>
      <c r="R48" s="23" t="s">
        <v>140</v>
      </c>
      <c r="S48" s="23" t="s">
        <v>140</v>
      </c>
      <c r="T48" s="23" t="s">
        <v>140</v>
      </c>
      <c r="U48" s="24"/>
    </row>
    <row r="49" customFormat="false" ht="26.85" hidden="false" customHeight="false" outlineLevel="0" collapsed="false">
      <c r="A49" s="23" t="n">
        <v>48</v>
      </c>
      <c r="B49" s="30" t="s">
        <v>3799</v>
      </c>
      <c r="C49" s="24" t="s">
        <v>7722</v>
      </c>
      <c r="D49" s="24" t="s">
        <v>3730</v>
      </c>
      <c r="E49" s="24" t="s">
        <v>7723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536</v>
      </c>
      <c r="I49" s="23" t="n">
        <f aca="false">ROUND(H49/60,1)</f>
        <v>8.9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7724</v>
      </c>
      <c r="M49" s="24" t="s">
        <v>7725</v>
      </c>
      <c r="N49" s="24" t="s">
        <v>7726</v>
      </c>
      <c r="O49" s="24"/>
      <c r="P49" s="26" t="n">
        <f aca="false">_xlfn.MAXIFS(A타입_제작표!$U$2:$U$799,A타입_제작표!$G$2:$G$799,B49)</f>
        <v>46845</v>
      </c>
      <c r="Q49" s="23" t="s">
        <v>140</v>
      </c>
      <c r="R49" s="23" t="s">
        <v>140</v>
      </c>
      <c r="S49" s="23" t="s">
        <v>140</v>
      </c>
      <c r="T49" s="23" t="s">
        <v>140</v>
      </c>
      <c r="U49" s="24"/>
    </row>
    <row r="50" customFormat="false" ht="26.85" hidden="false" customHeight="false" outlineLevel="0" collapsed="false">
      <c r="A50" s="23" t="n">
        <v>49</v>
      </c>
      <c r="B50" s="30" t="s">
        <v>3864</v>
      </c>
      <c r="C50" s="24" t="s">
        <v>7413</v>
      </c>
      <c r="D50" s="24" t="s">
        <v>3730</v>
      </c>
      <c r="E50" s="24" t="s">
        <v>7414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640</v>
      </c>
      <c r="I50" s="23" t="n">
        <f aca="false">ROUND(H50/60,1)</f>
        <v>10.7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7415</v>
      </c>
      <c r="M50" s="24" t="s">
        <v>7416</v>
      </c>
      <c r="N50" s="24" t="s">
        <v>7417</v>
      </c>
      <c r="O50" s="24"/>
      <c r="P50" s="26" t="n">
        <f aca="false">_xlfn.MAXIFS(A타입_제작표!$U$2:$U$799,A타입_제작표!$G$2:$G$799,B50)</f>
        <v>46854</v>
      </c>
      <c r="Q50" s="23" t="s">
        <v>140</v>
      </c>
      <c r="R50" s="23" t="s">
        <v>140</v>
      </c>
      <c r="S50" s="23" t="s">
        <v>140</v>
      </c>
      <c r="T50" s="23" t="s">
        <v>140</v>
      </c>
      <c r="U50" s="24"/>
    </row>
    <row r="51" customFormat="false" ht="26.85" hidden="false" customHeight="false" outlineLevel="0" collapsed="false">
      <c r="A51" s="23" t="n">
        <v>50</v>
      </c>
      <c r="B51" s="30" t="s">
        <v>3949</v>
      </c>
      <c r="C51" s="24" t="s">
        <v>7418</v>
      </c>
      <c r="D51" s="24" t="s">
        <v>3950</v>
      </c>
      <c r="E51" s="24" t="s">
        <v>7727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640</v>
      </c>
      <c r="I51" s="23" t="n">
        <f aca="false">ROUND(H51/60,1)</f>
        <v>10.7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7420</v>
      </c>
      <c r="M51" s="24" t="s">
        <v>7421</v>
      </c>
      <c r="N51" s="24" t="s">
        <v>7422</v>
      </c>
      <c r="O51" s="24"/>
      <c r="P51" s="26" t="n">
        <f aca="false">_xlfn.MAXIFS(A타입_제작표!$U$2:$U$799,A타입_제작표!$G$2:$G$799,B51)</f>
        <v>46862</v>
      </c>
      <c r="Q51" s="23" t="s">
        <v>140</v>
      </c>
      <c r="R51" s="23" t="s">
        <v>140</v>
      </c>
      <c r="S51" s="23" t="s">
        <v>140</v>
      </c>
      <c r="T51" s="23" t="s">
        <v>140</v>
      </c>
      <c r="U51" s="24"/>
    </row>
    <row r="52" customFormat="false" ht="26.85" hidden="false" customHeight="false" outlineLevel="0" collapsed="false">
      <c r="A52" s="23" t="n">
        <v>51</v>
      </c>
      <c r="B52" s="30" t="s">
        <v>4031</v>
      </c>
      <c r="C52" s="24" t="s">
        <v>7423</v>
      </c>
      <c r="D52" s="24" t="s">
        <v>7728</v>
      </c>
      <c r="E52" s="24" t="s">
        <v>7424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796</v>
      </c>
      <c r="I52" s="23" t="n">
        <f aca="false">ROUND(H52/60,1)</f>
        <v>13.3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7198</v>
      </c>
      <c r="M52" s="24" t="s">
        <v>7425</v>
      </c>
      <c r="N52" s="24" t="s">
        <v>7426</v>
      </c>
      <c r="O52" s="24"/>
      <c r="P52" s="26" t="n">
        <f aca="false">_xlfn.MAXIFS(A타입_제작표!$U$2:$U$799,A타입_제작표!$G$2:$G$799,B52)</f>
        <v>46872</v>
      </c>
      <c r="Q52" s="23" t="s">
        <v>140</v>
      </c>
      <c r="R52" s="23" t="s">
        <v>140</v>
      </c>
      <c r="S52" s="23" t="s">
        <v>140</v>
      </c>
      <c r="T52" s="23" t="s">
        <v>140</v>
      </c>
      <c r="U52" s="24"/>
    </row>
    <row r="53" customFormat="false" ht="26.85" hidden="false" customHeight="false" outlineLevel="0" collapsed="false">
      <c r="A53" s="23" t="n">
        <v>52</v>
      </c>
      <c r="B53" s="30" t="s">
        <v>4145</v>
      </c>
      <c r="C53" s="24" t="s">
        <v>7427</v>
      </c>
      <c r="D53" s="24" t="s">
        <v>4147</v>
      </c>
      <c r="E53" s="24" t="s">
        <v>7428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848</v>
      </c>
      <c r="I53" s="23" t="n">
        <f aca="false">ROUND(H53/60,1)</f>
        <v>14.1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7429</v>
      </c>
      <c r="M53" s="24" t="s">
        <v>7430</v>
      </c>
      <c r="N53" s="24" t="s">
        <v>7431</v>
      </c>
      <c r="O53" s="24"/>
      <c r="P53" s="26" t="n">
        <f aca="false">_xlfn.MAXIFS(A타입_제작표!$U$2:$U$799,A타입_제작표!$G$2:$G$799,B53)</f>
        <v>46885</v>
      </c>
      <c r="Q53" s="23" t="s">
        <v>140</v>
      </c>
      <c r="R53" s="23" t="s">
        <v>140</v>
      </c>
      <c r="S53" s="23" t="s">
        <v>140</v>
      </c>
      <c r="T53" s="23" t="s">
        <v>140</v>
      </c>
      <c r="U53" s="24"/>
    </row>
    <row r="54" customFormat="false" ht="26.85" hidden="false" customHeight="false" outlineLevel="0" collapsed="false">
      <c r="A54" s="23" t="n">
        <v>53</v>
      </c>
      <c r="B54" s="30" t="s">
        <v>4259</v>
      </c>
      <c r="C54" s="24" t="s">
        <v>7729</v>
      </c>
      <c r="D54" s="24" t="s">
        <v>4260</v>
      </c>
      <c r="E54" s="24" t="s">
        <v>7730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796</v>
      </c>
      <c r="I54" s="23" t="n">
        <f aca="false">ROUND(H54/60,1)</f>
        <v>13.3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7435</v>
      </c>
      <c r="M54" s="24" t="s">
        <v>7731</v>
      </c>
      <c r="N54" s="24" t="s">
        <v>7732</v>
      </c>
      <c r="O54" s="24"/>
      <c r="P54" s="26" t="n">
        <f aca="false">_xlfn.MAXIFS(A타입_제작표!$U$2:$U$799,A타입_제작표!$G$2:$G$799,B54)</f>
        <v>46891</v>
      </c>
      <c r="Q54" s="23" t="s">
        <v>140</v>
      </c>
      <c r="R54" s="23" t="s">
        <v>140</v>
      </c>
      <c r="S54" s="23" t="s">
        <v>140</v>
      </c>
      <c r="T54" s="23" t="s">
        <v>140</v>
      </c>
      <c r="U54" s="24"/>
    </row>
    <row r="55" customFormat="false" ht="26.85" hidden="false" customHeight="false" outlineLevel="0" collapsed="false">
      <c r="A55" s="23" t="n">
        <v>54</v>
      </c>
      <c r="B55" s="30" t="s">
        <v>4372</v>
      </c>
      <c r="C55" s="24" t="s">
        <v>7438</v>
      </c>
      <c r="D55" s="24" t="s">
        <v>7733</v>
      </c>
      <c r="E55" s="24" t="s">
        <v>7734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692</v>
      </c>
      <c r="I55" s="23" t="n">
        <f aca="false">ROUND(H55/60,1)</f>
        <v>11.5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7440</v>
      </c>
      <c r="M55" s="24" t="s">
        <v>7441</v>
      </c>
      <c r="N55" s="24" t="s">
        <v>7442</v>
      </c>
      <c r="O55" s="24"/>
      <c r="P55" s="26" t="n">
        <f aca="false">_xlfn.MAXIFS(A타입_제작표!$U$2:$U$799,A타입_제작표!$G$2:$G$799,B55)</f>
        <v>46902</v>
      </c>
      <c r="Q55" s="23" t="s">
        <v>140</v>
      </c>
      <c r="R55" s="23" t="s">
        <v>140</v>
      </c>
      <c r="S55" s="23" t="s">
        <v>140</v>
      </c>
      <c r="T55" s="23" t="s">
        <v>140</v>
      </c>
      <c r="U55" s="24"/>
    </row>
    <row r="56" customFormat="false" ht="26.85" hidden="false" customHeight="false" outlineLevel="0" collapsed="false">
      <c r="A56" s="23" t="n">
        <v>55</v>
      </c>
      <c r="B56" s="30" t="s">
        <v>4458</v>
      </c>
      <c r="C56" s="24" t="s">
        <v>7735</v>
      </c>
      <c r="D56" s="24" t="s">
        <v>7736</v>
      </c>
      <c r="E56" s="24" t="s">
        <v>7737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640</v>
      </c>
      <c r="I56" s="23" t="n">
        <f aca="false">ROUND(H56/60,1)</f>
        <v>10.7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7204</v>
      </c>
      <c r="M56" s="24" t="s">
        <v>7738</v>
      </c>
      <c r="N56" s="24" t="s">
        <v>7739</v>
      </c>
      <c r="O56" s="24"/>
      <c r="P56" s="26" t="n">
        <f aca="false">_xlfn.MAXIFS(A타입_제작표!$U$2:$U$799,A타입_제작표!$G$2:$G$799,B56)</f>
        <v>46906</v>
      </c>
      <c r="Q56" s="23" t="s">
        <v>140</v>
      </c>
      <c r="R56" s="23" t="s">
        <v>140</v>
      </c>
      <c r="S56" s="23" t="s">
        <v>140</v>
      </c>
      <c r="T56" s="23" t="s">
        <v>140</v>
      </c>
      <c r="U56" s="24"/>
    </row>
    <row r="57" customFormat="false" ht="26.85" hidden="false" customHeight="false" outlineLevel="0" collapsed="false">
      <c r="A57" s="23" t="n">
        <v>56</v>
      </c>
      <c r="B57" s="30" t="s">
        <v>4546</v>
      </c>
      <c r="C57" s="24" t="s">
        <v>7444</v>
      </c>
      <c r="D57" s="24" t="s">
        <v>7740</v>
      </c>
      <c r="E57" s="24" t="s">
        <v>7741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848</v>
      </c>
      <c r="I57" s="23" t="n">
        <f aca="false">ROUND(H57/60,1)</f>
        <v>14.1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7446</v>
      </c>
      <c r="M57" s="24" t="s">
        <v>7447</v>
      </c>
      <c r="N57" s="24" t="s">
        <v>7448</v>
      </c>
      <c r="O57" s="24"/>
      <c r="P57" s="26" t="n">
        <f aca="false">_xlfn.MAXIFS(A타입_제작표!$U$2:$U$799,A타입_제작표!$G$2:$G$799,B57)</f>
        <v>46918</v>
      </c>
      <c r="Q57" s="23" t="s">
        <v>140</v>
      </c>
      <c r="R57" s="23" t="s">
        <v>140</v>
      </c>
      <c r="S57" s="23" t="s">
        <v>140</v>
      </c>
      <c r="T57" s="23" t="s">
        <v>140</v>
      </c>
      <c r="U57" s="24"/>
    </row>
    <row r="58" customFormat="false" ht="26.85" hidden="false" customHeight="false" outlineLevel="0" collapsed="false">
      <c r="A58" s="23" t="n">
        <v>57</v>
      </c>
      <c r="B58" s="30" t="s">
        <v>4667</v>
      </c>
      <c r="C58" s="24" t="s">
        <v>7742</v>
      </c>
      <c r="D58" s="24" t="s">
        <v>4669</v>
      </c>
      <c r="E58" s="24" t="s">
        <v>7743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536</v>
      </c>
      <c r="I58" s="23" t="n">
        <f aca="false">ROUND(H58/60,1)</f>
        <v>8.9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7210</v>
      </c>
      <c r="M58" s="24" t="s">
        <v>7744</v>
      </c>
      <c r="N58" s="24" t="s">
        <v>7745</v>
      </c>
      <c r="O58" s="24"/>
      <c r="P58" s="26" t="n">
        <f aca="false">_xlfn.MAXIFS(A타입_제작표!$U$2:$U$799,A타입_제작표!$G$2:$G$799,B58)</f>
        <v>46582</v>
      </c>
      <c r="Q58" s="23" t="s">
        <v>140</v>
      </c>
      <c r="R58" s="23" t="s">
        <v>140</v>
      </c>
      <c r="S58" s="23" t="s">
        <v>140</v>
      </c>
      <c r="T58" s="23" t="s">
        <v>140</v>
      </c>
      <c r="U58" s="24"/>
    </row>
    <row r="59" customFormat="false" ht="15" hidden="false" customHeight="false" outlineLevel="0" collapsed="false">
      <c r="A59" s="23" t="n">
        <v>58</v>
      </c>
      <c r="B59" s="30" t="s">
        <v>4743</v>
      </c>
      <c r="C59" s="24" t="s">
        <v>7746</v>
      </c>
      <c r="D59" s="24" t="s">
        <v>4669</v>
      </c>
      <c r="E59" s="24" t="s">
        <v>7747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536</v>
      </c>
      <c r="I59" s="23" t="n">
        <f aca="false">ROUND(H59/60,1)</f>
        <v>8.9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7748</v>
      </c>
      <c r="M59" s="24" t="s">
        <v>7749</v>
      </c>
      <c r="N59" s="24" t="s">
        <v>7750</v>
      </c>
      <c r="O59" s="24"/>
      <c r="P59" s="26" t="n">
        <f aca="false">_xlfn.MAXIFS(A타입_제작표!$U$2:$U$799,A타입_제작표!$G$2:$G$799,B59)</f>
        <v>46587</v>
      </c>
      <c r="Q59" s="23" t="s">
        <v>140</v>
      </c>
      <c r="R59" s="23" t="s">
        <v>140</v>
      </c>
      <c r="S59" s="23" t="s">
        <v>140</v>
      </c>
      <c r="T59" s="23" t="s">
        <v>140</v>
      </c>
      <c r="U59" s="24"/>
    </row>
    <row r="60" customFormat="false" ht="26.85" hidden="false" customHeight="false" outlineLevel="0" collapsed="false">
      <c r="A60" s="23" t="n">
        <v>59</v>
      </c>
      <c r="B60" s="30" t="s">
        <v>4805</v>
      </c>
      <c r="C60" s="24" t="s">
        <v>7751</v>
      </c>
      <c r="D60" s="24" t="s">
        <v>4669</v>
      </c>
      <c r="E60" s="24" t="s">
        <v>7752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640</v>
      </c>
      <c r="I60" s="23" t="n">
        <f aca="false">ROUND(H60/60,1)</f>
        <v>10.7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7216</v>
      </c>
      <c r="M60" s="24" t="s">
        <v>7753</v>
      </c>
      <c r="N60" s="24" t="s">
        <v>7754</v>
      </c>
      <c r="O60" s="24"/>
      <c r="P60" s="26" t="n">
        <f aca="false">_xlfn.MAXIFS(A타입_제작표!$U$2:$U$799,A타입_제작표!$G$2:$G$799,B60)</f>
        <v>46598</v>
      </c>
      <c r="Q60" s="23" t="s">
        <v>140</v>
      </c>
      <c r="R60" s="23" t="s">
        <v>140</v>
      </c>
      <c r="S60" s="23" t="s">
        <v>140</v>
      </c>
      <c r="T60" s="23" t="s">
        <v>140</v>
      </c>
      <c r="U60" s="24"/>
    </row>
    <row r="61" customFormat="false" ht="26.85" hidden="false" customHeight="false" outlineLevel="0" collapsed="false">
      <c r="A61" s="23" t="n">
        <v>60</v>
      </c>
      <c r="B61" s="30" t="s">
        <v>4894</v>
      </c>
      <c r="C61" s="24" t="s">
        <v>7755</v>
      </c>
      <c r="D61" s="24" t="s">
        <v>4669</v>
      </c>
      <c r="E61" s="24" t="s">
        <v>7756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692</v>
      </c>
      <c r="I61" s="23" t="n">
        <f aca="false">ROUND(H61/60,1)</f>
        <v>11.5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24" t="s">
        <v>7456</v>
      </c>
      <c r="M61" s="29" t="s">
        <v>7757</v>
      </c>
      <c r="N61" s="24" t="s">
        <v>7758</v>
      </c>
      <c r="O61" s="24"/>
      <c r="P61" s="26" t="n">
        <f aca="false">_xlfn.MAXIFS(A타입_제작표!$U$2:$U$799,A타입_제작표!$G$2:$G$799,B61)</f>
        <v>46606</v>
      </c>
      <c r="Q61" s="23" t="s">
        <v>140</v>
      </c>
      <c r="R61" s="23" t="s">
        <v>140</v>
      </c>
      <c r="S61" s="23" t="s">
        <v>140</v>
      </c>
      <c r="T61" s="23" t="s">
        <v>140</v>
      </c>
      <c r="U61" s="24"/>
    </row>
    <row r="62" customFormat="false" ht="26.85" hidden="false" customHeight="false" outlineLevel="0" collapsed="false">
      <c r="A62" s="23" t="n">
        <v>61</v>
      </c>
      <c r="B62" s="30" t="s">
        <v>4990</v>
      </c>
      <c r="C62" s="24" t="s">
        <v>7759</v>
      </c>
      <c r="D62" s="24" t="s">
        <v>4669</v>
      </c>
      <c r="E62" s="24" t="s">
        <v>7760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588</v>
      </c>
      <c r="I62" s="23" t="n">
        <f aca="false">ROUND(H62/60,1)</f>
        <v>9.8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7222</v>
      </c>
      <c r="M62" s="24" t="s">
        <v>7761</v>
      </c>
      <c r="N62" s="24" t="s">
        <v>7762</v>
      </c>
      <c r="O62" s="24"/>
      <c r="P62" s="26" t="n">
        <f aca="false">_xlfn.MAXIFS(A타입_제작표!$U$2:$U$799,A타입_제작표!$G$2:$G$799,B62)</f>
        <v>46617</v>
      </c>
      <c r="Q62" s="23" t="s">
        <v>140</v>
      </c>
      <c r="R62" s="23" t="s">
        <v>140</v>
      </c>
      <c r="S62" s="23" t="s">
        <v>140</v>
      </c>
      <c r="T62" s="23" t="s">
        <v>140</v>
      </c>
      <c r="U62" s="24"/>
    </row>
    <row r="63" customFormat="false" ht="15" hidden="false" customHeight="false" outlineLevel="0" collapsed="false">
      <c r="A63" s="23" t="n">
        <v>62</v>
      </c>
      <c r="B63" s="30" t="s">
        <v>5067</v>
      </c>
      <c r="C63" s="24" t="s">
        <v>7763</v>
      </c>
      <c r="D63" s="24" t="s">
        <v>4669</v>
      </c>
      <c r="E63" s="24" t="s">
        <v>7764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588</v>
      </c>
      <c r="I63" s="23" t="n">
        <f aca="false">ROUND(H63/60,1)</f>
        <v>9.8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7462</v>
      </c>
      <c r="M63" s="24" t="s">
        <v>7765</v>
      </c>
      <c r="N63" s="24" t="s">
        <v>7766</v>
      </c>
      <c r="O63" s="24"/>
      <c r="P63" s="26" t="n">
        <f aca="false">_xlfn.MAXIFS(A타입_제작표!$U$2:$U$799,A타입_제작표!$G$2:$G$799,B63)</f>
        <v>46619</v>
      </c>
      <c r="Q63" s="23" t="s">
        <v>140</v>
      </c>
      <c r="R63" s="23" t="s">
        <v>140</v>
      </c>
      <c r="S63" s="23" t="s">
        <v>140</v>
      </c>
      <c r="T63" s="23" t="s">
        <v>140</v>
      </c>
      <c r="U63" s="24"/>
    </row>
    <row r="64" customFormat="false" ht="26.85" hidden="false" customHeight="false" outlineLevel="0" collapsed="false">
      <c r="A64" s="23" t="n">
        <v>63</v>
      </c>
      <c r="B64" s="30" t="s">
        <v>5143</v>
      </c>
      <c r="C64" s="24" t="s">
        <v>7767</v>
      </c>
      <c r="D64" s="24" t="s">
        <v>5144</v>
      </c>
      <c r="E64" s="24" t="s">
        <v>7768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744</v>
      </c>
      <c r="I64" s="23" t="n">
        <f aca="false">ROUND(H64/60,1)</f>
        <v>12.4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7228</v>
      </c>
      <c r="M64" s="24" t="s">
        <v>7769</v>
      </c>
      <c r="N64" s="24" t="s">
        <v>7770</v>
      </c>
      <c r="O64" s="24"/>
      <c r="P64" s="26" t="n">
        <f aca="false">_xlfn.MAXIFS(A타입_제작표!$U$2:$U$799,A타입_제작표!$G$2:$G$799,B64)</f>
        <v>46631</v>
      </c>
      <c r="Q64" s="23" t="s">
        <v>140</v>
      </c>
      <c r="R64" s="23" t="s">
        <v>140</v>
      </c>
      <c r="S64" s="23" t="s">
        <v>140</v>
      </c>
      <c r="T64" s="23" t="s">
        <v>140</v>
      </c>
      <c r="U64" s="24"/>
    </row>
    <row r="65" customFormat="false" ht="15" hidden="false" customHeight="false" outlineLevel="0" collapsed="false">
      <c r="A65" s="23" t="n">
        <v>64</v>
      </c>
      <c r="B65" s="30" t="s">
        <v>5251</v>
      </c>
      <c r="C65" s="24" t="s">
        <v>7771</v>
      </c>
      <c r="D65" s="24" t="s">
        <v>5252</v>
      </c>
      <c r="E65" s="24" t="s">
        <v>7772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536</v>
      </c>
      <c r="I65" s="23" t="n">
        <f aca="false">ROUND(H65/60,1)</f>
        <v>8.9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7468</v>
      </c>
      <c r="M65" s="24" t="s">
        <v>7773</v>
      </c>
      <c r="N65" s="24" t="s">
        <v>7774</v>
      </c>
      <c r="O65" s="24"/>
      <c r="P65" s="26" t="n">
        <f aca="false">_xlfn.MAXIFS(A타입_제작표!$U$2:$U$799,A타입_제작표!$G$2:$G$799,B65)</f>
        <v>46636</v>
      </c>
      <c r="Q65" s="23" t="s">
        <v>140</v>
      </c>
      <c r="R65" s="23" t="s">
        <v>140</v>
      </c>
      <c r="S65" s="23" t="s">
        <v>140</v>
      </c>
      <c r="T65" s="23" t="s">
        <v>140</v>
      </c>
      <c r="U65" s="24"/>
    </row>
    <row r="66" customFormat="false" ht="26.85" hidden="false" customHeight="false" outlineLevel="0" collapsed="false">
      <c r="A66" s="23" t="n">
        <v>65</v>
      </c>
      <c r="B66" s="30" t="s">
        <v>5324</v>
      </c>
      <c r="C66" s="24" t="s">
        <v>7775</v>
      </c>
      <c r="D66" s="24" t="s">
        <v>5252</v>
      </c>
      <c r="E66" s="24" t="s">
        <v>7776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640</v>
      </c>
      <c r="I66" s="23" t="n">
        <f aca="false">ROUND(H66/60,1)</f>
        <v>10.7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7234</v>
      </c>
      <c r="M66" s="24" t="s">
        <v>7777</v>
      </c>
      <c r="N66" s="24" t="s">
        <v>7778</v>
      </c>
      <c r="O66" s="24"/>
      <c r="P66" s="26" t="n">
        <f aca="false">_xlfn.MAXIFS(A타입_제작표!$U$2:$U$799,A타입_제작표!$G$2:$G$799,B66)</f>
        <v>46647</v>
      </c>
      <c r="Q66" s="23" t="s">
        <v>140</v>
      </c>
      <c r="R66" s="23" t="s">
        <v>140</v>
      </c>
      <c r="S66" s="23" t="s">
        <v>140</v>
      </c>
      <c r="T66" s="23" t="s">
        <v>140</v>
      </c>
      <c r="U66" s="24"/>
    </row>
    <row r="67" customFormat="false" ht="26.85" hidden="false" customHeight="false" outlineLevel="0" collapsed="false">
      <c r="A67" s="23" t="n">
        <v>66</v>
      </c>
      <c r="B67" s="30" t="s">
        <v>5412</v>
      </c>
      <c r="C67" s="24" t="s">
        <v>7779</v>
      </c>
      <c r="D67" s="24" t="s">
        <v>5252</v>
      </c>
      <c r="E67" s="24" t="s">
        <v>7780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640</v>
      </c>
      <c r="I67" s="23" t="n">
        <f aca="false">ROUND(H67/60,1)</f>
        <v>10.7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7474</v>
      </c>
      <c r="M67" s="24" t="s">
        <v>7781</v>
      </c>
      <c r="N67" s="24" t="s">
        <v>7782</v>
      </c>
      <c r="O67" s="24"/>
      <c r="P67" s="26" t="n">
        <f aca="false">_xlfn.MAXIFS(A타입_제작표!$U$2:$U$799,A타입_제작표!$G$2:$G$799,B67)</f>
        <v>46650</v>
      </c>
      <c r="Q67" s="23" t="s">
        <v>140</v>
      </c>
      <c r="R67" s="23" t="s">
        <v>140</v>
      </c>
      <c r="S67" s="23" t="s">
        <v>140</v>
      </c>
      <c r="T67" s="23" t="s">
        <v>140</v>
      </c>
      <c r="U67" s="24"/>
    </row>
    <row r="68" customFormat="false" ht="26.85" hidden="false" customHeight="false" outlineLevel="0" collapsed="false">
      <c r="A68" s="23" t="n">
        <v>67</v>
      </c>
      <c r="B68" s="30" t="s">
        <v>5498</v>
      </c>
      <c r="C68" s="24" t="s">
        <v>7237</v>
      </c>
      <c r="D68" s="24" t="s">
        <v>5500</v>
      </c>
      <c r="E68" s="24" t="s">
        <v>7238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640</v>
      </c>
      <c r="I68" s="23" t="n">
        <f aca="false">ROUND(H68/60,1)</f>
        <v>10.7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7239</v>
      </c>
      <c r="M68" s="24" t="s">
        <v>7240</v>
      </c>
      <c r="N68" s="24" t="s">
        <v>7241</v>
      </c>
      <c r="O68" s="24"/>
      <c r="P68" s="26" t="n">
        <f aca="false">_xlfn.MAXIFS(A타입_제작표!$U$2:$U$799,A타입_제작표!$G$2:$G$799,B68)</f>
        <v>46655</v>
      </c>
      <c r="Q68" s="23" t="s">
        <v>140</v>
      </c>
      <c r="R68" s="23" t="s">
        <v>140</v>
      </c>
      <c r="S68" s="23" t="s">
        <v>140</v>
      </c>
      <c r="T68" s="23" t="s">
        <v>140</v>
      </c>
      <c r="U68" s="24"/>
    </row>
    <row r="69" customFormat="false" ht="26.85" hidden="false" customHeight="false" outlineLevel="0" collapsed="false">
      <c r="A69" s="23" t="n">
        <v>68</v>
      </c>
      <c r="B69" s="30" t="s">
        <v>5590</v>
      </c>
      <c r="C69" s="24" t="s">
        <v>7783</v>
      </c>
      <c r="D69" s="24" t="s">
        <v>5500</v>
      </c>
      <c r="E69" s="24" t="s">
        <v>7784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536</v>
      </c>
      <c r="I69" s="23" t="n">
        <f aca="false">ROUND(H69/60,1)</f>
        <v>8.9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24" t="s">
        <v>7245</v>
      </c>
      <c r="M69" s="29" t="s">
        <v>7785</v>
      </c>
      <c r="N69" s="24" t="s">
        <v>7786</v>
      </c>
      <c r="O69" s="24"/>
      <c r="P69" s="26" t="n">
        <f aca="false">_xlfn.MAXIFS(A타입_제작표!$U$2:$U$799,A타입_제작표!$G$2:$G$799,B69)</f>
        <v>46662</v>
      </c>
      <c r="Q69" s="23" t="s">
        <v>140</v>
      </c>
      <c r="R69" s="23" t="s">
        <v>140</v>
      </c>
      <c r="S69" s="23" t="s">
        <v>140</v>
      </c>
      <c r="T69" s="23" t="s">
        <v>140</v>
      </c>
      <c r="U69" s="24"/>
    </row>
    <row r="70" customFormat="false" ht="15" hidden="false" customHeight="false" outlineLevel="0" collapsed="false">
      <c r="A70" s="23" t="n">
        <v>69</v>
      </c>
      <c r="B70" s="30" t="s">
        <v>5659</v>
      </c>
      <c r="C70" s="24" t="s">
        <v>7787</v>
      </c>
      <c r="D70" s="24" t="s">
        <v>5500</v>
      </c>
      <c r="E70" s="24" t="s">
        <v>7788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744</v>
      </c>
      <c r="I70" s="23" t="n">
        <f aca="false">ROUND(H70/60,1)</f>
        <v>12.4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7480</v>
      </c>
      <c r="M70" s="24" t="s">
        <v>7789</v>
      </c>
      <c r="N70" s="24" t="s">
        <v>7790</v>
      </c>
      <c r="O70" s="24"/>
      <c r="P70" s="26" t="n">
        <f aca="false">_xlfn.MAXIFS(A타입_제작표!$U$2:$U$799,A타입_제작표!$G$2:$G$799,B70)</f>
        <v>46671</v>
      </c>
      <c r="Q70" s="23" t="s">
        <v>140</v>
      </c>
      <c r="R70" s="23" t="s">
        <v>140</v>
      </c>
      <c r="S70" s="23" t="s">
        <v>140</v>
      </c>
      <c r="T70" s="23" t="s">
        <v>140</v>
      </c>
      <c r="U70" s="24"/>
    </row>
    <row r="71" customFormat="false" ht="26.85" hidden="false" customHeight="false" outlineLevel="0" collapsed="false">
      <c r="A71" s="23" t="n">
        <v>70</v>
      </c>
      <c r="B71" s="30" t="s">
        <v>5758</v>
      </c>
      <c r="C71" s="24" t="s">
        <v>7791</v>
      </c>
      <c r="D71" s="24" t="s">
        <v>5760</v>
      </c>
      <c r="E71" s="24" t="s">
        <v>7792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640</v>
      </c>
      <c r="I71" s="23" t="n">
        <f aca="false">ROUND(H71/60,1)</f>
        <v>10.7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7251</v>
      </c>
      <c r="M71" s="24" t="s">
        <v>7793</v>
      </c>
      <c r="N71" s="24" t="s">
        <v>7794</v>
      </c>
      <c r="O71" s="24"/>
      <c r="P71" s="26" t="n">
        <f aca="false">_xlfn.MAXIFS(A타입_제작표!$U$2:$U$799,A타입_제작표!$G$2:$G$799,B71)</f>
        <v>46678</v>
      </c>
      <c r="Q71" s="23" t="s">
        <v>140</v>
      </c>
      <c r="R71" s="23" t="s">
        <v>140</v>
      </c>
      <c r="S71" s="23" t="s">
        <v>140</v>
      </c>
      <c r="T71" s="23" t="s">
        <v>140</v>
      </c>
      <c r="U71" s="24"/>
    </row>
    <row r="72" customFormat="false" ht="26.85" hidden="false" customHeight="false" outlineLevel="0" collapsed="false">
      <c r="A72" s="23" t="n">
        <v>71</v>
      </c>
      <c r="B72" s="30" t="s">
        <v>5848</v>
      </c>
      <c r="C72" s="24" t="s">
        <v>7795</v>
      </c>
      <c r="D72" s="24" t="s">
        <v>5760</v>
      </c>
      <c r="E72" s="24" t="s">
        <v>7796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536</v>
      </c>
      <c r="I72" s="23" t="n">
        <f aca="false">ROUND(H72/60,1)</f>
        <v>8.9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7486</v>
      </c>
      <c r="M72" s="24" t="s">
        <v>7797</v>
      </c>
      <c r="N72" s="24" t="s">
        <v>7798</v>
      </c>
      <c r="O72" s="24"/>
      <c r="P72" s="26" t="n">
        <f aca="false">_xlfn.MAXIFS(A타입_제작표!$U$2:$U$799,A타입_제작표!$G$2:$G$799,B72)</f>
        <v>46685</v>
      </c>
      <c r="Q72" s="23" t="s">
        <v>140</v>
      </c>
      <c r="R72" s="23" t="s">
        <v>140</v>
      </c>
      <c r="S72" s="23" t="s">
        <v>140</v>
      </c>
      <c r="T72" s="23" t="s">
        <v>140</v>
      </c>
      <c r="U72" s="24"/>
    </row>
    <row r="73" customFormat="false" ht="26.85" hidden="false" customHeight="false" outlineLevel="0" collapsed="false">
      <c r="A73" s="23" t="n">
        <v>72</v>
      </c>
      <c r="B73" s="30" t="s">
        <v>5921</v>
      </c>
      <c r="C73" s="24" t="s">
        <v>7799</v>
      </c>
      <c r="D73" s="24" t="s">
        <v>5760</v>
      </c>
      <c r="E73" s="24" t="s">
        <v>7800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692</v>
      </c>
      <c r="I73" s="23" t="n">
        <f aca="false">ROUND(H73/60,1)</f>
        <v>11.5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7257</v>
      </c>
      <c r="M73" s="24" t="s">
        <v>7801</v>
      </c>
      <c r="N73" s="24" t="s">
        <v>7802</v>
      </c>
      <c r="O73" s="24"/>
      <c r="P73" s="26" t="n">
        <f aca="false">_xlfn.MAXIFS(A타입_제작표!$U$2:$U$799,A타입_제작표!$G$2:$G$799,B73)</f>
        <v>46696</v>
      </c>
      <c r="Q73" s="23" t="s">
        <v>140</v>
      </c>
      <c r="R73" s="23" t="s">
        <v>140</v>
      </c>
      <c r="S73" s="23" t="s">
        <v>140</v>
      </c>
      <c r="T73" s="23" t="s">
        <v>140</v>
      </c>
      <c r="U73" s="24"/>
    </row>
    <row r="74" customFormat="false" ht="26.85" hidden="false" customHeight="false" outlineLevel="0" collapsed="false">
      <c r="A74" s="23" t="n">
        <v>73</v>
      </c>
      <c r="B74" s="30" t="s">
        <v>6020</v>
      </c>
      <c r="C74" s="24" t="s">
        <v>7803</v>
      </c>
      <c r="D74" s="24" t="s">
        <v>5760</v>
      </c>
      <c r="E74" s="24" t="s">
        <v>7804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588</v>
      </c>
      <c r="I74" s="23" t="n">
        <f aca="false">ROUND(H74/60,1)</f>
        <v>9.8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7492</v>
      </c>
      <c r="M74" s="24" t="s">
        <v>7805</v>
      </c>
      <c r="N74" s="24" t="s">
        <v>7806</v>
      </c>
      <c r="O74" s="24"/>
      <c r="P74" s="26" t="n">
        <f aca="false">_xlfn.MAXIFS(A타입_제작표!$U$2:$U$799,A타입_제작표!$G$2:$G$799,B74)</f>
        <v>46706</v>
      </c>
      <c r="Q74" s="23" t="s">
        <v>140</v>
      </c>
      <c r="R74" s="23" t="s">
        <v>140</v>
      </c>
      <c r="S74" s="23" t="s">
        <v>140</v>
      </c>
      <c r="T74" s="23" t="s">
        <v>140</v>
      </c>
      <c r="U74" s="24"/>
    </row>
    <row r="75" customFormat="false" ht="26.85" hidden="false" customHeight="false" outlineLevel="0" collapsed="false">
      <c r="A75" s="23" t="n">
        <v>74</v>
      </c>
      <c r="B75" s="30" t="s">
        <v>6099</v>
      </c>
      <c r="C75" s="24" t="s">
        <v>7495</v>
      </c>
      <c r="D75" s="24" t="s">
        <v>6100</v>
      </c>
      <c r="E75" s="24" t="s">
        <v>7807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796</v>
      </c>
      <c r="I75" s="23" t="n">
        <f aca="false">ROUND(H75/60,1)</f>
        <v>13.3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7263</v>
      </c>
      <c r="M75" s="24" t="s">
        <v>7497</v>
      </c>
      <c r="N75" s="24" t="s">
        <v>7498</v>
      </c>
      <c r="O75" s="24"/>
      <c r="P75" s="26" t="n">
        <f aca="false">_xlfn.MAXIFS(A타입_제작표!$U$2:$U$799,A타입_제작표!$G$2:$G$799,B75)</f>
        <v>46725</v>
      </c>
      <c r="Q75" s="23" t="s">
        <v>140</v>
      </c>
      <c r="R75" s="23" t="s">
        <v>140</v>
      </c>
      <c r="S75" s="23" t="s">
        <v>140</v>
      </c>
      <c r="T75" s="23" t="s">
        <v>140</v>
      </c>
      <c r="U75" s="24"/>
    </row>
    <row r="76" customFormat="false" ht="26.85" hidden="false" customHeight="false" outlineLevel="0" collapsed="false">
      <c r="A76" s="23" t="n">
        <v>75</v>
      </c>
      <c r="B76" s="30" t="s">
        <v>6207</v>
      </c>
      <c r="C76" s="24" t="s">
        <v>7499</v>
      </c>
      <c r="D76" s="24" t="s">
        <v>6209</v>
      </c>
      <c r="E76" s="24" t="s">
        <v>7808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640</v>
      </c>
      <c r="I76" s="23" t="n">
        <f aca="false">ROUND(H76/60,1)</f>
        <v>10.7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7501</v>
      </c>
      <c r="M76" s="24" t="s">
        <v>7502</v>
      </c>
      <c r="N76" s="24" t="s">
        <v>7503</v>
      </c>
      <c r="O76" s="24"/>
      <c r="P76" s="26" t="n">
        <f aca="false">_xlfn.MAXIFS(A타입_제작표!$U$2:$U$799,A타입_제작표!$G$2:$G$799,B76)</f>
        <v>46739</v>
      </c>
      <c r="Q76" s="23" t="s">
        <v>140</v>
      </c>
      <c r="R76" s="23" t="s">
        <v>140</v>
      </c>
      <c r="S76" s="23" t="s">
        <v>140</v>
      </c>
      <c r="T76" s="23" t="s">
        <v>140</v>
      </c>
      <c r="U76" s="24"/>
    </row>
    <row r="77" customFormat="false" ht="26.85" hidden="false" customHeight="false" outlineLevel="0" collapsed="false">
      <c r="A77" s="23" t="n">
        <v>76</v>
      </c>
      <c r="B77" s="30" t="s">
        <v>6293</v>
      </c>
      <c r="C77" s="24" t="s">
        <v>7504</v>
      </c>
      <c r="D77" s="24" t="s">
        <v>7809</v>
      </c>
      <c r="E77" s="24" t="s">
        <v>7505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692</v>
      </c>
      <c r="I77" s="23" t="n">
        <f aca="false">ROUND(H77/60,1)</f>
        <v>11.5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7506</v>
      </c>
      <c r="M77" s="24" t="s">
        <v>7507</v>
      </c>
      <c r="N77" s="24" t="s">
        <v>7508</v>
      </c>
      <c r="O77" s="24"/>
      <c r="P77" s="26" t="n">
        <f aca="false">_xlfn.MAXIFS(A타입_제작표!$U$2:$U$799,A타입_제작표!$G$2:$G$799,B77)</f>
        <v>46757</v>
      </c>
      <c r="Q77" s="23" t="s">
        <v>140</v>
      </c>
      <c r="R77" s="23" t="s">
        <v>140</v>
      </c>
      <c r="S77" s="23" t="s">
        <v>140</v>
      </c>
      <c r="T77" s="23" t="s">
        <v>140</v>
      </c>
      <c r="U77" s="24"/>
    </row>
    <row r="78" customFormat="false" ht="26.85" hidden="false" customHeight="false" outlineLevel="0" collapsed="false">
      <c r="A78" s="23" t="n">
        <v>77</v>
      </c>
      <c r="B78" s="30" t="s">
        <v>6382</v>
      </c>
      <c r="C78" s="24" t="s">
        <v>7509</v>
      </c>
      <c r="D78" s="24" t="s">
        <v>7810</v>
      </c>
      <c r="E78" s="24" t="s">
        <v>7510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640</v>
      </c>
      <c r="I78" s="23" t="n">
        <f aca="false">ROUND(H78/60,1)</f>
        <v>10.7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7511</v>
      </c>
      <c r="M78" s="24" t="s">
        <v>7512</v>
      </c>
      <c r="N78" s="24" t="s">
        <v>7513</v>
      </c>
      <c r="O78" s="24"/>
      <c r="P78" s="26" t="n">
        <f aca="false">_xlfn.MAXIFS(A타입_제작표!$U$2:$U$799,A타입_제작표!$G$2:$G$799,B78)</f>
        <v>46771</v>
      </c>
      <c r="Q78" s="23" t="s">
        <v>140</v>
      </c>
      <c r="R78" s="23" t="s">
        <v>140</v>
      </c>
      <c r="S78" s="23" t="s">
        <v>140</v>
      </c>
      <c r="T78" s="23" t="s">
        <v>140</v>
      </c>
      <c r="U78" s="24"/>
    </row>
    <row r="79" customFormat="false" ht="39.55" hidden="false" customHeight="false" outlineLevel="0" collapsed="false">
      <c r="A79" s="23" t="n">
        <v>78</v>
      </c>
      <c r="B79" s="30" t="s">
        <v>6468</v>
      </c>
      <c r="C79" s="24" t="s">
        <v>7514</v>
      </c>
      <c r="D79" s="24" t="s">
        <v>7811</v>
      </c>
      <c r="E79" s="24" t="s">
        <v>7515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588</v>
      </c>
      <c r="I79" s="23" t="n">
        <f aca="false">ROUND(H79/60,1)</f>
        <v>9.8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7516</v>
      </c>
      <c r="M79" s="24" t="s">
        <v>7517</v>
      </c>
      <c r="N79" s="24" t="s">
        <v>7518</v>
      </c>
      <c r="O79" s="24"/>
      <c r="P79" s="26" t="n">
        <f aca="false">_xlfn.MAXIFS(A타입_제작표!$U$2:$U$799,A타입_제작표!$G$2:$G$799,B79)</f>
        <v>46787</v>
      </c>
      <c r="Q79" s="23" t="s">
        <v>140</v>
      </c>
      <c r="R79" s="23" t="s">
        <v>140</v>
      </c>
      <c r="S79" s="23" t="s">
        <v>140</v>
      </c>
      <c r="T79" s="23" t="s">
        <v>140</v>
      </c>
      <c r="U79" s="24"/>
    </row>
    <row r="80" customFormat="false" ht="39.55" hidden="false" customHeight="false" outlineLevel="0" collapsed="false">
      <c r="A80" s="23" t="n">
        <v>79</v>
      </c>
      <c r="B80" s="30" t="s">
        <v>6540</v>
      </c>
      <c r="C80" s="24" t="s">
        <v>7519</v>
      </c>
      <c r="D80" s="24" t="s">
        <v>7812</v>
      </c>
      <c r="E80" s="24" t="s">
        <v>7520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640</v>
      </c>
      <c r="I80" s="23" t="n">
        <f aca="false">ROUND(H80/60,1)</f>
        <v>10.7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7521</v>
      </c>
      <c r="M80" s="24" t="s">
        <v>7522</v>
      </c>
      <c r="N80" s="24" t="s">
        <v>7523</v>
      </c>
      <c r="O80" s="24"/>
      <c r="P80" s="26" t="n">
        <f aca="false">_xlfn.MAXIFS(A타입_제작표!$U$2:$U$799,A타입_제작표!$G$2:$G$799,B80)</f>
        <v>46804</v>
      </c>
      <c r="Q80" s="23" t="s">
        <v>140</v>
      </c>
      <c r="R80" s="23" t="s">
        <v>140</v>
      </c>
      <c r="S80" s="23" t="s">
        <v>140</v>
      </c>
      <c r="T80" s="23" t="s">
        <v>140</v>
      </c>
      <c r="U80" s="24"/>
    </row>
    <row r="81" customFormat="false" ht="26.85" hidden="false" customHeight="false" outlineLevel="0" collapsed="false">
      <c r="A81" s="23" t="n">
        <v>80</v>
      </c>
      <c r="B81" s="30" t="s">
        <v>6625</v>
      </c>
      <c r="C81" s="24" t="s">
        <v>7524</v>
      </c>
      <c r="D81" s="24" t="s">
        <v>6627</v>
      </c>
      <c r="E81" s="24" t="s">
        <v>7525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640</v>
      </c>
      <c r="I81" s="23" t="n">
        <f aca="false">ROUND(H81/60,1)</f>
        <v>10.7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7269</v>
      </c>
      <c r="M81" s="24" t="s">
        <v>7526</v>
      </c>
      <c r="N81" s="24" t="s">
        <v>7527</v>
      </c>
      <c r="O81" s="24"/>
      <c r="P81" s="26" t="n">
        <f aca="false">_xlfn.MAXIFS(A타입_제작표!$U$2:$U$799,A타입_제작표!$G$2:$G$799,B81)</f>
        <v>46820</v>
      </c>
      <c r="Q81" s="23" t="s">
        <v>140</v>
      </c>
      <c r="R81" s="23" t="s">
        <v>140</v>
      </c>
      <c r="S81" s="23" t="s">
        <v>140</v>
      </c>
      <c r="T81" s="23" t="s">
        <v>140</v>
      </c>
      <c r="U81" s="24"/>
    </row>
    <row r="82" customFormat="false" ht="39.55" hidden="false" customHeight="false" outlineLevel="0" collapsed="false">
      <c r="A82" s="23" t="n">
        <v>81</v>
      </c>
      <c r="B82" s="30" t="s">
        <v>6713</v>
      </c>
      <c r="C82" s="24" t="s">
        <v>7528</v>
      </c>
      <c r="D82" s="24" t="s">
        <v>7813</v>
      </c>
      <c r="E82" s="24" t="s">
        <v>7529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744</v>
      </c>
      <c r="I82" s="23" t="n">
        <f aca="false">ROUND(H82/60,1)</f>
        <v>12.4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7530</v>
      </c>
      <c r="M82" s="24" t="s">
        <v>7531</v>
      </c>
      <c r="N82" s="24" t="s">
        <v>7532</v>
      </c>
      <c r="O82" s="24"/>
      <c r="P82" s="26" t="n">
        <f aca="false">_xlfn.MAXIFS(A타입_제작표!$U$2:$U$799,A타입_제작표!$G$2:$G$799,B82)</f>
        <v>46841</v>
      </c>
      <c r="Q82" s="23" t="s">
        <v>140</v>
      </c>
      <c r="R82" s="23" t="s">
        <v>140</v>
      </c>
      <c r="S82" s="23" t="s">
        <v>140</v>
      </c>
      <c r="T82" s="23" t="s">
        <v>140</v>
      </c>
      <c r="U82" s="24"/>
    </row>
    <row r="83" customFormat="false" ht="26.85" hidden="false" customHeight="false" outlineLevel="0" collapsed="false">
      <c r="A83" s="23" t="n">
        <v>82</v>
      </c>
      <c r="B83" s="30" t="s">
        <v>6813</v>
      </c>
      <c r="C83" s="24" t="s">
        <v>7533</v>
      </c>
      <c r="D83" s="24" t="s">
        <v>7814</v>
      </c>
      <c r="E83" s="24" t="s">
        <v>7534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484</v>
      </c>
      <c r="I83" s="23" t="n">
        <f aca="false">ROUND(H83/60,1)</f>
        <v>8.1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7535</v>
      </c>
      <c r="M83" s="24" t="s">
        <v>7536</v>
      </c>
      <c r="N83" s="24" t="s">
        <v>7537</v>
      </c>
      <c r="O83" s="24"/>
      <c r="P83" s="26" t="n">
        <f aca="false">_xlfn.MAXIFS(A타입_제작표!$U$2:$U$799,A타입_제작표!$G$2:$G$799,B83)</f>
        <v>46853</v>
      </c>
      <c r="Q83" s="23" t="s">
        <v>140</v>
      </c>
      <c r="R83" s="23" t="s">
        <v>140</v>
      </c>
      <c r="S83" s="23" t="s">
        <v>140</v>
      </c>
      <c r="T83" s="23" t="s">
        <v>140</v>
      </c>
      <c r="U83" s="24"/>
    </row>
    <row r="84" customFormat="false" ht="52.2" hidden="false" customHeight="false" outlineLevel="0" collapsed="false">
      <c r="A84" s="23" t="n">
        <v>83</v>
      </c>
      <c r="B84" s="30" t="s">
        <v>6877</v>
      </c>
      <c r="C84" s="24" t="s">
        <v>7538</v>
      </c>
      <c r="D84" s="24" t="s">
        <v>6879</v>
      </c>
      <c r="E84" s="24" t="s">
        <v>7539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692</v>
      </c>
      <c r="I84" s="23" t="n">
        <f aca="false">ROUND(H84/60,1)</f>
        <v>11.5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7540</v>
      </c>
      <c r="M84" s="24" t="s">
        <v>7541</v>
      </c>
      <c r="N84" s="24" t="s">
        <v>7542</v>
      </c>
      <c r="O84" s="24" t="s">
        <v>7815</v>
      </c>
      <c r="P84" s="26" t="n">
        <f aca="false">_xlfn.MAXIFS(A타입_제작표!$U$2:$U$799,A타입_제작표!$G$2:$G$799,B84)</f>
        <v>46869</v>
      </c>
      <c r="Q84" s="23" t="s">
        <v>140</v>
      </c>
      <c r="R84" s="23" t="s">
        <v>140</v>
      </c>
      <c r="S84" s="23" t="s">
        <v>140</v>
      </c>
      <c r="T84" s="23" t="s">
        <v>140</v>
      </c>
      <c r="U84" s="24"/>
    </row>
    <row r="85" customFormat="false" ht="26.85" hidden="false" customHeight="false" outlineLevel="0" collapsed="false">
      <c r="A85" s="23" t="n">
        <v>84</v>
      </c>
      <c r="B85" s="30" t="s">
        <v>6979</v>
      </c>
      <c r="C85" s="24" t="s">
        <v>7543</v>
      </c>
      <c r="D85" s="24" t="s">
        <v>6879</v>
      </c>
      <c r="E85" s="24" t="s">
        <v>7816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692</v>
      </c>
      <c r="I85" s="23" t="n">
        <f aca="false">ROUND(H85/60,1)</f>
        <v>11.5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7545</v>
      </c>
      <c r="M85" s="24" t="s">
        <v>7546</v>
      </c>
      <c r="N85" s="24" t="s">
        <v>7547</v>
      </c>
      <c r="O85" s="24"/>
      <c r="P85" s="26" t="n">
        <f aca="false">_xlfn.MAXIFS(A타입_제작표!$U$2:$U$799,A타입_제작표!$G$2:$G$799,B85)</f>
        <v>46881</v>
      </c>
      <c r="Q85" s="23" t="s">
        <v>140</v>
      </c>
      <c r="R85" s="23" t="s">
        <v>140</v>
      </c>
      <c r="S85" s="23" t="s">
        <v>140</v>
      </c>
      <c r="T85" s="23" t="s">
        <v>140</v>
      </c>
      <c r="U85" s="24"/>
    </row>
  </sheetData>
  <autoFilter ref="A1:U85"/>
  <dataValidations count="1">
    <dataValidation allowBlank="true" errorStyle="stop" operator="between" showDropDown="false" showErrorMessage="false" showInputMessage="false" sqref="Q2:T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7817</v>
      </c>
    </row>
    <row r="2" customFormat="false" ht="15" hidden="false" customHeight="false" outlineLevel="0" collapsed="false">
      <c r="A2" s="2" t="s">
        <v>7818</v>
      </c>
    </row>
    <row r="4" customFormat="false" ht="16.4" hidden="false" customHeight="false" outlineLevel="0" collapsed="false">
      <c r="A4" s="31" t="s">
        <v>7819</v>
      </c>
      <c r="B4" s="4"/>
      <c r="C4" s="4"/>
      <c r="D4" s="4"/>
      <c r="E4" s="4"/>
    </row>
    <row r="5" customFormat="false" ht="15" hidden="false" customHeight="false" outlineLevel="0" collapsed="false">
      <c r="A5" s="32" t="s">
        <v>7820</v>
      </c>
      <c r="B5" s="32" t="s">
        <v>7821</v>
      </c>
      <c r="C5" s="32" t="s">
        <v>7822</v>
      </c>
      <c r="D5" s="32" t="s">
        <v>7823</v>
      </c>
    </row>
    <row r="6" customFormat="false" ht="15" hidden="false" customHeight="false" outlineLevel="0" collapsed="false">
      <c r="A6" s="33" t="s">
        <v>38</v>
      </c>
      <c r="B6" s="33" t="n">
        <f aca="false">COUNTA(A타입_제작표!$B$2:$B$799)</f>
        <v>798</v>
      </c>
      <c r="C6" s="33" t="n">
        <v>798</v>
      </c>
      <c r="D6" s="34" t="str">
        <f aca="false">IF(B6=C6,"정상","확인 필요")</f>
        <v>정상</v>
      </c>
    </row>
    <row r="7" customFormat="false" ht="15" hidden="false" customHeight="false" outlineLevel="0" collapsed="false">
      <c r="A7" s="33" t="s">
        <v>7824</v>
      </c>
      <c r="B7" s="33" t="n">
        <f aca="false">COUNTIF(A타입_제작표!$C$2:$C$799,1)</f>
        <v>286</v>
      </c>
      <c r="C7" s="33" t="n">
        <v>286</v>
      </c>
      <c r="D7" s="34" t="str">
        <f aca="false">IF(B7=C7,"정상","확인 필요")</f>
        <v>정상</v>
      </c>
    </row>
    <row r="8" customFormat="false" ht="15" hidden="false" customHeight="false" outlineLevel="0" collapsed="false">
      <c r="A8" s="33" t="s">
        <v>7825</v>
      </c>
      <c r="B8" s="33" t="n">
        <f aca="false">COUNTIF(A타입_제작표!$C$2:$C$799,2)</f>
        <v>512</v>
      </c>
      <c r="C8" s="33" t="n">
        <v>512</v>
      </c>
      <c r="D8" s="34" t="str">
        <f aca="false">IF(B8=C8,"정상","확인 필요")</f>
        <v>정상</v>
      </c>
    </row>
    <row r="9" customFormat="false" ht="15" hidden="false" customHeight="false" outlineLevel="0" collapsed="false">
      <c r="A9" s="33" t="s">
        <v>7826</v>
      </c>
      <c r="B9" s="33" t="n">
        <f aca="false">COUNTIF(A타입_제작표!$C$2:$C$799,1)+COUNTIF(A타입_제작표!$C$2:$C$799,2)</f>
        <v>798</v>
      </c>
      <c r="C9" s="33" t="n">
        <f aca="false">COUNTA(A타입_제작표!$B$2:$B$799)</f>
        <v>798</v>
      </c>
      <c r="D9" s="34" t="str">
        <f aca="false">IF(B9=C9,"정상","확인 필요")</f>
        <v>정상</v>
      </c>
    </row>
    <row r="10" customFormat="false" ht="15" hidden="false" customHeight="false" outlineLevel="0" collapsed="false">
      <c r="A10" s="33" t="s">
        <v>7827</v>
      </c>
      <c r="B10" s="33" t="n">
        <f aca="false">COUNTA(A타입_제작표!$B$2:$B$799)-COUNTIF(A타입_제작표!$C$2:$C$799,1)-COUNTIF(A타입_제작표!$C$2:$C$799,2)</f>
        <v>0</v>
      </c>
      <c r="C10" s="33" t="n">
        <v>0</v>
      </c>
      <c r="D10" s="34" t="str">
        <f aca="false">IF(B10=C10,"정상","확인 필요")</f>
        <v>정상</v>
      </c>
    </row>
    <row r="11" customFormat="false" ht="15" hidden="false" customHeight="false" outlineLevel="0" collapsed="false">
      <c r="A11" s="11" t="s">
        <v>7828</v>
      </c>
      <c r="B11" s="33" t="n">
        <f aca="false">SUMPRODUCT((COUNTIF(A타입_제작표!$B$2:$B$799,A타입_제작표!$B$2:$B$799)&gt;1)*1)</f>
        <v>0</v>
      </c>
      <c r="C11" s="33" t="n">
        <v>0</v>
      </c>
      <c r="D11" s="34" t="str">
        <f aca="false">IF(B11=C11,"정상","확인 필요")</f>
        <v>정상</v>
      </c>
    </row>
    <row r="12" customFormat="false" ht="15" hidden="false" customHeight="false" outlineLevel="0" collapsed="false">
      <c r="A12" s="33" t="s">
        <v>7829</v>
      </c>
      <c r="B12" s="33" t="n">
        <f aca="false">SUMPRODUCT((COUNTIF(A타입_제작표!$AC$2:$AC$799,A타입_제작표!$AC$2:$AC$799)&gt;1)*1)</f>
        <v>0</v>
      </c>
      <c r="C12" s="33" t="n">
        <v>0</v>
      </c>
      <c r="D12" s="34" t="str">
        <f aca="false">IF(B12=C12,"정상","확인 필요")</f>
        <v>정상</v>
      </c>
    </row>
    <row r="13" customFormat="false" ht="15" hidden="false" customHeight="false" outlineLevel="0" collapsed="false">
      <c r="A13" s="33" t="s">
        <v>7830</v>
      </c>
      <c r="B13" s="33" t="n">
        <f aca="false">_xlfn.MAXIFS(A타입_제작표!$E$2:$E$799,A타입_제작표!$D$2:$D$799,"구약")</f>
        <v>521</v>
      </c>
      <c r="C13" s="33" t="n">
        <f aca="false">COUNTIF(A타입_제작표!$D$2:$D$799,"구약")</f>
        <v>521</v>
      </c>
      <c r="D13" s="34" t="str">
        <f aca="false">IF(B13=C13,"정상","확인 필요")</f>
        <v>정상</v>
      </c>
    </row>
    <row r="14" customFormat="false" ht="15" hidden="false" customHeight="false" outlineLevel="0" collapsed="false">
      <c r="A14" s="33" t="s">
        <v>7831</v>
      </c>
      <c r="B14" s="33" t="n">
        <f aca="false">_xlfn.MAXIFS(A타입_제작표!$E$2:$E$799,A타입_제작표!$D$2:$D$799,"신약")</f>
        <v>277</v>
      </c>
      <c r="C14" s="33" t="n">
        <f aca="false">COUNTIF(A타입_제작표!$D$2:$D$799,"신약")</f>
        <v>277</v>
      </c>
      <c r="D14" s="34" t="str">
        <f aca="false">IF(B14=C14,"정상","확인 필요")</f>
        <v>정상</v>
      </c>
    </row>
    <row r="15" customFormat="false" ht="15" hidden="false" customHeight="false" outlineLevel="0" collapsed="false">
      <c r="A15" s="33" t="s">
        <v>7832</v>
      </c>
      <c r="B15" s="33" t="n">
        <f aca="false">COUNTIFS(A타입_제작표!$C$2:$C$799,1,A타입_제작표!$D$2:$D$799,"구약")</f>
        <v>182</v>
      </c>
      <c r="C15" s="33" t="n">
        <f aca="false">안내!$C$12</f>
        <v>182</v>
      </c>
      <c r="D15" s="34" t="str">
        <f aca="false">IF(B15=C15,"정상","확인 필요")</f>
        <v>정상</v>
      </c>
    </row>
    <row r="16" customFormat="false" ht="15" hidden="false" customHeight="false" outlineLevel="0" collapsed="false">
      <c r="A16" s="33" t="s">
        <v>7833</v>
      </c>
      <c r="B16" s="33" t="n">
        <f aca="false">COUNTIFS(A타입_제작표!$C$2:$C$799,1,A타입_제작표!$D$2:$D$799,"신약")</f>
        <v>104</v>
      </c>
      <c r="C16" s="33" t="n">
        <f aca="false">안내!$C$13</f>
        <v>104</v>
      </c>
      <c r="D16" s="34" t="str">
        <f aca="false">IF(B16=C16,"정상","확인 필요")</f>
        <v>정상</v>
      </c>
    </row>
    <row r="17" customFormat="false" ht="15" hidden="false" customHeight="false" outlineLevel="0" collapsed="false">
      <c r="A17" s="33" t="s">
        <v>7834</v>
      </c>
      <c r="B17" s="33" t="n">
        <f aca="false">SUMPRODUCT((COUNTIFS(A타입_제작표!$D$2:$D$799,A타입_제작표!$D$2:$D$799,A타입_제작표!$U$2:$U$799,A타입_제작표!$U$2:$U$799)&gt;1)*1)</f>
        <v>0</v>
      </c>
      <c r="C17" s="33" t="n">
        <v>0</v>
      </c>
      <c r="D17" s="34" t="str">
        <f aca="false">IF(B17=C17,"정상","확인 필요")</f>
        <v>정상</v>
      </c>
    </row>
    <row r="18" customFormat="false" ht="15" hidden="false" customHeight="false" outlineLevel="0" collapsed="false">
      <c r="A18" s="33" t="s">
        <v>7835</v>
      </c>
      <c r="B18" s="33" t="n">
        <f aca="false">COUNTA(A타입_제작표!$B$2:$B$799)-SUMPRODUCT(COUNTIF(A타입_제작표!$H$2:$H$799,롱폼_시즌별!$B$2:$B$86))</f>
        <v>0</v>
      </c>
      <c r="C18" s="33" t="n">
        <v>0</v>
      </c>
      <c r="D18" s="34" t="str">
        <f aca="false">IF(B18=C18,"정상","확인 필요")</f>
        <v>정상</v>
      </c>
    </row>
    <row r="19" customFormat="false" ht="15" hidden="false" customHeight="false" outlineLevel="0" collapsed="false">
      <c r="A19" s="33" t="s">
        <v>7836</v>
      </c>
      <c r="B19" s="33" t="n">
        <f aca="false">COUNTA(A타입_제작표!$B$2:$B$799)-SUMPRODUCT(COUNTIF(A타입_제작표!$G$2:$G$799,롱폼_통합본!$B$2:$B$85))</f>
        <v>0</v>
      </c>
      <c r="C19" s="33" t="n">
        <v>0</v>
      </c>
      <c r="D19" s="34" t="str">
        <f aca="false">IF(B19=C19,"정상","확인 필요")</f>
        <v>정상</v>
      </c>
    </row>
    <row r="20" customFormat="false" ht="15" hidden="false" customHeight="false" outlineLevel="0" collapsed="false">
      <c r="A20" s="33" t="s">
        <v>7837</v>
      </c>
      <c r="B20" s="33" t="n">
        <f aca="false">IF(안내!$C$10&gt;_xlfn.MAXIFS(A타입_제작표!$U$2:$U$799,A타입_제작표!$C$2:$C$799,1),1,0)</f>
        <v>1</v>
      </c>
      <c r="C20" s="33" t="n">
        <v>1</v>
      </c>
      <c r="D20" s="34" t="str">
        <f aca="false">IF(B20=C20,"정상","확인 필요")</f>
        <v>정상</v>
      </c>
    </row>
    <row r="21" customFormat="false" ht="15" hidden="false" customHeight="false" outlineLevel="0" collapsed="false">
      <c r="A21" s="33" t="s">
        <v>7838</v>
      </c>
      <c r="B21" s="33" t="n">
        <f aca="false">(WEEKDAY(안내!$C$9,2)=1)+(WEEKDAY(안내!$C$10,2)=1)</f>
        <v>2</v>
      </c>
      <c r="C21" s="33" t="n">
        <v>2</v>
      </c>
      <c r="D21" s="34" t="str">
        <f aca="false">IF(B21=C21,"정상","확인 필요")</f>
        <v>정상</v>
      </c>
    </row>
    <row r="22" customFormat="false" ht="15" hidden="false" customHeight="false" outlineLevel="0" collapsed="false">
      <c r="A22" s="33" t="s">
        <v>7839</v>
      </c>
      <c r="B22" s="33" t="n">
        <f aca="false">COUNT(시편_시리즈!$A$2:$A$151)</f>
        <v>150</v>
      </c>
      <c r="C22" s="33" t="n">
        <v>150</v>
      </c>
      <c r="D22" s="34" t="str">
        <f aca="false">IF(B22=C22,"정상","확인 필요")</f>
        <v>정상</v>
      </c>
    </row>
    <row r="23" customFormat="false" ht="15" hidden="false" customHeight="false" outlineLevel="0" collapsed="false">
      <c r="A23" s="33" t="s">
        <v>7840</v>
      </c>
      <c r="B23" s="33" t="n">
        <f aca="false">SUM(시편_시리즈!$A$2:$A$151)</f>
        <v>11325</v>
      </c>
      <c r="C23" s="33" t="n">
        <v>11325</v>
      </c>
      <c r="D23" s="34" t="str">
        <f aca="false">IF(B23=C23,"정상","확인 필요")</f>
        <v>정상</v>
      </c>
    </row>
    <row r="24" customFormat="false" ht="15" hidden="false" customHeight="false" outlineLevel="0" collapsed="false">
      <c r="A24" s="33" t="s">
        <v>7841</v>
      </c>
      <c r="B24" s="33" t="n">
        <f aca="false">SUMPRODUCT((COUNTIF(시편_시리즈!$A$2:$A$151,시편_시리즈!$A$2:$A$151)&gt;1)*1)</f>
        <v>0</v>
      </c>
      <c r="C24" s="33" t="n">
        <v>0</v>
      </c>
      <c r="D24" s="34" t="str">
        <f aca="false">IF(B24=C24,"정상","확인 필요")</f>
        <v>정상</v>
      </c>
    </row>
    <row r="25" customFormat="false" ht="15" hidden="false" customHeight="false" outlineLevel="0" collapsed="false">
      <c r="A25" s="33" t="s">
        <v>7842</v>
      </c>
      <c r="B25" s="33" t="n">
        <f aca="false">COUNTIF(시편_시리즈!$F$2:$F$151,"A*")</f>
        <v>31</v>
      </c>
      <c r="C25" s="33" t="n">
        <f aca="false">COUNTIF(A타입_제작표!$I$2:$I$799,"시편")</f>
        <v>31</v>
      </c>
      <c r="D25" s="34" t="str">
        <f aca="false">IF(B25=C25,"정상","확인 필요")</f>
        <v>정상</v>
      </c>
    </row>
    <row r="26" customFormat="false" ht="15" hidden="false" customHeight="false" outlineLevel="0" collapsed="false">
      <c r="A26" s="33" t="s">
        <v>7843</v>
      </c>
      <c r="B26" s="33" t="n">
        <f aca="false">COUNT(시편_시리즈!$A$2:$A$151)-SUMPRODUCT(COUNTIF(시편_시리즈!$O$2:$O$151,시편_롱폼!$B$2:$B$16))</f>
        <v>0</v>
      </c>
      <c r="C26" s="33" t="n">
        <v>0</v>
      </c>
      <c r="D26" s="34" t="str">
        <f aca="false">IF(B26=C26,"정상","확인 필요")</f>
        <v>정상</v>
      </c>
    </row>
    <row r="27" customFormat="false" ht="15" hidden="false" customHeight="false" outlineLevel="0" collapsed="false">
      <c r="A27" s="5" t="s">
        <v>7844</v>
      </c>
      <c r="D27" s="35" t="str">
        <f aca="false">IF(COUNTIF(D6:D26,"정상")=21,"모두 정상","확인 필요 있음")</f>
        <v>모두 정상</v>
      </c>
    </row>
    <row r="30" customFormat="false" ht="16.4" hidden="false" customHeight="false" outlineLevel="0" collapsed="false">
      <c r="A30" s="31" t="s">
        <v>7845</v>
      </c>
      <c r="B30" s="4"/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A31" s="36" t="s">
        <v>103</v>
      </c>
      <c r="B31" s="36" t="s">
        <v>7846</v>
      </c>
      <c r="C31" s="36" t="s">
        <v>7847</v>
      </c>
      <c r="D31" s="37" t="s">
        <v>7848</v>
      </c>
      <c r="E31" s="36" t="s">
        <v>7849</v>
      </c>
      <c r="F31" s="36" t="s">
        <v>7850</v>
      </c>
      <c r="G31" s="36" t="s">
        <v>7851</v>
      </c>
      <c r="H31" s="36" t="s">
        <v>7823</v>
      </c>
      <c r="I31" s="36" t="s">
        <v>7852</v>
      </c>
    </row>
    <row r="32" customFormat="false" ht="15" hidden="false" customHeight="false" outlineLevel="0" collapsed="false">
      <c r="A32" s="38" t="s">
        <v>129</v>
      </c>
      <c r="B32" s="38" t="n">
        <v>50</v>
      </c>
      <c r="C32" s="38" t="n">
        <v>50</v>
      </c>
      <c r="D32" s="38" t="n">
        <f aca="false">COUNTIF(A타입_제작표!$I$2:$I$799,A32)</f>
        <v>78</v>
      </c>
      <c r="E32" s="38" t="n">
        <f aca="false">COUNTIFS(A타입_제작표!$I$2:$I$799,A32,A타입_제작표!$C$2:$C$799,1)</f>
        <v>42</v>
      </c>
      <c r="F32" s="38" t="n">
        <f aca="false">COUNTIFS(A타입_제작표!$I$2:$I$799,A32,A타입_제작표!$C$2:$C$799,2)</f>
        <v>36</v>
      </c>
      <c r="G32" s="38" t="n">
        <f aca="false">E32+F32</f>
        <v>78</v>
      </c>
      <c r="H32" s="39" t="str">
        <f aca="false">IF(G32=D32,"정상","확인 필요")</f>
        <v>정상</v>
      </c>
      <c r="I32" s="24" t="s">
        <v>7853</v>
      </c>
    </row>
    <row r="33" customFormat="false" ht="15" hidden="false" customHeight="false" outlineLevel="0" collapsed="false">
      <c r="A33" s="38" t="s">
        <v>829</v>
      </c>
      <c r="B33" s="38" t="n">
        <v>40</v>
      </c>
      <c r="C33" s="38" t="n">
        <v>40</v>
      </c>
      <c r="D33" s="38" t="n">
        <f aca="false">COUNTIF(A타입_제작표!$I$2:$I$799,A33)</f>
        <v>42</v>
      </c>
      <c r="E33" s="38" t="n">
        <f aca="false">COUNTIFS(A타입_제작표!$I$2:$I$799,A33,A타입_제작표!$C$2:$C$799,1)</f>
        <v>23</v>
      </c>
      <c r="F33" s="38" t="n">
        <f aca="false">COUNTIFS(A타입_제작표!$I$2:$I$799,A33,A타입_제작표!$C$2:$C$799,2)</f>
        <v>19</v>
      </c>
      <c r="G33" s="38" t="n">
        <f aca="false">E33+F33</f>
        <v>42</v>
      </c>
      <c r="H33" s="39" t="str">
        <f aca="false">IF(G33=D33,"정상","확인 필요")</f>
        <v>정상</v>
      </c>
      <c r="I33" s="24" t="s">
        <v>7853</v>
      </c>
    </row>
    <row r="34" customFormat="false" ht="15" hidden="false" customHeight="false" outlineLevel="0" collapsed="false">
      <c r="A34" s="38" t="s">
        <v>1204</v>
      </c>
      <c r="B34" s="38" t="n">
        <v>27</v>
      </c>
      <c r="C34" s="38" t="n">
        <v>27</v>
      </c>
      <c r="D34" s="38" t="n">
        <f aca="false">COUNTIF(A타입_제작표!$I$2:$I$799,A34)</f>
        <v>12</v>
      </c>
      <c r="E34" s="38" t="n">
        <f aca="false">COUNTIFS(A타입_제작표!$I$2:$I$799,A34,A타입_제작표!$C$2:$C$799,1)</f>
        <v>1</v>
      </c>
      <c r="F34" s="38" t="n">
        <f aca="false">COUNTIFS(A타입_제작표!$I$2:$I$799,A34,A타입_제작표!$C$2:$C$799,2)</f>
        <v>11</v>
      </c>
      <c r="G34" s="38" t="n">
        <f aca="false">E34+F34</f>
        <v>12</v>
      </c>
      <c r="H34" s="39" t="str">
        <f aca="false">IF(G34=D34,"정상","확인 필요")</f>
        <v>정상</v>
      </c>
      <c r="I34" s="24" t="s">
        <v>7853</v>
      </c>
    </row>
    <row r="35" customFormat="false" ht="15" hidden="false" customHeight="false" outlineLevel="0" collapsed="false">
      <c r="A35" s="38" t="s">
        <v>1305</v>
      </c>
      <c r="B35" s="38" t="n">
        <v>36</v>
      </c>
      <c r="C35" s="38" t="n">
        <v>36</v>
      </c>
      <c r="D35" s="38" t="n">
        <f aca="false">COUNTIF(A타입_제작표!$I$2:$I$799,A35)</f>
        <v>22</v>
      </c>
      <c r="E35" s="38" t="n">
        <f aca="false">COUNTIFS(A타입_제작표!$I$2:$I$799,A35,A타입_제작표!$C$2:$C$799,1)</f>
        <v>4</v>
      </c>
      <c r="F35" s="38" t="n">
        <f aca="false">COUNTIFS(A타입_제작표!$I$2:$I$799,A35,A타입_제작표!$C$2:$C$799,2)</f>
        <v>18</v>
      </c>
      <c r="G35" s="38" t="n">
        <f aca="false">E35+F35</f>
        <v>22</v>
      </c>
      <c r="H35" s="39" t="str">
        <f aca="false">IF(G35=D35,"정상","확인 필요")</f>
        <v>정상</v>
      </c>
      <c r="I35" s="24" t="s">
        <v>7853</v>
      </c>
    </row>
    <row r="36" customFormat="false" ht="15" hidden="false" customHeight="false" outlineLevel="0" collapsed="false">
      <c r="A36" s="38" t="s">
        <v>1494</v>
      </c>
      <c r="B36" s="38" t="n">
        <v>34</v>
      </c>
      <c r="C36" s="38" t="n">
        <v>34</v>
      </c>
      <c r="D36" s="38" t="n">
        <f aca="false">COUNTIF(A타입_제작표!$I$2:$I$799,A36)</f>
        <v>14</v>
      </c>
      <c r="E36" s="38" t="n">
        <f aca="false">COUNTIFS(A타입_제작표!$I$2:$I$799,A36,A타입_제작표!$C$2:$C$799,1)</f>
        <v>2</v>
      </c>
      <c r="F36" s="38" t="n">
        <f aca="false">COUNTIFS(A타입_제작표!$I$2:$I$799,A36,A타입_제작표!$C$2:$C$799,2)</f>
        <v>12</v>
      </c>
      <c r="G36" s="38" t="n">
        <f aca="false">E36+F36</f>
        <v>14</v>
      </c>
      <c r="H36" s="39" t="str">
        <f aca="false">IF(G36=D36,"정상","확인 필요")</f>
        <v>정상</v>
      </c>
      <c r="I36" s="24" t="s">
        <v>7853</v>
      </c>
    </row>
    <row r="37" customFormat="false" ht="15" hidden="false" customHeight="false" outlineLevel="0" collapsed="false">
      <c r="A37" s="38" t="s">
        <v>1601</v>
      </c>
      <c r="B37" s="38" t="n">
        <v>24</v>
      </c>
      <c r="C37" s="38" t="n">
        <v>24</v>
      </c>
      <c r="D37" s="38" t="n">
        <f aca="false">COUNTIF(A타입_제작표!$I$2:$I$799,A37)</f>
        <v>16</v>
      </c>
      <c r="E37" s="38" t="n">
        <f aca="false">COUNTIFS(A타입_제작표!$I$2:$I$799,A37,A타입_제작표!$C$2:$C$799,1)</f>
        <v>7</v>
      </c>
      <c r="F37" s="38" t="n">
        <f aca="false">COUNTIFS(A타입_제작표!$I$2:$I$799,A37,A타입_제작표!$C$2:$C$799,2)</f>
        <v>9</v>
      </c>
      <c r="G37" s="38" t="n">
        <f aca="false">E37+F37</f>
        <v>16</v>
      </c>
      <c r="H37" s="39" t="str">
        <f aca="false">IF(G37=D37,"정상","확인 필요")</f>
        <v>정상</v>
      </c>
      <c r="I37" s="24" t="s">
        <v>7853</v>
      </c>
    </row>
    <row r="38" customFormat="false" ht="15" hidden="false" customHeight="false" outlineLevel="0" collapsed="false">
      <c r="A38" s="38" t="s">
        <v>1742</v>
      </c>
      <c r="B38" s="38" t="n">
        <v>21</v>
      </c>
      <c r="C38" s="38" t="n">
        <v>21</v>
      </c>
      <c r="D38" s="38" t="n">
        <f aca="false">COUNTIF(A타입_제작표!$I$2:$I$799,A38)</f>
        <v>20</v>
      </c>
      <c r="E38" s="38" t="n">
        <f aca="false">COUNTIFS(A타입_제작표!$I$2:$I$799,A38,A타입_제작표!$C$2:$C$799,1)</f>
        <v>6</v>
      </c>
      <c r="F38" s="38" t="n">
        <f aca="false">COUNTIFS(A타입_제작표!$I$2:$I$799,A38,A타입_제작표!$C$2:$C$799,2)</f>
        <v>14</v>
      </c>
      <c r="G38" s="38" t="n">
        <f aca="false">E38+F38</f>
        <v>20</v>
      </c>
      <c r="H38" s="39" t="str">
        <f aca="false">IF(G38=D38,"정상","확인 필요")</f>
        <v>정상</v>
      </c>
      <c r="I38" s="24" t="s">
        <v>7853</v>
      </c>
    </row>
    <row r="39" customFormat="false" ht="15" hidden="false" customHeight="false" outlineLevel="0" collapsed="false">
      <c r="A39" s="38" t="s">
        <v>1925</v>
      </c>
      <c r="B39" s="38" t="n">
        <v>4</v>
      </c>
      <c r="C39" s="38" t="n">
        <v>4</v>
      </c>
      <c r="D39" s="38" t="n">
        <f aca="false">COUNTIF(A타입_제작표!$I$2:$I$799,A39)</f>
        <v>5</v>
      </c>
      <c r="E39" s="38" t="n">
        <f aca="false">COUNTIFS(A타입_제작표!$I$2:$I$799,A39,A타입_제작표!$C$2:$C$799,1)</f>
        <v>4</v>
      </c>
      <c r="F39" s="38" t="n">
        <f aca="false">COUNTIFS(A타입_제작표!$I$2:$I$799,A39,A타입_제작표!$C$2:$C$799,2)</f>
        <v>1</v>
      </c>
      <c r="G39" s="38" t="n">
        <f aca="false">E39+F39</f>
        <v>5</v>
      </c>
      <c r="H39" s="39" t="str">
        <f aca="false">IF(G39=D39,"정상","확인 필요")</f>
        <v>정상</v>
      </c>
      <c r="I39" s="24" t="s">
        <v>7853</v>
      </c>
    </row>
    <row r="40" customFormat="false" ht="15" hidden="false" customHeight="false" outlineLevel="0" collapsed="false">
      <c r="A40" s="38" t="s">
        <v>1972</v>
      </c>
      <c r="B40" s="38" t="n">
        <v>31</v>
      </c>
      <c r="C40" s="38" t="n">
        <v>31</v>
      </c>
      <c r="D40" s="38" t="n">
        <f aca="false">COUNTIF(A타입_제작표!$I$2:$I$799,A40)</f>
        <v>28</v>
      </c>
      <c r="E40" s="38" t="n">
        <f aca="false">COUNTIFS(A타입_제작표!$I$2:$I$799,A40,A타입_제작표!$C$2:$C$799,1)</f>
        <v>12</v>
      </c>
      <c r="F40" s="38" t="n">
        <f aca="false">COUNTIFS(A타입_제작표!$I$2:$I$799,A40,A타입_제작표!$C$2:$C$799,2)</f>
        <v>16</v>
      </c>
      <c r="G40" s="38" t="n">
        <f aca="false">E40+F40</f>
        <v>28</v>
      </c>
      <c r="H40" s="39" t="str">
        <f aca="false">IF(G40=D40,"정상","확인 필요")</f>
        <v>정상</v>
      </c>
      <c r="I40" s="24" t="s">
        <v>7853</v>
      </c>
    </row>
    <row r="41" customFormat="false" ht="15" hidden="false" customHeight="false" outlineLevel="0" collapsed="false">
      <c r="A41" s="38" t="s">
        <v>2215</v>
      </c>
      <c r="B41" s="38" t="n">
        <v>24</v>
      </c>
      <c r="C41" s="38" t="n">
        <v>24</v>
      </c>
      <c r="D41" s="38" t="n">
        <f aca="false">COUNTIF(A타입_제작표!$I$2:$I$799,A41)</f>
        <v>21</v>
      </c>
      <c r="E41" s="38" t="n">
        <f aca="false">COUNTIFS(A타입_제작표!$I$2:$I$799,A41,A타입_제작표!$C$2:$C$799,1)</f>
        <v>7</v>
      </c>
      <c r="F41" s="38" t="n">
        <f aca="false">COUNTIFS(A타입_제작표!$I$2:$I$799,A41,A타입_제작표!$C$2:$C$799,2)</f>
        <v>14</v>
      </c>
      <c r="G41" s="38" t="n">
        <f aca="false">E41+F41</f>
        <v>21</v>
      </c>
      <c r="H41" s="39" t="str">
        <f aca="false">IF(G41=D41,"정상","확인 필요")</f>
        <v>정상</v>
      </c>
      <c r="I41" s="24" t="s">
        <v>7853</v>
      </c>
    </row>
    <row r="42" customFormat="false" ht="15" hidden="false" customHeight="false" outlineLevel="0" collapsed="false">
      <c r="A42" s="38" t="s">
        <v>2407</v>
      </c>
      <c r="B42" s="38" t="n">
        <v>22</v>
      </c>
      <c r="C42" s="38" t="n">
        <v>22</v>
      </c>
      <c r="D42" s="38" t="n">
        <f aca="false">COUNTIF(A타입_제작표!$I$2:$I$799,A42)</f>
        <v>23</v>
      </c>
      <c r="E42" s="38" t="n">
        <f aca="false">COUNTIFS(A타입_제작표!$I$2:$I$799,A42,A타입_제작표!$C$2:$C$799,1)</f>
        <v>12</v>
      </c>
      <c r="F42" s="38" t="n">
        <f aca="false">COUNTIFS(A타입_제작표!$I$2:$I$799,A42,A타입_제작표!$C$2:$C$799,2)</f>
        <v>11</v>
      </c>
      <c r="G42" s="38" t="n">
        <f aca="false">E42+F42</f>
        <v>23</v>
      </c>
      <c r="H42" s="39" t="str">
        <f aca="false">IF(G42=D42,"정상","확인 필요")</f>
        <v>정상</v>
      </c>
      <c r="I42" s="24" t="s">
        <v>7853</v>
      </c>
    </row>
    <row r="43" customFormat="false" ht="15" hidden="false" customHeight="false" outlineLevel="0" collapsed="false">
      <c r="A43" s="38" t="s">
        <v>2606</v>
      </c>
      <c r="B43" s="38" t="n">
        <v>25</v>
      </c>
      <c r="C43" s="38" t="n">
        <v>25</v>
      </c>
      <c r="D43" s="38" t="n">
        <f aca="false">COUNTIF(A타입_제작표!$I$2:$I$799,A43)</f>
        <v>28</v>
      </c>
      <c r="E43" s="38" t="n">
        <f aca="false">COUNTIFS(A타입_제작표!$I$2:$I$799,A43,A타입_제작표!$C$2:$C$799,1)</f>
        <v>10</v>
      </c>
      <c r="F43" s="38" t="n">
        <f aca="false">COUNTIFS(A타입_제작표!$I$2:$I$799,A43,A타입_제작표!$C$2:$C$799,2)</f>
        <v>18</v>
      </c>
      <c r="G43" s="38" t="n">
        <f aca="false">E43+F43</f>
        <v>28</v>
      </c>
      <c r="H43" s="39" t="str">
        <f aca="false">IF(G43=D43,"정상","확인 필요")</f>
        <v>정상</v>
      </c>
      <c r="I43" s="24" t="s">
        <v>7853</v>
      </c>
    </row>
    <row r="44" customFormat="false" ht="15" hidden="false" customHeight="false" outlineLevel="0" collapsed="false">
      <c r="A44" s="38" t="s">
        <v>2862</v>
      </c>
      <c r="B44" s="38" t="n">
        <v>29</v>
      </c>
      <c r="C44" s="38" t="n">
        <v>29</v>
      </c>
      <c r="D44" s="38" t="n">
        <f aca="false">COUNTIF(A타입_제작표!$I$2:$I$799,A44)</f>
        <v>7</v>
      </c>
      <c r="E44" s="38" t="n">
        <f aca="false">COUNTIFS(A타입_제작표!$I$2:$I$799,A44,A타입_제작표!$C$2:$C$799,1)</f>
        <v>0</v>
      </c>
      <c r="F44" s="38" t="n">
        <f aca="false">COUNTIFS(A타입_제작표!$I$2:$I$799,A44,A타입_제작표!$C$2:$C$799,2)</f>
        <v>7</v>
      </c>
      <c r="G44" s="38" t="n">
        <f aca="false">E44+F44</f>
        <v>7</v>
      </c>
      <c r="H44" s="39" t="str">
        <f aca="false">IF(G44=D44,"정상","확인 필요")</f>
        <v>정상</v>
      </c>
      <c r="I44" s="24" t="s">
        <v>7853</v>
      </c>
    </row>
    <row r="45" customFormat="false" ht="15" hidden="false" customHeight="false" outlineLevel="0" collapsed="false">
      <c r="A45" s="38" t="s">
        <v>2922</v>
      </c>
      <c r="B45" s="38" t="n">
        <v>36</v>
      </c>
      <c r="C45" s="38" t="n">
        <v>36</v>
      </c>
      <c r="D45" s="38" t="n">
        <f aca="false">COUNTIF(A타입_제작표!$I$2:$I$799,A45)</f>
        <v>8</v>
      </c>
      <c r="E45" s="38" t="n">
        <f aca="false">COUNTIFS(A타입_제작표!$I$2:$I$799,A45,A타입_제작표!$C$2:$C$799,1)</f>
        <v>2</v>
      </c>
      <c r="F45" s="38" t="n">
        <f aca="false">COUNTIFS(A타입_제작표!$I$2:$I$799,A45,A타입_제작표!$C$2:$C$799,2)</f>
        <v>6</v>
      </c>
      <c r="G45" s="38" t="n">
        <f aca="false">E45+F45</f>
        <v>8</v>
      </c>
      <c r="H45" s="39" t="str">
        <f aca="false">IF(G45=D45,"정상","확인 필요")</f>
        <v>정상</v>
      </c>
      <c r="I45" s="24" t="s">
        <v>7853</v>
      </c>
    </row>
    <row r="46" customFormat="false" ht="15" hidden="false" customHeight="false" outlineLevel="0" collapsed="false">
      <c r="A46" s="38" t="s">
        <v>2990</v>
      </c>
      <c r="B46" s="38" t="n">
        <v>10</v>
      </c>
      <c r="C46" s="38" t="n">
        <v>10</v>
      </c>
      <c r="D46" s="38" t="n">
        <f aca="false">COUNTIF(A타입_제작표!$I$2:$I$799,A46)</f>
        <v>8</v>
      </c>
      <c r="E46" s="38" t="n">
        <f aca="false">COUNTIFS(A타입_제작표!$I$2:$I$799,A46,A타입_제작표!$C$2:$C$799,1)</f>
        <v>2</v>
      </c>
      <c r="F46" s="38" t="n">
        <f aca="false">COUNTIFS(A타입_제작표!$I$2:$I$799,A46,A타입_제작표!$C$2:$C$799,2)</f>
        <v>6</v>
      </c>
      <c r="G46" s="38" t="n">
        <f aca="false">E46+F46</f>
        <v>8</v>
      </c>
      <c r="H46" s="39" t="str">
        <f aca="false">IF(G46=D46,"정상","확인 필요")</f>
        <v>정상</v>
      </c>
      <c r="I46" s="24" t="s">
        <v>7853</v>
      </c>
    </row>
    <row r="47" customFormat="false" ht="15" hidden="false" customHeight="false" outlineLevel="0" collapsed="false">
      <c r="A47" s="38" t="s">
        <v>3060</v>
      </c>
      <c r="B47" s="38" t="n">
        <v>13</v>
      </c>
      <c r="C47" s="38" t="n">
        <v>13</v>
      </c>
      <c r="D47" s="38" t="n">
        <f aca="false">COUNTIF(A타입_제작표!$I$2:$I$799,A47)</f>
        <v>9</v>
      </c>
      <c r="E47" s="38" t="n">
        <f aca="false">COUNTIFS(A타입_제작표!$I$2:$I$799,A47,A타입_제작표!$C$2:$C$799,1)</f>
        <v>4</v>
      </c>
      <c r="F47" s="38" t="n">
        <f aca="false">COUNTIFS(A타입_제작표!$I$2:$I$799,A47,A타입_제작표!$C$2:$C$799,2)</f>
        <v>5</v>
      </c>
      <c r="G47" s="38" t="n">
        <f aca="false">E47+F47</f>
        <v>9</v>
      </c>
      <c r="H47" s="39" t="str">
        <f aca="false">IF(G47=D47,"정상","확인 필요")</f>
        <v>정상</v>
      </c>
      <c r="I47" s="24" t="s">
        <v>7853</v>
      </c>
    </row>
    <row r="48" customFormat="false" ht="15" hidden="false" customHeight="false" outlineLevel="0" collapsed="false">
      <c r="A48" s="38" t="s">
        <v>3140</v>
      </c>
      <c r="B48" s="38" t="n">
        <v>10</v>
      </c>
      <c r="C48" s="38" t="n">
        <v>10</v>
      </c>
      <c r="D48" s="38" t="n">
        <f aca="false">COUNTIF(A타입_제작표!$I$2:$I$799,A48)</f>
        <v>10</v>
      </c>
      <c r="E48" s="38" t="n">
        <f aca="false">COUNTIFS(A타입_제작표!$I$2:$I$799,A48,A타입_제작표!$C$2:$C$799,1)</f>
        <v>5</v>
      </c>
      <c r="F48" s="38" t="n">
        <f aca="false">COUNTIFS(A타입_제작표!$I$2:$I$799,A48,A타입_제작표!$C$2:$C$799,2)</f>
        <v>5</v>
      </c>
      <c r="G48" s="38" t="n">
        <f aca="false">E48+F48</f>
        <v>10</v>
      </c>
      <c r="H48" s="39" t="str">
        <f aca="false">IF(G48=D48,"정상","확인 필요")</f>
        <v>정상</v>
      </c>
      <c r="I48" s="24" t="s">
        <v>7853</v>
      </c>
    </row>
    <row r="49" customFormat="false" ht="15" hidden="false" customHeight="false" outlineLevel="0" collapsed="false">
      <c r="A49" s="38" t="s">
        <v>3229</v>
      </c>
      <c r="B49" s="38" t="n">
        <v>42</v>
      </c>
      <c r="C49" s="38" t="n">
        <v>42</v>
      </c>
      <c r="D49" s="38" t="n">
        <f aca="false">COUNTIF(A타입_제작표!$I$2:$I$799,A49)</f>
        <v>11</v>
      </c>
      <c r="E49" s="38" t="n">
        <f aca="false">COUNTIFS(A타입_제작표!$I$2:$I$799,A49,A타입_제작표!$C$2:$C$799,1)</f>
        <v>5</v>
      </c>
      <c r="F49" s="38" t="n">
        <f aca="false">COUNTIFS(A타입_제작표!$I$2:$I$799,A49,A타입_제작표!$C$2:$C$799,2)</f>
        <v>6</v>
      </c>
      <c r="G49" s="38" t="n">
        <f aca="false">E49+F49</f>
        <v>11</v>
      </c>
      <c r="H49" s="39" t="str">
        <f aca="false">IF(G49=D49,"정상","확인 필요")</f>
        <v>정상</v>
      </c>
      <c r="I49" s="24" t="s">
        <v>7853</v>
      </c>
    </row>
    <row r="50" customFormat="false" ht="39.55" hidden="false" customHeight="false" outlineLevel="0" collapsed="false">
      <c r="A50" s="38" t="s">
        <v>3330</v>
      </c>
      <c r="B50" s="38" t="n">
        <v>150</v>
      </c>
      <c r="C50" s="38" t="n">
        <v>31</v>
      </c>
      <c r="D50" s="38" t="n">
        <f aca="false">COUNTIF(A타입_제작표!$I$2:$I$799,A50)</f>
        <v>31</v>
      </c>
      <c r="E50" s="38" t="n">
        <f aca="false">COUNTIFS(A타입_제작표!$I$2:$I$799,A50,A타입_제작표!$C$2:$C$799,1)</f>
        <v>6</v>
      </c>
      <c r="F50" s="38" t="n">
        <f aca="false">COUNTIFS(A타입_제작표!$I$2:$I$799,A50,A타입_제작표!$C$2:$C$799,2)</f>
        <v>25</v>
      </c>
      <c r="G50" s="38" t="n">
        <f aca="false">E50+F50</f>
        <v>31</v>
      </c>
      <c r="H50" s="39" t="str">
        <f aca="false">IF(G50=D50,"정상","확인 필요")</f>
        <v>정상</v>
      </c>
      <c r="I50" s="25" t="s">
        <v>7854</v>
      </c>
    </row>
    <row r="51" customFormat="false" ht="15" hidden="false" customHeight="false" outlineLevel="0" collapsed="false">
      <c r="A51" s="38" t="s">
        <v>3583</v>
      </c>
      <c r="B51" s="38" t="n">
        <v>31</v>
      </c>
      <c r="C51" s="38" t="n">
        <v>31</v>
      </c>
      <c r="D51" s="38" t="n">
        <f aca="false">COUNTIF(A타입_제작표!$I$2:$I$799,A51)</f>
        <v>9</v>
      </c>
      <c r="E51" s="38" t="n">
        <f aca="false">COUNTIFS(A타입_제작표!$I$2:$I$799,A51,A타입_제작표!$C$2:$C$799,1)</f>
        <v>1</v>
      </c>
      <c r="F51" s="38" t="n">
        <f aca="false">COUNTIFS(A타입_제작표!$I$2:$I$799,A51,A타입_제작표!$C$2:$C$799,2)</f>
        <v>8</v>
      </c>
      <c r="G51" s="38" t="n">
        <f aca="false">E51+F51</f>
        <v>9</v>
      </c>
      <c r="H51" s="39" t="str">
        <f aca="false">IF(G51=D51,"정상","확인 필요")</f>
        <v>정상</v>
      </c>
      <c r="I51" s="24" t="s">
        <v>7853</v>
      </c>
    </row>
    <row r="52" customFormat="false" ht="15" hidden="false" customHeight="false" outlineLevel="0" collapsed="false">
      <c r="A52" s="38" t="s">
        <v>3660</v>
      </c>
      <c r="B52" s="38" t="n">
        <v>12</v>
      </c>
      <c r="C52" s="38" t="n">
        <v>12</v>
      </c>
      <c r="D52" s="38" t="n">
        <f aca="false">COUNTIF(A타입_제작표!$I$2:$I$799,A52)</f>
        <v>5</v>
      </c>
      <c r="E52" s="38" t="n">
        <f aca="false">COUNTIFS(A타입_제작표!$I$2:$I$799,A52,A타입_제작표!$C$2:$C$799,1)</f>
        <v>1</v>
      </c>
      <c r="F52" s="38" t="n">
        <f aca="false">COUNTIFS(A타입_제작표!$I$2:$I$799,A52,A타입_제작표!$C$2:$C$799,2)</f>
        <v>4</v>
      </c>
      <c r="G52" s="38" t="n">
        <f aca="false">E52+F52</f>
        <v>5</v>
      </c>
      <c r="H52" s="39" t="str">
        <f aca="false">IF(G52=D52,"정상","확인 필요")</f>
        <v>정상</v>
      </c>
      <c r="I52" s="24" t="s">
        <v>7853</v>
      </c>
    </row>
    <row r="53" customFormat="false" ht="15" hidden="false" customHeight="false" outlineLevel="0" collapsed="false">
      <c r="A53" s="38" t="s">
        <v>3702</v>
      </c>
      <c r="B53" s="38" t="n">
        <v>8</v>
      </c>
      <c r="C53" s="38" t="n">
        <v>8</v>
      </c>
      <c r="D53" s="38" t="n">
        <f aca="false">COUNTIF(A타입_제작표!$I$2:$I$799,A53)</f>
        <v>3</v>
      </c>
      <c r="E53" s="38" t="n">
        <f aca="false">COUNTIFS(A타입_제작표!$I$2:$I$799,A53,A타입_제작표!$C$2:$C$799,1)</f>
        <v>0</v>
      </c>
      <c r="F53" s="38" t="n">
        <f aca="false">COUNTIFS(A타입_제작표!$I$2:$I$799,A53,A타입_제작표!$C$2:$C$799,2)</f>
        <v>3</v>
      </c>
      <c r="G53" s="38" t="n">
        <f aca="false">E53+F53</f>
        <v>3</v>
      </c>
      <c r="H53" s="39" t="str">
        <f aca="false">IF(G53=D53,"정상","확인 필요")</f>
        <v>정상</v>
      </c>
      <c r="I53" s="24" t="s">
        <v>7853</v>
      </c>
    </row>
    <row r="54" customFormat="false" ht="15" hidden="false" customHeight="false" outlineLevel="0" collapsed="false">
      <c r="A54" s="38" t="s">
        <v>3730</v>
      </c>
      <c r="B54" s="38" t="n">
        <v>66</v>
      </c>
      <c r="C54" s="38" t="n">
        <v>66</v>
      </c>
      <c r="D54" s="38" t="n">
        <f aca="false">COUNTIF(A타입_제작표!$I$2:$I$799,A54)</f>
        <v>26</v>
      </c>
      <c r="E54" s="38" t="n">
        <f aca="false">COUNTIFS(A타입_제작표!$I$2:$I$799,A54,A타입_제작표!$C$2:$C$799,1)</f>
        <v>5</v>
      </c>
      <c r="F54" s="38" t="n">
        <f aca="false">COUNTIFS(A타입_제작표!$I$2:$I$799,A54,A타입_제작표!$C$2:$C$799,2)</f>
        <v>21</v>
      </c>
      <c r="G54" s="38" t="n">
        <f aca="false">E54+F54</f>
        <v>26</v>
      </c>
      <c r="H54" s="39" t="str">
        <f aca="false">IF(G54=D54,"정상","확인 필요")</f>
        <v>정상</v>
      </c>
      <c r="I54" s="24" t="s">
        <v>7853</v>
      </c>
    </row>
    <row r="55" customFormat="false" ht="15" hidden="false" customHeight="false" outlineLevel="0" collapsed="false">
      <c r="A55" s="38" t="s">
        <v>3950</v>
      </c>
      <c r="B55" s="38" t="n">
        <v>52</v>
      </c>
      <c r="C55" s="38" t="n">
        <v>52</v>
      </c>
      <c r="D55" s="38" t="n">
        <f aca="false">COUNTIF(A타입_제작표!$I$2:$I$799,A55)</f>
        <v>20</v>
      </c>
      <c r="E55" s="38" t="n">
        <f aca="false">COUNTIFS(A타입_제작표!$I$2:$I$799,A55,A타입_제작표!$C$2:$C$799,1)</f>
        <v>4</v>
      </c>
      <c r="F55" s="38" t="n">
        <f aca="false">COUNTIFS(A타입_제작표!$I$2:$I$799,A55,A타입_제작표!$C$2:$C$799,2)</f>
        <v>16</v>
      </c>
      <c r="G55" s="38" t="n">
        <f aca="false">E55+F55</f>
        <v>20</v>
      </c>
      <c r="H55" s="39" t="str">
        <f aca="false">IF(G55=D55,"정상","확인 필요")</f>
        <v>정상</v>
      </c>
      <c r="I55" s="24" t="s">
        <v>7853</v>
      </c>
    </row>
    <row r="56" customFormat="false" ht="15" hidden="false" customHeight="false" outlineLevel="0" collapsed="false">
      <c r="A56" s="38" t="s">
        <v>4119</v>
      </c>
      <c r="B56" s="38" t="n">
        <v>5</v>
      </c>
      <c r="C56" s="38" t="n">
        <v>5</v>
      </c>
      <c r="D56" s="38" t="n">
        <f aca="false">COUNTIF(A타입_제작표!$I$2:$I$799,A56)</f>
        <v>3</v>
      </c>
      <c r="E56" s="38" t="n">
        <f aca="false">COUNTIFS(A타입_제작표!$I$2:$I$799,A56,A타입_제작표!$C$2:$C$799,1)</f>
        <v>1</v>
      </c>
      <c r="F56" s="38" t="n">
        <f aca="false">COUNTIFS(A타입_제작표!$I$2:$I$799,A56,A타입_제작표!$C$2:$C$799,2)</f>
        <v>2</v>
      </c>
      <c r="G56" s="38" t="n">
        <f aca="false">E56+F56</f>
        <v>3</v>
      </c>
      <c r="H56" s="39" t="str">
        <f aca="false">IF(G56=D56,"정상","확인 필요")</f>
        <v>정상</v>
      </c>
      <c r="I56" s="24" t="s">
        <v>7853</v>
      </c>
    </row>
    <row r="57" customFormat="false" ht="15" hidden="false" customHeight="false" outlineLevel="0" collapsed="false">
      <c r="A57" s="38" t="s">
        <v>4147</v>
      </c>
      <c r="B57" s="38" t="n">
        <v>48</v>
      </c>
      <c r="C57" s="38" t="n">
        <v>48</v>
      </c>
      <c r="D57" s="38" t="n">
        <f aca="false">COUNTIF(A타입_제작표!$I$2:$I$799,A57)</f>
        <v>14</v>
      </c>
      <c r="E57" s="38" t="n">
        <f aca="false">COUNTIFS(A타입_제작표!$I$2:$I$799,A57,A타입_제작표!$C$2:$C$799,1)</f>
        <v>1</v>
      </c>
      <c r="F57" s="38" t="n">
        <f aca="false">COUNTIFS(A타입_제작표!$I$2:$I$799,A57,A타입_제작표!$C$2:$C$799,2)</f>
        <v>13</v>
      </c>
      <c r="G57" s="38" t="n">
        <f aca="false">E57+F57</f>
        <v>14</v>
      </c>
      <c r="H57" s="39" t="str">
        <f aca="false">IF(G57=D57,"정상","확인 필요")</f>
        <v>정상</v>
      </c>
      <c r="I57" s="24" t="s">
        <v>7853</v>
      </c>
    </row>
    <row r="58" customFormat="false" ht="15" hidden="false" customHeight="false" outlineLevel="0" collapsed="false">
      <c r="A58" s="38" t="s">
        <v>4260</v>
      </c>
      <c r="B58" s="38" t="n">
        <v>12</v>
      </c>
      <c r="C58" s="38" t="n">
        <v>12</v>
      </c>
      <c r="D58" s="38" t="n">
        <f aca="false">COUNTIF(A타입_제작표!$I$2:$I$799,A58)</f>
        <v>13</v>
      </c>
      <c r="E58" s="38" t="n">
        <f aca="false">COUNTIFS(A타입_제작표!$I$2:$I$799,A58,A타입_제작표!$C$2:$C$799,1)</f>
        <v>7</v>
      </c>
      <c r="F58" s="38" t="n">
        <f aca="false">COUNTIFS(A타입_제작표!$I$2:$I$799,A58,A타입_제작표!$C$2:$C$799,2)</f>
        <v>6</v>
      </c>
      <c r="G58" s="38" t="n">
        <f aca="false">E58+F58</f>
        <v>13</v>
      </c>
      <c r="H58" s="39" t="str">
        <f aca="false">IF(G58=D58,"정상","확인 필요")</f>
        <v>정상</v>
      </c>
      <c r="I58" s="24" t="s">
        <v>7853</v>
      </c>
    </row>
    <row r="59" customFormat="false" ht="15" hidden="false" customHeight="false" outlineLevel="0" collapsed="false">
      <c r="A59" s="38" t="s">
        <v>4373</v>
      </c>
      <c r="B59" s="38" t="n">
        <v>14</v>
      </c>
      <c r="C59" s="38" t="n">
        <v>14</v>
      </c>
      <c r="D59" s="38" t="n">
        <f aca="false">COUNTIF(A타입_제작표!$I$2:$I$799,A59)</f>
        <v>4</v>
      </c>
      <c r="E59" s="38" t="n">
        <f aca="false">COUNTIFS(A타입_제작표!$I$2:$I$799,A59,A타입_제작표!$C$2:$C$799,1)</f>
        <v>0</v>
      </c>
      <c r="F59" s="38" t="n">
        <f aca="false">COUNTIFS(A타입_제작표!$I$2:$I$799,A59,A타입_제작표!$C$2:$C$799,2)</f>
        <v>4</v>
      </c>
      <c r="G59" s="38" t="n">
        <f aca="false">E59+F59</f>
        <v>4</v>
      </c>
      <c r="H59" s="39" t="str">
        <f aca="false">IF(G59=D59,"정상","확인 필요")</f>
        <v>정상</v>
      </c>
      <c r="I59" s="24" t="s">
        <v>7853</v>
      </c>
    </row>
    <row r="60" customFormat="false" ht="15" hidden="false" customHeight="false" outlineLevel="0" collapsed="false">
      <c r="A60" s="38" t="s">
        <v>4405</v>
      </c>
      <c r="B60" s="38" t="n">
        <v>3</v>
      </c>
      <c r="C60" s="38" t="n">
        <v>3</v>
      </c>
      <c r="D60" s="38" t="n">
        <f aca="false">COUNTIF(A타입_제작표!$I$2:$I$799,A60)</f>
        <v>3</v>
      </c>
      <c r="E60" s="38" t="n">
        <f aca="false">COUNTIFS(A타입_제작표!$I$2:$I$799,A60,A타입_제작표!$C$2:$C$799,1)</f>
        <v>0</v>
      </c>
      <c r="F60" s="38" t="n">
        <f aca="false">COUNTIFS(A타입_제작표!$I$2:$I$799,A60,A타입_제작표!$C$2:$C$799,2)</f>
        <v>3</v>
      </c>
      <c r="G60" s="38" t="n">
        <f aca="false">E60+F60</f>
        <v>3</v>
      </c>
      <c r="H60" s="39" t="str">
        <f aca="false">IF(G60=D60,"정상","확인 필요")</f>
        <v>정상</v>
      </c>
      <c r="I60" s="24" t="s">
        <v>7853</v>
      </c>
    </row>
    <row r="61" customFormat="false" ht="15" hidden="false" customHeight="false" outlineLevel="0" collapsed="false">
      <c r="A61" s="38" t="s">
        <v>4428</v>
      </c>
      <c r="B61" s="38" t="n">
        <v>9</v>
      </c>
      <c r="C61" s="38" t="n">
        <v>9</v>
      </c>
      <c r="D61" s="38" t="n">
        <f aca="false">COUNTIF(A타입_제작표!$I$2:$I$799,A61)</f>
        <v>4</v>
      </c>
      <c r="E61" s="38" t="n">
        <f aca="false">COUNTIFS(A타입_제작표!$I$2:$I$799,A61,A타입_제작표!$C$2:$C$799,1)</f>
        <v>0</v>
      </c>
      <c r="F61" s="38" t="n">
        <f aca="false">COUNTIFS(A타입_제작표!$I$2:$I$799,A61,A타입_제작표!$C$2:$C$799,2)</f>
        <v>4</v>
      </c>
      <c r="G61" s="38" t="n">
        <f aca="false">E61+F61</f>
        <v>4</v>
      </c>
      <c r="H61" s="39" t="str">
        <f aca="false">IF(G61=D61,"정상","확인 필요")</f>
        <v>정상</v>
      </c>
      <c r="I61" s="24" t="s">
        <v>7853</v>
      </c>
    </row>
    <row r="62" customFormat="false" ht="15" hidden="false" customHeight="false" outlineLevel="0" collapsed="false">
      <c r="A62" s="38" t="s">
        <v>4460</v>
      </c>
      <c r="B62" s="38" t="n">
        <v>1</v>
      </c>
      <c r="C62" s="38" t="n">
        <v>1</v>
      </c>
      <c r="D62" s="38" t="n">
        <f aca="false">COUNTIF(A타입_제작표!$I$2:$I$799,A62)</f>
        <v>1</v>
      </c>
      <c r="E62" s="38" t="n">
        <f aca="false">COUNTIFS(A타입_제작표!$I$2:$I$799,A62,A타입_제작표!$C$2:$C$799,1)</f>
        <v>0</v>
      </c>
      <c r="F62" s="38" t="n">
        <f aca="false">COUNTIFS(A타입_제작표!$I$2:$I$799,A62,A타입_제작표!$C$2:$C$799,2)</f>
        <v>1</v>
      </c>
      <c r="G62" s="38" t="n">
        <f aca="false">E62+F62</f>
        <v>1</v>
      </c>
      <c r="H62" s="39" t="str">
        <f aca="false">IF(G62=D62,"정상","확인 필요")</f>
        <v>정상</v>
      </c>
      <c r="I62" s="24" t="s">
        <v>7853</v>
      </c>
    </row>
    <row r="63" customFormat="false" ht="15" hidden="false" customHeight="false" outlineLevel="0" collapsed="false">
      <c r="A63" s="38" t="s">
        <v>4469</v>
      </c>
      <c r="B63" s="38" t="n">
        <v>4</v>
      </c>
      <c r="C63" s="38" t="n">
        <v>4</v>
      </c>
      <c r="D63" s="38" t="n">
        <f aca="false">COUNTIF(A타입_제작표!$I$2:$I$799,A63)</f>
        <v>5</v>
      </c>
      <c r="E63" s="38" t="n">
        <f aca="false">COUNTIFS(A타입_제작표!$I$2:$I$799,A63,A타입_제작표!$C$2:$C$799,1)</f>
        <v>5</v>
      </c>
      <c r="F63" s="38" t="n">
        <f aca="false">COUNTIFS(A타입_제작표!$I$2:$I$799,A63,A타입_제작표!$C$2:$C$799,2)</f>
        <v>0</v>
      </c>
      <c r="G63" s="38" t="n">
        <f aca="false">E63+F63</f>
        <v>5</v>
      </c>
      <c r="H63" s="39" t="str">
        <f aca="false">IF(G63=D63,"정상","확인 필요")</f>
        <v>정상</v>
      </c>
      <c r="I63" s="24" t="s">
        <v>7853</v>
      </c>
    </row>
    <row r="64" customFormat="false" ht="15" hidden="false" customHeight="false" outlineLevel="0" collapsed="false">
      <c r="A64" s="38" t="s">
        <v>4511</v>
      </c>
      <c r="B64" s="38" t="n">
        <v>7</v>
      </c>
      <c r="C64" s="38" t="n">
        <v>7</v>
      </c>
      <c r="D64" s="38" t="n">
        <f aca="false">COUNTIF(A타입_제작표!$I$2:$I$799,A64)</f>
        <v>3</v>
      </c>
      <c r="E64" s="38" t="n">
        <f aca="false">COUNTIFS(A타입_제작표!$I$2:$I$799,A64,A타입_제작표!$C$2:$C$799,1)</f>
        <v>1</v>
      </c>
      <c r="F64" s="38" t="n">
        <f aca="false">COUNTIFS(A타입_제작표!$I$2:$I$799,A64,A타입_제작표!$C$2:$C$799,2)</f>
        <v>2</v>
      </c>
      <c r="G64" s="38" t="n">
        <f aca="false">E64+F64</f>
        <v>3</v>
      </c>
      <c r="H64" s="39" t="str">
        <f aca="false">IF(G64=D64,"정상","확인 필요")</f>
        <v>정상</v>
      </c>
      <c r="I64" s="24" t="s">
        <v>7853</v>
      </c>
    </row>
    <row r="65" customFormat="false" ht="15" hidden="false" customHeight="false" outlineLevel="0" collapsed="false">
      <c r="A65" s="38" t="s">
        <v>4537</v>
      </c>
      <c r="B65" s="38" t="n">
        <v>3</v>
      </c>
      <c r="C65" s="38" t="n">
        <v>3</v>
      </c>
      <c r="D65" s="38" t="n">
        <f aca="false">COUNTIF(A타입_제작표!$I$2:$I$799,A65)</f>
        <v>1</v>
      </c>
      <c r="E65" s="38" t="n">
        <f aca="false">COUNTIFS(A타입_제작표!$I$2:$I$799,A65,A타입_제작표!$C$2:$C$799,1)</f>
        <v>0</v>
      </c>
      <c r="F65" s="38" t="n">
        <f aca="false">COUNTIFS(A타입_제작표!$I$2:$I$799,A65,A타입_제작표!$C$2:$C$799,2)</f>
        <v>1</v>
      </c>
      <c r="G65" s="38" t="n">
        <f aca="false">E65+F65</f>
        <v>1</v>
      </c>
      <c r="H65" s="39" t="str">
        <f aca="false">IF(G65=D65,"정상","확인 필요")</f>
        <v>정상</v>
      </c>
      <c r="I65" s="24" t="s">
        <v>7853</v>
      </c>
    </row>
    <row r="66" customFormat="false" ht="15" hidden="false" customHeight="false" outlineLevel="0" collapsed="false">
      <c r="A66" s="38" t="s">
        <v>4547</v>
      </c>
      <c r="B66" s="38" t="n">
        <v>3</v>
      </c>
      <c r="C66" s="38" t="n">
        <v>3</v>
      </c>
      <c r="D66" s="38" t="n">
        <f aca="false">COUNTIF(A타입_제작표!$I$2:$I$799,A66)</f>
        <v>3</v>
      </c>
      <c r="E66" s="38" t="n">
        <f aca="false">COUNTIFS(A타입_제작표!$I$2:$I$799,A66,A타입_제작표!$C$2:$C$799,1)</f>
        <v>1</v>
      </c>
      <c r="F66" s="38" t="n">
        <f aca="false">COUNTIFS(A타입_제작표!$I$2:$I$799,A66,A타입_제작표!$C$2:$C$799,2)</f>
        <v>2</v>
      </c>
      <c r="G66" s="38" t="n">
        <f aca="false">E66+F66</f>
        <v>3</v>
      </c>
      <c r="H66" s="39" t="str">
        <f aca="false">IF(G66=D66,"정상","확인 필요")</f>
        <v>정상</v>
      </c>
      <c r="I66" s="24" t="s">
        <v>7853</v>
      </c>
    </row>
    <row r="67" customFormat="false" ht="15" hidden="false" customHeight="false" outlineLevel="0" collapsed="false">
      <c r="A67" s="38" t="s">
        <v>4572</v>
      </c>
      <c r="B67" s="38" t="n">
        <v>3</v>
      </c>
      <c r="C67" s="38" t="n">
        <v>3</v>
      </c>
      <c r="D67" s="38" t="n">
        <f aca="false">COUNTIF(A타입_제작표!$I$2:$I$799,A67)</f>
        <v>2</v>
      </c>
      <c r="E67" s="38" t="n">
        <f aca="false">COUNTIFS(A타입_제작표!$I$2:$I$799,A67,A타입_제작표!$C$2:$C$799,1)</f>
        <v>0</v>
      </c>
      <c r="F67" s="38" t="n">
        <f aca="false">COUNTIFS(A타입_제작표!$I$2:$I$799,A67,A타입_제작표!$C$2:$C$799,2)</f>
        <v>2</v>
      </c>
      <c r="G67" s="38" t="n">
        <f aca="false">E67+F67</f>
        <v>2</v>
      </c>
      <c r="H67" s="39" t="str">
        <f aca="false">IF(G67=D67,"정상","확인 필요")</f>
        <v>정상</v>
      </c>
      <c r="I67" s="24" t="s">
        <v>7853</v>
      </c>
    </row>
    <row r="68" customFormat="false" ht="15" hidden="false" customHeight="false" outlineLevel="0" collapsed="false">
      <c r="A68" s="38" t="s">
        <v>4588</v>
      </c>
      <c r="B68" s="38" t="n">
        <v>2</v>
      </c>
      <c r="C68" s="38" t="n">
        <v>2</v>
      </c>
      <c r="D68" s="38" t="n">
        <f aca="false">COUNTIF(A타입_제작표!$I$2:$I$799,A68)</f>
        <v>2</v>
      </c>
      <c r="E68" s="38" t="n">
        <f aca="false">COUNTIFS(A타입_제작표!$I$2:$I$799,A68,A타입_제작표!$C$2:$C$799,1)</f>
        <v>0</v>
      </c>
      <c r="F68" s="38" t="n">
        <f aca="false">COUNTIFS(A타입_제작표!$I$2:$I$799,A68,A타입_제작표!$C$2:$C$799,2)</f>
        <v>2</v>
      </c>
      <c r="G68" s="38" t="n">
        <f aca="false">E68+F68</f>
        <v>2</v>
      </c>
      <c r="H68" s="39" t="str">
        <f aca="false">IF(G68=D68,"정상","확인 필요")</f>
        <v>정상</v>
      </c>
      <c r="I68" s="24" t="s">
        <v>7853</v>
      </c>
    </row>
    <row r="69" customFormat="false" ht="15" hidden="false" customHeight="false" outlineLevel="0" collapsed="false">
      <c r="A69" s="38" t="s">
        <v>4605</v>
      </c>
      <c r="B69" s="38" t="n">
        <v>14</v>
      </c>
      <c r="C69" s="38" t="n">
        <v>14</v>
      </c>
      <c r="D69" s="38" t="n">
        <f aca="false">COUNTIF(A타입_제작표!$I$2:$I$799,A69)</f>
        <v>4</v>
      </c>
      <c r="E69" s="38" t="n">
        <f aca="false">COUNTIFS(A타입_제작표!$I$2:$I$799,A69,A타입_제작표!$C$2:$C$799,1)</f>
        <v>0</v>
      </c>
      <c r="F69" s="38" t="n">
        <f aca="false">COUNTIFS(A타입_제작표!$I$2:$I$799,A69,A타입_제작표!$C$2:$C$799,2)</f>
        <v>4</v>
      </c>
      <c r="G69" s="38" t="n">
        <f aca="false">E69+F69</f>
        <v>4</v>
      </c>
      <c r="H69" s="39" t="str">
        <f aca="false">IF(G69=D69,"정상","확인 필요")</f>
        <v>정상</v>
      </c>
      <c r="I69" s="24" t="s">
        <v>7853</v>
      </c>
    </row>
    <row r="70" customFormat="false" ht="15" hidden="false" customHeight="false" outlineLevel="0" collapsed="false">
      <c r="A70" s="38" t="s">
        <v>4639</v>
      </c>
      <c r="B70" s="38" t="n">
        <v>4</v>
      </c>
      <c r="C70" s="38" t="n">
        <v>4</v>
      </c>
      <c r="D70" s="38" t="n">
        <f aca="false">COUNTIF(A타입_제작표!$I$2:$I$799,A70)</f>
        <v>3</v>
      </c>
      <c r="E70" s="38" t="n">
        <f aca="false">COUNTIFS(A타입_제작표!$I$2:$I$799,A70,A타입_제작표!$C$2:$C$799,1)</f>
        <v>1</v>
      </c>
      <c r="F70" s="38" t="n">
        <f aca="false">COUNTIFS(A타입_제작표!$I$2:$I$799,A70,A타입_제작표!$C$2:$C$799,2)</f>
        <v>2</v>
      </c>
      <c r="G70" s="38" t="n">
        <f aca="false">E70+F70</f>
        <v>3</v>
      </c>
      <c r="H70" s="39" t="str">
        <f aca="false">IF(G70=D70,"정상","확인 필요")</f>
        <v>정상</v>
      </c>
      <c r="I70" s="24" t="s">
        <v>7853</v>
      </c>
    </row>
    <row r="71" customFormat="false" ht="15" hidden="false" customHeight="false" outlineLevel="0" collapsed="false">
      <c r="A71" s="38" t="s">
        <v>4669</v>
      </c>
      <c r="B71" s="38" t="n">
        <v>28</v>
      </c>
      <c r="C71" s="38" t="n">
        <v>28</v>
      </c>
      <c r="D71" s="38" t="n">
        <f aca="false">COUNTIF(A타입_제작표!$I$2:$I$799,A71)</f>
        <v>55</v>
      </c>
      <c r="E71" s="38" t="n">
        <f aca="false">COUNTIFS(A타입_제작표!$I$2:$I$799,A71,A타입_제작표!$C$2:$C$799,1)</f>
        <v>32</v>
      </c>
      <c r="F71" s="38" t="n">
        <f aca="false">COUNTIFS(A타입_제작표!$I$2:$I$799,A71,A타입_제작표!$C$2:$C$799,2)</f>
        <v>23</v>
      </c>
      <c r="G71" s="38" t="n">
        <f aca="false">E71+F71</f>
        <v>55</v>
      </c>
      <c r="H71" s="39" t="str">
        <f aca="false">IF(G71=D71,"정상","확인 필요")</f>
        <v>정상</v>
      </c>
      <c r="I71" s="24" t="s">
        <v>7853</v>
      </c>
    </row>
    <row r="72" customFormat="false" ht="26.85" hidden="false" customHeight="false" outlineLevel="0" collapsed="false">
      <c r="A72" s="38" t="s">
        <v>5144</v>
      </c>
      <c r="B72" s="38" t="n">
        <v>16</v>
      </c>
      <c r="C72" s="38" t="n">
        <v>10</v>
      </c>
      <c r="D72" s="38" t="n">
        <f aca="false">COUNTIF(A타입_제작표!$I$2:$I$799,A72)</f>
        <v>12</v>
      </c>
      <c r="E72" s="38" t="n">
        <f aca="false">COUNTIFS(A타입_제작표!$I$2:$I$799,A72,A타입_제작표!$C$2:$C$799,1)</f>
        <v>5</v>
      </c>
      <c r="F72" s="38" t="n">
        <f aca="false">COUNTIFS(A타입_제작표!$I$2:$I$799,A72,A타입_제작표!$C$2:$C$799,2)</f>
        <v>7</v>
      </c>
      <c r="G72" s="38" t="n">
        <f aca="false">E72+F72</f>
        <v>12</v>
      </c>
      <c r="H72" s="39" t="str">
        <f aca="false">IF(G72=D72,"정상","확인 필요")</f>
        <v>정상</v>
      </c>
      <c r="I72" s="27" t="s">
        <v>7855</v>
      </c>
    </row>
    <row r="73" customFormat="false" ht="26.85" hidden="false" customHeight="false" outlineLevel="0" collapsed="false">
      <c r="A73" s="38" t="s">
        <v>5252</v>
      </c>
      <c r="B73" s="38" t="n">
        <v>24</v>
      </c>
      <c r="C73" s="38" t="n">
        <v>18</v>
      </c>
      <c r="D73" s="38" t="n">
        <f aca="false">COUNTIF(A타입_제작표!$I$2:$I$799,A73)</f>
        <v>28</v>
      </c>
      <c r="E73" s="38" t="n">
        <f aca="false">COUNTIFS(A타입_제작표!$I$2:$I$799,A73,A타입_제작표!$C$2:$C$799,1)</f>
        <v>17</v>
      </c>
      <c r="F73" s="38" t="n">
        <f aca="false">COUNTIFS(A타입_제작표!$I$2:$I$799,A73,A타입_제작표!$C$2:$C$799,2)</f>
        <v>11</v>
      </c>
      <c r="G73" s="38" t="n">
        <f aca="false">E73+F73</f>
        <v>28</v>
      </c>
      <c r="H73" s="39" t="str">
        <f aca="false">IF(G73=D73,"정상","확인 필요")</f>
        <v>정상</v>
      </c>
      <c r="I73" s="27" t="s">
        <v>7856</v>
      </c>
    </row>
    <row r="74" customFormat="false" ht="15" hidden="false" customHeight="false" outlineLevel="0" collapsed="false">
      <c r="A74" s="38" t="s">
        <v>5500</v>
      </c>
      <c r="B74" s="38" t="n">
        <v>21</v>
      </c>
      <c r="C74" s="38" t="n">
        <v>21</v>
      </c>
      <c r="D74" s="38" t="n">
        <f aca="false">COUNTIF(A타입_제작표!$I$2:$I$799,A74)</f>
        <v>30</v>
      </c>
      <c r="E74" s="38" t="n">
        <f aca="false">COUNTIFS(A타입_제작표!$I$2:$I$799,A74,A타입_제작표!$C$2:$C$799,1)</f>
        <v>18</v>
      </c>
      <c r="F74" s="38" t="n">
        <f aca="false">COUNTIFS(A타입_제작표!$I$2:$I$799,A74,A타입_제작표!$C$2:$C$799,2)</f>
        <v>12</v>
      </c>
      <c r="G74" s="38" t="n">
        <f aca="false">E74+F74</f>
        <v>30</v>
      </c>
      <c r="H74" s="39" t="str">
        <f aca="false">IF(G74=D74,"정상","확인 필요")</f>
        <v>정상</v>
      </c>
      <c r="I74" s="24" t="s">
        <v>7853</v>
      </c>
    </row>
    <row r="75" customFormat="false" ht="15" hidden="false" customHeight="false" outlineLevel="0" collapsed="false">
      <c r="A75" s="38" t="s">
        <v>5760</v>
      </c>
      <c r="B75" s="38" t="n">
        <v>28</v>
      </c>
      <c r="C75" s="38" t="n">
        <v>28</v>
      </c>
      <c r="D75" s="38" t="n">
        <f aca="false">COUNTIF(A타입_제작표!$I$2:$I$799,A75)</f>
        <v>38</v>
      </c>
      <c r="E75" s="38" t="n">
        <f aca="false">COUNTIFS(A타입_제작표!$I$2:$I$799,A75,A타입_제작표!$C$2:$C$799,1)</f>
        <v>18</v>
      </c>
      <c r="F75" s="38" t="n">
        <f aca="false">COUNTIFS(A타입_제작표!$I$2:$I$799,A75,A타입_제작표!$C$2:$C$799,2)</f>
        <v>20</v>
      </c>
      <c r="G75" s="38" t="n">
        <f aca="false">E75+F75</f>
        <v>38</v>
      </c>
      <c r="H75" s="39" t="str">
        <f aca="false">IF(G75=D75,"정상","확인 필요")</f>
        <v>정상</v>
      </c>
      <c r="I75" s="24" t="s">
        <v>7853</v>
      </c>
    </row>
    <row r="76" customFormat="false" ht="15" hidden="false" customHeight="false" outlineLevel="0" collapsed="false">
      <c r="A76" s="38" t="s">
        <v>6100</v>
      </c>
      <c r="B76" s="38" t="n">
        <v>16</v>
      </c>
      <c r="C76" s="38" t="n">
        <v>16</v>
      </c>
      <c r="D76" s="38" t="n">
        <f aca="false">COUNTIF(A타입_제작표!$I$2:$I$799,A76)</f>
        <v>13</v>
      </c>
      <c r="E76" s="38" t="n">
        <f aca="false">COUNTIFS(A타입_제작표!$I$2:$I$799,A76,A타입_제작표!$C$2:$C$799,1)</f>
        <v>2</v>
      </c>
      <c r="F76" s="38" t="n">
        <f aca="false">COUNTIFS(A타입_제작표!$I$2:$I$799,A76,A타입_제작표!$C$2:$C$799,2)</f>
        <v>11</v>
      </c>
      <c r="G76" s="38" t="n">
        <f aca="false">E76+F76</f>
        <v>13</v>
      </c>
      <c r="H76" s="39" t="str">
        <f aca="false">IF(G76=D76,"정상","확인 필요")</f>
        <v>정상</v>
      </c>
      <c r="I76" s="24" t="s">
        <v>7853</v>
      </c>
    </row>
    <row r="77" customFormat="false" ht="15" hidden="false" customHeight="false" outlineLevel="0" collapsed="false">
      <c r="A77" s="38" t="s">
        <v>6209</v>
      </c>
      <c r="B77" s="38" t="n">
        <v>16</v>
      </c>
      <c r="C77" s="38" t="n">
        <v>16</v>
      </c>
      <c r="D77" s="38" t="n">
        <f aca="false">COUNTIF(A타입_제작표!$I$2:$I$799,A77)</f>
        <v>10</v>
      </c>
      <c r="E77" s="38" t="n">
        <f aca="false">COUNTIFS(A타입_제작표!$I$2:$I$799,A77,A타입_제작표!$C$2:$C$799,1)</f>
        <v>2</v>
      </c>
      <c r="F77" s="38" t="n">
        <f aca="false">COUNTIFS(A타입_제작표!$I$2:$I$799,A77,A타입_제작표!$C$2:$C$799,2)</f>
        <v>8</v>
      </c>
      <c r="G77" s="38" t="n">
        <f aca="false">E77+F77</f>
        <v>10</v>
      </c>
      <c r="H77" s="39" t="str">
        <f aca="false">IF(G77=D77,"정상","확인 필요")</f>
        <v>정상</v>
      </c>
      <c r="I77" s="24" t="s">
        <v>7853</v>
      </c>
    </row>
    <row r="78" customFormat="false" ht="15" hidden="false" customHeight="false" outlineLevel="0" collapsed="false">
      <c r="A78" s="38" t="s">
        <v>6295</v>
      </c>
      <c r="B78" s="38" t="n">
        <v>13</v>
      </c>
      <c r="C78" s="38" t="n">
        <v>13</v>
      </c>
      <c r="D78" s="38" t="n">
        <f aca="false">COUNTIF(A타입_제작표!$I$2:$I$799,A78)</f>
        <v>6</v>
      </c>
      <c r="E78" s="38" t="n">
        <f aca="false">COUNTIFS(A타입_제작표!$I$2:$I$799,A78,A타입_제작표!$C$2:$C$799,1)</f>
        <v>0</v>
      </c>
      <c r="F78" s="38" t="n">
        <f aca="false">COUNTIFS(A타입_제작표!$I$2:$I$799,A78,A타입_제작표!$C$2:$C$799,2)</f>
        <v>6</v>
      </c>
      <c r="G78" s="38" t="n">
        <f aca="false">E78+F78</f>
        <v>6</v>
      </c>
      <c r="H78" s="39" t="str">
        <f aca="false">IF(G78=D78,"정상","확인 필요")</f>
        <v>정상</v>
      </c>
      <c r="I78" s="24" t="s">
        <v>7853</v>
      </c>
    </row>
    <row r="79" customFormat="false" ht="15" hidden="false" customHeight="false" outlineLevel="0" collapsed="false">
      <c r="A79" s="38" t="s">
        <v>6341</v>
      </c>
      <c r="B79" s="38" t="n">
        <v>6</v>
      </c>
      <c r="C79" s="38" t="n">
        <v>6</v>
      </c>
      <c r="D79" s="38" t="n">
        <f aca="false">COUNTIF(A타입_제작표!$I$2:$I$799,A79)</f>
        <v>5</v>
      </c>
      <c r="E79" s="38" t="n">
        <f aca="false">COUNTIFS(A타입_제작표!$I$2:$I$799,A79,A타입_제작표!$C$2:$C$799,1)</f>
        <v>1</v>
      </c>
      <c r="F79" s="38" t="n">
        <f aca="false">COUNTIFS(A타입_제작표!$I$2:$I$799,A79,A타입_제작표!$C$2:$C$799,2)</f>
        <v>4</v>
      </c>
      <c r="G79" s="38" t="n">
        <f aca="false">E79+F79</f>
        <v>5</v>
      </c>
      <c r="H79" s="39" t="str">
        <f aca="false">IF(G79=D79,"정상","확인 필요")</f>
        <v>정상</v>
      </c>
      <c r="I79" s="24" t="s">
        <v>7853</v>
      </c>
    </row>
    <row r="80" customFormat="false" ht="15" hidden="false" customHeight="false" outlineLevel="0" collapsed="false">
      <c r="A80" s="38" t="s">
        <v>6384</v>
      </c>
      <c r="B80" s="38" t="n">
        <v>6</v>
      </c>
      <c r="C80" s="38" t="n">
        <v>6</v>
      </c>
      <c r="D80" s="38" t="n">
        <f aca="false">COUNTIF(A타입_제작표!$I$2:$I$799,A80)</f>
        <v>6</v>
      </c>
      <c r="E80" s="38" t="n">
        <f aca="false">COUNTIFS(A타입_제작표!$I$2:$I$799,A80,A타입_제작표!$C$2:$C$799,1)</f>
        <v>2</v>
      </c>
      <c r="F80" s="38" t="n">
        <f aca="false">COUNTIFS(A타입_제작표!$I$2:$I$799,A80,A타입_제작표!$C$2:$C$799,2)</f>
        <v>4</v>
      </c>
      <c r="G80" s="38" t="n">
        <f aca="false">E80+F80</f>
        <v>6</v>
      </c>
      <c r="H80" s="39" t="str">
        <f aca="false">IF(G80=D80,"정상","확인 필요")</f>
        <v>정상</v>
      </c>
      <c r="I80" s="24" t="s">
        <v>7853</v>
      </c>
    </row>
    <row r="81" customFormat="false" ht="15" hidden="false" customHeight="false" outlineLevel="0" collapsed="false">
      <c r="A81" s="38" t="s">
        <v>6435</v>
      </c>
      <c r="B81" s="38" t="n">
        <v>4</v>
      </c>
      <c r="C81" s="38" t="n">
        <v>4</v>
      </c>
      <c r="D81" s="38" t="n">
        <f aca="false">COUNTIF(A타입_제작표!$I$2:$I$799,A81)</f>
        <v>4</v>
      </c>
      <c r="E81" s="38" t="n">
        <f aca="false">COUNTIFS(A타입_제작표!$I$2:$I$799,A81,A타입_제작표!$C$2:$C$799,1)</f>
        <v>0</v>
      </c>
      <c r="F81" s="38" t="n">
        <f aca="false">COUNTIFS(A타입_제작표!$I$2:$I$799,A81,A타입_제작표!$C$2:$C$799,2)</f>
        <v>4</v>
      </c>
      <c r="G81" s="38" t="n">
        <f aca="false">E81+F81</f>
        <v>4</v>
      </c>
      <c r="H81" s="39" t="str">
        <f aca="false">IF(G81=D81,"정상","확인 필요")</f>
        <v>정상</v>
      </c>
      <c r="I81" s="24" t="s">
        <v>7853</v>
      </c>
    </row>
    <row r="82" customFormat="false" ht="15" hidden="false" customHeight="false" outlineLevel="0" collapsed="false">
      <c r="A82" s="38" t="s">
        <v>6470</v>
      </c>
      <c r="B82" s="38" t="n">
        <v>4</v>
      </c>
      <c r="C82" s="38" t="n">
        <v>4</v>
      </c>
      <c r="D82" s="38" t="n">
        <f aca="false">COUNTIF(A타입_제작표!$I$2:$I$799,A82)</f>
        <v>4</v>
      </c>
      <c r="E82" s="38" t="n">
        <f aca="false">COUNTIFS(A타입_제작표!$I$2:$I$799,A82,A타입_제작표!$C$2:$C$799,1)</f>
        <v>0</v>
      </c>
      <c r="F82" s="38" t="n">
        <f aca="false">COUNTIFS(A타입_제작표!$I$2:$I$799,A82,A타입_제작표!$C$2:$C$799,2)</f>
        <v>4</v>
      </c>
      <c r="G82" s="38" t="n">
        <f aca="false">E82+F82</f>
        <v>4</v>
      </c>
      <c r="H82" s="39" t="str">
        <f aca="false">IF(G82=D82,"정상","확인 필요")</f>
        <v>정상</v>
      </c>
      <c r="I82" s="24" t="s">
        <v>7853</v>
      </c>
    </row>
    <row r="83" customFormat="false" ht="15" hidden="false" customHeight="false" outlineLevel="0" collapsed="false">
      <c r="A83" s="38" t="s">
        <v>6500</v>
      </c>
      <c r="B83" s="38" t="n">
        <v>5</v>
      </c>
      <c r="C83" s="38" t="n">
        <v>5</v>
      </c>
      <c r="D83" s="38" t="n">
        <f aca="false">COUNTIF(A타입_제작표!$I$2:$I$799,A83)</f>
        <v>3</v>
      </c>
      <c r="E83" s="38" t="n">
        <f aca="false">COUNTIFS(A타입_제작표!$I$2:$I$799,A83,A타입_제작표!$C$2:$C$799,1)</f>
        <v>0</v>
      </c>
      <c r="F83" s="38" t="n">
        <f aca="false">COUNTIFS(A타입_제작표!$I$2:$I$799,A83,A타입_제작표!$C$2:$C$799,2)</f>
        <v>3</v>
      </c>
      <c r="G83" s="38" t="n">
        <f aca="false">E83+F83</f>
        <v>3</v>
      </c>
      <c r="H83" s="39" t="str">
        <f aca="false">IF(G83=D83,"정상","확인 필요")</f>
        <v>정상</v>
      </c>
      <c r="I83" s="24" t="s">
        <v>7853</v>
      </c>
    </row>
    <row r="84" customFormat="false" ht="15" hidden="false" customHeight="false" outlineLevel="0" collapsed="false">
      <c r="A84" s="38" t="s">
        <v>6524</v>
      </c>
      <c r="B84" s="38" t="n">
        <v>3</v>
      </c>
      <c r="C84" s="38" t="n">
        <v>3</v>
      </c>
      <c r="D84" s="38" t="n">
        <f aca="false">COUNTIF(A타입_제작표!$I$2:$I$799,A84)</f>
        <v>2</v>
      </c>
      <c r="E84" s="38" t="n">
        <f aca="false">COUNTIFS(A타입_제작표!$I$2:$I$799,A84,A타입_제작표!$C$2:$C$799,1)</f>
        <v>0</v>
      </c>
      <c r="F84" s="38" t="n">
        <f aca="false">COUNTIFS(A타입_제작표!$I$2:$I$799,A84,A타입_제작표!$C$2:$C$799,2)</f>
        <v>2</v>
      </c>
      <c r="G84" s="38" t="n">
        <f aca="false">E84+F84</f>
        <v>2</v>
      </c>
      <c r="H84" s="39" t="str">
        <f aca="false">IF(G84=D84,"정상","확인 필요")</f>
        <v>정상</v>
      </c>
      <c r="I84" s="24" t="s">
        <v>7853</v>
      </c>
    </row>
    <row r="85" customFormat="false" ht="15" hidden="false" customHeight="false" outlineLevel="0" collapsed="false">
      <c r="A85" s="38" t="s">
        <v>6542</v>
      </c>
      <c r="B85" s="38" t="n">
        <v>6</v>
      </c>
      <c r="C85" s="38" t="n">
        <v>6</v>
      </c>
      <c r="D85" s="38" t="n">
        <f aca="false">COUNTIF(A타입_제작표!$I$2:$I$799,A85)</f>
        <v>4</v>
      </c>
      <c r="E85" s="38" t="n">
        <f aca="false">COUNTIFS(A타입_제작표!$I$2:$I$799,A85,A타입_제작표!$C$2:$C$799,1)</f>
        <v>0</v>
      </c>
      <c r="F85" s="38" t="n">
        <f aca="false">COUNTIFS(A타입_제작표!$I$2:$I$799,A85,A타입_제작표!$C$2:$C$799,2)</f>
        <v>4</v>
      </c>
      <c r="G85" s="38" t="n">
        <f aca="false">E85+F85</f>
        <v>4</v>
      </c>
      <c r="H85" s="39" t="str">
        <f aca="false">IF(G85=D85,"정상","확인 필요")</f>
        <v>정상</v>
      </c>
      <c r="I85" s="24" t="s">
        <v>7853</v>
      </c>
    </row>
    <row r="86" customFormat="false" ht="15" hidden="false" customHeight="false" outlineLevel="0" collapsed="false">
      <c r="A86" s="38" t="s">
        <v>6575</v>
      </c>
      <c r="B86" s="38" t="n">
        <v>4</v>
      </c>
      <c r="C86" s="38" t="n">
        <v>4</v>
      </c>
      <c r="D86" s="38" t="n">
        <f aca="false">COUNTIF(A타입_제작표!$I$2:$I$799,A86)</f>
        <v>3</v>
      </c>
      <c r="E86" s="38" t="n">
        <f aca="false">COUNTIFS(A타입_제작표!$I$2:$I$799,A86,A타입_제작표!$C$2:$C$799,1)</f>
        <v>0</v>
      </c>
      <c r="F86" s="38" t="n">
        <f aca="false">COUNTIFS(A타입_제작표!$I$2:$I$799,A86,A타입_제작표!$C$2:$C$799,2)</f>
        <v>3</v>
      </c>
      <c r="G86" s="38" t="n">
        <f aca="false">E86+F86</f>
        <v>3</v>
      </c>
      <c r="H86" s="39" t="str">
        <f aca="false">IF(G86=D86,"정상","확인 필요")</f>
        <v>정상</v>
      </c>
      <c r="I86" s="24" t="s">
        <v>7853</v>
      </c>
    </row>
    <row r="87" customFormat="false" ht="15" hidden="false" customHeight="false" outlineLevel="0" collapsed="false">
      <c r="A87" s="38" t="s">
        <v>6599</v>
      </c>
      <c r="B87" s="38" t="n">
        <v>3</v>
      </c>
      <c r="C87" s="38" t="n">
        <v>3</v>
      </c>
      <c r="D87" s="38" t="n">
        <f aca="false">COUNTIF(A타입_제작표!$I$2:$I$799,A87)</f>
        <v>2</v>
      </c>
      <c r="E87" s="38" t="n">
        <f aca="false">COUNTIFS(A타입_제작표!$I$2:$I$799,A87,A타입_제작표!$C$2:$C$799,1)</f>
        <v>0</v>
      </c>
      <c r="F87" s="38" t="n">
        <f aca="false">COUNTIFS(A타입_제작표!$I$2:$I$799,A87,A타입_제작표!$C$2:$C$799,2)</f>
        <v>2</v>
      </c>
      <c r="G87" s="38" t="n">
        <f aca="false">E87+F87</f>
        <v>2</v>
      </c>
      <c r="H87" s="39" t="str">
        <f aca="false">IF(G87=D87,"정상","확인 필요")</f>
        <v>정상</v>
      </c>
      <c r="I87" s="24" t="s">
        <v>7853</v>
      </c>
    </row>
    <row r="88" customFormat="false" ht="15" hidden="false" customHeight="false" outlineLevel="0" collapsed="false">
      <c r="A88" s="38" t="s">
        <v>6615</v>
      </c>
      <c r="B88" s="38" t="n">
        <v>1</v>
      </c>
      <c r="C88" s="38" t="n">
        <v>1</v>
      </c>
      <c r="D88" s="38" t="n">
        <f aca="false">COUNTIF(A타입_제작표!$I$2:$I$799,A88)</f>
        <v>1</v>
      </c>
      <c r="E88" s="38" t="n">
        <f aca="false">COUNTIFS(A타입_제작표!$I$2:$I$799,A88,A타입_제작표!$C$2:$C$799,1)</f>
        <v>0</v>
      </c>
      <c r="F88" s="38" t="n">
        <f aca="false">COUNTIFS(A타입_제작표!$I$2:$I$799,A88,A타입_제작표!$C$2:$C$799,2)</f>
        <v>1</v>
      </c>
      <c r="G88" s="38" t="n">
        <f aca="false">E88+F88</f>
        <v>1</v>
      </c>
      <c r="H88" s="39" t="str">
        <f aca="false">IF(G88=D88,"정상","확인 필요")</f>
        <v>정상</v>
      </c>
      <c r="I88" s="24" t="s">
        <v>7853</v>
      </c>
    </row>
    <row r="89" customFormat="false" ht="15" hidden="false" customHeight="false" outlineLevel="0" collapsed="false">
      <c r="A89" s="38" t="s">
        <v>6627</v>
      </c>
      <c r="B89" s="38" t="n">
        <v>13</v>
      </c>
      <c r="C89" s="38" t="n">
        <v>13</v>
      </c>
      <c r="D89" s="38" t="n">
        <f aca="false">COUNTIF(A타입_제작표!$I$2:$I$799,A89)</f>
        <v>10</v>
      </c>
      <c r="E89" s="38" t="n">
        <f aca="false">COUNTIFS(A타입_제작표!$I$2:$I$799,A89,A타입_제작표!$C$2:$C$799,1)</f>
        <v>1</v>
      </c>
      <c r="F89" s="38" t="n">
        <f aca="false">COUNTIFS(A타입_제작표!$I$2:$I$799,A89,A타입_제작표!$C$2:$C$799,2)</f>
        <v>9</v>
      </c>
      <c r="G89" s="38" t="n">
        <f aca="false">E89+F89</f>
        <v>10</v>
      </c>
      <c r="H89" s="39" t="str">
        <f aca="false">IF(G89=D89,"정상","확인 필요")</f>
        <v>정상</v>
      </c>
      <c r="I89" s="24" t="s">
        <v>7853</v>
      </c>
    </row>
    <row r="90" customFormat="false" ht="15" hidden="false" customHeight="false" outlineLevel="0" collapsed="false">
      <c r="A90" s="38" t="s">
        <v>6715</v>
      </c>
      <c r="B90" s="38" t="n">
        <v>5</v>
      </c>
      <c r="C90" s="38" t="n">
        <v>5</v>
      </c>
      <c r="D90" s="38" t="n">
        <f aca="false">COUNTIF(A타입_제작표!$I$2:$I$799,A90)</f>
        <v>5</v>
      </c>
      <c r="E90" s="38" t="n">
        <f aca="false">COUNTIFS(A타입_제작표!$I$2:$I$799,A90,A타입_제작표!$C$2:$C$799,1)</f>
        <v>0</v>
      </c>
      <c r="F90" s="38" t="n">
        <f aca="false">COUNTIFS(A타입_제작표!$I$2:$I$799,A90,A타입_제작표!$C$2:$C$799,2)</f>
        <v>5</v>
      </c>
      <c r="G90" s="38" t="n">
        <f aca="false">E90+F90</f>
        <v>5</v>
      </c>
      <c r="H90" s="39" t="str">
        <f aca="false">IF(G90=D90,"정상","확인 필요")</f>
        <v>정상</v>
      </c>
      <c r="I90" s="24" t="s">
        <v>7853</v>
      </c>
    </row>
    <row r="91" customFormat="false" ht="15" hidden="false" customHeight="false" outlineLevel="0" collapsed="false">
      <c r="A91" s="38" t="s">
        <v>6756</v>
      </c>
      <c r="B91" s="38" t="n">
        <v>5</v>
      </c>
      <c r="C91" s="38" t="n">
        <v>5</v>
      </c>
      <c r="D91" s="38" t="n">
        <f aca="false">COUNTIF(A타입_제작표!$I$2:$I$799,A91)</f>
        <v>4</v>
      </c>
      <c r="E91" s="38" t="n">
        <f aca="false">COUNTIFS(A타입_제작표!$I$2:$I$799,A91,A타입_제작표!$C$2:$C$799,1)</f>
        <v>0</v>
      </c>
      <c r="F91" s="38" t="n">
        <f aca="false">COUNTIFS(A타입_제작표!$I$2:$I$799,A91,A타입_제작표!$C$2:$C$799,2)</f>
        <v>4</v>
      </c>
      <c r="G91" s="38" t="n">
        <f aca="false">E91+F91</f>
        <v>4</v>
      </c>
      <c r="H91" s="39" t="str">
        <f aca="false">IF(G91=D91,"정상","확인 필요")</f>
        <v>정상</v>
      </c>
      <c r="I91" s="24" t="s">
        <v>7853</v>
      </c>
    </row>
    <row r="92" customFormat="false" ht="15" hidden="false" customHeight="false" outlineLevel="0" collapsed="false">
      <c r="A92" s="38" t="s">
        <v>6788</v>
      </c>
      <c r="B92" s="38" t="n">
        <v>3</v>
      </c>
      <c r="C92" s="38" t="n">
        <v>3</v>
      </c>
      <c r="D92" s="38" t="n">
        <f aca="false">COUNTIF(A타입_제작표!$I$2:$I$799,A92)</f>
        <v>3</v>
      </c>
      <c r="E92" s="38" t="n">
        <f aca="false">COUNTIFS(A타입_제작표!$I$2:$I$799,A92,A타입_제작표!$C$2:$C$799,1)</f>
        <v>0</v>
      </c>
      <c r="F92" s="38" t="n">
        <f aca="false">COUNTIFS(A타입_제작표!$I$2:$I$799,A92,A타입_제작표!$C$2:$C$799,2)</f>
        <v>3</v>
      </c>
      <c r="G92" s="38" t="n">
        <f aca="false">E92+F92</f>
        <v>3</v>
      </c>
      <c r="H92" s="39" t="str">
        <f aca="false">IF(G92=D92,"정상","확인 필요")</f>
        <v>정상</v>
      </c>
      <c r="I92" s="24" t="s">
        <v>7853</v>
      </c>
    </row>
    <row r="93" customFormat="false" ht="15" hidden="false" customHeight="false" outlineLevel="0" collapsed="false">
      <c r="A93" s="38" t="s">
        <v>6815</v>
      </c>
      <c r="B93" s="38" t="n">
        <v>5</v>
      </c>
      <c r="C93" s="38" t="n">
        <v>5</v>
      </c>
      <c r="D93" s="38" t="n">
        <f aca="false">COUNTIF(A타입_제작표!$I$2:$I$799,A93)</f>
        <v>4</v>
      </c>
      <c r="E93" s="38" t="n">
        <f aca="false">COUNTIFS(A타입_제작표!$I$2:$I$799,A93,A타입_제작표!$C$2:$C$799,1)</f>
        <v>0</v>
      </c>
      <c r="F93" s="38" t="n">
        <f aca="false">COUNTIFS(A타입_제작표!$I$2:$I$799,A93,A타입_제작표!$C$2:$C$799,2)</f>
        <v>4</v>
      </c>
      <c r="G93" s="38" t="n">
        <f aca="false">E93+F93</f>
        <v>4</v>
      </c>
      <c r="H93" s="39" t="str">
        <f aca="false">IF(G93=D93,"정상","확인 필요")</f>
        <v>정상</v>
      </c>
      <c r="I93" s="24" t="s">
        <v>7853</v>
      </c>
    </row>
    <row r="94" customFormat="false" ht="15" hidden="false" customHeight="false" outlineLevel="0" collapsed="false">
      <c r="A94" s="38" t="s">
        <v>6847</v>
      </c>
      <c r="B94" s="38" t="n">
        <v>1</v>
      </c>
      <c r="C94" s="38" t="n">
        <v>1</v>
      </c>
      <c r="D94" s="38" t="n">
        <f aca="false">COUNTIF(A타입_제작표!$I$2:$I$799,A94)</f>
        <v>1</v>
      </c>
      <c r="E94" s="38" t="n">
        <f aca="false">COUNTIFS(A타입_제작표!$I$2:$I$799,A94,A타입_제작표!$C$2:$C$799,1)</f>
        <v>0</v>
      </c>
      <c r="F94" s="38" t="n">
        <f aca="false">COUNTIFS(A타입_제작표!$I$2:$I$799,A94,A타입_제작표!$C$2:$C$799,2)</f>
        <v>1</v>
      </c>
      <c r="G94" s="38" t="n">
        <f aca="false">E94+F94</f>
        <v>1</v>
      </c>
      <c r="H94" s="39" t="str">
        <f aca="false">IF(G94=D94,"정상","확인 필요")</f>
        <v>정상</v>
      </c>
      <c r="I94" s="24" t="s">
        <v>7853</v>
      </c>
    </row>
    <row r="95" customFormat="false" ht="15" hidden="false" customHeight="false" outlineLevel="0" collapsed="false">
      <c r="A95" s="38" t="s">
        <v>6857</v>
      </c>
      <c r="B95" s="38" t="n">
        <v>1</v>
      </c>
      <c r="C95" s="38" t="n">
        <v>1</v>
      </c>
      <c r="D95" s="38" t="n">
        <f aca="false">COUNTIF(A타입_제작표!$I$2:$I$799,A95)</f>
        <v>1</v>
      </c>
      <c r="E95" s="38" t="n">
        <f aca="false">COUNTIFS(A타입_제작표!$I$2:$I$799,A95,A타입_제작표!$C$2:$C$799,1)</f>
        <v>0</v>
      </c>
      <c r="F95" s="38" t="n">
        <f aca="false">COUNTIFS(A타입_제작표!$I$2:$I$799,A95,A타입_제작표!$C$2:$C$799,2)</f>
        <v>1</v>
      </c>
      <c r="G95" s="38" t="n">
        <f aca="false">E95+F95</f>
        <v>1</v>
      </c>
      <c r="H95" s="39" t="str">
        <f aca="false">IF(G95=D95,"정상","확인 필요")</f>
        <v>정상</v>
      </c>
      <c r="I95" s="24" t="s">
        <v>7853</v>
      </c>
    </row>
    <row r="96" customFormat="false" ht="15" hidden="false" customHeight="false" outlineLevel="0" collapsed="false">
      <c r="A96" s="38" t="s">
        <v>6867</v>
      </c>
      <c r="B96" s="38" t="n">
        <v>1</v>
      </c>
      <c r="C96" s="38" t="n">
        <v>1</v>
      </c>
      <c r="D96" s="38" t="n">
        <f aca="false">COUNTIF(A타입_제작표!$I$2:$I$799,A96)</f>
        <v>1</v>
      </c>
      <c r="E96" s="38" t="n">
        <f aca="false">COUNTIFS(A타입_제작표!$I$2:$I$799,A96,A타입_제작표!$C$2:$C$799,1)</f>
        <v>0</v>
      </c>
      <c r="F96" s="38" t="n">
        <f aca="false">COUNTIFS(A타입_제작표!$I$2:$I$799,A96,A타입_제작표!$C$2:$C$799,2)</f>
        <v>1</v>
      </c>
      <c r="G96" s="38" t="n">
        <f aca="false">E96+F96</f>
        <v>1</v>
      </c>
      <c r="H96" s="39" t="str">
        <f aca="false">IF(G96=D96,"정상","확인 필요")</f>
        <v>정상</v>
      </c>
      <c r="I96" s="24" t="s">
        <v>7853</v>
      </c>
    </row>
    <row r="97" customFormat="false" ht="15" hidden="false" customHeight="false" outlineLevel="0" collapsed="false">
      <c r="A97" s="38" t="s">
        <v>6879</v>
      </c>
      <c r="B97" s="38" t="n">
        <v>22</v>
      </c>
      <c r="C97" s="38" t="n">
        <v>22</v>
      </c>
      <c r="D97" s="38" t="n">
        <f aca="false">COUNTIF(A타입_제작표!$I$2:$I$799,A97)</f>
        <v>22</v>
      </c>
      <c r="E97" s="38" t="n">
        <f aca="false">COUNTIFS(A타입_제작표!$I$2:$I$799,A97,A타입_제작표!$C$2:$C$799,1)</f>
        <v>6</v>
      </c>
      <c r="F97" s="38" t="n">
        <f aca="false">COUNTIFS(A타입_제작표!$I$2:$I$799,A97,A타입_제작표!$C$2:$C$799,2)</f>
        <v>16</v>
      </c>
      <c r="G97" s="38" t="n">
        <f aca="false">E97+F97</f>
        <v>22</v>
      </c>
      <c r="H97" s="39" t="str">
        <f aca="false">IF(G97=D97,"정상","확인 필요")</f>
        <v>정상</v>
      </c>
      <c r="I97" s="24" t="s">
        <v>7853</v>
      </c>
    </row>
    <row r="100" customFormat="false" ht="16.4" hidden="false" customHeight="false" outlineLevel="0" collapsed="false">
      <c r="A100" s="31" t="s">
        <v>7857</v>
      </c>
      <c r="B100" s="4"/>
      <c r="C100" s="4"/>
      <c r="D100" s="4"/>
      <c r="E100" s="4"/>
      <c r="F100" s="4"/>
      <c r="G100" s="4"/>
      <c r="H100" s="4"/>
      <c r="I100" s="4"/>
    </row>
    <row r="101" customFormat="false" ht="15" hidden="false" customHeight="false" outlineLevel="0" collapsed="false">
      <c r="A101" s="32" t="s">
        <v>98</v>
      </c>
      <c r="B101" s="32" t="s">
        <v>7858</v>
      </c>
      <c r="C101" s="32" t="s">
        <v>7859</v>
      </c>
      <c r="D101" s="32" t="s">
        <v>7860</v>
      </c>
      <c r="E101" s="32" t="s">
        <v>7861</v>
      </c>
    </row>
    <row r="102" customFormat="false" ht="15" hidden="false" customHeight="false" outlineLevel="0" collapsed="false">
      <c r="A102" s="33" t="s">
        <v>126</v>
      </c>
      <c r="B102" s="33" t="n">
        <v>182</v>
      </c>
      <c r="C102" s="33" t="n">
        <v>83</v>
      </c>
      <c r="D102" s="33" t="n">
        <v>99</v>
      </c>
      <c r="E102" s="11" t="s">
        <v>7862</v>
      </c>
    </row>
    <row r="103" customFormat="false" ht="15" hidden="false" customHeight="false" outlineLevel="0" collapsed="false">
      <c r="A103" s="33" t="s">
        <v>4666</v>
      </c>
      <c r="B103" s="33" t="n">
        <v>104</v>
      </c>
      <c r="C103" s="33" t="n">
        <v>49</v>
      </c>
      <c r="D103" s="33" t="n">
        <v>55</v>
      </c>
      <c r="E103" s="11" t="s">
        <v>7863</v>
      </c>
    </row>
    <row r="105" customFormat="false" ht="15" hidden="false" customHeight="false" outlineLevel="0" collapsed="false">
      <c r="A105" s="7" t="s">
        <v>7864</v>
      </c>
    </row>
    <row r="106" customFormat="false" ht="15" hidden="false" customHeight="false" outlineLevel="0" collapsed="false">
      <c r="A106" s="7" t="s">
        <v>7865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7866</v>
      </c>
      <c r="B1" s="16" t="s">
        <v>103</v>
      </c>
      <c r="C1" s="16" t="s">
        <v>7867</v>
      </c>
      <c r="D1" s="16" t="s">
        <v>7868</v>
      </c>
      <c r="E1" s="16" t="s">
        <v>7869</v>
      </c>
      <c r="F1" s="16" t="s">
        <v>7846</v>
      </c>
      <c r="G1" s="17" t="s">
        <v>7080</v>
      </c>
      <c r="H1" s="16" t="s">
        <v>7870</v>
      </c>
      <c r="I1" s="16" t="s">
        <v>7871</v>
      </c>
      <c r="J1" s="16" t="s">
        <v>7872</v>
      </c>
      <c r="K1" s="16" t="s">
        <v>7873</v>
      </c>
      <c r="L1" s="16" t="s">
        <v>7874</v>
      </c>
      <c r="M1" s="16" t="s">
        <v>7875</v>
      </c>
      <c r="N1" s="16" t="s">
        <v>7876</v>
      </c>
    </row>
    <row r="2" customFormat="false" ht="15" hidden="false" customHeight="false" outlineLevel="0" collapsed="false">
      <c r="A2" s="23" t="n">
        <v>1</v>
      </c>
      <c r="B2" s="23" t="s">
        <v>129</v>
      </c>
      <c r="C2" s="23" t="s">
        <v>7877</v>
      </c>
      <c r="D2" s="23" t="s">
        <v>126</v>
      </c>
      <c r="E2" s="23" t="s">
        <v>7878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7879</v>
      </c>
    </row>
    <row r="3" customFormat="false" ht="15" hidden="false" customHeight="false" outlineLevel="0" collapsed="false">
      <c r="A3" s="23" t="n">
        <v>2</v>
      </c>
      <c r="B3" s="23" t="s">
        <v>829</v>
      </c>
      <c r="C3" s="23" t="s">
        <v>7880</v>
      </c>
      <c r="D3" s="23" t="s">
        <v>126</v>
      </c>
      <c r="E3" s="23" t="s">
        <v>7878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7879</v>
      </c>
    </row>
    <row r="4" customFormat="false" ht="15" hidden="false" customHeight="false" outlineLevel="0" collapsed="false">
      <c r="A4" s="23" t="n">
        <v>3</v>
      </c>
      <c r="B4" s="23" t="s">
        <v>1204</v>
      </c>
      <c r="C4" s="23" t="s">
        <v>7881</v>
      </c>
      <c r="D4" s="23" t="s">
        <v>126</v>
      </c>
      <c r="E4" s="23" t="s">
        <v>7878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7879</v>
      </c>
    </row>
    <row r="5" customFormat="false" ht="15" hidden="false" customHeight="false" outlineLevel="0" collapsed="false">
      <c r="A5" s="23" t="n">
        <v>4</v>
      </c>
      <c r="B5" s="23" t="s">
        <v>1305</v>
      </c>
      <c r="C5" s="23" t="s">
        <v>7882</v>
      </c>
      <c r="D5" s="23" t="s">
        <v>126</v>
      </c>
      <c r="E5" s="23" t="s">
        <v>7878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7879</v>
      </c>
    </row>
    <row r="6" customFormat="false" ht="15" hidden="false" customHeight="false" outlineLevel="0" collapsed="false">
      <c r="A6" s="23" t="n">
        <v>5</v>
      </c>
      <c r="B6" s="23" t="s">
        <v>1494</v>
      </c>
      <c r="C6" s="23" t="s">
        <v>7883</v>
      </c>
      <c r="D6" s="23" t="s">
        <v>126</v>
      </c>
      <c r="E6" s="23" t="s">
        <v>7878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7879</v>
      </c>
    </row>
    <row r="7" customFormat="false" ht="15" hidden="false" customHeight="false" outlineLevel="0" collapsed="false">
      <c r="A7" s="23" t="n">
        <v>6</v>
      </c>
      <c r="B7" s="23" t="s">
        <v>1601</v>
      </c>
      <c r="C7" s="23" t="s">
        <v>7884</v>
      </c>
      <c r="D7" s="23" t="s">
        <v>126</v>
      </c>
      <c r="E7" s="23" t="s">
        <v>7885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7879</v>
      </c>
    </row>
    <row r="8" customFormat="false" ht="15" hidden="false" customHeight="false" outlineLevel="0" collapsed="false">
      <c r="A8" s="23" t="n">
        <v>7</v>
      </c>
      <c r="B8" s="23" t="s">
        <v>1742</v>
      </c>
      <c r="C8" s="23" t="s">
        <v>7886</v>
      </c>
      <c r="D8" s="23" t="s">
        <v>126</v>
      </c>
      <c r="E8" s="23" t="s">
        <v>7885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7879</v>
      </c>
    </row>
    <row r="9" customFormat="false" ht="15" hidden="false" customHeight="false" outlineLevel="0" collapsed="false">
      <c r="A9" s="23" t="n">
        <v>8</v>
      </c>
      <c r="B9" s="23" t="s">
        <v>1925</v>
      </c>
      <c r="C9" s="23" t="s">
        <v>7887</v>
      </c>
      <c r="D9" s="23" t="s">
        <v>126</v>
      </c>
      <c r="E9" s="23" t="s">
        <v>7885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7879</v>
      </c>
    </row>
    <row r="10" customFormat="false" ht="15" hidden="false" customHeight="false" outlineLevel="0" collapsed="false">
      <c r="A10" s="23" t="n">
        <v>9</v>
      </c>
      <c r="B10" s="23" t="s">
        <v>1972</v>
      </c>
      <c r="C10" s="23" t="s">
        <v>7888</v>
      </c>
      <c r="D10" s="23" t="s">
        <v>126</v>
      </c>
      <c r="E10" s="23" t="s">
        <v>7885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7879</v>
      </c>
    </row>
    <row r="11" customFormat="false" ht="15" hidden="false" customHeight="false" outlineLevel="0" collapsed="false">
      <c r="A11" s="23" t="n">
        <v>10</v>
      </c>
      <c r="B11" s="23" t="s">
        <v>2215</v>
      </c>
      <c r="C11" s="23" t="s">
        <v>7889</v>
      </c>
      <c r="D11" s="23" t="s">
        <v>126</v>
      </c>
      <c r="E11" s="23" t="s">
        <v>7885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7879</v>
      </c>
    </row>
    <row r="12" customFormat="false" ht="15" hidden="false" customHeight="false" outlineLevel="0" collapsed="false">
      <c r="A12" s="23" t="n">
        <v>11</v>
      </c>
      <c r="B12" s="23" t="s">
        <v>2407</v>
      </c>
      <c r="C12" s="23" t="s">
        <v>7890</v>
      </c>
      <c r="D12" s="23" t="s">
        <v>126</v>
      </c>
      <c r="E12" s="23" t="s">
        <v>7885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7879</v>
      </c>
    </row>
    <row r="13" customFormat="false" ht="15" hidden="false" customHeight="false" outlineLevel="0" collapsed="false">
      <c r="A13" s="23" t="n">
        <v>12</v>
      </c>
      <c r="B13" s="23" t="s">
        <v>2606</v>
      </c>
      <c r="C13" s="23" t="s">
        <v>7891</v>
      </c>
      <c r="D13" s="23" t="s">
        <v>126</v>
      </c>
      <c r="E13" s="23" t="s">
        <v>7885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7879</v>
      </c>
    </row>
    <row r="14" customFormat="false" ht="15" hidden="false" customHeight="false" outlineLevel="0" collapsed="false">
      <c r="A14" s="23" t="n">
        <v>13</v>
      </c>
      <c r="B14" s="23" t="s">
        <v>2862</v>
      </c>
      <c r="C14" s="23" t="s">
        <v>7892</v>
      </c>
      <c r="D14" s="23" t="s">
        <v>126</v>
      </c>
      <c r="E14" s="23" t="s">
        <v>7885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7893</v>
      </c>
    </row>
    <row r="15" customFormat="false" ht="15" hidden="false" customHeight="false" outlineLevel="0" collapsed="false">
      <c r="A15" s="23" t="n">
        <v>14</v>
      </c>
      <c r="B15" s="23" t="s">
        <v>2922</v>
      </c>
      <c r="C15" s="23" t="s">
        <v>7894</v>
      </c>
      <c r="D15" s="23" t="s">
        <v>126</v>
      </c>
      <c r="E15" s="23" t="s">
        <v>7885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7895</v>
      </c>
    </row>
    <row r="16" customFormat="false" ht="15" hidden="false" customHeight="false" outlineLevel="0" collapsed="false">
      <c r="A16" s="23" t="n">
        <v>15</v>
      </c>
      <c r="B16" s="23" t="s">
        <v>2990</v>
      </c>
      <c r="C16" s="23" t="s">
        <v>7896</v>
      </c>
      <c r="D16" s="23" t="s">
        <v>126</v>
      </c>
      <c r="E16" s="23" t="s">
        <v>7885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7879</v>
      </c>
    </row>
    <row r="17" customFormat="false" ht="15" hidden="false" customHeight="false" outlineLevel="0" collapsed="false">
      <c r="A17" s="23" t="n">
        <v>16</v>
      </c>
      <c r="B17" s="23" t="s">
        <v>3060</v>
      </c>
      <c r="C17" s="23" t="s">
        <v>7897</v>
      </c>
      <c r="D17" s="23" t="s">
        <v>126</v>
      </c>
      <c r="E17" s="23" t="s">
        <v>7885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7879</v>
      </c>
    </row>
    <row r="18" customFormat="false" ht="15" hidden="false" customHeight="false" outlineLevel="0" collapsed="false">
      <c r="A18" s="23" t="n">
        <v>17</v>
      </c>
      <c r="B18" s="23" t="s">
        <v>3140</v>
      </c>
      <c r="C18" s="23" t="s">
        <v>7898</v>
      </c>
      <c r="D18" s="23" t="s">
        <v>126</v>
      </c>
      <c r="E18" s="23" t="s">
        <v>7885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7879</v>
      </c>
    </row>
    <row r="19" customFormat="false" ht="15" hidden="false" customHeight="false" outlineLevel="0" collapsed="false">
      <c r="A19" s="23" t="n">
        <v>18</v>
      </c>
      <c r="B19" s="23" t="s">
        <v>3229</v>
      </c>
      <c r="C19" s="23" t="s">
        <v>3264</v>
      </c>
      <c r="D19" s="23" t="s">
        <v>126</v>
      </c>
      <c r="E19" s="23" t="s">
        <v>7899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7879</v>
      </c>
    </row>
    <row r="20" customFormat="false" ht="26.85" hidden="false" customHeight="false" outlineLevel="0" collapsed="false">
      <c r="A20" s="23" t="n">
        <v>19</v>
      </c>
      <c r="B20" s="23" t="s">
        <v>3330</v>
      </c>
      <c r="C20" s="23" t="s">
        <v>7900</v>
      </c>
      <c r="D20" s="23" t="s">
        <v>126</v>
      </c>
      <c r="E20" s="23" t="s">
        <v>7899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7901</v>
      </c>
    </row>
    <row r="21" customFormat="false" ht="15" hidden="false" customHeight="false" outlineLevel="0" collapsed="false">
      <c r="A21" s="23" t="n">
        <v>20</v>
      </c>
      <c r="B21" s="23" t="s">
        <v>3583</v>
      </c>
      <c r="C21" s="23" t="s">
        <v>7902</v>
      </c>
      <c r="D21" s="23" t="s">
        <v>126</v>
      </c>
      <c r="E21" s="23" t="s">
        <v>7899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7879</v>
      </c>
    </row>
    <row r="22" customFormat="false" ht="15" hidden="false" customHeight="false" outlineLevel="0" collapsed="false">
      <c r="A22" s="23" t="n">
        <v>21</v>
      </c>
      <c r="B22" s="23" t="s">
        <v>3660</v>
      </c>
      <c r="C22" s="23" t="s">
        <v>7903</v>
      </c>
      <c r="D22" s="23" t="s">
        <v>126</v>
      </c>
      <c r="E22" s="23" t="s">
        <v>7899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7879</v>
      </c>
    </row>
    <row r="23" customFormat="false" ht="15" hidden="false" customHeight="false" outlineLevel="0" collapsed="false">
      <c r="A23" s="23" t="n">
        <v>22</v>
      </c>
      <c r="B23" s="23" t="s">
        <v>3702</v>
      </c>
      <c r="C23" s="23" t="s">
        <v>7904</v>
      </c>
      <c r="D23" s="23" t="s">
        <v>126</v>
      </c>
      <c r="E23" s="23" t="s">
        <v>7899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7879</v>
      </c>
    </row>
    <row r="24" customFormat="false" ht="15" hidden="false" customHeight="false" outlineLevel="0" collapsed="false">
      <c r="A24" s="23" t="n">
        <v>23</v>
      </c>
      <c r="B24" s="23" t="s">
        <v>3730</v>
      </c>
      <c r="C24" s="23" t="s">
        <v>7905</v>
      </c>
      <c r="D24" s="23" t="s">
        <v>126</v>
      </c>
      <c r="E24" s="23" t="s">
        <v>7906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7879</v>
      </c>
    </row>
    <row r="25" customFormat="false" ht="15" hidden="false" customHeight="false" outlineLevel="0" collapsed="false">
      <c r="A25" s="23" t="n">
        <v>24</v>
      </c>
      <c r="B25" s="23" t="s">
        <v>3950</v>
      </c>
      <c r="C25" s="23" t="s">
        <v>7907</v>
      </c>
      <c r="D25" s="23" t="s">
        <v>126</v>
      </c>
      <c r="E25" s="23" t="s">
        <v>7906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7879</v>
      </c>
    </row>
    <row r="26" customFormat="false" ht="15" hidden="false" customHeight="false" outlineLevel="0" collapsed="false">
      <c r="A26" s="23" t="n">
        <v>25</v>
      </c>
      <c r="B26" s="23" t="s">
        <v>4119</v>
      </c>
      <c r="C26" s="23" t="s">
        <v>7908</v>
      </c>
      <c r="D26" s="23" t="s">
        <v>126</v>
      </c>
      <c r="E26" s="23" t="s">
        <v>7906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7879</v>
      </c>
    </row>
    <row r="27" customFormat="false" ht="15" hidden="false" customHeight="false" outlineLevel="0" collapsed="false">
      <c r="A27" s="23" t="n">
        <v>26</v>
      </c>
      <c r="B27" s="23" t="s">
        <v>4147</v>
      </c>
      <c r="C27" s="23" t="s">
        <v>7909</v>
      </c>
      <c r="D27" s="23" t="s">
        <v>126</v>
      </c>
      <c r="E27" s="23" t="s">
        <v>7906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7879</v>
      </c>
    </row>
    <row r="28" customFormat="false" ht="15" hidden="false" customHeight="false" outlineLevel="0" collapsed="false">
      <c r="A28" s="23" t="n">
        <v>27</v>
      </c>
      <c r="B28" s="23" t="s">
        <v>4260</v>
      </c>
      <c r="C28" s="23" t="s">
        <v>7910</v>
      </c>
      <c r="D28" s="23" t="s">
        <v>126</v>
      </c>
      <c r="E28" s="23" t="s">
        <v>7906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7879</v>
      </c>
    </row>
    <row r="29" customFormat="false" ht="15" hidden="false" customHeight="false" outlineLevel="0" collapsed="false">
      <c r="A29" s="23" t="n">
        <v>28</v>
      </c>
      <c r="B29" s="23" t="s">
        <v>4373</v>
      </c>
      <c r="C29" s="23" t="s">
        <v>7911</v>
      </c>
      <c r="D29" s="23" t="s">
        <v>126</v>
      </c>
      <c r="E29" s="23" t="s">
        <v>7906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7879</v>
      </c>
    </row>
    <row r="30" customFormat="false" ht="15" hidden="false" customHeight="false" outlineLevel="0" collapsed="false">
      <c r="A30" s="23" t="n">
        <v>29</v>
      </c>
      <c r="B30" s="23" t="s">
        <v>4405</v>
      </c>
      <c r="C30" s="23" t="s">
        <v>7912</v>
      </c>
      <c r="D30" s="23" t="s">
        <v>126</v>
      </c>
      <c r="E30" s="23" t="s">
        <v>7906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7879</v>
      </c>
    </row>
    <row r="31" customFormat="false" ht="15" hidden="false" customHeight="false" outlineLevel="0" collapsed="false">
      <c r="A31" s="23" t="n">
        <v>30</v>
      </c>
      <c r="B31" s="23" t="s">
        <v>4428</v>
      </c>
      <c r="C31" s="23" t="s">
        <v>7913</v>
      </c>
      <c r="D31" s="23" t="s">
        <v>126</v>
      </c>
      <c r="E31" s="23" t="s">
        <v>7906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7879</v>
      </c>
    </row>
    <row r="32" customFormat="false" ht="15" hidden="false" customHeight="false" outlineLevel="0" collapsed="false">
      <c r="A32" s="23" t="n">
        <v>31</v>
      </c>
      <c r="B32" s="23" t="s">
        <v>4460</v>
      </c>
      <c r="C32" s="23" t="s">
        <v>7914</v>
      </c>
      <c r="D32" s="23" t="s">
        <v>126</v>
      </c>
      <c r="E32" s="23" t="s">
        <v>7906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7879</v>
      </c>
    </row>
    <row r="33" customFormat="false" ht="15" hidden="false" customHeight="false" outlineLevel="0" collapsed="false">
      <c r="A33" s="23" t="n">
        <v>32</v>
      </c>
      <c r="B33" s="23" t="s">
        <v>4469</v>
      </c>
      <c r="C33" s="23" t="s">
        <v>7915</v>
      </c>
      <c r="D33" s="23" t="s">
        <v>126</v>
      </c>
      <c r="E33" s="23" t="s">
        <v>7906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7879</v>
      </c>
    </row>
    <row r="34" customFormat="false" ht="15" hidden="false" customHeight="false" outlineLevel="0" collapsed="false">
      <c r="A34" s="23" t="n">
        <v>33</v>
      </c>
      <c r="B34" s="23" t="s">
        <v>4511</v>
      </c>
      <c r="C34" s="23" t="s">
        <v>7916</v>
      </c>
      <c r="D34" s="23" t="s">
        <v>126</v>
      </c>
      <c r="E34" s="23" t="s">
        <v>7906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7879</v>
      </c>
    </row>
    <row r="35" customFormat="false" ht="15" hidden="false" customHeight="false" outlineLevel="0" collapsed="false">
      <c r="A35" s="23" t="n">
        <v>34</v>
      </c>
      <c r="B35" s="23" t="s">
        <v>4537</v>
      </c>
      <c r="C35" s="23" t="s">
        <v>7917</v>
      </c>
      <c r="D35" s="23" t="s">
        <v>126</v>
      </c>
      <c r="E35" s="23" t="s">
        <v>7906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7879</v>
      </c>
    </row>
    <row r="36" customFormat="false" ht="15" hidden="false" customHeight="false" outlineLevel="0" collapsed="false">
      <c r="A36" s="23" t="n">
        <v>35</v>
      </c>
      <c r="B36" s="23" t="s">
        <v>4547</v>
      </c>
      <c r="C36" s="23" t="s">
        <v>7918</v>
      </c>
      <c r="D36" s="23" t="s">
        <v>126</v>
      </c>
      <c r="E36" s="23" t="s">
        <v>7906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7879</v>
      </c>
    </row>
    <row r="37" customFormat="false" ht="15" hidden="false" customHeight="false" outlineLevel="0" collapsed="false">
      <c r="A37" s="23" t="n">
        <v>36</v>
      </c>
      <c r="B37" s="23" t="s">
        <v>4572</v>
      </c>
      <c r="C37" s="23" t="s">
        <v>7919</v>
      </c>
      <c r="D37" s="23" t="s">
        <v>126</v>
      </c>
      <c r="E37" s="23" t="s">
        <v>7906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7879</v>
      </c>
    </row>
    <row r="38" customFormat="false" ht="15" hidden="false" customHeight="false" outlineLevel="0" collapsed="false">
      <c r="A38" s="23" t="n">
        <v>37</v>
      </c>
      <c r="B38" s="23" t="s">
        <v>4588</v>
      </c>
      <c r="C38" s="23" t="s">
        <v>7920</v>
      </c>
      <c r="D38" s="23" t="s">
        <v>126</v>
      </c>
      <c r="E38" s="23" t="s">
        <v>7906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7879</v>
      </c>
    </row>
    <row r="39" customFormat="false" ht="15" hidden="false" customHeight="false" outlineLevel="0" collapsed="false">
      <c r="A39" s="23" t="n">
        <v>38</v>
      </c>
      <c r="B39" s="23" t="s">
        <v>4605</v>
      </c>
      <c r="C39" s="23" t="s">
        <v>7921</v>
      </c>
      <c r="D39" s="23" t="s">
        <v>126</v>
      </c>
      <c r="E39" s="23" t="s">
        <v>7906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7879</v>
      </c>
    </row>
    <row r="40" customFormat="false" ht="15" hidden="false" customHeight="false" outlineLevel="0" collapsed="false">
      <c r="A40" s="23" t="n">
        <v>39</v>
      </c>
      <c r="B40" s="23" t="s">
        <v>4639</v>
      </c>
      <c r="C40" s="23" t="s">
        <v>7922</v>
      </c>
      <c r="D40" s="23" t="s">
        <v>126</v>
      </c>
      <c r="E40" s="23" t="s">
        <v>7906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7879</v>
      </c>
    </row>
    <row r="41" customFormat="false" ht="15" hidden="false" customHeight="false" outlineLevel="0" collapsed="false">
      <c r="A41" s="23" t="n">
        <v>40</v>
      </c>
      <c r="B41" s="23" t="s">
        <v>4669</v>
      </c>
      <c r="C41" s="23" t="s">
        <v>7923</v>
      </c>
      <c r="D41" s="23" t="s">
        <v>4666</v>
      </c>
      <c r="E41" s="23" t="s">
        <v>7924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7879</v>
      </c>
    </row>
    <row r="42" customFormat="false" ht="15" hidden="false" customHeight="false" outlineLevel="0" collapsed="false">
      <c r="A42" s="23" t="n">
        <v>41</v>
      </c>
      <c r="B42" s="23" t="s">
        <v>5144</v>
      </c>
      <c r="C42" s="23" t="s">
        <v>7925</v>
      </c>
      <c r="D42" s="23" t="s">
        <v>4666</v>
      </c>
      <c r="E42" s="23" t="s">
        <v>7924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7926</v>
      </c>
    </row>
    <row r="43" customFormat="false" ht="15" hidden="false" customHeight="false" outlineLevel="0" collapsed="false">
      <c r="A43" s="23" t="n">
        <v>42</v>
      </c>
      <c r="B43" s="23" t="s">
        <v>5252</v>
      </c>
      <c r="C43" s="23" t="s">
        <v>7927</v>
      </c>
      <c r="D43" s="23" t="s">
        <v>4666</v>
      </c>
      <c r="E43" s="23" t="s">
        <v>7924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7928</v>
      </c>
    </row>
    <row r="44" customFormat="false" ht="15" hidden="false" customHeight="false" outlineLevel="0" collapsed="false">
      <c r="A44" s="23" t="n">
        <v>43</v>
      </c>
      <c r="B44" s="23" t="s">
        <v>5500</v>
      </c>
      <c r="C44" s="23" t="s">
        <v>7929</v>
      </c>
      <c r="D44" s="23" t="s">
        <v>4666</v>
      </c>
      <c r="E44" s="23" t="s">
        <v>7924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29" t="s">
        <v>7930</v>
      </c>
    </row>
    <row r="45" customFormat="false" ht="15" hidden="false" customHeight="false" outlineLevel="0" collapsed="false">
      <c r="A45" s="23" t="n">
        <v>44</v>
      </c>
      <c r="B45" s="23" t="s">
        <v>5760</v>
      </c>
      <c r="C45" s="23" t="s">
        <v>7931</v>
      </c>
      <c r="D45" s="23" t="s">
        <v>4666</v>
      </c>
      <c r="E45" s="23" t="s">
        <v>7885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7879</v>
      </c>
    </row>
    <row r="46" customFormat="false" ht="15" hidden="false" customHeight="false" outlineLevel="0" collapsed="false">
      <c r="A46" s="23" t="n">
        <v>45</v>
      </c>
      <c r="B46" s="23" t="s">
        <v>6100</v>
      </c>
      <c r="C46" s="23" t="s">
        <v>7932</v>
      </c>
      <c r="D46" s="23" t="s">
        <v>4666</v>
      </c>
      <c r="E46" s="23" t="s">
        <v>7933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7879</v>
      </c>
    </row>
    <row r="47" customFormat="false" ht="15" hidden="false" customHeight="false" outlineLevel="0" collapsed="false">
      <c r="A47" s="23" t="n">
        <v>46</v>
      </c>
      <c r="B47" s="23" t="s">
        <v>6209</v>
      </c>
      <c r="C47" s="23" t="s">
        <v>7934</v>
      </c>
      <c r="D47" s="23" t="s">
        <v>4666</v>
      </c>
      <c r="E47" s="23" t="s">
        <v>7933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7879</v>
      </c>
    </row>
    <row r="48" customFormat="false" ht="15" hidden="false" customHeight="false" outlineLevel="0" collapsed="false">
      <c r="A48" s="23" t="n">
        <v>47</v>
      </c>
      <c r="B48" s="23" t="s">
        <v>6295</v>
      </c>
      <c r="C48" s="23" t="s">
        <v>7935</v>
      </c>
      <c r="D48" s="23" t="s">
        <v>4666</v>
      </c>
      <c r="E48" s="23" t="s">
        <v>7933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7879</v>
      </c>
    </row>
    <row r="49" customFormat="false" ht="15" hidden="false" customHeight="false" outlineLevel="0" collapsed="false">
      <c r="A49" s="23" t="n">
        <v>48</v>
      </c>
      <c r="B49" s="23" t="s">
        <v>6341</v>
      </c>
      <c r="C49" s="23" t="s">
        <v>7936</v>
      </c>
      <c r="D49" s="23" t="s">
        <v>4666</v>
      </c>
      <c r="E49" s="23" t="s">
        <v>7933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7879</v>
      </c>
    </row>
    <row r="50" customFormat="false" ht="15" hidden="false" customHeight="false" outlineLevel="0" collapsed="false">
      <c r="A50" s="23" t="n">
        <v>49</v>
      </c>
      <c r="B50" s="23" t="s">
        <v>6384</v>
      </c>
      <c r="C50" s="23" t="s">
        <v>7937</v>
      </c>
      <c r="D50" s="23" t="s">
        <v>4666</v>
      </c>
      <c r="E50" s="23" t="s">
        <v>7933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7879</v>
      </c>
    </row>
    <row r="51" customFormat="false" ht="15" hidden="false" customHeight="false" outlineLevel="0" collapsed="false">
      <c r="A51" s="23" t="n">
        <v>50</v>
      </c>
      <c r="B51" s="23" t="s">
        <v>6435</v>
      </c>
      <c r="C51" s="23" t="s">
        <v>7938</v>
      </c>
      <c r="D51" s="23" t="s">
        <v>4666</v>
      </c>
      <c r="E51" s="23" t="s">
        <v>7933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7879</v>
      </c>
    </row>
    <row r="52" customFormat="false" ht="15" hidden="false" customHeight="false" outlineLevel="0" collapsed="false">
      <c r="A52" s="23" t="n">
        <v>51</v>
      </c>
      <c r="B52" s="23" t="s">
        <v>6470</v>
      </c>
      <c r="C52" s="23" t="s">
        <v>7939</v>
      </c>
      <c r="D52" s="23" t="s">
        <v>4666</v>
      </c>
      <c r="E52" s="23" t="s">
        <v>7933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7879</v>
      </c>
    </row>
    <row r="53" customFormat="false" ht="15" hidden="false" customHeight="false" outlineLevel="0" collapsed="false">
      <c r="A53" s="23" t="n">
        <v>52</v>
      </c>
      <c r="B53" s="23" t="s">
        <v>6500</v>
      </c>
      <c r="C53" s="23" t="s">
        <v>7940</v>
      </c>
      <c r="D53" s="23" t="s">
        <v>4666</v>
      </c>
      <c r="E53" s="23" t="s">
        <v>7933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7879</v>
      </c>
    </row>
    <row r="54" customFormat="false" ht="15" hidden="false" customHeight="false" outlineLevel="0" collapsed="false">
      <c r="A54" s="23" t="n">
        <v>53</v>
      </c>
      <c r="B54" s="23" t="s">
        <v>6524</v>
      </c>
      <c r="C54" s="23" t="s">
        <v>7941</v>
      </c>
      <c r="D54" s="23" t="s">
        <v>4666</v>
      </c>
      <c r="E54" s="23" t="s">
        <v>7933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7879</v>
      </c>
    </row>
    <row r="55" customFormat="false" ht="15" hidden="false" customHeight="false" outlineLevel="0" collapsed="false">
      <c r="A55" s="23" t="n">
        <v>54</v>
      </c>
      <c r="B55" s="23" t="s">
        <v>6542</v>
      </c>
      <c r="C55" s="23" t="s">
        <v>7942</v>
      </c>
      <c r="D55" s="23" t="s">
        <v>4666</v>
      </c>
      <c r="E55" s="23" t="s">
        <v>7943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7879</v>
      </c>
    </row>
    <row r="56" customFormat="false" ht="15" hidden="false" customHeight="false" outlineLevel="0" collapsed="false">
      <c r="A56" s="23" t="n">
        <v>55</v>
      </c>
      <c r="B56" s="23" t="s">
        <v>6575</v>
      </c>
      <c r="C56" s="23" t="s">
        <v>7944</v>
      </c>
      <c r="D56" s="23" t="s">
        <v>4666</v>
      </c>
      <c r="E56" s="23" t="s">
        <v>7943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7879</v>
      </c>
    </row>
    <row r="57" customFormat="false" ht="15" hidden="false" customHeight="false" outlineLevel="0" collapsed="false">
      <c r="A57" s="23" t="n">
        <v>56</v>
      </c>
      <c r="B57" s="23" t="s">
        <v>6599</v>
      </c>
      <c r="C57" s="23" t="s">
        <v>7945</v>
      </c>
      <c r="D57" s="23" t="s">
        <v>4666</v>
      </c>
      <c r="E57" s="23" t="s">
        <v>7943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7879</v>
      </c>
    </row>
    <row r="58" customFormat="false" ht="15" hidden="false" customHeight="false" outlineLevel="0" collapsed="false">
      <c r="A58" s="23" t="n">
        <v>57</v>
      </c>
      <c r="B58" s="23" t="s">
        <v>6615</v>
      </c>
      <c r="C58" s="23" t="s">
        <v>7946</v>
      </c>
      <c r="D58" s="23" t="s">
        <v>4666</v>
      </c>
      <c r="E58" s="23" t="s">
        <v>7947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7879</v>
      </c>
    </row>
    <row r="59" customFormat="false" ht="15" hidden="false" customHeight="false" outlineLevel="0" collapsed="false">
      <c r="A59" s="23" t="n">
        <v>58</v>
      </c>
      <c r="B59" s="23" t="s">
        <v>6627</v>
      </c>
      <c r="C59" s="23" t="s">
        <v>7948</v>
      </c>
      <c r="D59" s="23" t="s">
        <v>4666</v>
      </c>
      <c r="E59" s="23" t="s">
        <v>7949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7879</v>
      </c>
    </row>
    <row r="60" customFormat="false" ht="15" hidden="false" customHeight="false" outlineLevel="0" collapsed="false">
      <c r="A60" s="23" t="n">
        <v>59</v>
      </c>
      <c r="B60" s="23" t="s">
        <v>6715</v>
      </c>
      <c r="C60" s="23" t="s">
        <v>7950</v>
      </c>
      <c r="D60" s="23" t="s">
        <v>4666</v>
      </c>
      <c r="E60" s="23" t="s">
        <v>7949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7879</v>
      </c>
    </row>
    <row r="61" customFormat="false" ht="15" hidden="false" customHeight="false" outlineLevel="0" collapsed="false">
      <c r="A61" s="23" t="n">
        <v>60</v>
      </c>
      <c r="B61" s="23" t="s">
        <v>6756</v>
      </c>
      <c r="C61" s="23" t="s">
        <v>7951</v>
      </c>
      <c r="D61" s="23" t="s">
        <v>4666</v>
      </c>
      <c r="E61" s="23" t="s">
        <v>7949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7879</v>
      </c>
    </row>
    <row r="62" customFormat="false" ht="15" hidden="false" customHeight="false" outlineLevel="0" collapsed="false">
      <c r="A62" s="23" t="n">
        <v>61</v>
      </c>
      <c r="B62" s="23" t="s">
        <v>6788</v>
      </c>
      <c r="C62" s="23" t="s">
        <v>7952</v>
      </c>
      <c r="D62" s="23" t="s">
        <v>4666</v>
      </c>
      <c r="E62" s="23" t="s">
        <v>7949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7879</v>
      </c>
    </row>
    <row r="63" customFormat="false" ht="15" hidden="false" customHeight="false" outlineLevel="0" collapsed="false">
      <c r="A63" s="23" t="n">
        <v>62</v>
      </c>
      <c r="B63" s="23" t="s">
        <v>6815</v>
      </c>
      <c r="C63" s="23" t="s">
        <v>116</v>
      </c>
      <c r="D63" s="23" t="s">
        <v>4666</v>
      </c>
      <c r="E63" s="23" t="s">
        <v>7949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7879</v>
      </c>
    </row>
    <row r="64" customFormat="false" ht="15" hidden="false" customHeight="false" outlineLevel="0" collapsed="false">
      <c r="A64" s="23" t="n">
        <v>63</v>
      </c>
      <c r="B64" s="23" t="s">
        <v>6847</v>
      </c>
      <c r="C64" s="23" t="s">
        <v>7953</v>
      </c>
      <c r="D64" s="23" t="s">
        <v>4666</v>
      </c>
      <c r="E64" s="23" t="s">
        <v>7949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7879</v>
      </c>
    </row>
    <row r="65" customFormat="false" ht="15" hidden="false" customHeight="false" outlineLevel="0" collapsed="false">
      <c r="A65" s="23" t="n">
        <v>64</v>
      </c>
      <c r="B65" s="23" t="s">
        <v>6857</v>
      </c>
      <c r="C65" s="23" t="s">
        <v>7954</v>
      </c>
      <c r="D65" s="23" t="s">
        <v>4666</v>
      </c>
      <c r="E65" s="23" t="s">
        <v>7949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7879</v>
      </c>
    </row>
    <row r="66" customFormat="false" ht="15" hidden="false" customHeight="false" outlineLevel="0" collapsed="false">
      <c r="A66" s="23" t="n">
        <v>65</v>
      </c>
      <c r="B66" s="23" t="s">
        <v>6867</v>
      </c>
      <c r="C66" s="23" t="s">
        <v>7955</v>
      </c>
      <c r="D66" s="23" t="s">
        <v>4666</v>
      </c>
      <c r="E66" s="23" t="s">
        <v>7949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7879</v>
      </c>
    </row>
    <row r="67" customFormat="false" ht="15" hidden="false" customHeight="false" outlineLevel="0" collapsed="false">
      <c r="A67" s="23" t="n">
        <v>66</v>
      </c>
      <c r="B67" s="23" t="s">
        <v>6879</v>
      </c>
      <c r="C67" s="23" t="s">
        <v>7956</v>
      </c>
      <c r="D67" s="23" t="s">
        <v>4666</v>
      </c>
      <c r="E67" s="23" t="s">
        <v>7957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7879</v>
      </c>
    </row>
    <row r="68" customFormat="false" ht="15" hidden="false" customHeight="false" outlineLevel="0" collapsed="false">
      <c r="A68" s="40"/>
      <c r="B68" s="41" t="s">
        <v>7958</v>
      </c>
      <c r="C68" s="41"/>
      <c r="D68" s="41"/>
      <c r="E68" s="41"/>
      <c r="F68" s="41" t="n">
        <f aca="false">SUM(F2:F67)</f>
        <v>1189</v>
      </c>
      <c r="G68" s="41" t="n">
        <f aca="false">SUM(G2:G67)</f>
        <v>798</v>
      </c>
      <c r="H68" s="41" t="n">
        <f aca="false">SUM(H2:H67)</f>
        <v>286</v>
      </c>
      <c r="I68" s="41" t="n">
        <f aca="false">SUM(I2:I67)</f>
        <v>512</v>
      </c>
      <c r="J68" s="41"/>
      <c r="K68" s="41" t="n">
        <f aca="false">SUM(K2:K67)</f>
        <v>798</v>
      </c>
      <c r="L68" s="41"/>
      <c r="M68" s="41"/>
      <c r="N68" s="4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</cols>
  <sheetData>
    <row r="1" customFormat="false" ht="30" hidden="false" customHeight="true" outlineLevel="0" collapsed="false">
      <c r="A1" s="16" t="s">
        <v>39</v>
      </c>
      <c r="B1" s="16" t="s">
        <v>7959</v>
      </c>
      <c r="C1" s="16" t="s">
        <v>7960</v>
      </c>
      <c r="D1" s="16" t="s">
        <v>105</v>
      </c>
      <c r="E1" s="16" t="s">
        <v>7961</v>
      </c>
      <c r="F1" s="16" t="s">
        <v>7962</v>
      </c>
      <c r="G1" s="16" t="s">
        <v>106</v>
      </c>
      <c r="H1" s="16" t="s">
        <v>107</v>
      </c>
      <c r="I1" s="16" t="s">
        <v>108</v>
      </c>
      <c r="J1" s="16" t="s">
        <v>109</v>
      </c>
      <c r="K1" s="16" t="s">
        <v>7963</v>
      </c>
      <c r="L1" s="16" t="s">
        <v>111</v>
      </c>
      <c r="M1" s="16" t="s">
        <v>112</v>
      </c>
      <c r="N1" s="16" t="s">
        <v>100</v>
      </c>
      <c r="O1" s="16" t="s">
        <v>7964</v>
      </c>
      <c r="P1" s="16" t="s">
        <v>114</v>
      </c>
      <c r="Q1" s="16" t="s">
        <v>115</v>
      </c>
      <c r="R1" s="16" t="s">
        <v>116</v>
      </c>
      <c r="S1" s="16" t="s">
        <v>117</v>
      </c>
      <c r="T1" s="16" t="s">
        <v>118</v>
      </c>
      <c r="U1" s="16" t="s">
        <v>119</v>
      </c>
      <c r="V1" s="16" t="s">
        <v>120</v>
      </c>
      <c r="W1" s="16" t="s">
        <v>121</v>
      </c>
      <c r="X1" s="16" t="s">
        <v>122</v>
      </c>
    </row>
    <row r="2" customFormat="false" ht="26.85" hidden="false" customHeight="false" outlineLevel="0" collapsed="false">
      <c r="A2" s="23" t="n">
        <v>1</v>
      </c>
      <c r="B2" s="30" t="s">
        <v>7965</v>
      </c>
      <c r="C2" s="23" t="s">
        <v>7966</v>
      </c>
      <c r="D2" s="23" t="s">
        <v>7967</v>
      </c>
      <c r="E2" s="20" t="s">
        <v>7968</v>
      </c>
      <c r="F2" s="19" t="s">
        <v>3327</v>
      </c>
      <c r="G2" s="24" t="s">
        <v>3332</v>
      </c>
      <c r="H2" s="24" t="s">
        <v>3333</v>
      </c>
      <c r="I2" s="23" t="s">
        <v>3334</v>
      </c>
      <c r="J2" s="24" t="s">
        <v>3335</v>
      </c>
      <c r="K2" s="24"/>
      <c r="L2" s="24" t="s">
        <v>3337</v>
      </c>
      <c r="M2" s="24"/>
      <c r="N2" s="23" t="str">
        <f aca="false">"시편 #"&amp;TEXT(A2,"000")</f>
        <v>시편 #001</v>
      </c>
      <c r="O2" s="30" t="s">
        <v>7969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140</v>
      </c>
      <c r="U2" s="23" t="s">
        <v>140</v>
      </c>
      <c r="V2" s="23" t="s">
        <v>140</v>
      </c>
      <c r="W2" s="23" t="s">
        <v>140</v>
      </c>
      <c r="X2" s="24"/>
    </row>
    <row r="3" customFormat="false" ht="26.85" hidden="false" customHeight="false" outlineLevel="0" collapsed="false">
      <c r="A3" s="23" t="n">
        <v>2</v>
      </c>
      <c r="B3" s="30" t="s">
        <v>7970</v>
      </c>
      <c r="C3" s="23" t="s">
        <v>7966</v>
      </c>
      <c r="D3" s="23" t="s">
        <v>7971</v>
      </c>
      <c r="E3" s="20" t="s">
        <v>7972</v>
      </c>
      <c r="F3" s="19" t="s">
        <v>3338</v>
      </c>
      <c r="G3" s="24" t="s">
        <v>3340</v>
      </c>
      <c r="H3" s="24" t="s">
        <v>3341</v>
      </c>
      <c r="I3" s="23" t="s">
        <v>3342</v>
      </c>
      <c r="J3" s="24" t="s">
        <v>3343</v>
      </c>
      <c r="K3" s="24"/>
      <c r="L3" s="24" t="s">
        <v>3345</v>
      </c>
      <c r="M3" s="25" t="s">
        <v>3346</v>
      </c>
      <c r="N3" s="23" t="str">
        <f aca="false">"시편 #"&amp;TEXT(A3,"000")</f>
        <v>시편 #002</v>
      </c>
      <c r="O3" s="30" t="s">
        <v>7969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140</v>
      </c>
      <c r="U3" s="23" t="s">
        <v>140</v>
      </c>
      <c r="V3" s="23" t="s">
        <v>140</v>
      </c>
      <c r="W3" s="23" t="s">
        <v>140</v>
      </c>
      <c r="X3" s="24"/>
    </row>
    <row r="4" customFormat="false" ht="26.85" hidden="false" customHeight="false" outlineLevel="0" collapsed="false">
      <c r="A4" s="23" t="n">
        <v>3</v>
      </c>
      <c r="B4" s="30" t="s">
        <v>7973</v>
      </c>
      <c r="C4" s="23" t="s">
        <v>7966</v>
      </c>
      <c r="D4" s="23" t="s">
        <v>7974</v>
      </c>
      <c r="E4" s="23" t="s">
        <v>7975</v>
      </c>
      <c r="F4" s="23"/>
      <c r="G4" s="24" t="s">
        <v>7976</v>
      </c>
      <c r="H4" s="24" t="s">
        <v>7977</v>
      </c>
      <c r="I4" s="23" t="s">
        <v>7978</v>
      </c>
      <c r="J4" s="24" t="s">
        <v>7979</v>
      </c>
      <c r="K4" s="24" t="s">
        <v>7980</v>
      </c>
      <c r="L4" s="24" t="s">
        <v>7981</v>
      </c>
      <c r="M4" s="24"/>
      <c r="N4" s="23" t="str">
        <f aca="false">"시편 #"&amp;TEXT(A4,"000")</f>
        <v>시편 #003</v>
      </c>
      <c r="O4" s="30" t="s">
        <v>7969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140</v>
      </c>
      <c r="U4" s="23" t="s">
        <v>140</v>
      </c>
      <c r="V4" s="23" t="s">
        <v>140</v>
      </c>
      <c r="W4" s="23" t="s">
        <v>140</v>
      </c>
      <c r="X4" s="24"/>
    </row>
    <row r="5" customFormat="false" ht="15" hidden="false" customHeight="false" outlineLevel="0" collapsed="false">
      <c r="A5" s="23" t="n">
        <v>4</v>
      </c>
      <c r="B5" s="30" t="s">
        <v>7982</v>
      </c>
      <c r="C5" s="23" t="s">
        <v>7966</v>
      </c>
      <c r="D5" s="23" t="s">
        <v>7983</v>
      </c>
      <c r="E5" s="23" t="s">
        <v>7975</v>
      </c>
      <c r="F5" s="23"/>
      <c r="G5" s="24" t="s">
        <v>7984</v>
      </c>
      <c r="H5" s="24" t="s">
        <v>7985</v>
      </c>
      <c r="I5" s="23" t="s">
        <v>7986</v>
      </c>
      <c r="J5" s="24" t="s">
        <v>7987</v>
      </c>
      <c r="K5" s="24" t="s">
        <v>3354</v>
      </c>
      <c r="L5" s="24" t="s">
        <v>7988</v>
      </c>
      <c r="M5" s="24"/>
      <c r="N5" s="23" t="str">
        <f aca="false">"시편 #"&amp;TEXT(A5,"000")</f>
        <v>시편 #004</v>
      </c>
      <c r="O5" s="30" t="s">
        <v>7969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140</v>
      </c>
      <c r="U5" s="23" t="s">
        <v>140</v>
      </c>
      <c r="V5" s="23" t="s">
        <v>140</v>
      </c>
      <c r="W5" s="23" t="s">
        <v>140</v>
      </c>
      <c r="X5" s="24"/>
    </row>
    <row r="6" customFormat="false" ht="15" hidden="false" customHeight="false" outlineLevel="0" collapsed="false">
      <c r="A6" s="23" t="n">
        <v>5</v>
      </c>
      <c r="B6" s="30" t="s">
        <v>7989</v>
      </c>
      <c r="C6" s="23" t="s">
        <v>7966</v>
      </c>
      <c r="D6" s="23" t="s">
        <v>7974</v>
      </c>
      <c r="E6" s="23" t="s">
        <v>7975</v>
      </c>
      <c r="F6" s="23"/>
      <c r="G6" s="24" t="s">
        <v>7990</v>
      </c>
      <c r="H6" s="24" t="s">
        <v>7991</v>
      </c>
      <c r="I6" s="23" t="s">
        <v>7992</v>
      </c>
      <c r="J6" s="24" t="s">
        <v>7993</v>
      </c>
      <c r="K6" s="24" t="s">
        <v>3354</v>
      </c>
      <c r="L6" s="24" t="s">
        <v>7994</v>
      </c>
      <c r="M6" s="24"/>
      <c r="N6" s="23" t="str">
        <f aca="false">"시편 #"&amp;TEXT(A6,"000")</f>
        <v>시편 #005</v>
      </c>
      <c r="O6" s="30" t="s">
        <v>7969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140</v>
      </c>
      <c r="U6" s="23" t="s">
        <v>140</v>
      </c>
      <c r="V6" s="23" t="s">
        <v>140</v>
      </c>
      <c r="W6" s="23" t="s">
        <v>140</v>
      </c>
      <c r="X6" s="24"/>
    </row>
    <row r="7" customFormat="false" ht="15" hidden="false" customHeight="false" outlineLevel="0" collapsed="false">
      <c r="A7" s="23" t="n">
        <v>6</v>
      </c>
      <c r="B7" s="30" t="s">
        <v>7995</v>
      </c>
      <c r="C7" s="23" t="s">
        <v>7966</v>
      </c>
      <c r="D7" s="23" t="s">
        <v>7996</v>
      </c>
      <c r="E7" s="23" t="s">
        <v>7975</v>
      </c>
      <c r="F7" s="23"/>
      <c r="G7" s="24" t="s">
        <v>7997</v>
      </c>
      <c r="H7" s="24" t="s">
        <v>7998</v>
      </c>
      <c r="I7" s="23" t="s">
        <v>7999</v>
      </c>
      <c r="J7" s="24" t="s">
        <v>8000</v>
      </c>
      <c r="K7" s="24" t="s">
        <v>8001</v>
      </c>
      <c r="L7" s="24" t="s">
        <v>8002</v>
      </c>
      <c r="M7" s="24"/>
      <c r="N7" s="23" t="str">
        <f aca="false">"시편 #"&amp;TEXT(A7,"000")</f>
        <v>시편 #006</v>
      </c>
      <c r="O7" s="30" t="s">
        <v>7969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140</v>
      </c>
      <c r="U7" s="23" t="s">
        <v>140</v>
      </c>
      <c r="V7" s="23" t="s">
        <v>140</v>
      </c>
      <c r="W7" s="23" t="s">
        <v>140</v>
      </c>
      <c r="X7" s="24"/>
    </row>
    <row r="8" customFormat="false" ht="26.85" hidden="false" customHeight="false" outlineLevel="0" collapsed="false">
      <c r="A8" s="23" t="n">
        <v>7</v>
      </c>
      <c r="B8" s="30" t="s">
        <v>8003</v>
      </c>
      <c r="C8" s="23" t="s">
        <v>7966</v>
      </c>
      <c r="D8" s="23" t="s">
        <v>7974</v>
      </c>
      <c r="E8" s="23" t="s">
        <v>7975</v>
      </c>
      <c r="F8" s="23"/>
      <c r="G8" s="24" t="s">
        <v>8004</v>
      </c>
      <c r="H8" s="24" t="s">
        <v>8005</v>
      </c>
      <c r="I8" s="23" t="s">
        <v>8006</v>
      </c>
      <c r="J8" s="24" t="s">
        <v>8007</v>
      </c>
      <c r="K8" s="24" t="s">
        <v>8008</v>
      </c>
      <c r="L8" s="24" t="s">
        <v>8009</v>
      </c>
      <c r="M8" s="25" t="s">
        <v>8010</v>
      </c>
      <c r="N8" s="23" t="str">
        <f aca="false">"시편 #"&amp;TEXT(A8,"000")</f>
        <v>시편 #007</v>
      </c>
      <c r="O8" s="30" t="s">
        <v>7969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140</v>
      </c>
      <c r="U8" s="23" t="s">
        <v>140</v>
      </c>
      <c r="V8" s="23" t="s">
        <v>140</v>
      </c>
      <c r="W8" s="23" t="s">
        <v>140</v>
      </c>
      <c r="X8" s="24"/>
    </row>
    <row r="9" customFormat="false" ht="26.85" hidden="false" customHeight="false" outlineLevel="0" collapsed="false">
      <c r="A9" s="23" t="n">
        <v>8</v>
      </c>
      <c r="B9" s="30" t="s">
        <v>8011</v>
      </c>
      <c r="C9" s="23" t="s">
        <v>7966</v>
      </c>
      <c r="D9" s="23" t="s">
        <v>8012</v>
      </c>
      <c r="E9" s="20" t="s">
        <v>8013</v>
      </c>
      <c r="F9" s="19" t="s">
        <v>3348</v>
      </c>
      <c r="G9" s="24" t="s">
        <v>3350</v>
      </c>
      <c r="H9" s="24" t="s">
        <v>3351</v>
      </c>
      <c r="I9" s="23" t="s">
        <v>3352</v>
      </c>
      <c r="J9" s="24" t="s">
        <v>3353</v>
      </c>
      <c r="K9" s="24"/>
      <c r="L9" s="24" t="s">
        <v>3355</v>
      </c>
      <c r="M9" s="24"/>
      <c r="N9" s="23" t="str">
        <f aca="false">"시편 #"&amp;TEXT(A9,"000")</f>
        <v>시편 #008</v>
      </c>
      <c r="O9" s="30" t="s">
        <v>7969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140</v>
      </c>
      <c r="U9" s="23" t="s">
        <v>140</v>
      </c>
      <c r="V9" s="23" t="s">
        <v>140</v>
      </c>
      <c r="W9" s="23" t="s">
        <v>140</v>
      </c>
      <c r="X9" s="24"/>
    </row>
    <row r="10" customFormat="false" ht="26.85" hidden="false" customHeight="false" outlineLevel="0" collapsed="false">
      <c r="A10" s="23" t="n">
        <v>9</v>
      </c>
      <c r="B10" s="30" t="s">
        <v>8014</v>
      </c>
      <c r="C10" s="23" t="s">
        <v>7966</v>
      </c>
      <c r="D10" s="23" t="s">
        <v>8015</v>
      </c>
      <c r="E10" s="23" t="s">
        <v>7975</v>
      </c>
      <c r="F10" s="23"/>
      <c r="G10" s="24" t="s">
        <v>8016</v>
      </c>
      <c r="H10" s="24" t="s">
        <v>8017</v>
      </c>
      <c r="I10" s="23" t="s">
        <v>8018</v>
      </c>
      <c r="J10" s="24" t="s">
        <v>8019</v>
      </c>
      <c r="K10" s="24" t="s">
        <v>3354</v>
      </c>
      <c r="L10" s="24" t="s">
        <v>8020</v>
      </c>
      <c r="M10" s="24"/>
      <c r="N10" s="23" t="str">
        <f aca="false">"시편 #"&amp;TEXT(A10,"000")</f>
        <v>시편 #009</v>
      </c>
      <c r="O10" s="30" t="s">
        <v>7969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140</v>
      </c>
      <c r="U10" s="23" t="s">
        <v>140</v>
      </c>
      <c r="V10" s="23" t="s">
        <v>140</v>
      </c>
      <c r="W10" s="23" t="s">
        <v>140</v>
      </c>
      <c r="X10" s="24"/>
    </row>
    <row r="11" customFormat="false" ht="26.85" hidden="false" customHeight="false" outlineLevel="0" collapsed="false">
      <c r="A11" s="23" t="n">
        <v>10</v>
      </c>
      <c r="B11" s="30" t="s">
        <v>8021</v>
      </c>
      <c r="C11" s="23" t="s">
        <v>7966</v>
      </c>
      <c r="D11" s="23" t="s">
        <v>7974</v>
      </c>
      <c r="E11" s="23" t="s">
        <v>7975</v>
      </c>
      <c r="F11" s="23"/>
      <c r="G11" s="24" t="s">
        <v>8022</v>
      </c>
      <c r="H11" s="24" t="s">
        <v>8023</v>
      </c>
      <c r="I11" s="23" t="s">
        <v>8024</v>
      </c>
      <c r="J11" s="24" t="s">
        <v>8025</v>
      </c>
      <c r="K11" s="24" t="s">
        <v>8026</v>
      </c>
      <c r="L11" s="24" t="s">
        <v>8027</v>
      </c>
      <c r="M11" s="24"/>
      <c r="N11" s="23" t="str">
        <f aca="false">"시편 #"&amp;TEXT(A11,"000")</f>
        <v>시편 #010</v>
      </c>
      <c r="O11" s="30" t="s">
        <v>7969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140</v>
      </c>
      <c r="U11" s="23" t="s">
        <v>140</v>
      </c>
      <c r="V11" s="23" t="s">
        <v>140</v>
      </c>
      <c r="W11" s="23" t="s">
        <v>140</v>
      </c>
      <c r="X11" s="24"/>
    </row>
    <row r="12" customFormat="false" ht="26.85" hidden="false" customHeight="false" outlineLevel="0" collapsed="false">
      <c r="A12" s="23" t="n">
        <v>11</v>
      </c>
      <c r="B12" s="30" t="s">
        <v>8028</v>
      </c>
      <c r="C12" s="23" t="s">
        <v>7966</v>
      </c>
      <c r="D12" s="23" t="s">
        <v>7983</v>
      </c>
      <c r="E12" s="23" t="s">
        <v>7975</v>
      </c>
      <c r="F12" s="23"/>
      <c r="G12" s="24" t="s">
        <v>8029</v>
      </c>
      <c r="H12" s="24" t="s">
        <v>8030</v>
      </c>
      <c r="I12" s="23" t="s">
        <v>8031</v>
      </c>
      <c r="J12" s="24" t="s">
        <v>8032</v>
      </c>
      <c r="K12" s="24" t="s">
        <v>3354</v>
      </c>
      <c r="L12" s="24" t="s">
        <v>8033</v>
      </c>
      <c r="M12" s="24"/>
      <c r="N12" s="23" t="str">
        <f aca="false">"시편 #"&amp;TEXT(A12,"000")</f>
        <v>시편 #011</v>
      </c>
      <c r="O12" s="30" t="s">
        <v>8034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140</v>
      </c>
      <c r="U12" s="23" t="s">
        <v>140</v>
      </c>
      <c r="V12" s="23" t="s">
        <v>140</v>
      </c>
      <c r="W12" s="23" t="s">
        <v>140</v>
      </c>
      <c r="X12" s="24"/>
    </row>
    <row r="13" customFormat="false" ht="26.85" hidden="false" customHeight="false" outlineLevel="0" collapsed="false">
      <c r="A13" s="23" t="n">
        <v>12</v>
      </c>
      <c r="B13" s="30" t="s">
        <v>8035</v>
      </c>
      <c r="C13" s="23" t="s">
        <v>7966</v>
      </c>
      <c r="D13" s="23" t="s">
        <v>7974</v>
      </c>
      <c r="E13" s="23" t="s">
        <v>7975</v>
      </c>
      <c r="F13" s="23"/>
      <c r="G13" s="24" t="s">
        <v>8036</v>
      </c>
      <c r="H13" s="24" t="s">
        <v>8037</v>
      </c>
      <c r="I13" s="23" t="s">
        <v>8038</v>
      </c>
      <c r="J13" s="24" t="s">
        <v>8039</v>
      </c>
      <c r="K13" s="24" t="s">
        <v>3354</v>
      </c>
      <c r="L13" s="24" t="s">
        <v>8040</v>
      </c>
      <c r="M13" s="24"/>
      <c r="N13" s="23" t="str">
        <f aca="false">"시편 #"&amp;TEXT(A13,"000")</f>
        <v>시편 #012</v>
      </c>
      <c r="O13" s="30" t="s">
        <v>8034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140</v>
      </c>
      <c r="U13" s="23" t="s">
        <v>140</v>
      </c>
      <c r="V13" s="23" t="s">
        <v>140</v>
      </c>
      <c r="W13" s="23" t="s">
        <v>140</v>
      </c>
      <c r="X13" s="24"/>
    </row>
    <row r="14" customFormat="false" ht="26.85" hidden="false" customHeight="false" outlineLevel="0" collapsed="false">
      <c r="A14" s="23" t="n">
        <v>13</v>
      </c>
      <c r="B14" s="30" t="s">
        <v>8041</v>
      </c>
      <c r="C14" s="23" t="s">
        <v>7966</v>
      </c>
      <c r="D14" s="23" t="s">
        <v>7974</v>
      </c>
      <c r="E14" s="23" t="s">
        <v>7975</v>
      </c>
      <c r="F14" s="23"/>
      <c r="G14" s="24" t="s">
        <v>8042</v>
      </c>
      <c r="H14" s="24" t="s">
        <v>8043</v>
      </c>
      <c r="I14" s="23" t="s">
        <v>8044</v>
      </c>
      <c r="J14" s="24" t="s">
        <v>8045</v>
      </c>
      <c r="K14" s="24" t="s">
        <v>3354</v>
      </c>
      <c r="L14" s="24" t="s">
        <v>8046</v>
      </c>
      <c r="M14" s="24"/>
      <c r="N14" s="23" t="str">
        <f aca="false">"시편 #"&amp;TEXT(A14,"000")</f>
        <v>시편 #013</v>
      </c>
      <c r="O14" s="30" t="s">
        <v>8034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140</v>
      </c>
      <c r="U14" s="23" t="s">
        <v>140</v>
      </c>
      <c r="V14" s="23" t="s">
        <v>140</v>
      </c>
      <c r="W14" s="23" t="s">
        <v>140</v>
      </c>
      <c r="X14" s="24"/>
    </row>
    <row r="15" customFormat="false" ht="26.85" hidden="false" customHeight="false" outlineLevel="0" collapsed="false">
      <c r="A15" s="23" t="n">
        <v>14</v>
      </c>
      <c r="B15" s="30" t="s">
        <v>8047</v>
      </c>
      <c r="C15" s="23" t="s">
        <v>7966</v>
      </c>
      <c r="D15" s="23" t="s">
        <v>7967</v>
      </c>
      <c r="E15" s="23" t="s">
        <v>7975</v>
      </c>
      <c r="F15" s="23"/>
      <c r="G15" s="24" t="s">
        <v>8048</v>
      </c>
      <c r="H15" s="24" t="s">
        <v>8049</v>
      </c>
      <c r="I15" s="23" t="s">
        <v>8050</v>
      </c>
      <c r="J15" s="24" t="s">
        <v>8051</v>
      </c>
      <c r="K15" s="24" t="s">
        <v>3354</v>
      </c>
      <c r="L15" s="24" t="s">
        <v>8052</v>
      </c>
      <c r="M15" s="25" t="s">
        <v>8053</v>
      </c>
      <c r="N15" s="23" t="str">
        <f aca="false">"시편 #"&amp;TEXT(A15,"000")</f>
        <v>시편 #014</v>
      </c>
      <c r="O15" s="30" t="s">
        <v>8034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140</v>
      </c>
      <c r="U15" s="23" t="s">
        <v>140</v>
      </c>
      <c r="V15" s="23" t="s">
        <v>140</v>
      </c>
      <c r="W15" s="23" t="s">
        <v>140</v>
      </c>
      <c r="X15" s="24"/>
    </row>
    <row r="16" customFormat="false" ht="26.85" hidden="false" customHeight="false" outlineLevel="0" collapsed="false">
      <c r="A16" s="23" t="n">
        <v>15</v>
      </c>
      <c r="B16" s="30" t="s">
        <v>8054</v>
      </c>
      <c r="C16" s="23" t="s">
        <v>7966</v>
      </c>
      <c r="D16" s="23" t="s">
        <v>7967</v>
      </c>
      <c r="E16" s="23" t="s">
        <v>7975</v>
      </c>
      <c r="F16" s="23"/>
      <c r="G16" s="24" t="s">
        <v>8055</v>
      </c>
      <c r="H16" s="24" t="s">
        <v>8056</v>
      </c>
      <c r="I16" s="23" t="s">
        <v>8057</v>
      </c>
      <c r="J16" s="24" t="s">
        <v>8058</v>
      </c>
      <c r="K16" s="24" t="s">
        <v>3354</v>
      </c>
      <c r="L16" s="24" t="s">
        <v>1320</v>
      </c>
      <c r="M16" s="25" t="s">
        <v>8059</v>
      </c>
      <c r="N16" s="23" t="str">
        <f aca="false">"시편 #"&amp;TEXT(A16,"000")</f>
        <v>시편 #015</v>
      </c>
      <c r="O16" s="30" t="s">
        <v>8034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140</v>
      </c>
      <c r="U16" s="23" t="s">
        <v>140</v>
      </c>
      <c r="V16" s="23" t="s">
        <v>140</v>
      </c>
      <c r="W16" s="23" t="s">
        <v>140</v>
      </c>
      <c r="X16" s="24"/>
    </row>
    <row r="17" customFormat="false" ht="26.85" hidden="false" customHeight="false" outlineLevel="0" collapsed="false">
      <c r="A17" s="23" t="n">
        <v>16</v>
      </c>
      <c r="B17" s="30" t="s">
        <v>8060</v>
      </c>
      <c r="C17" s="23" t="s">
        <v>7966</v>
      </c>
      <c r="D17" s="23" t="s">
        <v>7983</v>
      </c>
      <c r="E17" s="23" t="s">
        <v>7975</v>
      </c>
      <c r="F17" s="23"/>
      <c r="G17" s="24" t="s">
        <v>8061</v>
      </c>
      <c r="H17" s="24" t="s">
        <v>8062</v>
      </c>
      <c r="I17" s="23" t="s">
        <v>8063</v>
      </c>
      <c r="J17" s="24" t="s">
        <v>8064</v>
      </c>
      <c r="K17" s="24" t="s">
        <v>8065</v>
      </c>
      <c r="L17" s="24" t="s">
        <v>8066</v>
      </c>
      <c r="M17" s="27" t="s">
        <v>8067</v>
      </c>
      <c r="N17" s="23" t="str">
        <f aca="false">"시편 #"&amp;TEXT(A17,"000")</f>
        <v>시편 #016</v>
      </c>
      <c r="O17" s="30" t="s">
        <v>8034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140</v>
      </c>
      <c r="U17" s="23" t="s">
        <v>140</v>
      </c>
      <c r="V17" s="23" t="s">
        <v>140</v>
      </c>
      <c r="W17" s="23" t="s">
        <v>140</v>
      </c>
      <c r="X17" s="24"/>
    </row>
    <row r="18" customFormat="false" ht="26.85" hidden="false" customHeight="false" outlineLevel="0" collapsed="false">
      <c r="A18" s="23" t="n">
        <v>17</v>
      </c>
      <c r="B18" s="30" t="s">
        <v>8068</v>
      </c>
      <c r="C18" s="23" t="s">
        <v>7966</v>
      </c>
      <c r="D18" s="23" t="s">
        <v>7974</v>
      </c>
      <c r="E18" s="23" t="s">
        <v>7975</v>
      </c>
      <c r="F18" s="23"/>
      <c r="G18" s="24" t="s">
        <v>8069</v>
      </c>
      <c r="H18" s="24" t="s">
        <v>8070</v>
      </c>
      <c r="I18" s="23" t="s">
        <v>8071</v>
      </c>
      <c r="J18" s="24" t="s">
        <v>8072</v>
      </c>
      <c r="K18" s="24" t="s">
        <v>3354</v>
      </c>
      <c r="L18" s="24" t="s">
        <v>8073</v>
      </c>
      <c r="M18" s="24"/>
      <c r="N18" s="23" t="str">
        <f aca="false">"시편 #"&amp;TEXT(A18,"000")</f>
        <v>시편 #017</v>
      </c>
      <c r="O18" s="30" t="s">
        <v>8034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140</v>
      </c>
      <c r="U18" s="23" t="s">
        <v>140</v>
      </c>
      <c r="V18" s="23" t="s">
        <v>140</v>
      </c>
      <c r="W18" s="23" t="s">
        <v>140</v>
      </c>
      <c r="X18" s="24"/>
    </row>
    <row r="19" customFormat="false" ht="26.85" hidden="false" customHeight="false" outlineLevel="0" collapsed="false">
      <c r="A19" s="23" t="n">
        <v>18</v>
      </c>
      <c r="B19" s="30" t="s">
        <v>8074</v>
      </c>
      <c r="C19" s="23" t="s">
        <v>7966</v>
      </c>
      <c r="D19" s="23" t="s">
        <v>8015</v>
      </c>
      <c r="E19" s="23" t="s">
        <v>7975</v>
      </c>
      <c r="F19" s="23"/>
      <c r="G19" s="24" t="s">
        <v>8075</v>
      </c>
      <c r="H19" s="24" t="s">
        <v>8076</v>
      </c>
      <c r="I19" s="23" t="s">
        <v>8077</v>
      </c>
      <c r="J19" s="24" t="s">
        <v>8078</v>
      </c>
      <c r="K19" s="24" t="s">
        <v>8079</v>
      </c>
      <c r="L19" s="24" t="s">
        <v>8080</v>
      </c>
      <c r="M19" s="25" t="s">
        <v>8081</v>
      </c>
      <c r="N19" s="23" t="str">
        <f aca="false">"시편 #"&amp;TEXT(A19,"000")</f>
        <v>시편 #018</v>
      </c>
      <c r="O19" s="30" t="s">
        <v>8034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140</v>
      </c>
      <c r="U19" s="23" t="s">
        <v>140</v>
      </c>
      <c r="V19" s="23" t="s">
        <v>140</v>
      </c>
      <c r="W19" s="23" t="s">
        <v>140</v>
      </c>
      <c r="X19" s="24"/>
    </row>
    <row r="20" customFormat="false" ht="26.85" hidden="false" customHeight="false" outlineLevel="0" collapsed="false">
      <c r="A20" s="23" t="n">
        <v>19</v>
      </c>
      <c r="B20" s="30" t="s">
        <v>8082</v>
      </c>
      <c r="C20" s="23" t="s">
        <v>7966</v>
      </c>
      <c r="D20" s="23" t="s">
        <v>8012</v>
      </c>
      <c r="E20" s="20" t="s">
        <v>8083</v>
      </c>
      <c r="F20" s="19" t="s">
        <v>3356</v>
      </c>
      <c r="G20" s="24" t="s">
        <v>3358</v>
      </c>
      <c r="H20" s="24" t="s">
        <v>3359</v>
      </c>
      <c r="I20" s="23" t="s">
        <v>3360</v>
      </c>
      <c r="J20" s="24" t="s">
        <v>3361</v>
      </c>
      <c r="K20" s="24"/>
      <c r="L20" s="24" t="s">
        <v>3362</v>
      </c>
      <c r="M20" s="24"/>
      <c r="N20" s="23" t="str">
        <f aca="false">"시편 #"&amp;TEXT(A20,"000")</f>
        <v>시편 #019</v>
      </c>
      <c r="O20" s="30" t="s">
        <v>8034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140</v>
      </c>
      <c r="U20" s="23" t="s">
        <v>140</v>
      </c>
      <c r="V20" s="23" t="s">
        <v>140</v>
      </c>
      <c r="W20" s="23" t="s">
        <v>140</v>
      </c>
      <c r="X20" s="24"/>
    </row>
    <row r="21" customFormat="false" ht="15" hidden="false" customHeight="false" outlineLevel="0" collapsed="false">
      <c r="A21" s="23" t="n">
        <v>20</v>
      </c>
      <c r="B21" s="30" t="s">
        <v>8084</v>
      </c>
      <c r="C21" s="23" t="s">
        <v>7966</v>
      </c>
      <c r="D21" s="23" t="s">
        <v>7983</v>
      </c>
      <c r="E21" s="23" t="s">
        <v>7975</v>
      </c>
      <c r="F21" s="23"/>
      <c r="G21" s="24" t="s">
        <v>8085</v>
      </c>
      <c r="H21" s="24" t="s">
        <v>8086</v>
      </c>
      <c r="I21" s="23" t="s">
        <v>8087</v>
      </c>
      <c r="J21" s="24" t="s">
        <v>8088</v>
      </c>
      <c r="K21" s="24" t="s">
        <v>3354</v>
      </c>
      <c r="L21" s="24" t="s">
        <v>8089</v>
      </c>
      <c r="M21" s="24"/>
      <c r="N21" s="23" t="str">
        <f aca="false">"시편 #"&amp;TEXT(A21,"000")</f>
        <v>시편 #020</v>
      </c>
      <c r="O21" s="30" t="s">
        <v>8034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140</v>
      </c>
      <c r="U21" s="23" t="s">
        <v>140</v>
      </c>
      <c r="V21" s="23" t="s">
        <v>140</v>
      </c>
      <c r="W21" s="23" t="s">
        <v>140</v>
      </c>
      <c r="X21" s="24"/>
    </row>
    <row r="22" customFormat="false" ht="26.85" hidden="false" customHeight="false" outlineLevel="0" collapsed="false">
      <c r="A22" s="23" t="n">
        <v>21</v>
      </c>
      <c r="B22" s="30" t="s">
        <v>8090</v>
      </c>
      <c r="C22" s="23" t="s">
        <v>7966</v>
      </c>
      <c r="D22" s="23" t="s">
        <v>7971</v>
      </c>
      <c r="E22" s="23" t="s">
        <v>7975</v>
      </c>
      <c r="F22" s="23"/>
      <c r="G22" s="24" t="s">
        <v>8091</v>
      </c>
      <c r="H22" s="24" t="s">
        <v>8092</v>
      </c>
      <c r="I22" s="23" t="s">
        <v>8093</v>
      </c>
      <c r="J22" s="24" t="s">
        <v>8094</v>
      </c>
      <c r="K22" s="24" t="s">
        <v>3354</v>
      </c>
      <c r="L22" s="24" t="s">
        <v>8095</v>
      </c>
      <c r="M22" s="24"/>
      <c r="N22" s="23" t="str">
        <f aca="false">"시편 #"&amp;TEXT(A22,"000")</f>
        <v>시편 #021</v>
      </c>
      <c r="O22" s="30" t="s">
        <v>8096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140</v>
      </c>
      <c r="U22" s="23" t="s">
        <v>140</v>
      </c>
      <c r="V22" s="23" t="s">
        <v>140</v>
      </c>
      <c r="W22" s="23" t="s">
        <v>140</v>
      </c>
      <c r="X22" s="24"/>
    </row>
    <row r="23" customFormat="false" ht="26.85" hidden="false" customHeight="false" outlineLevel="0" collapsed="false">
      <c r="A23" s="23" t="n">
        <v>22</v>
      </c>
      <c r="B23" s="30" t="s">
        <v>8097</v>
      </c>
      <c r="C23" s="23" t="s">
        <v>7966</v>
      </c>
      <c r="D23" s="23" t="s">
        <v>3522</v>
      </c>
      <c r="E23" s="20" t="s">
        <v>8098</v>
      </c>
      <c r="F23" s="19" t="s">
        <v>3363</v>
      </c>
      <c r="G23" s="24" t="s">
        <v>3365</v>
      </c>
      <c r="H23" s="24" t="s">
        <v>3366</v>
      </c>
      <c r="I23" s="23" t="s">
        <v>3367</v>
      </c>
      <c r="J23" s="24" t="s">
        <v>3368</v>
      </c>
      <c r="K23" s="24"/>
      <c r="L23" s="24" t="s">
        <v>3370</v>
      </c>
      <c r="M23" s="25" t="s">
        <v>3371</v>
      </c>
      <c r="N23" s="23" t="str">
        <f aca="false">"시편 #"&amp;TEXT(A23,"000")</f>
        <v>시편 #022</v>
      </c>
      <c r="O23" s="30" t="s">
        <v>8096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140</v>
      </c>
      <c r="U23" s="23" t="s">
        <v>140</v>
      </c>
      <c r="V23" s="23" t="s">
        <v>140</v>
      </c>
      <c r="W23" s="23" t="s">
        <v>140</v>
      </c>
      <c r="X23" s="24"/>
    </row>
    <row r="24" customFormat="false" ht="26.85" hidden="false" customHeight="false" outlineLevel="0" collapsed="false">
      <c r="A24" s="23" t="n">
        <v>23</v>
      </c>
      <c r="B24" s="30" t="s">
        <v>8099</v>
      </c>
      <c r="C24" s="23" t="s">
        <v>7966</v>
      </c>
      <c r="D24" s="23" t="s">
        <v>7983</v>
      </c>
      <c r="E24" s="20" t="s">
        <v>8100</v>
      </c>
      <c r="F24" s="19" t="s">
        <v>3373</v>
      </c>
      <c r="G24" s="24" t="s">
        <v>3375</v>
      </c>
      <c r="H24" s="24" t="s">
        <v>3376</v>
      </c>
      <c r="I24" s="23" t="s">
        <v>3377</v>
      </c>
      <c r="J24" s="24" t="s">
        <v>3378</v>
      </c>
      <c r="K24" s="24"/>
      <c r="L24" s="24" t="s">
        <v>3380</v>
      </c>
      <c r="M24" s="25" t="s">
        <v>3381</v>
      </c>
      <c r="N24" s="23" t="str">
        <f aca="false">"시편 #"&amp;TEXT(A24,"000")</f>
        <v>시편 #023</v>
      </c>
      <c r="O24" s="30" t="s">
        <v>8096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140</v>
      </c>
      <c r="U24" s="23" t="s">
        <v>140</v>
      </c>
      <c r="V24" s="23" t="s">
        <v>140</v>
      </c>
      <c r="W24" s="23" t="s">
        <v>140</v>
      </c>
      <c r="X24" s="24"/>
    </row>
    <row r="25" customFormat="false" ht="15" hidden="false" customHeight="false" outlineLevel="0" collapsed="false">
      <c r="A25" s="23" t="n">
        <v>24</v>
      </c>
      <c r="B25" s="30" t="s">
        <v>8101</v>
      </c>
      <c r="C25" s="23" t="s">
        <v>7966</v>
      </c>
      <c r="D25" s="23" t="s">
        <v>8012</v>
      </c>
      <c r="E25" s="23" t="s">
        <v>7975</v>
      </c>
      <c r="F25" s="23"/>
      <c r="G25" s="24" t="s">
        <v>8102</v>
      </c>
      <c r="H25" s="24" t="s">
        <v>8103</v>
      </c>
      <c r="I25" s="23" t="s">
        <v>8104</v>
      </c>
      <c r="J25" s="24" t="s">
        <v>8105</v>
      </c>
      <c r="K25" s="24" t="s">
        <v>3354</v>
      </c>
      <c r="L25" s="24" t="s">
        <v>8106</v>
      </c>
      <c r="M25" s="25" t="s">
        <v>8107</v>
      </c>
      <c r="N25" s="23" t="str">
        <f aca="false">"시편 #"&amp;TEXT(A25,"000")</f>
        <v>시편 #024</v>
      </c>
      <c r="O25" s="30" t="s">
        <v>8096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140</v>
      </c>
      <c r="U25" s="23" t="s">
        <v>140</v>
      </c>
      <c r="V25" s="23" t="s">
        <v>140</v>
      </c>
      <c r="W25" s="23" t="s">
        <v>140</v>
      </c>
      <c r="X25" s="24"/>
    </row>
    <row r="26" customFormat="false" ht="26.85" hidden="false" customHeight="false" outlineLevel="0" collapsed="false">
      <c r="A26" s="23" t="n">
        <v>25</v>
      </c>
      <c r="B26" s="30" t="s">
        <v>8108</v>
      </c>
      <c r="C26" s="23" t="s">
        <v>7966</v>
      </c>
      <c r="D26" s="23" t="s">
        <v>7974</v>
      </c>
      <c r="E26" s="23" t="s">
        <v>7975</v>
      </c>
      <c r="F26" s="23"/>
      <c r="G26" s="24" t="s">
        <v>8109</v>
      </c>
      <c r="H26" s="24" t="s">
        <v>8110</v>
      </c>
      <c r="I26" s="23" t="s">
        <v>8111</v>
      </c>
      <c r="J26" s="24" t="s">
        <v>8112</v>
      </c>
      <c r="K26" s="24" t="s">
        <v>8113</v>
      </c>
      <c r="L26" s="24" t="s">
        <v>3598</v>
      </c>
      <c r="M26" s="24"/>
      <c r="N26" s="23" t="str">
        <f aca="false">"시편 #"&amp;TEXT(A26,"000")</f>
        <v>시편 #025</v>
      </c>
      <c r="O26" s="30" t="s">
        <v>8096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140</v>
      </c>
      <c r="U26" s="23" t="s">
        <v>140</v>
      </c>
      <c r="V26" s="23" t="s">
        <v>140</v>
      </c>
      <c r="W26" s="23" t="s">
        <v>140</v>
      </c>
      <c r="X26" s="24"/>
    </row>
    <row r="27" customFormat="false" ht="15" hidden="false" customHeight="false" outlineLevel="0" collapsed="false">
      <c r="A27" s="23" t="n">
        <v>26</v>
      </c>
      <c r="B27" s="30" t="s">
        <v>8114</v>
      </c>
      <c r="C27" s="23" t="s">
        <v>7966</v>
      </c>
      <c r="D27" s="23" t="s">
        <v>7974</v>
      </c>
      <c r="E27" s="23" t="s">
        <v>7975</v>
      </c>
      <c r="F27" s="23"/>
      <c r="G27" s="24" t="s">
        <v>8115</v>
      </c>
      <c r="H27" s="24" t="s">
        <v>8116</v>
      </c>
      <c r="I27" s="23" t="s">
        <v>8117</v>
      </c>
      <c r="J27" s="24" t="s">
        <v>8118</v>
      </c>
      <c r="K27" s="24" t="s">
        <v>3354</v>
      </c>
      <c r="L27" s="24" t="s">
        <v>8119</v>
      </c>
      <c r="M27" s="24"/>
      <c r="N27" s="23" t="str">
        <f aca="false">"시편 #"&amp;TEXT(A27,"000")</f>
        <v>시편 #026</v>
      </c>
      <c r="O27" s="30" t="s">
        <v>8096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140</v>
      </c>
      <c r="U27" s="23" t="s">
        <v>140</v>
      </c>
      <c r="V27" s="23" t="s">
        <v>140</v>
      </c>
      <c r="W27" s="23" t="s">
        <v>140</v>
      </c>
      <c r="X27" s="24"/>
    </row>
    <row r="28" customFormat="false" ht="26.85" hidden="false" customHeight="false" outlineLevel="0" collapsed="false">
      <c r="A28" s="23" t="n">
        <v>27</v>
      </c>
      <c r="B28" s="30" t="s">
        <v>8120</v>
      </c>
      <c r="C28" s="23" t="s">
        <v>7966</v>
      </c>
      <c r="D28" s="23" t="s">
        <v>7983</v>
      </c>
      <c r="E28" s="20" t="s">
        <v>8121</v>
      </c>
      <c r="F28" s="19" t="s">
        <v>3382</v>
      </c>
      <c r="G28" s="24" t="s">
        <v>3384</v>
      </c>
      <c r="H28" s="24" t="s">
        <v>3385</v>
      </c>
      <c r="I28" s="23" t="s">
        <v>3386</v>
      </c>
      <c r="J28" s="24" t="s">
        <v>3387</v>
      </c>
      <c r="K28" s="24"/>
      <c r="L28" s="24" t="s">
        <v>3388</v>
      </c>
      <c r="M28" s="24"/>
      <c r="N28" s="23" t="str">
        <f aca="false">"시편 #"&amp;TEXT(A28,"000")</f>
        <v>시편 #027</v>
      </c>
      <c r="O28" s="30" t="s">
        <v>8096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140</v>
      </c>
      <c r="U28" s="23" t="s">
        <v>140</v>
      </c>
      <c r="V28" s="23" t="s">
        <v>140</v>
      </c>
      <c r="W28" s="23" t="s">
        <v>140</v>
      </c>
      <c r="X28" s="24"/>
    </row>
    <row r="29" customFormat="false" ht="15" hidden="false" customHeight="false" outlineLevel="0" collapsed="false">
      <c r="A29" s="23" t="n">
        <v>28</v>
      </c>
      <c r="B29" s="30" t="s">
        <v>8122</v>
      </c>
      <c r="C29" s="23" t="s">
        <v>7966</v>
      </c>
      <c r="D29" s="23" t="s">
        <v>7974</v>
      </c>
      <c r="E29" s="23" t="s">
        <v>7975</v>
      </c>
      <c r="F29" s="23"/>
      <c r="G29" s="24" t="s">
        <v>8123</v>
      </c>
      <c r="H29" s="24" t="s">
        <v>8124</v>
      </c>
      <c r="I29" s="23" t="s">
        <v>8125</v>
      </c>
      <c r="J29" s="24" t="s">
        <v>8126</v>
      </c>
      <c r="K29" s="24" t="s">
        <v>3354</v>
      </c>
      <c r="L29" s="24" t="s">
        <v>8127</v>
      </c>
      <c r="M29" s="24"/>
      <c r="N29" s="23" t="str">
        <f aca="false">"시편 #"&amp;TEXT(A29,"000")</f>
        <v>시편 #028</v>
      </c>
      <c r="O29" s="30" t="s">
        <v>8096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140</v>
      </c>
      <c r="U29" s="23" t="s">
        <v>140</v>
      </c>
      <c r="V29" s="23" t="s">
        <v>140</v>
      </c>
      <c r="W29" s="23" t="s">
        <v>140</v>
      </c>
      <c r="X29" s="24"/>
    </row>
    <row r="30" customFormat="false" ht="26.85" hidden="false" customHeight="false" outlineLevel="0" collapsed="false">
      <c r="A30" s="23" t="n">
        <v>29</v>
      </c>
      <c r="B30" s="30" t="s">
        <v>8128</v>
      </c>
      <c r="C30" s="23" t="s">
        <v>7966</v>
      </c>
      <c r="D30" s="23" t="s">
        <v>8012</v>
      </c>
      <c r="E30" s="23" t="s">
        <v>7975</v>
      </c>
      <c r="F30" s="23"/>
      <c r="G30" s="24" t="s">
        <v>3300</v>
      </c>
      <c r="H30" s="24" t="s">
        <v>8129</v>
      </c>
      <c r="I30" s="23" t="s">
        <v>8130</v>
      </c>
      <c r="J30" s="24" t="s">
        <v>8131</v>
      </c>
      <c r="K30" s="24" t="s">
        <v>3354</v>
      </c>
      <c r="L30" s="24" t="s">
        <v>8132</v>
      </c>
      <c r="M30" s="25" t="s">
        <v>8133</v>
      </c>
      <c r="N30" s="23" t="str">
        <f aca="false">"시편 #"&amp;TEXT(A30,"000")</f>
        <v>시편 #029</v>
      </c>
      <c r="O30" s="30" t="s">
        <v>8096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140</v>
      </c>
      <c r="U30" s="23" t="s">
        <v>140</v>
      </c>
      <c r="V30" s="23" t="s">
        <v>140</v>
      </c>
      <c r="W30" s="23" t="s">
        <v>140</v>
      </c>
      <c r="X30" s="24"/>
    </row>
    <row r="31" customFormat="false" ht="26.85" hidden="false" customHeight="false" outlineLevel="0" collapsed="false">
      <c r="A31" s="23" t="n">
        <v>30</v>
      </c>
      <c r="B31" s="30" t="s">
        <v>8134</v>
      </c>
      <c r="C31" s="23" t="s">
        <v>7966</v>
      </c>
      <c r="D31" s="23" t="s">
        <v>8015</v>
      </c>
      <c r="E31" s="23" t="s">
        <v>7975</v>
      </c>
      <c r="F31" s="23"/>
      <c r="G31" s="24" t="s">
        <v>8135</v>
      </c>
      <c r="H31" s="24" t="s">
        <v>8136</v>
      </c>
      <c r="I31" s="23" t="s">
        <v>8137</v>
      </c>
      <c r="J31" s="24" t="s">
        <v>8138</v>
      </c>
      <c r="K31" s="24" t="s">
        <v>8139</v>
      </c>
      <c r="L31" s="24" t="s">
        <v>8140</v>
      </c>
      <c r="M31" s="24"/>
      <c r="N31" s="23" t="str">
        <f aca="false">"시편 #"&amp;TEXT(A31,"000")</f>
        <v>시편 #030</v>
      </c>
      <c r="O31" s="30" t="s">
        <v>8096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140</v>
      </c>
      <c r="U31" s="23" t="s">
        <v>140</v>
      </c>
      <c r="V31" s="23" t="s">
        <v>140</v>
      </c>
      <c r="W31" s="23" t="s">
        <v>140</v>
      </c>
      <c r="X31" s="24"/>
    </row>
    <row r="32" customFormat="false" ht="26.85" hidden="false" customHeight="false" outlineLevel="0" collapsed="false">
      <c r="A32" s="23" t="n">
        <v>31</v>
      </c>
      <c r="B32" s="30" t="s">
        <v>8141</v>
      </c>
      <c r="C32" s="23" t="s">
        <v>7966</v>
      </c>
      <c r="D32" s="23" t="s">
        <v>7983</v>
      </c>
      <c r="E32" s="23" t="s">
        <v>7975</v>
      </c>
      <c r="F32" s="23"/>
      <c r="G32" s="24" t="s">
        <v>8142</v>
      </c>
      <c r="H32" s="24" t="s">
        <v>8143</v>
      </c>
      <c r="I32" s="23" t="s">
        <v>8144</v>
      </c>
      <c r="J32" s="24" t="s">
        <v>8145</v>
      </c>
      <c r="K32" s="24" t="s">
        <v>3354</v>
      </c>
      <c r="L32" s="24" t="s">
        <v>8146</v>
      </c>
      <c r="M32" s="24"/>
      <c r="N32" s="23" t="str">
        <f aca="false">"시편 #"&amp;TEXT(A32,"000")</f>
        <v>시편 #031</v>
      </c>
      <c r="O32" s="30" t="s">
        <v>8147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140</v>
      </c>
      <c r="U32" s="23" t="s">
        <v>140</v>
      </c>
      <c r="V32" s="23" t="s">
        <v>140</v>
      </c>
      <c r="W32" s="23" t="s">
        <v>140</v>
      </c>
      <c r="X32" s="24"/>
    </row>
    <row r="33" customFormat="false" ht="26.85" hidden="false" customHeight="false" outlineLevel="0" collapsed="false">
      <c r="A33" s="23" t="n">
        <v>32</v>
      </c>
      <c r="B33" s="30" t="s">
        <v>8148</v>
      </c>
      <c r="C33" s="23" t="s">
        <v>7966</v>
      </c>
      <c r="D33" s="23" t="s">
        <v>7996</v>
      </c>
      <c r="E33" s="20" t="s">
        <v>8149</v>
      </c>
      <c r="F33" s="19" t="s">
        <v>3390</v>
      </c>
      <c r="G33" s="24" t="s">
        <v>3392</v>
      </c>
      <c r="H33" s="24" t="s">
        <v>3393</v>
      </c>
      <c r="I33" s="23" t="s">
        <v>3394</v>
      </c>
      <c r="J33" s="24" t="s">
        <v>3395</v>
      </c>
      <c r="K33" s="24"/>
      <c r="L33" s="24"/>
      <c r="M33" s="25" t="s">
        <v>3396</v>
      </c>
      <c r="N33" s="23" t="str">
        <f aca="false">"시편 #"&amp;TEXT(A33,"000")</f>
        <v>시편 #032</v>
      </c>
      <c r="O33" s="30" t="s">
        <v>8147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140</v>
      </c>
      <c r="U33" s="23" t="s">
        <v>140</v>
      </c>
      <c r="V33" s="23" t="s">
        <v>140</v>
      </c>
      <c r="W33" s="23" t="s">
        <v>140</v>
      </c>
      <c r="X33" s="24"/>
    </row>
    <row r="34" customFormat="false" ht="26.85" hidden="false" customHeight="false" outlineLevel="0" collapsed="false">
      <c r="A34" s="23" t="n">
        <v>33</v>
      </c>
      <c r="B34" s="30" t="s">
        <v>8150</v>
      </c>
      <c r="C34" s="23" t="s">
        <v>7966</v>
      </c>
      <c r="D34" s="23" t="s">
        <v>8012</v>
      </c>
      <c r="E34" s="23" t="s">
        <v>7975</v>
      </c>
      <c r="F34" s="23"/>
      <c r="G34" s="24" t="s">
        <v>8151</v>
      </c>
      <c r="H34" s="24" t="s">
        <v>8152</v>
      </c>
      <c r="I34" s="23" t="s">
        <v>8153</v>
      </c>
      <c r="J34" s="24" t="s">
        <v>8154</v>
      </c>
      <c r="K34" s="24" t="s">
        <v>8026</v>
      </c>
      <c r="L34" s="24" t="s">
        <v>8155</v>
      </c>
      <c r="M34" s="24"/>
      <c r="N34" s="23" t="str">
        <f aca="false">"시편 #"&amp;TEXT(A34,"000")</f>
        <v>시편 #033</v>
      </c>
      <c r="O34" s="30" t="s">
        <v>8147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140</v>
      </c>
      <c r="U34" s="23" t="s">
        <v>140</v>
      </c>
      <c r="V34" s="23" t="s">
        <v>140</v>
      </c>
      <c r="W34" s="23" t="s">
        <v>140</v>
      </c>
      <c r="X34" s="24"/>
    </row>
    <row r="35" customFormat="false" ht="26.85" hidden="false" customHeight="false" outlineLevel="0" collapsed="false">
      <c r="A35" s="23" t="n">
        <v>34</v>
      </c>
      <c r="B35" s="30" t="s">
        <v>8156</v>
      </c>
      <c r="C35" s="23" t="s">
        <v>7966</v>
      </c>
      <c r="D35" s="23" t="s">
        <v>8015</v>
      </c>
      <c r="E35" s="23" t="s">
        <v>7975</v>
      </c>
      <c r="F35" s="23"/>
      <c r="G35" s="24" t="s">
        <v>8157</v>
      </c>
      <c r="H35" s="24" t="s">
        <v>8158</v>
      </c>
      <c r="I35" s="23" t="s">
        <v>8159</v>
      </c>
      <c r="J35" s="24" t="s">
        <v>8160</v>
      </c>
      <c r="K35" s="24" t="s">
        <v>8161</v>
      </c>
      <c r="L35" s="24" t="s">
        <v>8162</v>
      </c>
      <c r="M35" s="24"/>
      <c r="N35" s="23" t="str">
        <f aca="false">"시편 #"&amp;TEXT(A35,"000")</f>
        <v>시편 #034</v>
      </c>
      <c r="O35" s="30" t="s">
        <v>8147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140</v>
      </c>
      <c r="U35" s="23" t="s">
        <v>140</v>
      </c>
      <c r="V35" s="23" t="s">
        <v>140</v>
      </c>
      <c r="W35" s="23" t="s">
        <v>140</v>
      </c>
      <c r="X35" s="24"/>
    </row>
    <row r="36" customFormat="false" ht="26.85" hidden="false" customHeight="false" outlineLevel="0" collapsed="false">
      <c r="A36" s="23" t="n">
        <v>35</v>
      </c>
      <c r="B36" s="30" t="s">
        <v>8163</v>
      </c>
      <c r="C36" s="23" t="s">
        <v>7966</v>
      </c>
      <c r="D36" s="23" t="s">
        <v>7974</v>
      </c>
      <c r="E36" s="23" t="s">
        <v>7975</v>
      </c>
      <c r="F36" s="23"/>
      <c r="G36" s="24" t="s">
        <v>8164</v>
      </c>
      <c r="H36" s="24" t="s">
        <v>8165</v>
      </c>
      <c r="I36" s="23" t="s">
        <v>8166</v>
      </c>
      <c r="J36" s="24" t="s">
        <v>8167</v>
      </c>
      <c r="K36" s="24" t="s">
        <v>3354</v>
      </c>
      <c r="L36" s="24" t="s">
        <v>8168</v>
      </c>
      <c r="M36" s="25" t="s">
        <v>8169</v>
      </c>
      <c r="N36" s="23" t="str">
        <f aca="false">"시편 #"&amp;TEXT(A36,"000")</f>
        <v>시편 #035</v>
      </c>
      <c r="O36" s="30" t="s">
        <v>8147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140</v>
      </c>
      <c r="U36" s="23" t="s">
        <v>140</v>
      </c>
      <c r="V36" s="23" t="s">
        <v>140</v>
      </c>
      <c r="W36" s="23" t="s">
        <v>140</v>
      </c>
      <c r="X36" s="24"/>
    </row>
    <row r="37" customFormat="false" ht="15" hidden="false" customHeight="false" outlineLevel="0" collapsed="false">
      <c r="A37" s="23" t="n">
        <v>36</v>
      </c>
      <c r="B37" s="30" t="s">
        <v>8170</v>
      </c>
      <c r="C37" s="23" t="s">
        <v>7966</v>
      </c>
      <c r="D37" s="23" t="s">
        <v>8012</v>
      </c>
      <c r="E37" s="23" t="s">
        <v>7975</v>
      </c>
      <c r="F37" s="23"/>
      <c r="G37" s="24" t="s">
        <v>8171</v>
      </c>
      <c r="H37" s="24" t="s">
        <v>8172</v>
      </c>
      <c r="I37" s="23" t="s">
        <v>8173</v>
      </c>
      <c r="J37" s="24" t="s">
        <v>8174</v>
      </c>
      <c r="K37" s="24" t="s">
        <v>3354</v>
      </c>
      <c r="L37" s="24" t="s">
        <v>8175</v>
      </c>
      <c r="M37" s="24"/>
      <c r="N37" s="23" t="str">
        <f aca="false">"시편 #"&amp;TEXT(A37,"000")</f>
        <v>시편 #036</v>
      </c>
      <c r="O37" s="30" t="s">
        <v>8147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140</v>
      </c>
      <c r="U37" s="23" t="s">
        <v>140</v>
      </c>
      <c r="V37" s="23" t="s">
        <v>140</v>
      </c>
      <c r="W37" s="23" t="s">
        <v>140</v>
      </c>
      <c r="X37" s="24"/>
    </row>
    <row r="38" customFormat="false" ht="26.85" hidden="false" customHeight="false" outlineLevel="0" collapsed="false">
      <c r="A38" s="23" t="n">
        <v>37</v>
      </c>
      <c r="B38" s="30" t="s">
        <v>8176</v>
      </c>
      <c r="C38" s="23" t="s">
        <v>7966</v>
      </c>
      <c r="D38" s="23" t="s">
        <v>7967</v>
      </c>
      <c r="E38" s="23" t="s">
        <v>7975</v>
      </c>
      <c r="F38" s="23"/>
      <c r="G38" s="24" t="s">
        <v>8177</v>
      </c>
      <c r="H38" s="24" t="s">
        <v>8178</v>
      </c>
      <c r="I38" s="23" t="s">
        <v>8179</v>
      </c>
      <c r="J38" s="24" t="s">
        <v>8180</v>
      </c>
      <c r="K38" s="24" t="s">
        <v>8181</v>
      </c>
      <c r="L38" s="24" t="s">
        <v>8182</v>
      </c>
      <c r="M38" s="25" t="s">
        <v>1301</v>
      </c>
      <c r="N38" s="23" t="str">
        <f aca="false">"시편 #"&amp;TEXT(A38,"000")</f>
        <v>시편 #037</v>
      </c>
      <c r="O38" s="30" t="s">
        <v>8147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140</v>
      </c>
      <c r="U38" s="23" t="s">
        <v>140</v>
      </c>
      <c r="V38" s="23" t="s">
        <v>140</v>
      </c>
      <c r="W38" s="23" t="s">
        <v>140</v>
      </c>
      <c r="X38" s="24"/>
    </row>
    <row r="39" customFormat="false" ht="26.85" hidden="false" customHeight="false" outlineLevel="0" collapsed="false">
      <c r="A39" s="23" t="n">
        <v>38</v>
      </c>
      <c r="B39" s="30" t="s">
        <v>8183</v>
      </c>
      <c r="C39" s="23" t="s">
        <v>7966</v>
      </c>
      <c r="D39" s="23" t="s">
        <v>7996</v>
      </c>
      <c r="E39" s="23" t="s">
        <v>7975</v>
      </c>
      <c r="F39" s="23"/>
      <c r="G39" s="24" t="s">
        <v>8184</v>
      </c>
      <c r="H39" s="24" t="s">
        <v>8185</v>
      </c>
      <c r="I39" s="23" t="s">
        <v>8186</v>
      </c>
      <c r="J39" s="24" t="s">
        <v>8187</v>
      </c>
      <c r="K39" s="24" t="s">
        <v>8188</v>
      </c>
      <c r="L39" s="24" t="s">
        <v>8189</v>
      </c>
      <c r="M39" s="25" t="s">
        <v>8190</v>
      </c>
      <c r="N39" s="23" t="str">
        <f aca="false">"시편 #"&amp;TEXT(A39,"000")</f>
        <v>시편 #038</v>
      </c>
      <c r="O39" s="30" t="s">
        <v>8147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140</v>
      </c>
      <c r="U39" s="23" t="s">
        <v>140</v>
      </c>
      <c r="V39" s="23" t="s">
        <v>140</v>
      </c>
      <c r="W39" s="23" t="s">
        <v>140</v>
      </c>
      <c r="X39" s="24"/>
    </row>
    <row r="40" customFormat="false" ht="26.85" hidden="false" customHeight="false" outlineLevel="0" collapsed="false">
      <c r="A40" s="23" t="n">
        <v>39</v>
      </c>
      <c r="B40" s="30" t="s">
        <v>8191</v>
      </c>
      <c r="C40" s="23" t="s">
        <v>7966</v>
      </c>
      <c r="D40" s="23" t="s">
        <v>7967</v>
      </c>
      <c r="E40" s="23" t="s">
        <v>7975</v>
      </c>
      <c r="F40" s="23"/>
      <c r="G40" s="24" t="s">
        <v>8192</v>
      </c>
      <c r="H40" s="24" t="s">
        <v>8193</v>
      </c>
      <c r="I40" s="23" t="s">
        <v>8194</v>
      </c>
      <c r="J40" s="24" t="s">
        <v>8195</v>
      </c>
      <c r="K40" s="24" t="s">
        <v>3354</v>
      </c>
      <c r="L40" s="24" t="s">
        <v>8196</v>
      </c>
      <c r="M40" s="24"/>
      <c r="N40" s="23" t="str">
        <f aca="false">"시편 #"&amp;TEXT(A40,"000")</f>
        <v>시편 #039</v>
      </c>
      <c r="O40" s="30" t="s">
        <v>8147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140</v>
      </c>
      <c r="U40" s="23" t="s">
        <v>140</v>
      </c>
      <c r="V40" s="23" t="s">
        <v>140</v>
      </c>
      <c r="W40" s="23" t="s">
        <v>140</v>
      </c>
      <c r="X40" s="24"/>
    </row>
    <row r="41" customFormat="false" ht="26.85" hidden="false" customHeight="false" outlineLevel="0" collapsed="false">
      <c r="A41" s="23" t="n">
        <v>40</v>
      </c>
      <c r="B41" s="30" t="s">
        <v>8197</v>
      </c>
      <c r="C41" s="23" t="s">
        <v>7966</v>
      </c>
      <c r="D41" s="23" t="s">
        <v>8015</v>
      </c>
      <c r="E41" s="23" t="s">
        <v>7975</v>
      </c>
      <c r="F41" s="23"/>
      <c r="G41" s="24" t="s">
        <v>8198</v>
      </c>
      <c r="H41" s="24" t="s">
        <v>8199</v>
      </c>
      <c r="I41" s="23" t="s">
        <v>8200</v>
      </c>
      <c r="J41" s="24" t="s">
        <v>8201</v>
      </c>
      <c r="K41" s="24" t="s">
        <v>3354</v>
      </c>
      <c r="L41" s="24" t="s">
        <v>8202</v>
      </c>
      <c r="M41" s="25" t="s">
        <v>8203</v>
      </c>
      <c r="N41" s="23" t="str">
        <f aca="false">"시편 #"&amp;TEXT(A41,"000")</f>
        <v>시편 #040</v>
      </c>
      <c r="O41" s="30" t="s">
        <v>8147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140</v>
      </c>
      <c r="U41" s="23" t="s">
        <v>140</v>
      </c>
      <c r="V41" s="23" t="s">
        <v>140</v>
      </c>
      <c r="W41" s="23" t="s">
        <v>140</v>
      </c>
      <c r="X41" s="24"/>
    </row>
    <row r="42" customFormat="false" ht="26.85" hidden="false" customHeight="false" outlineLevel="0" collapsed="false">
      <c r="A42" s="23" t="n">
        <v>41</v>
      </c>
      <c r="B42" s="30" t="s">
        <v>8204</v>
      </c>
      <c r="C42" s="23" t="s">
        <v>7966</v>
      </c>
      <c r="D42" s="23" t="s">
        <v>7967</v>
      </c>
      <c r="E42" s="23" t="s">
        <v>7975</v>
      </c>
      <c r="F42" s="23"/>
      <c r="G42" s="24" t="s">
        <v>8205</v>
      </c>
      <c r="H42" s="24" t="s">
        <v>8206</v>
      </c>
      <c r="I42" s="23" t="s">
        <v>8207</v>
      </c>
      <c r="J42" s="24" t="s">
        <v>8208</v>
      </c>
      <c r="K42" s="24" t="s">
        <v>3354</v>
      </c>
      <c r="L42" s="24" t="s">
        <v>8209</v>
      </c>
      <c r="M42" s="27" t="s">
        <v>8210</v>
      </c>
      <c r="N42" s="23" t="str">
        <f aca="false">"시편 #"&amp;TEXT(A42,"000")</f>
        <v>시편 #041</v>
      </c>
      <c r="O42" s="30" t="s">
        <v>8147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140</v>
      </c>
      <c r="U42" s="23" t="s">
        <v>140</v>
      </c>
      <c r="V42" s="23" t="s">
        <v>140</v>
      </c>
      <c r="W42" s="23" t="s">
        <v>140</v>
      </c>
      <c r="X42" s="24"/>
    </row>
    <row r="43" customFormat="false" ht="26.85" hidden="false" customHeight="false" outlineLevel="0" collapsed="false">
      <c r="A43" s="23" t="n">
        <v>42</v>
      </c>
      <c r="B43" s="30" t="s">
        <v>8211</v>
      </c>
      <c r="C43" s="23" t="s">
        <v>8212</v>
      </c>
      <c r="D43" s="23" t="s">
        <v>7974</v>
      </c>
      <c r="E43" s="20" t="s">
        <v>8213</v>
      </c>
      <c r="F43" s="19" t="s">
        <v>3397</v>
      </c>
      <c r="G43" s="24" t="s">
        <v>3401</v>
      </c>
      <c r="H43" s="24" t="s">
        <v>3402</v>
      </c>
      <c r="I43" s="23" t="s">
        <v>3403</v>
      </c>
      <c r="J43" s="24" t="s">
        <v>3404</v>
      </c>
      <c r="K43" s="24"/>
      <c r="L43" s="24" t="s">
        <v>3406</v>
      </c>
      <c r="M43" s="24"/>
      <c r="N43" s="23" t="str">
        <f aca="false">"시편 #"&amp;TEXT(A43,"000")</f>
        <v>시편 #042</v>
      </c>
      <c r="O43" s="30" t="s">
        <v>8214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140</v>
      </c>
      <c r="U43" s="23" t="s">
        <v>140</v>
      </c>
      <c r="V43" s="23" t="s">
        <v>140</v>
      </c>
      <c r="W43" s="23" t="s">
        <v>140</v>
      </c>
      <c r="X43" s="24"/>
    </row>
    <row r="44" customFormat="false" ht="26.85" hidden="false" customHeight="false" outlineLevel="0" collapsed="false">
      <c r="A44" s="23" t="n">
        <v>43</v>
      </c>
      <c r="B44" s="30" t="s">
        <v>8215</v>
      </c>
      <c r="C44" s="23" t="s">
        <v>8212</v>
      </c>
      <c r="D44" s="23" t="s">
        <v>7974</v>
      </c>
      <c r="E44" s="23" t="s">
        <v>7975</v>
      </c>
      <c r="F44" s="23"/>
      <c r="G44" s="24" t="s">
        <v>8216</v>
      </c>
      <c r="H44" s="24" t="s">
        <v>8217</v>
      </c>
      <c r="I44" s="23" t="s">
        <v>8218</v>
      </c>
      <c r="J44" s="24" t="s">
        <v>8219</v>
      </c>
      <c r="K44" s="24" t="s">
        <v>8220</v>
      </c>
      <c r="L44" s="24" t="s">
        <v>8221</v>
      </c>
      <c r="M44" s="24"/>
      <c r="N44" s="23" t="str">
        <f aca="false">"시편 #"&amp;TEXT(A44,"000")</f>
        <v>시편 #043</v>
      </c>
      <c r="O44" s="30" t="s">
        <v>8214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140</v>
      </c>
      <c r="U44" s="23" t="s">
        <v>140</v>
      </c>
      <c r="V44" s="23" t="s">
        <v>140</v>
      </c>
      <c r="W44" s="23" t="s">
        <v>140</v>
      </c>
      <c r="X44" s="24"/>
    </row>
    <row r="45" customFormat="false" ht="26.85" hidden="false" customHeight="false" outlineLevel="0" collapsed="false">
      <c r="A45" s="23" t="n">
        <v>44</v>
      </c>
      <c r="B45" s="30" t="s">
        <v>8222</v>
      </c>
      <c r="C45" s="23" t="s">
        <v>8212</v>
      </c>
      <c r="D45" s="23" t="s">
        <v>7974</v>
      </c>
      <c r="E45" s="23" t="s">
        <v>7975</v>
      </c>
      <c r="F45" s="23"/>
      <c r="G45" s="24" t="s">
        <v>8223</v>
      </c>
      <c r="H45" s="24" t="s">
        <v>8224</v>
      </c>
      <c r="I45" s="23" t="s">
        <v>8225</v>
      </c>
      <c r="J45" s="24" t="s">
        <v>8226</v>
      </c>
      <c r="K45" s="24" t="s">
        <v>3405</v>
      </c>
      <c r="L45" s="24" t="s">
        <v>8227</v>
      </c>
      <c r="M45" s="25" t="s">
        <v>8228</v>
      </c>
      <c r="N45" s="23" t="str">
        <f aca="false">"시편 #"&amp;TEXT(A45,"000")</f>
        <v>시편 #044</v>
      </c>
      <c r="O45" s="30" t="s">
        <v>8214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140</v>
      </c>
      <c r="U45" s="23" t="s">
        <v>140</v>
      </c>
      <c r="V45" s="23" t="s">
        <v>140</v>
      </c>
      <c r="W45" s="23" t="s">
        <v>140</v>
      </c>
      <c r="X45" s="24"/>
    </row>
    <row r="46" customFormat="false" ht="26.85" hidden="false" customHeight="false" outlineLevel="0" collapsed="false">
      <c r="A46" s="23" t="n">
        <v>45</v>
      </c>
      <c r="B46" s="30" t="s">
        <v>8229</v>
      </c>
      <c r="C46" s="23" t="s">
        <v>8212</v>
      </c>
      <c r="D46" s="23" t="s">
        <v>7971</v>
      </c>
      <c r="E46" s="23" t="s">
        <v>7975</v>
      </c>
      <c r="F46" s="23"/>
      <c r="G46" s="24" t="s">
        <v>8230</v>
      </c>
      <c r="H46" s="24" t="s">
        <v>8231</v>
      </c>
      <c r="I46" s="23" t="s">
        <v>8232</v>
      </c>
      <c r="J46" s="24" t="s">
        <v>8233</v>
      </c>
      <c r="K46" s="24" t="s">
        <v>8234</v>
      </c>
      <c r="L46" s="24" t="s">
        <v>8235</v>
      </c>
      <c r="M46" s="25" t="s">
        <v>8236</v>
      </c>
      <c r="N46" s="23" t="str">
        <f aca="false">"시편 #"&amp;TEXT(A46,"000")</f>
        <v>시편 #045</v>
      </c>
      <c r="O46" s="30" t="s">
        <v>8214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140</v>
      </c>
      <c r="U46" s="23" t="s">
        <v>140</v>
      </c>
      <c r="V46" s="23" t="s">
        <v>140</v>
      </c>
      <c r="W46" s="23" t="s">
        <v>140</v>
      </c>
      <c r="X46" s="24"/>
    </row>
    <row r="47" customFormat="false" ht="26.85" hidden="false" customHeight="false" outlineLevel="0" collapsed="false">
      <c r="A47" s="23" t="n">
        <v>46</v>
      </c>
      <c r="B47" s="30" t="s">
        <v>8237</v>
      </c>
      <c r="C47" s="23" t="s">
        <v>8212</v>
      </c>
      <c r="D47" s="23" t="s">
        <v>7983</v>
      </c>
      <c r="E47" s="20" t="s">
        <v>8238</v>
      </c>
      <c r="F47" s="19" t="s">
        <v>3407</v>
      </c>
      <c r="G47" s="24" t="s">
        <v>3409</v>
      </c>
      <c r="H47" s="24" t="s">
        <v>3410</v>
      </c>
      <c r="I47" s="23" t="s">
        <v>3411</v>
      </c>
      <c r="J47" s="24" t="s">
        <v>3412</v>
      </c>
      <c r="K47" s="24"/>
      <c r="L47" s="24" t="s">
        <v>3413</v>
      </c>
      <c r="M47" s="24"/>
      <c r="N47" s="23" t="str">
        <f aca="false">"시편 #"&amp;TEXT(A47,"000")</f>
        <v>시편 #046</v>
      </c>
      <c r="O47" s="30" t="s">
        <v>8214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140</v>
      </c>
      <c r="U47" s="23" t="s">
        <v>140</v>
      </c>
      <c r="V47" s="23" t="s">
        <v>140</v>
      </c>
      <c r="W47" s="23" t="s">
        <v>140</v>
      </c>
      <c r="X47" s="24"/>
    </row>
    <row r="48" customFormat="false" ht="15" hidden="false" customHeight="false" outlineLevel="0" collapsed="false">
      <c r="A48" s="23" t="n">
        <v>47</v>
      </c>
      <c r="B48" s="30" t="s">
        <v>8239</v>
      </c>
      <c r="C48" s="23" t="s">
        <v>8212</v>
      </c>
      <c r="D48" s="23" t="s">
        <v>8012</v>
      </c>
      <c r="E48" s="23" t="s">
        <v>7975</v>
      </c>
      <c r="F48" s="23"/>
      <c r="G48" s="24" t="s">
        <v>8240</v>
      </c>
      <c r="H48" s="24" t="s">
        <v>8241</v>
      </c>
      <c r="I48" s="23" t="s">
        <v>8242</v>
      </c>
      <c r="J48" s="24" t="s">
        <v>8243</v>
      </c>
      <c r="K48" s="24" t="s">
        <v>3405</v>
      </c>
      <c r="L48" s="24" t="s">
        <v>8244</v>
      </c>
      <c r="M48" s="24"/>
      <c r="N48" s="23" t="str">
        <f aca="false">"시편 #"&amp;TEXT(A48,"000")</f>
        <v>시편 #047</v>
      </c>
      <c r="O48" s="30" t="s">
        <v>8214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140</v>
      </c>
      <c r="U48" s="23" t="s">
        <v>140</v>
      </c>
      <c r="V48" s="23" t="s">
        <v>140</v>
      </c>
      <c r="W48" s="23" t="s">
        <v>140</v>
      </c>
      <c r="X48" s="24"/>
    </row>
    <row r="49" customFormat="false" ht="26.85" hidden="false" customHeight="false" outlineLevel="0" collapsed="false">
      <c r="A49" s="23" t="n">
        <v>48</v>
      </c>
      <c r="B49" s="30" t="s">
        <v>8245</v>
      </c>
      <c r="C49" s="23" t="s">
        <v>8212</v>
      </c>
      <c r="D49" s="23" t="s">
        <v>8012</v>
      </c>
      <c r="E49" s="23" t="s">
        <v>7975</v>
      </c>
      <c r="F49" s="23"/>
      <c r="G49" s="24" t="s">
        <v>8246</v>
      </c>
      <c r="H49" s="24" t="s">
        <v>8247</v>
      </c>
      <c r="I49" s="23" t="s">
        <v>8248</v>
      </c>
      <c r="J49" s="24" t="s">
        <v>8249</v>
      </c>
      <c r="K49" s="24" t="s">
        <v>3405</v>
      </c>
      <c r="L49" s="24" t="s">
        <v>8250</v>
      </c>
      <c r="M49" s="24"/>
      <c r="N49" s="23" t="str">
        <f aca="false">"시편 #"&amp;TEXT(A49,"000")</f>
        <v>시편 #048</v>
      </c>
      <c r="O49" s="30" t="s">
        <v>8214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140</v>
      </c>
      <c r="U49" s="23" t="s">
        <v>140</v>
      </c>
      <c r="V49" s="23" t="s">
        <v>140</v>
      </c>
      <c r="W49" s="23" t="s">
        <v>140</v>
      </c>
      <c r="X49" s="24"/>
    </row>
    <row r="50" customFormat="false" ht="26.85" hidden="false" customHeight="false" outlineLevel="0" collapsed="false">
      <c r="A50" s="23" t="n">
        <v>49</v>
      </c>
      <c r="B50" s="30" t="s">
        <v>8251</v>
      </c>
      <c r="C50" s="23" t="s">
        <v>8212</v>
      </c>
      <c r="D50" s="23" t="s">
        <v>7967</v>
      </c>
      <c r="E50" s="23" t="s">
        <v>7975</v>
      </c>
      <c r="F50" s="23"/>
      <c r="G50" s="24" t="s">
        <v>8252</v>
      </c>
      <c r="H50" s="24" t="s">
        <v>8253</v>
      </c>
      <c r="I50" s="23" t="s">
        <v>8254</v>
      </c>
      <c r="J50" s="24" t="s">
        <v>8255</v>
      </c>
      <c r="K50" s="24" t="s">
        <v>3405</v>
      </c>
      <c r="L50" s="24" t="s">
        <v>8256</v>
      </c>
      <c r="M50" s="24"/>
      <c r="N50" s="23" t="str">
        <f aca="false">"시편 #"&amp;TEXT(A50,"000")</f>
        <v>시편 #049</v>
      </c>
      <c r="O50" s="30" t="s">
        <v>8214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140</v>
      </c>
      <c r="U50" s="23" t="s">
        <v>140</v>
      </c>
      <c r="V50" s="23" t="s">
        <v>140</v>
      </c>
      <c r="W50" s="23" t="s">
        <v>140</v>
      </c>
      <c r="X50" s="24"/>
    </row>
    <row r="51" customFormat="false" ht="26.85" hidden="false" customHeight="false" outlineLevel="0" collapsed="false">
      <c r="A51" s="23" t="n">
        <v>50</v>
      </c>
      <c r="B51" s="30" t="s">
        <v>8257</v>
      </c>
      <c r="C51" s="23" t="s">
        <v>8212</v>
      </c>
      <c r="D51" s="23" t="s">
        <v>7967</v>
      </c>
      <c r="E51" s="23" t="s">
        <v>7975</v>
      </c>
      <c r="F51" s="23"/>
      <c r="G51" s="24" t="s">
        <v>8258</v>
      </c>
      <c r="H51" s="24" t="s">
        <v>8259</v>
      </c>
      <c r="I51" s="23" t="s">
        <v>8260</v>
      </c>
      <c r="J51" s="24" t="s">
        <v>8261</v>
      </c>
      <c r="K51" s="24" t="s">
        <v>3443</v>
      </c>
      <c r="L51" s="24" t="s">
        <v>8262</v>
      </c>
      <c r="M51" s="24"/>
      <c r="N51" s="23" t="str">
        <f aca="false">"시편 #"&amp;TEXT(A51,"000")</f>
        <v>시편 #050</v>
      </c>
      <c r="O51" s="30" t="s">
        <v>8214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140</v>
      </c>
      <c r="U51" s="23" t="s">
        <v>140</v>
      </c>
      <c r="V51" s="23" t="s">
        <v>140</v>
      </c>
      <c r="W51" s="23" t="s">
        <v>140</v>
      </c>
      <c r="X51" s="24"/>
    </row>
    <row r="52" customFormat="false" ht="26.85" hidden="false" customHeight="false" outlineLevel="0" collapsed="false">
      <c r="A52" s="23" t="n">
        <v>51</v>
      </c>
      <c r="B52" s="30" t="s">
        <v>8263</v>
      </c>
      <c r="C52" s="23" t="s">
        <v>8212</v>
      </c>
      <c r="D52" s="23" t="s">
        <v>7996</v>
      </c>
      <c r="E52" s="20" t="s">
        <v>8264</v>
      </c>
      <c r="F52" s="19" t="s">
        <v>3414</v>
      </c>
      <c r="G52" s="24" t="s">
        <v>3416</v>
      </c>
      <c r="H52" s="24" t="s">
        <v>3417</v>
      </c>
      <c r="I52" s="23" t="s">
        <v>3418</v>
      </c>
      <c r="J52" s="24" t="s">
        <v>3419</v>
      </c>
      <c r="K52" s="24"/>
      <c r="L52" s="24" t="s">
        <v>3420</v>
      </c>
      <c r="M52" s="24"/>
      <c r="N52" s="23" t="str">
        <f aca="false">"시편 #"&amp;TEXT(A52,"000")</f>
        <v>시편 #051</v>
      </c>
      <c r="O52" s="30" t="s">
        <v>8265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140</v>
      </c>
      <c r="U52" s="23" t="s">
        <v>140</v>
      </c>
      <c r="V52" s="23" t="s">
        <v>140</v>
      </c>
      <c r="W52" s="23" t="s">
        <v>140</v>
      </c>
      <c r="X52" s="24"/>
    </row>
    <row r="53" customFormat="false" ht="26.85" hidden="false" customHeight="false" outlineLevel="0" collapsed="false">
      <c r="A53" s="23" t="n">
        <v>52</v>
      </c>
      <c r="B53" s="30" t="s">
        <v>8266</v>
      </c>
      <c r="C53" s="23" t="s">
        <v>8212</v>
      </c>
      <c r="D53" s="23" t="s">
        <v>7983</v>
      </c>
      <c r="E53" s="23" t="s">
        <v>7975</v>
      </c>
      <c r="F53" s="23"/>
      <c r="G53" s="24" t="s">
        <v>8267</v>
      </c>
      <c r="H53" s="24" t="s">
        <v>8268</v>
      </c>
      <c r="I53" s="23" t="s">
        <v>8269</v>
      </c>
      <c r="J53" s="24" t="s">
        <v>8270</v>
      </c>
      <c r="K53" s="24" t="s">
        <v>8271</v>
      </c>
      <c r="L53" s="24" t="s">
        <v>8272</v>
      </c>
      <c r="M53" s="24"/>
      <c r="N53" s="23" t="str">
        <f aca="false">"시편 #"&amp;TEXT(A53,"000")</f>
        <v>시편 #052</v>
      </c>
      <c r="O53" s="30" t="s">
        <v>8265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140</v>
      </c>
      <c r="U53" s="23" t="s">
        <v>140</v>
      </c>
      <c r="V53" s="23" t="s">
        <v>140</v>
      </c>
      <c r="W53" s="23" t="s">
        <v>140</v>
      </c>
      <c r="X53" s="24"/>
    </row>
    <row r="54" customFormat="false" ht="26.85" hidden="false" customHeight="false" outlineLevel="0" collapsed="false">
      <c r="A54" s="23" t="n">
        <v>53</v>
      </c>
      <c r="B54" s="30" t="s">
        <v>8273</v>
      </c>
      <c r="C54" s="23" t="s">
        <v>8212</v>
      </c>
      <c r="D54" s="23" t="s">
        <v>7967</v>
      </c>
      <c r="E54" s="23" t="s">
        <v>7975</v>
      </c>
      <c r="F54" s="23"/>
      <c r="G54" s="24" t="s">
        <v>8274</v>
      </c>
      <c r="H54" s="24" t="s">
        <v>8275</v>
      </c>
      <c r="I54" s="23" t="s">
        <v>8276</v>
      </c>
      <c r="J54" s="24" t="s">
        <v>8277</v>
      </c>
      <c r="K54" s="24" t="s">
        <v>3354</v>
      </c>
      <c r="L54" s="24" t="s">
        <v>8052</v>
      </c>
      <c r="M54" s="27" t="s">
        <v>8278</v>
      </c>
      <c r="N54" s="23" t="str">
        <f aca="false">"시편 #"&amp;TEXT(A54,"000")</f>
        <v>시편 #053</v>
      </c>
      <c r="O54" s="30" t="s">
        <v>8265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140</v>
      </c>
      <c r="U54" s="23" t="s">
        <v>140</v>
      </c>
      <c r="V54" s="23" t="s">
        <v>140</v>
      </c>
      <c r="W54" s="23" t="s">
        <v>140</v>
      </c>
      <c r="X54" s="24"/>
    </row>
    <row r="55" customFormat="false" ht="26.85" hidden="false" customHeight="false" outlineLevel="0" collapsed="false">
      <c r="A55" s="23" t="n">
        <v>54</v>
      </c>
      <c r="B55" s="30" t="s">
        <v>8279</v>
      </c>
      <c r="C55" s="23" t="s">
        <v>8212</v>
      </c>
      <c r="D55" s="23" t="s">
        <v>7983</v>
      </c>
      <c r="E55" s="23" t="s">
        <v>7975</v>
      </c>
      <c r="F55" s="23"/>
      <c r="G55" s="24" t="s">
        <v>8280</v>
      </c>
      <c r="H55" s="24" t="s">
        <v>8281</v>
      </c>
      <c r="I55" s="23" t="s">
        <v>8282</v>
      </c>
      <c r="J55" s="24" t="s">
        <v>8283</v>
      </c>
      <c r="K55" s="24" t="s">
        <v>8284</v>
      </c>
      <c r="L55" s="24" t="s">
        <v>8285</v>
      </c>
      <c r="M55" s="24"/>
      <c r="N55" s="23" t="str">
        <f aca="false">"시편 #"&amp;TEXT(A55,"000")</f>
        <v>시편 #054</v>
      </c>
      <c r="O55" s="30" t="s">
        <v>8265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140</v>
      </c>
      <c r="U55" s="23" t="s">
        <v>140</v>
      </c>
      <c r="V55" s="23" t="s">
        <v>140</v>
      </c>
      <c r="W55" s="23" t="s">
        <v>140</v>
      </c>
      <c r="X55" s="24"/>
    </row>
    <row r="56" customFormat="false" ht="15" hidden="false" customHeight="false" outlineLevel="0" collapsed="false">
      <c r="A56" s="23" t="n">
        <v>55</v>
      </c>
      <c r="B56" s="30" t="s">
        <v>8286</v>
      </c>
      <c r="C56" s="23" t="s">
        <v>8212</v>
      </c>
      <c r="D56" s="23" t="s">
        <v>7974</v>
      </c>
      <c r="E56" s="23" t="s">
        <v>7975</v>
      </c>
      <c r="F56" s="23"/>
      <c r="G56" s="24" t="s">
        <v>8287</v>
      </c>
      <c r="H56" s="24" t="s">
        <v>8288</v>
      </c>
      <c r="I56" s="23" t="s">
        <v>8289</v>
      </c>
      <c r="J56" s="24" t="s">
        <v>8290</v>
      </c>
      <c r="K56" s="24" t="s">
        <v>3354</v>
      </c>
      <c r="L56" s="24" t="s">
        <v>8291</v>
      </c>
      <c r="M56" s="24"/>
      <c r="N56" s="23" t="str">
        <f aca="false">"시편 #"&amp;TEXT(A56,"000")</f>
        <v>시편 #055</v>
      </c>
      <c r="O56" s="30" t="s">
        <v>8265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140</v>
      </c>
      <c r="U56" s="23" t="s">
        <v>140</v>
      </c>
      <c r="V56" s="23" t="s">
        <v>140</v>
      </c>
      <c r="W56" s="23" t="s">
        <v>140</v>
      </c>
      <c r="X56" s="24"/>
    </row>
    <row r="57" customFormat="false" ht="26.85" hidden="false" customHeight="false" outlineLevel="0" collapsed="false">
      <c r="A57" s="23" t="n">
        <v>56</v>
      </c>
      <c r="B57" s="30" t="s">
        <v>8292</v>
      </c>
      <c r="C57" s="23" t="s">
        <v>8212</v>
      </c>
      <c r="D57" s="23" t="s">
        <v>7983</v>
      </c>
      <c r="E57" s="23" t="s">
        <v>7975</v>
      </c>
      <c r="F57" s="23"/>
      <c r="G57" s="24" t="s">
        <v>8293</v>
      </c>
      <c r="H57" s="24" t="s">
        <v>8294</v>
      </c>
      <c r="I57" s="23" t="s">
        <v>8295</v>
      </c>
      <c r="J57" s="24" t="s">
        <v>8296</v>
      </c>
      <c r="K57" s="24" t="s">
        <v>8297</v>
      </c>
      <c r="L57" s="24" t="s">
        <v>8298</v>
      </c>
      <c r="M57" s="27" t="s">
        <v>8299</v>
      </c>
      <c r="N57" s="23" t="str">
        <f aca="false">"시편 #"&amp;TEXT(A57,"000")</f>
        <v>시편 #056</v>
      </c>
      <c r="O57" s="30" t="s">
        <v>8265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140</v>
      </c>
      <c r="U57" s="23" t="s">
        <v>140</v>
      </c>
      <c r="V57" s="23" t="s">
        <v>140</v>
      </c>
      <c r="W57" s="23" t="s">
        <v>140</v>
      </c>
      <c r="X57" s="24"/>
    </row>
    <row r="58" customFormat="false" ht="26.85" hidden="false" customHeight="false" outlineLevel="0" collapsed="false">
      <c r="A58" s="23" t="n">
        <v>57</v>
      </c>
      <c r="B58" s="30" t="s">
        <v>8300</v>
      </c>
      <c r="C58" s="23" t="s">
        <v>8212</v>
      </c>
      <c r="D58" s="23" t="s">
        <v>7983</v>
      </c>
      <c r="E58" s="23" t="s">
        <v>7975</v>
      </c>
      <c r="F58" s="23"/>
      <c r="G58" s="24" t="s">
        <v>8301</v>
      </c>
      <c r="H58" s="24" t="s">
        <v>8302</v>
      </c>
      <c r="I58" s="23" t="s">
        <v>8303</v>
      </c>
      <c r="J58" s="24" t="s">
        <v>8304</v>
      </c>
      <c r="K58" s="24" t="s">
        <v>8305</v>
      </c>
      <c r="L58" s="24" t="s">
        <v>8306</v>
      </c>
      <c r="M58" s="24"/>
      <c r="N58" s="23" t="str">
        <f aca="false">"시편 #"&amp;TEXT(A58,"000")</f>
        <v>시편 #057</v>
      </c>
      <c r="O58" s="30" t="s">
        <v>8265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140</v>
      </c>
      <c r="U58" s="23" t="s">
        <v>140</v>
      </c>
      <c r="V58" s="23" t="s">
        <v>140</v>
      </c>
      <c r="W58" s="23" t="s">
        <v>140</v>
      </c>
      <c r="X58" s="24"/>
    </row>
    <row r="59" customFormat="false" ht="26.85" hidden="false" customHeight="false" outlineLevel="0" collapsed="false">
      <c r="A59" s="23" t="n">
        <v>58</v>
      </c>
      <c r="B59" s="30" t="s">
        <v>8307</v>
      </c>
      <c r="C59" s="23" t="s">
        <v>8212</v>
      </c>
      <c r="D59" s="23" t="s">
        <v>7974</v>
      </c>
      <c r="E59" s="23" t="s">
        <v>7975</v>
      </c>
      <c r="F59" s="23"/>
      <c r="G59" s="24" t="s">
        <v>8308</v>
      </c>
      <c r="H59" s="24" t="s">
        <v>8309</v>
      </c>
      <c r="I59" s="23" t="s">
        <v>8310</v>
      </c>
      <c r="J59" s="24" t="s">
        <v>8311</v>
      </c>
      <c r="K59" s="24" t="s">
        <v>3354</v>
      </c>
      <c r="L59" s="24" t="s">
        <v>8312</v>
      </c>
      <c r="M59" s="25" t="s">
        <v>8313</v>
      </c>
      <c r="N59" s="23" t="str">
        <f aca="false">"시편 #"&amp;TEXT(A59,"000")</f>
        <v>시편 #058</v>
      </c>
      <c r="O59" s="30" t="s">
        <v>8265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140</v>
      </c>
      <c r="U59" s="23" t="s">
        <v>140</v>
      </c>
      <c r="V59" s="23" t="s">
        <v>140</v>
      </c>
      <c r="W59" s="23" t="s">
        <v>140</v>
      </c>
      <c r="X59" s="24"/>
    </row>
    <row r="60" customFormat="false" ht="26.85" hidden="false" customHeight="false" outlineLevel="0" collapsed="false">
      <c r="A60" s="23" t="n">
        <v>59</v>
      </c>
      <c r="B60" s="30" t="s">
        <v>8314</v>
      </c>
      <c r="C60" s="23" t="s">
        <v>8212</v>
      </c>
      <c r="D60" s="23" t="s">
        <v>7983</v>
      </c>
      <c r="E60" s="23" t="s">
        <v>7975</v>
      </c>
      <c r="F60" s="23"/>
      <c r="G60" s="24" t="s">
        <v>8315</v>
      </c>
      <c r="H60" s="24" t="s">
        <v>8316</v>
      </c>
      <c r="I60" s="23" t="s">
        <v>8317</v>
      </c>
      <c r="J60" s="24" t="s">
        <v>8318</v>
      </c>
      <c r="K60" s="24" t="s">
        <v>8319</v>
      </c>
      <c r="L60" s="24" t="s">
        <v>8320</v>
      </c>
      <c r="M60" s="24"/>
      <c r="N60" s="23" t="str">
        <f aca="false">"시편 #"&amp;TEXT(A60,"000")</f>
        <v>시편 #059</v>
      </c>
      <c r="O60" s="30" t="s">
        <v>8265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140</v>
      </c>
      <c r="U60" s="23" t="s">
        <v>140</v>
      </c>
      <c r="V60" s="23" t="s">
        <v>140</v>
      </c>
      <c r="W60" s="23" t="s">
        <v>140</v>
      </c>
      <c r="X60" s="24"/>
    </row>
    <row r="61" customFormat="false" ht="26.85" hidden="false" customHeight="false" outlineLevel="0" collapsed="false">
      <c r="A61" s="23" t="n">
        <v>60</v>
      </c>
      <c r="B61" s="30" t="s">
        <v>8321</v>
      </c>
      <c r="C61" s="23" t="s">
        <v>8212</v>
      </c>
      <c r="D61" s="23" t="s">
        <v>7974</v>
      </c>
      <c r="E61" s="23" t="s">
        <v>7975</v>
      </c>
      <c r="F61" s="23"/>
      <c r="G61" s="24" t="s">
        <v>8322</v>
      </c>
      <c r="H61" s="24" t="s">
        <v>8323</v>
      </c>
      <c r="I61" s="23" t="s">
        <v>8324</v>
      </c>
      <c r="J61" s="24" t="s">
        <v>8325</v>
      </c>
      <c r="K61" s="24" t="s">
        <v>8326</v>
      </c>
      <c r="L61" s="24" t="s">
        <v>8327</v>
      </c>
      <c r="M61" s="24"/>
      <c r="N61" s="23" t="str">
        <f aca="false">"시편 #"&amp;TEXT(A61,"000")</f>
        <v>시편 #060</v>
      </c>
      <c r="O61" s="30" t="s">
        <v>8265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140</v>
      </c>
      <c r="U61" s="23" t="s">
        <v>140</v>
      </c>
      <c r="V61" s="23" t="s">
        <v>140</v>
      </c>
      <c r="W61" s="23" t="s">
        <v>140</v>
      </c>
      <c r="X61" s="24"/>
    </row>
    <row r="62" customFormat="false" ht="26.85" hidden="false" customHeight="false" outlineLevel="0" collapsed="false">
      <c r="A62" s="23" t="n">
        <v>61</v>
      </c>
      <c r="B62" s="30" t="s">
        <v>8328</v>
      </c>
      <c r="C62" s="23" t="s">
        <v>8212</v>
      </c>
      <c r="D62" s="23" t="s">
        <v>7983</v>
      </c>
      <c r="E62" s="23" t="s">
        <v>7975</v>
      </c>
      <c r="F62" s="23"/>
      <c r="G62" s="24" t="s">
        <v>8329</v>
      </c>
      <c r="H62" s="24" t="s">
        <v>8330</v>
      </c>
      <c r="I62" s="23" t="s">
        <v>8331</v>
      </c>
      <c r="J62" s="24" t="s">
        <v>8332</v>
      </c>
      <c r="K62" s="24" t="s">
        <v>3354</v>
      </c>
      <c r="L62" s="24" t="s">
        <v>8333</v>
      </c>
      <c r="M62" s="24"/>
      <c r="N62" s="23" t="str">
        <f aca="false">"시편 #"&amp;TEXT(A62,"000")</f>
        <v>시편 #061</v>
      </c>
      <c r="O62" s="30" t="s">
        <v>8334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140</v>
      </c>
      <c r="U62" s="23" t="s">
        <v>140</v>
      </c>
      <c r="V62" s="23" t="s">
        <v>140</v>
      </c>
      <c r="W62" s="23" t="s">
        <v>140</v>
      </c>
      <c r="X62" s="24"/>
    </row>
    <row r="63" customFormat="false" ht="25.35" hidden="false" customHeight="false" outlineLevel="0" collapsed="false">
      <c r="A63" s="23" t="n">
        <v>62</v>
      </c>
      <c r="B63" s="30" t="s">
        <v>8335</v>
      </c>
      <c r="C63" s="23" t="s">
        <v>8212</v>
      </c>
      <c r="D63" s="23" t="s">
        <v>7983</v>
      </c>
      <c r="E63" s="20" t="s">
        <v>8336</v>
      </c>
      <c r="F63" s="19" t="s">
        <v>3422</v>
      </c>
      <c r="G63" s="24" t="s">
        <v>3424</v>
      </c>
      <c r="H63" s="24" t="s">
        <v>3425</v>
      </c>
      <c r="I63" s="23" t="s">
        <v>3426</v>
      </c>
      <c r="J63" s="24" t="s">
        <v>3427</v>
      </c>
      <c r="K63" s="24"/>
      <c r="L63" s="24" t="s">
        <v>3428</v>
      </c>
      <c r="M63" s="24"/>
      <c r="N63" s="23" t="str">
        <f aca="false">"시편 #"&amp;TEXT(A63,"000")</f>
        <v>시편 #062</v>
      </c>
      <c r="O63" s="30" t="s">
        <v>8334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140</v>
      </c>
      <c r="U63" s="23" t="s">
        <v>140</v>
      </c>
      <c r="V63" s="23" t="s">
        <v>140</v>
      </c>
      <c r="W63" s="23" t="s">
        <v>140</v>
      </c>
      <c r="X63" s="24"/>
    </row>
    <row r="64" customFormat="false" ht="26.85" hidden="false" customHeight="false" outlineLevel="0" collapsed="false">
      <c r="A64" s="23" t="n">
        <v>63</v>
      </c>
      <c r="B64" s="30" t="s">
        <v>8337</v>
      </c>
      <c r="C64" s="23" t="s">
        <v>8212</v>
      </c>
      <c r="D64" s="23" t="s">
        <v>7983</v>
      </c>
      <c r="E64" s="20" t="s">
        <v>8338</v>
      </c>
      <c r="F64" s="19" t="s">
        <v>3430</v>
      </c>
      <c r="G64" s="24" t="s">
        <v>3432</v>
      </c>
      <c r="H64" s="24" t="s">
        <v>3433</v>
      </c>
      <c r="I64" s="23" t="s">
        <v>3434</v>
      </c>
      <c r="J64" s="24" t="s">
        <v>3435</v>
      </c>
      <c r="K64" s="24"/>
      <c r="L64" s="24" t="s">
        <v>3436</v>
      </c>
      <c r="M64" s="24"/>
      <c r="N64" s="23" t="str">
        <f aca="false">"시편 #"&amp;TEXT(A64,"000")</f>
        <v>시편 #063</v>
      </c>
      <c r="O64" s="30" t="s">
        <v>8334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140</v>
      </c>
      <c r="U64" s="23" t="s">
        <v>140</v>
      </c>
      <c r="V64" s="23" t="s">
        <v>140</v>
      </c>
      <c r="W64" s="23" t="s">
        <v>140</v>
      </c>
      <c r="X64" s="24"/>
    </row>
    <row r="65" customFormat="false" ht="26.85" hidden="false" customHeight="false" outlineLevel="0" collapsed="false">
      <c r="A65" s="23" t="n">
        <v>64</v>
      </c>
      <c r="B65" s="30" t="s">
        <v>8339</v>
      </c>
      <c r="C65" s="23" t="s">
        <v>8212</v>
      </c>
      <c r="D65" s="23" t="s">
        <v>7974</v>
      </c>
      <c r="E65" s="23" t="s">
        <v>7975</v>
      </c>
      <c r="F65" s="23"/>
      <c r="G65" s="24" t="s">
        <v>8340</v>
      </c>
      <c r="H65" s="24" t="s">
        <v>8341</v>
      </c>
      <c r="I65" s="23" t="s">
        <v>8342</v>
      </c>
      <c r="J65" s="24" t="s">
        <v>8343</v>
      </c>
      <c r="K65" s="24" t="s">
        <v>3354</v>
      </c>
      <c r="L65" s="24" t="s">
        <v>8344</v>
      </c>
      <c r="M65" s="24"/>
      <c r="N65" s="23" t="str">
        <f aca="false">"시편 #"&amp;TEXT(A65,"000")</f>
        <v>시편 #064</v>
      </c>
      <c r="O65" s="30" t="s">
        <v>8334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140</v>
      </c>
      <c r="U65" s="23" t="s">
        <v>140</v>
      </c>
      <c r="V65" s="23" t="s">
        <v>140</v>
      </c>
      <c r="W65" s="23" t="s">
        <v>140</v>
      </c>
      <c r="X65" s="24"/>
    </row>
    <row r="66" customFormat="false" ht="26.85" hidden="false" customHeight="false" outlineLevel="0" collapsed="false">
      <c r="A66" s="23" t="n">
        <v>65</v>
      </c>
      <c r="B66" s="30" t="s">
        <v>8345</v>
      </c>
      <c r="C66" s="23" t="s">
        <v>8212</v>
      </c>
      <c r="D66" s="23" t="s">
        <v>8015</v>
      </c>
      <c r="E66" s="23" t="s">
        <v>7975</v>
      </c>
      <c r="F66" s="23"/>
      <c r="G66" s="24" t="s">
        <v>8346</v>
      </c>
      <c r="H66" s="24" t="s">
        <v>8347</v>
      </c>
      <c r="I66" s="23" t="s">
        <v>8348</v>
      </c>
      <c r="J66" s="24" t="s">
        <v>8349</v>
      </c>
      <c r="K66" s="24" t="s">
        <v>3354</v>
      </c>
      <c r="L66" s="24" t="s">
        <v>8350</v>
      </c>
      <c r="M66" s="25" t="s">
        <v>8351</v>
      </c>
      <c r="N66" s="23" t="str">
        <f aca="false">"시편 #"&amp;TEXT(A66,"000")</f>
        <v>시편 #065</v>
      </c>
      <c r="O66" s="30" t="s">
        <v>8334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140</v>
      </c>
      <c r="U66" s="23" t="s">
        <v>140</v>
      </c>
      <c r="V66" s="23" t="s">
        <v>140</v>
      </c>
      <c r="W66" s="23" t="s">
        <v>140</v>
      </c>
      <c r="X66" s="24"/>
    </row>
    <row r="67" customFormat="false" ht="26.85" hidden="false" customHeight="false" outlineLevel="0" collapsed="false">
      <c r="A67" s="23" t="n">
        <v>66</v>
      </c>
      <c r="B67" s="30" t="s">
        <v>8352</v>
      </c>
      <c r="C67" s="23" t="s">
        <v>8212</v>
      </c>
      <c r="D67" s="23" t="s">
        <v>8015</v>
      </c>
      <c r="E67" s="23" t="s">
        <v>7975</v>
      </c>
      <c r="F67" s="23"/>
      <c r="G67" s="24" t="s">
        <v>8353</v>
      </c>
      <c r="H67" s="24" t="s">
        <v>8354</v>
      </c>
      <c r="I67" s="23" t="s">
        <v>8355</v>
      </c>
      <c r="J67" s="24" t="s">
        <v>8356</v>
      </c>
      <c r="K67" s="24" t="s">
        <v>8026</v>
      </c>
      <c r="L67" s="24" t="s">
        <v>8357</v>
      </c>
      <c r="M67" s="24"/>
      <c r="N67" s="23" t="str">
        <f aca="false">"시편 #"&amp;TEXT(A67,"000")</f>
        <v>시편 #066</v>
      </c>
      <c r="O67" s="30" t="s">
        <v>8334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140</v>
      </c>
      <c r="U67" s="23" t="s">
        <v>140</v>
      </c>
      <c r="V67" s="23" t="s">
        <v>140</v>
      </c>
      <c r="W67" s="23" t="s">
        <v>140</v>
      </c>
      <c r="X67" s="24"/>
    </row>
    <row r="68" customFormat="false" ht="26.85" hidden="false" customHeight="false" outlineLevel="0" collapsed="false">
      <c r="A68" s="23" t="n">
        <v>67</v>
      </c>
      <c r="B68" s="30" t="s">
        <v>8358</v>
      </c>
      <c r="C68" s="23" t="s">
        <v>8212</v>
      </c>
      <c r="D68" s="23" t="s">
        <v>8012</v>
      </c>
      <c r="E68" s="23" t="s">
        <v>7975</v>
      </c>
      <c r="F68" s="23"/>
      <c r="G68" s="24" t="s">
        <v>8359</v>
      </c>
      <c r="H68" s="24" t="s">
        <v>8360</v>
      </c>
      <c r="I68" s="23" t="s">
        <v>8361</v>
      </c>
      <c r="J68" s="24" t="s">
        <v>8362</v>
      </c>
      <c r="K68" s="24" t="s">
        <v>8026</v>
      </c>
      <c r="L68" s="24" t="s">
        <v>8363</v>
      </c>
      <c r="M68" s="24"/>
      <c r="N68" s="23" t="str">
        <f aca="false">"시편 #"&amp;TEXT(A68,"000")</f>
        <v>시편 #067</v>
      </c>
      <c r="O68" s="30" t="s">
        <v>8334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140</v>
      </c>
      <c r="U68" s="23" t="s">
        <v>140</v>
      </c>
      <c r="V68" s="23" t="s">
        <v>140</v>
      </c>
      <c r="W68" s="23" t="s">
        <v>140</v>
      </c>
      <c r="X68" s="24"/>
    </row>
    <row r="69" customFormat="false" ht="26.85" hidden="false" customHeight="false" outlineLevel="0" collapsed="false">
      <c r="A69" s="23" t="n">
        <v>68</v>
      </c>
      <c r="B69" s="30" t="s">
        <v>8364</v>
      </c>
      <c r="C69" s="23" t="s">
        <v>8212</v>
      </c>
      <c r="D69" s="23" t="s">
        <v>8012</v>
      </c>
      <c r="E69" s="23" t="s">
        <v>7975</v>
      </c>
      <c r="F69" s="23"/>
      <c r="G69" s="24" t="s">
        <v>8365</v>
      </c>
      <c r="H69" s="24" t="s">
        <v>8366</v>
      </c>
      <c r="I69" s="23" t="s">
        <v>8367</v>
      </c>
      <c r="J69" s="24" t="s">
        <v>8368</v>
      </c>
      <c r="K69" s="24" t="s">
        <v>3354</v>
      </c>
      <c r="L69" s="24" t="s">
        <v>8369</v>
      </c>
      <c r="M69" s="24"/>
      <c r="N69" s="23" t="str">
        <f aca="false">"시편 #"&amp;TEXT(A69,"000")</f>
        <v>시편 #068</v>
      </c>
      <c r="O69" s="30" t="s">
        <v>8334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140</v>
      </c>
      <c r="U69" s="23" t="s">
        <v>140</v>
      </c>
      <c r="V69" s="23" t="s">
        <v>140</v>
      </c>
      <c r="W69" s="23" t="s">
        <v>140</v>
      </c>
      <c r="X69" s="24"/>
    </row>
    <row r="70" customFormat="false" ht="26.85" hidden="false" customHeight="false" outlineLevel="0" collapsed="false">
      <c r="A70" s="23" t="n">
        <v>69</v>
      </c>
      <c r="B70" s="30" t="s">
        <v>8370</v>
      </c>
      <c r="C70" s="23" t="s">
        <v>8212</v>
      </c>
      <c r="D70" s="23" t="s">
        <v>7974</v>
      </c>
      <c r="E70" s="23" t="s">
        <v>7975</v>
      </c>
      <c r="F70" s="23"/>
      <c r="G70" s="24" t="s">
        <v>8371</v>
      </c>
      <c r="H70" s="24" t="s">
        <v>8372</v>
      </c>
      <c r="I70" s="23" t="s">
        <v>8373</v>
      </c>
      <c r="J70" s="24" t="s">
        <v>8374</v>
      </c>
      <c r="K70" s="24" t="s">
        <v>3354</v>
      </c>
      <c r="L70" s="24" t="s">
        <v>8375</v>
      </c>
      <c r="M70" s="25" t="s">
        <v>8376</v>
      </c>
      <c r="N70" s="23" t="str">
        <f aca="false">"시편 #"&amp;TEXT(A70,"000")</f>
        <v>시편 #069</v>
      </c>
      <c r="O70" s="30" t="s">
        <v>8334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140</v>
      </c>
      <c r="U70" s="23" t="s">
        <v>140</v>
      </c>
      <c r="V70" s="23" t="s">
        <v>140</v>
      </c>
      <c r="W70" s="23" t="s">
        <v>140</v>
      </c>
      <c r="X70" s="24"/>
    </row>
    <row r="71" customFormat="false" ht="26.85" hidden="false" customHeight="false" outlineLevel="0" collapsed="false">
      <c r="A71" s="23" t="n">
        <v>70</v>
      </c>
      <c r="B71" s="30" t="s">
        <v>8377</v>
      </c>
      <c r="C71" s="23" t="s">
        <v>8212</v>
      </c>
      <c r="D71" s="23" t="s">
        <v>7974</v>
      </c>
      <c r="E71" s="23" t="s">
        <v>7975</v>
      </c>
      <c r="F71" s="23"/>
      <c r="G71" s="24" t="s">
        <v>8378</v>
      </c>
      <c r="H71" s="24" t="s">
        <v>8379</v>
      </c>
      <c r="I71" s="23" t="s">
        <v>8380</v>
      </c>
      <c r="J71" s="24" t="s">
        <v>8381</v>
      </c>
      <c r="K71" s="24" t="s">
        <v>8188</v>
      </c>
      <c r="L71" s="24" t="s">
        <v>8382</v>
      </c>
      <c r="M71" s="24"/>
      <c r="N71" s="23" t="str">
        <f aca="false">"시편 #"&amp;TEXT(A71,"000")</f>
        <v>시편 #070</v>
      </c>
      <c r="O71" s="30" t="s">
        <v>8334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140</v>
      </c>
      <c r="U71" s="23" t="s">
        <v>140</v>
      </c>
      <c r="V71" s="23" t="s">
        <v>140</v>
      </c>
      <c r="W71" s="23" t="s">
        <v>140</v>
      </c>
      <c r="X71" s="24"/>
    </row>
    <row r="72" customFormat="false" ht="26.85" hidden="false" customHeight="false" outlineLevel="0" collapsed="false">
      <c r="A72" s="23" t="n">
        <v>71</v>
      </c>
      <c r="B72" s="30" t="s">
        <v>8383</v>
      </c>
      <c r="C72" s="23" t="s">
        <v>8212</v>
      </c>
      <c r="D72" s="23" t="s">
        <v>7983</v>
      </c>
      <c r="E72" s="23" t="s">
        <v>7975</v>
      </c>
      <c r="F72" s="23"/>
      <c r="G72" s="24" t="s">
        <v>8384</v>
      </c>
      <c r="H72" s="24" t="s">
        <v>8385</v>
      </c>
      <c r="I72" s="23" t="s">
        <v>8386</v>
      </c>
      <c r="J72" s="24" t="s">
        <v>8387</v>
      </c>
      <c r="K72" s="24" t="s">
        <v>8026</v>
      </c>
      <c r="L72" s="24" t="s">
        <v>8388</v>
      </c>
      <c r="M72" s="25" t="s">
        <v>8389</v>
      </c>
      <c r="N72" s="23" t="str">
        <f aca="false">"시편 #"&amp;TEXT(A72,"000")</f>
        <v>시편 #071</v>
      </c>
      <c r="O72" s="30" t="s">
        <v>8334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140</v>
      </c>
      <c r="U72" s="23" t="s">
        <v>140</v>
      </c>
      <c r="V72" s="23" t="s">
        <v>140</v>
      </c>
      <c r="W72" s="23" t="s">
        <v>140</v>
      </c>
      <c r="X72" s="24"/>
    </row>
    <row r="73" customFormat="false" ht="26.85" hidden="false" customHeight="false" outlineLevel="0" collapsed="false">
      <c r="A73" s="23" t="n">
        <v>72</v>
      </c>
      <c r="B73" s="30" t="s">
        <v>8390</v>
      </c>
      <c r="C73" s="23" t="s">
        <v>8212</v>
      </c>
      <c r="D73" s="23" t="s">
        <v>7971</v>
      </c>
      <c r="E73" s="23" t="s">
        <v>7975</v>
      </c>
      <c r="F73" s="23"/>
      <c r="G73" s="24" t="s">
        <v>8391</v>
      </c>
      <c r="H73" s="24" t="s">
        <v>8392</v>
      </c>
      <c r="I73" s="23" t="s">
        <v>8393</v>
      </c>
      <c r="J73" s="24" t="s">
        <v>8394</v>
      </c>
      <c r="K73" s="24" t="s">
        <v>8395</v>
      </c>
      <c r="L73" s="24" t="s">
        <v>8396</v>
      </c>
      <c r="M73" s="25" t="s">
        <v>8397</v>
      </c>
      <c r="N73" s="23" t="str">
        <f aca="false">"시편 #"&amp;TEXT(A73,"000")</f>
        <v>시편 #072</v>
      </c>
      <c r="O73" s="30" t="s">
        <v>8334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140</v>
      </c>
      <c r="U73" s="23" t="s">
        <v>140</v>
      </c>
      <c r="V73" s="23" t="s">
        <v>140</v>
      </c>
      <c r="W73" s="23" t="s">
        <v>140</v>
      </c>
      <c r="X73" s="24"/>
    </row>
    <row r="74" customFormat="false" ht="26.85" hidden="false" customHeight="false" outlineLevel="0" collapsed="false">
      <c r="A74" s="23" t="n">
        <v>73</v>
      </c>
      <c r="B74" s="30" t="s">
        <v>8398</v>
      </c>
      <c r="C74" s="23" t="s">
        <v>8399</v>
      </c>
      <c r="D74" s="23" t="s">
        <v>7967</v>
      </c>
      <c r="E74" s="20" t="s">
        <v>8400</v>
      </c>
      <c r="F74" s="19" t="s">
        <v>3437</v>
      </c>
      <c r="G74" s="24" t="s">
        <v>3439</v>
      </c>
      <c r="H74" s="24" t="s">
        <v>3440</v>
      </c>
      <c r="I74" s="23" t="s">
        <v>3441</v>
      </c>
      <c r="J74" s="24" t="s">
        <v>3442</v>
      </c>
      <c r="K74" s="24"/>
      <c r="L74" s="24" t="s">
        <v>1286</v>
      </c>
      <c r="M74" s="24"/>
      <c r="N74" s="23" t="str">
        <f aca="false">"시편 #"&amp;TEXT(A74,"000")</f>
        <v>시편 #073</v>
      </c>
      <c r="O74" s="30" t="s">
        <v>8401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140</v>
      </c>
      <c r="U74" s="23" t="s">
        <v>140</v>
      </c>
      <c r="V74" s="23" t="s">
        <v>140</v>
      </c>
      <c r="W74" s="23" t="s">
        <v>140</v>
      </c>
      <c r="X74" s="24"/>
    </row>
    <row r="75" customFormat="false" ht="26.85" hidden="false" customHeight="false" outlineLevel="0" collapsed="false">
      <c r="A75" s="23" t="n">
        <v>74</v>
      </c>
      <c r="B75" s="30" t="s">
        <v>8402</v>
      </c>
      <c r="C75" s="23" t="s">
        <v>8399</v>
      </c>
      <c r="D75" s="23" t="s">
        <v>7974</v>
      </c>
      <c r="E75" s="23" t="s">
        <v>7975</v>
      </c>
      <c r="F75" s="23"/>
      <c r="G75" s="24" t="s">
        <v>8403</v>
      </c>
      <c r="H75" s="24" t="s">
        <v>8404</v>
      </c>
      <c r="I75" s="23" t="s">
        <v>8405</v>
      </c>
      <c r="J75" s="24" t="s">
        <v>8406</v>
      </c>
      <c r="K75" s="24" t="s">
        <v>8407</v>
      </c>
      <c r="L75" s="24" t="s">
        <v>8408</v>
      </c>
      <c r="M75" s="24"/>
      <c r="N75" s="23" t="str">
        <f aca="false">"시편 #"&amp;TEXT(A75,"000")</f>
        <v>시편 #074</v>
      </c>
      <c r="O75" s="30" t="s">
        <v>8401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140</v>
      </c>
      <c r="U75" s="23" t="s">
        <v>140</v>
      </c>
      <c r="V75" s="23" t="s">
        <v>140</v>
      </c>
      <c r="W75" s="23" t="s">
        <v>140</v>
      </c>
      <c r="X75" s="24"/>
    </row>
    <row r="76" customFormat="false" ht="26.85" hidden="false" customHeight="false" outlineLevel="0" collapsed="false">
      <c r="A76" s="23" t="n">
        <v>75</v>
      </c>
      <c r="B76" s="30" t="s">
        <v>8409</v>
      </c>
      <c r="C76" s="23" t="s">
        <v>8399</v>
      </c>
      <c r="D76" s="23" t="s">
        <v>8015</v>
      </c>
      <c r="E76" s="23" t="s">
        <v>7975</v>
      </c>
      <c r="F76" s="23"/>
      <c r="G76" s="24" t="s">
        <v>8410</v>
      </c>
      <c r="H76" s="24" t="s">
        <v>8411</v>
      </c>
      <c r="I76" s="23" t="s">
        <v>8412</v>
      </c>
      <c r="J76" s="24" t="s">
        <v>8413</v>
      </c>
      <c r="K76" s="24" t="s">
        <v>3443</v>
      </c>
      <c r="L76" s="24" t="s">
        <v>8414</v>
      </c>
      <c r="M76" s="24"/>
      <c r="N76" s="23" t="str">
        <f aca="false">"시편 #"&amp;TEXT(A76,"000")</f>
        <v>시편 #075</v>
      </c>
      <c r="O76" s="30" t="s">
        <v>8401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140</v>
      </c>
      <c r="U76" s="23" t="s">
        <v>140</v>
      </c>
      <c r="V76" s="23" t="s">
        <v>140</v>
      </c>
      <c r="W76" s="23" t="s">
        <v>140</v>
      </c>
      <c r="X76" s="24"/>
    </row>
    <row r="77" customFormat="false" ht="26.85" hidden="false" customHeight="false" outlineLevel="0" collapsed="false">
      <c r="A77" s="23" t="n">
        <v>76</v>
      </c>
      <c r="B77" s="30" t="s">
        <v>8415</v>
      </c>
      <c r="C77" s="23" t="s">
        <v>8399</v>
      </c>
      <c r="D77" s="23" t="s">
        <v>8012</v>
      </c>
      <c r="E77" s="23" t="s">
        <v>7975</v>
      </c>
      <c r="F77" s="23"/>
      <c r="G77" s="24" t="s">
        <v>8416</v>
      </c>
      <c r="H77" s="24" t="s">
        <v>8417</v>
      </c>
      <c r="I77" s="23" t="s">
        <v>8418</v>
      </c>
      <c r="J77" s="24" t="s">
        <v>8419</v>
      </c>
      <c r="K77" s="24" t="s">
        <v>3443</v>
      </c>
      <c r="L77" s="24" t="s">
        <v>8420</v>
      </c>
      <c r="M77" s="24"/>
      <c r="N77" s="23" t="str">
        <f aca="false">"시편 #"&amp;TEXT(A77,"000")</f>
        <v>시편 #076</v>
      </c>
      <c r="O77" s="30" t="s">
        <v>8401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140</v>
      </c>
      <c r="U77" s="23" t="s">
        <v>140</v>
      </c>
      <c r="V77" s="23" t="s">
        <v>140</v>
      </c>
      <c r="W77" s="23" t="s">
        <v>140</v>
      </c>
      <c r="X77" s="24"/>
    </row>
    <row r="78" customFormat="false" ht="15" hidden="false" customHeight="false" outlineLevel="0" collapsed="false">
      <c r="A78" s="23" t="n">
        <v>77</v>
      </c>
      <c r="B78" s="30" t="s">
        <v>8421</v>
      </c>
      <c r="C78" s="23" t="s">
        <v>8399</v>
      </c>
      <c r="D78" s="23" t="s">
        <v>7974</v>
      </c>
      <c r="E78" s="23" t="s">
        <v>7975</v>
      </c>
      <c r="F78" s="23"/>
      <c r="G78" s="24" t="s">
        <v>8422</v>
      </c>
      <c r="H78" s="24" t="s">
        <v>8423</v>
      </c>
      <c r="I78" s="23" t="s">
        <v>8424</v>
      </c>
      <c r="J78" s="24" t="s">
        <v>8425</v>
      </c>
      <c r="K78" s="24" t="s">
        <v>3443</v>
      </c>
      <c r="L78" s="24" t="s">
        <v>8426</v>
      </c>
      <c r="M78" s="24"/>
      <c r="N78" s="23" t="str">
        <f aca="false">"시편 #"&amp;TEXT(A78,"000")</f>
        <v>시편 #077</v>
      </c>
      <c r="O78" s="30" t="s">
        <v>8401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140</v>
      </c>
      <c r="U78" s="23" t="s">
        <v>140</v>
      </c>
      <c r="V78" s="23" t="s">
        <v>140</v>
      </c>
      <c r="W78" s="23" t="s">
        <v>140</v>
      </c>
      <c r="X78" s="24"/>
    </row>
    <row r="79" customFormat="false" ht="26.85" hidden="false" customHeight="false" outlineLevel="0" collapsed="false">
      <c r="A79" s="23" t="n">
        <v>78</v>
      </c>
      <c r="B79" s="30" t="s">
        <v>8427</v>
      </c>
      <c r="C79" s="23" t="s">
        <v>8399</v>
      </c>
      <c r="D79" s="23" t="s">
        <v>8428</v>
      </c>
      <c r="E79" s="23" t="s">
        <v>7975</v>
      </c>
      <c r="F79" s="23"/>
      <c r="G79" s="24" t="s">
        <v>8429</v>
      </c>
      <c r="H79" s="24" t="s">
        <v>8430</v>
      </c>
      <c r="I79" s="23" t="s">
        <v>8431</v>
      </c>
      <c r="J79" s="24" t="s">
        <v>8432</v>
      </c>
      <c r="K79" s="24" t="s">
        <v>8407</v>
      </c>
      <c r="L79" s="24" t="s">
        <v>8433</v>
      </c>
      <c r="M79" s="25" t="s">
        <v>8434</v>
      </c>
      <c r="N79" s="23" t="str">
        <f aca="false">"시편 #"&amp;TEXT(A79,"000")</f>
        <v>시편 #078</v>
      </c>
      <c r="O79" s="30" t="s">
        <v>8401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140</v>
      </c>
      <c r="U79" s="23" t="s">
        <v>140</v>
      </c>
      <c r="V79" s="23" t="s">
        <v>140</v>
      </c>
      <c r="W79" s="23" t="s">
        <v>140</v>
      </c>
      <c r="X79" s="24"/>
    </row>
    <row r="80" customFormat="false" ht="26.85" hidden="false" customHeight="false" outlineLevel="0" collapsed="false">
      <c r="A80" s="23" t="n">
        <v>79</v>
      </c>
      <c r="B80" s="30" t="s">
        <v>8435</v>
      </c>
      <c r="C80" s="23" t="s">
        <v>8399</v>
      </c>
      <c r="D80" s="23" t="s">
        <v>7974</v>
      </c>
      <c r="E80" s="23" t="s">
        <v>7975</v>
      </c>
      <c r="F80" s="23"/>
      <c r="G80" s="24" t="s">
        <v>8436</v>
      </c>
      <c r="H80" s="24" t="s">
        <v>8437</v>
      </c>
      <c r="I80" s="23" t="s">
        <v>8438</v>
      </c>
      <c r="J80" s="24" t="s">
        <v>8439</v>
      </c>
      <c r="K80" s="24" t="s">
        <v>3443</v>
      </c>
      <c r="L80" s="24" t="s">
        <v>8440</v>
      </c>
      <c r="M80" s="25" t="s">
        <v>8441</v>
      </c>
      <c r="N80" s="23" t="str">
        <f aca="false">"시편 #"&amp;TEXT(A80,"000")</f>
        <v>시편 #079</v>
      </c>
      <c r="O80" s="30" t="s">
        <v>8401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140</v>
      </c>
      <c r="U80" s="23" t="s">
        <v>140</v>
      </c>
      <c r="V80" s="23" t="s">
        <v>140</v>
      </c>
      <c r="W80" s="23" t="s">
        <v>140</v>
      </c>
      <c r="X80" s="24"/>
    </row>
    <row r="81" customFormat="false" ht="26.85" hidden="false" customHeight="false" outlineLevel="0" collapsed="false">
      <c r="A81" s="23" t="n">
        <v>80</v>
      </c>
      <c r="B81" s="30" t="s">
        <v>8442</v>
      </c>
      <c r="C81" s="23" t="s">
        <v>8399</v>
      </c>
      <c r="D81" s="23" t="s">
        <v>7974</v>
      </c>
      <c r="E81" s="23" t="s">
        <v>7975</v>
      </c>
      <c r="F81" s="23"/>
      <c r="G81" s="24" t="s">
        <v>4137</v>
      </c>
      <c r="H81" s="24" t="s">
        <v>8443</v>
      </c>
      <c r="I81" s="23" t="s">
        <v>8444</v>
      </c>
      <c r="J81" s="24" t="s">
        <v>8445</v>
      </c>
      <c r="K81" s="24" t="s">
        <v>3443</v>
      </c>
      <c r="L81" s="24" t="s">
        <v>8446</v>
      </c>
      <c r="M81" s="24"/>
      <c r="N81" s="23" t="str">
        <f aca="false">"시편 #"&amp;TEXT(A81,"000")</f>
        <v>시편 #080</v>
      </c>
      <c r="O81" s="30" t="s">
        <v>8401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140</v>
      </c>
      <c r="U81" s="23" t="s">
        <v>140</v>
      </c>
      <c r="V81" s="23" t="s">
        <v>140</v>
      </c>
      <c r="W81" s="23" t="s">
        <v>140</v>
      </c>
      <c r="X81" s="24"/>
    </row>
    <row r="82" customFormat="false" ht="26.85" hidden="false" customHeight="false" outlineLevel="0" collapsed="false">
      <c r="A82" s="23" t="n">
        <v>81</v>
      </c>
      <c r="B82" s="30" t="s">
        <v>8447</v>
      </c>
      <c r="C82" s="23" t="s">
        <v>8399</v>
      </c>
      <c r="D82" s="23" t="s">
        <v>8012</v>
      </c>
      <c r="E82" s="23" t="s">
        <v>7975</v>
      </c>
      <c r="F82" s="23"/>
      <c r="G82" s="24" t="s">
        <v>8448</v>
      </c>
      <c r="H82" s="24" t="s">
        <v>8449</v>
      </c>
      <c r="I82" s="23" t="s">
        <v>8450</v>
      </c>
      <c r="J82" s="24" t="s">
        <v>8451</v>
      </c>
      <c r="K82" s="24" t="s">
        <v>3443</v>
      </c>
      <c r="L82" s="24" t="s">
        <v>8452</v>
      </c>
      <c r="M82" s="25" t="s">
        <v>8453</v>
      </c>
      <c r="N82" s="23" t="str">
        <f aca="false">"시편 #"&amp;TEXT(A82,"000")</f>
        <v>시편 #081</v>
      </c>
      <c r="O82" s="30" t="s">
        <v>8454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140</v>
      </c>
      <c r="U82" s="23" t="s">
        <v>140</v>
      </c>
      <c r="V82" s="23" t="s">
        <v>140</v>
      </c>
      <c r="W82" s="23" t="s">
        <v>140</v>
      </c>
      <c r="X82" s="24"/>
    </row>
    <row r="83" customFormat="false" ht="26.85" hidden="false" customHeight="false" outlineLevel="0" collapsed="false">
      <c r="A83" s="23" t="n">
        <v>82</v>
      </c>
      <c r="B83" s="30" t="s">
        <v>8455</v>
      </c>
      <c r="C83" s="23" t="s">
        <v>8399</v>
      </c>
      <c r="D83" s="23" t="s">
        <v>7967</v>
      </c>
      <c r="E83" s="23" t="s">
        <v>7975</v>
      </c>
      <c r="F83" s="23"/>
      <c r="G83" s="24" t="s">
        <v>8456</v>
      </c>
      <c r="H83" s="24" t="s">
        <v>8457</v>
      </c>
      <c r="I83" s="23" t="s">
        <v>8458</v>
      </c>
      <c r="J83" s="24" t="s">
        <v>8459</v>
      </c>
      <c r="K83" s="24" t="s">
        <v>3443</v>
      </c>
      <c r="L83" s="24" t="s">
        <v>8262</v>
      </c>
      <c r="M83" s="27" t="s">
        <v>8460</v>
      </c>
      <c r="N83" s="23" t="str">
        <f aca="false">"시편 #"&amp;TEXT(A83,"000")</f>
        <v>시편 #082</v>
      </c>
      <c r="O83" s="30" t="s">
        <v>8454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140</v>
      </c>
      <c r="U83" s="23" t="s">
        <v>140</v>
      </c>
      <c r="V83" s="23" t="s">
        <v>140</v>
      </c>
      <c r="W83" s="23" t="s">
        <v>140</v>
      </c>
      <c r="X83" s="24"/>
    </row>
    <row r="84" customFormat="false" ht="26.85" hidden="false" customHeight="false" outlineLevel="0" collapsed="false">
      <c r="A84" s="23" t="n">
        <v>83</v>
      </c>
      <c r="B84" s="30" t="s">
        <v>8461</v>
      </c>
      <c r="C84" s="23" t="s">
        <v>8399</v>
      </c>
      <c r="D84" s="23" t="s">
        <v>7974</v>
      </c>
      <c r="E84" s="23" t="s">
        <v>7975</v>
      </c>
      <c r="F84" s="23"/>
      <c r="G84" s="24" t="s">
        <v>8462</v>
      </c>
      <c r="H84" s="24" t="s">
        <v>8463</v>
      </c>
      <c r="I84" s="23" t="s">
        <v>8464</v>
      </c>
      <c r="J84" s="24" t="s">
        <v>8465</v>
      </c>
      <c r="K84" s="24" t="s">
        <v>3443</v>
      </c>
      <c r="L84" s="24" t="s">
        <v>8466</v>
      </c>
      <c r="M84" s="24"/>
      <c r="N84" s="23" t="str">
        <f aca="false">"시편 #"&amp;TEXT(A84,"000")</f>
        <v>시편 #083</v>
      </c>
      <c r="O84" s="30" t="s">
        <v>8454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140</v>
      </c>
      <c r="U84" s="23" t="s">
        <v>140</v>
      </c>
      <c r="V84" s="23" t="s">
        <v>140</v>
      </c>
      <c r="W84" s="23" t="s">
        <v>140</v>
      </c>
      <c r="X84" s="24"/>
    </row>
    <row r="85" customFormat="false" ht="26.85" hidden="false" customHeight="false" outlineLevel="0" collapsed="false">
      <c r="A85" s="23" t="n">
        <v>84</v>
      </c>
      <c r="B85" s="30" t="s">
        <v>8467</v>
      </c>
      <c r="C85" s="23" t="s">
        <v>8399</v>
      </c>
      <c r="D85" s="23" t="s">
        <v>8012</v>
      </c>
      <c r="E85" s="20" t="s">
        <v>8468</v>
      </c>
      <c r="F85" s="19" t="s">
        <v>3444</v>
      </c>
      <c r="G85" s="24" t="s">
        <v>3446</v>
      </c>
      <c r="H85" s="24" t="s">
        <v>3447</v>
      </c>
      <c r="I85" s="23" t="s">
        <v>3448</v>
      </c>
      <c r="J85" s="24" t="s">
        <v>3449</v>
      </c>
      <c r="K85" s="24"/>
      <c r="L85" s="24" t="s">
        <v>3450</v>
      </c>
      <c r="M85" s="24"/>
      <c r="N85" s="23" t="str">
        <f aca="false">"시편 #"&amp;TEXT(A85,"000")</f>
        <v>시편 #084</v>
      </c>
      <c r="O85" s="30" t="s">
        <v>8454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140</v>
      </c>
      <c r="U85" s="23" t="s">
        <v>140</v>
      </c>
      <c r="V85" s="23" t="s">
        <v>140</v>
      </c>
      <c r="W85" s="23" t="s">
        <v>140</v>
      </c>
      <c r="X85" s="24"/>
    </row>
    <row r="86" customFormat="false" ht="26.85" hidden="false" customHeight="false" outlineLevel="0" collapsed="false">
      <c r="A86" s="23" t="n">
        <v>85</v>
      </c>
      <c r="B86" s="30" t="s">
        <v>8469</v>
      </c>
      <c r="C86" s="23" t="s">
        <v>8399</v>
      </c>
      <c r="D86" s="23" t="s">
        <v>7974</v>
      </c>
      <c r="E86" s="23" t="s">
        <v>7975</v>
      </c>
      <c r="F86" s="23"/>
      <c r="G86" s="24" t="s">
        <v>8470</v>
      </c>
      <c r="H86" s="24" t="s">
        <v>8471</v>
      </c>
      <c r="I86" s="23" t="s">
        <v>8472</v>
      </c>
      <c r="J86" s="24" t="s">
        <v>8473</v>
      </c>
      <c r="K86" s="24" t="s">
        <v>3405</v>
      </c>
      <c r="L86" s="24" t="s">
        <v>8474</v>
      </c>
      <c r="M86" s="25" t="s">
        <v>8475</v>
      </c>
      <c r="N86" s="23" t="str">
        <f aca="false">"시편 #"&amp;TEXT(A86,"000")</f>
        <v>시편 #085</v>
      </c>
      <c r="O86" s="30" t="s">
        <v>8454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140</v>
      </c>
      <c r="U86" s="23" t="s">
        <v>140</v>
      </c>
      <c r="V86" s="23" t="s">
        <v>140</v>
      </c>
      <c r="W86" s="23" t="s">
        <v>140</v>
      </c>
      <c r="X86" s="24"/>
    </row>
    <row r="87" customFormat="false" ht="26.85" hidden="false" customHeight="false" outlineLevel="0" collapsed="false">
      <c r="A87" s="23" t="n">
        <v>86</v>
      </c>
      <c r="B87" s="30" t="s">
        <v>8476</v>
      </c>
      <c r="C87" s="23" t="s">
        <v>8399</v>
      </c>
      <c r="D87" s="23" t="s">
        <v>7974</v>
      </c>
      <c r="E87" s="23" t="s">
        <v>7975</v>
      </c>
      <c r="F87" s="23"/>
      <c r="G87" s="24" t="s">
        <v>8477</v>
      </c>
      <c r="H87" s="24" t="s">
        <v>8478</v>
      </c>
      <c r="I87" s="23" t="s">
        <v>8479</v>
      </c>
      <c r="J87" s="24" t="s">
        <v>8480</v>
      </c>
      <c r="K87" s="24" t="s">
        <v>3354</v>
      </c>
      <c r="L87" s="24" t="s">
        <v>8481</v>
      </c>
      <c r="M87" s="24"/>
      <c r="N87" s="23" t="str">
        <f aca="false">"시편 #"&amp;TEXT(A87,"000")</f>
        <v>시편 #086</v>
      </c>
      <c r="O87" s="30" t="s">
        <v>8454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140</v>
      </c>
      <c r="U87" s="23" t="s">
        <v>140</v>
      </c>
      <c r="V87" s="23" t="s">
        <v>140</v>
      </c>
      <c r="W87" s="23" t="s">
        <v>140</v>
      </c>
      <c r="X87" s="24"/>
    </row>
    <row r="88" customFormat="false" ht="26.85" hidden="false" customHeight="false" outlineLevel="0" collapsed="false">
      <c r="A88" s="23" t="n">
        <v>87</v>
      </c>
      <c r="B88" s="30" t="s">
        <v>8482</v>
      </c>
      <c r="C88" s="23" t="s">
        <v>8399</v>
      </c>
      <c r="D88" s="23" t="s">
        <v>8012</v>
      </c>
      <c r="E88" s="23" t="s">
        <v>7975</v>
      </c>
      <c r="F88" s="23"/>
      <c r="G88" s="24" t="s">
        <v>8483</v>
      </c>
      <c r="H88" s="24" t="s">
        <v>8484</v>
      </c>
      <c r="I88" s="23" t="s">
        <v>8485</v>
      </c>
      <c r="J88" s="24" t="s">
        <v>8486</v>
      </c>
      <c r="K88" s="24" t="s">
        <v>3405</v>
      </c>
      <c r="L88" s="24" t="s">
        <v>8487</v>
      </c>
      <c r="M88" s="24"/>
      <c r="N88" s="23" t="str">
        <f aca="false">"시편 #"&amp;TEXT(A88,"000")</f>
        <v>시편 #087</v>
      </c>
      <c r="O88" s="30" t="s">
        <v>8454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140</v>
      </c>
      <c r="U88" s="23" t="s">
        <v>140</v>
      </c>
      <c r="V88" s="23" t="s">
        <v>140</v>
      </c>
      <c r="W88" s="23" t="s">
        <v>140</v>
      </c>
      <c r="X88" s="24"/>
    </row>
    <row r="89" customFormat="false" ht="26.85" hidden="false" customHeight="false" outlineLevel="0" collapsed="false">
      <c r="A89" s="23" t="n">
        <v>88</v>
      </c>
      <c r="B89" s="30" t="s">
        <v>8488</v>
      </c>
      <c r="C89" s="23" t="s">
        <v>8399</v>
      </c>
      <c r="D89" s="23" t="s">
        <v>7974</v>
      </c>
      <c r="E89" s="23" t="s">
        <v>7975</v>
      </c>
      <c r="F89" s="23"/>
      <c r="G89" s="24" t="s">
        <v>8489</v>
      </c>
      <c r="H89" s="24" t="s">
        <v>8490</v>
      </c>
      <c r="I89" s="23" t="s">
        <v>8491</v>
      </c>
      <c r="J89" s="24" t="s">
        <v>8492</v>
      </c>
      <c r="K89" s="24" t="s">
        <v>8493</v>
      </c>
      <c r="L89" s="24" t="s">
        <v>8494</v>
      </c>
      <c r="M89" s="25" t="s">
        <v>8495</v>
      </c>
      <c r="N89" s="23" t="str">
        <f aca="false">"시편 #"&amp;TEXT(A89,"000")</f>
        <v>시편 #088</v>
      </c>
      <c r="O89" s="30" t="s">
        <v>8454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140</v>
      </c>
      <c r="U89" s="23" t="s">
        <v>140</v>
      </c>
      <c r="V89" s="23" t="s">
        <v>140</v>
      </c>
      <c r="W89" s="23" t="s">
        <v>140</v>
      </c>
      <c r="X89" s="24"/>
    </row>
    <row r="90" customFormat="false" ht="26.85" hidden="false" customHeight="false" outlineLevel="0" collapsed="false">
      <c r="A90" s="23" t="n">
        <v>89</v>
      </c>
      <c r="B90" s="30" t="s">
        <v>8496</v>
      </c>
      <c r="C90" s="23" t="s">
        <v>8399</v>
      </c>
      <c r="D90" s="23" t="s">
        <v>7971</v>
      </c>
      <c r="E90" s="20" t="s">
        <v>8497</v>
      </c>
      <c r="F90" s="19" t="s">
        <v>3451</v>
      </c>
      <c r="G90" s="24" t="s">
        <v>3453</v>
      </c>
      <c r="H90" s="24" t="s">
        <v>3454</v>
      </c>
      <c r="I90" s="23" t="s">
        <v>3455</v>
      </c>
      <c r="J90" s="24" t="s">
        <v>3456</v>
      </c>
      <c r="K90" s="24"/>
      <c r="L90" s="24" t="s">
        <v>3458</v>
      </c>
      <c r="M90" s="25" t="s">
        <v>3459</v>
      </c>
      <c r="N90" s="23" t="str">
        <f aca="false">"시편 #"&amp;TEXT(A90,"000")</f>
        <v>시편 #089</v>
      </c>
      <c r="O90" s="30" t="s">
        <v>8454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140</v>
      </c>
      <c r="U90" s="23" t="s">
        <v>140</v>
      </c>
      <c r="V90" s="23" t="s">
        <v>140</v>
      </c>
      <c r="W90" s="23" t="s">
        <v>140</v>
      </c>
      <c r="X90" s="24"/>
    </row>
    <row r="91" customFormat="false" ht="26.85" hidden="false" customHeight="false" outlineLevel="0" collapsed="false">
      <c r="A91" s="23" t="n">
        <v>90</v>
      </c>
      <c r="B91" s="30" t="s">
        <v>8498</v>
      </c>
      <c r="C91" s="23" t="s">
        <v>8499</v>
      </c>
      <c r="D91" s="23" t="s">
        <v>7967</v>
      </c>
      <c r="E91" s="20" t="s">
        <v>8500</v>
      </c>
      <c r="F91" s="19" t="s">
        <v>3460</v>
      </c>
      <c r="G91" s="24" t="s">
        <v>3464</v>
      </c>
      <c r="H91" s="24" t="s">
        <v>3465</v>
      </c>
      <c r="I91" s="23" t="s">
        <v>3466</v>
      </c>
      <c r="J91" s="24" t="s">
        <v>3467</v>
      </c>
      <c r="K91" s="24"/>
      <c r="L91" s="24" t="s">
        <v>3468</v>
      </c>
      <c r="M91" s="24"/>
      <c r="N91" s="23" t="str">
        <f aca="false">"시편 #"&amp;TEXT(A91,"000")</f>
        <v>시편 #090</v>
      </c>
      <c r="O91" s="30" t="s">
        <v>8501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140</v>
      </c>
      <c r="U91" s="23" t="s">
        <v>140</v>
      </c>
      <c r="V91" s="23" t="s">
        <v>140</v>
      </c>
      <c r="W91" s="23" t="s">
        <v>140</v>
      </c>
      <c r="X91" s="24"/>
    </row>
    <row r="92" customFormat="false" ht="26.85" hidden="false" customHeight="false" outlineLevel="0" collapsed="false">
      <c r="A92" s="23" t="n">
        <v>91</v>
      </c>
      <c r="B92" s="30" t="s">
        <v>8502</v>
      </c>
      <c r="C92" s="23" t="s">
        <v>8499</v>
      </c>
      <c r="D92" s="23" t="s">
        <v>7983</v>
      </c>
      <c r="E92" s="20" t="s">
        <v>8503</v>
      </c>
      <c r="F92" s="19" t="s">
        <v>3469</v>
      </c>
      <c r="G92" s="24" t="s">
        <v>3471</v>
      </c>
      <c r="H92" s="24" t="s">
        <v>3472</v>
      </c>
      <c r="I92" s="23" t="s">
        <v>3473</v>
      </c>
      <c r="J92" s="24" t="s">
        <v>3474</v>
      </c>
      <c r="K92" s="24"/>
      <c r="L92" s="24" t="s">
        <v>3476</v>
      </c>
      <c r="M92" s="25" t="s">
        <v>3477</v>
      </c>
      <c r="N92" s="23" t="str">
        <f aca="false">"시편 #"&amp;TEXT(A92,"000")</f>
        <v>시편 #091</v>
      </c>
      <c r="O92" s="30" t="s">
        <v>8501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140</v>
      </c>
      <c r="U92" s="23" t="s">
        <v>140</v>
      </c>
      <c r="V92" s="23" t="s">
        <v>140</v>
      </c>
      <c r="W92" s="23" t="s">
        <v>140</v>
      </c>
      <c r="X92" s="24"/>
    </row>
    <row r="93" customFormat="false" ht="26.85" hidden="false" customHeight="false" outlineLevel="0" collapsed="false">
      <c r="A93" s="23" t="n">
        <v>92</v>
      </c>
      <c r="B93" s="30" t="s">
        <v>8504</v>
      </c>
      <c r="C93" s="23" t="s">
        <v>8499</v>
      </c>
      <c r="D93" s="23" t="s">
        <v>8015</v>
      </c>
      <c r="E93" s="23" t="s">
        <v>7975</v>
      </c>
      <c r="F93" s="23"/>
      <c r="G93" s="24" t="s">
        <v>8505</v>
      </c>
      <c r="H93" s="24" t="s">
        <v>8506</v>
      </c>
      <c r="I93" s="23" t="s">
        <v>8507</v>
      </c>
      <c r="J93" s="24" t="s">
        <v>8508</v>
      </c>
      <c r="K93" s="24" t="s">
        <v>8509</v>
      </c>
      <c r="L93" s="24" t="s">
        <v>8510</v>
      </c>
      <c r="M93" s="24"/>
      <c r="N93" s="23" t="str">
        <f aca="false">"시편 #"&amp;TEXT(A93,"000")</f>
        <v>시편 #092</v>
      </c>
      <c r="O93" s="30" t="s">
        <v>8501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140</v>
      </c>
      <c r="U93" s="23" t="s">
        <v>140</v>
      </c>
      <c r="V93" s="23" t="s">
        <v>140</v>
      </c>
      <c r="W93" s="23" t="s">
        <v>140</v>
      </c>
      <c r="X93" s="24"/>
    </row>
    <row r="94" customFormat="false" ht="26.85" hidden="false" customHeight="false" outlineLevel="0" collapsed="false">
      <c r="A94" s="23" t="n">
        <v>93</v>
      </c>
      <c r="B94" s="30" t="s">
        <v>8511</v>
      </c>
      <c r="C94" s="23" t="s">
        <v>8499</v>
      </c>
      <c r="D94" s="23" t="s">
        <v>8012</v>
      </c>
      <c r="E94" s="23" t="s">
        <v>7975</v>
      </c>
      <c r="F94" s="23"/>
      <c r="G94" s="24" t="s">
        <v>8512</v>
      </c>
      <c r="H94" s="24" t="s">
        <v>8513</v>
      </c>
      <c r="I94" s="23" t="s">
        <v>8514</v>
      </c>
      <c r="J94" s="24" t="s">
        <v>8515</v>
      </c>
      <c r="K94" s="24" t="s">
        <v>8026</v>
      </c>
      <c r="L94" s="24" t="s">
        <v>8516</v>
      </c>
      <c r="M94" s="24"/>
      <c r="N94" s="23" t="str">
        <f aca="false">"시편 #"&amp;TEXT(A94,"000")</f>
        <v>시편 #093</v>
      </c>
      <c r="O94" s="30" t="s">
        <v>8501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140</v>
      </c>
      <c r="U94" s="23" t="s">
        <v>140</v>
      </c>
      <c r="V94" s="23" t="s">
        <v>140</v>
      </c>
      <c r="W94" s="23" t="s">
        <v>140</v>
      </c>
      <c r="X94" s="24"/>
    </row>
    <row r="95" customFormat="false" ht="26.85" hidden="false" customHeight="false" outlineLevel="0" collapsed="false">
      <c r="A95" s="23" t="n">
        <v>94</v>
      </c>
      <c r="B95" s="30" t="s">
        <v>8517</v>
      </c>
      <c r="C95" s="23" t="s">
        <v>8499</v>
      </c>
      <c r="D95" s="23" t="s">
        <v>7974</v>
      </c>
      <c r="E95" s="23" t="s">
        <v>7975</v>
      </c>
      <c r="F95" s="23"/>
      <c r="G95" s="24" t="s">
        <v>8518</v>
      </c>
      <c r="H95" s="24" t="s">
        <v>8519</v>
      </c>
      <c r="I95" s="23" t="s">
        <v>8520</v>
      </c>
      <c r="J95" s="24" t="s">
        <v>8521</v>
      </c>
      <c r="K95" s="24" t="s">
        <v>8026</v>
      </c>
      <c r="L95" s="24" t="s">
        <v>8522</v>
      </c>
      <c r="M95" s="24"/>
      <c r="N95" s="23" t="str">
        <f aca="false">"시편 #"&amp;TEXT(A95,"000")</f>
        <v>시편 #094</v>
      </c>
      <c r="O95" s="30" t="s">
        <v>8501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140</v>
      </c>
      <c r="U95" s="23" t="s">
        <v>140</v>
      </c>
      <c r="V95" s="23" t="s">
        <v>140</v>
      </c>
      <c r="W95" s="23" t="s">
        <v>140</v>
      </c>
      <c r="X95" s="24"/>
    </row>
    <row r="96" customFormat="false" ht="26.85" hidden="false" customHeight="false" outlineLevel="0" collapsed="false">
      <c r="A96" s="23" t="n">
        <v>95</v>
      </c>
      <c r="B96" s="30" t="s">
        <v>8523</v>
      </c>
      <c r="C96" s="23" t="s">
        <v>8499</v>
      </c>
      <c r="D96" s="23" t="s">
        <v>8012</v>
      </c>
      <c r="E96" s="20" t="s">
        <v>8524</v>
      </c>
      <c r="F96" s="19" t="s">
        <v>3478</v>
      </c>
      <c r="G96" s="24" t="s">
        <v>3480</v>
      </c>
      <c r="H96" s="24" t="s">
        <v>3481</v>
      </c>
      <c r="I96" s="23" t="s">
        <v>3482</v>
      </c>
      <c r="J96" s="24" t="s">
        <v>3483</v>
      </c>
      <c r="K96" s="24"/>
      <c r="L96" s="24" t="s">
        <v>3485</v>
      </c>
      <c r="M96" s="24"/>
      <c r="N96" s="23" t="str">
        <f aca="false">"시편 #"&amp;TEXT(A96,"000")</f>
        <v>시편 #095</v>
      </c>
      <c r="O96" s="30" t="s">
        <v>8501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140</v>
      </c>
      <c r="U96" s="23" t="s">
        <v>140</v>
      </c>
      <c r="V96" s="23" t="s">
        <v>140</v>
      </c>
      <c r="W96" s="23" t="s">
        <v>140</v>
      </c>
      <c r="X96" s="24"/>
    </row>
    <row r="97" customFormat="false" ht="26.85" hidden="false" customHeight="false" outlineLevel="0" collapsed="false">
      <c r="A97" s="23" t="n">
        <v>96</v>
      </c>
      <c r="B97" s="30" t="s">
        <v>8525</v>
      </c>
      <c r="C97" s="23" t="s">
        <v>8499</v>
      </c>
      <c r="D97" s="23" t="s">
        <v>8012</v>
      </c>
      <c r="E97" s="23" t="s">
        <v>7975</v>
      </c>
      <c r="F97" s="23"/>
      <c r="G97" s="24" t="s">
        <v>8151</v>
      </c>
      <c r="H97" s="24" t="s">
        <v>8526</v>
      </c>
      <c r="I97" s="23" t="s">
        <v>8527</v>
      </c>
      <c r="J97" s="24" t="s">
        <v>8528</v>
      </c>
      <c r="K97" s="24" t="s">
        <v>8026</v>
      </c>
      <c r="L97" s="24" t="s">
        <v>8529</v>
      </c>
      <c r="M97" s="24"/>
      <c r="N97" s="23" t="str">
        <f aca="false">"시편 #"&amp;TEXT(A97,"000")</f>
        <v>시편 #096</v>
      </c>
      <c r="O97" s="30" t="s">
        <v>8501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140</v>
      </c>
      <c r="U97" s="23" t="s">
        <v>140</v>
      </c>
      <c r="V97" s="23" t="s">
        <v>140</v>
      </c>
      <c r="W97" s="23" t="s">
        <v>140</v>
      </c>
      <c r="X97" s="24"/>
    </row>
    <row r="98" customFormat="false" ht="26.85" hidden="false" customHeight="false" outlineLevel="0" collapsed="false">
      <c r="A98" s="23" t="n">
        <v>97</v>
      </c>
      <c r="B98" s="30" t="s">
        <v>8530</v>
      </c>
      <c r="C98" s="23" t="s">
        <v>8499</v>
      </c>
      <c r="D98" s="23" t="s">
        <v>8012</v>
      </c>
      <c r="E98" s="23" t="s">
        <v>7975</v>
      </c>
      <c r="F98" s="23"/>
      <c r="G98" s="24" t="s">
        <v>8531</v>
      </c>
      <c r="H98" s="24" t="s">
        <v>8532</v>
      </c>
      <c r="I98" s="23" t="s">
        <v>8533</v>
      </c>
      <c r="J98" s="24" t="s">
        <v>8534</v>
      </c>
      <c r="K98" s="24" t="s">
        <v>8026</v>
      </c>
      <c r="L98" s="24" t="s">
        <v>8535</v>
      </c>
      <c r="M98" s="24"/>
      <c r="N98" s="23" t="str">
        <f aca="false">"시편 #"&amp;TEXT(A98,"000")</f>
        <v>시편 #097</v>
      </c>
      <c r="O98" s="30" t="s">
        <v>8501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140</v>
      </c>
      <c r="U98" s="23" t="s">
        <v>140</v>
      </c>
      <c r="V98" s="23" t="s">
        <v>140</v>
      </c>
      <c r="W98" s="23" t="s">
        <v>140</v>
      </c>
      <c r="X98" s="24"/>
    </row>
    <row r="99" customFormat="false" ht="26.85" hidden="false" customHeight="false" outlineLevel="0" collapsed="false">
      <c r="A99" s="23" t="n">
        <v>98</v>
      </c>
      <c r="B99" s="30" t="s">
        <v>8536</v>
      </c>
      <c r="C99" s="23" t="s">
        <v>8499</v>
      </c>
      <c r="D99" s="23" t="s">
        <v>8012</v>
      </c>
      <c r="E99" s="23" t="s">
        <v>7975</v>
      </c>
      <c r="F99" s="23"/>
      <c r="G99" s="24" t="s">
        <v>8537</v>
      </c>
      <c r="H99" s="24" t="s">
        <v>8538</v>
      </c>
      <c r="I99" s="23" t="s">
        <v>8539</v>
      </c>
      <c r="J99" s="24" t="s">
        <v>8540</v>
      </c>
      <c r="K99" s="24" t="s">
        <v>8026</v>
      </c>
      <c r="L99" s="24" t="s">
        <v>8541</v>
      </c>
      <c r="M99" s="25" t="s">
        <v>8542</v>
      </c>
      <c r="N99" s="23" t="str">
        <f aca="false">"시편 #"&amp;TEXT(A99,"000")</f>
        <v>시편 #098</v>
      </c>
      <c r="O99" s="30" t="s">
        <v>8501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140</v>
      </c>
      <c r="U99" s="23" t="s">
        <v>140</v>
      </c>
      <c r="V99" s="23" t="s">
        <v>140</v>
      </c>
      <c r="W99" s="23" t="s">
        <v>140</v>
      </c>
      <c r="X99" s="24"/>
    </row>
    <row r="100" customFormat="false" ht="26.85" hidden="false" customHeight="false" outlineLevel="0" collapsed="false">
      <c r="A100" s="23" t="n">
        <v>99</v>
      </c>
      <c r="B100" s="30" t="s">
        <v>8543</v>
      </c>
      <c r="C100" s="23" t="s">
        <v>8499</v>
      </c>
      <c r="D100" s="23" t="s">
        <v>8012</v>
      </c>
      <c r="E100" s="23" t="s">
        <v>7975</v>
      </c>
      <c r="F100" s="23"/>
      <c r="G100" s="24" t="s">
        <v>8544</v>
      </c>
      <c r="H100" s="24" t="s">
        <v>8545</v>
      </c>
      <c r="I100" s="23" t="s">
        <v>8546</v>
      </c>
      <c r="J100" s="24" t="s">
        <v>8547</v>
      </c>
      <c r="K100" s="24" t="s">
        <v>8026</v>
      </c>
      <c r="L100" s="24" t="s">
        <v>3523</v>
      </c>
      <c r="M100" s="24"/>
      <c r="N100" s="23" t="str">
        <f aca="false">"시편 #"&amp;TEXT(A100,"000")</f>
        <v>시편 #099</v>
      </c>
      <c r="O100" s="30" t="s">
        <v>8548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140</v>
      </c>
      <c r="U100" s="23" t="s">
        <v>140</v>
      </c>
      <c r="V100" s="23" t="s">
        <v>140</v>
      </c>
      <c r="W100" s="23" t="s">
        <v>140</v>
      </c>
      <c r="X100" s="24"/>
    </row>
    <row r="101" customFormat="false" ht="26.85" hidden="false" customHeight="false" outlineLevel="0" collapsed="false">
      <c r="A101" s="23" t="n">
        <v>100</v>
      </c>
      <c r="B101" s="30" t="s">
        <v>8549</v>
      </c>
      <c r="C101" s="23" t="s">
        <v>8499</v>
      </c>
      <c r="D101" s="23" t="s">
        <v>8015</v>
      </c>
      <c r="E101" s="20" t="s">
        <v>8550</v>
      </c>
      <c r="F101" s="19" t="s">
        <v>3486</v>
      </c>
      <c r="G101" s="24" t="s">
        <v>3488</v>
      </c>
      <c r="H101" s="24" t="s">
        <v>3489</v>
      </c>
      <c r="I101" s="23" t="s">
        <v>3490</v>
      </c>
      <c r="J101" s="24" t="s">
        <v>3491</v>
      </c>
      <c r="K101" s="24"/>
      <c r="L101" s="24" t="s">
        <v>3492</v>
      </c>
      <c r="M101" s="24"/>
      <c r="N101" s="23" t="str">
        <f aca="false">"시편 #"&amp;TEXT(A101,"000")</f>
        <v>시편 #100</v>
      </c>
      <c r="O101" s="30" t="s">
        <v>8548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140</v>
      </c>
      <c r="U101" s="23" t="s">
        <v>140</v>
      </c>
      <c r="V101" s="23" t="s">
        <v>140</v>
      </c>
      <c r="W101" s="23" t="s">
        <v>140</v>
      </c>
      <c r="X101" s="24"/>
    </row>
    <row r="102" customFormat="false" ht="26.85" hidden="false" customHeight="false" outlineLevel="0" collapsed="false">
      <c r="A102" s="23" t="n">
        <v>101</v>
      </c>
      <c r="B102" s="30" t="s">
        <v>8551</v>
      </c>
      <c r="C102" s="23" t="s">
        <v>8499</v>
      </c>
      <c r="D102" s="23" t="s">
        <v>7967</v>
      </c>
      <c r="E102" s="23" t="s">
        <v>7975</v>
      </c>
      <c r="F102" s="23"/>
      <c r="G102" s="24" t="s">
        <v>8552</v>
      </c>
      <c r="H102" s="24" t="s">
        <v>8553</v>
      </c>
      <c r="I102" s="23" t="s">
        <v>8554</v>
      </c>
      <c r="J102" s="24" t="s">
        <v>8555</v>
      </c>
      <c r="K102" s="24" t="s">
        <v>3354</v>
      </c>
      <c r="L102" s="24" t="s">
        <v>8556</v>
      </c>
      <c r="M102" s="24"/>
      <c r="N102" s="23" t="str">
        <f aca="false">"시편 #"&amp;TEXT(A102,"000")</f>
        <v>시편 #101</v>
      </c>
      <c r="O102" s="30" t="s">
        <v>8548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140</v>
      </c>
      <c r="U102" s="23" t="s">
        <v>140</v>
      </c>
      <c r="V102" s="23" t="s">
        <v>140</v>
      </c>
      <c r="W102" s="23" t="s">
        <v>140</v>
      </c>
      <c r="X102" s="24"/>
    </row>
    <row r="103" customFormat="false" ht="26.85" hidden="false" customHeight="false" outlineLevel="0" collapsed="false">
      <c r="A103" s="23" t="n">
        <v>102</v>
      </c>
      <c r="B103" s="30" t="s">
        <v>8557</v>
      </c>
      <c r="C103" s="23" t="s">
        <v>8499</v>
      </c>
      <c r="D103" s="23" t="s">
        <v>7974</v>
      </c>
      <c r="E103" s="23" t="s">
        <v>7975</v>
      </c>
      <c r="F103" s="23"/>
      <c r="G103" s="24" t="s">
        <v>8558</v>
      </c>
      <c r="H103" s="24" t="s">
        <v>8559</v>
      </c>
      <c r="I103" s="23" t="s">
        <v>8560</v>
      </c>
      <c r="J103" s="24" t="s">
        <v>8561</v>
      </c>
      <c r="K103" s="24" t="s">
        <v>8562</v>
      </c>
      <c r="L103" s="24" t="s">
        <v>8563</v>
      </c>
      <c r="M103" s="25" t="s">
        <v>8564</v>
      </c>
      <c r="N103" s="23" t="str">
        <f aca="false">"시편 #"&amp;TEXT(A103,"000")</f>
        <v>시편 #102</v>
      </c>
      <c r="O103" s="30" t="s">
        <v>8548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140</v>
      </c>
      <c r="U103" s="23" t="s">
        <v>140</v>
      </c>
      <c r="V103" s="23" t="s">
        <v>140</v>
      </c>
      <c r="W103" s="23" t="s">
        <v>140</v>
      </c>
      <c r="X103" s="24"/>
    </row>
    <row r="104" customFormat="false" ht="26.85" hidden="false" customHeight="false" outlineLevel="0" collapsed="false">
      <c r="A104" s="23" t="n">
        <v>103</v>
      </c>
      <c r="B104" s="30" t="s">
        <v>8565</v>
      </c>
      <c r="C104" s="23" t="s">
        <v>8499</v>
      </c>
      <c r="D104" s="23" t="s">
        <v>8012</v>
      </c>
      <c r="E104" s="20" t="s">
        <v>8566</v>
      </c>
      <c r="F104" s="19" t="s">
        <v>3493</v>
      </c>
      <c r="G104" s="24" t="s">
        <v>3495</v>
      </c>
      <c r="H104" s="24" t="s">
        <v>3496</v>
      </c>
      <c r="I104" s="23" t="s">
        <v>3497</v>
      </c>
      <c r="J104" s="24" t="s">
        <v>3498</v>
      </c>
      <c r="K104" s="24"/>
      <c r="L104" s="24"/>
      <c r="M104" s="24"/>
      <c r="N104" s="23" t="str">
        <f aca="false">"시편 #"&amp;TEXT(A104,"000")</f>
        <v>시편 #103</v>
      </c>
      <c r="O104" s="30" t="s">
        <v>8548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140</v>
      </c>
      <c r="U104" s="23" t="s">
        <v>140</v>
      </c>
      <c r="V104" s="23" t="s">
        <v>140</v>
      </c>
      <c r="W104" s="23" t="s">
        <v>140</v>
      </c>
      <c r="X104" s="24"/>
    </row>
    <row r="105" customFormat="false" ht="26.85" hidden="false" customHeight="false" outlineLevel="0" collapsed="false">
      <c r="A105" s="23" t="n">
        <v>104</v>
      </c>
      <c r="B105" s="30" t="s">
        <v>8567</v>
      </c>
      <c r="C105" s="23" t="s">
        <v>8499</v>
      </c>
      <c r="D105" s="23" t="s">
        <v>8012</v>
      </c>
      <c r="E105" s="20" t="s">
        <v>8568</v>
      </c>
      <c r="F105" s="19" t="s">
        <v>3499</v>
      </c>
      <c r="G105" s="24" t="s">
        <v>3501</v>
      </c>
      <c r="H105" s="24" t="s">
        <v>3502</v>
      </c>
      <c r="I105" s="23" t="s">
        <v>3503</v>
      </c>
      <c r="J105" s="24" t="s">
        <v>3504</v>
      </c>
      <c r="K105" s="24"/>
      <c r="L105" s="24" t="s">
        <v>3506</v>
      </c>
      <c r="M105" s="24"/>
      <c r="N105" s="23" t="str">
        <f aca="false">"시편 #"&amp;TEXT(A105,"000")</f>
        <v>시편 #104</v>
      </c>
      <c r="O105" s="30" t="s">
        <v>8548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140</v>
      </c>
      <c r="U105" s="23" t="s">
        <v>140</v>
      </c>
      <c r="V105" s="23" t="s">
        <v>140</v>
      </c>
      <c r="W105" s="23" t="s">
        <v>140</v>
      </c>
      <c r="X105" s="24"/>
    </row>
    <row r="106" customFormat="false" ht="26.85" hidden="false" customHeight="false" outlineLevel="0" collapsed="false">
      <c r="A106" s="23" t="n">
        <v>105</v>
      </c>
      <c r="B106" s="30" t="s">
        <v>8569</v>
      </c>
      <c r="C106" s="23" t="s">
        <v>8499</v>
      </c>
      <c r="D106" s="23" t="s">
        <v>8428</v>
      </c>
      <c r="E106" s="23" t="s">
        <v>7975</v>
      </c>
      <c r="F106" s="23"/>
      <c r="G106" s="24" t="s">
        <v>8570</v>
      </c>
      <c r="H106" s="24" t="s">
        <v>8571</v>
      </c>
      <c r="I106" s="23" t="s">
        <v>8572</v>
      </c>
      <c r="J106" s="24" t="s">
        <v>8573</v>
      </c>
      <c r="K106" s="24" t="s">
        <v>8026</v>
      </c>
      <c r="L106" s="24" t="s">
        <v>8574</v>
      </c>
      <c r="M106" s="24"/>
      <c r="N106" s="23" t="str">
        <f aca="false">"시편 #"&amp;TEXT(A106,"000")</f>
        <v>시편 #105</v>
      </c>
      <c r="O106" s="30" t="s">
        <v>8548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140</v>
      </c>
      <c r="U106" s="23" t="s">
        <v>140</v>
      </c>
      <c r="V106" s="23" t="s">
        <v>140</v>
      </c>
      <c r="W106" s="23" t="s">
        <v>140</v>
      </c>
      <c r="X106" s="24"/>
    </row>
    <row r="107" customFormat="false" ht="26.85" hidden="false" customHeight="false" outlineLevel="0" collapsed="false">
      <c r="A107" s="23" t="n">
        <v>106</v>
      </c>
      <c r="B107" s="30" t="s">
        <v>8575</v>
      </c>
      <c r="C107" s="23" t="s">
        <v>8499</v>
      </c>
      <c r="D107" s="23" t="s">
        <v>8428</v>
      </c>
      <c r="E107" s="20" t="s">
        <v>8576</v>
      </c>
      <c r="F107" s="19" t="s">
        <v>3507</v>
      </c>
      <c r="G107" s="24" t="s">
        <v>3509</v>
      </c>
      <c r="H107" s="24" t="s">
        <v>3510</v>
      </c>
      <c r="I107" s="23" t="s">
        <v>3511</v>
      </c>
      <c r="J107" s="24" t="s">
        <v>3512</v>
      </c>
      <c r="K107" s="24"/>
      <c r="L107" s="24" t="s">
        <v>3513</v>
      </c>
      <c r="M107" s="24"/>
      <c r="N107" s="23" t="str">
        <f aca="false">"시편 #"&amp;TEXT(A107,"000")</f>
        <v>시편 #106</v>
      </c>
      <c r="O107" s="30" t="s">
        <v>8548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140</v>
      </c>
      <c r="U107" s="23" t="s">
        <v>140</v>
      </c>
      <c r="V107" s="23" t="s">
        <v>140</v>
      </c>
      <c r="W107" s="23" t="s">
        <v>140</v>
      </c>
      <c r="X107" s="24"/>
    </row>
    <row r="108" customFormat="false" ht="26.85" hidden="false" customHeight="false" outlineLevel="0" collapsed="false">
      <c r="A108" s="23" t="n">
        <v>107</v>
      </c>
      <c r="B108" s="30" t="s">
        <v>8577</v>
      </c>
      <c r="C108" s="23" t="s">
        <v>8578</v>
      </c>
      <c r="D108" s="23" t="s">
        <v>8015</v>
      </c>
      <c r="E108" s="23" t="s">
        <v>7975</v>
      </c>
      <c r="F108" s="23"/>
      <c r="G108" s="24" t="s">
        <v>8579</v>
      </c>
      <c r="H108" s="24" t="s">
        <v>8580</v>
      </c>
      <c r="I108" s="23" t="s">
        <v>8581</v>
      </c>
      <c r="J108" s="24" t="s">
        <v>8582</v>
      </c>
      <c r="K108" s="24" t="s">
        <v>8026</v>
      </c>
      <c r="L108" s="24" t="s">
        <v>8583</v>
      </c>
      <c r="M108" s="24"/>
      <c r="N108" s="23" t="str">
        <f aca="false">"시편 #"&amp;TEXT(A108,"000")</f>
        <v>시편 #107</v>
      </c>
      <c r="O108" s="30" t="s">
        <v>8584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140</v>
      </c>
      <c r="U108" s="23" t="s">
        <v>140</v>
      </c>
      <c r="V108" s="23" t="s">
        <v>140</v>
      </c>
      <c r="W108" s="23" t="s">
        <v>140</v>
      </c>
      <c r="X108" s="24"/>
    </row>
    <row r="109" customFormat="false" ht="26.85" hidden="false" customHeight="false" outlineLevel="0" collapsed="false">
      <c r="A109" s="23" t="n">
        <v>108</v>
      </c>
      <c r="B109" s="30" t="s">
        <v>8585</v>
      </c>
      <c r="C109" s="23" t="s">
        <v>8578</v>
      </c>
      <c r="D109" s="23" t="s">
        <v>8012</v>
      </c>
      <c r="E109" s="23" t="s">
        <v>7975</v>
      </c>
      <c r="F109" s="23"/>
      <c r="G109" s="24" t="s">
        <v>8586</v>
      </c>
      <c r="H109" s="24" t="s">
        <v>8587</v>
      </c>
      <c r="I109" s="23" t="s">
        <v>8588</v>
      </c>
      <c r="J109" s="24" t="s">
        <v>8589</v>
      </c>
      <c r="K109" s="24" t="s">
        <v>3354</v>
      </c>
      <c r="L109" s="24" t="s">
        <v>8590</v>
      </c>
      <c r="M109" s="24"/>
      <c r="N109" s="23" t="str">
        <f aca="false">"시편 #"&amp;TEXT(A109,"000")</f>
        <v>시편 #108</v>
      </c>
      <c r="O109" s="30" t="s">
        <v>8584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140</v>
      </c>
      <c r="U109" s="23" t="s">
        <v>140</v>
      </c>
      <c r="V109" s="23" t="s">
        <v>140</v>
      </c>
      <c r="W109" s="23" t="s">
        <v>140</v>
      </c>
      <c r="X109" s="24"/>
    </row>
    <row r="110" customFormat="false" ht="26.85" hidden="false" customHeight="false" outlineLevel="0" collapsed="false">
      <c r="A110" s="23" t="n">
        <v>109</v>
      </c>
      <c r="B110" s="30" t="s">
        <v>8591</v>
      </c>
      <c r="C110" s="23" t="s">
        <v>8578</v>
      </c>
      <c r="D110" s="23" t="s">
        <v>7974</v>
      </c>
      <c r="E110" s="23" t="s">
        <v>7975</v>
      </c>
      <c r="F110" s="23"/>
      <c r="G110" s="24" t="s">
        <v>8592</v>
      </c>
      <c r="H110" s="24" t="s">
        <v>8593</v>
      </c>
      <c r="I110" s="23" t="s">
        <v>8594</v>
      </c>
      <c r="J110" s="24" t="s">
        <v>8595</v>
      </c>
      <c r="K110" s="24" t="s">
        <v>3354</v>
      </c>
      <c r="L110" s="24" t="s">
        <v>8596</v>
      </c>
      <c r="M110" s="25" t="s">
        <v>8597</v>
      </c>
      <c r="N110" s="23" t="str">
        <f aca="false">"시편 #"&amp;TEXT(A110,"000")</f>
        <v>시편 #109</v>
      </c>
      <c r="O110" s="30" t="s">
        <v>8584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140</v>
      </c>
      <c r="U110" s="23" t="s">
        <v>140</v>
      </c>
      <c r="V110" s="23" t="s">
        <v>140</v>
      </c>
      <c r="W110" s="23" t="s">
        <v>140</v>
      </c>
      <c r="X110" s="24"/>
    </row>
    <row r="111" customFormat="false" ht="26.85" hidden="false" customHeight="false" outlineLevel="0" collapsed="false">
      <c r="A111" s="23" t="n">
        <v>110</v>
      </c>
      <c r="B111" s="30" t="s">
        <v>8598</v>
      </c>
      <c r="C111" s="23" t="s">
        <v>8578</v>
      </c>
      <c r="D111" s="23" t="s">
        <v>7971</v>
      </c>
      <c r="E111" s="20" t="s">
        <v>8599</v>
      </c>
      <c r="F111" s="19" t="s">
        <v>3514</v>
      </c>
      <c r="G111" s="24" t="s">
        <v>3518</v>
      </c>
      <c r="H111" s="24" t="s">
        <v>3519</v>
      </c>
      <c r="I111" s="23" t="s">
        <v>3520</v>
      </c>
      <c r="J111" s="24" t="s">
        <v>3521</v>
      </c>
      <c r="K111" s="24"/>
      <c r="L111" s="24" t="s">
        <v>3523</v>
      </c>
      <c r="M111" s="25" t="s">
        <v>3524</v>
      </c>
      <c r="N111" s="23" t="str">
        <f aca="false">"시편 #"&amp;TEXT(A111,"000")</f>
        <v>시편 #110</v>
      </c>
      <c r="O111" s="30" t="s">
        <v>8584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140</v>
      </c>
      <c r="U111" s="23" t="s">
        <v>140</v>
      </c>
      <c r="V111" s="23" t="s">
        <v>140</v>
      </c>
      <c r="W111" s="23" t="s">
        <v>140</v>
      </c>
      <c r="X111" s="24"/>
    </row>
    <row r="112" customFormat="false" ht="15" hidden="false" customHeight="false" outlineLevel="0" collapsed="false">
      <c r="A112" s="23" t="n">
        <v>111</v>
      </c>
      <c r="B112" s="30" t="s">
        <v>8600</v>
      </c>
      <c r="C112" s="23" t="s">
        <v>8578</v>
      </c>
      <c r="D112" s="23" t="s">
        <v>8012</v>
      </c>
      <c r="E112" s="23" t="s">
        <v>7975</v>
      </c>
      <c r="F112" s="23"/>
      <c r="G112" s="24" t="s">
        <v>8601</v>
      </c>
      <c r="H112" s="24" t="s">
        <v>8602</v>
      </c>
      <c r="I112" s="23" t="s">
        <v>8603</v>
      </c>
      <c r="J112" s="24" t="s">
        <v>8604</v>
      </c>
      <c r="K112" s="24" t="s">
        <v>8605</v>
      </c>
      <c r="L112" s="24" t="s">
        <v>8606</v>
      </c>
      <c r="M112" s="24"/>
      <c r="N112" s="23" t="str">
        <f aca="false">"시편 #"&amp;TEXT(A112,"000")</f>
        <v>시편 #111</v>
      </c>
      <c r="O112" s="30" t="s">
        <v>8584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140</v>
      </c>
      <c r="U112" s="23" t="s">
        <v>140</v>
      </c>
      <c r="V112" s="23" t="s">
        <v>140</v>
      </c>
      <c r="W112" s="23" t="s">
        <v>140</v>
      </c>
      <c r="X112" s="24"/>
    </row>
    <row r="113" customFormat="false" ht="26.85" hidden="false" customHeight="false" outlineLevel="0" collapsed="false">
      <c r="A113" s="23" t="n">
        <v>112</v>
      </c>
      <c r="B113" s="30" t="s">
        <v>8607</v>
      </c>
      <c r="C113" s="23" t="s">
        <v>8578</v>
      </c>
      <c r="D113" s="23" t="s">
        <v>7967</v>
      </c>
      <c r="E113" s="23" t="s">
        <v>7975</v>
      </c>
      <c r="F113" s="23"/>
      <c r="G113" s="24" t="s">
        <v>8608</v>
      </c>
      <c r="H113" s="24" t="s">
        <v>8609</v>
      </c>
      <c r="I113" s="23" t="s">
        <v>8610</v>
      </c>
      <c r="J113" s="24" t="s">
        <v>8611</v>
      </c>
      <c r="K113" s="24" t="s">
        <v>8605</v>
      </c>
      <c r="L113" s="24" t="s">
        <v>8612</v>
      </c>
      <c r="M113" s="25" t="s">
        <v>1301</v>
      </c>
      <c r="N113" s="23" t="str">
        <f aca="false">"시편 #"&amp;TEXT(A113,"000")</f>
        <v>시편 #112</v>
      </c>
      <c r="O113" s="30" t="s">
        <v>8584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140</v>
      </c>
      <c r="U113" s="23" t="s">
        <v>140</v>
      </c>
      <c r="V113" s="23" t="s">
        <v>140</v>
      </c>
      <c r="W113" s="23" t="s">
        <v>140</v>
      </c>
      <c r="X113" s="24"/>
    </row>
    <row r="114" customFormat="false" ht="26.85" hidden="false" customHeight="false" outlineLevel="0" collapsed="false">
      <c r="A114" s="23" t="n">
        <v>113</v>
      </c>
      <c r="B114" s="30" t="s">
        <v>8613</v>
      </c>
      <c r="C114" s="23" t="s">
        <v>8578</v>
      </c>
      <c r="D114" s="23" t="s">
        <v>8012</v>
      </c>
      <c r="E114" s="23" t="s">
        <v>7975</v>
      </c>
      <c r="F114" s="23"/>
      <c r="G114" s="24" t="s">
        <v>8614</v>
      </c>
      <c r="H114" s="24" t="s">
        <v>8615</v>
      </c>
      <c r="I114" s="23" t="s">
        <v>8616</v>
      </c>
      <c r="J114" s="24" t="s">
        <v>8617</v>
      </c>
      <c r="K114" s="24" t="s">
        <v>8618</v>
      </c>
      <c r="L114" s="24" t="s">
        <v>8619</v>
      </c>
      <c r="M114" s="24"/>
      <c r="N114" s="23" t="str">
        <f aca="false">"시편 #"&amp;TEXT(A114,"000")</f>
        <v>시편 #113</v>
      </c>
      <c r="O114" s="30" t="s">
        <v>8584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140</v>
      </c>
      <c r="U114" s="23" t="s">
        <v>140</v>
      </c>
      <c r="V114" s="23" t="s">
        <v>140</v>
      </c>
      <c r="W114" s="23" t="s">
        <v>140</v>
      </c>
      <c r="X114" s="24"/>
    </row>
    <row r="115" customFormat="false" ht="26.85" hidden="false" customHeight="false" outlineLevel="0" collapsed="false">
      <c r="A115" s="23" t="n">
        <v>114</v>
      </c>
      <c r="B115" s="30" t="s">
        <v>8620</v>
      </c>
      <c r="C115" s="23" t="s">
        <v>8578</v>
      </c>
      <c r="D115" s="23" t="s">
        <v>8012</v>
      </c>
      <c r="E115" s="23" t="s">
        <v>7975</v>
      </c>
      <c r="F115" s="23"/>
      <c r="G115" s="24" t="s">
        <v>8621</v>
      </c>
      <c r="H115" s="24" t="s">
        <v>8622</v>
      </c>
      <c r="I115" s="23" t="s">
        <v>8623</v>
      </c>
      <c r="J115" s="24" t="s">
        <v>8624</v>
      </c>
      <c r="K115" s="24" t="s">
        <v>8625</v>
      </c>
      <c r="L115" s="24" t="s">
        <v>8626</v>
      </c>
      <c r="M115" s="24"/>
      <c r="N115" s="23" t="str">
        <f aca="false">"시편 #"&amp;TEXT(A115,"000")</f>
        <v>시편 #114</v>
      </c>
      <c r="O115" s="30" t="s">
        <v>8584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140</v>
      </c>
      <c r="U115" s="23" t="s">
        <v>140</v>
      </c>
      <c r="V115" s="23" t="s">
        <v>140</v>
      </c>
      <c r="W115" s="23" t="s">
        <v>140</v>
      </c>
      <c r="X115" s="24"/>
    </row>
    <row r="116" customFormat="false" ht="26.85" hidden="false" customHeight="false" outlineLevel="0" collapsed="false">
      <c r="A116" s="23" t="n">
        <v>115</v>
      </c>
      <c r="B116" s="30" t="s">
        <v>8627</v>
      </c>
      <c r="C116" s="23" t="s">
        <v>8578</v>
      </c>
      <c r="D116" s="23" t="s">
        <v>8012</v>
      </c>
      <c r="E116" s="23" t="s">
        <v>7975</v>
      </c>
      <c r="F116" s="23"/>
      <c r="G116" s="24" t="s">
        <v>8628</v>
      </c>
      <c r="H116" s="24" t="s">
        <v>8629</v>
      </c>
      <c r="I116" s="23" t="s">
        <v>8630</v>
      </c>
      <c r="J116" s="24" t="s">
        <v>8631</v>
      </c>
      <c r="K116" s="24" t="s">
        <v>8625</v>
      </c>
      <c r="L116" s="24" t="s">
        <v>8632</v>
      </c>
      <c r="M116" s="24"/>
      <c r="N116" s="23" t="str">
        <f aca="false">"시편 #"&amp;TEXT(A116,"000")</f>
        <v>시편 #115</v>
      </c>
      <c r="O116" s="30" t="s">
        <v>8584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140</v>
      </c>
      <c r="U116" s="23" t="s">
        <v>140</v>
      </c>
      <c r="V116" s="23" t="s">
        <v>140</v>
      </c>
      <c r="W116" s="23" t="s">
        <v>140</v>
      </c>
      <c r="X116" s="24"/>
    </row>
    <row r="117" customFormat="false" ht="26.85" hidden="false" customHeight="false" outlineLevel="0" collapsed="false">
      <c r="A117" s="23" t="n">
        <v>116</v>
      </c>
      <c r="B117" s="30" t="s">
        <v>8633</v>
      </c>
      <c r="C117" s="23" t="s">
        <v>8578</v>
      </c>
      <c r="D117" s="23" t="s">
        <v>8015</v>
      </c>
      <c r="E117" s="23" t="s">
        <v>7975</v>
      </c>
      <c r="F117" s="23"/>
      <c r="G117" s="24" t="s">
        <v>8634</v>
      </c>
      <c r="H117" s="24" t="s">
        <v>8635</v>
      </c>
      <c r="I117" s="23" t="s">
        <v>8636</v>
      </c>
      <c r="J117" s="24" t="s">
        <v>8637</v>
      </c>
      <c r="K117" s="24" t="s">
        <v>8625</v>
      </c>
      <c r="L117" s="24" t="s">
        <v>8638</v>
      </c>
      <c r="M117" s="24"/>
      <c r="N117" s="23" t="str">
        <f aca="false">"시편 #"&amp;TEXT(A117,"000")</f>
        <v>시편 #116</v>
      </c>
      <c r="O117" s="30" t="s">
        <v>8584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140</v>
      </c>
      <c r="U117" s="23" t="s">
        <v>140</v>
      </c>
      <c r="V117" s="23" t="s">
        <v>140</v>
      </c>
      <c r="W117" s="23" t="s">
        <v>140</v>
      </c>
      <c r="X117" s="24"/>
    </row>
    <row r="118" customFormat="false" ht="26.85" hidden="false" customHeight="false" outlineLevel="0" collapsed="false">
      <c r="A118" s="23" t="n">
        <v>117</v>
      </c>
      <c r="B118" s="30" t="s">
        <v>8639</v>
      </c>
      <c r="C118" s="23" t="s">
        <v>8578</v>
      </c>
      <c r="D118" s="23" t="s">
        <v>8012</v>
      </c>
      <c r="E118" s="23" t="s">
        <v>7975</v>
      </c>
      <c r="F118" s="23"/>
      <c r="G118" s="24" t="s">
        <v>8640</v>
      </c>
      <c r="H118" s="24" t="s">
        <v>8641</v>
      </c>
      <c r="I118" s="23" t="s">
        <v>8642</v>
      </c>
      <c r="J118" s="24" t="s">
        <v>8643</v>
      </c>
      <c r="K118" s="24" t="s">
        <v>8625</v>
      </c>
      <c r="L118" s="24" t="s">
        <v>8644</v>
      </c>
      <c r="M118" s="24"/>
      <c r="N118" s="23" t="str">
        <f aca="false">"시편 #"&amp;TEXT(A118,"000")</f>
        <v>시편 #117</v>
      </c>
      <c r="O118" s="30" t="s">
        <v>8584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140</v>
      </c>
      <c r="U118" s="23" t="s">
        <v>140</v>
      </c>
      <c r="V118" s="23" t="s">
        <v>140</v>
      </c>
      <c r="W118" s="23" t="s">
        <v>140</v>
      </c>
      <c r="X118" s="24"/>
    </row>
    <row r="119" customFormat="false" ht="26.85" hidden="false" customHeight="false" outlineLevel="0" collapsed="false">
      <c r="A119" s="23" t="n">
        <v>118</v>
      </c>
      <c r="B119" s="30" t="s">
        <v>8645</v>
      </c>
      <c r="C119" s="23" t="s">
        <v>8578</v>
      </c>
      <c r="D119" s="23" t="s">
        <v>8015</v>
      </c>
      <c r="E119" s="23" t="s">
        <v>7975</v>
      </c>
      <c r="F119" s="23"/>
      <c r="G119" s="24" t="s">
        <v>5001</v>
      </c>
      <c r="H119" s="24" t="s">
        <v>8646</v>
      </c>
      <c r="I119" s="23" t="s">
        <v>8647</v>
      </c>
      <c r="J119" s="24" t="s">
        <v>8648</v>
      </c>
      <c r="K119" s="24" t="s">
        <v>8625</v>
      </c>
      <c r="L119" s="24" t="s">
        <v>8649</v>
      </c>
      <c r="M119" s="25" t="s">
        <v>8650</v>
      </c>
      <c r="N119" s="23" t="str">
        <f aca="false">"시편 #"&amp;TEXT(A119,"000")</f>
        <v>시편 #118</v>
      </c>
      <c r="O119" s="30" t="s">
        <v>8584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140</v>
      </c>
      <c r="U119" s="23" t="s">
        <v>140</v>
      </c>
      <c r="V119" s="23" t="s">
        <v>140</v>
      </c>
      <c r="W119" s="23" t="s">
        <v>140</v>
      </c>
      <c r="X119" s="24"/>
    </row>
    <row r="120" customFormat="false" ht="26.85" hidden="false" customHeight="false" outlineLevel="0" collapsed="false">
      <c r="A120" s="23" t="n">
        <v>119</v>
      </c>
      <c r="B120" s="30" t="s">
        <v>8651</v>
      </c>
      <c r="C120" s="23" t="s">
        <v>8578</v>
      </c>
      <c r="D120" s="23" t="s">
        <v>7967</v>
      </c>
      <c r="E120" s="20" t="s">
        <v>8652</v>
      </c>
      <c r="F120" s="19" t="s">
        <v>3525</v>
      </c>
      <c r="G120" s="24" t="s">
        <v>3527</v>
      </c>
      <c r="H120" s="24" t="s">
        <v>3528</v>
      </c>
      <c r="I120" s="23" t="s">
        <v>3529</v>
      </c>
      <c r="J120" s="24" t="s">
        <v>3530</v>
      </c>
      <c r="K120" s="24"/>
      <c r="L120" s="24" t="s">
        <v>3531</v>
      </c>
      <c r="M120" s="24"/>
      <c r="N120" s="23" t="str">
        <f aca="false">"시편 #"&amp;TEXT(A120,"000")</f>
        <v>시편 #119</v>
      </c>
      <c r="O120" s="30" t="s">
        <v>8653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140</v>
      </c>
      <c r="U120" s="23" t="s">
        <v>140</v>
      </c>
      <c r="V120" s="23" t="s">
        <v>140</v>
      </c>
      <c r="W120" s="23" t="s">
        <v>140</v>
      </c>
      <c r="X120" s="24"/>
    </row>
    <row r="121" customFormat="false" ht="26.85" hidden="false" customHeight="false" outlineLevel="0" collapsed="false">
      <c r="A121" s="23" t="n">
        <v>120</v>
      </c>
      <c r="B121" s="30" t="s">
        <v>8654</v>
      </c>
      <c r="C121" s="23" t="s">
        <v>8578</v>
      </c>
      <c r="D121" s="23" t="s">
        <v>8655</v>
      </c>
      <c r="E121" s="23" t="s">
        <v>7975</v>
      </c>
      <c r="F121" s="23"/>
      <c r="G121" s="24" t="s">
        <v>8656</v>
      </c>
      <c r="H121" s="24" t="s">
        <v>8657</v>
      </c>
      <c r="I121" s="23" t="s">
        <v>8658</v>
      </c>
      <c r="J121" s="24" t="s">
        <v>8659</v>
      </c>
      <c r="K121" s="24" t="s">
        <v>8660</v>
      </c>
      <c r="L121" s="24" t="s">
        <v>8661</v>
      </c>
      <c r="M121" s="24"/>
      <c r="N121" s="23" t="str">
        <f aca="false">"시편 #"&amp;TEXT(A121,"000")</f>
        <v>시편 #120</v>
      </c>
      <c r="O121" s="30" t="s">
        <v>8653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140</v>
      </c>
      <c r="U121" s="23" t="s">
        <v>140</v>
      </c>
      <c r="V121" s="23" t="s">
        <v>140</v>
      </c>
      <c r="W121" s="23" t="s">
        <v>140</v>
      </c>
      <c r="X121" s="24"/>
    </row>
    <row r="122" customFormat="false" ht="26.85" hidden="false" customHeight="false" outlineLevel="0" collapsed="false">
      <c r="A122" s="23" t="n">
        <v>121</v>
      </c>
      <c r="B122" s="30" t="s">
        <v>8662</v>
      </c>
      <c r="C122" s="23" t="s">
        <v>8578</v>
      </c>
      <c r="D122" s="23" t="s">
        <v>8655</v>
      </c>
      <c r="E122" s="20" t="s">
        <v>8663</v>
      </c>
      <c r="F122" s="19" t="s">
        <v>3533</v>
      </c>
      <c r="G122" s="24" t="s">
        <v>3535</v>
      </c>
      <c r="H122" s="24" t="s">
        <v>3536</v>
      </c>
      <c r="I122" s="23" t="s">
        <v>3537</v>
      </c>
      <c r="J122" s="24" t="s">
        <v>3538</v>
      </c>
      <c r="K122" s="24"/>
      <c r="L122" s="24" t="s">
        <v>3540</v>
      </c>
      <c r="M122" s="24"/>
      <c r="N122" s="23" t="str">
        <f aca="false">"시편 #"&amp;TEXT(A122,"000")</f>
        <v>시편 #121</v>
      </c>
      <c r="O122" s="30" t="s">
        <v>8653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140</v>
      </c>
      <c r="U122" s="23" t="s">
        <v>140</v>
      </c>
      <c r="V122" s="23" t="s">
        <v>140</v>
      </c>
      <c r="W122" s="23" t="s">
        <v>140</v>
      </c>
      <c r="X122" s="24"/>
    </row>
    <row r="123" customFormat="false" ht="26.85" hidden="false" customHeight="false" outlineLevel="0" collapsed="false">
      <c r="A123" s="23" t="n">
        <v>122</v>
      </c>
      <c r="B123" s="30" t="s">
        <v>8664</v>
      </c>
      <c r="C123" s="23" t="s">
        <v>8578</v>
      </c>
      <c r="D123" s="23" t="s">
        <v>8655</v>
      </c>
      <c r="E123" s="23" t="s">
        <v>7975</v>
      </c>
      <c r="F123" s="23"/>
      <c r="G123" s="24" t="s">
        <v>8665</v>
      </c>
      <c r="H123" s="24" t="s">
        <v>8666</v>
      </c>
      <c r="I123" s="23" t="s">
        <v>8667</v>
      </c>
      <c r="J123" s="24" t="s">
        <v>8668</v>
      </c>
      <c r="K123" s="24" t="s">
        <v>8669</v>
      </c>
      <c r="L123" s="24" t="s">
        <v>4628</v>
      </c>
      <c r="M123" s="24"/>
      <c r="N123" s="23" t="str">
        <f aca="false">"시편 #"&amp;TEXT(A123,"000")</f>
        <v>시편 #122</v>
      </c>
      <c r="O123" s="30" t="s">
        <v>8653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140</v>
      </c>
      <c r="U123" s="23" t="s">
        <v>140</v>
      </c>
      <c r="V123" s="23" t="s">
        <v>140</v>
      </c>
      <c r="W123" s="23" t="s">
        <v>140</v>
      </c>
      <c r="X123" s="24"/>
    </row>
    <row r="124" customFormat="false" ht="26.85" hidden="false" customHeight="false" outlineLevel="0" collapsed="false">
      <c r="A124" s="23" t="n">
        <v>123</v>
      </c>
      <c r="B124" s="30" t="s">
        <v>8670</v>
      </c>
      <c r="C124" s="23" t="s">
        <v>8578</v>
      </c>
      <c r="D124" s="23" t="s">
        <v>8655</v>
      </c>
      <c r="E124" s="23" t="s">
        <v>7975</v>
      </c>
      <c r="F124" s="23"/>
      <c r="G124" s="24" t="s">
        <v>8671</v>
      </c>
      <c r="H124" s="24" t="s">
        <v>8672</v>
      </c>
      <c r="I124" s="23" t="s">
        <v>8673</v>
      </c>
      <c r="J124" s="24" t="s">
        <v>8674</v>
      </c>
      <c r="K124" s="24" t="s">
        <v>8660</v>
      </c>
      <c r="L124" s="24" t="s">
        <v>8675</v>
      </c>
      <c r="M124" s="24"/>
      <c r="N124" s="23" t="str">
        <f aca="false">"시편 #"&amp;TEXT(A124,"000")</f>
        <v>시편 #123</v>
      </c>
      <c r="O124" s="30" t="s">
        <v>8653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140</v>
      </c>
      <c r="U124" s="23" t="s">
        <v>140</v>
      </c>
      <c r="V124" s="23" t="s">
        <v>140</v>
      </c>
      <c r="W124" s="23" t="s">
        <v>140</v>
      </c>
      <c r="X124" s="24"/>
    </row>
    <row r="125" customFormat="false" ht="26.85" hidden="false" customHeight="false" outlineLevel="0" collapsed="false">
      <c r="A125" s="23" t="n">
        <v>124</v>
      </c>
      <c r="B125" s="30" t="s">
        <v>8676</v>
      </c>
      <c r="C125" s="23" t="s">
        <v>8578</v>
      </c>
      <c r="D125" s="23" t="s">
        <v>8655</v>
      </c>
      <c r="E125" s="23" t="s">
        <v>7975</v>
      </c>
      <c r="F125" s="23"/>
      <c r="G125" s="24" t="s">
        <v>8677</v>
      </c>
      <c r="H125" s="24" t="s">
        <v>8678</v>
      </c>
      <c r="I125" s="23" t="s">
        <v>8679</v>
      </c>
      <c r="J125" s="24" t="s">
        <v>8680</v>
      </c>
      <c r="K125" s="24" t="s">
        <v>8669</v>
      </c>
      <c r="L125" s="24" t="s">
        <v>8681</v>
      </c>
      <c r="M125" s="24"/>
      <c r="N125" s="23" t="str">
        <f aca="false">"시편 #"&amp;TEXT(A125,"000")</f>
        <v>시편 #124</v>
      </c>
      <c r="O125" s="30" t="s">
        <v>8653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140</v>
      </c>
      <c r="U125" s="23" t="s">
        <v>140</v>
      </c>
      <c r="V125" s="23" t="s">
        <v>140</v>
      </c>
      <c r="W125" s="23" t="s">
        <v>140</v>
      </c>
      <c r="X125" s="24"/>
    </row>
    <row r="126" customFormat="false" ht="26.85" hidden="false" customHeight="false" outlineLevel="0" collapsed="false">
      <c r="A126" s="23" t="n">
        <v>125</v>
      </c>
      <c r="B126" s="30" t="s">
        <v>8682</v>
      </c>
      <c r="C126" s="23" t="s">
        <v>8578</v>
      </c>
      <c r="D126" s="23" t="s">
        <v>8655</v>
      </c>
      <c r="E126" s="23" t="s">
        <v>7975</v>
      </c>
      <c r="F126" s="23"/>
      <c r="G126" s="24" t="s">
        <v>8683</v>
      </c>
      <c r="H126" s="24" t="s">
        <v>8684</v>
      </c>
      <c r="I126" s="23" t="s">
        <v>8685</v>
      </c>
      <c r="J126" s="24" t="s">
        <v>8686</v>
      </c>
      <c r="K126" s="24" t="s">
        <v>8660</v>
      </c>
      <c r="L126" s="24" t="s">
        <v>8687</v>
      </c>
      <c r="M126" s="24"/>
      <c r="N126" s="23" t="str">
        <f aca="false">"시편 #"&amp;TEXT(A126,"000")</f>
        <v>시편 #125</v>
      </c>
      <c r="O126" s="30" t="s">
        <v>8653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140</v>
      </c>
      <c r="U126" s="23" t="s">
        <v>140</v>
      </c>
      <c r="V126" s="23" t="s">
        <v>140</v>
      </c>
      <c r="W126" s="23" t="s">
        <v>140</v>
      </c>
      <c r="X126" s="24"/>
    </row>
    <row r="127" customFormat="false" ht="26.85" hidden="false" customHeight="false" outlineLevel="0" collapsed="false">
      <c r="A127" s="23" t="n">
        <v>126</v>
      </c>
      <c r="B127" s="30" t="s">
        <v>8688</v>
      </c>
      <c r="C127" s="23" t="s">
        <v>8578</v>
      </c>
      <c r="D127" s="23" t="s">
        <v>8655</v>
      </c>
      <c r="E127" s="20" t="s">
        <v>8689</v>
      </c>
      <c r="F127" s="19" t="s">
        <v>3542</v>
      </c>
      <c r="G127" s="24" t="s">
        <v>3544</v>
      </c>
      <c r="H127" s="24" t="s">
        <v>3545</v>
      </c>
      <c r="I127" s="23" t="s">
        <v>3546</v>
      </c>
      <c r="J127" s="24" t="s">
        <v>3547</v>
      </c>
      <c r="K127" s="24"/>
      <c r="L127" s="24" t="s">
        <v>3549</v>
      </c>
      <c r="M127" s="24"/>
      <c r="N127" s="23" t="str">
        <f aca="false">"시편 #"&amp;TEXT(A127,"000")</f>
        <v>시편 #126</v>
      </c>
      <c r="O127" s="30" t="s">
        <v>8653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140</v>
      </c>
      <c r="U127" s="23" t="s">
        <v>140</v>
      </c>
      <c r="V127" s="23" t="s">
        <v>140</v>
      </c>
      <c r="W127" s="23" t="s">
        <v>140</v>
      </c>
      <c r="X127" s="24"/>
    </row>
    <row r="128" customFormat="false" ht="26.85" hidden="false" customHeight="false" outlineLevel="0" collapsed="false">
      <c r="A128" s="23" t="n">
        <v>127</v>
      </c>
      <c r="B128" s="30" t="s">
        <v>8690</v>
      </c>
      <c r="C128" s="23" t="s">
        <v>8578</v>
      </c>
      <c r="D128" s="23" t="s">
        <v>8655</v>
      </c>
      <c r="E128" s="23" t="s">
        <v>7975</v>
      </c>
      <c r="F128" s="23"/>
      <c r="G128" s="24" t="s">
        <v>8691</v>
      </c>
      <c r="H128" s="24" t="s">
        <v>8692</v>
      </c>
      <c r="I128" s="23" t="s">
        <v>8693</v>
      </c>
      <c r="J128" s="24" t="s">
        <v>8694</v>
      </c>
      <c r="K128" s="24" t="s">
        <v>8695</v>
      </c>
      <c r="L128" s="24" t="s">
        <v>8696</v>
      </c>
      <c r="M128" s="24"/>
      <c r="N128" s="23" t="str">
        <f aca="false">"시편 #"&amp;TEXT(A128,"000")</f>
        <v>시편 #127</v>
      </c>
      <c r="O128" s="30" t="s">
        <v>8653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140</v>
      </c>
      <c r="U128" s="23" t="s">
        <v>140</v>
      </c>
      <c r="V128" s="23" t="s">
        <v>140</v>
      </c>
      <c r="W128" s="23" t="s">
        <v>140</v>
      </c>
      <c r="X128" s="24"/>
    </row>
    <row r="129" customFormat="false" ht="15" hidden="false" customHeight="false" outlineLevel="0" collapsed="false">
      <c r="A129" s="23" t="n">
        <v>128</v>
      </c>
      <c r="B129" s="30" t="s">
        <v>8697</v>
      </c>
      <c r="C129" s="23" t="s">
        <v>8578</v>
      </c>
      <c r="D129" s="23" t="s">
        <v>8655</v>
      </c>
      <c r="E129" s="23" t="s">
        <v>7975</v>
      </c>
      <c r="F129" s="23"/>
      <c r="G129" s="24" t="s">
        <v>8698</v>
      </c>
      <c r="H129" s="24" t="s">
        <v>8699</v>
      </c>
      <c r="I129" s="23" t="s">
        <v>8700</v>
      </c>
      <c r="J129" s="24" t="s">
        <v>8701</v>
      </c>
      <c r="K129" s="24" t="s">
        <v>8660</v>
      </c>
      <c r="L129" s="24" t="s">
        <v>8702</v>
      </c>
      <c r="M129" s="24"/>
      <c r="N129" s="23" t="str">
        <f aca="false">"시편 #"&amp;TEXT(A129,"000")</f>
        <v>시편 #128</v>
      </c>
      <c r="O129" s="30" t="s">
        <v>8703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140</v>
      </c>
      <c r="U129" s="23" t="s">
        <v>140</v>
      </c>
      <c r="V129" s="23" t="s">
        <v>140</v>
      </c>
      <c r="W129" s="23" t="s">
        <v>140</v>
      </c>
      <c r="X129" s="24"/>
    </row>
    <row r="130" customFormat="false" ht="26.85" hidden="false" customHeight="false" outlineLevel="0" collapsed="false">
      <c r="A130" s="23" t="n">
        <v>129</v>
      </c>
      <c r="B130" s="30" t="s">
        <v>8704</v>
      </c>
      <c r="C130" s="23" t="s">
        <v>8578</v>
      </c>
      <c r="D130" s="23" t="s">
        <v>8655</v>
      </c>
      <c r="E130" s="23" t="s">
        <v>7975</v>
      </c>
      <c r="F130" s="23"/>
      <c r="G130" s="24" t="s">
        <v>8705</v>
      </c>
      <c r="H130" s="24" t="s">
        <v>8706</v>
      </c>
      <c r="I130" s="23" t="s">
        <v>8707</v>
      </c>
      <c r="J130" s="24" t="s">
        <v>8708</v>
      </c>
      <c r="K130" s="24" t="s">
        <v>8660</v>
      </c>
      <c r="L130" s="24" t="s">
        <v>8709</v>
      </c>
      <c r="M130" s="24"/>
      <c r="N130" s="23" t="str">
        <f aca="false">"시편 #"&amp;TEXT(A130,"000")</f>
        <v>시편 #129</v>
      </c>
      <c r="O130" s="30" t="s">
        <v>8703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140</v>
      </c>
      <c r="U130" s="23" t="s">
        <v>140</v>
      </c>
      <c r="V130" s="23" t="s">
        <v>140</v>
      </c>
      <c r="W130" s="23" t="s">
        <v>140</v>
      </c>
      <c r="X130" s="24"/>
    </row>
    <row r="131" customFormat="false" ht="26.85" hidden="false" customHeight="false" outlineLevel="0" collapsed="false">
      <c r="A131" s="23" t="n">
        <v>130</v>
      </c>
      <c r="B131" s="30" t="s">
        <v>8710</v>
      </c>
      <c r="C131" s="23" t="s">
        <v>8578</v>
      </c>
      <c r="D131" s="23" t="s">
        <v>7996</v>
      </c>
      <c r="E131" s="23" t="s">
        <v>7975</v>
      </c>
      <c r="F131" s="23"/>
      <c r="G131" s="24" t="s">
        <v>8711</v>
      </c>
      <c r="H131" s="24" t="s">
        <v>4488</v>
      </c>
      <c r="I131" s="23" t="s">
        <v>8712</v>
      </c>
      <c r="J131" s="24" t="s">
        <v>8713</v>
      </c>
      <c r="K131" s="24" t="s">
        <v>8714</v>
      </c>
      <c r="L131" s="24" t="s">
        <v>8715</v>
      </c>
      <c r="M131" s="24"/>
      <c r="N131" s="23" t="str">
        <f aca="false">"시편 #"&amp;TEXT(A131,"000")</f>
        <v>시편 #130</v>
      </c>
      <c r="O131" s="30" t="s">
        <v>8703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140</v>
      </c>
      <c r="U131" s="23" t="s">
        <v>140</v>
      </c>
      <c r="V131" s="23" t="s">
        <v>140</v>
      </c>
      <c r="W131" s="23" t="s">
        <v>140</v>
      </c>
      <c r="X131" s="24"/>
    </row>
    <row r="132" customFormat="false" ht="15" hidden="false" customHeight="false" outlineLevel="0" collapsed="false">
      <c r="A132" s="23" t="n">
        <v>131</v>
      </c>
      <c r="B132" s="30" t="s">
        <v>8716</v>
      </c>
      <c r="C132" s="23" t="s">
        <v>8578</v>
      </c>
      <c r="D132" s="23" t="s">
        <v>8655</v>
      </c>
      <c r="E132" s="23" t="s">
        <v>7975</v>
      </c>
      <c r="F132" s="23"/>
      <c r="G132" s="24" t="s">
        <v>8717</v>
      </c>
      <c r="H132" s="24" t="s">
        <v>8718</v>
      </c>
      <c r="I132" s="23" t="s">
        <v>8719</v>
      </c>
      <c r="J132" s="24" t="s">
        <v>8720</v>
      </c>
      <c r="K132" s="24" t="s">
        <v>8669</v>
      </c>
      <c r="L132" s="24" t="s">
        <v>8721</v>
      </c>
      <c r="M132" s="24"/>
      <c r="N132" s="23" t="str">
        <f aca="false">"시편 #"&amp;TEXT(A132,"000")</f>
        <v>시편 #131</v>
      </c>
      <c r="O132" s="30" t="s">
        <v>8703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140</v>
      </c>
      <c r="U132" s="23" t="s">
        <v>140</v>
      </c>
      <c r="V132" s="23" t="s">
        <v>140</v>
      </c>
      <c r="W132" s="23" t="s">
        <v>140</v>
      </c>
      <c r="X132" s="24"/>
    </row>
    <row r="133" customFormat="false" ht="26.85" hidden="false" customHeight="false" outlineLevel="0" collapsed="false">
      <c r="A133" s="23" t="n">
        <v>132</v>
      </c>
      <c r="B133" s="30" t="s">
        <v>8722</v>
      </c>
      <c r="C133" s="23" t="s">
        <v>8578</v>
      </c>
      <c r="D133" s="23" t="s">
        <v>8655</v>
      </c>
      <c r="E133" s="23" t="s">
        <v>7975</v>
      </c>
      <c r="F133" s="23"/>
      <c r="G133" s="24" t="s">
        <v>8723</v>
      </c>
      <c r="H133" s="24" t="s">
        <v>8724</v>
      </c>
      <c r="I133" s="23" t="s">
        <v>8725</v>
      </c>
      <c r="J133" s="24" t="s">
        <v>8726</v>
      </c>
      <c r="K133" s="24" t="s">
        <v>8660</v>
      </c>
      <c r="L133" s="24" t="s">
        <v>8369</v>
      </c>
      <c r="M133" s="25" t="s">
        <v>8727</v>
      </c>
      <c r="N133" s="23" t="str">
        <f aca="false">"시편 #"&amp;TEXT(A133,"000")</f>
        <v>시편 #132</v>
      </c>
      <c r="O133" s="30" t="s">
        <v>8703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140</v>
      </c>
      <c r="U133" s="23" t="s">
        <v>140</v>
      </c>
      <c r="V133" s="23" t="s">
        <v>140</v>
      </c>
      <c r="W133" s="23" t="s">
        <v>140</v>
      </c>
      <c r="X133" s="24"/>
    </row>
    <row r="134" customFormat="false" ht="26.85" hidden="false" customHeight="false" outlineLevel="0" collapsed="false">
      <c r="A134" s="23" t="n">
        <v>133</v>
      </c>
      <c r="B134" s="30" t="s">
        <v>8728</v>
      </c>
      <c r="C134" s="23" t="s">
        <v>8578</v>
      </c>
      <c r="D134" s="23" t="s">
        <v>8655</v>
      </c>
      <c r="E134" s="20" t="s">
        <v>8729</v>
      </c>
      <c r="F134" s="19" t="s">
        <v>3550</v>
      </c>
      <c r="G134" s="24" t="s">
        <v>3552</v>
      </c>
      <c r="H134" s="24" t="s">
        <v>3553</v>
      </c>
      <c r="I134" s="23" t="s">
        <v>3554</v>
      </c>
      <c r="J134" s="24" t="s">
        <v>3555</v>
      </c>
      <c r="K134" s="24"/>
      <c r="L134" s="24" t="s">
        <v>3557</v>
      </c>
      <c r="M134" s="24"/>
      <c r="N134" s="23" t="str">
        <f aca="false">"시편 #"&amp;TEXT(A134,"000")</f>
        <v>시편 #133</v>
      </c>
      <c r="O134" s="30" t="s">
        <v>8703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140</v>
      </c>
      <c r="U134" s="23" t="s">
        <v>140</v>
      </c>
      <c r="V134" s="23" t="s">
        <v>140</v>
      </c>
      <c r="W134" s="23" t="s">
        <v>140</v>
      </c>
      <c r="X134" s="24"/>
    </row>
    <row r="135" customFormat="false" ht="26.85" hidden="false" customHeight="false" outlineLevel="0" collapsed="false">
      <c r="A135" s="23" t="n">
        <v>134</v>
      </c>
      <c r="B135" s="30" t="s">
        <v>8730</v>
      </c>
      <c r="C135" s="23" t="s">
        <v>8578</v>
      </c>
      <c r="D135" s="23" t="s">
        <v>8655</v>
      </c>
      <c r="E135" s="23" t="s">
        <v>7975</v>
      </c>
      <c r="F135" s="23"/>
      <c r="G135" s="24" t="s">
        <v>8731</v>
      </c>
      <c r="H135" s="24" t="s">
        <v>8732</v>
      </c>
      <c r="I135" s="23" t="s">
        <v>8733</v>
      </c>
      <c r="J135" s="24" t="s">
        <v>8734</v>
      </c>
      <c r="K135" s="24" t="s">
        <v>8660</v>
      </c>
      <c r="L135" s="24" t="s">
        <v>8735</v>
      </c>
      <c r="M135" s="24"/>
      <c r="N135" s="23" t="str">
        <f aca="false">"시편 #"&amp;TEXT(A135,"000")</f>
        <v>시편 #134</v>
      </c>
      <c r="O135" s="30" t="s">
        <v>8703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140</v>
      </c>
      <c r="U135" s="23" t="s">
        <v>140</v>
      </c>
      <c r="V135" s="23" t="s">
        <v>140</v>
      </c>
      <c r="W135" s="23" t="s">
        <v>140</v>
      </c>
      <c r="X135" s="24"/>
    </row>
    <row r="136" customFormat="false" ht="26.85" hidden="false" customHeight="false" outlineLevel="0" collapsed="false">
      <c r="A136" s="23" t="n">
        <v>135</v>
      </c>
      <c r="B136" s="30" t="s">
        <v>8736</v>
      </c>
      <c r="C136" s="23" t="s">
        <v>8578</v>
      </c>
      <c r="D136" s="23" t="s">
        <v>8012</v>
      </c>
      <c r="E136" s="23" t="s">
        <v>7975</v>
      </c>
      <c r="F136" s="23"/>
      <c r="G136" s="24" t="s">
        <v>8737</v>
      </c>
      <c r="H136" s="24" t="s">
        <v>8738</v>
      </c>
      <c r="I136" s="23" t="s">
        <v>8739</v>
      </c>
      <c r="J136" s="24" t="s">
        <v>8740</v>
      </c>
      <c r="K136" s="24" t="s">
        <v>8026</v>
      </c>
      <c r="L136" s="24" t="s">
        <v>2465</v>
      </c>
      <c r="M136" s="24"/>
      <c r="N136" s="23" t="str">
        <f aca="false">"시편 #"&amp;TEXT(A136,"000")</f>
        <v>시편 #135</v>
      </c>
      <c r="O136" s="30" t="s">
        <v>8703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140</v>
      </c>
      <c r="U136" s="23" t="s">
        <v>140</v>
      </c>
      <c r="V136" s="23" t="s">
        <v>140</v>
      </c>
      <c r="W136" s="23" t="s">
        <v>140</v>
      </c>
      <c r="X136" s="24"/>
    </row>
    <row r="137" customFormat="false" ht="26.85" hidden="false" customHeight="false" outlineLevel="0" collapsed="false">
      <c r="A137" s="23" t="n">
        <v>136</v>
      </c>
      <c r="B137" s="30" t="s">
        <v>8741</v>
      </c>
      <c r="C137" s="23" t="s">
        <v>8578</v>
      </c>
      <c r="D137" s="23" t="s">
        <v>8015</v>
      </c>
      <c r="E137" s="23" t="s">
        <v>7975</v>
      </c>
      <c r="F137" s="23"/>
      <c r="G137" s="24" t="s">
        <v>8742</v>
      </c>
      <c r="H137" s="29" t="s">
        <v>8743</v>
      </c>
      <c r="I137" s="23" t="s">
        <v>8744</v>
      </c>
      <c r="J137" s="24" t="s">
        <v>8745</v>
      </c>
      <c r="K137" s="24" t="s">
        <v>8026</v>
      </c>
      <c r="L137" s="24" t="s">
        <v>8746</v>
      </c>
      <c r="M137" s="24"/>
      <c r="N137" s="23" t="str">
        <f aca="false">"시편 #"&amp;TEXT(A137,"000")</f>
        <v>시편 #136</v>
      </c>
      <c r="O137" s="30" t="s">
        <v>8703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140</v>
      </c>
      <c r="U137" s="23" t="s">
        <v>140</v>
      </c>
      <c r="V137" s="23" t="s">
        <v>140</v>
      </c>
      <c r="W137" s="23" t="s">
        <v>140</v>
      </c>
      <c r="X137" s="24"/>
    </row>
    <row r="138" customFormat="false" ht="26.85" hidden="false" customHeight="false" outlineLevel="0" collapsed="false">
      <c r="A138" s="23" t="n">
        <v>137</v>
      </c>
      <c r="B138" s="30" t="s">
        <v>8747</v>
      </c>
      <c r="C138" s="23" t="s">
        <v>8578</v>
      </c>
      <c r="D138" s="23" t="s">
        <v>7974</v>
      </c>
      <c r="E138" s="23" t="s">
        <v>7975</v>
      </c>
      <c r="F138" s="23"/>
      <c r="G138" s="24" t="s">
        <v>8748</v>
      </c>
      <c r="H138" s="24" t="s">
        <v>8749</v>
      </c>
      <c r="I138" s="23" t="s">
        <v>8750</v>
      </c>
      <c r="J138" s="24" t="s">
        <v>8751</v>
      </c>
      <c r="K138" s="24" t="s">
        <v>8026</v>
      </c>
      <c r="L138" s="24" t="s">
        <v>8752</v>
      </c>
      <c r="M138" s="27" t="s">
        <v>8753</v>
      </c>
      <c r="N138" s="23" t="str">
        <f aca="false">"시편 #"&amp;TEXT(A138,"000")</f>
        <v>시편 #137</v>
      </c>
      <c r="O138" s="30" t="s">
        <v>8703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140</v>
      </c>
      <c r="U138" s="23" t="s">
        <v>140</v>
      </c>
      <c r="V138" s="23" t="s">
        <v>140</v>
      </c>
      <c r="W138" s="23" t="s">
        <v>140</v>
      </c>
      <c r="X138" s="24"/>
    </row>
    <row r="139" customFormat="false" ht="26.85" hidden="false" customHeight="false" outlineLevel="0" collapsed="false">
      <c r="A139" s="23" t="n">
        <v>138</v>
      </c>
      <c r="B139" s="30" t="s">
        <v>8754</v>
      </c>
      <c r="C139" s="23" t="s">
        <v>8578</v>
      </c>
      <c r="D139" s="23" t="s">
        <v>8015</v>
      </c>
      <c r="E139" s="23" t="s">
        <v>7975</v>
      </c>
      <c r="F139" s="23"/>
      <c r="G139" s="24" t="s">
        <v>8755</v>
      </c>
      <c r="H139" s="24" t="s">
        <v>8756</v>
      </c>
      <c r="I139" s="23" t="s">
        <v>8757</v>
      </c>
      <c r="J139" s="24" t="s">
        <v>8758</v>
      </c>
      <c r="K139" s="24" t="s">
        <v>3354</v>
      </c>
      <c r="L139" s="24" t="s">
        <v>8759</v>
      </c>
      <c r="M139" s="24"/>
      <c r="N139" s="23" t="str">
        <f aca="false">"시편 #"&amp;TEXT(A139,"000")</f>
        <v>시편 #138</v>
      </c>
      <c r="O139" s="30" t="s">
        <v>8760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140</v>
      </c>
      <c r="U139" s="23" t="s">
        <v>140</v>
      </c>
      <c r="V139" s="23" t="s">
        <v>140</v>
      </c>
      <c r="W139" s="23" t="s">
        <v>140</v>
      </c>
      <c r="X139" s="24"/>
    </row>
    <row r="140" customFormat="false" ht="26.85" hidden="false" customHeight="false" outlineLevel="0" collapsed="false">
      <c r="A140" s="23" t="n">
        <v>139</v>
      </c>
      <c r="B140" s="30" t="s">
        <v>8761</v>
      </c>
      <c r="C140" s="23" t="s">
        <v>8578</v>
      </c>
      <c r="D140" s="23" t="s">
        <v>7967</v>
      </c>
      <c r="E140" s="20" t="s">
        <v>8762</v>
      </c>
      <c r="F140" s="19" t="s">
        <v>3558</v>
      </c>
      <c r="G140" s="24" t="s">
        <v>3560</v>
      </c>
      <c r="H140" s="24" t="s">
        <v>3561</v>
      </c>
      <c r="I140" s="23" t="s">
        <v>3562</v>
      </c>
      <c r="J140" s="24" t="s">
        <v>3563</v>
      </c>
      <c r="K140" s="24"/>
      <c r="L140" s="24" t="s">
        <v>3564</v>
      </c>
      <c r="M140" s="24"/>
      <c r="N140" s="23" t="str">
        <f aca="false">"시편 #"&amp;TEXT(A140,"000")</f>
        <v>시편 #139</v>
      </c>
      <c r="O140" s="30" t="s">
        <v>8760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140</v>
      </c>
      <c r="U140" s="23" t="s">
        <v>140</v>
      </c>
      <c r="V140" s="23" t="s">
        <v>140</v>
      </c>
      <c r="W140" s="23" t="s">
        <v>140</v>
      </c>
      <c r="X140" s="24"/>
    </row>
    <row r="141" customFormat="false" ht="26.85" hidden="false" customHeight="false" outlineLevel="0" collapsed="false">
      <c r="A141" s="23" t="n">
        <v>140</v>
      </c>
      <c r="B141" s="30" t="s">
        <v>8763</v>
      </c>
      <c r="C141" s="23" t="s">
        <v>8578</v>
      </c>
      <c r="D141" s="23" t="s">
        <v>7974</v>
      </c>
      <c r="E141" s="23" t="s">
        <v>7975</v>
      </c>
      <c r="F141" s="23"/>
      <c r="G141" s="24" t="s">
        <v>8764</v>
      </c>
      <c r="H141" s="24" t="s">
        <v>8765</v>
      </c>
      <c r="I141" s="23" t="s">
        <v>8766</v>
      </c>
      <c r="J141" s="24" t="s">
        <v>8767</v>
      </c>
      <c r="K141" s="24" t="s">
        <v>3354</v>
      </c>
      <c r="L141" s="24" t="s">
        <v>8768</v>
      </c>
      <c r="M141" s="24"/>
      <c r="N141" s="23" t="str">
        <f aca="false">"시편 #"&amp;TEXT(A141,"000")</f>
        <v>시편 #140</v>
      </c>
      <c r="O141" s="30" t="s">
        <v>8760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140</v>
      </c>
      <c r="U141" s="23" t="s">
        <v>140</v>
      </c>
      <c r="V141" s="23" t="s">
        <v>140</v>
      </c>
      <c r="W141" s="23" t="s">
        <v>140</v>
      </c>
      <c r="X141" s="24"/>
    </row>
    <row r="142" customFormat="false" ht="26.85" hidden="false" customHeight="false" outlineLevel="0" collapsed="false">
      <c r="A142" s="23" t="n">
        <v>141</v>
      </c>
      <c r="B142" s="30" t="s">
        <v>8769</v>
      </c>
      <c r="C142" s="23" t="s">
        <v>8578</v>
      </c>
      <c r="D142" s="23" t="s">
        <v>7974</v>
      </c>
      <c r="E142" s="23" t="s">
        <v>7975</v>
      </c>
      <c r="F142" s="23"/>
      <c r="G142" s="24" t="s">
        <v>8770</v>
      </c>
      <c r="H142" s="24" t="s">
        <v>8771</v>
      </c>
      <c r="I142" s="23" t="s">
        <v>8772</v>
      </c>
      <c r="J142" s="24" t="s">
        <v>8773</v>
      </c>
      <c r="K142" s="24" t="s">
        <v>3354</v>
      </c>
      <c r="L142" s="24" t="s">
        <v>8774</v>
      </c>
      <c r="M142" s="24"/>
      <c r="N142" s="23" t="str">
        <f aca="false">"시편 #"&amp;TEXT(A142,"000")</f>
        <v>시편 #141</v>
      </c>
      <c r="O142" s="30" t="s">
        <v>8760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140</v>
      </c>
      <c r="U142" s="23" t="s">
        <v>140</v>
      </c>
      <c r="V142" s="23" t="s">
        <v>140</v>
      </c>
      <c r="W142" s="23" t="s">
        <v>140</v>
      </c>
      <c r="X142" s="24"/>
    </row>
    <row r="143" customFormat="false" ht="26.85" hidden="false" customHeight="false" outlineLevel="0" collapsed="false">
      <c r="A143" s="23" t="n">
        <v>142</v>
      </c>
      <c r="B143" s="30" t="s">
        <v>8775</v>
      </c>
      <c r="C143" s="23" t="s">
        <v>8578</v>
      </c>
      <c r="D143" s="23" t="s">
        <v>7974</v>
      </c>
      <c r="E143" s="23" t="s">
        <v>7975</v>
      </c>
      <c r="F143" s="23"/>
      <c r="G143" s="24" t="s">
        <v>8776</v>
      </c>
      <c r="H143" s="24" t="s">
        <v>8777</v>
      </c>
      <c r="I143" s="23" t="s">
        <v>8778</v>
      </c>
      <c r="J143" s="24" t="s">
        <v>8779</v>
      </c>
      <c r="K143" s="24" t="s">
        <v>8780</v>
      </c>
      <c r="L143" s="24" t="s">
        <v>8781</v>
      </c>
      <c r="M143" s="24"/>
      <c r="N143" s="23" t="str">
        <f aca="false">"시편 #"&amp;TEXT(A143,"000")</f>
        <v>시편 #142</v>
      </c>
      <c r="O143" s="30" t="s">
        <v>8760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140</v>
      </c>
      <c r="U143" s="23" t="s">
        <v>140</v>
      </c>
      <c r="V143" s="23" t="s">
        <v>140</v>
      </c>
      <c r="W143" s="23" t="s">
        <v>140</v>
      </c>
      <c r="X143" s="24"/>
    </row>
    <row r="144" customFormat="false" ht="26.85" hidden="false" customHeight="false" outlineLevel="0" collapsed="false">
      <c r="A144" s="23" t="n">
        <v>143</v>
      </c>
      <c r="B144" s="30" t="s">
        <v>8782</v>
      </c>
      <c r="C144" s="23" t="s">
        <v>8578</v>
      </c>
      <c r="D144" s="23" t="s">
        <v>7996</v>
      </c>
      <c r="E144" s="23" t="s">
        <v>7975</v>
      </c>
      <c r="F144" s="23"/>
      <c r="G144" s="24" t="s">
        <v>8783</v>
      </c>
      <c r="H144" s="24" t="s">
        <v>8784</v>
      </c>
      <c r="I144" s="23" t="s">
        <v>8785</v>
      </c>
      <c r="J144" s="24" t="s">
        <v>8786</v>
      </c>
      <c r="K144" s="24" t="s">
        <v>8787</v>
      </c>
      <c r="L144" s="24" t="s">
        <v>8788</v>
      </c>
      <c r="M144" s="24"/>
      <c r="N144" s="23" t="str">
        <f aca="false">"시편 #"&amp;TEXT(A144,"000")</f>
        <v>시편 #143</v>
      </c>
      <c r="O144" s="30" t="s">
        <v>8760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140</v>
      </c>
      <c r="U144" s="23" t="s">
        <v>140</v>
      </c>
      <c r="V144" s="23" t="s">
        <v>140</v>
      </c>
      <c r="W144" s="23" t="s">
        <v>140</v>
      </c>
      <c r="X144" s="24"/>
    </row>
    <row r="145" customFormat="false" ht="26.85" hidden="false" customHeight="false" outlineLevel="0" collapsed="false">
      <c r="A145" s="23" t="n">
        <v>144</v>
      </c>
      <c r="B145" s="30" t="s">
        <v>8789</v>
      </c>
      <c r="C145" s="23" t="s">
        <v>8578</v>
      </c>
      <c r="D145" s="23" t="s">
        <v>8012</v>
      </c>
      <c r="E145" s="23" t="s">
        <v>7975</v>
      </c>
      <c r="F145" s="23"/>
      <c r="G145" s="24" t="s">
        <v>8790</v>
      </c>
      <c r="H145" s="24" t="s">
        <v>8791</v>
      </c>
      <c r="I145" s="23" t="s">
        <v>8792</v>
      </c>
      <c r="J145" s="24" t="s">
        <v>8793</v>
      </c>
      <c r="K145" s="24" t="s">
        <v>3354</v>
      </c>
      <c r="L145" s="24" t="s">
        <v>8794</v>
      </c>
      <c r="M145" s="25" t="s">
        <v>8795</v>
      </c>
      <c r="N145" s="23" t="str">
        <f aca="false">"시편 #"&amp;TEXT(A145,"000")</f>
        <v>시편 #144</v>
      </c>
      <c r="O145" s="30" t="s">
        <v>8760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140</v>
      </c>
      <c r="U145" s="23" t="s">
        <v>140</v>
      </c>
      <c r="V145" s="23" t="s">
        <v>140</v>
      </c>
      <c r="W145" s="23" t="s">
        <v>140</v>
      </c>
      <c r="X145" s="24"/>
    </row>
    <row r="146" customFormat="false" ht="26.85" hidden="false" customHeight="false" outlineLevel="0" collapsed="false">
      <c r="A146" s="23" t="n">
        <v>145</v>
      </c>
      <c r="B146" s="30" t="s">
        <v>8796</v>
      </c>
      <c r="C146" s="23" t="s">
        <v>8578</v>
      </c>
      <c r="D146" s="23" t="s">
        <v>8012</v>
      </c>
      <c r="E146" s="20" t="s">
        <v>8797</v>
      </c>
      <c r="F146" s="19" t="s">
        <v>3566</v>
      </c>
      <c r="G146" s="24" t="s">
        <v>3568</v>
      </c>
      <c r="H146" s="24" t="s">
        <v>3569</v>
      </c>
      <c r="I146" s="23" t="s">
        <v>3570</v>
      </c>
      <c r="J146" s="24" t="s">
        <v>3571</v>
      </c>
      <c r="K146" s="24"/>
      <c r="L146" s="24"/>
      <c r="M146" s="24"/>
      <c r="N146" s="23" t="str">
        <f aca="false">"시편 #"&amp;TEXT(A146,"000")</f>
        <v>시편 #145</v>
      </c>
      <c r="O146" s="30" t="s">
        <v>8760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140</v>
      </c>
      <c r="U146" s="23" t="s">
        <v>140</v>
      </c>
      <c r="V146" s="23" t="s">
        <v>140</v>
      </c>
      <c r="W146" s="23" t="s">
        <v>140</v>
      </c>
      <c r="X146" s="24"/>
    </row>
    <row r="147" customFormat="false" ht="26.85" hidden="false" customHeight="false" outlineLevel="0" collapsed="false">
      <c r="A147" s="23" t="n">
        <v>146</v>
      </c>
      <c r="B147" s="30" t="s">
        <v>8798</v>
      </c>
      <c r="C147" s="23" t="s">
        <v>8578</v>
      </c>
      <c r="D147" s="23" t="s">
        <v>8012</v>
      </c>
      <c r="E147" s="23" t="s">
        <v>7975</v>
      </c>
      <c r="F147" s="23"/>
      <c r="G147" s="24" t="s">
        <v>8799</v>
      </c>
      <c r="H147" s="24" t="s">
        <v>8800</v>
      </c>
      <c r="I147" s="23" t="s">
        <v>8801</v>
      </c>
      <c r="J147" s="24" t="s">
        <v>8802</v>
      </c>
      <c r="K147" s="24" t="s">
        <v>8803</v>
      </c>
      <c r="L147" s="24" t="s">
        <v>8804</v>
      </c>
      <c r="M147" s="24"/>
      <c r="N147" s="23" t="str">
        <f aca="false">"시편 #"&amp;TEXT(A147,"000")</f>
        <v>시편 #146</v>
      </c>
      <c r="O147" s="30" t="s">
        <v>8760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140</v>
      </c>
      <c r="U147" s="23" t="s">
        <v>140</v>
      </c>
      <c r="V147" s="23" t="s">
        <v>140</v>
      </c>
      <c r="W147" s="23" t="s">
        <v>140</v>
      </c>
      <c r="X147" s="24"/>
    </row>
    <row r="148" customFormat="false" ht="26.85" hidden="false" customHeight="false" outlineLevel="0" collapsed="false">
      <c r="A148" s="23" t="n">
        <v>147</v>
      </c>
      <c r="B148" s="30" t="s">
        <v>8805</v>
      </c>
      <c r="C148" s="23" t="s">
        <v>8578</v>
      </c>
      <c r="D148" s="23" t="s">
        <v>8012</v>
      </c>
      <c r="E148" s="23" t="s">
        <v>7975</v>
      </c>
      <c r="F148" s="23"/>
      <c r="G148" s="24" t="s">
        <v>8806</v>
      </c>
      <c r="H148" s="24" t="s">
        <v>8807</v>
      </c>
      <c r="I148" s="23" t="s">
        <v>8808</v>
      </c>
      <c r="J148" s="24" t="s">
        <v>8809</v>
      </c>
      <c r="K148" s="24" t="s">
        <v>8803</v>
      </c>
      <c r="L148" s="24" t="s">
        <v>8810</v>
      </c>
      <c r="M148" s="24"/>
      <c r="N148" s="23" t="str">
        <f aca="false">"시편 #"&amp;TEXT(A148,"000")</f>
        <v>시편 #147</v>
      </c>
      <c r="O148" s="30" t="s">
        <v>8760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140</v>
      </c>
      <c r="U148" s="23" t="s">
        <v>140</v>
      </c>
      <c r="V148" s="23" t="s">
        <v>140</v>
      </c>
      <c r="W148" s="23" t="s">
        <v>140</v>
      </c>
      <c r="X148" s="24"/>
    </row>
    <row r="149" customFormat="false" ht="26.85" hidden="false" customHeight="false" outlineLevel="0" collapsed="false">
      <c r="A149" s="23" t="n">
        <v>148</v>
      </c>
      <c r="B149" s="30" t="s">
        <v>8811</v>
      </c>
      <c r="C149" s="23" t="s">
        <v>8578</v>
      </c>
      <c r="D149" s="23" t="s">
        <v>8012</v>
      </c>
      <c r="E149" s="23" t="s">
        <v>7975</v>
      </c>
      <c r="F149" s="23"/>
      <c r="G149" s="24" t="s">
        <v>8812</v>
      </c>
      <c r="H149" s="24" t="s">
        <v>8813</v>
      </c>
      <c r="I149" s="23" t="s">
        <v>8814</v>
      </c>
      <c r="J149" s="24" t="s">
        <v>8815</v>
      </c>
      <c r="K149" s="24" t="s">
        <v>8803</v>
      </c>
      <c r="L149" s="24" t="s">
        <v>8816</v>
      </c>
      <c r="M149" s="24"/>
      <c r="N149" s="23" t="str">
        <f aca="false">"시편 #"&amp;TEXT(A149,"000")</f>
        <v>시편 #148</v>
      </c>
      <c r="O149" s="30" t="s">
        <v>8760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140</v>
      </c>
      <c r="U149" s="23" t="s">
        <v>140</v>
      </c>
      <c r="V149" s="23" t="s">
        <v>140</v>
      </c>
      <c r="W149" s="23" t="s">
        <v>140</v>
      </c>
      <c r="X149" s="24"/>
    </row>
    <row r="150" customFormat="false" ht="26.85" hidden="false" customHeight="false" outlineLevel="0" collapsed="false">
      <c r="A150" s="23" t="n">
        <v>149</v>
      </c>
      <c r="B150" s="30" t="s">
        <v>8817</v>
      </c>
      <c r="C150" s="23" t="s">
        <v>8578</v>
      </c>
      <c r="D150" s="23" t="s">
        <v>8012</v>
      </c>
      <c r="E150" s="23" t="s">
        <v>7975</v>
      </c>
      <c r="F150" s="23"/>
      <c r="G150" s="24" t="s">
        <v>8818</v>
      </c>
      <c r="H150" s="24" t="s">
        <v>8819</v>
      </c>
      <c r="I150" s="23" t="s">
        <v>8820</v>
      </c>
      <c r="J150" s="24" t="s">
        <v>8821</v>
      </c>
      <c r="K150" s="24" t="s">
        <v>8803</v>
      </c>
      <c r="L150" s="24" t="s">
        <v>8822</v>
      </c>
      <c r="M150" s="24"/>
      <c r="N150" s="23" t="str">
        <f aca="false">"시편 #"&amp;TEXT(A150,"000")</f>
        <v>시편 #149</v>
      </c>
      <c r="O150" s="30" t="s">
        <v>8760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140</v>
      </c>
      <c r="U150" s="23" t="s">
        <v>140</v>
      </c>
      <c r="V150" s="23" t="s">
        <v>140</v>
      </c>
      <c r="W150" s="23" t="s">
        <v>140</v>
      </c>
      <c r="X150" s="24"/>
    </row>
    <row r="151" customFormat="false" ht="26.85" hidden="false" customHeight="false" outlineLevel="0" collapsed="false">
      <c r="A151" s="23" t="n">
        <v>150</v>
      </c>
      <c r="B151" s="30" t="s">
        <v>8823</v>
      </c>
      <c r="C151" s="23" t="s">
        <v>8578</v>
      </c>
      <c r="D151" s="23" t="s">
        <v>8012</v>
      </c>
      <c r="E151" s="20" t="s">
        <v>8824</v>
      </c>
      <c r="F151" s="19" t="s">
        <v>3573</v>
      </c>
      <c r="G151" s="24" t="s">
        <v>3575</v>
      </c>
      <c r="H151" s="24" t="s">
        <v>3576</v>
      </c>
      <c r="I151" s="23" t="s">
        <v>3577</v>
      </c>
      <c r="J151" s="24" t="s">
        <v>3578</v>
      </c>
      <c r="K151" s="24"/>
      <c r="L151" s="24" t="s">
        <v>3580</v>
      </c>
      <c r="M151" s="24"/>
      <c r="N151" s="23" t="str">
        <f aca="false">"시편 #"&amp;TEXT(A151,"000")</f>
        <v>시편 #150</v>
      </c>
      <c r="O151" s="30" t="s">
        <v>8760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8825</v>
      </c>
      <c r="T151" s="23" t="s">
        <v>140</v>
      </c>
      <c r="U151" s="23" t="s">
        <v>140</v>
      </c>
      <c r="V151" s="23" t="s">
        <v>140</v>
      </c>
      <c r="W151" s="23" t="s">
        <v>140</v>
      </c>
      <c r="X151" s="24"/>
    </row>
  </sheetData>
  <autoFilter ref="A1:X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95</v>
      </c>
      <c r="B1" s="16" t="s">
        <v>7076</v>
      </c>
      <c r="C1" s="16" t="s">
        <v>7077</v>
      </c>
      <c r="D1" s="16" t="s">
        <v>7960</v>
      </c>
      <c r="E1" s="16" t="s">
        <v>7079</v>
      </c>
      <c r="F1" s="16" t="s">
        <v>8826</v>
      </c>
      <c r="G1" s="16" t="s">
        <v>8827</v>
      </c>
      <c r="H1" s="16" t="s">
        <v>7081</v>
      </c>
      <c r="I1" s="16" t="s">
        <v>7082</v>
      </c>
      <c r="J1" s="16" t="s">
        <v>7088</v>
      </c>
      <c r="K1" s="16" t="s">
        <v>116</v>
      </c>
      <c r="L1" s="16" t="s">
        <v>118</v>
      </c>
      <c r="M1" s="16" t="s">
        <v>119</v>
      </c>
      <c r="N1" s="16" t="s">
        <v>120</v>
      </c>
      <c r="O1" s="16" t="s">
        <v>121</v>
      </c>
      <c r="P1" s="16" t="s">
        <v>122</v>
      </c>
    </row>
    <row r="2" customFormat="false" ht="15" hidden="false" customHeight="false" outlineLevel="0" collapsed="false">
      <c r="A2" s="23" t="n">
        <v>1</v>
      </c>
      <c r="B2" s="30" t="s">
        <v>7969</v>
      </c>
      <c r="C2" s="24" t="s">
        <v>8828</v>
      </c>
      <c r="D2" s="23" t="s">
        <v>7966</v>
      </c>
      <c r="E2" s="23" t="s">
        <v>8829</v>
      </c>
      <c r="F2" s="23" t="n">
        <f aca="false">COUNTIF(시편_시리즈!$O$2:$O$151,B2)</f>
        <v>10</v>
      </c>
      <c r="G2" s="23" t="n">
        <f aca="false">COUNTIFS(시편_시리즈!$O$2:$O$151,B2,시편_시리즈!$E$2:$E$151,"신규 제작")</f>
        <v>7</v>
      </c>
      <c r="H2" s="23" t="n">
        <f aca="false">F2*안내!$C$7+안내!$C$8</f>
        <v>640</v>
      </c>
      <c r="I2" s="23" t="n">
        <f aca="false">ROUND(H2/60,1)</f>
        <v>10.7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140</v>
      </c>
      <c r="M2" s="23" t="s">
        <v>140</v>
      </c>
      <c r="N2" s="23" t="s">
        <v>140</v>
      </c>
      <c r="O2" s="23" t="s">
        <v>140</v>
      </c>
      <c r="P2" s="24"/>
    </row>
    <row r="3" customFormat="false" ht="15" hidden="false" customHeight="false" outlineLevel="0" collapsed="false">
      <c r="A3" s="23" t="n">
        <v>2</v>
      </c>
      <c r="B3" s="30" t="s">
        <v>8034</v>
      </c>
      <c r="C3" s="24" t="s">
        <v>8830</v>
      </c>
      <c r="D3" s="23" t="s">
        <v>7966</v>
      </c>
      <c r="E3" s="23" t="s">
        <v>8831</v>
      </c>
      <c r="F3" s="23" t="n">
        <f aca="false">COUNTIF(시편_시리즈!$O$2:$O$151,B3)</f>
        <v>10</v>
      </c>
      <c r="G3" s="23" t="n">
        <f aca="false">COUNTIFS(시편_시리즈!$O$2:$O$151,B3,시편_시리즈!$E$2:$E$151,"신규 제작")</f>
        <v>9</v>
      </c>
      <c r="H3" s="23" t="n">
        <f aca="false">F3*안내!$C$7+안내!$C$8</f>
        <v>640</v>
      </c>
      <c r="I3" s="23" t="n">
        <f aca="false">ROUND(H3/60,1)</f>
        <v>10.7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140</v>
      </c>
      <c r="M3" s="23" t="s">
        <v>140</v>
      </c>
      <c r="N3" s="23" t="s">
        <v>140</v>
      </c>
      <c r="O3" s="23" t="s">
        <v>140</v>
      </c>
      <c r="P3" s="24"/>
    </row>
    <row r="4" customFormat="false" ht="15" hidden="false" customHeight="false" outlineLevel="0" collapsed="false">
      <c r="A4" s="23" t="n">
        <v>3</v>
      </c>
      <c r="B4" s="30" t="s">
        <v>8096</v>
      </c>
      <c r="C4" s="24" t="s">
        <v>8832</v>
      </c>
      <c r="D4" s="23" t="s">
        <v>7966</v>
      </c>
      <c r="E4" s="23" t="s">
        <v>8833</v>
      </c>
      <c r="F4" s="23" t="n">
        <f aca="false">COUNTIF(시편_시리즈!$O$2:$O$151,B4)</f>
        <v>10</v>
      </c>
      <c r="G4" s="23" t="n">
        <f aca="false">COUNTIFS(시편_시리즈!$O$2:$O$151,B4,시편_시리즈!$E$2:$E$151,"신규 제작")</f>
        <v>7</v>
      </c>
      <c r="H4" s="23" t="n">
        <f aca="false">F4*안내!$C$7+안내!$C$8</f>
        <v>640</v>
      </c>
      <c r="I4" s="23" t="n">
        <f aca="false">ROUND(H4/60,1)</f>
        <v>10.7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140</v>
      </c>
      <c r="M4" s="23" t="s">
        <v>140</v>
      </c>
      <c r="N4" s="23" t="s">
        <v>140</v>
      </c>
      <c r="O4" s="23" t="s">
        <v>140</v>
      </c>
      <c r="P4" s="24"/>
    </row>
    <row r="5" customFormat="false" ht="15" hidden="false" customHeight="false" outlineLevel="0" collapsed="false">
      <c r="A5" s="23" t="n">
        <v>4</v>
      </c>
      <c r="B5" s="30" t="s">
        <v>8147</v>
      </c>
      <c r="C5" s="24" t="s">
        <v>8834</v>
      </c>
      <c r="D5" s="23" t="s">
        <v>7966</v>
      </c>
      <c r="E5" s="23" t="s">
        <v>8835</v>
      </c>
      <c r="F5" s="23" t="n">
        <f aca="false">COUNTIF(시편_시리즈!$O$2:$O$151,B5)</f>
        <v>11</v>
      </c>
      <c r="G5" s="23" t="n">
        <f aca="false">COUNTIFS(시편_시리즈!$O$2:$O$151,B5,시편_시리즈!$E$2:$E$151,"신규 제작")</f>
        <v>10</v>
      </c>
      <c r="H5" s="23" t="n">
        <f aca="false">F5*안내!$C$7+안내!$C$8</f>
        <v>692</v>
      </c>
      <c r="I5" s="23" t="n">
        <f aca="false">ROUND(H5/60,1)</f>
        <v>11.5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140</v>
      </c>
      <c r="M5" s="23" t="s">
        <v>140</v>
      </c>
      <c r="N5" s="23" t="s">
        <v>140</v>
      </c>
      <c r="O5" s="23" t="s">
        <v>140</v>
      </c>
      <c r="P5" s="24"/>
    </row>
    <row r="6" customFormat="false" ht="15" hidden="false" customHeight="false" outlineLevel="0" collapsed="false">
      <c r="A6" s="23" t="n">
        <v>5</v>
      </c>
      <c r="B6" s="30" t="s">
        <v>8214</v>
      </c>
      <c r="C6" s="24" t="s">
        <v>8836</v>
      </c>
      <c r="D6" s="23" t="s">
        <v>8212</v>
      </c>
      <c r="E6" s="23" t="s">
        <v>8837</v>
      </c>
      <c r="F6" s="23" t="n">
        <f aca="false">COUNTIF(시편_시리즈!$O$2:$O$151,B6)</f>
        <v>9</v>
      </c>
      <c r="G6" s="23" t="n">
        <f aca="false">COUNTIFS(시편_시리즈!$O$2:$O$151,B6,시편_시리즈!$E$2:$E$151,"신규 제작")</f>
        <v>7</v>
      </c>
      <c r="H6" s="23" t="n">
        <f aca="false">F6*안내!$C$7+안내!$C$8</f>
        <v>588</v>
      </c>
      <c r="I6" s="23" t="n">
        <f aca="false">ROUND(H6/60,1)</f>
        <v>9.8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140</v>
      </c>
      <c r="M6" s="23" t="s">
        <v>140</v>
      </c>
      <c r="N6" s="23" t="s">
        <v>140</v>
      </c>
      <c r="O6" s="23" t="s">
        <v>140</v>
      </c>
      <c r="P6" s="24"/>
    </row>
    <row r="7" customFormat="false" ht="15" hidden="false" customHeight="false" outlineLevel="0" collapsed="false">
      <c r="A7" s="23" t="n">
        <v>6</v>
      </c>
      <c r="B7" s="30" t="s">
        <v>8265</v>
      </c>
      <c r="C7" s="24" t="s">
        <v>8838</v>
      </c>
      <c r="D7" s="23" t="s">
        <v>8212</v>
      </c>
      <c r="E7" s="23" t="s">
        <v>8839</v>
      </c>
      <c r="F7" s="23" t="n">
        <f aca="false">COUNTIF(시편_시리즈!$O$2:$O$151,B7)</f>
        <v>10</v>
      </c>
      <c r="G7" s="23" t="n">
        <f aca="false">COUNTIFS(시편_시리즈!$O$2:$O$151,B7,시편_시리즈!$E$2:$E$151,"신규 제작")</f>
        <v>9</v>
      </c>
      <c r="H7" s="23" t="n">
        <f aca="false">F7*안내!$C$7+안내!$C$8</f>
        <v>640</v>
      </c>
      <c r="I7" s="23" t="n">
        <f aca="false">ROUND(H7/60,1)</f>
        <v>10.7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140</v>
      </c>
      <c r="M7" s="23" t="s">
        <v>140</v>
      </c>
      <c r="N7" s="23" t="s">
        <v>140</v>
      </c>
      <c r="O7" s="23" t="s">
        <v>140</v>
      </c>
      <c r="P7" s="24"/>
    </row>
    <row r="8" customFormat="false" ht="15" hidden="false" customHeight="false" outlineLevel="0" collapsed="false">
      <c r="A8" s="23" t="n">
        <v>7</v>
      </c>
      <c r="B8" s="30" t="s">
        <v>8334</v>
      </c>
      <c r="C8" s="24" t="s">
        <v>8840</v>
      </c>
      <c r="D8" s="23" t="s">
        <v>8212</v>
      </c>
      <c r="E8" s="23" t="s">
        <v>8841</v>
      </c>
      <c r="F8" s="23" t="n">
        <f aca="false">COUNTIF(시편_시리즈!$O$2:$O$151,B8)</f>
        <v>12</v>
      </c>
      <c r="G8" s="23" t="n">
        <f aca="false">COUNTIFS(시편_시리즈!$O$2:$O$151,B8,시편_시리즈!$E$2:$E$151,"신규 제작")</f>
        <v>10</v>
      </c>
      <c r="H8" s="23" t="n">
        <f aca="false">F8*안내!$C$7+안내!$C$8</f>
        <v>744</v>
      </c>
      <c r="I8" s="23" t="n">
        <f aca="false">ROUND(H8/60,1)</f>
        <v>12.4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140</v>
      </c>
      <c r="M8" s="23" t="s">
        <v>140</v>
      </c>
      <c r="N8" s="23" t="s">
        <v>140</v>
      </c>
      <c r="O8" s="23" t="s">
        <v>140</v>
      </c>
      <c r="P8" s="24"/>
    </row>
    <row r="9" customFormat="false" ht="15" hidden="false" customHeight="false" outlineLevel="0" collapsed="false">
      <c r="A9" s="23" t="n">
        <v>8</v>
      </c>
      <c r="B9" s="30" t="s">
        <v>8401</v>
      </c>
      <c r="C9" s="24" t="s">
        <v>8842</v>
      </c>
      <c r="D9" s="23" t="s">
        <v>8399</v>
      </c>
      <c r="E9" s="23" t="s">
        <v>8843</v>
      </c>
      <c r="F9" s="23" t="n">
        <f aca="false">COUNTIF(시편_시리즈!$O$2:$O$151,B9)</f>
        <v>8</v>
      </c>
      <c r="G9" s="23" t="n">
        <f aca="false">COUNTIFS(시편_시리즈!$O$2:$O$151,B9,시편_시리즈!$E$2:$E$151,"신규 제작")</f>
        <v>7</v>
      </c>
      <c r="H9" s="23" t="n">
        <f aca="false">F9*안내!$C$7+안내!$C$8</f>
        <v>536</v>
      </c>
      <c r="I9" s="23" t="n">
        <f aca="false">ROUND(H9/60,1)</f>
        <v>8.9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140</v>
      </c>
      <c r="M9" s="23" t="s">
        <v>140</v>
      </c>
      <c r="N9" s="23" t="s">
        <v>140</v>
      </c>
      <c r="O9" s="23" t="s">
        <v>140</v>
      </c>
      <c r="P9" s="24"/>
    </row>
    <row r="10" customFormat="false" ht="15" hidden="false" customHeight="false" outlineLevel="0" collapsed="false">
      <c r="A10" s="23" t="n">
        <v>9</v>
      </c>
      <c r="B10" s="30" t="s">
        <v>8454</v>
      </c>
      <c r="C10" s="24" t="s">
        <v>8844</v>
      </c>
      <c r="D10" s="23" t="s">
        <v>8399</v>
      </c>
      <c r="E10" s="23" t="s">
        <v>8845</v>
      </c>
      <c r="F10" s="23" t="n">
        <f aca="false">COUNTIF(시편_시리즈!$O$2:$O$151,B10)</f>
        <v>9</v>
      </c>
      <c r="G10" s="23" t="n">
        <f aca="false">COUNTIFS(시편_시리즈!$O$2:$O$151,B10,시편_시리즈!$E$2:$E$151,"신규 제작")</f>
        <v>7</v>
      </c>
      <c r="H10" s="23" t="n">
        <f aca="false">F10*안내!$C$7+안내!$C$8</f>
        <v>588</v>
      </c>
      <c r="I10" s="23" t="n">
        <f aca="false">ROUND(H10/60,1)</f>
        <v>9.8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140</v>
      </c>
      <c r="M10" s="23" t="s">
        <v>140</v>
      </c>
      <c r="N10" s="23" t="s">
        <v>140</v>
      </c>
      <c r="O10" s="23" t="s">
        <v>140</v>
      </c>
      <c r="P10" s="24"/>
    </row>
    <row r="11" customFormat="false" ht="15" hidden="false" customHeight="false" outlineLevel="0" collapsed="false">
      <c r="A11" s="23" t="n">
        <v>10</v>
      </c>
      <c r="B11" s="30" t="s">
        <v>8501</v>
      </c>
      <c r="C11" s="24" t="s">
        <v>8846</v>
      </c>
      <c r="D11" s="23" t="s">
        <v>8499</v>
      </c>
      <c r="E11" s="23" t="s">
        <v>8847</v>
      </c>
      <c r="F11" s="23" t="n">
        <f aca="false">COUNTIF(시편_시리즈!$O$2:$O$151,B11)</f>
        <v>9</v>
      </c>
      <c r="G11" s="23" t="n">
        <f aca="false">COUNTIFS(시편_시리즈!$O$2:$O$151,B11,시편_시리즈!$E$2:$E$151,"신규 제작")</f>
        <v>6</v>
      </c>
      <c r="H11" s="23" t="n">
        <f aca="false">F11*안내!$C$7+안내!$C$8</f>
        <v>588</v>
      </c>
      <c r="I11" s="23" t="n">
        <f aca="false">ROUND(H11/60,1)</f>
        <v>9.8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140</v>
      </c>
      <c r="M11" s="23" t="s">
        <v>140</v>
      </c>
      <c r="N11" s="23" t="s">
        <v>140</v>
      </c>
      <c r="O11" s="23" t="s">
        <v>140</v>
      </c>
      <c r="P11" s="24"/>
    </row>
    <row r="12" customFormat="false" ht="15" hidden="false" customHeight="false" outlineLevel="0" collapsed="false">
      <c r="A12" s="23" t="n">
        <v>11</v>
      </c>
      <c r="B12" s="30" t="s">
        <v>8548</v>
      </c>
      <c r="C12" s="24" t="s">
        <v>8848</v>
      </c>
      <c r="D12" s="23" t="s">
        <v>8499</v>
      </c>
      <c r="E12" s="23" t="s">
        <v>8849</v>
      </c>
      <c r="F12" s="23" t="n">
        <f aca="false">COUNTIF(시편_시리즈!$O$2:$O$151,B12)</f>
        <v>8</v>
      </c>
      <c r="G12" s="23" t="n">
        <f aca="false">COUNTIFS(시편_시리즈!$O$2:$O$151,B12,시편_시리즈!$E$2:$E$151,"신규 제작")</f>
        <v>4</v>
      </c>
      <c r="H12" s="23" t="n">
        <f aca="false">F12*안내!$C$7+안내!$C$8</f>
        <v>536</v>
      </c>
      <c r="I12" s="23" t="n">
        <f aca="false">ROUND(H12/60,1)</f>
        <v>8.9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140</v>
      </c>
      <c r="M12" s="23" t="s">
        <v>140</v>
      </c>
      <c r="N12" s="23" t="s">
        <v>140</v>
      </c>
      <c r="O12" s="23" t="s">
        <v>140</v>
      </c>
      <c r="P12" s="24"/>
    </row>
    <row r="13" customFormat="false" ht="15" hidden="false" customHeight="false" outlineLevel="0" collapsed="false">
      <c r="A13" s="23" t="n">
        <v>12</v>
      </c>
      <c r="B13" s="30" t="s">
        <v>8584</v>
      </c>
      <c r="C13" s="24" t="s">
        <v>8850</v>
      </c>
      <c r="D13" s="23" t="s">
        <v>8578</v>
      </c>
      <c r="E13" s="23" t="s">
        <v>8851</v>
      </c>
      <c r="F13" s="23" t="n">
        <f aca="false">COUNTIF(시편_시리즈!$O$2:$O$151,B13)</f>
        <v>12</v>
      </c>
      <c r="G13" s="23" t="n">
        <f aca="false">COUNTIFS(시편_시리즈!$O$2:$O$151,B13,시편_시리즈!$E$2:$E$151,"신규 제작")</f>
        <v>11</v>
      </c>
      <c r="H13" s="23" t="n">
        <f aca="false">F13*안내!$C$7+안내!$C$8</f>
        <v>744</v>
      </c>
      <c r="I13" s="23" t="n">
        <f aca="false">ROUND(H13/60,1)</f>
        <v>12.4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140</v>
      </c>
      <c r="M13" s="23" t="s">
        <v>140</v>
      </c>
      <c r="N13" s="23" t="s">
        <v>140</v>
      </c>
      <c r="O13" s="23" t="s">
        <v>140</v>
      </c>
      <c r="P13" s="24"/>
    </row>
    <row r="14" customFormat="false" ht="15" hidden="false" customHeight="false" outlineLevel="0" collapsed="false">
      <c r="A14" s="23" t="n">
        <v>13</v>
      </c>
      <c r="B14" s="30" t="s">
        <v>8653</v>
      </c>
      <c r="C14" s="24" t="s">
        <v>8852</v>
      </c>
      <c r="D14" s="23" t="s">
        <v>8578</v>
      </c>
      <c r="E14" s="23" t="s">
        <v>8853</v>
      </c>
      <c r="F14" s="23" t="n">
        <f aca="false">COUNTIF(시편_시리즈!$O$2:$O$151,B14)</f>
        <v>9</v>
      </c>
      <c r="G14" s="23" t="n">
        <f aca="false">COUNTIFS(시편_시리즈!$O$2:$O$151,B14,시편_시리즈!$E$2:$E$151,"신규 제작")</f>
        <v>6</v>
      </c>
      <c r="H14" s="23" t="n">
        <f aca="false">F14*안내!$C$7+안내!$C$8</f>
        <v>588</v>
      </c>
      <c r="I14" s="23" t="n">
        <f aca="false">ROUND(H14/60,1)</f>
        <v>9.8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140</v>
      </c>
      <c r="M14" s="23" t="s">
        <v>140</v>
      </c>
      <c r="N14" s="23" t="s">
        <v>140</v>
      </c>
      <c r="O14" s="23" t="s">
        <v>140</v>
      </c>
      <c r="P14" s="24"/>
    </row>
    <row r="15" customFormat="false" ht="15" hidden="false" customHeight="false" outlineLevel="0" collapsed="false">
      <c r="A15" s="23" t="n">
        <v>14</v>
      </c>
      <c r="B15" s="30" t="s">
        <v>8703</v>
      </c>
      <c r="C15" s="24" t="s">
        <v>8854</v>
      </c>
      <c r="D15" s="23" t="s">
        <v>8578</v>
      </c>
      <c r="E15" s="23" t="s">
        <v>8855</v>
      </c>
      <c r="F15" s="23" t="n">
        <f aca="false">COUNTIF(시편_시리즈!$O$2:$O$151,B15)</f>
        <v>10</v>
      </c>
      <c r="G15" s="23" t="n">
        <f aca="false">COUNTIFS(시편_시리즈!$O$2:$O$151,B15,시편_시리즈!$E$2:$E$151,"신규 제작")</f>
        <v>9</v>
      </c>
      <c r="H15" s="23" t="n">
        <f aca="false">F15*안내!$C$7+안내!$C$8</f>
        <v>640</v>
      </c>
      <c r="I15" s="23" t="n">
        <f aca="false">ROUND(H15/60,1)</f>
        <v>10.7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140</v>
      </c>
      <c r="M15" s="23" t="s">
        <v>140</v>
      </c>
      <c r="N15" s="23" t="s">
        <v>140</v>
      </c>
      <c r="O15" s="23" t="s">
        <v>140</v>
      </c>
      <c r="P15" s="24"/>
    </row>
    <row r="16" customFormat="false" ht="15" hidden="false" customHeight="false" outlineLevel="0" collapsed="false">
      <c r="A16" s="23" t="n">
        <v>15</v>
      </c>
      <c r="B16" s="30" t="s">
        <v>8760</v>
      </c>
      <c r="C16" s="24" t="s">
        <v>8856</v>
      </c>
      <c r="D16" s="23" t="s">
        <v>8578</v>
      </c>
      <c r="E16" s="23" t="s">
        <v>8857</v>
      </c>
      <c r="F16" s="23" t="n">
        <f aca="false">COUNTIF(시편_시리즈!$O$2:$O$151,B16)</f>
        <v>13</v>
      </c>
      <c r="G16" s="23" t="n">
        <f aca="false">COUNTIFS(시편_시리즈!$O$2:$O$151,B16,시편_시리즈!$E$2:$E$151,"신규 제작")</f>
        <v>10</v>
      </c>
      <c r="H16" s="23" t="n">
        <f aca="false">F16*안내!$C$7+안내!$C$8</f>
        <v>796</v>
      </c>
      <c r="I16" s="23" t="n">
        <f aca="false">ROUND(H16/60,1)</f>
        <v>13.3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140</v>
      </c>
      <c r="M16" s="23" t="s">
        <v>140</v>
      </c>
      <c r="N16" s="23" t="s">
        <v>140</v>
      </c>
      <c r="O16" s="23" t="s">
        <v>140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</cols>
  <sheetData>
    <row r="1" customFormat="false" ht="30" hidden="false" customHeight="true" outlineLevel="0" collapsed="false">
      <c r="A1" s="17" t="s">
        <v>8858</v>
      </c>
      <c r="B1" s="16" t="s">
        <v>8859</v>
      </c>
      <c r="C1" s="16" t="s">
        <v>8860</v>
      </c>
      <c r="D1" s="16" t="s">
        <v>8861</v>
      </c>
      <c r="E1" s="16" t="s">
        <v>8862</v>
      </c>
      <c r="F1" s="16" t="s">
        <v>8863</v>
      </c>
      <c r="G1" s="16" t="s">
        <v>8864</v>
      </c>
      <c r="H1" s="16" t="s">
        <v>8865</v>
      </c>
      <c r="I1" s="16" t="s">
        <v>8866</v>
      </c>
      <c r="J1" s="16" t="s">
        <v>8867</v>
      </c>
      <c r="K1" s="16" t="s">
        <v>8868</v>
      </c>
    </row>
    <row r="2" customFormat="false" ht="39.55" hidden="false" customHeight="false" outlineLevel="0" collapsed="false">
      <c r="A2" s="30" t="s">
        <v>8869</v>
      </c>
      <c r="B2" s="24" t="s">
        <v>8870</v>
      </c>
      <c r="C2" s="23" t="s">
        <v>8871</v>
      </c>
      <c r="D2" s="23" t="s">
        <v>8872</v>
      </c>
      <c r="E2" s="24" t="s">
        <v>8873</v>
      </c>
      <c r="F2" s="29" t="s">
        <v>8874</v>
      </c>
      <c r="G2" s="43" t="s">
        <v>8875</v>
      </c>
      <c r="H2" s="43" t="s">
        <v>8876</v>
      </c>
      <c r="I2" s="24" t="s">
        <v>8877</v>
      </c>
      <c r="J2" s="24" t="s">
        <v>8878</v>
      </c>
      <c r="K2" s="23" t="n">
        <f aca="false">COUNTIF(A타입_제작표!$P$2:$P$799,"*"&amp;C2&amp;"*")</f>
        <v>31</v>
      </c>
    </row>
    <row r="3" customFormat="false" ht="39.55" hidden="false" customHeight="false" outlineLevel="0" collapsed="false">
      <c r="A3" s="30" t="s">
        <v>8879</v>
      </c>
      <c r="B3" s="24" t="s">
        <v>8880</v>
      </c>
      <c r="C3" s="23" t="s">
        <v>8881</v>
      </c>
      <c r="D3" s="23" t="s">
        <v>8872</v>
      </c>
      <c r="E3" s="24" t="s">
        <v>8882</v>
      </c>
      <c r="F3" s="24" t="s">
        <v>8883</v>
      </c>
      <c r="G3" s="44" t="s">
        <v>8884</v>
      </c>
      <c r="H3" s="43" t="s">
        <v>8885</v>
      </c>
      <c r="I3" s="24" t="s">
        <v>8886</v>
      </c>
      <c r="J3" s="24" t="s">
        <v>8887</v>
      </c>
      <c r="K3" s="23" t="n">
        <f aca="false">COUNTIF(A타입_제작표!$P$2:$P$799,"*"&amp;C3&amp;"*")</f>
        <v>103</v>
      </c>
    </row>
    <row r="4" customFormat="false" ht="26.85" hidden="false" customHeight="false" outlineLevel="0" collapsed="false">
      <c r="A4" s="30" t="s">
        <v>8888</v>
      </c>
      <c r="B4" s="24" t="s">
        <v>8889</v>
      </c>
      <c r="C4" s="23" t="s">
        <v>8889</v>
      </c>
      <c r="D4" s="23" t="s">
        <v>8872</v>
      </c>
      <c r="E4" s="24" t="s">
        <v>8873</v>
      </c>
      <c r="F4" s="29" t="s">
        <v>8874</v>
      </c>
      <c r="G4" s="43" t="s">
        <v>8875</v>
      </c>
      <c r="H4" s="43" t="s">
        <v>8890</v>
      </c>
      <c r="I4" s="29" t="s">
        <v>8874</v>
      </c>
      <c r="J4" s="24" t="s">
        <v>8891</v>
      </c>
      <c r="K4" s="23" t="n">
        <f aca="false">COUNTIF(A타입_제작표!$P$2:$P$799,"*"&amp;C4&amp;"*")</f>
        <v>1</v>
      </c>
    </row>
    <row r="5" customFormat="false" ht="26.85" hidden="false" customHeight="false" outlineLevel="0" collapsed="false">
      <c r="A5" s="30" t="s">
        <v>8892</v>
      </c>
      <c r="B5" s="24" t="s">
        <v>8893</v>
      </c>
      <c r="C5" s="23" t="s">
        <v>8894</v>
      </c>
      <c r="D5" s="23" t="s">
        <v>8895</v>
      </c>
      <c r="E5" s="24" t="s">
        <v>8873</v>
      </c>
      <c r="F5" s="29" t="s">
        <v>8874</v>
      </c>
      <c r="G5" s="43" t="s">
        <v>8896</v>
      </c>
      <c r="H5" s="43" t="s">
        <v>8897</v>
      </c>
      <c r="I5" s="24" t="s">
        <v>8898</v>
      </c>
      <c r="J5" s="24" t="s">
        <v>8899</v>
      </c>
      <c r="K5" s="23" t="n">
        <f aca="false">COUNTIF(A타입_제작표!$P$2:$P$799,"*"&amp;C5&amp;"*")</f>
        <v>20</v>
      </c>
    </row>
    <row r="6" customFormat="false" ht="26.85" hidden="false" customHeight="false" outlineLevel="0" collapsed="false">
      <c r="A6" s="30" t="s">
        <v>8900</v>
      </c>
      <c r="B6" s="24" t="s">
        <v>8901</v>
      </c>
      <c r="C6" s="23" t="s">
        <v>8902</v>
      </c>
      <c r="D6" s="23" t="s">
        <v>8895</v>
      </c>
      <c r="E6" s="24" t="s">
        <v>8903</v>
      </c>
      <c r="F6" s="29" t="s">
        <v>8874</v>
      </c>
      <c r="G6" s="43" t="s">
        <v>8904</v>
      </c>
      <c r="H6" s="44" t="s">
        <v>8874</v>
      </c>
      <c r="I6" s="24" t="s">
        <v>8905</v>
      </c>
      <c r="J6" s="24" t="s">
        <v>8906</v>
      </c>
      <c r="K6" s="23" t="n">
        <f aca="false">COUNTIF(A타입_제작표!$P$2:$P$799,"*"&amp;C6&amp;"*")</f>
        <v>2</v>
      </c>
    </row>
    <row r="7" customFormat="false" ht="26.85" hidden="false" customHeight="false" outlineLevel="0" collapsed="false">
      <c r="A7" s="30" t="s">
        <v>8907</v>
      </c>
      <c r="B7" s="24" t="s">
        <v>172</v>
      </c>
      <c r="C7" s="23" t="s">
        <v>172</v>
      </c>
      <c r="D7" s="23" t="s">
        <v>126</v>
      </c>
      <c r="E7" s="24" t="s">
        <v>8908</v>
      </c>
      <c r="F7" s="24" t="s">
        <v>8909</v>
      </c>
      <c r="G7" s="43" t="s">
        <v>8910</v>
      </c>
      <c r="H7" s="43" t="s">
        <v>8911</v>
      </c>
      <c r="I7" s="24" t="s">
        <v>8912</v>
      </c>
      <c r="J7" s="24" t="s">
        <v>8913</v>
      </c>
      <c r="K7" s="23" t="n">
        <f aca="false">COUNTIF(A타입_제작표!$P$2:$P$799,"*"&amp;C7&amp;"*")</f>
        <v>10</v>
      </c>
    </row>
    <row r="8" customFormat="false" ht="26.85" hidden="false" customHeight="false" outlineLevel="0" collapsed="false">
      <c r="A8" s="30" t="s">
        <v>8914</v>
      </c>
      <c r="B8" s="24" t="s">
        <v>8915</v>
      </c>
      <c r="C8" s="23" t="s">
        <v>8915</v>
      </c>
      <c r="D8" s="23" t="s">
        <v>126</v>
      </c>
      <c r="E8" s="24" t="s">
        <v>8916</v>
      </c>
      <c r="F8" s="24" t="s">
        <v>8917</v>
      </c>
      <c r="G8" s="43" t="s">
        <v>8918</v>
      </c>
      <c r="H8" s="43" t="s">
        <v>8919</v>
      </c>
      <c r="I8" s="24" t="s">
        <v>8920</v>
      </c>
      <c r="J8" s="24" t="s">
        <v>8921</v>
      </c>
      <c r="K8" s="23" t="n">
        <f aca="false">COUNTIF(A타입_제작표!$P$2:$P$799,"*"&amp;C8&amp;"*")</f>
        <v>6</v>
      </c>
    </row>
    <row r="9" customFormat="false" ht="26.85" hidden="false" customHeight="false" outlineLevel="0" collapsed="false">
      <c r="A9" s="30" t="s">
        <v>8922</v>
      </c>
      <c r="B9" s="24" t="s">
        <v>8923</v>
      </c>
      <c r="C9" s="23" t="s">
        <v>8924</v>
      </c>
      <c r="D9" s="23" t="s">
        <v>126</v>
      </c>
      <c r="E9" s="24" t="s">
        <v>8925</v>
      </c>
      <c r="F9" s="24" t="s">
        <v>8926</v>
      </c>
      <c r="G9" s="43" t="s">
        <v>8927</v>
      </c>
      <c r="H9" s="43" t="s">
        <v>8928</v>
      </c>
      <c r="I9" s="24" t="s">
        <v>8929</v>
      </c>
      <c r="J9" s="24" t="s">
        <v>8930</v>
      </c>
      <c r="K9" s="23" t="n">
        <f aca="false">COUNTIF(A타입_제작표!$P$2:$P$799,"*"&amp;C9&amp;"*")</f>
        <v>2</v>
      </c>
    </row>
    <row r="10" customFormat="false" ht="15" hidden="false" customHeight="false" outlineLevel="0" collapsed="false">
      <c r="A10" s="30" t="s">
        <v>8931</v>
      </c>
      <c r="B10" s="24" t="s">
        <v>262</v>
      </c>
      <c r="C10" s="23" t="s">
        <v>262</v>
      </c>
      <c r="D10" s="23" t="s">
        <v>126</v>
      </c>
      <c r="E10" s="24" t="s">
        <v>8932</v>
      </c>
      <c r="F10" s="29" t="s">
        <v>8933</v>
      </c>
      <c r="G10" s="43" t="s">
        <v>8934</v>
      </c>
      <c r="H10" s="43" t="s">
        <v>8935</v>
      </c>
      <c r="I10" s="24" t="s">
        <v>8936</v>
      </c>
      <c r="J10" s="29" t="s">
        <v>8874</v>
      </c>
      <c r="K10" s="23" t="n">
        <f aca="false">COUNTIF(A타입_제작표!$P$2:$P$799,"*"&amp;C10&amp;"*")</f>
        <v>10</v>
      </c>
    </row>
    <row r="11" customFormat="false" ht="15" hidden="false" customHeight="false" outlineLevel="0" collapsed="false">
      <c r="A11" s="30" t="s">
        <v>8937</v>
      </c>
      <c r="B11" s="24" t="s">
        <v>8938</v>
      </c>
      <c r="C11" s="23" t="s">
        <v>418</v>
      </c>
      <c r="D11" s="23" t="s">
        <v>126</v>
      </c>
      <c r="E11" s="24" t="s">
        <v>8939</v>
      </c>
      <c r="F11" s="29" t="s">
        <v>8940</v>
      </c>
      <c r="G11" s="43" t="s">
        <v>8941</v>
      </c>
      <c r="H11" s="43" t="s">
        <v>8942</v>
      </c>
      <c r="I11" s="24" t="s">
        <v>8943</v>
      </c>
      <c r="J11" s="24" t="s">
        <v>8944</v>
      </c>
      <c r="K11" s="23" t="n">
        <f aca="false">COUNTIF(A타입_제작표!$P$2:$P$799,"*"&amp;C11&amp;"*")</f>
        <v>15</v>
      </c>
    </row>
    <row r="12" customFormat="false" ht="15" hidden="false" customHeight="false" outlineLevel="0" collapsed="false">
      <c r="A12" s="30" t="s">
        <v>8945</v>
      </c>
      <c r="B12" s="24" t="s">
        <v>8946</v>
      </c>
      <c r="C12" s="23" t="s">
        <v>8947</v>
      </c>
      <c r="D12" s="23" t="s">
        <v>126</v>
      </c>
      <c r="E12" s="24" t="s">
        <v>8948</v>
      </c>
      <c r="F12" s="29" t="s">
        <v>8949</v>
      </c>
      <c r="G12" s="43" t="s">
        <v>8950</v>
      </c>
      <c r="H12" s="43" t="s">
        <v>8951</v>
      </c>
      <c r="I12" s="24" t="s">
        <v>8952</v>
      </c>
      <c r="J12" s="29" t="s">
        <v>8874</v>
      </c>
      <c r="K12" s="23" t="n">
        <f aca="false">COUNTIF(A타입_제작표!$P$2:$P$799,"*"&amp;C12&amp;"*")</f>
        <v>4</v>
      </c>
    </row>
    <row r="13" customFormat="false" ht="15" hidden="false" customHeight="false" outlineLevel="0" collapsed="false">
      <c r="A13" s="30" t="s">
        <v>8953</v>
      </c>
      <c r="B13" s="24" t="s">
        <v>8954</v>
      </c>
      <c r="C13" s="23" t="s">
        <v>8954</v>
      </c>
      <c r="D13" s="23" t="s">
        <v>126</v>
      </c>
      <c r="E13" s="24" t="s">
        <v>8955</v>
      </c>
      <c r="F13" s="24" t="s">
        <v>8956</v>
      </c>
      <c r="G13" s="43" t="s">
        <v>8957</v>
      </c>
      <c r="H13" s="43" t="s">
        <v>8958</v>
      </c>
      <c r="I13" s="24" t="s">
        <v>8959</v>
      </c>
      <c r="J13" s="24" t="s">
        <v>8960</v>
      </c>
      <c r="K13" s="23" t="n">
        <f aca="false">COUNTIF(A타입_제작표!$P$2:$P$799,"*"&amp;C13&amp;"*")</f>
        <v>10</v>
      </c>
    </row>
    <row r="14" customFormat="false" ht="15" hidden="false" customHeight="false" outlineLevel="0" collapsed="false">
      <c r="A14" s="30" t="s">
        <v>8961</v>
      </c>
      <c r="B14" s="24" t="s">
        <v>8962</v>
      </c>
      <c r="C14" s="23" t="s">
        <v>8962</v>
      </c>
      <c r="D14" s="23" t="s">
        <v>126</v>
      </c>
      <c r="E14" s="24" t="s">
        <v>8963</v>
      </c>
      <c r="F14" s="24" t="s">
        <v>8964</v>
      </c>
      <c r="G14" s="43" t="s">
        <v>8965</v>
      </c>
      <c r="H14" s="43" t="s">
        <v>8966</v>
      </c>
      <c r="I14" s="24" t="s">
        <v>8967</v>
      </c>
      <c r="J14" s="29" t="s">
        <v>8874</v>
      </c>
      <c r="K14" s="23" t="n">
        <f aca="false">COUNTIF(A타입_제작표!$P$2:$P$799,"*"&amp;C14&amp;"*")</f>
        <v>6</v>
      </c>
    </row>
    <row r="15" customFormat="false" ht="26.85" hidden="false" customHeight="false" outlineLevel="0" collapsed="false">
      <c r="A15" s="30" t="s">
        <v>8968</v>
      </c>
      <c r="B15" s="24" t="s">
        <v>8969</v>
      </c>
      <c r="C15" s="23" t="s">
        <v>8970</v>
      </c>
      <c r="D15" s="23" t="s">
        <v>126</v>
      </c>
      <c r="E15" s="24" t="s">
        <v>8971</v>
      </c>
      <c r="F15" s="24" t="s">
        <v>8972</v>
      </c>
      <c r="G15" s="43" t="s">
        <v>8973</v>
      </c>
      <c r="H15" s="43" t="s">
        <v>8974</v>
      </c>
      <c r="I15" s="24" t="s">
        <v>8975</v>
      </c>
      <c r="J15" s="24" t="s">
        <v>8976</v>
      </c>
      <c r="K15" s="23" t="n">
        <f aca="false">COUNTIF(A타입_제작표!$P$2:$P$799,"*"&amp;C15&amp;"*")</f>
        <v>21</v>
      </c>
    </row>
    <row r="16" customFormat="false" ht="15" hidden="false" customHeight="false" outlineLevel="0" collapsed="false">
      <c r="A16" s="30" t="s">
        <v>8977</v>
      </c>
      <c r="B16" s="24" t="s">
        <v>8978</v>
      </c>
      <c r="C16" s="23" t="s">
        <v>8978</v>
      </c>
      <c r="D16" s="23" t="s">
        <v>126</v>
      </c>
      <c r="E16" s="24" t="s">
        <v>8979</v>
      </c>
      <c r="F16" s="24" t="s">
        <v>8917</v>
      </c>
      <c r="G16" s="43" t="s">
        <v>8980</v>
      </c>
      <c r="H16" s="43" t="s">
        <v>8981</v>
      </c>
      <c r="I16" s="24" t="s">
        <v>8982</v>
      </c>
      <c r="J16" s="29" t="s">
        <v>8874</v>
      </c>
      <c r="K16" s="23" t="n">
        <f aca="false">COUNTIF(A타입_제작표!$P$2:$P$799,"*"&amp;C16&amp;"*")</f>
        <v>7</v>
      </c>
    </row>
    <row r="17" customFormat="false" ht="26.85" hidden="false" customHeight="false" outlineLevel="0" collapsed="false">
      <c r="A17" s="30" t="s">
        <v>8983</v>
      </c>
      <c r="B17" s="24" t="s">
        <v>8984</v>
      </c>
      <c r="C17" s="23" t="s">
        <v>8985</v>
      </c>
      <c r="D17" s="23" t="s">
        <v>126</v>
      </c>
      <c r="E17" s="24" t="s">
        <v>8986</v>
      </c>
      <c r="F17" s="24" t="s">
        <v>8926</v>
      </c>
      <c r="G17" s="43" t="s">
        <v>8987</v>
      </c>
      <c r="H17" s="43" t="s">
        <v>8988</v>
      </c>
      <c r="I17" s="24" t="s">
        <v>8989</v>
      </c>
      <c r="J17" s="24" t="s">
        <v>8990</v>
      </c>
      <c r="K17" s="23" t="n">
        <f aca="false">COUNTIF(A타입_제작표!$P$2:$P$799,"*"&amp;C17&amp;"*")</f>
        <v>4</v>
      </c>
    </row>
    <row r="18" customFormat="false" ht="26.85" hidden="false" customHeight="false" outlineLevel="0" collapsed="false">
      <c r="A18" s="30" t="s">
        <v>8991</v>
      </c>
      <c r="B18" s="24" t="s">
        <v>8992</v>
      </c>
      <c r="C18" s="23" t="s">
        <v>8993</v>
      </c>
      <c r="D18" s="23" t="s">
        <v>126</v>
      </c>
      <c r="E18" s="24" t="s">
        <v>8994</v>
      </c>
      <c r="F18" s="29" t="s">
        <v>8995</v>
      </c>
      <c r="G18" s="44" t="s">
        <v>8996</v>
      </c>
      <c r="H18" s="44" t="s">
        <v>8997</v>
      </c>
      <c r="I18" s="24" t="s">
        <v>8998</v>
      </c>
      <c r="J18" s="24" t="s">
        <v>8999</v>
      </c>
      <c r="K18" s="23" t="n">
        <f aca="false">COUNTIF(A타입_제작표!$P$2:$P$799,"*"&amp;C18&amp;"*")</f>
        <v>23</v>
      </c>
    </row>
    <row r="19" customFormat="false" ht="15" hidden="false" customHeight="false" outlineLevel="0" collapsed="false">
      <c r="A19" s="30" t="s">
        <v>9000</v>
      </c>
      <c r="B19" s="24" t="s">
        <v>9001</v>
      </c>
      <c r="C19" s="23" t="s">
        <v>6873</v>
      </c>
      <c r="D19" s="23" t="s">
        <v>126</v>
      </c>
      <c r="E19" s="24" t="s">
        <v>8994</v>
      </c>
      <c r="F19" s="24" t="s">
        <v>8917</v>
      </c>
      <c r="G19" s="43" t="s">
        <v>9002</v>
      </c>
      <c r="H19" s="43" t="s">
        <v>9003</v>
      </c>
      <c r="I19" s="24" t="s">
        <v>9004</v>
      </c>
      <c r="J19" s="24" t="s">
        <v>9005</v>
      </c>
      <c r="K19" s="23" t="n">
        <f aca="false">COUNTIF(A타입_제작표!$P$2:$P$799,"*"&amp;C19&amp;"*")</f>
        <v>14</v>
      </c>
    </row>
    <row r="20" customFormat="false" ht="26.85" hidden="false" customHeight="false" outlineLevel="0" collapsed="false">
      <c r="A20" s="30" t="s">
        <v>9006</v>
      </c>
      <c r="B20" s="24" t="s">
        <v>1117</v>
      </c>
      <c r="C20" s="23" t="s">
        <v>1117</v>
      </c>
      <c r="D20" s="23" t="s">
        <v>126</v>
      </c>
      <c r="E20" s="24" t="s">
        <v>9007</v>
      </c>
      <c r="F20" s="24" t="s">
        <v>9008</v>
      </c>
      <c r="G20" s="44" t="s">
        <v>9009</v>
      </c>
      <c r="H20" s="43" t="s">
        <v>9010</v>
      </c>
      <c r="I20" s="24" t="s">
        <v>9011</v>
      </c>
      <c r="J20" s="24" t="s">
        <v>9012</v>
      </c>
      <c r="K20" s="23" t="n">
        <f aca="false">COUNTIF(A타입_제작표!$P$2:$P$799,"*"&amp;C20&amp;"*")</f>
        <v>74</v>
      </c>
    </row>
    <row r="21" customFormat="false" ht="15" hidden="false" customHeight="false" outlineLevel="0" collapsed="false">
      <c r="A21" s="30" t="s">
        <v>9013</v>
      </c>
      <c r="B21" s="24" t="s">
        <v>9014</v>
      </c>
      <c r="C21" s="23" t="s">
        <v>9014</v>
      </c>
      <c r="D21" s="23" t="s">
        <v>126</v>
      </c>
      <c r="E21" s="24" t="s">
        <v>9015</v>
      </c>
      <c r="F21" s="29" t="s">
        <v>9016</v>
      </c>
      <c r="G21" s="43" t="s">
        <v>9017</v>
      </c>
      <c r="H21" s="43" t="s">
        <v>9018</v>
      </c>
      <c r="I21" s="24" t="s">
        <v>9019</v>
      </c>
      <c r="J21" s="24" t="s">
        <v>9020</v>
      </c>
      <c r="K21" s="23" t="n">
        <f aca="false">COUNTIF(A타입_제작표!$P$2:$P$799,"*"&amp;C21&amp;"*")</f>
        <v>22</v>
      </c>
    </row>
    <row r="22" customFormat="false" ht="15" hidden="false" customHeight="false" outlineLevel="0" collapsed="false">
      <c r="A22" s="30" t="s">
        <v>9021</v>
      </c>
      <c r="B22" s="24" t="s">
        <v>9022</v>
      </c>
      <c r="C22" s="23" t="s">
        <v>9022</v>
      </c>
      <c r="D22" s="23" t="s">
        <v>126</v>
      </c>
      <c r="E22" s="24" t="s">
        <v>9023</v>
      </c>
      <c r="F22" s="24" t="s">
        <v>9024</v>
      </c>
      <c r="G22" s="43" t="s">
        <v>9025</v>
      </c>
      <c r="H22" s="43" t="s">
        <v>9026</v>
      </c>
      <c r="I22" s="24" t="s">
        <v>9027</v>
      </c>
      <c r="J22" s="29" t="s">
        <v>8874</v>
      </c>
      <c r="K22" s="23" t="n">
        <f aca="false">COUNTIF(A타입_제작표!$P$2:$P$799,"*"&amp;C22&amp;"*")</f>
        <v>3</v>
      </c>
    </row>
    <row r="23" customFormat="false" ht="26.85" hidden="false" customHeight="false" outlineLevel="0" collapsed="false">
      <c r="A23" s="30" t="s">
        <v>9028</v>
      </c>
      <c r="B23" s="24" t="s">
        <v>9029</v>
      </c>
      <c r="C23" s="23" t="s">
        <v>9030</v>
      </c>
      <c r="D23" s="23" t="s">
        <v>126</v>
      </c>
      <c r="E23" s="24" t="s">
        <v>9031</v>
      </c>
      <c r="F23" s="24" t="s">
        <v>9032</v>
      </c>
      <c r="G23" s="43" t="s">
        <v>9033</v>
      </c>
      <c r="H23" s="43" t="s">
        <v>9034</v>
      </c>
      <c r="I23" s="24" t="s">
        <v>9035</v>
      </c>
      <c r="J23" s="24" t="s">
        <v>9036</v>
      </c>
      <c r="K23" s="23" t="n">
        <f aca="false">COUNTIF(A타입_제작표!$P$2:$P$799,"*"&amp;C23&amp;"*")</f>
        <v>17</v>
      </c>
    </row>
    <row r="24" customFormat="false" ht="15" hidden="false" customHeight="false" outlineLevel="0" collapsed="false">
      <c r="A24" s="30" t="s">
        <v>9037</v>
      </c>
      <c r="B24" s="24" t="s">
        <v>1601</v>
      </c>
      <c r="C24" s="23" t="s">
        <v>1601</v>
      </c>
      <c r="D24" s="23" t="s">
        <v>126</v>
      </c>
      <c r="E24" s="24" t="s">
        <v>9038</v>
      </c>
      <c r="F24" s="24" t="s">
        <v>9039</v>
      </c>
      <c r="G24" s="43" t="s">
        <v>9040</v>
      </c>
      <c r="H24" s="43" t="s">
        <v>9041</v>
      </c>
      <c r="I24" s="24" t="s">
        <v>9042</v>
      </c>
      <c r="J24" s="24" t="s">
        <v>1429</v>
      </c>
      <c r="K24" s="23" t="n">
        <f aca="false">COUNTIF(A타입_제작표!$P$2:$P$799,"*"&amp;C24&amp;"*")</f>
        <v>21</v>
      </c>
    </row>
    <row r="25" customFormat="false" ht="15" hidden="false" customHeight="false" outlineLevel="0" collapsed="false">
      <c r="A25" s="30" t="s">
        <v>9043</v>
      </c>
      <c r="B25" s="24" t="s">
        <v>9044</v>
      </c>
      <c r="C25" s="23" t="s">
        <v>9044</v>
      </c>
      <c r="D25" s="23" t="s">
        <v>126</v>
      </c>
      <c r="E25" s="24" t="s">
        <v>9045</v>
      </c>
      <c r="F25" s="29" t="s">
        <v>9046</v>
      </c>
      <c r="G25" s="44" t="s">
        <v>9047</v>
      </c>
      <c r="H25" s="43" t="s">
        <v>9048</v>
      </c>
      <c r="I25" s="24" t="s">
        <v>9049</v>
      </c>
      <c r="J25" s="29" t="s">
        <v>8874</v>
      </c>
      <c r="K25" s="23" t="n">
        <f aca="false">COUNTIF(A타입_제작표!$P$2:$P$799,"*"&amp;C25&amp;"*")</f>
        <v>3</v>
      </c>
    </row>
    <row r="26" customFormat="false" ht="15" hidden="false" customHeight="false" outlineLevel="0" collapsed="false">
      <c r="A26" s="30" t="s">
        <v>9050</v>
      </c>
      <c r="B26" s="24" t="s">
        <v>9051</v>
      </c>
      <c r="C26" s="23" t="s">
        <v>9051</v>
      </c>
      <c r="D26" s="23" t="s">
        <v>126</v>
      </c>
      <c r="E26" s="24" t="s">
        <v>9052</v>
      </c>
      <c r="F26" s="24" t="s">
        <v>8926</v>
      </c>
      <c r="G26" s="43" t="s">
        <v>9053</v>
      </c>
      <c r="H26" s="43" t="s">
        <v>9054</v>
      </c>
      <c r="I26" s="24" t="s">
        <v>9055</v>
      </c>
      <c r="J26" s="24" t="s">
        <v>9056</v>
      </c>
      <c r="K26" s="23" t="n">
        <f aca="false">COUNTIF(A타입_제작표!$P$2:$P$799,"*"&amp;C26&amp;"*")</f>
        <v>5</v>
      </c>
    </row>
    <row r="27" customFormat="false" ht="15" hidden="false" customHeight="false" outlineLevel="0" collapsed="false">
      <c r="A27" s="30" t="s">
        <v>9057</v>
      </c>
      <c r="B27" s="24" t="s">
        <v>9058</v>
      </c>
      <c r="C27" s="23" t="s">
        <v>9058</v>
      </c>
      <c r="D27" s="23" t="s">
        <v>126</v>
      </c>
      <c r="E27" s="24" t="s">
        <v>9059</v>
      </c>
      <c r="F27" s="24" t="s">
        <v>9032</v>
      </c>
      <c r="G27" s="43" t="s">
        <v>9060</v>
      </c>
      <c r="H27" s="43" t="s">
        <v>9061</v>
      </c>
      <c r="I27" s="24" t="s">
        <v>9062</v>
      </c>
      <c r="J27" s="29" t="s">
        <v>8874</v>
      </c>
      <c r="K27" s="23" t="n">
        <f aca="false">COUNTIF(A타입_제작표!$P$2:$P$799,"*"&amp;C27&amp;"*")</f>
        <v>2</v>
      </c>
    </row>
    <row r="28" customFormat="false" ht="15" hidden="false" customHeight="false" outlineLevel="0" collapsed="false">
      <c r="A28" s="30" t="s">
        <v>9063</v>
      </c>
      <c r="B28" s="24" t="s">
        <v>1802</v>
      </c>
      <c r="C28" s="23" t="s">
        <v>1802</v>
      </c>
      <c r="D28" s="23" t="s">
        <v>126</v>
      </c>
      <c r="E28" s="24" t="s">
        <v>9064</v>
      </c>
      <c r="F28" s="24" t="s">
        <v>8926</v>
      </c>
      <c r="G28" s="43" t="s">
        <v>9065</v>
      </c>
      <c r="H28" s="43" t="s">
        <v>9066</v>
      </c>
      <c r="I28" s="24" t="s">
        <v>9067</v>
      </c>
      <c r="J28" s="29" t="s">
        <v>8874</v>
      </c>
      <c r="K28" s="23" t="n">
        <f aca="false">COUNTIF(A타입_제작표!$P$2:$P$799,"*"&amp;C28&amp;"*")</f>
        <v>4</v>
      </c>
    </row>
    <row r="29" customFormat="false" ht="15" hidden="false" customHeight="false" outlineLevel="0" collapsed="false">
      <c r="A29" s="30" t="s">
        <v>9068</v>
      </c>
      <c r="B29" s="24" t="s">
        <v>9069</v>
      </c>
      <c r="C29" s="23" t="s">
        <v>9069</v>
      </c>
      <c r="D29" s="23" t="s">
        <v>126</v>
      </c>
      <c r="E29" s="24" t="s">
        <v>9070</v>
      </c>
      <c r="F29" s="24" t="s">
        <v>8926</v>
      </c>
      <c r="G29" s="43" t="s">
        <v>9071</v>
      </c>
      <c r="H29" s="43" t="s">
        <v>9072</v>
      </c>
      <c r="I29" s="24" t="s">
        <v>9073</v>
      </c>
      <c r="J29" s="24" t="s">
        <v>9074</v>
      </c>
      <c r="K29" s="23" t="n">
        <f aca="false">COUNTIF(A타입_제작표!$P$2:$P$799,"*"&amp;C29&amp;"*")</f>
        <v>4</v>
      </c>
    </row>
    <row r="30" customFormat="false" ht="26.85" hidden="false" customHeight="false" outlineLevel="0" collapsed="false">
      <c r="A30" s="30" t="s">
        <v>9075</v>
      </c>
      <c r="B30" s="24" t="s">
        <v>9076</v>
      </c>
      <c r="C30" s="23" t="s">
        <v>7887</v>
      </c>
      <c r="D30" s="23" t="s">
        <v>126</v>
      </c>
      <c r="E30" s="24" t="s">
        <v>1925</v>
      </c>
      <c r="F30" s="24" t="s">
        <v>9077</v>
      </c>
      <c r="G30" s="43" t="s">
        <v>9078</v>
      </c>
      <c r="H30" s="43" t="s">
        <v>9079</v>
      </c>
      <c r="I30" s="24" t="s">
        <v>9080</v>
      </c>
      <c r="J30" s="29" t="s">
        <v>8874</v>
      </c>
      <c r="K30" s="23" t="n">
        <f aca="false">COUNTIF(A타입_제작표!$P$2:$P$799,"*"&amp;C30&amp;"*")</f>
        <v>5</v>
      </c>
    </row>
    <row r="31" customFormat="false" ht="15" hidden="false" customHeight="false" outlineLevel="0" collapsed="false">
      <c r="A31" s="30" t="s">
        <v>9081</v>
      </c>
      <c r="B31" s="24" t="s">
        <v>9082</v>
      </c>
      <c r="C31" s="23" t="s">
        <v>9082</v>
      </c>
      <c r="D31" s="23" t="s">
        <v>126</v>
      </c>
      <c r="E31" s="24" t="s">
        <v>1925</v>
      </c>
      <c r="F31" s="24" t="s">
        <v>9032</v>
      </c>
      <c r="G31" s="43" t="s">
        <v>9083</v>
      </c>
      <c r="H31" s="43" t="s">
        <v>9084</v>
      </c>
      <c r="I31" s="24" t="s">
        <v>9085</v>
      </c>
      <c r="J31" s="29" t="s">
        <v>8874</v>
      </c>
      <c r="K31" s="23" t="n">
        <f aca="false">COUNTIF(A타입_제작표!$P$2:$P$799,"*"&amp;C31&amp;"*")</f>
        <v>4</v>
      </c>
    </row>
    <row r="32" customFormat="false" ht="15" hidden="false" customHeight="false" outlineLevel="0" collapsed="false">
      <c r="A32" s="30" t="s">
        <v>9086</v>
      </c>
      <c r="B32" s="24" t="s">
        <v>9087</v>
      </c>
      <c r="C32" s="23" t="s">
        <v>9087</v>
      </c>
      <c r="D32" s="23" t="s">
        <v>126</v>
      </c>
      <c r="E32" s="24" t="s">
        <v>9088</v>
      </c>
      <c r="F32" s="24" t="s">
        <v>8926</v>
      </c>
      <c r="G32" s="43" t="s">
        <v>9089</v>
      </c>
      <c r="H32" s="43" t="s">
        <v>9090</v>
      </c>
      <c r="I32" s="24" t="s">
        <v>9091</v>
      </c>
      <c r="J32" s="29" t="s">
        <v>8874</v>
      </c>
      <c r="K32" s="23" t="n">
        <f aca="false">COUNTIF(A타입_제작표!$P$2:$P$799,"*"&amp;C32&amp;"*")</f>
        <v>2</v>
      </c>
    </row>
    <row r="33" customFormat="false" ht="15" hidden="false" customHeight="false" outlineLevel="0" collapsed="false">
      <c r="A33" s="30" t="s">
        <v>9092</v>
      </c>
      <c r="B33" s="24" t="s">
        <v>9093</v>
      </c>
      <c r="C33" s="23" t="s">
        <v>9093</v>
      </c>
      <c r="D33" s="23" t="s">
        <v>126</v>
      </c>
      <c r="E33" s="24" t="s">
        <v>9094</v>
      </c>
      <c r="F33" s="24" t="s">
        <v>8956</v>
      </c>
      <c r="G33" s="43" t="s">
        <v>9095</v>
      </c>
      <c r="H33" s="43" t="s">
        <v>9096</v>
      </c>
      <c r="I33" s="24" t="s">
        <v>9097</v>
      </c>
      <c r="J33" s="24" t="s">
        <v>9098</v>
      </c>
      <c r="K33" s="23" t="n">
        <f aca="false">COUNTIF(A타입_제작표!$P$2:$P$799,"*"&amp;C33&amp;"*")</f>
        <v>9</v>
      </c>
    </row>
    <row r="34" customFormat="false" ht="15" hidden="false" customHeight="false" outlineLevel="0" collapsed="false">
      <c r="A34" s="30" t="s">
        <v>9099</v>
      </c>
      <c r="B34" s="24" t="s">
        <v>9100</v>
      </c>
      <c r="C34" s="23" t="s">
        <v>9100</v>
      </c>
      <c r="D34" s="23" t="s">
        <v>126</v>
      </c>
      <c r="E34" s="24" t="s">
        <v>9101</v>
      </c>
      <c r="F34" s="24" t="s">
        <v>8917</v>
      </c>
      <c r="G34" s="43" t="s">
        <v>9102</v>
      </c>
      <c r="H34" s="43" t="s">
        <v>9103</v>
      </c>
      <c r="I34" s="24" t="s">
        <v>9104</v>
      </c>
      <c r="J34" s="24" t="s">
        <v>9105</v>
      </c>
      <c r="K34" s="23" t="n">
        <f aca="false">COUNTIF(A타입_제작표!$P$2:$P$799,"*"&amp;C34&amp;"*")</f>
        <v>20</v>
      </c>
    </row>
    <row r="35" customFormat="false" ht="26.85" hidden="false" customHeight="false" outlineLevel="0" collapsed="false">
      <c r="A35" s="30" t="s">
        <v>9106</v>
      </c>
      <c r="B35" s="24" t="s">
        <v>3354</v>
      </c>
      <c r="C35" s="23" t="s">
        <v>3354</v>
      </c>
      <c r="D35" s="23" t="s">
        <v>126</v>
      </c>
      <c r="E35" s="24" t="s">
        <v>9107</v>
      </c>
      <c r="F35" s="24" t="s">
        <v>9108</v>
      </c>
      <c r="G35" s="43" t="s">
        <v>9109</v>
      </c>
      <c r="H35" s="43" t="s">
        <v>9110</v>
      </c>
      <c r="I35" s="24" t="s">
        <v>9111</v>
      </c>
      <c r="J35" s="24" t="s">
        <v>9112</v>
      </c>
      <c r="K35" s="23" t="n">
        <f aca="false">COUNTIF(A타입_제작표!$P$2:$P$799,"*"&amp;C35&amp;"*")</f>
        <v>53</v>
      </c>
    </row>
    <row r="36" customFormat="false" ht="15" hidden="false" customHeight="false" outlineLevel="0" collapsed="false">
      <c r="A36" s="30" t="s">
        <v>9113</v>
      </c>
      <c r="B36" s="24" t="s">
        <v>9114</v>
      </c>
      <c r="C36" s="23" t="s">
        <v>9114</v>
      </c>
      <c r="D36" s="23" t="s">
        <v>126</v>
      </c>
      <c r="E36" s="24" t="s">
        <v>9115</v>
      </c>
      <c r="F36" s="24" t="s">
        <v>8926</v>
      </c>
      <c r="G36" s="43" t="s">
        <v>9116</v>
      </c>
      <c r="H36" s="43" t="s">
        <v>9117</v>
      </c>
      <c r="I36" s="24" t="s">
        <v>9118</v>
      </c>
      <c r="J36" s="29" t="s">
        <v>8874</v>
      </c>
      <c r="K36" s="23" t="n">
        <f aca="false">COUNTIF(A타입_제작표!$P$2:$P$799,"*"&amp;C36&amp;"*")</f>
        <v>5</v>
      </c>
    </row>
    <row r="37" customFormat="false" ht="15" hidden="false" customHeight="false" outlineLevel="0" collapsed="false">
      <c r="A37" s="30" t="s">
        <v>9119</v>
      </c>
      <c r="B37" s="24" t="s">
        <v>9120</v>
      </c>
      <c r="C37" s="23" t="s">
        <v>9120</v>
      </c>
      <c r="D37" s="23" t="s">
        <v>126</v>
      </c>
      <c r="E37" s="24" t="s">
        <v>9121</v>
      </c>
      <c r="F37" s="24" t="s">
        <v>9032</v>
      </c>
      <c r="G37" s="43" t="s">
        <v>9122</v>
      </c>
      <c r="H37" s="43" t="s">
        <v>9123</v>
      </c>
      <c r="I37" s="24" t="s">
        <v>9124</v>
      </c>
      <c r="J37" s="24" t="s">
        <v>9125</v>
      </c>
      <c r="K37" s="23" t="n">
        <f aca="false">COUNTIF(A타입_제작표!$P$2:$P$799,"*"&amp;C37&amp;"*")</f>
        <v>2</v>
      </c>
    </row>
    <row r="38" customFormat="false" ht="15" hidden="false" customHeight="false" outlineLevel="0" collapsed="false">
      <c r="A38" s="30" t="s">
        <v>9126</v>
      </c>
      <c r="B38" s="24" t="s">
        <v>2447</v>
      </c>
      <c r="C38" s="23" t="s">
        <v>2447</v>
      </c>
      <c r="D38" s="23" t="s">
        <v>126</v>
      </c>
      <c r="E38" s="24" t="s">
        <v>9127</v>
      </c>
      <c r="F38" s="24" t="s">
        <v>8909</v>
      </c>
      <c r="G38" s="43" t="s">
        <v>9128</v>
      </c>
      <c r="H38" s="43" t="s">
        <v>9129</v>
      </c>
      <c r="I38" s="24" t="s">
        <v>9130</v>
      </c>
      <c r="J38" s="29" t="s">
        <v>8874</v>
      </c>
      <c r="K38" s="23" t="n">
        <f aca="false">COUNTIF(A타입_제작표!$P$2:$P$799,"*"&amp;C38&amp;"*")</f>
        <v>14</v>
      </c>
    </row>
    <row r="39" customFormat="false" ht="15" hidden="false" customHeight="false" outlineLevel="0" collapsed="false">
      <c r="A39" s="30" t="s">
        <v>9131</v>
      </c>
      <c r="B39" s="24" t="s">
        <v>9132</v>
      </c>
      <c r="C39" s="23" t="s">
        <v>9132</v>
      </c>
      <c r="D39" s="23" t="s">
        <v>126</v>
      </c>
      <c r="E39" s="24" t="s">
        <v>9133</v>
      </c>
      <c r="F39" s="24" t="s">
        <v>9032</v>
      </c>
      <c r="G39" s="43" t="s">
        <v>9134</v>
      </c>
      <c r="H39" s="43" t="s">
        <v>9135</v>
      </c>
      <c r="I39" s="24" t="s">
        <v>9136</v>
      </c>
      <c r="J39" s="24" t="s">
        <v>9137</v>
      </c>
      <c r="K39" s="23" t="n">
        <f aca="false">COUNTIF(A타입_제작표!$P$2:$P$799,"*"&amp;C39&amp;"*")</f>
        <v>11</v>
      </c>
    </row>
    <row r="40" customFormat="false" ht="15" hidden="false" customHeight="false" outlineLevel="0" collapsed="false">
      <c r="A40" s="30" t="s">
        <v>9138</v>
      </c>
      <c r="B40" s="24" t="s">
        <v>9139</v>
      </c>
      <c r="C40" s="23" t="s">
        <v>9139</v>
      </c>
      <c r="D40" s="23" t="s">
        <v>126</v>
      </c>
      <c r="E40" s="24" t="s">
        <v>9140</v>
      </c>
      <c r="F40" s="24" t="s">
        <v>8909</v>
      </c>
      <c r="G40" s="43" t="s">
        <v>9141</v>
      </c>
      <c r="H40" s="43" t="s">
        <v>9142</v>
      </c>
      <c r="I40" s="24" t="s">
        <v>9143</v>
      </c>
      <c r="J40" s="24" t="s">
        <v>9144</v>
      </c>
      <c r="K40" s="23" t="n">
        <f aca="false">COUNTIF(A타입_제작표!$P$2:$P$799,"*"&amp;C40&amp;"*")</f>
        <v>16</v>
      </c>
    </row>
    <row r="41" customFormat="false" ht="15" hidden="false" customHeight="false" outlineLevel="0" collapsed="false">
      <c r="A41" s="30" t="s">
        <v>9145</v>
      </c>
      <c r="B41" s="24" t="s">
        <v>9146</v>
      </c>
      <c r="C41" s="23" t="s">
        <v>9146</v>
      </c>
      <c r="D41" s="23" t="s">
        <v>126</v>
      </c>
      <c r="E41" s="24" t="s">
        <v>9147</v>
      </c>
      <c r="F41" s="24" t="s">
        <v>9032</v>
      </c>
      <c r="G41" s="43" t="s">
        <v>9148</v>
      </c>
      <c r="H41" s="43" t="s">
        <v>9149</v>
      </c>
      <c r="I41" s="24" t="s">
        <v>9150</v>
      </c>
      <c r="J41" s="24" t="s">
        <v>9151</v>
      </c>
      <c r="K41" s="23" t="n">
        <f aca="false">COUNTIF(A타입_제작표!$P$2:$P$799,"*"&amp;C41&amp;"*")</f>
        <v>2</v>
      </c>
    </row>
    <row r="42" customFormat="false" ht="15" hidden="false" customHeight="false" outlineLevel="0" collapsed="false">
      <c r="A42" s="30" t="s">
        <v>9152</v>
      </c>
      <c r="B42" s="24" t="s">
        <v>9153</v>
      </c>
      <c r="C42" s="23" t="s">
        <v>9154</v>
      </c>
      <c r="D42" s="23" t="s">
        <v>126</v>
      </c>
      <c r="E42" s="24" t="s">
        <v>9155</v>
      </c>
      <c r="F42" s="24" t="s">
        <v>8917</v>
      </c>
      <c r="G42" s="43" t="s">
        <v>9156</v>
      </c>
      <c r="H42" s="43" t="s">
        <v>9157</v>
      </c>
      <c r="I42" s="24" t="s">
        <v>9158</v>
      </c>
      <c r="J42" s="29" t="s">
        <v>8874</v>
      </c>
      <c r="K42" s="23" t="n">
        <f aca="false">COUNTIF(A타입_제작표!$P$2:$P$799,"*"&amp;C42&amp;"*")</f>
        <v>6</v>
      </c>
    </row>
    <row r="43" customFormat="false" ht="15" hidden="false" customHeight="false" outlineLevel="0" collapsed="false">
      <c r="A43" s="30" t="s">
        <v>9159</v>
      </c>
      <c r="B43" s="24" t="s">
        <v>3730</v>
      </c>
      <c r="C43" s="23" t="s">
        <v>3730</v>
      </c>
      <c r="D43" s="23" t="s">
        <v>126</v>
      </c>
      <c r="E43" s="24" t="s">
        <v>9160</v>
      </c>
      <c r="F43" s="24" t="s">
        <v>9032</v>
      </c>
      <c r="G43" s="43" t="s">
        <v>9161</v>
      </c>
      <c r="H43" s="43" t="s">
        <v>9162</v>
      </c>
      <c r="I43" s="24" t="s">
        <v>9163</v>
      </c>
      <c r="J43" s="29" t="s">
        <v>8874</v>
      </c>
      <c r="K43" s="23" t="n">
        <f aca="false">COUNTIF(A타입_제작표!$P$2:$P$799,"*"&amp;C43&amp;"*")</f>
        <v>23</v>
      </c>
    </row>
    <row r="44" customFormat="false" ht="15" hidden="false" customHeight="false" outlineLevel="0" collapsed="false">
      <c r="A44" s="30" t="s">
        <v>9164</v>
      </c>
      <c r="B44" s="24" t="s">
        <v>3950</v>
      </c>
      <c r="C44" s="23" t="s">
        <v>3950</v>
      </c>
      <c r="D44" s="23" t="s">
        <v>126</v>
      </c>
      <c r="E44" s="24" t="s">
        <v>9165</v>
      </c>
      <c r="F44" s="24" t="s">
        <v>8909</v>
      </c>
      <c r="G44" s="43" t="s">
        <v>9166</v>
      </c>
      <c r="H44" s="43" t="s">
        <v>9167</v>
      </c>
      <c r="I44" s="24" t="s">
        <v>9168</v>
      </c>
      <c r="J44" s="29" t="s">
        <v>8874</v>
      </c>
      <c r="K44" s="23" t="n">
        <f aca="false">COUNTIF(A타입_제작표!$P$2:$P$799,"*"&amp;C44&amp;"*")</f>
        <v>20</v>
      </c>
    </row>
    <row r="45" customFormat="false" ht="15" hidden="false" customHeight="false" outlineLevel="0" collapsed="false">
      <c r="A45" s="30" t="s">
        <v>9169</v>
      </c>
      <c r="B45" s="24" t="s">
        <v>4147</v>
      </c>
      <c r="C45" s="23" t="s">
        <v>4147</v>
      </c>
      <c r="D45" s="23" t="s">
        <v>126</v>
      </c>
      <c r="E45" s="24" t="s">
        <v>4147</v>
      </c>
      <c r="F45" s="29" t="s">
        <v>9170</v>
      </c>
      <c r="G45" s="43" t="s">
        <v>9171</v>
      </c>
      <c r="H45" s="43" t="s">
        <v>9172</v>
      </c>
      <c r="I45" s="24" t="s">
        <v>9173</v>
      </c>
      <c r="J45" s="24" t="s">
        <v>9174</v>
      </c>
      <c r="K45" s="23" t="n">
        <f aca="false">COUNTIF(A타입_제작표!$P$2:$P$799,"*"&amp;C45&amp;"*")</f>
        <v>14</v>
      </c>
    </row>
    <row r="46" customFormat="false" ht="15" hidden="false" customHeight="false" outlineLevel="0" collapsed="false">
      <c r="A46" s="30" t="s">
        <v>9175</v>
      </c>
      <c r="B46" s="24" t="s">
        <v>4260</v>
      </c>
      <c r="C46" s="23" t="s">
        <v>4260</v>
      </c>
      <c r="D46" s="23" t="s">
        <v>126</v>
      </c>
      <c r="E46" s="24" t="s">
        <v>4260</v>
      </c>
      <c r="F46" s="29" t="s">
        <v>9176</v>
      </c>
      <c r="G46" s="43" t="s">
        <v>9177</v>
      </c>
      <c r="H46" s="43" t="s">
        <v>9178</v>
      </c>
      <c r="I46" s="24" t="s">
        <v>9179</v>
      </c>
      <c r="J46" s="24" t="s">
        <v>9180</v>
      </c>
      <c r="K46" s="23" t="n">
        <f aca="false">COUNTIF(A타입_제작표!$P$2:$P$799,"*"&amp;C46&amp;"*")</f>
        <v>11</v>
      </c>
    </row>
    <row r="47" customFormat="false" ht="15" hidden="false" customHeight="false" outlineLevel="0" collapsed="false">
      <c r="A47" s="30" t="s">
        <v>9181</v>
      </c>
      <c r="B47" s="24" t="s">
        <v>9182</v>
      </c>
      <c r="C47" s="23" t="s">
        <v>9183</v>
      </c>
      <c r="D47" s="23" t="s">
        <v>126</v>
      </c>
      <c r="E47" s="24" t="s">
        <v>9184</v>
      </c>
      <c r="F47" s="24" t="s">
        <v>8926</v>
      </c>
      <c r="G47" s="43" t="s">
        <v>9185</v>
      </c>
      <c r="H47" s="43" t="s">
        <v>9186</v>
      </c>
      <c r="I47" s="24" t="s">
        <v>9187</v>
      </c>
      <c r="J47" s="24" t="s">
        <v>9188</v>
      </c>
      <c r="K47" s="23" t="n">
        <f aca="false">COUNTIF(A타입_제작표!$P$2:$P$799,"*"&amp;C47&amp;"*")</f>
        <v>2</v>
      </c>
    </row>
    <row r="48" customFormat="false" ht="15" hidden="false" customHeight="false" outlineLevel="0" collapsed="false">
      <c r="A48" s="30" t="s">
        <v>9189</v>
      </c>
      <c r="B48" s="24" t="s">
        <v>9190</v>
      </c>
      <c r="C48" s="23" t="s">
        <v>9190</v>
      </c>
      <c r="D48" s="23" t="s">
        <v>126</v>
      </c>
      <c r="E48" s="24" t="s">
        <v>9191</v>
      </c>
      <c r="F48" s="24" t="s">
        <v>9032</v>
      </c>
      <c r="G48" s="43" t="s">
        <v>9192</v>
      </c>
      <c r="H48" s="43" t="s">
        <v>9193</v>
      </c>
      <c r="I48" s="24" t="s">
        <v>9150</v>
      </c>
      <c r="J48" s="29" t="s">
        <v>8874</v>
      </c>
      <c r="K48" s="23" t="n">
        <f aca="false">COUNTIF(A타입_제작표!$P$2:$P$799,"*"&amp;C48&amp;"*")</f>
        <v>9</v>
      </c>
    </row>
    <row r="49" customFormat="false" ht="15" hidden="false" customHeight="false" outlineLevel="0" collapsed="false">
      <c r="A49" s="30" t="s">
        <v>9194</v>
      </c>
      <c r="B49" s="24" t="s">
        <v>3140</v>
      </c>
      <c r="C49" s="23" t="s">
        <v>3140</v>
      </c>
      <c r="D49" s="23" t="s">
        <v>126</v>
      </c>
      <c r="E49" s="24" t="s">
        <v>3140</v>
      </c>
      <c r="F49" s="24" t="s">
        <v>8926</v>
      </c>
      <c r="G49" s="43" t="s">
        <v>9195</v>
      </c>
      <c r="H49" s="43" t="s">
        <v>9196</v>
      </c>
      <c r="I49" s="24" t="s">
        <v>9197</v>
      </c>
      <c r="J49" s="24" t="s">
        <v>9198</v>
      </c>
      <c r="K49" s="23" t="n">
        <f aca="false">COUNTIF(A타입_제작표!$P$2:$P$799,"*"&amp;C49&amp;"*")</f>
        <v>7</v>
      </c>
    </row>
    <row r="50" customFormat="false" ht="26.85" hidden="false" customHeight="false" outlineLevel="0" collapsed="false">
      <c r="A50" s="30" t="s">
        <v>9199</v>
      </c>
      <c r="B50" s="24" t="s">
        <v>9200</v>
      </c>
      <c r="C50" s="23" t="s">
        <v>9201</v>
      </c>
      <c r="D50" s="23" t="s">
        <v>126</v>
      </c>
      <c r="E50" s="24" t="s">
        <v>3140</v>
      </c>
      <c r="F50" s="24" t="s">
        <v>9032</v>
      </c>
      <c r="G50" s="43" t="s">
        <v>9202</v>
      </c>
      <c r="H50" s="43" t="s">
        <v>9203</v>
      </c>
      <c r="I50" s="24" t="s">
        <v>9204</v>
      </c>
      <c r="J50" s="24" t="s">
        <v>9205</v>
      </c>
      <c r="K50" s="23" t="n">
        <f aca="false">COUNTIF(A타입_제작표!$P$2:$P$799,"*"&amp;C50&amp;"*")</f>
        <v>7</v>
      </c>
    </row>
    <row r="51" customFormat="false" ht="26.85" hidden="false" customHeight="false" outlineLevel="0" collapsed="false">
      <c r="A51" s="30" t="s">
        <v>9206</v>
      </c>
      <c r="B51" s="24" t="s">
        <v>9207</v>
      </c>
      <c r="C51" s="23" t="s">
        <v>3060</v>
      </c>
      <c r="D51" s="23" t="s">
        <v>126</v>
      </c>
      <c r="E51" s="24" t="s">
        <v>9208</v>
      </c>
      <c r="F51" s="24" t="s">
        <v>9032</v>
      </c>
      <c r="G51" s="43" t="s">
        <v>9209</v>
      </c>
      <c r="H51" s="43" t="s">
        <v>9210</v>
      </c>
      <c r="I51" s="24" t="s">
        <v>9211</v>
      </c>
      <c r="J51" s="29" t="s">
        <v>8874</v>
      </c>
      <c r="K51" s="23" t="n">
        <f aca="false">COUNTIF(A타입_제작표!$P$2:$P$799,"*"&amp;C51&amp;"*")</f>
        <v>7</v>
      </c>
    </row>
    <row r="52" customFormat="false" ht="15" hidden="false" customHeight="false" outlineLevel="0" collapsed="false">
      <c r="A52" s="30" t="s">
        <v>9212</v>
      </c>
      <c r="B52" s="24" t="s">
        <v>3264</v>
      </c>
      <c r="C52" s="23" t="s">
        <v>3264</v>
      </c>
      <c r="D52" s="23" t="s">
        <v>126</v>
      </c>
      <c r="E52" s="24" t="s">
        <v>3229</v>
      </c>
      <c r="F52" s="24" t="s">
        <v>9032</v>
      </c>
      <c r="G52" s="43" t="s">
        <v>9213</v>
      </c>
      <c r="H52" s="43" t="s">
        <v>9214</v>
      </c>
      <c r="I52" s="24" t="s">
        <v>9215</v>
      </c>
      <c r="J52" s="24" t="s">
        <v>8190</v>
      </c>
      <c r="K52" s="23" t="n">
        <f aca="false">COUNTIF(A타입_제작표!$P$2:$P$799,"*"&amp;C52&amp;"*")</f>
        <v>11</v>
      </c>
    </row>
    <row r="53" customFormat="false" ht="15" hidden="false" customHeight="false" outlineLevel="0" collapsed="false">
      <c r="A53" s="30" t="s">
        <v>9216</v>
      </c>
      <c r="B53" s="24" t="s">
        <v>4469</v>
      </c>
      <c r="C53" s="23" t="s">
        <v>4469</v>
      </c>
      <c r="D53" s="23" t="s">
        <v>126</v>
      </c>
      <c r="E53" s="24" t="s">
        <v>4469</v>
      </c>
      <c r="F53" s="24" t="s">
        <v>9032</v>
      </c>
      <c r="G53" s="43" t="s">
        <v>9217</v>
      </c>
      <c r="H53" s="43" t="s">
        <v>9218</v>
      </c>
      <c r="I53" s="24" t="s">
        <v>9219</v>
      </c>
      <c r="J53" s="24" t="s">
        <v>9220</v>
      </c>
      <c r="K53" s="23" t="n">
        <f aca="false">COUNTIF(A타입_제작표!$P$2:$P$799,"*"&amp;C53&amp;"*")</f>
        <v>10</v>
      </c>
    </row>
    <row r="54" customFormat="false" ht="15" hidden="false" customHeight="false" outlineLevel="0" collapsed="false">
      <c r="A54" s="30" t="s">
        <v>9221</v>
      </c>
      <c r="B54" s="24" t="s">
        <v>9222</v>
      </c>
      <c r="C54" s="23" t="s">
        <v>9223</v>
      </c>
      <c r="D54" s="23" t="s">
        <v>4666</v>
      </c>
      <c r="E54" s="24" t="s">
        <v>9224</v>
      </c>
      <c r="F54" s="29" t="s">
        <v>9225</v>
      </c>
      <c r="G54" s="43" t="s">
        <v>9226</v>
      </c>
      <c r="H54" s="43" t="s">
        <v>9227</v>
      </c>
      <c r="I54" s="24" t="s">
        <v>9228</v>
      </c>
      <c r="J54" s="24" t="s">
        <v>9229</v>
      </c>
      <c r="K54" s="23" t="n">
        <f aca="false">COUNTIF(A타입_제작표!$P$2:$P$799,"*"&amp;C54&amp;"*")</f>
        <v>20</v>
      </c>
    </row>
    <row r="55" customFormat="false" ht="15" hidden="false" customHeight="false" outlineLevel="0" collapsed="false">
      <c r="A55" s="30" t="s">
        <v>9230</v>
      </c>
      <c r="B55" s="24" t="s">
        <v>9231</v>
      </c>
      <c r="C55" s="23" t="s">
        <v>8993</v>
      </c>
      <c r="D55" s="23" t="s">
        <v>4666</v>
      </c>
      <c r="E55" s="24" t="s">
        <v>9232</v>
      </c>
      <c r="F55" s="24" t="s">
        <v>8926</v>
      </c>
      <c r="G55" s="43" t="s">
        <v>9233</v>
      </c>
      <c r="H55" s="43" t="s">
        <v>9234</v>
      </c>
      <c r="I55" s="24" t="s">
        <v>9235</v>
      </c>
      <c r="J55" s="24" t="s">
        <v>9236</v>
      </c>
      <c r="K55" s="23" t="n">
        <f aca="false">COUNTIF(A타입_제작표!$P$2:$P$799,"*"&amp;C55&amp;"*")</f>
        <v>23</v>
      </c>
    </row>
    <row r="56" customFormat="false" ht="15" hidden="false" customHeight="false" outlineLevel="0" collapsed="false">
      <c r="A56" s="30" t="s">
        <v>9237</v>
      </c>
      <c r="B56" s="24" t="s">
        <v>9238</v>
      </c>
      <c r="C56" s="23" t="s">
        <v>9238</v>
      </c>
      <c r="D56" s="23" t="s">
        <v>4666</v>
      </c>
      <c r="E56" s="24" t="s">
        <v>7924</v>
      </c>
      <c r="F56" s="29" t="s">
        <v>9239</v>
      </c>
      <c r="G56" s="43" t="s">
        <v>9240</v>
      </c>
      <c r="H56" s="43" t="s">
        <v>9241</v>
      </c>
      <c r="I56" s="24" t="s">
        <v>9242</v>
      </c>
      <c r="J56" s="24" t="s">
        <v>9125</v>
      </c>
      <c r="K56" s="23" t="n">
        <f aca="false">COUNTIF(A타입_제작표!$P$2:$P$799,"*"&amp;C56&amp;"*")</f>
        <v>5</v>
      </c>
    </row>
    <row r="57" customFormat="false" ht="15" hidden="false" customHeight="false" outlineLevel="0" collapsed="false">
      <c r="A57" s="30" t="s">
        <v>9243</v>
      </c>
      <c r="B57" s="24" t="s">
        <v>9244</v>
      </c>
      <c r="C57" s="23" t="s">
        <v>6762</v>
      </c>
      <c r="D57" s="23" t="s">
        <v>4666</v>
      </c>
      <c r="E57" s="24" t="s">
        <v>9245</v>
      </c>
      <c r="F57" s="29" t="s">
        <v>9246</v>
      </c>
      <c r="G57" s="43" t="s">
        <v>9247</v>
      </c>
      <c r="H57" s="43" t="s">
        <v>9248</v>
      </c>
      <c r="I57" s="24" t="s">
        <v>9249</v>
      </c>
      <c r="J57" s="24" t="s">
        <v>9250</v>
      </c>
      <c r="K57" s="23" t="n">
        <f aca="false">COUNTIF(A타입_제작표!$P$2:$P$799,"*"&amp;C57&amp;"*")</f>
        <v>32</v>
      </c>
    </row>
    <row r="58" customFormat="false" ht="15" hidden="false" customHeight="false" outlineLevel="0" collapsed="false">
      <c r="A58" s="30" t="s">
        <v>9251</v>
      </c>
      <c r="B58" s="24" t="s">
        <v>9252</v>
      </c>
      <c r="C58" s="23" t="s">
        <v>9253</v>
      </c>
      <c r="D58" s="23" t="s">
        <v>4666</v>
      </c>
      <c r="E58" s="24" t="s">
        <v>8882</v>
      </c>
      <c r="F58" s="29" t="s">
        <v>9254</v>
      </c>
      <c r="G58" s="43" t="s">
        <v>9255</v>
      </c>
      <c r="H58" s="43" t="s">
        <v>9256</v>
      </c>
      <c r="I58" s="24" t="s">
        <v>9257</v>
      </c>
      <c r="J58" s="24" t="s">
        <v>9258</v>
      </c>
      <c r="K58" s="23" t="n">
        <f aca="false">COUNTIF(A타입_제작표!$P$2:$P$799,"*"&amp;C58&amp;"*")</f>
        <v>30</v>
      </c>
    </row>
    <row r="59" customFormat="false" ht="26.85" hidden="false" customHeight="false" outlineLevel="0" collapsed="false">
      <c r="A59" s="30" t="s">
        <v>9259</v>
      </c>
      <c r="B59" s="24" t="s">
        <v>9260</v>
      </c>
      <c r="C59" s="23" t="s">
        <v>9261</v>
      </c>
      <c r="D59" s="23" t="s">
        <v>4666</v>
      </c>
      <c r="E59" s="24" t="s">
        <v>7924</v>
      </c>
      <c r="F59" s="29" t="s">
        <v>9262</v>
      </c>
      <c r="G59" s="43" t="s">
        <v>9263</v>
      </c>
      <c r="H59" s="43" t="s">
        <v>9264</v>
      </c>
      <c r="I59" s="29" t="s">
        <v>8874</v>
      </c>
      <c r="J59" s="29" t="s">
        <v>9265</v>
      </c>
      <c r="K59" s="23" t="n">
        <f aca="false">COUNTIF(A타입_제작표!$P$2:$P$799,"*"&amp;C59&amp;"*")</f>
        <v>33</v>
      </c>
    </row>
    <row r="60" customFormat="false" ht="15" hidden="false" customHeight="false" outlineLevel="0" collapsed="false">
      <c r="A60" s="30" t="s">
        <v>9266</v>
      </c>
      <c r="B60" s="24" t="s">
        <v>9267</v>
      </c>
      <c r="C60" s="23" t="s">
        <v>9267</v>
      </c>
      <c r="D60" s="23" t="s">
        <v>4666</v>
      </c>
      <c r="E60" s="24" t="s">
        <v>9224</v>
      </c>
      <c r="F60" s="29" t="s">
        <v>9268</v>
      </c>
      <c r="G60" s="43" t="s">
        <v>9269</v>
      </c>
      <c r="H60" s="43" t="s">
        <v>9270</v>
      </c>
      <c r="I60" s="24" t="s">
        <v>9271</v>
      </c>
      <c r="J60" s="24" t="s">
        <v>9272</v>
      </c>
      <c r="K60" s="23" t="n">
        <f aca="false">COUNTIF(A타입_제작표!$P$2:$P$799,"*"&amp;C60&amp;"*")</f>
        <v>0</v>
      </c>
    </row>
    <row r="61" customFormat="false" ht="26.85" hidden="false" customHeight="false" outlineLevel="0" collapsed="false">
      <c r="A61" s="30" t="s">
        <v>9273</v>
      </c>
      <c r="B61" s="24" t="s">
        <v>9274</v>
      </c>
      <c r="C61" s="23" t="s">
        <v>9275</v>
      </c>
      <c r="D61" s="23" t="s">
        <v>4666</v>
      </c>
      <c r="E61" s="24" t="s">
        <v>7924</v>
      </c>
      <c r="F61" s="24" t="s">
        <v>8917</v>
      </c>
      <c r="G61" s="43" t="s">
        <v>9276</v>
      </c>
      <c r="H61" s="43" t="s">
        <v>9277</v>
      </c>
      <c r="I61" s="29" t="s">
        <v>8874</v>
      </c>
      <c r="J61" s="24" t="s">
        <v>9278</v>
      </c>
      <c r="K61" s="23" t="n">
        <f aca="false">COUNTIF(A타입_제작표!$P$2:$P$799,"*"&amp;C61&amp;"*")</f>
        <v>2</v>
      </c>
    </row>
    <row r="62" customFormat="false" ht="26.85" hidden="false" customHeight="false" outlineLevel="0" collapsed="false">
      <c r="A62" s="30" t="s">
        <v>9279</v>
      </c>
      <c r="B62" s="24" t="s">
        <v>9280</v>
      </c>
      <c r="C62" s="23" t="s">
        <v>9281</v>
      </c>
      <c r="D62" s="23" t="s">
        <v>4666</v>
      </c>
      <c r="E62" s="24" t="s">
        <v>9282</v>
      </c>
      <c r="F62" s="24" t="s">
        <v>9032</v>
      </c>
      <c r="G62" s="43" t="s">
        <v>9283</v>
      </c>
      <c r="H62" s="43" t="s">
        <v>9284</v>
      </c>
      <c r="I62" s="24" t="s">
        <v>9285</v>
      </c>
      <c r="J62" s="29" t="s">
        <v>8874</v>
      </c>
      <c r="K62" s="23" t="n">
        <f aca="false">COUNTIF(A타입_제작표!$P$2:$P$799,"*"&amp;C62&amp;"*")</f>
        <v>1</v>
      </c>
    </row>
    <row r="63" customFormat="false" ht="15" hidden="false" customHeight="false" outlineLevel="0" collapsed="false">
      <c r="A63" s="30" t="s">
        <v>9286</v>
      </c>
      <c r="B63" s="24" t="s">
        <v>9287</v>
      </c>
      <c r="C63" s="23" t="s">
        <v>9288</v>
      </c>
      <c r="D63" s="23" t="s">
        <v>4666</v>
      </c>
      <c r="E63" s="24" t="s">
        <v>7924</v>
      </c>
      <c r="F63" s="24" t="s">
        <v>9032</v>
      </c>
      <c r="G63" s="43" t="s">
        <v>9289</v>
      </c>
      <c r="H63" s="43" t="s">
        <v>9290</v>
      </c>
      <c r="I63" s="24" t="s">
        <v>9291</v>
      </c>
      <c r="J63" s="29" t="s">
        <v>8874</v>
      </c>
      <c r="K63" s="23" t="n">
        <f aca="false">COUNTIF(A타입_제작표!$P$2:$P$799,"*"&amp;C63&amp;"*")</f>
        <v>2</v>
      </c>
    </row>
    <row r="64" customFormat="false" ht="26.85" hidden="false" customHeight="false" outlineLevel="0" collapsed="false">
      <c r="A64" s="30" t="s">
        <v>9292</v>
      </c>
      <c r="B64" s="24" t="s">
        <v>9293</v>
      </c>
      <c r="C64" s="23" t="s">
        <v>6106</v>
      </c>
      <c r="D64" s="23" t="s">
        <v>4666</v>
      </c>
      <c r="E64" s="24" t="s">
        <v>9294</v>
      </c>
      <c r="F64" s="24" t="s">
        <v>8909</v>
      </c>
      <c r="G64" s="43" t="s">
        <v>9295</v>
      </c>
      <c r="H64" s="43" t="s">
        <v>9296</v>
      </c>
      <c r="I64" s="24" t="s">
        <v>9297</v>
      </c>
      <c r="J64" s="24" t="s">
        <v>9298</v>
      </c>
      <c r="K64" s="23" t="n">
        <f aca="false">COUNTIF(A타입_제작표!$P$2:$P$799,"*"&amp;C64&amp;"*")</f>
        <v>82</v>
      </c>
    </row>
    <row r="65" customFormat="false" ht="26.85" hidden="false" customHeight="false" outlineLevel="0" collapsed="false">
      <c r="A65" s="30" t="s">
        <v>9299</v>
      </c>
      <c r="B65" s="24" t="s">
        <v>9300</v>
      </c>
      <c r="C65" s="23" t="s">
        <v>9301</v>
      </c>
      <c r="D65" s="23" t="s">
        <v>4666</v>
      </c>
      <c r="E65" s="24" t="s">
        <v>9302</v>
      </c>
      <c r="F65" s="24" t="s">
        <v>8917</v>
      </c>
      <c r="G65" s="43" t="s">
        <v>9303</v>
      </c>
      <c r="H65" s="43" t="s">
        <v>9304</v>
      </c>
      <c r="I65" s="24" t="s">
        <v>9305</v>
      </c>
      <c r="J65" s="29" t="s">
        <v>8874</v>
      </c>
      <c r="K65" s="23" t="n">
        <f aca="false">COUNTIF(A타입_제작표!$P$2:$P$799,"*"&amp;C65&amp;"*")</f>
        <v>7</v>
      </c>
    </row>
    <row r="66" customFormat="false" ht="15" hidden="false" customHeight="false" outlineLevel="0" collapsed="false">
      <c r="A66" s="30" t="s">
        <v>9306</v>
      </c>
      <c r="B66" s="24" t="s">
        <v>9307</v>
      </c>
      <c r="C66" s="23" t="s">
        <v>9308</v>
      </c>
      <c r="D66" s="23" t="s">
        <v>4666</v>
      </c>
      <c r="E66" s="24" t="s">
        <v>9309</v>
      </c>
      <c r="F66" s="24" t="s">
        <v>8926</v>
      </c>
      <c r="G66" s="43" t="s">
        <v>9310</v>
      </c>
      <c r="H66" s="43" t="s">
        <v>9311</v>
      </c>
      <c r="I66" s="24" t="s">
        <v>9187</v>
      </c>
      <c r="J66" s="24" t="s">
        <v>9312</v>
      </c>
      <c r="K66" s="23" t="n">
        <f aca="false">COUNTIF(A타입_제작표!$P$2:$P$799,"*"&amp;C66&amp;"*")</f>
        <v>2</v>
      </c>
    </row>
    <row r="67" customFormat="false" ht="26.85" hidden="false" customHeight="false" outlineLevel="0" collapsed="false">
      <c r="A67" s="30" t="s">
        <v>9313</v>
      </c>
      <c r="B67" s="24" t="s">
        <v>9314</v>
      </c>
      <c r="C67" s="23" t="s">
        <v>9315</v>
      </c>
      <c r="D67" s="23" t="s">
        <v>9316</v>
      </c>
      <c r="E67" s="29" t="s">
        <v>9317</v>
      </c>
      <c r="F67" s="24" t="s">
        <v>9318</v>
      </c>
      <c r="G67" s="43" t="s">
        <v>9319</v>
      </c>
      <c r="H67" s="43" t="s">
        <v>9320</v>
      </c>
      <c r="I67" s="24" t="s">
        <v>9321</v>
      </c>
      <c r="J67" s="24" t="s">
        <v>9322</v>
      </c>
      <c r="K67" s="23" t="n">
        <f aca="false">COUNTIF(A타입_제작표!$P$2:$P$799,"*"&amp;C67&amp;"*")</f>
        <v>0</v>
      </c>
    </row>
    <row r="68" customFormat="false" ht="26.85" hidden="false" customHeight="false" outlineLevel="0" collapsed="false">
      <c r="A68" s="30" t="s">
        <v>9323</v>
      </c>
      <c r="B68" s="24" t="s">
        <v>9324</v>
      </c>
      <c r="C68" s="23" t="s">
        <v>9325</v>
      </c>
      <c r="D68" s="23" t="s">
        <v>9316</v>
      </c>
      <c r="E68" s="29" t="s">
        <v>9317</v>
      </c>
      <c r="F68" s="24" t="s">
        <v>9326</v>
      </c>
      <c r="G68" s="43" t="s">
        <v>9319</v>
      </c>
      <c r="H68" s="43" t="s">
        <v>9320</v>
      </c>
      <c r="I68" s="24" t="s">
        <v>9327</v>
      </c>
      <c r="J68" s="24" t="s">
        <v>9322</v>
      </c>
      <c r="K68" s="23" t="n">
        <f aca="false">COUNTIF(A타입_제작표!$P$2:$P$799,"*"&amp;C68&amp;"*")</f>
        <v>0</v>
      </c>
    </row>
    <row r="69" customFormat="false" ht="26.85" hidden="false" customHeight="false" outlineLevel="0" collapsed="false">
      <c r="A69" s="30" t="s">
        <v>9328</v>
      </c>
      <c r="B69" s="24" t="s">
        <v>9329</v>
      </c>
      <c r="C69" s="23" t="s">
        <v>9330</v>
      </c>
      <c r="D69" s="23" t="s">
        <v>9316</v>
      </c>
      <c r="E69" s="29" t="s">
        <v>9331</v>
      </c>
      <c r="F69" s="29" t="s">
        <v>9332</v>
      </c>
      <c r="G69" s="43" t="s">
        <v>9319</v>
      </c>
      <c r="H69" s="43" t="s">
        <v>9333</v>
      </c>
      <c r="I69" s="24" t="s">
        <v>9334</v>
      </c>
      <c r="J69" s="24" t="s">
        <v>9335</v>
      </c>
      <c r="K69" s="23" t="n">
        <f aca="false">COUNTIF(A타입_제작표!$P$2:$P$799,"*"&amp;C69&amp;"*")</f>
        <v>0</v>
      </c>
    </row>
    <row r="71" customFormat="false" ht="15" hidden="false" customHeight="false" outlineLevel="0" collapsed="false">
      <c r="A71" s="15" t="s">
        <v>9336</v>
      </c>
    </row>
    <row r="72" customFormat="false" ht="15" hidden="false" customHeight="false" outlineLevel="0" collapsed="false">
      <c r="A72" s="8" t="s">
        <v>9337</v>
      </c>
    </row>
    <row r="73" customFormat="false" ht="15" hidden="false" customHeight="false" outlineLevel="0" collapsed="false">
      <c r="A73" s="7" t="s">
        <v>9338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9339</v>
      </c>
    </row>
    <row r="2" customFormat="false" ht="15" hidden="false" customHeight="false" outlineLevel="0" collapsed="false">
      <c r="A2" s="2" t="s">
        <v>9340</v>
      </c>
    </row>
    <row r="4" customFormat="false" ht="16.4" hidden="false" customHeight="false" outlineLevel="0" collapsed="false">
      <c r="A4" s="31" t="s">
        <v>9341</v>
      </c>
      <c r="B4" s="4"/>
      <c r="C4" s="4"/>
      <c r="D4" s="4"/>
    </row>
    <row r="5" customFormat="false" ht="15" hidden="false" customHeight="false" outlineLevel="0" collapsed="false">
      <c r="A5" s="41" t="s">
        <v>9342</v>
      </c>
      <c r="B5" s="41" t="s">
        <v>9343</v>
      </c>
    </row>
    <row r="6" customFormat="false" ht="26.85" hidden="false" customHeight="false" outlineLevel="0" collapsed="false">
      <c r="A6" s="24" t="s">
        <v>9344</v>
      </c>
      <c r="B6" s="24" t="s">
        <v>9345</v>
      </c>
    </row>
    <row r="7" customFormat="false" ht="26.85" hidden="false" customHeight="false" outlineLevel="0" collapsed="false">
      <c r="A7" s="24" t="s">
        <v>9346</v>
      </c>
      <c r="B7" s="24" t="s">
        <v>9347</v>
      </c>
    </row>
    <row r="8" customFormat="false" ht="26.85" hidden="false" customHeight="false" outlineLevel="0" collapsed="false">
      <c r="A8" s="24" t="s">
        <v>9348</v>
      </c>
      <c r="B8" s="24" t="s">
        <v>9349</v>
      </c>
    </row>
    <row r="9" customFormat="false" ht="26.85" hidden="false" customHeight="false" outlineLevel="0" collapsed="false">
      <c r="A9" s="24" t="s">
        <v>9350</v>
      </c>
      <c r="B9" s="24" t="s">
        <v>9351</v>
      </c>
    </row>
    <row r="11" customFormat="false" ht="16.4" hidden="false" customHeight="false" outlineLevel="0" collapsed="false">
      <c r="A11" s="31" t="s">
        <v>9352</v>
      </c>
      <c r="B11" s="4"/>
      <c r="C11" s="4"/>
      <c r="D11" s="4"/>
    </row>
    <row r="12" customFormat="false" ht="15" hidden="false" customHeight="false" outlineLevel="0" collapsed="false">
      <c r="A12" s="41" t="s">
        <v>9353</v>
      </c>
      <c r="B12" s="41" t="s">
        <v>9354</v>
      </c>
      <c r="C12" s="41" t="s">
        <v>9355</v>
      </c>
      <c r="D12" s="41" t="s">
        <v>9356</v>
      </c>
    </row>
    <row r="13" customFormat="false" ht="26.85" hidden="false" customHeight="false" outlineLevel="0" collapsed="false">
      <c r="A13" s="24" t="s">
        <v>9357</v>
      </c>
      <c r="B13" s="24" t="s">
        <v>9358</v>
      </c>
      <c r="C13" s="24" t="s">
        <v>9359</v>
      </c>
      <c r="D13" s="29" t="s">
        <v>9360</v>
      </c>
    </row>
    <row r="14" customFormat="false" ht="39.55" hidden="false" customHeight="false" outlineLevel="0" collapsed="false">
      <c r="A14" s="24" t="s">
        <v>9361</v>
      </c>
      <c r="B14" s="24" t="s">
        <v>9362</v>
      </c>
      <c r="C14" s="24" t="s">
        <v>9363</v>
      </c>
      <c r="D14" s="29" t="s">
        <v>9360</v>
      </c>
    </row>
    <row r="15" customFormat="false" ht="26.85" hidden="false" customHeight="false" outlineLevel="0" collapsed="false">
      <c r="A15" s="24" t="s">
        <v>6451</v>
      </c>
      <c r="B15" s="24" t="s">
        <v>9364</v>
      </c>
      <c r="C15" s="24" t="s">
        <v>9365</v>
      </c>
      <c r="D15" s="29" t="s">
        <v>9360</v>
      </c>
    </row>
    <row r="16" customFormat="false" ht="15" hidden="false" customHeight="false" outlineLevel="0" collapsed="false">
      <c r="A16" s="24" t="s">
        <v>9366</v>
      </c>
      <c r="B16" s="24" t="s">
        <v>9367</v>
      </c>
      <c r="C16" s="24" t="s">
        <v>9368</v>
      </c>
      <c r="D16" s="29" t="s">
        <v>9360</v>
      </c>
    </row>
    <row r="17" customFormat="false" ht="26.85" hidden="false" customHeight="false" outlineLevel="0" collapsed="false">
      <c r="A17" s="24" t="s">
        <v>9369</v>
      </c>
      <c r="B17" s="24" t="s">
        <v>9370</v>
      </c>
      <c r="C17" s="24" t="s">
        <v>9371</v>
      </c>
      <c r="D17" s="29" t="s">
        <v>9360</v>
      </c>
    </row>
    <row r="18" customFormat="false" ht="26.85" hidden="false" customHeight="false" outlineLevel="0" collapsed="false">
      <c r="A18" s="24" t="s">
        <v>9372</v>
      </c>
      <c r="B18" s="24" t="s">
        <v>9373</v>
      </c>
      <c r="C18" s="24" t="s">
        <v>9374</v>
      </c>
      <c r="D18" s="29" t="s">
        <v>9360</v>
      </c>
    </row>
    <row r="19" customFormat="false" ht="26.85" hidden="false" customHeight="false" outlineLevel="0" collapsed="false">
      <c r="A19" s="24" t="s">
        <v>9375</v>
      </c>
      <c r="B19" s="24" t="s">
        <v>9376</v>
      </c>
      <c r="C19" s="24" t="s">
        <v>9377</v>
      </c>
      <c r="D19" s="29" t="s">
        <v>9360</v>
      </c>
    </row>
    <row r="20" customFormat="false" ht="26.85" hidden="false" customHeight="false" outlineLevel="0" collapsed="false">
      <c r="A20" s="24" t="s">
        <v>9378</v>
      </c>
      <c r="B20" s="24" t="s">
        <v>9379</v>
      </c>
      <c r="C20" s="24" t="s">
        <v>9380</v>
      </c>
      <c r="D20" s="29" t="s">
        <v>9360</v>
      </c>
    </row>
    <row r="21" customFormat="false" ht="26.85" hidden="false" customHeight="false" outlineLevel="0" collapsed="false">
      <c r="A21" s="24" t="s">
        <v>9381</v>
      </c>
      <c r="B21" s="24" t="s">
        <v>9382</v>
      </c>
      <c r="C21" s="24" t="s">
        <v>9383</v>
      </c>
      <c r="D21" s="29" t="s">
        <v>9360</v>
      </c>
    </row>
    <row r="22" customFormat="false" ht="26.85" hidden="false" customHeight="false" outlineLevel="0" collapsed="false">
      <c r="A22" s="24" t="s">
        <v>9384</v>
      </c>
      <c r="B22" s="24" t="s">
        <v>9385</v>
      </c>
      <c r="C22" s="24" t="s">
        <v>9386</v>
      </c>
      <c r="D22" s="29" t="s">
        <v>9360</v>
      </c>
    </row>
    <row r="23" customFormat="false" ht="26.85" hidden="false" customHeight="false" outlineLevel="0" collapsed="false">
      <c r="A23" s="24" t="s">
        <v>9387</v>
      </c>
      <c r="B23" s="24" t="s">
        <v>9388</v>
      </c>
      <c r="C23" s="24" t="s">
        <v>9389</v>
      </c>
      <c r="D23" s="29" t="s">
        <v>9360</v>
      </c>
    </row>
    <row r="24" customFormat="false" ht="26.85" hidden="false" customHeight="false" outlineLevel="0" collapsed="false">
      <c r="A24" s="24" t="s">
        <v>9390</v>
      </c>
      <c r="B24" s="24" t="s">
        <v>9391</v>
      </c>
      <c r="C24" s="24" t="s">
        <v>9392</v>
      </c>
      <c r="D24" s="29" t="s">
        <v>9360</v>
      </c>
    </row>
    <row r="25" customFormat="false" ht="26.85" hidden="false" customHeight="false" outlineLevel="0" collapsed="false">
      <c r="A25" s="24" t="s">
        <v>6552</v>
      </c>
      <c r="B25" s="24" t="s">
        <v>6554</v>
      </c>
      <c r="C25" s="24" t="s">
        <v>9393</v>
      </c>
      <c r="D25" s="29" t="s">
        <v>9360</v>
      </c>
    </row>
    <row r="26" customFormat="false" ht="26.85" hidden="false" customHeight="false" outlineLevel="0" collapsed="false">
      <c r="A26" s="24" t="s">
        <v>62</v>
      </c>
      <c r="B26" s="24" t="s">
        <v>9394</v>
      </c>
      <c r="C26" s="24" t="s">
        <v>9395</v>
      </c>
      <c r="D26" s="29" t="s">
        <v>9360</v>
      </c>
    </row>
    <row r="28" customFormat="false" ht="16.4" hidden="false" customHeight="false" outlineLevel="0" collapsed="false">
      <c r="A28" s="31" t="s">
        <v>9396</v>
      </c>
      <c r="B28" s="4"/>
      <c r="C28" s="4"/>
      <c r="D28" s="4"/>
    </row>
    <row r="29" customFormat="false" ht="15" hidden="false" customHeight="false" outlineLevel="0" collapsed="false">
      <c r="A29" s="41" t="s">
        <v>9397</v>
      </c>
      <c r="B29" s="41" t="s">
        <v>9398</v>
      </c>
      <c r="C29" s="41" t="s">
        <v>9399</v>
      </c>
      <c r="D29" s="41" t="s">
        <v>9400</v>
      </c>
    </row>
    <row r="30" customFormat="false" ht="26.85" hidden="false" customHeight="false" outlineLevel="0" collapsed="false">
      <c r="A30" s="24" t="s">
        <v>9401</v>
      </c>
      <c r="B30" s="24" t="s">
        <v>9402</v>
      </c>
      <c r="C30" s="24" t="s">
        <v>9403</v>
      </c>
      <c r="D30" s="24" t="s">
        <v>9404</v>
      </c>
    </row>
    <row r="31" customFormat="false" ht="26.85" hidden="false" customHeight="false" outlineLevel="0" collapsed="false">
      <c r="A31" s="24" t="s">
        <v>9405</v>
      </c>
      <c r="B31" s="29" t="s">
        <v>9406</v>
      </c>
      <c r="C31" s="24" t="s">
        <v>9407</v>
      </c>
      <c r="D31" s="29" t="s">
        <v>9408</v>
      </c>
    </row>
    <row r="32" customFormat="false" ht="26.85" hidden="false" customHeight="false" outlineLevel="0" collapsed="false">
      <c r="A32" s="24" t="s">
        <v>9409</v>
      </c>
      <c r="B32" s="24" t="s">
        <v>9410</v>
      </c>
      <c r="C32" s="24" t="s">
        <v>9411</v>
      </c>
      <c r="D32" s="24" t="s">
        <v>9412</v>
      </c>
    </row>
    <row r="33" customFormat="false" ht="15" hidden="false" customHeight="false" outlineLevel="0" collapsed="false">
      <c r="A33" s="29" t="s">
        <v>9413</v>
      </c>
      <c r="B33" s="29" t="s">
        <v>9414</v>
      </c>
      <c r="C33" s="24" t="s">
        <v>9415</v>
      </c>
      <c r="D33" s="24" t="s">
        <v>9416</v>
      </c>
    </row>
    <row r="34" customFormat="false" ht="15" hidden="false" customHeight="false" outlineLevel="0" collapsed="false">
      <c r="A34" s="24" t="s">
        <v>9417</v>
      </c>
      <c r="B34" s="24" t="s">
        <v>9418</v>
      </c>
      <c r="C34" s="24" t="s">
        <v>9419</v>
      </c>
      <c r="D34" s="24" t="s">
        <v>9420</v>
      </c>
    </row>
    <row r="35" customFormat="false" ht="26.85" hidden="false" customHeight="false" outlineLevel="0" collapsed="false">
      <c r="A35" s="24" t="s">
        <v>9421</v>
      </c>
      <c r="B35" s="24" t="s">
        <v>9422</v>
      </c>
      <c r="C35" s="24" t="s">
        <v>9423</v>
      </c>
      <c r="D35" s="24" t="s">
        <v>9424</v>
      </c>
    </row>
    <row r="36" customFormat="false" ht="26.85" hidden="false" customHeight="false" outlineLevel="0" collapsed="false">
      <c r="A36" s="24" t="s">
        <v>9425</v>
      </c>
      <c r="B36" s="24" t="s">
        <v>9426</v>
      </c>
      <c r="C36" s="24" t="s">
        <v>9427</v>
      </c>
      <c r="D36" s="24" t="s">
        <v>9428</v>
      </c>
    </row>
    <row r="37" customFormat="false" ht="15" hidden="false" customHeight="false" outlineLevel="0" collapsed="false">
      <c r="A37" s="24" t="s">
        <v>9429</v>
      </c>
      <c r="B37" s="24" t="s">
        <v>9430</v>
      </c>
      <c r="C37" s="24" t="s">
        <v>9431</v>
      </c>
      <c r="D37" s="24" t="s">
        <v>9432</v>
      </c>
    </row>
    <row r="38" customFormat="false" ht="15" hidden="false" customHeight="false" outlineLevel="0" collapsed="false">
      <c r="A38" s="24" t="s">
        <v>9433</v>
      </c>
      <c r="B38" s="24" t="s">
        <v>9434</v>
      </c>
      <c r="C38" s="24" t="s">
        <v>9435</v>
      </c>
      <c r="D38" s="29" t="s">
        <v>9436</v>
      </c>
    </row>
    <row r="39" customFormat="false" ht="15" hidden="false" customHeight="false" outlineLevel="0" collapsed="false">
      <c r="A39" s="24" t="s">
        <v>9437</v>
      </c>
      <c r="B39" s="24" t="s">
        <v>9438</v>
      </c>
      <c r="C39" s="24" t="s">
        <v>9439</v>
      </c>
      <c r="D39" s="24" t="s">
        <v>9440</v>
      </c>
    </row>
    <row r="40" customFormat="false" ht="15" hidden="false" customHeight="false" outlineLevel="0" collapsed="false">
      <c r="A40" s="24" t="s">
        <v>9441</v>
      </c>
      <c r="B40" s="24" t="s">
        <v>9442</v>
      </c>
      <c r="C40" s="24" t="s">
        <v>9443</v>
      </c>
      <c r="D40" s="24" t="s">
        <v>9444</v>
      </c>
    </row>
    <row r="42" customFormat="false" ht="16.4" hidden="false" customHeight="false" outlineLevel="0" collapsed="false">
      <c r="A42" s="31" t="s">
        <v>9445</v>
      </c>
      <c r="B42" s="4"/>
      <c r="C42" s="4"/>
      <c r="D42" s="4"/>
    </row>
    <row r="43" customFormat="false" ht="15" hidden="false" customHeight="false" outlineLevel="0" collapsed="false">
      <c r="A43" s="41" t="s">
        <v>9446</v>
      </c>
      <c r="B43" s="41" t="s">
        <v>9447</v>
      </c>
    </row>
    <row r="44" customFormat="false" ht="26.85" hidden="false" customHeight="false" outlineLevel="0" collapsed="false">
      <c r="A44" s="24" t="s">
        <v>9448</v>
      </c>
      <c r="B44" s="24" t="s">
        <v>9449</v>
      </c>
    </row>
    <row r="45" customFormat="false" ht="26.85" hidden="false" customHeight="false" outlineLevel="0" collapsed="false">
      <c r="A45" s="24" t="s">
        <v>9450</v>
      </c>
      <c r="B45" s="24" t="s">
        <v>9451</v>
      </c>
    </row>
    <row r="46" customFormat="false" ht="26.85" hidden="false" customHeight="false" outlineLevel="0" collapsed="false">
      <c r="A46" s="24" t="s">
        <v>9452</v>
      </c>
      <c r="B46" s="24" t="s">
        <v>9453</v>
      </c>
    </row>
    <row r="47" customFormat="false" ht="26.85" hidden="false" customHeight="false" outlineLevel="0" collapsed="false">
      <c r="A47" s="24" t="s">
        <v>9454</v>
      </c>
      <c r="B47" s="24" t="s">
        <v>9455</v>
      </c>
    </row>
    <row r="48" customFormat="false" ht="26.85" hidden="false" customHeight="false" outlineLevel="0" collapsed="false">
      <c r="A48" s="24" t="s">
        <v>9456</v>
      </c>
      <c r="B48" s="24" t="s">
        <v>9457</v>
      </c>
    </row>
    <row r="49" customFormat="false" ht="26.85" hidden="false" customHeight="false" outlineLevel="0" collapsed="false">
      <c r="A49" s="24" t="s">
        <v>9458</v>
      </c>
      <c r="B49" s="24" t="s">
        <v>9459</v>
      </c>
    </row>
    <row r="50" customFormat="false" ht="26.85" hidden="false" customHeight="false" outlineLevel="0" collapsed="false">
      <c r="A50" s="24" t="s">
        <v>9460</v>
      </c>
      <c r="B50" s="29" t="s">
        <v>9461</v>
      </c>
    </row>
    <row r="51" customFormat="false" ht="26.85" hidden="false" customHeight="false" outlineLevel="0" collapsed="false">
      <c r="A51" s="24" t="s">
        <v>9462</v>
      </c>
      <c r="B51" s="24" t="s">
        <v>9463</v>
      </c>
    </row>
    <row r="53" customFormat="false" ht="16.4" hidden="false" customHeight="false" outlineLevel="0" collapsed="false">
      <c r="A53" s="31" t="s">
        <v>9464</v>
      </c>
      <c r="B53" s="4"/>
      <c r="C53" s="4"/>
      <c r="D53" s="4"/>
    </row>
    <row r="54" customFormat="false" ht="15" hidden="false" customHeight="false" outlineLevel="0" collapsed="false">
      <c r="A54" s="41" t="s">
        <v>9465</v>
      </c>
      <c r="B54" s="41" t="s">
        <v>9447</v>
      </c>
      <c r="C54" s="41" t="s">
        <v>9466</v>
      </c>
    </row>
    <row r="55" customFormat="false" ht="15" hidden="false" customHeight="false" outlineLevel="0" collapsed="false">
      <c r="A55" s="29" t="s">
        <v>9467</v>
      </c>
      <c r="B55" s="24" t="s">
        <v>9468</v>
      </c>
      <c r="C55" s="24" t="s">
        <v>9469</v>
      </c>
    </row>
    <row r="56" customFormat="false" ht="15" hidden="false" customHeight="false" outlineLevel="0" collapsed="false">
      <c r="A56" s="29" t="s">
        <v>9470</v>
      </c>
      <c r="B56" s="24" t="s">
        <v>9471</v>
      </c>
      <c r="C56" s="24" t="s">
        <v>9469</v>
      </c>
    </row>
    <row r="57" customFormat="false" ht="15" hidden="false" customHeight="false" outlineLevel="0" collapsed="false">
      <c r="A57" s="29" t="s">
        <v>9472</v>
      </c>
      <c r="B57" s="24" t="s">
        <v>9473</v>
      </c>
      <c r="C57" s="24" t="s">
        <v>9469</v>
      </c>
    </row>
    <row r="58" customFormat="false" ht="15" hidden="false" customHeight="false" outlineLevel="0" collapsed="false">
      <c r="A58" s="29" t="s">
        <v>9474</v>
      </c>
      <c r="B58" s="24" t="s">
        <v>9475</v>
      </c>
      <c r="C58" s="24" t="s">
        <v>9476</v>
      </c>
    </row>
    <row r="59" customFormat="false" ht="15" hidden="false" customHeight="false" outlineLevel="0" collapsed="false">
      <c r="A59" s="29" t="s">
        <v>9477</v>
      </c>
      <c r="B59" s="24" t="s">
        <v>9478</v>
      </c>
      <c r="C59" s="24" t="s">
        <v>9476</v>
      </c>
    </row>
    <row r="60" customFormat="false" ht="26.85" hidden="false" customHeight="false" outlineLevel="0" collapsed="false">
      <c r="A60" s="29" t="s">
        <v>9479</v>
      </c>
      <c r="B60" s="29" t="s">
        <v>9480</v>
      </c>
      <c r="C60" s="24" t="s">
        <v>9481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9482</v>
      </c>
    </row>
    <row r="2" customFormat="false" ht="15" hidden="false" customHeight="false" outlineLevel="0" collapsed="false">
      <c r="A2" s="45" t="s">
        <v>9483</v>
      </c>
    </row>
    <row r="4" customFormat="false" ht="16.4" hidden="false" customHeight="false" outlineLevel="0" collapsed="false">
      <c r="A4" s="31" t="s">
        <v>9484</v>
      </c>
      <c r="B4" s="4"/>
      <c r="C4" s="4"/>
      <c r="D4" s="4"/>
    </row>
    <row r="5" customFormat="false" ht="15" hidden="false" customHeight="false" outlineLevel="0" collapsed="false">
      <c r="A5" s="41" t="s">
        <v>9485</v>
      </c>
      <c r="B5" s="41" t="s">
        <v>9447</v>
      </c>
      <c r="C5" s="41" t="s">
        <v>9486</v>
      </c>
      <c r="D5" s="41" t="s">
        <v>9487</v>
      </c>
    </row>
    <row r="6" customFormat="false" ht="15" hidden="false" customHeight="false" outlineLevel="0" collapsed="false">
      <c r="A6" s="29" t="s">
        <v>9488</v>
      </c>
      <c r="B6" s="24" t="s">
        <v>9489</v>
      </c>
      <c r="C6" s="24" t="s">
        <v>9490</v>
      </c>
      <c r="D6" s="29" t="s">
        <v>9491</v>
      </c>
    </row>
    <row r="7" customFormat="false" ht="15" hidden="false" customHeight="false" outlineLevel="0" collapsed="false">
      <c r="A7" s="29" t="s">
        <v>9492</v>
      </c>
      <c r="B7" s="24" t="s">
        <v>9493</v>
      </c>
      <c r="C7" s="24" t="s">
        <v>9494</v>
      </c>
      <c r="D7" s="29" t="s">
        <v>9495</v>
      </c>
    </row>
    <row r="8" customFormat="false" ht="15" hidden="false" customHeight="false" outlineLevel="0" collapsed="false">
      <c r="A8" s="29" t="s">
        <v>9496</v>
      </c>
      <c r="B8" s="24" t="s">
        <v>9497</v>
      </c>
      <c r="C8" s="24" t="s">
        <v>104</v>
      </c>
      <c r="D8" s="29" t="s">
        <v>9498</v>
      </c>
    </row>
    <row r="9" customFormat="false" ht="15" hidden="false" customHeight="false" outlineLevel="0" collapsed="false">
      <c r="A9" s="29" t="s">
        <v>9499</v>
      </c>
      <c r="B9" s="24" t="s">
        <v>9500</v>
      </c>
      <c r="C9" s="24" t="s">
        <v>108</v>
      </c>
      <c r="D9" s="29" t="s">
        <v>9491</v>
      </c>
    </row>
    <row r="10" customFormat="false" ht="15" hidden="false" customHeight="false" outlineLevel="0" collapsed="false">
      <c r="A10" s="29" t="s">
        <v>9501</v>
      </c>
      <c r="B10" s="24" t="s">
        <v>9502</v>
      </c>
      <c r="C10" s="24" t="s">
        <v>109</v>
      </c>
      <c r="D10" s="29" t="s">
        <v>9491</v>
      </c>
    </row>
    <row r="11" customFormat="false" ht="15" hidden="false" customHeight="false" outlineLevel="0" collapsed="false">
      <c r="A11" s="29" t="s">
        <v>9503</v>
      </c>
      <c r="B11" s="24" t="s">
        <v>9504</v>
      </c>
      <c r="C11" s="24" t="s">
        <v>117</v>
      </c>
      <c r="D11" s="29" t="s">
        <v>9491</v>
      </c>
    </row>
    <row r="12" customFormat="false" ht="15" hidden="false" customHeight="false" outlineLevel="0" collapsed="false">
      <c r="A12" s="24" t="s">
        <v>9505</v>
      </c>
      <c r="B12" s="24" t="s">
        <v>9506</v>
      </c>
      <c r="C12" s="29" t="s">
        <v>8874</v>
      </c>
      <c r="D12" s="29" t="s">
        <v>9507</v>
      </c>
    </row>
    <row r="14" customFormat="false" ht="16.4" hidden="false" customHeight="false" outlineLevel="0" collapsed="false">
      <c r="A14" s="31" t="s">
        <v>9508</v>
      </c>
      <c r="B14" s="4"/>
      <c r="C14" s="4"/>
      <c r="D14" s="4"/>
    </row>
    <row r="15" customFormat="false" ht="15" hidden="false" customHeight="false" outlineLevel="0" collapsed="false">
      <c r="A15" s="41" t="s">
        <v>9485</v>
      </c>
      <c r="B15" s="41" t="s">
        <v>9447</v>
      </c>
      <c r="C15" s="41" t="s">
        <v>9486</v>
      </c>
      <c r="D15" s="41" t="s">
        <v>9509</v>
      </c>
    </row>
    <row r="16" customFormat="false" ht="15" hidden="false" customHeight="false" outlineLevel="0" collapsed="false">
      <c r="A16" s="24" t="s">
        <v>9510</v>
      </c>
      <c r="B16" s="24" t="s">
        <v>9511</v>
      </c>
      <c r="C16" s="29" t="s">
        <v>9512</v>
      </c>
      <c r="D16" s="24" t="s">
        <v>9513</v>
      </c>
    </row>
    <row r="17" customFormat="false" ht="26.85" hidden="false" customHeight="false" outlineLevel="0" collapsed="false">
      <c r="A17" s="24" t="s">
        <v>9514</v>
      </c>
      <c r="B17" s="29" t="s">
        <v>9515</v>
      </c>
      <c r="C17" s="29" t="s">
        <v>9516</v>
      </c>
      <c r="D17" s="24" t="s">
        <v>9517</v>
      </c>
    </row>
    <row r="18" customFormat="false" ht="15" hidden="false" customHeight="false" outlineLevel="0" collapsed="false">
      <c r="A18" s="24" t="s">
        <v>9518</v>
      </c>
      <c r="B18" s="29" t="s">
        <v>9519</v>
      </c>
      <c r="C18" s="29" t="s">
        <v>8874</v>
      </c>
      <c r="D18" s="24" t="s">
        <v>9520</v>
      </c>
    </row>
    <row r="19" customFormat="false" ht="15" hidden="false" customHeight="false" outlineLevel="0" collapsed="false">
      <c r="A19" s="24" t="s">
        <v>9521</v>
      </c>
      <c r="B19" s="24" t="s">
        <v>9522</v>
      </c>
      <c r="C19" s="29" t="s">
        <v>9523</v>
      </c>
      <c r="D19" s="24" t="s">
        <v>9524</v>
      </c>
    </row>
    <row r="20" customFormat="false" ht="15" hidden="false" customHeight="false" outlineLevel="0" collapsed="false">
      <c r="A20" s="24" t="s">
        <v>9525</v>
      </c>
      <c r="B20" s="24" t="s">
        <v>9526</v>
      </c>
      <c r="C20" s="29" t="s">
        <v>8874</v>
      </c>
      <c r="D20" s="29" t="s">
        <v>8874</v>
      </c>
    </row>
    <row r="22" customFormat="false" ht="16.4" hidden="false" customHeight="false" outlineLevel="0" collapsed="false">
      <c r="A22" s="31" t="s">
        <v>9527</v>
      </c>
      <c r="B22" s="4"/>
      <c r="C22" s="4"/>
      <c r="D22" s="4"/>
    </row>
    <row r="23" customFormat="false" ht="15" hidden="false" customHeight="false" outlineLevel="0" collapsed="false">
      <c r="A23" s="41" t="s">
        <v>9528</v>
      </c>
      <c r="B23" s="41" t="s">
        <v>9529</v>
      </c>
      <c r="C23" s="41" t="s">
        <v>9530</v>
      </c>
      <c r="D23" s="41" t="s">
        <v>9531</v>
      </c>
    </row>
    <row r="24" customFormat="false" ht="26.85" hidden="false" customHeight="false" outlineLevel="0" collapsed="false">
      <c r="A24" s="24" t="s">
        <v>9532</v>
      </c>
      <c r="B24" s="29" t="s">
        <v>9533</v>
      </c>
      <c r="C24" s="24" t="s">
        <v>9534</v>
      </c>
      <c r="D24" s="24" t="s">
        <v>9535</v>
      </c>
    </row>
    <row r="25" customFormat="false" ht="26.85" hidden="false" customHeight="false" outlineLevel="0" collapsed="false">
      <c r="A25" s="24" t="s">
        <v>9536</v>
      </c>
      <c r="B25" s="29" t="s">
        <v>9537</v>
      </c>
      <c r="C25" s="24" t="s">
        <v>9538</v>
      </c>
      <c r="D25" s="24" t="s">
        <v>9539</v>
      </c>
    </row>
    <row r="26" customFormat="false" ht="23.85" hidden="false" customHeight="false" outlineLevel="0" collapsed="false">
      <c r="A26" s="24" t="s">
        <v>9540</v>
      </c>
      <c r="B26" s="29" t="s">
        <v>9541</v>
      </c>
      <c r="C26" s="24" t="s">
        <v>9542</v>
      </c>
      <c r="D26" s="24" t="s">
        <v>9543</v>
      </c>
    </row>
    <row r="27" customFormat="false" ht="15" hidden="false" customHeight="false" outlineLevel="0" collapsed="false">
      <c r="A27" s="24" t="s">
        <v>9544</v>
      </c>
      <c r="B27" s="29" t="s">
        <v>9545</v>
      </c>
      <c r="C27" s="24" t="s">
        <v>9546</v>
      </c>
      <c r="D27" s="24" t="s">
        <v>9543</v>
      </c>
    </row>
    <row r="28" customFormat="false" ht="23.85" hidden="false" customHeight="false" outlineLevel="0" collapsed="false">
      <c r="A28" s="24" t="s">
        <v>9547</v>
      </c>
      <c r="B28" s="29" t="s">
        <v>9548</v>
      </c>
      <c r="C28" s="24" t="s">
        <v>9549</v>
      </c>
      <c r="D28" s="24" t="s">
        <v>9535</v>
      </c>
    </row>
    <row r="30" customFormat="false" ht="16.4" hidden="false" customHeight="false" outlineLevel="0" collapsed="false">
      <c r="A30" s="31" t="s">
        <v>9550</v>
      </c>
      <c r="B30" s="4"/>
      <c r="C30" s="4"/>
      <c r="D30" s="4"/>
    </row>
    <row r="31" customFormat="false" ht="15" hidden="false" customHeight="false" outlineLevel="0" collapsed="false">
      <c r="A31" s="41" t="s">
        <v>9342</v>
      </c>
      <c r="B31" s="41" t="s">
        <v>9551</v>
      </c>
      <c r="C31" s="41" t="s">
        <v>122</v>
      </c>
    </row>
    <row r="32" customFormat="false" ht="26.85" hidden="false" customHeight="false" outlineLevel="0" collapsed="false">
      <c r="A32" s="24" t="s">
        <v>9552</v>
      </c>
      <c r="B32" s="29" t="s">
        <v>9553</v>
      </c>
      <c r="C32" s="24" t="s">
        <v>9554</v>
      </c>
    </row>
    <row r="33" customFormat="false" ht="26.85" hidden="false" customHeight="false" outlineLevel="0" collapsed="false">
      <c r="A33" s="24" t="s">
        <v>9555</v>
      </c>
      <c r="B33" s="29" t="s">
        <v>9556</v>
      </c>
      <c r="C33" s="24" t="s">
        <v>9557</v>
      </c>
    </row>
    <row r="34" customFormat="false" ht="15" hidden="false" customHeight="false" outlineLevel="0" collapsed="false">
      <c r="A34" s="24" t="s">
        <v>9558</v>
      </c>
      <c r="B34" s="29" t="s">
        <v>9559</v>
      </c>
      <c r="C34" s="24" t="s">
        <v>9560</v>
      </c>
    </row>
    <row r="35" customFormat="false" ht="15" hidden="false" customHeight="false" outlineLevel="0" collapsed="false">
      <c r="A35" s="24" t="s">
        <v>9561</v>
      </c>
      <c r="B35" s="24" t="s">
        <v>9562</v>
      </c>
      <c r="C35" s="24" t="s">
        <v>9563</v>
      </c>
    </row>
    <row r="36" customFormat="false" ht="15" hidden="false" customHeight="false" outlineLevel="0" collapsed="false">
      <c r="A36" s="24" t="s">
        <v>9564</v>
      </c>
      <c r="B36" s="24" t="s">
        <v>9565</v>
      </c>
      <c r="C36" s="24" t="s">
        <v>9566</v>
      </c>
    </row>
    <row r="37" customFormat="false" ht="15" hidden="false" customHeight="false" outlineLevel="0" collapsed="false">
      <c r="A37" s="24" t="s">
        <v>9567</v>
      </c>
      <c r="B37" s="24" t="s">
        <v>9568</v>
      </c>
      <c r="C37" s="24" t="s">
        <v>9569</v>
      </c>
    </row>
    <row r="39" customFormat="false" ht="16.4" hidden="false" customHeight="false" outlineLevel="0" collapsed="false">
      <c r="A39" s="31" t="s">
        <v>9570</v>
      </c>
      <c r="B39" s="4"/>
      <c r="C39" s="4"/>
      <c r="D39" s="4"/>
    </row>
    <row r="40" customFormat="false" ht="15" hidden="false" customHeight="false" outlineLevel="0" collapsed="false">
      <c r="A40" s="41" t="s">
        <v>9342</v>
      </c>
      <c r="B40" s="41" t="s">
        <v>9571</v>
      </c>
      <c r="C40" s="41" t="s">
        <v>9572</v>
      </c>
    </row>
    <row r="41" customFormat="false" ht="15" hidden="false" customHeight="false" outlineLevel="0" collapsed="false">
      <c r="A41" s="24" t="s">
        <v>106</v>
      </c>
      <c r="B41" s="29" t="s">
        <v>9573</v>
      </c>
      <c r="C41" s="29" t="s">
        <v>9574</v>
      </c>
    </row>
    <row r="42" customFormat="false" ht="15" hidden="false" customHeight="false" outlineLevel="0" collapsed="false">
      <c r="A42" s="24" t="s">
        <v>9525</v>
      </c>
      <c r="B42" s="24" t="s">
        <v>9575</v>
      </c>
      <c r="C42" s="29" t="s">
        <v>8874</v>
      </c>
    </row>
    <row r="43" customFormat="false" ht="26.85" hidden="false" customHeight="false" outlineLevel="0" collapsed="false">
      <c r="A43" s="24" t="s">
        <v>9576</v>
      </c>
      <c r="B43" s="29" t="s">
        <v>9577</v>
      </c>
      <c r="C43" s="29" t="s">
        <v>9578</v>
      </c>
    </row>
    <row r="44" customFormat="false" ht="15" hidden="false" customHeight="false" outlineLevel="0" collapsed="false">
      <c r="A44" s="24" t="s">
        <v>9579</v>
      </c>
      <c r="B44" s="29" t="s">
        <v>9580</v>
      </c>
      <c r="C44" s="24" t="s">
        <v>9581</v>
      </c>
    </row>
    <row r="45" customFormat="false" ht="15" hidden="false" customHeight="false" outlineLevel="0" collapsed="false">
      <c r="A45" s="24" t="s">
        <v>9582</v>
      </c>
      <c r="B45" s="24" t="s">
        <v>9583</v>
      </c>
      <c r="C45" s="29" t="s">
        <v>8874</v>
      </c>
    </row>
    <row r="47" customFormat="false" ht="16.4" hidden="false" customHeight="false" outlineLevel="0" collapsed="false">
      <c r="A47" s="31" t="s">
        <v>9584</v>
      </c>
      <c r="B47" s="4"/>
      <c r="C47" s="4"/>
      <c r="D47" s="4"/>
    </row>
    <row r="48" customFormat="false" ht="15" hidden="false" customHeight="false" outlineLevel="0" collapsed="false">
      <c r="A48" s="41" t="s">
        <v>9356</v>
      </c>
      <c r="B48" s="41" t="s">
        <v>9342</v>
      </c>
    </row>
    <row r="49" customFormat="false" ht="15" hidden="false" customHeight="false" outlineLevel="0" collapsed="false">
      <c r="A49" s="29" t="s">
        <v>9360</v>
      </c>
      <c r="B49" s="24" t="s">
        <v>9585</v>
      </c>
    </row>
    <row r="50" customFormat="false" ht="15" hidden="false" customHeight="false" outlineLevel="0" collapsed="false">
      <c r="A50" s="29" t="s">
        <v>9360</v>
      </c>
      <c r="B50" s="24" t="s">
        <v>9586</v>
      </c>
    </row>
    <row r="51" customFormat="false" ht="15" hidden="false" customHeight="false" outlineLevel="0" collapsed="false">
      <c r="A51" s="29" t="s">
        <v>9360</v>
      </c>
      <c r="B51" s="24" t="s">
        <v>9587</v>
      </c>
    </row>
    <row r="52" customFormat="false" ht="15" hidden="false" customHeight="false" outlineLevel="0" collapsed="false">
      <c r="A52" s="29" t="s">
        <v>9360</v>
      </c>
      <c r="B52" s="24" t="s">
        <v>9588</v>
      </c>
    </row>
    <row r="53" customFormat="false" ht="26.85" hidden="false" customHeight="false" outlineLevel="0" collapsed="false">
      <c r="A53" s="29" t="s">
        <v>9360</v>
      </c>
      <c r="B53" s="29" t="s">
        <v>9589</v>
      </c>
    </row>
    <row r="54" customFormat="false" ht="15" hidden="false" customHeight="false" outlineLevel="0" collapsed="false">
      <c r="A54" s="29" t="s">
        <v>9360</v>
      </c>
      <c r="B54" s="24" t="s">
        <v>9590</v>
      </c>
    </row>
    <row r="56" customFormat="false" ht="16.4" hidden="false" customHeight="false" outlineLevel="0" collapsed="false">
      <c r="A56" s="31" t="s">
        <v>9591</v>
      </c>
      <c r="B56" s="4"/>
      <c r="C56" s="4"/>
      <c r="D56" s="4"/>
    </row>
    <row r="57" customFormat="false" ht="15" hidden="false" customHeight="false" outlineLevel="0" collapsed="false">
      <c r="A57" s="41" t="s">
        <v>9356</v>
      </c>
      <c r="B57" s="41" t="s">
        <v>9342</v>
      </c>
    </row>
    <row r="58" customFormat="false" ht="15" hidden="false" customHeight="false" outlineLevel="0" collapsed="false">
      <c r="A58" s="29" t="s">
        <v>9360</v>
      </c>
      <c r="B58" s="24" t="s">
        <v>9592</v>
      </c>
    </row>
    <row r="59" customFormat="false" ht="15" hidden="false" customHeight="false" outlineLevel="0" collapsed="false">
      <c r="A59" s="29" t="s">
        <v>9360</v>
      </c>
      <c r="B59" s="24" t="s">
        <v>9593</v>
      </c>
    </row>
    <row r="60" customFormat="false" ht="15" hidden="false" customHeight="false" outlineLevel="0" collapsed="false">
      <c r="A60" s="29" t="s">
        <v>9360</v>
      </c>
      <c r="B60" s="24" t="s">
        <v>9594</v>
      </c>
    </row>
    <row r="61" customFormat="false" ht="15" hidden="false" customHeight="false" outlineLevel="0" collapsed="false">
      <c r="A61" s="29" t="s">
        <v>9360</v>
      </c>
      <c r="B61" s="24" t="s">
        <v>9595</v>
      </c>
    </row>
    <row r="62" customFormat="false" ht="15" hidden="false" customHeight="false" outlineLevel="0" collapsed="false">
      <c r="A62" s="29" t="s">
        <v>9360</v>
      </c>
      <c r="B62" s="24" t="s">
        <v>9596</v>
      </c>
    </row>
    <row r="63" customFormat="false" ht="15" hidden="false" customHeight="false" outlineLevel="0" collapsed="false">
      <c r="A63" s="29" t="s">
        <v>9360</v>
      </c>
      <c r="B63" s="24" t="s">
        <v>9597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9598</v>
      </c>
      <c r="B1" s="16" t="s">
        <v>9599</v>
      </c>
      <c r="C1" s="16" t="s">
        <v>9600</v>
      </c>
      <c r="D1" s="16" t="s">
        <v>9601</v>
      </c>
    </row>
    <row r="2" customFormat="false" ht="26.85" hidden="false" customHeight="false" outlineLevel="0" collapsed="false">
      <c r="A2" s="24" t="s">
        <v>9602</v>
      </c>
      <c r="B2" s="24" t="s">
        <v>9603</v>
      </c>
      <c r="C2" s="30" t="s">
        <v>9604</v>
      </c>
      <c r="D2" s="24" t="s">
        <v>9605</v>
      </c>
    </row>
    <row r="3" customFormat="false" ht="52.2" hidden="false" customHeight="false" outlineLevel="0" collapsed="false">
      <c r="A3" s="24" t="s">
        <v>9606</v>
      </c>
      <c r="B3" s="24" t="s">
        <v>9607</v>
      </c>
      <c r="C3" s="30" t="s">
        <v>9608</v>
      </c>
      <c r="D3" s="24" t="s">
        <v>9609</v>
      </c>
    </row>
    <row r="4" customFormat="false" ht="39.55" hidden="false" customHeight="false" outlineLevel="0" collapsed="false">
      <c r="A4" s="24" t="s">
        <v>9610</v>
      </c>
      <c r="B4" s="24" t="s">
        <v>9611</v>
      </c>
      <c r="C4" s="30" t="s">
        <v>9612</v>
      </c>
      <c r="D4" s="24" t="s">
        <v>9613</v>
      </c>
    </row>
    <row r="5" customFormat="false" ht="26.85" hidden="false" customHeight="false" outlineLevel="0" collapsed="false">
      <c r="A5" s="24" t="s">
        <v>9614</v>
      </c>
      <c r="B5" s="24" t="s">
        <v>9615</v>
      </c>
      <c r="C5" s="30" t="s">
        <v>9616</v>
      </c>
      <c r="D5" s="24" t="s">
        <v>9617</v>
      </c>
    </row>
    <row r="6" customFormat="false" ht="26.85" hidden="false" customHeight="false" outlineLevel="0" collapsed="false">
      <c r="A6" s="24" t="s">
        <v>9618</v>
      </c>
      <c r="B6" s="24" t="s">
        <v>9619</v>
      </c>
      <c r="C6" s="30" t="s">
        <v>9620</v>
      </c>
      <c r="D6" s="24" t="s">
        <v>9621</v>
      </c>
    </row>
    <row r="7" customFormat="false" ht="26.85" hidden="false" customHeight="false" outlineLevel="0" collapsed="false">
      <c r="A7" s="24" t="s">
        <v>9622</v>
      </c>
      <c r="B7" s="24" t="s">
        <v>9623</v>
      </c>
      <c r="C7" s="30" t="s">
        <v>9624</v>
      </c>
      <c r="D7" s="24" t="s">
        <v>9625</v>
      </c>
    </row>
    <row r="8" customFormat="false" ht="26.85" hidden="false" customHeight="false" outlineLevel="0" collapsed="false">
      <c r="A8" s="24" t="s">
        <v>9626</v>
      </c>
      <c r="B8" s="24" t="s">
        <v>9627</v>
      </c>
      <c r="C8" s="30" t="s">
        <v>9628</v>
      </c>
      <c r="D8" s="24" t="s">
        <v>9629</v>
      </c>
    </row>
    <row r="9" customFormat="false" ht="26.85" hidden="false" customHeight="false" outlineLevel="0" collapsed="false">
      <c r="A9" s="24" t="s">
        <v>9630</v>
      </c>
      <c r="B9" s="24" t="s">
        <v>9631</v>
      </c>
      <c r="C9" s="30" t="s">
        <v>9632</v>
      </c>
      <c r="D9" s="24" t="s">
        <v>9633</v>
      </c>
    </row>
    <row r="10" customFormat="false" ht="39.55" hidden="false" customHeight="false" outlineLevel="0" collapsed="false">
      <c r="A10" s="24" t="s">
        <v>9634</v>
      </c>
      <c r="B10" s="24" t="s">
        <v>9635</v>
      </c>
      <c r="C10" s="30" t="s">
        <v>9636</v>
      </c>
      <c r="D10" s="24" t="s">
        <v>9637</v>
      </c>
    </row>
    <row r="11" customFormat="false" ht="39.55" hidden="false" customHeight="false" outlineLevel="0" collapsed="false">
      <c r="A11" s="24" t="s">
        <v>9638</v>
      </c>
      <c r="B11" s="24" t="s">
        <v>8015</v>
      </c>
      <c r="C11" s="30" t="s">
        <v>9639</v>
      </c>
      <c r="D11" s="24" t="s">
        <v>9640</v>
      </c>
    </row>
    <row r="12" customFormat="false" ht="39.55" hidden="false" customHeight="false" outlineLevel="0" collapsed="false">
      <c r="A12" s="24" t="s">
        <v>9641</v>
      </c>
      <c r="B12" s="24" t="s">
        <v>9642</v>
      </c>
      <c r="C12" s="30" t="s">
        <v>9643</v>
      </c>
      <c r="D12" s="24" t="s">
        <v>9644</v>
      </c>
    </row>
    <row r="13" customFormat="false" ht="39.55" hidden="false" customHeight="false" outlineLevel="0" collapsed="false">
      <c r="A13" s="24" t="s">
        <v>9645</v>
      </c>
      <c r="B13" s="24" t="s">
        <v>9646</v>
      </c>
      <c r="C13" s="30" t="s">
        <v>9647</v>
      </c>
      <c r="D13" s="24" t="s">
        <v>9648</v>
      </c>
    </row>
    <row r="14" customFormat="false" ht="26.85" hidden="false" customHeight="false" outlineLevel="0" collapsed="false">
      <c r="A14" s="24" t="s">
        <v>9649</v>
      </c>
      <c r="B14" s="24" t="s">
        <v>9650</v>
      </c>
      <c r="C14" s="30" t="s">
        <v>9651</v>
      </c>
      <c r="D14" s="24" t="s">
        <v>9652</v>
      </c>
    </row>
    <row r="16" customFormat="false" ht="15" hidden="false" customHeight="false" outlineLevel="0" collapsed="false">
      <c r="A16" s="7" t="s">
        <v>9653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20.85" hidden="false" customHeight="false" outlineLevel="0" collapsed="false">
      <c r="A1" s="1" t="s">
        <v>9654</v>
      </c>
    </row>
    <row r="2" customFormat="false" ht="15" hidden="false" customHeight="false" outlineLevel="0" collapsed="false">
      <c r="A2" s="2" t="s">
        <v>9655</v>
      </c>
    </row>
    <row r="4" customFormat="false" ht="15" hidden="false" customHeight="false" outlineLevel="0" collapsed="false">
      <c r="A4" s="41" t="s">
        <v>9656</v>
      </c>
      <c r="B4" s="41" t="s">
        <v>9657</v>
      </c>
      <c r="C4" s="41" t="s">
        <v>122</v>
      </c>
    </row>
    <row r="5" customFormat="false" ht="15" hidden="false" customHeight="false" outlineLevel="0" collapsed="false">
      <c r="A5" s="24" t="s">
        <v>8871</v>
      </c>
      <c r="B5" s="24" t="s">
        <v>9658</v>
      </c>
      <c r="C5" s="24" t="s">
        <v>9659</v>
      </c>
    </row>
    <row r="6" customFormat="false" ht="15" hidden="false" customHeight="false" outlineLevel="0" collapsed="false">
      <c r="A6" s="24" t="s">
        <v>9660</v>
      </c>
      <c r="B6" s="24" t="s">
        <v>9661</v>
      </c>
      <c r="C6" s="24" t="s">
        <v>9662</v>
      </c>
    </row>
    <row r="7" customFormat="false" ht="15" hidden="false" customHeight="false" outlineLevel="0" collapsed="false">
      <c r="A7" s="24" t="s">
        <v>8889</v>
      </c>
      <c r="B7" s="24" t="s">
        <v>9663</v>
      </c>
      <c r="C7" s="24"/>
    </row>
    <row r="8" customFormat="false" ht="15" hidden="false" customHeight="false" outlineLevel="0" collapsed="false">
      <c r="A8" s="24" t="s">
        <v>9664</v>
      </c>
      <c r="B8" s="24" t="s">
        <v>9665</v>
      </c>
      <c r="C8" s="24" t="s">
        <v>9666</v>
      </c>
    </row>
    <row r="9" customFormat="false" ht="15" hidden="false" customHeight="false" outlineLevel="0" collapsed="false">
      <c r="A9" s="24" t="s">
        <v>9667</v>
      </c>
      <c r="B9" s="24" t="s">
        <v>9668</v>
      </c>
      <c r="C9" s="24" t="s">
        <v>9669</v>
      </c>
    </row>
    <row r="10" customFormat="false" ht="15" hidden="false" customHeight="false" outlineLevel="0" collapsed="false">
      <c r="A10" s="24" t="s">
        <v>9670</v>
      </c>
      <c r="B10" s="24" t="s">
        <v>9671</v>
      </c>
      <c r="C10" s="24"/>
    </row>
    <row r="11" customFormat="false" ht="15" hidden="false" customHeight="false" outlineLevel="0" collapsed="false">
      <c r="A11" s="24" t="s">
        <v>9672</v>
      </c>
      <c r="B11" s="24" t="s">
        <v>9673</v>
      </c>
      <c r="C11" s="24" t="s">
        <v>9674</v>
      </c>
    </row>
    <row r="12" customFormat="false" ht="15" hidden="false" customHeight="false" outlineLevel="0" collapsed="false">
      <c r="A12" s="24" t="s">
        <v>9675</v>
      </c>
      <c r="B12" s="24" t="s">
        <v>9676</v>
      </c>
      <c r="C12" s="24"/>
    </row>
    <row r="13" customFormat="false" ht="15" hidden="false" customHeight="false" outlineLevel="0" collapsed="false">
      <c r="A13" s="24" t="s">
        <v>9030</v>
      </c>
      <c r="B13" s="24" t="s">
        <v>9677</v>
      </c>
      <c r="C13" s="24" t="s">
        <v>9662</v>
      </c>
    </row>
    <row r="14" customFormat="false" ht="15" hidden="false" customHeight="false" outlineLevel="0" collapsed="false">
      <c r="A14" s="24" t="s">
        <v>824</v>
      </c>
      <c r="B14" s="24" t="s">
        <v>9678</v>
      </c>
      <c r="C14" s="24" t="s">
        <v>9679</v>
      </c>
    </row>
    <row r="15" customFormat="false" ht="15" hidden="false" customHeight="false" outlineLevel="0" collapsed="false">
      <c r="A15" s="24" t="s">
        <v>9680</v>
      </c>
      <c r="B15" s="24" t="s">
        <v>3881</v>
      </c>
      <c r="C15" s="24" t="s">
        <v>9681</v>
      </c>
    </row>
    <row r="16" customFormat="false" ht="15" hidden="false" customHeight="false" outlineLevel="0" collapsed="false">
      <c r="A16" s="24" t="s">
        <v>9682</v>
      </c>
      <c r="B16" s="24" t="s">
        <v>9683</v>
      </c>
      <c r="C16" s="24"/>
    </row>
    <row r="17" customFormat="false" ht="15" hidden="false" customHeight="false" outlineLevel="0" collapsed="false">
      <c r="A17" s="24" t="s">
        <v>9684</v>
      </c>
      <c r="B17" s="24" t="s">
        <v>9685</v>
      </c>
      <c r="C17" s="24"/>
    </row>
    <row r="18" customFormat="false" ht="15" hidden="false" customHeight="false" outlineLevel="0" collapsed="false">
      <c r="A18" s="24" t="s">
        <v>9686</v>
      </c>
      <c r="B18" s="24" t="s">
        <v>9687</v>
      </c>
      <c r="C18" s="24" t="s">
        <v>9688</v>
      </c>
    </row>
    <row r="19" customFormat="false" ht="15" hidden="false" customHeight="false" outlineLevel="0" collapsed="false">
      <c r="A19" s="24" t="s">
        <v>9689</v>
      </c>
      <c r="B19" s="24" t="s">
        <v>9690</v>
      </c>
      <c r="C19" s="24" t="s">
        <v>9662</v>
      </c>
    </row>
    <row r="20" customFormat="false" ht="15" hidden="false" customHeight="false" outlineLevel="0" collapsed="false">
      <c r="A20" s="24" t="s">
        <v>9691</v>
      </c>
      <c r="B20" s="24" t="s">
        <v>9692</v>
      </c>
      <c r="C20" s="24"/>
    </row>
    <row r="21" customFormat="false" ht="15" hidden="false" customHeight="false" outlineLevel="0" collapsed="false">
      <c r="A21" s="24" t="s">
        <v>9693</v>
      </c>
      <c r="B21" s="24" t="s">
        <v>9694</v>
      </c>
      <c r="C21" s="24" t="s">
        <v>9695</v>
      </c>
    </row>
    <row r="22" customFormat="false" ht="15" hidden="false" customHeight="false" outlineLevel="0" collapsed="false">
      <c r="A22" s="24" t="s">
        <v>9696</v>
      </c>
      <c r="B22" s="24" t="s">
        <v>9697</v>
      </c>
      <c r="C22" s="24" t="s">
        <v>9698</v>
      </c>
    </row>
    <row r="23" customFormat="false" ht="15" hidden="false" customHeight="false" outlineLevel="0" collapsed="false">
      <c r="A23" s="24" t="s">
        <v>9699</v>
      </c>
      <c r="B23" s="24" t="s">
        <v>9700</v>
      </c>
      <c r="C23" s="24" t="s">
        <v>9701</v>
      </c>
    </row>
    <row r="24" customFormat="false" ht="15" hidden="false" customHeight="false" outlineLevel="0" collapsed="false">
      <c r="A24" s="24" t="s">
        <v>9702</v>
      </c>
      <c r="B24" s="24" t="s">
        <v>9703</v>
      </c>
      <c r="C24" s="24"/>
    </row>
    <row r="25" customFormat="false" ht="15" hidden="false" customHeight="false" outlineLevel="0" collapsed="false">
      <c r="A25" s="24" t="s">
        <v>9704</v>
      </c>
      <c r="B25" s="24" t="s">
        <v>9705</v>
      </c>
      <c r="C25" s="24" t="s">
        <v>9706</v>
      </c>
    </row>
    <row r="26" customFormat="false" ht="15" hidden="false" customHeight="false" outlineLevel="0" collapsed="false">
      <c r="A26" s="24" t="s">
        <v>9707</v>
      </c>
      <c r="B26" s="24" t="s">
        <v>9708</v>
      </c>
      <c r="C26" s="24" t="s">
        <v>9709</v>
      </c>
    </row>
    <row r="27" customFormat="false" ht="15" hidden="false" customHeight="false" outlineLevel="0" collapsed="false">
      <c r="A27" s="24" t="s">
        <v>9223</v>
      </c>
      <c r="B27" s="24" t="s">
        <v>9710</v>
      </c>
      <c r="C27" s="24" t="s">
        <v>9711</v>
      </c>
    </row>
    <row r="28" customFormat="false" ht="26.85" hidden="false" customHeight="false" outlineLevel="0" collapsed="false">
      <c r="A28" s="24" t="s">
        <v>9712</v>
      </c>
      <c r="B28" s="24" t="s">
        <v>9713</v>
      </c>
      <c r="C28" s="24" t="s">
        <v>9662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2026-10-22T15:31:51Z</dcterms:created>
  <dc:creator>openpyxl</dc:creator>
  <dc:description/>
  <dc:language>en-US</dc:language>
  <cp:lastModifiedBy/>
  <dcterms:modified xsi:type="dcterms:W3CDTF">2026-10-22T15:31:54Z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