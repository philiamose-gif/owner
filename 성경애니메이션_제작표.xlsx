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B타입_롱폼" sheetId="3" state="visible" r:id="rId5"/>
    <sheet name="권별요약" sheetId="4" state="visible" r:id="rId6"/>
    <sheet name="인물_캐릭터시트" sheetId="5" state="visible" r:id="rId7"/>
    <sheet name="교리감수_기준" sheetId="6" state="visible" r:id="rId8"/>
    <sheet name="제작템플릿" sheetId="7" state="visible" r:id="rId9"/>
    <sheet name="절기특집" sheetId="8" state="visible" r:id="rId10"/>
    <sheet name="표기통일" sheetId="9" state="visible" r:id="rId11"/>
  </sheets>
  <definedNames>
    <definedName function="false" hidden="true" localSheetId="1" name="_xlnm._FilterDatabase" vbProcedure="false">A타입_제작표!$A$1:$Y$799</definedName>
    <definedName function="false" hidden="true" localSheetId="2" name="_xlnm._FilterDatabase" vbProcedure="false">B타입_롱폼!$A$1:$T$85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A </t>
        </r>
        <r>
          <rPr>
            <sz val="10"/>
            <rFont val="WenQuanYi Zen Hei"/>
            <family val="2"/>
          </rPr>
          <t xml:space="preserve">편수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롱폼용 </t>
        </r>
        <r>
          <rPr>
            <sz val="10"/>
            <rFont val="Arial"/>
            <family val="2"/>
          </rPr>
          <t xml:space="preserve">A </t>
        </r>
        <r>
          <rPr>
            <sz val="10"/>
            <rFont val="WenQuanYi Zen Hei"/>
            <family val="2"/>
          </rPr>
          <t xml:space="preserve">길이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인트로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아웃트로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연결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안내 시트 변수</t>
        </r>
        <r>
          <rPr>
            <sz val="10"/>
            <rFont val="Arial"/>
            <family val="2"/>
          </rPr>
          <t xml:space="preserve">)</t>
        </r>
      </text>
    </comment>
    <comment ref="O1" authorId="0">
      <text>
        <r>
          <rPr>
            <sz val="10"/>
            <rFont val="WenQuanYi Zen Hei"/>
            <family val="2"/>
          </rPr>
          <t xml:space="preserve">해당 </t>
        </r>
        <r>
          <rPr>
            <sz val="10"/>
            <rFont val="Arial"/>
            <family val="2"/>
          </rPr>
          <t xml:space="preserve">B</t>
        </r>
        <r>
          <rPr>
            <sz val="10"/>
            <rFont val="WenQuanYi Zen Hei"/>
            <family val="2"/>
          </rPr>
          <t xml:space="preserve">에 포함된 마지막 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타입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WenQuanYi Zen Hei"/>
            <family val="2"/>
          </rPr>
          <t xml:space="preserve">그 책의 장면이 들어간 </t>
        </r>
        <r>
          <rPr>
            <sz val="10"/>
            <rFont val="Arial"/>
            <family val="2"/>
          </rPr>
          <t xml:space="preserve">B</t>
        </r>
        <r>
          <rPr>
            <sz val="10"/>
            <rFont val="WenQuanYi Zen Hei"/>
            <family val="2"/>
          </rPr>
          <t xml:space="preserve">타입 수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여러 권을 묶은 </t>
        </r>
        <r>
          <rPr>
            <sz val="10"/>
            <rFont val="Arial"/>
            <family val="2"/>
          </rPr>
          <t xml:space="preserve">B</t>
        </r>
        <r>
          <rPr>
            <sz val="10"/>
            <rFont val="WenQuanYi Zen Hei"/>
            <family val="2"/>
          </rPr>
          <t xml:space="preserve">는 각 책에 모두 집계됨</t>
        </r>
      </text>
    </comment>
  </commentList>
</comments>
</file>

<file path=xl/sharedStrings.xml><?xml version="1.0" encoding="utf-8"?>
<sst xmlns="http://schemas.openxmlformats.org/spreadsheetml/2006/main" count="17207" uniqueCount="8836">
  <si>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</si>
  <si>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2026-10-22 | </t>
    </r>
    <r>
      <rPr>
        <sz val="10"/>
        <color rgb="FF595959"/>
        <rFont val="WenQuanYi Zen Hei"/>
        <family val="2"/>
      </rPr>
      <t xml:space="preserve">개역개정 표기 기준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</si>
  <si>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</si>
  <si>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</si>
  <si>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</si>
  <si>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A</t>
    </r>
    <r>
      <rPr>
        <sz val="9"/>
        <color rgb="FF595959"/>
        <rFont val="WenQuanYi Zen Hei"/>
        <family val="2"/>
      </rPr>
      <t xml:space="preserve">타입 시트의 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</si>
  <si>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</si>
  <si>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</si>
  <si>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</si>
  <si>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</si>
  <si>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Arial"/>
        <family val="0"/>
        <charset val="1"/>
      </rPr>
      <t xml:space="preserve">B </t>
    </r>
    <r>
      <rPr>
        <b val="true"/>
        <sz val="10"/>
        <color rgb="FF000000"/>
        <rFont val="WenQuanYi Zen Hei"/>
        <family val="2"/>
      </rPr>
      <t xml:space="preserve">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</si>
  <si>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진행 캐릭터 인트로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중간 질문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아웃트로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초</t>
    </r>
  </si>
  <si>
    <t xml:space="preserve">숏폼 주당 업로드 편수</t>
  </si>
  <si>
    <r>
      <rPr>
        <sz val="9"/>
        <color rgb="FF595959"/>
        <rFont val="WenQuanYi Zen Hei"/>
        <family val="2"/>
      </rPr>
      <t xml:space="preserve">업로드 예정일 계산에 사용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월</t>
    </r>
    <r>
      <rPr>
        <sz val="9"/>
        <color rgb="FF595959"/>
        <rFont val="Arial"/>
        <family val="0"/>
        <charset val="1"/>
      </rPr>
      <t xml:space="preserve">~</t>
    </r>
    <r>
      <rPr>
        <sz val="9"/>
        <color rgb="FF595959"/>
        <rFont val="WenQuanYi Zen Hei"/>
        <family val="2"/>
      </rPr>
      <t xml:space="preserve">금 기준</t>
    </r>
    <r>
      <rPr>
        <sz val="9"/>
        <color rgb="FF595959"/>
        <rFont val="Arial"/>
        <family val="0"/>
        <charset val="1"/>
      </rPr>
      <t xml:space="preserve">)</t>
    </r>
  </si>
  <si>
    <t xml:space="preserve">업로드 시작일</t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</si>
  <si>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실제 시작할 월요일로 바꾸세요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</si>
  <si>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</si>
  <si>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) </t>
    </r>
    <r>
      <rPr>
        <b val="true"/>
        <sz val="10"/>
        <color rgb="FF000000"/>
        <rFont val="WenQuanYi Zen Hei"/>
        <family val="2"/>
      </rPr>
      <t xml:space="preserve">총 편수</t>
    </r>
  </si>
  <si>
    <t xml:space="preserve">편</t>
  </si>
  <si>
    <r>
      <rPr>
        <b val="true"/>
        <sz val="10"/>
        <color rgb="FF000000"/>
        <rFont val="Arial"/>
        <family val="0"/>
        <charset val="1"/>
      </rPr>
      <t xml:space="preserve">B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) </t>
    </r>
    <r>
      <rPr>
        <b val="true"/>
        <sz val="10"/>
        <color rgb="FF000000"/>
        <rFont val="WenQuanYi Zen Hei"/>
        <family val="2"/>
      </rPr>
      <t xml:space="preserve">총 편수</t>
    </r>
  </si>
  <si>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</si>
  <si>
    <r>
      <rPr>
        <b val="true"/>
        <sz val="10"/>
        <color rgb="FF000000"/>
        <rFont val="WenQuanYi Zen Hei"/>
        <family val="2"/>
      </rPr>
      <t xml:space="preserve">신약 </t>
    </r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</si>
  <si>
    <t xml:space="preserve">숏폼 총 분량</t>
  </si>
  <si>
    <t xml:space="preserve">시간</t>
  </si>
  <si>
    <t xml:space="preserve">롱폼 총 분량</t>
  </si>
  <si>
    <t xml:space="preserve">숏폼 완주 기간</t>
  </si>
  <si>
    <t xml:space="preserve">주</t>
  </si>
  <si>
    <r>
      <rPr>
        <b val="true"/>
        <sz val="10"/>
        <color rgb="FF000000"/>
        <rFont val="WenQuanYi Zen Hei"/>
        <family val="2"/>
      </rPr>
      <t xml:space="preserve">완주 예상일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마지막 숏폼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</si>
  <si>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</si>
  <si>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</si>
  <si>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</si>
  <si>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b val="true"/>
        <sz val="10"/>
        <color rgb="FF000000"/>
        <rFont val="Arial"/>
        <family val="0"/>
        <charset val="1"/>
      </rPr>
      <t xml:space="preserve">B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유튜브 롱폼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</si>
  <si>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7~14</t>
    </r>
    <r>
      <rPr>
        <sz val="10"/>
        <color rgb="FF000000"/>
        <rFont val="WenQuanYi Zen Hei"/>
        <family val="2"/>
      </rPr>
      <t xml:space="preserve">편을 하나의 이야기 단위로 묶어 약 </t>
    </r>
    <r>
      <rPr>
        <sz val="10"/>
        <color rgb="FF000000"/>
        <rFont val="Arial"/>
        <family val="0"/>
        <charset val="1"/>
      </rPr>
      <t xml:space="preserve">8~14</t>
    </r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여러 권을 묶은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도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룻기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1~3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소선지서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</si>
  <si>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</si>
  <si>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B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중간 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아웃트로 진행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</si>
  <si>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</si>
  <si>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개만 개역개정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</si>
  <si>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</si>
  <si>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타입에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</si>
  <si>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</si>
  <si>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150</t>
    </r>
    <r>
      <rPr>
        <sz val="10"/>
        <color rgb="FF000000"/>
        <rFont val="WenQuanYi Zen Hei"/>
        <family val="2"/>
      </rPr>
      <t xml:space="preserve">편 중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 구조 순서로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</si>
  <si>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</si>
  <si>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</si>
  <si>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A·B </t>
    </r>
    <r>
      <rPr>
        <sz val="10"/>
        <color rgb="FF000000"/>
        <rFont val="WenQuanYi Zen Hei"/>
        <family val="2"/>
      </rPr>
      <t xml:space="preserve">편수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회차 범위</t>
    </r>
  </si>
  <si>
    <r>
      <rPr>
        <b val="true"/>
        <sz val="10"/>
        <color rgb="FF000000"/>
        <rFont val="Arial"/>
        <family val="0"/>
        <charset val="1"/>
      </rPr>
      <t xml:space="preserve">B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</si>
  <si>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롱폼 목록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진행자 인트로 질문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</si>
  <si>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</si>
  <si>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목록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</si>
  <si>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</si>
  <si>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</si>
  <si>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</si>
  <si>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</si>
  <si>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</si>
  <si>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A·B </t>
    </r>
    <r>
      <rPr>
        <sz val="10"/>
        <color rgb="FF000000"/>
        <rFont val="WenQuanYi Zen Hei"/>
        <family val="2"/>
      </rPr>
      <t xml:space="preserve">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</si>
  <si>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</si>
  <si>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</si>
  <si>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</si>
  <si>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개역개정 기준 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</si>
  <si>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</si>
  <si>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</si>
  <si>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</si>
  <si>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회차</t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</si>
  <si>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</si>
  <si>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타입 제목</t>
    </r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</si>
  <si>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</si>
  <si>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</si>
  <si>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</si>
  <si>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</si>
  <si>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</si>
  <si>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</si>
  <si>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</si>
  <si>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</si>
  <si>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</si>
  <si>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</si>
  <si>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</si>
  <si>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유튜브 제목안</t>
  </si>
  <si>
    <t xml:space="preserve">업로드 주차</t>
  </si>
  <si>
    <t xml:space="preserve">업로드 예정일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</si>
  <si>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</si>
  <si>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</si>
  <si>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</si>
  <si>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</si>
  <si>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</si>
  <si>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다음 편 예고</t>
  </si>
  <si>
    <t xml:space="preserve">A0001</t>
  </si>
  <si>
    <t xml:space="preserve">#0001</t>
  </si>
  <si>
    <t xml:space="preserve">B001</t>
  </si>
  <si>
    <t xml:space="preserve">창조와 타락</t>
  </si>
  <si>
    <t xml:space="preserve">구약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</si>
  <si>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</si>
  <si>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</si>
  <si>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</si>
  <si>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</si>
  <si>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</si>
  <si>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</si>
  <si>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</si>
  <si>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</si>
  <si>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</si>
  <si>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</si>
  <si>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미착수</t>
  </si>
  <si>
    <t xml:space="preserve">A0002</t>
  </si>
  <si>
    <t xml:space="preserve">#0002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</si>
  <si>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</si>
  <si>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</si>
  <si>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</si>
  <si>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</si>
  <si>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</si>
  <si>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</si>
  <si>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</si>
  <si>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</si>
  <si>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A0003</t>
  </si>
  <si>
    <t xml:space="preserve">#0003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</si>
  <si>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</si>
  <si>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</si>
  <si>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</si>
  <si>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</si>
  <si>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</si>
  <si>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</si>
  <si>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A0004</t>
  </si>
  <si>
    <t xml:space="preserve">#0004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</si>
  <si>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</si>
  <si>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</si>
  <si>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</si>
  <si>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</si>
  <si>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</si>
  <si>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</si>
  <si>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</si>
  <si>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</si>
  <si>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A0005</t>
  </si>
  <si>
    <t xml:space="preserve">#0005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</si>
  <si>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</si>
  <si>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</si>
  <si>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</si>
  <si>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</si>
  <si>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</si>
  <si>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</si>
  <si>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</si>
  <si>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</si>
  <si>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A0006</t>
  </si>
  <si>
    <t xml:space="preserve">#0006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</si>
  <si>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</si>
  <si>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</si>
  <si>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</si>
  <si>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</si>
  <si>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</si>
  <si>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</si>
  <si>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A0007</t>
  </si>
  <si>
    <t xml:space="preserve">#0007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</si>
  <si>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</si>
  <si>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</si>
  <si>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</si>
  <si>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</si>
  <si>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</si>
  <si>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</si>
  <si>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</si>
  <si>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</si>
  <si>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A0008</t>
  </si>
  <si>
    <t xml:space="preserve">#0008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</si>
  <si>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</si>
  <si>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</si>
  <si>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</si>
  <si>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</si>
  <si>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</si>
  <si>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</si>
  <si>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</si>
  <si>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t xml:space="preserve">A0009</t>
  </si>
  <si>
    <t xml:space="preserve">#0009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</si>
  <si>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</si>
  <si>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</si>
  <si>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</si>
  <si>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</si>
  <si>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</si>
  <si>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</si>
  <si>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</si>
  <si>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A0010</t>
  </si>
  <si>
    <t xml:space="preserve">#0010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</si>
  <si>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</si>
  <si>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</si>
  <si>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</si>
  <si>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</si>
  <si>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</si>
  <si>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</si>
  <si>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</si>
  <si>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</si>
  <si>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A0011</t>
  </si>
  <si>
    <t xml:space="preserve">#0011</t>
  </si>
  <si>
    <t xml:space="preserve">B002</t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</si>
  <si>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</si>
  <si>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</si>
  <si>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</si>
  <si>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</si>
  <si>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</si>
  <si>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</si>
  <si>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</si>
  <si>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</si>
  <si>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</si>
  <si>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t xml:space="preserve">A0012</t>
  </si>
  <si>
    <t xml:space="preserve">#0012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</si>
  <si>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</si>
  <si>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</si>
  <si>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</si>
  <si>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</si>
  <si>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</si>
  <si>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</si>
  <si>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</si>
  <si>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</si>
  <si>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t xml:space="preserve">A0013</t>
  </si>
  <si>
    <t xml:space="preserve">#0013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</si>
  <si>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</si>
  <si>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</si>
  <si>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</si>
  <si>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</si>
  <si>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</si>
  <si>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</si>
  <si>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</si>
  <si>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A0014</t>
  </si>
  <si>
    <t xml:space="preserve">#0014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</si>
  <si>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</si>
  <si>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</si>
  <si>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</si>
  <si>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</si>
  <si>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</si>
  <si>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</si>
  <si>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</si>
  <si>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</si>
  <si>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t xml:space="preserve">A0015</t>
  </si>
  <si>
    <t xml:space="preserve">#0015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</si>
  <si>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</si>
  <si>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</si>
  <si>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</si>
  <si>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</si>
  <si>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</si>
  <si>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노아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</si>
  <si>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</si>
  <si>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</si>
  <si>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A0016</t>
  </si>
  <si>
    <t xml:space="preserve">#0016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</si>
  <si>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</si>
  <si>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</si>
  <si>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</si>
  <si>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</si>
  <si>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</si>
  <si>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</si>
  <si>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</si>
  <si>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A0017</t>
  </si>
  <si>
    <t xml:space="preserve">#0017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</si>
  <si>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</si>
  <si>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</si>
  <si>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</si>
  <si>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</si>
  <si>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</si>
  <si>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</si>
  <si>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</si>
  <si>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</si>
  <si>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A0018</t>
  </si>
  <si>
    <t xml:space="preserve">#0018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</si>
  <si>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</si>
  <si>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</si>
  <si>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</si>
  <si>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</si>
  <si>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</si>
  <si>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</si>
  <si>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</si>
  <si>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A0019</t>
  </si>
  <si>
    <t xml:space="preserve">#0019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</si>
  <si>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</si>
  <si>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</si>
  <si>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</si>
  <si>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</si>
  <si>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</si>
  <si>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</si>
  <si>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</si>
  <si>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</si>
  <si>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A0020</t>
  </si>
  <si>
    <t xml:space="preserve">#0020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</si>
  <si>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</si>
  <si>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</si>
  <si>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</si>
  <si>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</si>
  <si>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</si>
  <si>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</si>
  <si>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</si>
  <si>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t xml:space="preserve">A0021</t>
  </si>
  <si>
    <t xml:space="preserve">#0021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</si>
  <si>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</si>
  <si>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</si>
  <si>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</si>
  <si>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</si>
  <si>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</si>
  <si>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</si>
  <si>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</si>
  <si>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A0022</t>
  </si>
  <si>
    <t xml:space="preserve">#0022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</si>
  <si>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</si>
  <si>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</si>
  <si>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</si>
  <si>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</si>
  <si>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</si>
  <si>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</si>
  <si>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</si>
  <si>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t xml:space="preserve">A0023</t>
  </si>
  <si>
    <t xml:space="preserve">#0023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</si>
  <si>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</si>
  <si>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</si>
  <si>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</si>
  <si>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</si>
  <si>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</si>
  <si>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</si>
  <si>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</si>
  <si>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t xml:space="preserve">A0024</t>
  </si>
  <si>
    <t xml:space="preserve">#0024</t>
  </si>
  <si>
    <t xml:space="preserve">B003</t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</si>
  <si>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</si>
  <si>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</si>
  <si>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</si>
  <si>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</si>
  <si>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</si>
  <si>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</si>
  <si>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</si>
  <si>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</si>
  <si>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t xml:space="preserve">A0025</t>
  </si>
  <si>
    <t xml:space="preserve">#0025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</si>
  <si>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</si>
  <si>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</si>
  <si>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</si>
  <si>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</si>
  <si>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</si>
  <si>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</si>
  <si>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</si>
  <si>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t xml:space="preserve">A0026</t>
  </si>
  <si>
    <t xml:space="preserve">#0026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</si>
  <si>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</si>
  <si>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</si>
  <si>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</si>
  <si>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</si>
  <si>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</si>
  <si>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</si>
  <si>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</si>
  <si>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t xml:space="preserve">A0027</t>
  </si>
  <si>
    <t xml:space="preserve">#0027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</si>
  <si>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</si>
  <si>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</si>
  <si>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</si>
  <si>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</si>
  <si>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</si>
  <si>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</si>
  <si>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</si>
  <si>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</si>
  <si>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t xml:space="preserve">A0028</t>
  </si>
  <si>
    <t xml:space="preserve">#0028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</si>
  <si>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</si>
  <si>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</si>
  <si>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</si>
  <si>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</si>
  <si>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</si>
  <si>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</si>
  <si>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</si>
  <si>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</si>
  <si>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t xml:space="preserve">A0029</t>
  </si>
  <si>
    <t xml:space="preserve">#0029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</si>
  <si>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</si>
  <si>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</si>
  <si>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</si>
  <si>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</si>
  <si>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</si>
  <si>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</si>
  <si>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</si>
  <si>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</si>
  <si>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t xml:space="preserve">A0030</t>
  </si>
  <si>
    <t xml:space="preserve">#0030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</si>
  <si>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</si>
  <si>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</si>
  <si>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</si>
  <si>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</si>
  <si>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</si>
  <si>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</si>
  <si>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</si>
  <si>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</si>
  <si>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A0031</t>
  </si>
  <si>
    <t xml:space="preserve">#0031</t>
  </si>
  <si>
    <t xml:space="preserve">B004</t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</si>
  <si>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</si>
  <si>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</si>
  <si>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</si>
  <si>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</si>
  <si>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</si>
  <si>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</si>
  <si>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</si>
  <si>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</si>
  <si>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</si>
  <si>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t xml:space="preserve">A0032</t>
  </si>
  <si>
    <t xml:space="preserve">#0032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</si>
  <si>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</si>
  <si>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</si>
  <si>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</si>
  <si>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</si>
  <si>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</si>
  <si>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아브라함</t>
  </si>
  <si>
    <t xml:space="preserve">소돔이 내려다보이는 언덕</t>
  </si>
  <si>
    <t xml:space="preserve">A0033</t>
  </si>
  <si>
    <t xml:space="preserve">#0033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</si>
  <si>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19:1-29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</si>
  <si>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</si>
  <si>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</si>
  <si>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</si>
  <si>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</si>
  <si>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</si>
  <si>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</si>
  <si>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</si>
  <si>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A0034</t>
  </si>
  <si>
    <t xml:space="preserve">#0034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</si>
  <si>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</si>
  <si>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</si>
  <si>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</si>
  <si>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</si>
  <si>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</si>
  <si>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</si>
  <si>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</si>
  <si>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t xml:space="preserve">A0035</t>
  </si>
  <si>
    <t xml:space="preserve">#0035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</si>
  <si>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</si>
  <si>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</si>
  <si>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</si>
  <si>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</si>
  <si>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</si>
  <si>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</si>
  <si>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t xml:space="preserve">A0036</t>
  </si>
  <si>
    <t xml:space="preserve">#0036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</si>
  <si>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</si>
  <si>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</si>
  <si>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</si>
  <si>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</si>
  <si>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</si>
  <si>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</si>
  <si>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</si>
  <si>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t xml:space="preserve">A0037</t>
  </si>
  <si>
    <t xml:space="preserve">#0037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</si>
  <si>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</si>
  <si>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</si>
  <si>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</si>
  <si>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</si>
  <si>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</si>
  <si>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</si>
  <si>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</si>
  <si>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</si>
  <si>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t xml:space="preserve">A0038</t>
  </si>
  <si>
    <t xml:space="preserve">#0038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</si>
  <si>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</si>
  <si>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</si>
  <si>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</si>
  <si>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</si>
  <si>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</si>
  <si>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</si>
  <si>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</si>
  <si>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t xml:space="preserve">A0039</t>
  </si>
  <si>
    <t xml:space="preserve">#0039</t>
  </si>
  <si>
    <t xml:space="preserve">B005</t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</si>
  <si>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</si>
  <si>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</si>
  <si>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</si>
  <si>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</si>
  <si>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</si>
  <si>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</si>
  <si>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</si>
  <si>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</si>
  <si>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t xml:space="preserve">A0040</t>
  </si>
  <si>
    <t xml:space="preserve">#0040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</si>
  <si>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</si>
  <si>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</si>
  <si>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</si>
  <si>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</si>
  <si>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</si>
  <si>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</si>
  <si>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</si>
  <si>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t xml:space="preserve">A0041</t>
  </si>
  <si>
    <t xml:space="preserve">#0041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</si>
  <si>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</si>
  <si>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</si>
  <si>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</si>
  <si>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</si>
  <si>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</si>
  <si>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</si>
  <si>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</si>
  <si>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t xml:space="preserve">A0042</t>
  </si>
  <si>
    <t xml:space="preserve">#0042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</si>
  <si>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</si>
  <si>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</si>
  <si>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</si>
  <si>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</si>
  <si>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</si>
  <si>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</si>
  <si>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</si>
  <si>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t xml:space="preserve">A0043</t>
  </si>
  <si>
    <t xml:space="preserve">#0043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</si>
  <si>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</si>
  <si>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</si>
  <si>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</si>
  <si>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</si>
  <si>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</si>
  <si>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</si>
  <si>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</si>
  <si>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A0044</t>
  </si>
  <si>
    <t xml:space="preserve">#0044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</si>
  <si>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</si>
  <si>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</si>
  <si>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</si>
  <si>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</si>
  <si>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</si>
  <si>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</si>
  <si>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A0045</t>
  </si>
  <si>
    <t xml:space="preserve">#0045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</si>
  <si>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</si>
  <si>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</si>
  <si>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</si>
  <si>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</si>
  <si>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</si>
  <si>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</si>
  <si>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</si>
  <si>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A0046</t>
  </si>
  <si>
    <t xml:space="preserve">#0046</t>
  </si>
  <si>
    <t xml:space="preserve">B006</t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</si>
  <si>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</si>
  <si>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</si>
  <si>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</si>
  <si>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</si>
  <si>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</si>
  <si>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</si>
  <si>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</si>
  <si>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A0047</t>
  </si>
  <si>
    <t xml:space="preserve">#0047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</si>
  <si>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</si>
  <si>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</si>
  <si>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</si>
  <si>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</si>
  <si>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</si>
  <si>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</si>
  <si>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t xml:space="preserve">A0048</t>
  </si>
  <si>
    <t xml:space="preserve">#0048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</si>
  <si>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</si>
  <si>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</si>
  <si>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</si>
  <si>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</si>
  <si>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</si>
  <si>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</si>
  <si>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</si>
  <si>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</si>
  <si>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t xml:space="preserve">A0049</t>
  </si>
  <si>
    <t xml:space="preserve">#0049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</si>
  <si>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</si>
  <si>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</si>
  <si>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</si>
  <si>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</si>
  <si>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</si>
  <si>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</si>
  <si>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</si>
  <si>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A0050</t>
  </si>
  <si>
    <t xml:space="preserve">#0050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</si>
  <si>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</si>
  <si>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</si>
  <si>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</si>
  <si>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</si>
  <si>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</si>
  <si>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</si>
  <si>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</si>
  <si>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</si>
  <si>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t xml:space="preserve">A0051</t>
  </si>
  <si>
    <t xml:space="preserve">#0051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</si>
  <si>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</si>
  <si>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</si>
  <si>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</si>
  <si>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</si>
  <si>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</si>
  <si>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</si>
  <si>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</si>
  <si>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</si>
  <si>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t xml:space="preserve">A0052</t>
  </si>
  <si>
    <t xml:space="preserve">#0052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</si>
  <si>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</si>
  <si>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</si>
  <si>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</si>
  <si>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</si>
  <si>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</si>
  <si>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</si>
  <si>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</si>
  <si>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</si>
  <si>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t xml:space="preserve">A0053</t>
  </si>
  <si>
    <t xml:space="preserve">#0053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</si>
  <si>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</si>
  <si>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</si>
  <si>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</si>
  <si>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</si>
  <si>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</si>
  <si>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</si>
  <si>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A0054</t>
  </si>
  <si>
    <t xml:space="preserve">#0054</t>
  </si>
  <si>
    <t xml:space="preserve">B007</t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</si>
  <si>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</si>
  <si>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</si>
  <si>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</si>
  <si>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</si>
  <si>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</si>
  <si>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</si>
  <si>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</si>
  <si>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</si>
  <si>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t xml:space="preserve">A0055</t>
  </si>
  <si>
    <t xml:space="preserve">#0055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</si>
  <si>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</si>
  <si>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</si>
  <si>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</si>
  <si>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</si>
  <si>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</si>
  <si>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</si>
  <si>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</si>
  <si>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</si>
  <si>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t xml:space="preserve">A0056</t>
  </si>
  <si>
    <t xml:space="preserve">#0056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</si>
  <si>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</si>
  <si>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</si>
  <si>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</si>
  <si>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</si>
  <si>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</si>
  <si>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</si>
  <si>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</si>
  <si>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t xml:space="preserve">A0057</t>
  </si>
  <si>
    <t xml:space="preserve">#0057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</si>
  <si>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</si>
  <si>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</si>
  <si>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</si>
  <si>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</si>
  <si>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</si>
  <si>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</si>
  <si>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</si>
  <si>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</si>
  <si>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t xml:space="preserve">A0058</t>
  </si>
  <si>
    <t xml:space="preserve">#0058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</si>
  <si>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</si>
  <si>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</si>
  <si>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</si>
  <si>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</si>
  <si>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</si>
  <si>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</si>
  <si>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</si>
  <si>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A0059</t>
  </si>
  <si>
    <t xml:space="preserve">#0059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</si>
  <si>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</si>
  <si>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</si>
  <si>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</si>
  <si>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</si>
  <si>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</si>
  <si>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</si>
  <si>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</si>
  <si>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A0060</t>
  </si>
  <si>
    <t xml:space="preserve">#0060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</si>
  <si>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</si>
  <si>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</si>
  <si>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</si>
  <si>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</si>
  <si>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</si>
  <si>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</si>
  <si>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</si>
  <si>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A0061</t>
  </si>
  <si>
    <t xml:space="preserve">#0061</t>
  </si>
  <si>
    <t xml:space="preserve">B008</t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</si>
  <si>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</si>
  <si>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</si>
  <si>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</si>
  <si>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</si>
  <si>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</si>
  <si>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</si>
  <si>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</si>
  <si>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</si>
  <si>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t xml:space="preserve">A0062</t>
  </si>
  <si>
    <t xml:space="preserve">#0062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</si>
  <si>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</si>
  <si>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</si>
  <si>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</si>
  <si>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</si>
  <si>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</si>
  <si>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</si>
  <si>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</si>
  <si>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A0063</t>
  </si>
  <si>
    <t xml:space="preserve">#0063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</si>
  <si>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</si>
  <si>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</si>
  <si>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</si>
  <si>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</si>
  <si>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</si>
  <si>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</si>
  <si>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</si>
  <si>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</si>
  <si>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t xml:space="preserve">A0064</t>
  </si>
  <si>
    <t xml:space="preserve">#0064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</si>
  <si>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</si>
  <si>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</si>
  <si>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</si>
  <si>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</si>
  <si>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</si>
  <si>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</si>
  <si>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</si>
  <si>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</si>
  <si>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t xml:space="preserve">A0065</t>
  </si>
  <si>
    <t xml:space="preserve">#0065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</si>
  <si>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</si>
  <si>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</si>
  <si>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</si>
  <si>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</si>
  <si>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</si>
  <si>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</si>
  <si>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</si>
  <si>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</si>
  <si>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A0066</t>
  </si>
  <si>
    <t xml:space="preserve">#0066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</si>
  <si>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</si>
  <si>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</si>
  <si>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</si>
  <si>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</si>
  <si>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</si>
  <si>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</si>
  <si>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</si>
  <si>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A0067</t>
  </si>
  <si>
    <t xml:space="preserve">#0067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</si>
  <si>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</si>
  <si>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</si>
  <si>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</si>
  <si>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</si>
  <si>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</si>
  <si>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</si>
  <si>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</si>
  <si>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A0068</t>
  </si>
  <si>
    <t xml:space="preserve">#0068</t>
  </si>
  <si>
    <t xml:space="preserve">B009</t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</si>
  <si>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</si>
  <si>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</si>
  <si>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</si>
  <si>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</si>
  <si>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</si>
  <si>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</si>
  <si>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</si>
  <si>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</si>
  <si>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A0069</t>
  </si>
  <si>
    <t xml:space="preserve">#0069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</si>
  <si>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</si>
  <si>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</si>
  <si>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</si>
  <si>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</si>
  <si>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</si>
  <si>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</si>
  <si>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</si>
  <si>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t xml:space="preserve">A0070</t>
  </si>
  <si>
    <t xml:space="preserve">#0070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</si>
  <si>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</si>
  <si>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</si>
  <si>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</si>
  <si>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</si>
  <si>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</si>
  <si>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</si>
  <si>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</si>
  <si>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</si>
  <si>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t xml:space="preserve">A0071</t>
  </si>
  <si>
    <t xml:space="preserve">#0071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</si>
  <si>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</si>
  <si>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</si>
  <si>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</si>
  <si>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</si>
  <si>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</si>
  <si>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</si>
  <si>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t xml:space="preserve">A0072</t>
  </si>
  <si>
    <t xml:space="preserve">#0072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</si>
  <si>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</si>
  <si>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</si>
  <si>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</si>
  <si>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</si>
  <si>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</si>
  <si>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</si>
  <si>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</si>
  <si>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t xml:space="preserve">A0073</t>
  </si>
  <si>
    <t xml:space="preserve">#0073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</si>
  <si>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</si>
  <si>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</si>
  <si>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</si>
  <si>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</si>
  <si>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</si>
  <si>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</si>
  <si>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</si>
  <si>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t xml:space="preserve">A0074</t>
  </si>
  <si>
    <t xml:space="preserve">#0074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</si>
  <si>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</si>
  <si>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</si>
  <si>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</si>
  <si>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</si>
  <si>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</si>
  <si>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</si>
  <si>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A0075</t>
  </si>
  <si>
    <t xml:space="preserve">#0075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</si>
  <si>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</si>
  <si>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</si>
  <si>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</si>
  <si>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</si>
  <si>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</si>
  <si>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</si>
  <si>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</si>
  <si>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t xml:space="preserve">A0076</t>
  </si>
  <si>
    <t xml:space="preserve">#0076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</si>
  <si>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</si>
  <si>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</si>
  <si>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</si>
  <si>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</si>
  <si>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</si>
  <si>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</si>
  <si>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</si>
  <si>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</si>
  <si>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t xml:space="preserve">A0077</t>
  </si>
  <si>
    <t xml:space="preserve">#0077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</si>
  <si>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</si>
  <si>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</si>
  <si>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</si>
  <si>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</si>
  <si>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</si>
  <si>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</si>
  <si>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</si>
  <si>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t xml:space="preserve">A0078</t>
  </si>
  <si>
    <t xml:space="preserve">#0078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</si>
  <si>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</si>
  <si>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</si>
  <si>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</si>
  <si>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</si>
  <si>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</si>
  <si>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</si>
  <si>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</si>
  <si>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t xml:space="preserve">A0079</t>
  </si>
  <si>
    <t xml:space="preserve">#0079</t>
  </si>
  <si>
    <t xml:space="preserve">B010</t>
  </si>
  <si>
    <t xml:space="preserve">모세의 탄생과 부르심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</si>
  <si>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</si>
  <si>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</si>
  <si>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</si>
  <si>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</si>
  <si>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</si>
  <si>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</si>
  <si>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</si>
  <si>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</si>
  <si>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</si>
  <si>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A0080</t>
  </si>
  <si>
    <t xml:space="preserve">#0080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</si>
  <si>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</si>
  <si>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</si>
  <si>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</si>
  <si>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</si>
  <si>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</si>
  <si>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</si>
  <si>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</si>
  <si>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A0081</t>
  </si>
  <si>
    <t xml:space="preserve">#0081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</si>
  <si>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</si>
  <si>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</si>
  <si>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</si>
  <si>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</si>
  <si>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</si>
  <si>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</si>
  <si>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</si>
  <si>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</si>
  <si>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A0082</t>
  </si>
  <si>
    <t xml:space="preserve">#0082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</si>
  <si>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</si>
  <si>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</si>
  <si>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</si>
  <si>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</si>
  <si>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</si>
  <si>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</si>
  <si>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</si>
  <si>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</si>
  <si>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A0083</t>
  </si>
  <si>
    <t xml:space="preserve">#0083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</si>
  <si>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</si>
  <si>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</si>
  <si>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</si>
  <si>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</si>
  <si>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</si>
  <si>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</si>
  <si>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</si>
  <si>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A0084</t>
  </si>
  <si>
    <t xml:space="preserve">#0084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</si>
  <si>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</si>
  <si>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</si>
  <si>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</si>
  <si>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</si>
  <si>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</si>
  <si>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</si>
  <si>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</si>
  <si>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</si>
  <si>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t xml:space="preserve">A0085</t>
  </si>
  <si>
    <t xml:space="preserve">#0085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</si>
  <si>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</si>
  <si>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</si>
  <si>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</si>
  <si>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</si>
  <si>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</si>
  <si>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</si>
  <si>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</si>
  <si>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t xml:space="preserve">A0086</t>
  </si>
  <si>
    <t xml:space="preserve">#0086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</si>
  <si>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</si>
  <si>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</si>
  <si>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</si>
  <si>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</si>
  <si>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</si>
  <si>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</si>
  <si>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A0087</t>
  </si>
  <si>
    <t xml:space="preserve">#0087</t>
  </si>
  <si>
    <t xml:space="preserve">B011</t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</si>
  <si>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</si>
  <si>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</si>
  <si>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</si>
  <si>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</si>
  <si>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</si>
  <si>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</si>
  <si>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</si>
  <si>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</si>
  <si>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t xml:space="preserve">A0088</t>
  </si>
  <si>
    <t xml:space="preserve">#0088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</si>
  <si>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</si>
  <si>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</si>
  <si>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</si>
  <si>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</si>
  <si>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</si>
  <si>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</si>
  <si>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</si>
  <si>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A0089</t>
  </si>
  <si>
    <t xml:space="preserve">#0089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</si>
  <si>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</si>
  <si>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</si>
  <si>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</si>
  <si>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</si>
  <si>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</si>
  <si>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</si>
  <si>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</si>
  <si>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A0090</t>
  </si>
  <si>
    <t xml:space="preserve">#0090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</si>
  <si>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</si>
  <si>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</si>
  <si>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</si>
  <si>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</si>
  <si>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</si>
  <si>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</si>
  <si>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</si>
  <si>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t xml:space="preserve">A0091</t>
  </si>
  <si>
    <t xml:space="preserve">#0091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</si>
  <si>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</si>
  <si>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</si>
  <si>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</si>
  <si>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</si>
  <si>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</si>
  <si>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</si>
  <si>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t xml:space="preserve">A0092</t>
  </si>
  <si>
    <t xml:space="preserve">#0092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</si>
  <si>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</si>
  <si>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</si>
  <si>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</si>
  <si>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</si>
  <si>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</si>
  <si>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</si>
  <si>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t xml:space="preserve">A0093</t>
  </si>
  <si>
    <t xml:space="preserve">#0093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</si>
  <si>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</si>
  <si>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</si>
  <si>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</si>
  <si>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</si>
  <si>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</si>
  <si>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</si>
  <si>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</si>
  <si>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t xml:space="preserve">A0094</t>
  </si>
  <si>
    <t xml:space="preserve">#0094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</si>
  <si>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</si>
  <si>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</si>
  <si>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</si>
  <si>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</si>
  <si>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</si>
  <si>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</si>
  <si>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t xml:space="preserve">A0095</t>
  </si>
  <si>
    <t xml:space="preserve">#0095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</si>
  <si>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</si>
  <si>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</si>
  <si>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</si>
  <si>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</si>
  <si>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</si>
  <si>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</si>
  <si>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</si>
  <si>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</si>
  <si>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t xml:space="preserve">A0096</t>
  </si>
  <si>
    <t xml:space="preserve">#0096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</si>
  <si>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</si>
  <si>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</si>
  <si>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</si>
  <si>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</si>
  <si>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</si>
  <si>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</si>
  <si>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</si>
  <si>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</si>
  <si>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A0097</t>
  </si>
  <si>
    <t xml:space="preserve">#0097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</si>
  <si>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</si>
  <si>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</si>
  <si>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</si>
  <si>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</si>
  <si>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</si>
  <si>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</si>
  <si>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</si>
  <si>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</si>
  <si>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t xml:space="preserve">A0098</t>
  </si>
  <si>
    <t xml:space="preserve">#0098</t>
  </si>
  <si>
    <t xml:space="preserve">B012</t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</si>
  <si>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</si>
  <si>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</si>
  <si>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</si>
  <si>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</si>
  <si>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</si>
  <si>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</si>
  <si>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</si>
  <si>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</si>
  <si>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t xml:space="preserve">A0099</t>
  </si>
  <si>
    <t xml:space="preserve">#0099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</si>
  <si>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</si>
  <si>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</si>
  <si>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</si>
  <si>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</si>
  <si>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</si>
  <si>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</si>
  <si>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</si>
  <si>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</si>
  <si>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A0100</t>
  </si>
  <si>
    <t xml:space="preserve">#0100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</si>
  <si>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</si>
  <si>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</si>
  <si>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</si>
  <si>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</si>
  <si>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</si>
  <si>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</si>
  <si>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</si>
  <si>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A0101</t>
  </si>
  <si>
    <t xml:space="preserve">#0101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</si>
  <si>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</si>
  <si>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</si>
  <si>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</si>
  <si>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</si>
  <si>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</si>
  <si>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</si>
  <si>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t xml:space="preserve">A0102</t>
  </si>
  <si>
    <t xml:space="preserve">#0102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</si>
  <si>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</si>
  <si>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</si>
  <si>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</si>
  <si>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</si>
  <si>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</si>
  <si>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</si>
  <si>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</si>
  <si>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</si>
  <si>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t xml:space="preserve">A0103</t>
  </si>
  <si>
    <t xml:space="preserve">#0103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</si>
  <si>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</si>
  <si>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</si>
  <si>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</si>
  <si>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</si>
  <si>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</si>
  <si>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</si>
  <si>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</si>
  <si>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</si>
  <si>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A0104</t>
  </si>
  <si>
    <t xml:space="preserve">#0104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</si>
  <si>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</si>
  <si>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</si>
  <si>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</si>
  <si>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</si>
  <si>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</si>
  <si>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</si>
  <si>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</si>
  <si>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</si>
  <si>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A0105</t>
  </si>
  <si>
    <t xml:space="preserve">#0105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</si>
  <si>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</si>
  <si>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</si>
  <si>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</si>
  <si>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</si>
  <si>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</si>
  <si>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</si>
  <si>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</si>
  <si>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t xml:space="preserve">A0106</t>
  </si>
  <si>
    <t xml:space="preserve">#0106</t>
  </si>
  <si>
    <t xml:space="preserve">B013</t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</si>
  <si>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</si>
  <si>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</si>
  <si>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</si>
  <si>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</si>
  <si>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</si>
  <si>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</si>
  <si>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</si>
  <si>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</si>
  <si>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t xml:space="preserve">A0107</t>
  </si>
  <si>
    <t xml:space="preserve">#0107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</si>
  <si>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</si>
  <si>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</si>
  <si>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</si>
  <si>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</si>
  <si>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</si>
  <si>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</si>
  <si>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</si>
  <si>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A0108</t>
  </si>
  <si>
    <t xml:space="preserve">#0108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</si>
  <si>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</si>
  <si>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</si>
  <si>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</si>
  <si>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</si>
  <si>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</si>
  <si>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</si>
  <si>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A0109</t>
  </si>
  <si>
    <t xml:space="preserve">#0109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</si>
  <si>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</si>
  <si>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</si>
  <si>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</si>
  <si>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</si>
  <si>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</si>
  <si>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</si>
  <si>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</si>
  <si>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t xml:space="preserve">A0110</t>
  </si>
  <si>
    <t xml:space="preserve">#0110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</si>
  <si>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</si>
  <si>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</si>
  <si>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</si>
  <si>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</si>
  <si>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</si>
  <si>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</si>
  <si>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</si>
  <si>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</si>
  <si>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A0111</t>
  </si>
  <si>
    <t xml:space="preserve">#0111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</si>
  <si>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</si>
  <si>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</si>
  <si>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</si>
  <si>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</si>
  <si>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</si>
  <si>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t xml:space="preserve">모세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</si>
  <si>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</si>
  <si>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</si>
  <si>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t xml:space="preserve">A0112</t>
  </si>
  <si>
    <t xml:space="preserve">#0112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</si>
  <si>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</si>
  <si>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</si>
  <si>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</si>
  <si>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</si>
  <si>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</si>
  <si>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</si>
  <si>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</si>
  <si>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</si>
  <si>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t xml:space="preserve">A0113</t>
  </si>
  <si>
    <t xml:space="preserve">#0113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</si>
  <si>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</si>
  <si>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</si>
  <si>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</si>
  <si>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</si>
  <si>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</si>
  <si>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</si>
  <si>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</si>
  <si>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</si>
  <si>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A0114</t>
  </si>
  <si>
    <t xml:space="preserve">#0114</t>
  </si>
  <si>
    <t xml:space="preserve">B014</t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</si>
  <si>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</si>
  <si>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</si>
  <si>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</si>
  <si>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</si>
  <si>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</si>
  <si>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</si>
  <si>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</si>
  <si>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</si>
  <si>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</si>
  <si>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A0115</t>
  </si>
  <si>
    <t xml:space="preserve">#0115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</si>
  <si>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</si>
  <si>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</si>
  <si>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</si>
  <si>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</si>
  <si>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</si>
  <si>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</si>
  <si>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</si>
  <si>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</si>
  <si>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t xml:space="preserve">A0116</t>
  </si>
  <si>
    <t xml:space="preserve">#0116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</si>
  <si>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</si>
  <si>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</si>
  <si>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</si>
  <si>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</si>
  <si>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</si>
  <si>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</si>
  <si>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</si>
  <si>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</si>
  <si>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t xml:space="preserve">A0117</t>
  </si>
  <si>
    <t xml:space="preserve">#0117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</si>
  <si>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</si>
  <si>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</si>
  <si>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</si>
  <si>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</si>
  <si>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</si>
  <si>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</si>
  <si>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A0118</t>
  </si>
  <si>
    <t xml:space="preserve">#0118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</si>
  <si>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</si>
  <si>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</si>
  <si>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</si>
  <si>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</si>
  <si>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</si>
  <si>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</si>
  <si>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</si>
  <si>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A0119</t>
  </si>
  <si>
    <t xml:space="preserve">#0119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</si>
  <si>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</si>
  <si>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</si>
  <si>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</si>
  <si>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</si>
  <si>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</si>
  <si>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</si>
  <si>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</si>
  <si>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A0120</t>
  </si>
  <si>
    <t xml:space="preserve">#0120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</si>
  <si>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</si>
  <si>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</si>
  <si>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</si>
  <si>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</si>
  <si>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</si>
  <si>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</si>
  <si>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A0121</t>
  </si>
  <si>
    <t xml:space="preserve">#0121</t>
  </si>
  <si>
    <t xml:space="preserve">B015</t>
  </si>
  <si>
    <t xml:space="preserve">거룩한 하나님께 나아가는 길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</si>
  <si>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</si>
  <si>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</si>
  <si>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</si>
  <si>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</si>
  <si>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</si>
  <si>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</si>
  <si>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</si>
  <si>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</si>
  <si>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</si>
  <si>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t xml:space="preserve">A0122</t>
  </si>
  <si>
    <t xml:space="preserve">#0122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</si>
  <si>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</si>
  <si>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</si>
  <si>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</si>
  <si>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</si>
  <si>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</si>
  <si>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</si>
  <si>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</si>
  <si>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A0123</t>
  </si>
  <si>
    <t xml:space="preserve">#0123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</si>
  <si>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8:1-10:7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</si>
  <si>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</si>
  <si>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</si>
  <si>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</si>
  <si>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</si>
  <si>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</si>
  <si>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</si>
  <si>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</si>
  <si>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A0124</t>
  </si>
  <si>
    <t xml:space="preserve">#0124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</si>
  <si>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</si>
  <si>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</si>
  <si>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</si>
  <si>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</si>
  <si>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</si>
  <si>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</si>
  <si>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A0125</t>
  </si>
  <si>
    <t xml:space="preserve">#0125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</si>
  <si>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</si>
  <si>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</si>
  <si>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</si>
  <si>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</si>
  <si>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</si>
  <si>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</si>
  <si>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</si>
  <si>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</si>
  <si>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t xml:space="preserve">A0126</t>
  </si>
  <si>
    <t xml:space="preserve">#0126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</si>
  <si>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</si>
  <si>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</si>
  <si>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</si>
  <si>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</si>
  <si>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</si>
  <si>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</si>
  <si>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t xml:space="preserve">A0127</t>
  </si>
  <si>
    <t xml:space="preserve">#0127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</si>
  <si>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</si>
  <si>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</si>
  <si>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</si>
  <si>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</si>
  <si>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</si>
  <si>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</si>
  <si>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A0128</t>
  </si>
  <si>
    <t xml:space="preserve">#0128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</si>
  <si>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</si>
  <si>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</si>
  <si>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</si>
  <si>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</si>
  <si>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</si>
  <si>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</si>
  <si>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</si>
  <si>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A0129</t>
  </si>
  <si>
    <t xml:space="preserve">#0129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</si>
  <si>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</si>
  <si>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</si>
  <si>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</si>
  <si>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</si>
  <si>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</si>
  <si>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</si>
  <si>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</si>
  <si>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</si>
  <si>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A0130</t>
  </si>
  <si>
    <t xml:space="preserve">#0130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</si>
  <si>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</si>
  <si>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</si>
  <si>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</si>
  <si>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</si>
  <si>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</si>
  <si>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</si>
  <si>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A0131</t>
  </si>
  <si>
    <t xml:space="preserve">#0131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</si>
  <si>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</si>
  <si>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</si>
  <si>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</si>
  <si>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</si>
  <si>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</si>
  <si>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</si>
  <si>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</si>
  <si>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A0132</t>
  </si>
  <si>
    <t xml:space="preserve">#0132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</si>
  <si>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</si>
  <si>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</si>
  <si>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</si>
  <si>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</si>
  <si>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</si>
  <si>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</si>
  <si>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A0133</t>
  </si>
  <si>
    <t xml:space="preserve">#0133</t>
  </si>
  <si>
    <t xml:space="preserve">B016</t>
  </si>
  <si>
    <t xml:space="preserve">광야로 출발한 군대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</si>
  <si>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</si>
  <si>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</si>
  <si>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</si>
  <si>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</si>
  <si>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</si>
  <si>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</si>
  <si>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</si>
  <si>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</si>
  <si>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A0134</t>
  </si>
  <si>
    <t xml:space="preserve">#0134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</si>
  <si>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</si>
  <si>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</si>
  <si>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</si>
  <si>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</si>
  <si>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</si>
  <si>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</si>
  <si>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</si>
  <si>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A0135</t>
  </si>
  <si>
    <t xml:space="preserve">#0135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</si>
  <si>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</si>
  <si>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</si>
  <si>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</si>
  <si>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</si>
  <si>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</si>
  <si>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</si>
  <si>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t xml:space="preserve">A0136</t>
  </si>
  <si>
    <t xml:space="preserve">#0136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</si>
  <si>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</si>
  <si>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</si>
  <si>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</si>
  <si>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</si>
  <si>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</si>
  <si>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</si>
  <si>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</si>
  <si>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t xml:space="preserve">A0137</t>
  </si>
  <si>
    <t xml:space="preserve">#0137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</si>
  <si>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</si>
  <si>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</si>
  <si>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</si>
  <si>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</si>
  <si>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</si>
  <si>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</si>
  <si>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</si>
  <si>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t xml:space="preserve">A0138</t>
  </si>
  <si>
    <t xml:space="preserve">#0138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</si>
  <si>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</si>
  <si>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</si>
  <si>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</si>
  <si>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</si>
  <si>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</si>
  <si>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</si>
  <si>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</si>
  <si>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</si>
  <si>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A0139</t>
  </si>
  <si>
    <t xml:space="preserve">#0139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</si>
  <si>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</si>
  <si>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</si>
  <si>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</si>
  <si>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</si>
  <si>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</si>
  <si>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</si>
  <si>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</si>
  <si>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t xml:space="preserve">A0140</t>
  </si>
  <si>
    <t xml:space="preserve">#0140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</si>
  <si>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</si>
  <si>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</si>
  <si>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</si>
  <si>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</si>
  <si>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</si>
  <si>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</si>
  <si>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</si>
  <si>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A0141</t>
  </si>
  <si>
    <t xml:space="preserve">#0141</t>
  </si>
  <si>
    <t xml:space="preserve">B017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</si>
  <si>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</si>
  <si>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</si>
  <si>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</si>
  <si>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</si>
  <si>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</si>
  <si>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</si>
  <si>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t xml:space="preserve">A0142</t>
  </si>
  <si>
    <t xml:space="preserve">#0142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</si>
  <si>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</si>
  <si>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</si>
  <si>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</si>
  <si>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</si>
  <si>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</si>
  <si>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</si>
  <si>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</si>
  <si>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</si>
  <si>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t xml:space="preserve">A0143</t>
  </si>
  <si>
    <t xml:space="preserve">#0143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</si>
  <si>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</si>
  <si>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</si>
  <si>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</si>
  <si>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</si>
  <si>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</si>
  <si>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</si>
  <si>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</si>
  <si>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A0144</t>
  </si>
  <si>
    <t xml:space="preserve">#0144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</si>
  <si>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</si>
  <si>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</si>
  <si>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</si>
  <si>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</si>
  <si>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</si>
  <si>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</si>
  <si>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</si>
  <si>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A0145</t>
  </si>
  <si>
    <t xml:space="preserve">#0145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</si>
  <si>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</si>
  <si>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</si>
  <si>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</si>
  <si>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</si>
  <si>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</si>
  <si>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</si>
  <si>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t xml:space="preserve">A0146</t>
  </si>
  <si>
    <t xml:space="preserve">#0146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</si>
  <si>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</si>
  <si>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</si>
  <si>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</si>
  <si>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</si>
  <si>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</si>
  <si>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</si>
  <si>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</si>
  <si>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t xml:space="preserve">A0147</t>
  </si>
  <si>
    <t xml:space="preserve">#0147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</si>
  <si>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</si>
  <si>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</si>
  <si>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</si>
  <si>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</si>
  <si>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</si>
  <si>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</si>
  <si>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</si>
  <si>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</si>
  <si>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t xml:space="preserve">A0148</t>
  </si>
  <si>
    <t xml:space="preserve">#0148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</si>
  <si>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</si>
  <si>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</si>
  <si>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</si>
  <si>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</si>
  <si>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</si>
  <si>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</si>
  <si>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</si>
  <si>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</si>
  <si>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t xml:space="preserve">A0149</t>
  </si>
  <si>
    <t xml:space="preserve">#0149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</si>
  <si>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</si>
  <si>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</si>
  <si>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</si>
  <si>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</si>
  <si>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</si>
  <si>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</si>
  <si>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</si>
  <si>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</si>
  <si>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t xml:space="preserve">A0150</t>
  </si>
  <si>
    <t xml:space="preserve">#0150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</si>
  <si>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</si>
  <si>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</si>
  <si>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</si>
  <si>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</si>
  <si>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</si>
  <si>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</si>
  <si>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</si>
  <si>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</si>
  <si>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A0151</t>
  </si>
  <si>
    <t xml:space="preserve">#0151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</si>
  <si>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</si>
  <si>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</si>
  <si>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</si>
  <si>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</si>
  <si>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</si>
  <si>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</si>
  <si>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</si>
  <si>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A0152</t>
  </si>
  <si>
    <t xml:space="preserve">#0152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</si>
  <si>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</si>
  <si>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</si>
  <si>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</si>
  <si>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</si>
  <si>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</si>
  <si>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A0153</t>
  </si>
  <si>
    <t xml:space="preserve">#0153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</si>
  <si>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</si>
  <si>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</si>
  <si>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</si>
  <si>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</si>
  <si>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</si>
  <si>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</si>
  <si>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</si>
  <si>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</si>
  <si>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A0154</t>
  </si>
  <si>
    <t xml:space="preserve">#0154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</si>
  <si>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</si>
  <si>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</si>
  <si>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</si>
  <si>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</si>
  <si>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</si>
  <si>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</si>
  <si>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</si>
  <si>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A0155</t>
  </si>
  <si>
    <t xml:space="preserve">#0155</t>
  </si>
  <si>
    <t xml:space="preserve">B018</t>
  </si>
  <si>
    <t xml:space="preserve">모세의 마지막 설교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</si>
  <si>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</si>
  <si>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</si>
  <si>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</si>
  <si>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</si>
  <si>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</si>
  <si>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</si>
  <si>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A0156</t>
  </si>
  <si>
    <t xml:space="preserve">#0156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</si>
  <si>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</si>
  <si>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</si>
  <si>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</si>
  <si>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</si>
  <si>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</si>
  <si>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</si>
  <si>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A0157</t>
  </si>
  <si>
    <t xml:space="preserve">#0157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</si>
  <si>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</si>
  <si>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</si>
  <si>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</si>
  <si>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</si>
  <si>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</si>
  <si>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</si>
  <si>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A0158</t>
  </si>
  <si>
    <t xml:space="preserve">#0158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</si>
  <si>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</si>
  <si>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</si>
  <si>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</si>
  <si>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</si>
  <si>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</si>
  <si>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</si>
  <si>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</si>
  <si>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</si>
  <si>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t xml:space="preserve">A0159</t>
  </si>
  <si>
    <t xml:space="preserve">#0159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</si>
  <si>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</si>
  <si>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</si>
  <si>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</si>
  <si>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</si>
  <si>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</si>
  <si>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</si>
  <si>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t xml:space="preserve">A0160</t>
  </si>
  <si>
    <t xml:space="preserve">#0160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</si>
  <si>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</si>
  <si>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</si>
  <si>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</si>
  <si>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</si>
  <si>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</si>
  <si>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</si>
  <si>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</si>
  <si>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A0161</t>
  </si>
  <si>
    <t xml:space="preserve">#0161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</si>
  <si>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</si>
  <si>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</si>
  <si>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</si>
  <si>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</si>
  <si>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</si>
  <si>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</si>
  <si>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A0162</t>
  </si>
  <si>
    <t xml:space="preserve">#0162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</si>
  <si>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</si>
  <si>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</si>
  <si>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</si>
  <si>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</si>
  <si>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</si>
  <si>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</si>
  <si>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A0163</t>
  </si>
  <si>
    <t xml:space="preserve">#0163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</si>
  <si>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</si>
  <si>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</si>
  <si>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</si>
  <si>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</si>
  <si>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</si>
  <si>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</si>
  <si>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A0164</t>
  </si>
  <si>
    <t xml:space="preserve">#0164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</si>
  <si>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</si>
  <si>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</si>
  <si>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</si>
  <si>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</si>
  <si>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</si>
  <si>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</si>
  <si>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A0165</t>
  </si>
  <si>
    <t xml:space="preserve">#0165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</si>
  <si>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</si>
  <si>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</si>
  <si>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</si>
  <si>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</si>
  <si>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</si>
  <si>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</si>
  <si>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A0166</t>
  </si>
  <si>
    <t xml:space="preserve">#0166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</si>
  <si>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</si>
  <si>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</si>
  <si>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</si>
  <si>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</si>
  <si>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</si>
  <si>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</si>
  <si>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A0167</t>
  </si>
  <si>
    <t xml:space="preserve">#0167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</si>
  <si>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</si>
  <si>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</si>
  <si>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</si>
  <si>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</si>
  <si>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</si>
  <si>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</si>
  <si>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</si>
  <si>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A0168</t>
  </si>
  <si>
    <t xml:space="preserve">#0168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</si>
  <si>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</si>
  <si>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</si>
  <si>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</si>
  <si>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</si>
  <si>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</si>
  <si>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</si>
  <si>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</si>
  <si>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t xml:space="preserve">A0169</t>
  </si>
  <si>
    <t xml:space="preserve">#0169</t>
  </si>
  <si>
    <t xml:space="preserve">B019</t>
  </si>
  <si>
    <t xml:space="preserve">요단을 건너 여리고로</t>
  </si>
  <si>
    <t xml:space="preserve">여호수아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</si>
  <si>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</si>
  <si>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</si>
  <si>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</si>
  <si>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</si>
  <si>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</si>
  <si>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</si>
  <si>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A0170</t>
  </si>
  <si>
    <t xml:space="preserve">#0170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</si>
  <si>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</si>
  <si>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</si>
  <si>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</si>
  <si>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</si>
  <si>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</si>
  <si>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</si>
  <si>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</si>
  <si>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</si>
  <si>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A0171</t>
  </si>
  <si>
    <t xml:space="preserve">#0171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</si>
  <si>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</si>
  <si>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</si>
  <si>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</si>
  <si>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</si>
  <si>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</si>
  <si>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</si>
  <si>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</si>
  <si>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A0172</t>
  </si>
  <si>
    <t xml:space="preserve">#0172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</si>
  <si>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</si>
  <si>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</si>
  <si>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</si>
  <si>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</si>
  <si>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</si>
  <si>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</si>
  <si>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</si>
  <si>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</si>
  <si>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t xml:space="preserve">A0173</t>
  </si>
  <si>
    <t xml:space="preserve">#0173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</si>
  <si>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</si>
  <si>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</si>
  <si>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</si>
  <si>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</si>
  <si>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</si>
  <si>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</si>
  <si>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</si>
  <si>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</si>
  <si>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t xml:space="preserve">A0174</t>
  </si>
  <si>
    <t xml:space="preserve">#0174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</si>
  <si>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</si>
  <si>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</si>
  <si>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</si>
  <si>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</si>
  <si>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</si>
  <si>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</si>
  <si>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</si>
  <si>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A0175</t>
  </si>
  <si>
    <t xml:space="preserve">#0175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</si>
  <si>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</si>
  <si>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</si>
  <si>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</si>
  <si>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</si>
  <si>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</si>
  <si>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</si>
  <si>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</si>
  <si>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t xml:space="preserve">A0176</t>
  </si>
  <si>
    <t xml:space="preserve">#0176</t>
  </si>
  <si>
    <t xml:space="preserve">B020</t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</si>
  <si>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</si>
  <si>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</si>
  <si>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</si>
  <si>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</si>
  <si>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</si>
  <si>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</si>
  <si>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</si>
  <si>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</si>
  <si>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A0177</t>
  </si>
  <si>
    <t xml:space="preserve">#0177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</si>
  <si>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</si>
  <si>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</si>
  <si>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</si>
  <si>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</si>
  <si>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</si>
  <si>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</si>
  <si>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</si>
  <si>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t xml:space="preserve">A0178</t>
  </si>
  <si>
    <t xml:space="preserve">#0178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</si>
  <si>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</si>
  <si>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</si>
  <si>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</si>
  <si>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</si>
  <si>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</si>
  <si>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</si>
  <si>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</si>
  <si>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</si>
  <si>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t xml:space="preserve">A0179</t>
  </si>
  <si>
    <t xml:space="preserve">#0179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</si>
  <si>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</si>
  <si>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</si>
  <si>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</si>
  <si>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</si>
  <si>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</si>
  <si>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</si>
  <si>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</si>
  <si>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A0180</t>
  </si>
  <si>
    <t xml:space="preserve">#0180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</si>
  <si>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</si>
  <si>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</si>
  <si>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</si>
  <si>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</si>
  <si>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</si>
  <si>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</si>
  <si>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</si>
  <si>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A0181</t>
  </si>
  <si>
    <t xml:space="preserve">#0181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</si>
  <si>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</si>
  <si>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</si>
  <si>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</si>
  <si>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</si>
  <si>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</si>
  <si>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</si>
  <si>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</si>
  <si>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A0182</t>
  </si>
  <si>
    <t xml:space="preserve">#0182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</si>
  <si>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</si>
  <si>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</si>
  <si>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</si>
  <si>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</si>
  <si>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</si>
  <si>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</si>
  <si>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</si>
  <si>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A0183</t>
  </si>
  <si>
    <t xml:space="preserve">#0183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</si>
  <si>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</si>
  <si>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</si>
  <si>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</si>
  <si>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</si>
  <si>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</si>
  <si>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</si>
  <si>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</si>
  <si>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A0184</t>
  </si>
  <si>
    <t xml:space="preserve">#0184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</si>
  <si>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</si>
  <si>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</si>
  <si>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</si>
  <si>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</si>
  <si>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</si>
  <si>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t xml:space="preserve">A0185</t>
  </si>
  <si>
    <t xml:space="preserve">#0185</t>
  </si>
  <si>
    <t xml:space="preserve">B021</t>
  </si>
  <si>
    <t xml:space="preserve">사사들의 시대①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</si>
  <si>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</si>
  <si>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</si>
  <si>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</si>
  <si>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</si>
  <si>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</si>
  <si>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</si>
  <si>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</si>
  <si>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</si>
  <si>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t xml:space="preserve">A0186</t>
  </si>
  <si>
    <t xml:space="preserve">#0186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</si>
  <si>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</si>
  <si>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</si>
  <si>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</si>
  <si>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</si>
  <si>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</si>
  <si>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</si>
  <si>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A0187</t>
  </si>
  <si>
    <t xml:space="preserve">#0187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</si>
  <si>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</si>
  <si>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</si>
  <si>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</si>
  <si>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</si>
  <si>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</si>
  <si>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</si>
  <si>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</si>
  <si>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</si>
  <si>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A0188</t>
  </si>
  <si>
    <t xml:space="preserve">#0188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</si>
  <si>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</si>
  <si>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</si>
  <si>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</si>
  <si>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</si>
  <si>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</si>
  <si>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</si>
  <si>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</si>
  <si>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</si>
  <si>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t xml:space="preserve">A0189</t>
  </si>
  <si>
    <t xml:space="preserve">#0189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</si>
  <si>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</si>
  <si>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</si>
  <si>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</si>
  <si>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</si>
  <si>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</si>
  <si>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</si>
  <si>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</si>
  <si>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t xml:space="preserve">A0190</t>
  </si>
  <si>
    <t xml:space="preserve">#0190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</si>
  <si>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</si>
  <si>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</si>
  <si>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</si>
  <si>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</si>
  <si>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</si>
  <si>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</si>
  <si>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</si>
  <si>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</si>
  <si>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t xml:space="preserve">A0191</t>
  </si>
  <si>
    <t xml:space="preserve">#0191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</si>
  <si>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</si>
  <si>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</si>
  <si>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</si>
  <si>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</si>
  <si>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</si>
  <si>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t xml:space="preserve">기드온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</si>
  <si>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</si>
  <si>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t xml:space="preserve">A0192</t>
  </si>
  <si>
    <t xml:space="preserve">#0192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</si>
  <si>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</si>
  <si>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</si>
  <si>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</si>
  <si>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</si>
  <si>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</si>
  <si>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</si>
  <si>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</si>
  <si>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t xml:space="preserve">A0193</t>
  </si>
  <si>
    <t xml:space="preserve">#0193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</si>
  <si>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</si>
  <si>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</si>
  <si>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</si>
  <si>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</si>
  <si>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</si>
  <si>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</si>
  <si>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</si>
  <si>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t xml:space="preserve">A0194</t>
  </si>
  <si>
    <t xml:space="preserve">#0194</t>
  </si>
  <si>
    <t xml:space="preserve">B022</t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</si>
  <si>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</si>
  <si>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</si>
  <si>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</si>
  <si>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</si>
  <si>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</si>
  <si>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</si>
  <si>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</si>
  <si>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</si>
  <si>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</si>
  <si>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A0195</t>
  </si>
  <si>
    <t xml:space="preserve">#0195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</si>
  <si>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</si>
  <si>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</si>
  <si>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</si>
  <si>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</si>
  <si>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</si>
  <si>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</si>
  <si>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</si>
  <si>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t xml:space="preserve">A0196</t>
  </si>
  <si>
    <t xml:space="preserve">#0196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</si>
  <si>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</si>
  <si>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</si>
  <si>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</si>
  <si>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</si>
  <si>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</si>
  <si>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</si>
  <si>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</si>
  <si>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</si>
  <si>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t xml:space="preserve">A0197</t>
  </si>
  <si>
    <t xml:space="preserve">#0197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</si>
  <si>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</si>
  <si>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</si>
  <si>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</si>
  <si>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</si>
  <si>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</si>
  <si>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</si>
  <si>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</si>
  <si>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</si>
  <si>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A0198</t>
  </si>
  <si>
    <t xml:space="preserve">#0198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</si>
  <si>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</si>
  <si>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</si>
  <si>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</si>
  <si>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</si>
  <si>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</si>
  <si>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</si>
  <si>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</si>
  <si>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t xml:space="preserve">A0199</t>
  </si>
  <si>
    <t xml:space="preserve">#0199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</si>
  <si>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</si>
  <si>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</si>
  <si>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</si>
  <si>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</si>
  <si>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</si>
  <si>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</si>
  <si>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</si>
  <si>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t xml:space="preserve">A0200</t>
  </si>
  <si>
    <t xml:space="preserve">#0200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</si>
  <si>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</si>
  <si>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</si>
  <si>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</si>
  <si>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</si>
  <si>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</si>
  <si>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</si>
  <si>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</si>
  <si>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</si>
  <si>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A0201</t>
  </si>
  <si>
    <t xml:space="preserve">#0201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</si>
  <si>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</si>
  <si>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</si>
  <si>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</si>
  <si>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</si>
  <si>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</si>
  <si>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</si>
  <si>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</si>
  <si>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</si>
  <si>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t xml:space="preserve">A0202</t>
  </si>
  <si>
    <t xml:space="preserve">#0202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</si>
  <si>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</si>
  <si>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</si>
  <si>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</si>
  <si>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</si>
  <si>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</si>
  <si>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</si>
  <si>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</si>
  <si>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A0203</t>
  </si>
  <si>
    <t xml:space="preserve">#0203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</si>
  <si>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</si>
  <si>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</si>
  <si>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</si>
  <si>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</si>
  <si>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</si>
  <si>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</si>
  <si>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</si>
  <si>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t xml:space="preserve">A0204</t>
  </si>
  <si>
    <t xml:space="preserve">#0204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</si>
  <si>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</si>
  <si>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</si>
  <si>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</si>
  <si>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</si>
  <si>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</si>
  <si>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</si>
  <si>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</si>
  <si>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</si>
  <si>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A0205</t>
  </si>
  <si>
    <t xml:space="preserve">#0205</t>
  </si>
  <si>
    <t xml:space="preserve">B023</t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</si>
  <si>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</si>
  <si>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</si>
  <si>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</si>
  <si>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</si>
  <si>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</si>
  <si>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</si>
  <si>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</si>
  <si>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</si>
  <si>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</si>
  <si>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t xml:space="preserve">A0206</t>
  </si>
  <si>
    <t xml:space="preserve">#0206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</si>
  <si>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</si>
  <si>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</si>
  <si>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</si>
  <si>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</si>
  <si>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</si>
  <si>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</si>
  <si>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</si>
  <si>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A0207</t>
  </si>
  <si>
    <t xml:space="preserve">#0207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</si>
  <si>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</si>
  <si>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</si>
  <si>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</si>
  <si>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</si>
  <si>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</si>
  <si>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</si>
  <si>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</si>
  <si>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t xml:space="preserve">A0208</t>
  </si>
  <si>
    <t xml:space="preserve">#0208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</si>
  <si>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</si>
  <si>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</si>
  <si>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</si>
  <si>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</si>
  <si>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</si>
  <si>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</si>
  <si>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</si>
  <si>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</si>
  <si>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t xml:space="preserve">A0209</t>
  </si>
  <si>
    <t xml:space="preserve">#0209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</si>
  <si>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</si>
  <si>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</si>
  <si>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</si>
  <si>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</si>
  <si>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</si>
  <si>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</si>
  <si>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</si>
  <si>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</si>
  <si>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A0210</t>
  </si>
  <si>
    <t xml:space="preserve">#0210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</si>
  <si>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</si>
  <si>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</si>
  <si>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</si>
  <si>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</si>
  <si>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</si>
  <si>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</si>
  <si>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</si>
  <si>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</si>
  <si>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A0211</t>
  </si>
  <si>
    <t xml:space="preserve">#0211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</si>
  <si>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</si>
  <si>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</si>
  <si>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</si>
  <si>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</si>
  <si>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</si>
  <si>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</si>
  <si>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t xml:space="preserve">A0212</t>
  </si>
  <si>
    <t xml:space="preserve">#0212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</si>
  <si>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</si>
  <si>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</si>
  <si>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</si>
  <si>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</si>
  <si>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</si>
  <si>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</si>
  <si>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</si>
  <si>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A0213</t>
  </si>
  <si>
    <t xml:space="preserve">#0213</t>
  </si>
  <si>
    <t xml:space="preserve">B024</t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</si>
  <si>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</si>
  <si>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</si>
  <si>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</si>
  <si>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</si>
  <si>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</si>
  <si>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</si>
  <si>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</si>
  <si>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</si>
  <si>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</si>
  <si>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A0214</t>
  </si>
  <si>
    <t xml:space="preserve">#0214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</si>
  <si>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</si>
  <si>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</si>
  <si>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</si>
  <si>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</si>
  <si>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</si>
  <si>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</si>
  <si>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</si>
  <si>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t xml:space="preserve">A0215</t>
  </si>
  <si>
    <t xml:space="preserve">#0215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</si>
  <si>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</si>
  <si>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</si>
  <si>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</si>
  <si>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</si>
  <si>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</si>
  <si>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</si>
  <si>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</si>
  <si>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t xml:space="preserve">A0216</t>
  </si>
  <si>
    <t xml:space="preserve">#0216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</si>
  <si>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</si>
  <si>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</si>
  <si>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</si>
  <si>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</si>
  <si>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</si>
  <si>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</si>
  <si>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</si>
  <si>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t xml:space="preserve">A0217</t>
  </si>
  <si>
    <t xml:space="preserve">#0217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</si>
  <si>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</si>
  <si>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</si>
  <si>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</si>
  <si>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</si>
  <si>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</si>
  <si>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</si>
  <si>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</si>
  <si>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A0218</t>
  </si>
  <si>
    <t xml:space="preserve">#0218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</si>
  <si>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</si>
  <si>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</si>
  <si>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</si>
  <si>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</si>
  <si>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</si>
  <si>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</si>
  <si>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</si>
  <si>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t xml:space="preserve">A0219</t>
  </si>
  <si>
    <t xml:space="preserve">#0219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</si>
  <si>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</si>
  <si>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</si>
  <si>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</si>
  <si>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</si>
  <si>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</si>
  <si>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</si>
  <si>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t xml:space="preserve">A0220</t>
  </si>
  <si>
    <t xml:space="preserve">#0220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</si>
  <si>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</si>
  <si>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</si>
  <si>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</si>
  <si>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</si>
  <si>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</si>
  <si>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</si>
  <si>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</si>
  <si>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A0221</t>
  </si>
  <si>
    <t xml:space="preserve">#0221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</si>
  <si>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</si>
  <si>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</si>
  <si>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</si>
  <si>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</si>
  <si>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</si>
  <si>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</si>
  <si>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t xml:space="preserve">A0222</t>
  </si>
  <si>
    <t xml:space="preserve">#0222</t>
  </si>
  <si>
    <t xml:space="preserve">B025</t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</si>
  <si>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</si>
  <si>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</si>
  <si>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</si>
  <si>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</si>
  <si>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</si>
  <si>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</si>
  <si>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</si>
  <si>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A0223</t>
  </si>
  <si>
    <t xml:space="preserve">#0223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</si>
  <si>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</si>
  <si>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</si>
  <si>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</si>
  <si>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</si>
  <si>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</si>
  <si>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</si>
  <si>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</si>
  <si>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</si>
  <si>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t xml:space="preserve">A0224</t>
  </si>
  <si>
    <t xml:space="preserve">#0224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</si>
  <si>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</si>
  <si>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</si>
  <si>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</si>
  <si>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</si>
  <si>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</si>
  <si>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</si>
  <si>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</si>
  <si>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t xml:space="preserve">A0225</t>
  </si>
  <si>
    <t xml:space="preserve">#0225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</si>
  <si>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</si>
  <si>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</si>
  <si>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</si>
  <si>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</si>
  <si>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</si>
  <si>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</si>
  <si>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</si>
  <si>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A0226</t>
  </si>
  <si>
    <t xml:space="preserve">#0226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</si>
  <si>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</si>
  <si>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</si>
  <si>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</si>
  <si>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</si>
  <si>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</si>
  <si>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</si>
  <si>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A0227</t>
  </si>
  <si>
    <t xml:space="preserve">#0227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</si>
  <si>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</si>
  <si>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</si>
  <si>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</si>
  <si>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</si>
  <si>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</si>
  <si>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</si>
  <si>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</si>
  <si>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t xml:space="preserve">A0228</t>
  </si>
  <si>
    <t xml:space="preserve">#0228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</si>
  <si>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</si>
  <si>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</si>
  <si>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</si>
  <si>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</si>
  <si>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</si>
  <si>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</si>
  <si>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</si>
  <si>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t xml:space="preserve">A0229</t>
  </si>
  <si>
    <t xml:space="preserve">#0229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</si>
  <si>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</si>
  <si>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</si>
  <si>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</si>
  <si>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</si>
  <si>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</si>
  <si>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</si>
  <si>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</si>
  <si>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</si>
  <si>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t xml:space="preserve">A0230</t>
  </si>
  <si>
    <t xml:space="preserve">#0230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</si>
  <si>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</si>
  <si>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</si>
  <si>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</si>
  <si>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</si>
  <si>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</si>
  <si>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</si>
  <si>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</si>
  <si>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A0231</t>
  </si>
  <si>
    <t xml:space="preserve">#0231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</si>
  <si>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</si>
  <si>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</si>
  <si>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</si>
  <si>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</si>
  <si>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</si>
  <si>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</si>
  <si>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</si>
  <si>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t xml:space="preserve">A0232</t>
  </si>
  <si>
    <t xml:space="preserve">#0232</t>
  </si>
  <si>
    <t xml:space="preserve">B026</t>
  </si>
  <si>
    <t xml:space="preserve">광야에서 왕좌로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</si>
  <si>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</si>
  <si>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</si>
  <si>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</si>
  <si>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</si>
  <si>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</si>
  <si>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</si>
  <si>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</si>
  <si>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t xml:space="preserve">A0233</t>
  </si>
  <si>
    <t xml:space="preserve">#0233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</si>
  <si>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</si>
  <si>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</si>
  <si>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</si>
  <si>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</si>
  <si>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</si>
  <si>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</si>
  <si>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</si>
  <si>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t xml:space="preserve">A0234</t>
  </si>
  <si>
    <t xml:space="preserve">#0234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</si>
  <si>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</si>
  <si>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</si>
  <si>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</si>
  <si>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</si>
  <si>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</si>
  <si>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</si>
  <si>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</si>
  <si>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A0235</t>
  </si>
  <si>
    <t xml:space="preserve">#0235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</si>
  <si>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</si>
  <si>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</si>
  <si>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</si>
  <si>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</si>
  <si>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</si>
  <si>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</si>
  <si>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</si>
  <si>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</si>
  <si>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t xml:space="preserve">A0236</t>
  </si>
  <si>
    <t xml:space="preserve">#0236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</si>
  <si>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</si>
  <si>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</si>
  <si>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</si>
  <si>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</si>
  <si>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</si>
  <si>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</si>
  <si>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</si>
  <si>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A0237</t>
  </si>
  <si>
    <t xml:space="preserve">#0237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</si>
  <si>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</si>
  <si>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</si>
  <si>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</si>
  <si>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</si>
  <si>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</si>
  <si>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</si>
  <si>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</si>
  <si>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</si>
  <si>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A0238</t>
  </si>
  <si>
    <t xml:space="preserve">#0238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</si>
  <si>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</si>
  <si>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</si>
  <si>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</si>
  <si>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</si>
  <si>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</si>
  <si>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</si>
  <si>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</si>
  <si>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</si>
  <si>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t xml:space="preserve">A0239</t>
  </si>
  <si>
    <t xml:space="preserve">#0239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</si>
  <si>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</si>
  <si>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</si>
  <si>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</si>
  <si>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</si>
  <si>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</si>
  <si>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</si>
  <si>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</si>
  <si>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A0240</t>
  </si>
  <si>
    <t xml:space="preserve">#0240</t>
  </si>
  <si>
    <t xml:space="preserve">B027</t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</si>
  <si>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</si>
  <si>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</si>
  <si>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</si>
  <si>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</si>
  <si>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</si>
  <si>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</si>
  <si>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</si>
  <si>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</si>
  <si>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A0241</t>
  </si>
  <si>
    <t xml:space="preserve">#0241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</si>
  <si>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</si>
  <si>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</si>
  <si>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</si>
  <si>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</si>
  <si>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</si>
  <si>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</si>
  <si>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</si>
  <si>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A0242</t>
  </si>
  <si>
    <t xml:space="preserve">#0242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</si>
  <si>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</si>
  <si>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</si>
  <si>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</si>
  <si>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</si>
  <si>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</si>
  <si>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</si>
  <si>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</si>
  <si>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t xml:space="preserve">A0243</t>
  </si>
  <si>
    <t xml:space="preserve">#0243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</si>
  <si>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</si>
  <si>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</si>
  <si>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</si>
  <si>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</si>
  <si>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</si>
  <si>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</si>
  <si>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</si>
  <si>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</si>
  <si>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t xml:space="preserve">A0244</t>
  </si>
  <si>
    <t xml:space="preserve">#0244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</si>
  <si>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</si>
  <si>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</si>
  <si>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</si>
  <si>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</si>
  <si>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</si>
  <si>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</si>
  <si>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</si>
  <si>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</si>
  <si>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A0245</t>
  </si>
  <si>
    <t xml:space="preserve">#0245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</si>
  <si>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</si>
  <si>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</si>
  <si>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</si>
  <si>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</si>
  <si>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</si>
  <si>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</si>
  <si>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</si>
  <si>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t xml:space="preserve">A0246</t>
  </si>
  <si>
    <t xml:space="preserve">#0246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</si>
  <si>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</si>
  <si>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</si>
  <si>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</si>
  <si>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</si>
  <si>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</si>
  <si>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</si>
  <si>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</si>
  <si>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</si>
  <si>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t xml:space="preserve">A0247</t>
  </si>
  <si>
    <t xml:space="preserve">#0247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</si>
  <si>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</si>
  <si>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</si>
  <si>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</si>
  <si>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</si>
  <si>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</si>
  <si>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</si>
  <si>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</si>
  <si>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t xml:space="preserve">A0248</t>
  </si>
  <si>
    <t xml:space="preserve">#0248</t>
  </si>
  <si>
    <t xml:space="preserve">B028</t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</si>
  <si>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</si>
  <si>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</si>
  <si>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</si>
  <si>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</si>
  <si>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</si>
  <si>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</si>
  <si>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</si>
  <si>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</si>
  <si>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</si>
  <si>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t xml:space="preserve">A0249</t>
  </si>
  <si>
    <t xml:space="preserve">#0249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</si>
  <si>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12:1-25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</si>
  <si>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</si>
  <si>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</si>
  <si>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</si>
  <si>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</si>
  <si>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</si>
  <si>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</si>
  <si>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A0250</t>
  </si>
  <si>
    <t xml:space="preserve">#0250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</si>
  <si>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</si>
  <si>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</si>
  <si>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</si>
  <si>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</si>
  <si>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</si>
  <si>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</si>
  <si>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</si>
  <si>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t xml:space="preserve">A0251</t>
  </si>
  <si>
    <t xml:space="preserve">#0251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</si>
  <si>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</si>
  <si>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</si>
  <si>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</si>
  <si>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</si>
  <si>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</si>
  <si>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</si>
  <si>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</si>
  <si>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A0252</t>
  </si>
  <si>
    <t xml:space="preserve">#0252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</si>
  <si>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</si>
  <si>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</si>
  <si>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</si>
  <si>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</si>
  <si>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</si>
  <si>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</si>
  <si>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</si>
  <si>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t xml:space="preserve">A0253</t>
  </si>
  <si>
    <t xml:space="preserve">#0253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</si>
  <si>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</si>
  <si>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</si>
  <si>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</si>
  <si>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</si>
  <si>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</si>
  <si>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</si>
  <si>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</si>
  <si>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t xml:space="preserve">A0254</t>
  </si>
  <si>
    <t xml:space="preserve">#0254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</si>
  <si>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</si>
  <si>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</si>
  <si>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</si>
  <si>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</si>
  <si>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</si>
  <si>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</si>
  <si>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</si>
  <si>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</si>
  <si>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A0255</t>
  </si>
  <si>
    <t xml:space="preserve">#0255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</si>
  <si>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</si>
  <si>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</si>
  <si>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</si>
  <si>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</si>
  <si>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</si>
  <si>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</si>
  <si>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</si>
  <si>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</si>
  <si>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t xml:space="preserve">A0256</t>
  </si>
  <si>
    <t xml:space="preserve">#0256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</si>
  <si>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</si>
  <si>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</si>
  <si>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</si>
  <si>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</si>
  <si>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</si>
  <si>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</si>
  <si>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</si>
  <si>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A0257</t>
  </si>
  <si>
    <t xml:space="preserve">#0257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</si>
  <si>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</si>
  <si>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</si>
  <si>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</si>
  <si>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</si>
  <si>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</si>
  <si>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</si>
  <si>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</si>
  <si>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t xml:space="preserve">A0258</t>
  </si>
  <si>
    <t xml:space="preserve">#0258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</si>
  <si>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</si>
  <si>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</si>
  <si>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</si>
  <si>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</si>
  <si>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</si>
  <si>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</si>
  <si>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</si>
  <si>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</si>
  <si>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A0259</t>
  </si>
  <si>
    <t xml:space="preserve">#0259</t>
  </si>
  <si>
    <t xml:space="preserve">B029</t>
  </si>
  <si>
    <t xml:space="preserve">지혜의 왕 솔로몬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</si>
  <si>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</si>
  <si>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</si>
  <si>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</si>
  <si>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</si>
  <si>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</si>
  <si>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</si>
  <si>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</si>
  <si>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</si>
  <si>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A0260</t>
  </si>
  <si>
    <t xml:space="preserve">#0260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</si>
  <si>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</si>
  <si>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</si>
  <si>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</si>
  <si>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</si>
  <si>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</si>
  <si>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</si>
  <si>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</si>
  <si>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A0261</t>
  </si>
  <si>
    <t xml:space="preserve">#0261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</si>
  <si>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</si>
  <si>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</si>
  <si>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</si>
  <si>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</si>
  <si>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</si>
  <si>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</si>
  <si>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</si>
  <si>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A0262</t>
  </si>
  <si>
    <t xml:space="preserve">#0262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</si>
  <si>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</si>
  <si>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</si>
  <si>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</si>
  <si>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</si>
  <si>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</si>
  <si>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</si>
  <si>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</si>
  <si>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</si>
  <si>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t xml:space="preserve">A0263</t>
  </si>
  <si>
    <t xml:space="preserve">#0263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</si>
  <si>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</si>
  <si>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</si>
  <si>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</si>
  <si>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</si>
  <si>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</si>
  <si>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솔로몬</t>
  </si>
  <si>
    <t xml:space="preserve">이스라엘 전성기</t>
  </si>
  <si>
    <t xml:space="preserve">A0264</t>
  </si>
  <si>
    <t xml:space="preserve">#0264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</si>
  <si>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</si>
  <si>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</si>
  <si>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</si>
  <si>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</si>
  <si>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</si>
  <si>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</si>
  <si>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</si>
  <si>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A0265</t>
  </si>
  <si>
    <t xml:space="preserve">#0265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</si>
  <si>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</si>
  <si>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</si>
  <si>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</si>
  <si>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</si>
  <si>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</si>
  <si>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</si>
  <si>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</si>
  <si>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A0266</t>
  </si>
  <si>
    <t xml:space="preserve">#0266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</si>
  <si>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</si>
  <si>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</si>
  <si>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</si>
  <si>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</si>
  <si>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</si>
  <si>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</si>
  <si>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</si>
  <si>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t xml:space="preserve">A0267</t>
  </si>
  <si>
    <t xml:space="preserve">#0267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</si>
  <si>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</si>
  <si>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</si>
  <si>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</si>
  <si>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</si>
  <si>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</si>
  <si>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</si>
  <si>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</si>
  <si>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A0268</t>
  </si>
  <si>
    <t xml:space="preserve">#0268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</si>
  <si>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</si>
  <si>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</si>
  <si>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</si>
  <si>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</si>
  <si>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</si>
  <si>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</si>
  <si>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</si>
  <si>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</si>
  <si>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A0269</t>
  </si>
  <si>
    <t xml:space="preserve">#0269</t>
  </si>
  <si>
    <t xml:space="preserve">B030</t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</si>
  <si>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</si>
  <si>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</si>
  <si>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</si>
  <si>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</si>
  <si>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</si>
  <si>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</si>
  <si>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</si>
  <si>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A0270</t>
  </si>
  <si>
    <t xml:space="preserve">#0270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</si>
  <si>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</si>
  <si>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</si>
  <si>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</si>
  <si>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</si>
  <si>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</si>
  <si>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</si>
  <si>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</si>
  <si>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t xml:space="preserve">A0271</t>
  </si>
  <si>
    <t xml:space="preserve">#0271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</si>
  <si>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</si>
  <si>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</si>
  <si>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</si>
  <si>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</si>
  <si>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</si>
  <si>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</si>
  <si>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</si>
  <si>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A0272</t>
  </si>
  <si>
    <t xml:space="preserve">#0272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</si>
  <si>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</si>
  <si>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</si>
  <si>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</si>
  <si>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</si>
  <si>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</si>
  <si>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</si>
  <si>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</si>
  <si>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A0273</t>
  </si>
  <si>
    <t xml:space="preserve">#0273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</si>
  <si>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</si>
  <si>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</si>
  <si>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</si>
  <si>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</si>
  <si>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</si>
  <si>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</si>
  <si>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</si>
  <si>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t xml:space="preserve">A0274</t>
  </si>
  <si>
    <t xml:space="preserve">#0274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</si>
  <si>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</si>
  <si>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</si>
  <si>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</si>
  <si>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</si>
  <si>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</si>
  <si>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</si>
  <si>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</si>
  <si>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A0275</t>
  </si>
  <si>
    <t xml:space="preserve">#0275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</si>
  <si>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</si>
  <si>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</si>
  <si>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</si>
  <si>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</si>
  <si>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</si>
  <si>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</si>
  <si>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</si>
  <si>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t xml:space="preserve">A0276</t>
  </si>
  <si>
    <t xml:space="preserve">#0276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</si>
  <si>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</si>
  <si>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</si>
  <si>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</si>
  <si>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</si>
  <si>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</si>
  <si>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</si>
  <si>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</si>
  <si>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</si>
  <si>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A0277</t>
  </si>
  <si>
    <t xml:space="preserve">#0277</t>
  </si>
  <si>
    <t xml:space="preserve">B031</t>
  </si>
  <si>
    <t xml:space="preserve">엘리야에서 엘리사로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</si>
  <si>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</si>
  <si>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</si>
  <si>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</si>
  <si>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</si>
  <si>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</si>
  <si>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</si>
  <si>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</si>
  <si>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</si>
  <si>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A0278</t>
  </si>
  <si>
    <t xml:space="preserve">#0278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</si>
  <si>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</si>
  <si>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</si>
  <si>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</si>
  <si>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</si>
  <si>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</si>
  <si>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</si>
  <si>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</si>
  <si>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A0279</t>
  </si>
  <si>
    <t xml:space="preserve">#0279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</si>
  <si>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</si>
  <si>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</si>
  <si>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</si>
  <si>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</si>
  <si>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</si>
  <si>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</si>
  <si>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</si>
  <si>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t xml:space="preserve">A0280</t>
  </si>
  <si>
    <t xml:space="preserve">#0280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</si>
  <si>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</si>
  <si>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</si>
  <si>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</si>
  <si>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</si>
  <si>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</si>
  <si>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</si>
  <si>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</si>
  <si>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t xml:space="preserve">A0281</t>
  </si>
  <si>
    <t xml:space="preserve">#0281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</si>
  <si>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</si>
  <si>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</si>
  <si>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</si>
  <si>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</si>
  <si>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</si>
  <si>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</si>
  <si>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</si>
  <si>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</si>
  <si>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A0282</t>
  </si>
  <si>
    <t xml:space="preserve">#0282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</si>
  <si>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</si>
  <si>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</si>
  <si>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</si>
  <si>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</si>
  <si>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</si>
  <si>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</si>
  <si>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</si>
  <si>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</si>
  <si>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</si>
  <si>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A0283</t>
  </si>
  <si>
    <t xml:space="preserve">#0283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</si>
  <si>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</si>
  <si>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</si>
  <si>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</si>
  <si>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</si>
  <si>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</si>
  <si>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</si>
  <si>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</si>
  <si>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</si>
  <si>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t xml:space="preserve">A0284</t>
  </si>
  <si>
    <t xml:space="preserve">#0284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</si>
  <si>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</si>
  <si>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</si>
  <si>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</si>
  <si>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</si>
  <si>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</si>
  <si>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</si>
  <si>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</si>
  <si>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</si>
  <si>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t xml:space="preserve">A0285</t>
  </si>
  <si>
    <t xml:space="preserve">#0285</t>
  </si>
  <si>
    <t xml:space="preserve">B032</t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</si>
  <si>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</si>
  <si>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</si>
  <si>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</si>
  <si>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</si>
  <si>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</si>
  <si>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</si>
  <si>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</si>
  <si>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</si>
  <si>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</si>
  <si>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t xml:space="preserve">A0286</t>
  </si>
  <si>
    <t xml:space="preserve">#0286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</si>
  <si>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</si>
  <si>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</si>
  <si>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</si>
  <si>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</si>
  <si>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</si>
  <si>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</si>
  <si>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</si>
  <si>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t xml:space="preserve">A0287</t>
  </si>
  <si>
    <t xml:space="preserve">#0287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</si>
  <si>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</si>
  <si>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</si>
  <si>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</si>
  <si>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</si>
  <si>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</si>
  <si>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</si>
  <si>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</si>
  <si>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t xml:space="preserve">A0288</t>
  </si>
  <si>
    <t xml:space="preserve">#0288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</si>
  <si>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</si>
  <si>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</si>
  <si>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</si>
  <si>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</si>
  <si>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</si>
  <si>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</si>
  <si>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</si>
  <si>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t xml:space="preserve">A0289</t>
  </si>
  <si>
    <t xml:space="preserve">#0289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</si>
  <si>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</si>
  <si>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</si>
  <si>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</si>
  <si>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</si>
  <si>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</si>
  <si>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</si>
  <si>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</si>
  <si>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t xml:space="preserve">A0290</t>
  </si>
  <si>
    <t xml:space="preserve">#0290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</si>
  <si>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</si>
  <si>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</si>
  <si>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</si>
  <si>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</si>
  <si>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</si>
  <si>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</si>
  <si>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</si>
  <si>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t xml:space="preserve">A0291</t>
  </si>
  <si>
    <t xml:space="preserve">#0291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</si>
  <si>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</si>
  <si>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</si>
  <si>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</si>
  <si>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</si>
  <si>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</si>
  <si>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</si>
  <si>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</si>
  <si>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A0292</t>
  </si>
  <si>
    <t xml:space="preserve">#0292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</si>
  <si>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</si>
  <si>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</si>
  <si>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</si>
  <si>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</si>
  <si>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</si>
  <si>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</si>
  <si>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</si>
  <si>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t xml:space="preserve">A0293</t>
  </si>
  <si>
    <t xml:space="preserve">#0293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</si>
  <si>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</si>
  <si>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</si>
  <si>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</si>
  <si>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</si>
  <si>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</si>
  <si>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</si>
  <si>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</si>
  <si>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</si>
  <si>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A0294</t>
  </si>
  <si>
    <t xml:space="preserve">#0294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</si>
  <si>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</si>
  <si>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</si>
  <si>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</si>
  <si>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</si>
  <si>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</si>
  <si>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</si>
  <si>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</si>
  <si>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t xml:space="preserve">A0295</t>
  </si>
  <si>
    <t xml:space="preserve">#0295</t>
  </si>
  <si>
    <t xml:space="preserve">B033</t>
  </si>
  <si>
    <t xml:space="preserve">북이스라엘의 멸망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</si>
  <si>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</si>
  <si>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</si>
  <si>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</si>
  <si>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</si>
  <si>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</si>
  <si>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</si>
  <si>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</si>
  <si>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t xml:space="preserve">A0296</t>
  </si>
  <si>
    <t xml:space="preserve">#0296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</si>
  <si>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</si>
  <si>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</si>
  <si>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</si>
  <si>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</si>
  <si>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</si>
  <si>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</si>
  <si>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</si>
  <si>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A0297</t>
  </si>
  <si>
    <t xml:space="preserve">#0297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</si>
  <si>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</si>
  <si>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</si>
  <si>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</si>
  <si>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</si>
  <si>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</si>
  <si>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</si>
  <si>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</si>
  <si>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t xml:space="preserve">A0298</t>
  </si>
  <si>
    <t xml:space="preserve">#0298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</si>
  <si>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</si>
  <si>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</si>
  <si>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</si>
  <si>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</si>
  <si>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</si>
  <si>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</si>
  <si>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</si>
  <si>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t xml:space="preserve">A0299</t>
  </si>
  <si>
    <t xml:space="preserve">#0299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</si>
  <si>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</si>
  <si>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</si>
  <si>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</si>
  <si>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</si>
  <si>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</si>
  <si>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</si>
  <si>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</si>
  <si>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</si>
  <si>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A0300</t>
  </si>
  <si>
    <t xml:space="preserve">#0300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</si>
  <si>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</si>
  <si>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</si>
  <si>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</si>
  <si>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</si>
  <si>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</si>
  <si>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</si>
  <si>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</si>
  <si>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A0301</t>
  </si>
  <si>
    <t xml:space="preserve">#0301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</si>
  <si>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</si>
  <si>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</si>
  <si>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</si>
  <si>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</si>
  <si>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</si>
  <si>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</si>
  <si>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t xml:space="preserve">A0302</t>
  </si>
  <si>
    <t xml:space="preserve">#0302</t>
  </si>
  <si>
    <t xml:space="preserve">B034</t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</si>
  <si>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</si>
  <si>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</si>
  <si>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</si>
  <si>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</si>
  <si>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</si>
  <si>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</si>
  <si>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</si>
  <si>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</si>
  <si>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t xml:space="preserve">A0303</t>
  </si>
  <si>
    <t xml:space="preserve">#0303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</si>
  <si>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</si>
  <si>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</si>
  <si>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</si>
  <si>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</si>
  <si>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</si>
  <si>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</si>
  <si>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</si>
  <si>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</si>
  <si>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t xml:space="preserve">A0304</t>
  </si>
  <si>
    <t xml:space="preserve">#0304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</si>
  <si>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</si>
  <si>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</si>
  <si>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</si>
  <si>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</si>
  <si>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</si>
  <si>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</si>
  <si>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</si>
  <si>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t xml:space="preserve">A0305</t>
  </si>
  <si>
    <t xml:space="preserve">#0305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</si>
  <si>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</si>
  <si>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</si>
  <si>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</si>
  <si>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</si>
  <si>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</si>
  <si>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</si>
  <si>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</si>
  <si>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A0306</t>
  </si>
  <si>
    <t xml:space="preserve">#0306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</si>
  <si>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</si>
  <si>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</si>
  <si>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</si>
  <si>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</si>
  <si>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</si>
  <si>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</si>
  <si>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t xml:space="preserve">A0307</t>
  </si>
  <si>
    <t xml:space="preserve">#0307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</si>
  <si>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</si>
  <si>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</si>
  <si>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</si>
  <si>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</si>
  <si>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</si>
  <si>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</si>
  <si>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</si>
  <si>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t xml:space="preserve">A0308</t>
  </si>
  <si>
    <t xml:space="preserve">#0308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</si>
  <si>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</si>
  <si>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</si>
  <si>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</si>
  <si>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</si>
  <si>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</si>
  <si>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</si>
  <si>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</si>
  <si>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A0309</t>
  </si>
  <si>
    <t xml:space="preserve">#0309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</si>
  <si>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</si>
  <si>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</si>
  <si>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</si>
  <si>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</si>
  <si>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</si>
  <si>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</si>
  <si>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</si>
  <si>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</si>
  <si>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t xml:space="preserve">A0310</t>
  </si>
  <si>
    <t xml:space="preserve">#0310</t>
  </si>
  <si>
    <t xml:space="preserve">B035</t>
  </si>
  <si>
    <t xml:space="preserve">역대기① 다윗과 예배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</si>
  <si>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</si>
  <si>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</si>
  <si>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</si>
  <si>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</si>
  <si>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</si>
  <si>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</si>
  <si>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</si>
  <si>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t xml:space="preserve">A0311</t>
  </si>
  <si>
    <t xml:space="preserve">#0311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</si>
  <si>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</si>
  <si>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</si>
  <si>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</si>
  <si>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</si>
  <si>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</si>
  <si>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</si>
  <si>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</si>
  <si>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</si>
  <si>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A0312</t>
  </si>
  <si>
    <t xml:space="preserve">#0312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</si>
  <si>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</si>
  <si>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</si>
  <si>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</si>
  <si>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</si>
  <si>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</si>
  <si>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</si>
  <si>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</si>
  <si>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A0313</t>
  </si>
  <si>
    <t xml:space="preserve">#0313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</si>
  <si>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</si>
  <si>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</si>
  <si>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</si>
  <si>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</si>
  <si>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</si>
  <si>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</si>
  <si>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</si>
  <si>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</si>
  <si>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t xml:space="preserve">#0314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</si>
  <si>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</si>
  <si>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</si>
  <si>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</si>
  <si>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</si>
  <si>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</si>
  <si>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</si>
  <si>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</si>
  <si>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A0315</t>
  </si>
  <si>
    <t xml:space="preserve">#0315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</si>
  <si>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</si>
  <si>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</si>
  <si>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</si>
  <si>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</si>
  <si>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</si>
  <si>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</si>
  <si>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</si>
  <si>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A0316</t>
  </si>
  <si>
    <t xml:space="preserve">#0316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</si>
  <si>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</si>
  <si>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</si>
  <si>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</si>
  <si>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</si>
  <si>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</si>
  <si>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</si>
  <si>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</si>
  <si>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A0317</t>
  </si>
  <si>
    <t xml:space="preserve">#0317</t>
  </si>
  <si>
    <t xml:space="preserve">B036</t>
  </si>
  <si>
    <t xml:space="preserve">역대기② 돌아오는 자를 받으시는 하나님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</si>
  <si>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</si>
  <si>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</si>
  <si>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</si>
  <si>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</si>
  <si>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</si>
  <si>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</si>
  <si>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</si>
  <si>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A0318</t>
  </si>
  <si>
    <t xml:space="preserve">#0318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</si>
  <si>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</si>
  <si>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</si>
  <si>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</si>
  <si>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</si>
  <si>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</si>
  <si>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</si>
  <si>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A0319</t>
  </si>
  <si>
    <t xml:space="preserve">#0319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</si>
  <si>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</si>
  <si>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</si>
  <si>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</si>
  <si>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</si>
  <si>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</si>
  <si>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</si>
  <si>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</si>
  <si>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t xml:space="preserve">A0320</t>
  </si>
  <si>
    <t xml:space="preserve">#0320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</si>
  <si>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</si>
  <si>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</si>
  <si>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</si>
  <si>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</si>
  <si>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</si>
  <si>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</si>
  <si>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</si>
  <si>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t xml:space="preserve">A0321</t>
  </si>
  <si>
    <t xml:space="preserve">#0321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</si>
  <si>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</si>
  <si>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</si>
  <si>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</si>
  <si>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</si>
  <si>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</si>
  <si>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</si>
  <si>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</si>
  <si>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A0322</t>
  </si>
  <si>
    <t xml:space="preserve">#0322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</si>
  <si>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</si>
  <si>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</si>
  <si>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</si>
  <si>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</si>
  <si>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</si>
  <si>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</si>
  <si>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</si>
  <si>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A0323</t>
  </si>
  <si>
    <t xml:space="preserve">#0323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</si>
  <si>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</si>
  <si>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</si>
  <si>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</si>
  <si>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</si>
  <si>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</si>
  <si>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</si>
  <si>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t xml:space="preserve">A0324</t>
  </si>
  <si>
    <t xml:space="preserve">#0324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</si>
  <si>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</si>
  <si>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</si>
  <si>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</si>
  <si>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</si>
  <si>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</si>
  <si>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</si>
  <si>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</si>
  <si>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A0325</t>
  </si>
  <si>
    <t xml:space="preserve">#0325</t>
  </si>
  <si>
    <t xml:space="preserve">B037</t>
  </si>
  <si>
    <t xml:space="preserve">돌아온 백성과 성전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</si>
  <si>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</si>
  <si>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</si>
  <si>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</si>
  <si>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</si>
  <si>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</si>
  <si>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</si>
  <si>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</si>
  <si>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</si>
  <si>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t xml:space="preserve">A0326</t>
  </si>
  <si>
    <t xml:space="preserve">#0326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</si>
  <si>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</si>
  <si>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</si>
  <si>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</si>
  <si>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</si>
  <si>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</si>
  <si>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</si>
  <si>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</si>
  <si>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t xml:space="preserve">A0327</t>
  </si>
  <si>
    <t xml:space="preserve">#0327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</si>
  <si>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</si>
  <si>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</si>
  <si>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</si>
  <si>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</si>
  <si>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</si>
  <si>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</si>
  <si>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</si>
  <si>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t xml:space="preserve">A0328</t>
  </si>
  <si>
    <t xml:space="preserve">#0328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</si>
  <si>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</si>
  <si>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</si>
  <si>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</si>
  <si>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</si>
  <si>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</si>
  <si>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</si>
  <si>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</si>
  <si>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t xml:space="preserve">A0329</t>
  </si>
  <si>
    <t xml:space="preserve">#0329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</si>
  <si>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</si>
  <si>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</si>
  <si>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</si>
  <si>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</si>
  <si>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</si>
  <si>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</si>
  <si>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</si>
  <si>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A0330</t>
  </si>
  <si>
    <t xml:space="preserve">#0330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</si>
  <si>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</si>
  <si>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</si>
  <si>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</si>
  <si>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</si>
  <si>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</si>
  <si>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</si>
  <si>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A0331</t>
  </si>
  <si>
    <t xml:space="preserve">#0331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</si>
  <si>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</si>
  <si>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</si>
  <si>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</si>
  <si>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</si>
  <si>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</si>
  <si>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</si>
  <si>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</si>
  <si>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t xml:space="preserve">A0332</t>
  </si>
  <si>
    <t xml:space="preserve">#0332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</si>
  <si>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</si>
  <si>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</si>
  <si>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</si>
  <si>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</si>
  <si>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</si>
  <si>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</si>
  <si>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</si>
  <si>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</si>
  <si>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A0333</t>
  </si>
  <si>
    <t xml:space="preserve">#0333</t>
  </si>
  <si>
    <t xml:space="preserve">B038</t>
  </si>
  <si>
    <t xml:space="preserve">성벽을 다시 세우다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</si>
  <si>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</si>
  <si>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</si>
  <si>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</si>
  <si>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</si>
  <si>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</si>
  <si>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</si>
  <si>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</si>
  <si>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</si>
  <si>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t xml:space="preserve">A0334</t>
  </si>
  <si>
    <t xml:space="preserve">#0334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</si>
  <si>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</si>
  <si>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</si>
  <si>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</si>
  <si>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</si>
  <si>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</si>
  <si>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</si>
  <si>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</si>
  <si>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A0335</t>
  </si>
  <si>
    <t xml:space="preserve">#0335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</si>
  <si>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</si>
  <si>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</si>
  <si>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</si>
  <si>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</si>
  <si>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</si>
  <si>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</si>
  <si>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</si>
  <si>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t xml:space="preserve">A0336</t>
  </si>
  <si>
    <t xml:space="preserve">#0336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</si>
  <si>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</si>
  <si>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</si>
  <si>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</si>
  <si>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</si>
  <si>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</si>
  <si>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</si>
  <si>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</si>
  <si>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t xml:space="preserve">A0337</t>
  </si>
  <si>
    <t xml:space="preserve">#0337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</si>
  <si>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</si>
  <si>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</si>
  <si>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</si>
  <si>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</si>
  <si>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</si>
  <si>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</si>
  <si>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t xml:space="preserve">A0338</t>
  </si>
  <si>
    <t xml:space="preserve">#0338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</si>
  <si>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</si>
  <si>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</si>
  <si>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</si>
  <si>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</si>
  <si>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</si>
  <si>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</si>
  <si>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</si>
  <si>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A0339</t>
  </si>
  <si>
    <t xml:space="preserve">#0339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</si>
  <si>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</si>
  <si>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</si>
  <si>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</si>
  <si>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</si>
  <si>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</si>
  <si>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</si>
  <si>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</si>
  <si>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t xml:space="preserve">A0340</t>
  </si>
  <si>
    <t xml:space="preserve">#0340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</si>
  <si>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</si>
  <si>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</si>
  <si>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</si>
  <si>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</si>
  <si>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</si>
  <si>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</si>
  <si>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</si>
  <si>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t xml:space="preserve">A0341</t>
  </si>
  <si>
    <t xml:space="preserve">#0341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</si>
  <si>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</si>
  <si>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</si>
  <si>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</si>
  <si>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</si>
  <si>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</si>
  <si>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</si>
  <si>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</si>
  <si>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A0342</t>
  </si>
  <si>
    <t xml:space="preserve">#0342</t>
  </si>
  <si>
    <t xml:space="preserve">B039</t>
  </si>
  <si>
    <t xml:space="preserve">왕비 에스더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</si>
  <si>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</si>
  <si>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</si>
  <si>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</si>
  <si>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</si>
  <si>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</si>
  <si>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</si>
  <si>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</si>
  <si>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</si>
  <si>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</si>
  <si>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A0343</t>
  </si>
  <si>
    <t xml:space="preserve">#0343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</si>
  <si>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</si>
  <si>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</si>
  <si>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</si>
  <si>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</si>
  <si>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</si>
  <si>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</si>
  <si>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</si>
  <si>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t xml:space="preserve">A0344</t>
  </si>
  <si>
    <t xml:space="preserve">#0344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</si>
  <si>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</si>
  <si>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</si>
  <si>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</si>
  <si>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</si>
  <si>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</si>
  <si>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</si>
  <si>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</si>
  <si>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t xml:space="preserve">A0345</t>
  </si>
  <si>
    <t xml:space="preserve">#0345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</si>
  <si>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</si>
  <si>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</si>
  <si>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</si>
  <si>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</si>
  <si>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</si>
  <si>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</si>
  <si>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</si>
  <si>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t xml:space="preserve">A0346</t>
  </si>
  <si>
    <t xml:space="preserve">#0346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</si>
  <si>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</si>
  <si>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</si>
  <si>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</si>
  <si>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</si>
  <si>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</si>
  <si>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</si>
  <si>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</si>
  <si>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A0347</t>
  </si>
  <si>
    <t xml:space="preserve">#0347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</si>
  <si>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</si>
  <si>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</si>
  <si>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</si>
  <si>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</si>
  <si>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</si>
  <si>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</si>
  <si>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</si>
  <si>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t xml:space="preserve">A0348</t>
  </si>
  <si>
    <t xml:space="preserve">#0348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</si>
  <si>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</si>
  <si>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</si>
  <si>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</si>
  <si>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</si>
  <si>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</si>
  <si>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</si>
  <si>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</si>
  <si>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t xml:space="preserve">A0349</t>
  </si>
  <si>
    <t xml:space="preserve">#0349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</si>
  <si>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</si>
  <si>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</si>
  <si>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</si>
  <si>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</si>
  <si>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</si>
  <si>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</si>
  <si>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A0350</t>
  </si>
  <si>
    <t xml:space="preserve">#0350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</si>
  <si>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</si>
  <si>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</si>
  <si>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</si>
  <si>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</si>
  <si>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</si>
  <si>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</si>
  <si>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t xml:space="preserve">A0351</t>
  </si>
  <si>
    <t xml:space="preserve">#0351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</si>
  <si>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</si>
  <si>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</si>
  <si>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</si>
  <si>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</si>
  <si>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</si>
  <si>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</si>
  <si>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</si>
  <si>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</si>
  <si>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A0352</t>
  </si>
  <si>
    <t xml:space="preserve">#0352</t>
  </si>
  <si>
    <t xml:space="preserve">B040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</si>
  <si>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</si>
  <si>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</si>
  <si>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</si>
  <si>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</si>
  <si>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</si>
  <si>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</si>
  <si>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</si>
  <si>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</si>
  <si>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</si>
  <si>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</si>
  <si>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t xml:space="preserve">A0353</t>
  </si>
  <si>
    <t xml:space="preserve">#0353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</si>
  <si>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</si>
  <si>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</si>
  <si>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</si>
  <si>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</si>
  <si>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</si>
  <si>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</si>
  <si>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</si>
  <si>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</si>
  <si>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A0354</t>
  </si>
  <si>
    <t xml:space="preserve">#0354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</si>
  <si>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</si>
  <si>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</si>
  <si>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</si>
  <si>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</si>
  <si>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</si>
  <si>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</si>
  <si>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</si>
  <si>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</si>
  <si>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A0355</t>
  </si>
  <si>
    <t xml:space="preserve">#0355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</si>
  <si>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</si>
  <si>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</si>
  <si>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</si>
  <si>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</si>
  <si>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</si>
  <si>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t xml:space="preserve">욥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</si>
  <si>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</si>
  <si>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</si>
  <si>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t xml:space="preserve">A0356</t>
  </si>
  <si>
    <t xml:space="preserve">#0356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</si>
  <si>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</si>
  <si>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</si>
  <si>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</si>
  <si>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</si>
  <si>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</si>
  <si>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</si>
  <si>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</si>
  <si>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A0357</t>
  </si>
  <si>
    <t xml:space="preserve">#0357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</si>
  <si>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</si>
  <si>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</si>
  <si>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</si>
  <si>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</si>
  <si>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</si>
  <si>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</si>
  <si>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</si>
  <si>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A0358</t>
  </si>
  <si>
    <t xml:space="preserve">#0358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</si>
  <si>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</si>
  <si>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</si>
  <si>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</si>
  <si>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</si>
  <si>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</si>
  <si>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A0359</t>
  </si>
  <si>
    <t xml:space="preserve">#0359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</si>
  <si>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</si>
  <si>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</si>
  <si>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</si>
  <si>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</si>
  <si>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</si>
  <si>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</si>
  <si>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</si>
  <si>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A0360</t>
  </si>
  <si>
    <t xml:space="preserve">#0360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</si>
  <si>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</si>
  <si>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</si>
  <si>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</si>
  <si>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</si>
  <si>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</si>
  <si>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</si>
  <si>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</si>
  <si>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</si>
  <si>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t xml:space="preserve">A0361</t>
  </si>
  <si>
    <t xml:space="preserve">#0361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</si>
  <si>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</si>
  <si>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</si>
  <si>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</si>
  <si>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</si>
  <si>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</si>
  <si>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</si>
  <si>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</si>
  <si>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t xml:space="preserve">A0362</t>
  </si>
  <si>
    <t xml:space="preserve">#0362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</si>
  <si>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</si>
  <si>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</si>
  <si>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</si>
  <si>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</si>
  <si>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</si>
  <si>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</si>
  <si>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</si>
  <si>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</si>
  <si>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t xml:space="preserve">A0363</t>
  </si>
  <si>
    <t xml:space="preserve">#0363</t>
  </si>
  <si>
    <t xml:space="preserve">B041</t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</si>
  <si>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</si>
  <si>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</si>
  <si>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</si>
  <si>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</si>
  <si>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</si>
  <si>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</si>
  <si>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</si>
  <si>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</si>
  <si>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</si>
  <si>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A0364</t>
  </si>
  <si>
    <t xml:space="preserve">#0364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</si>
  <si>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</si>
  <si>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</si>
  <si>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</si>
  <si>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</si>
  <si>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</si>
  <si>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</si>
  <si>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</si>
  <si>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</si>
  <si>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t xml:space="preserve">A0365</t>
  </si>
  <si>
    <t xml:space="preserve">#0365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</si>
  <si>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</si>
  <si>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</si>
  <si>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</si>
  <si>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</si>
  <si>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</si>
  <si>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다윗</t>
  </si>
  <si>
    <t xml:space="preserve">별이 가득한 밤하늘</t>
  </si>
  <si>
    <t xml:space="preserve">A0366</t>
  </si>
  <si>
    <t xml:space="preserve">#0366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</si>
  <si>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</si>
  <si>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</si>
  <si>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</si>
  <si>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</si>
  <si>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</si>
  <si>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</si>
  <si>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A0367</t>
  </si>
  <si>
    <t xml:space="preserve">#0367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</si>
  <si>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</si>
  <si>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</si>
  <si>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</si>
  <si>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</si>
  <si>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</si>
  <si>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</si>
  <si>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</si>
  <si>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</si>
  <si>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t xml:space="preserve">A0368</t>
  </si>
  <si>
    <t xml:space="preserve">#0368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</si>
  <si>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</si>
  <si>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</si>
  <si>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</si>
  <si>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</si>
  <si>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</si>
  <si>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</si>
  <si>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</si>
  <si>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</si>
  <si>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A0369</t>
  </si>
  <si>
    <t xml:space="preserve">#0369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</si>
  <si>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</si>
  <si>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</si>
  <si>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</si>
  <si>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</si>
  <si>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</si>
  <si>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</si>
  <si>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t xml:space="preserve">A0370</t>
  </si>
  <si>
    <t xml:space="preserve">#0370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</si>
  <si>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</si>
  <si>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</si>
  <si>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</si>
  <si>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</si>
  <si>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</si>
  <si>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</si>
  <si>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A0371</t>
  </si>
  <si>
    <t xml:space="preserve">#0371</t>
  </si>
  <si>
    <t xml:space="preserve">B042</t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</si>
  <si>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</si>
  <si>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</si>
  <si>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</si>
  <si>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</si>
  <si>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</si>
  <si>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</si>
  <si>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</si>
  <si>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</si>
  <si>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A0372</t>
  </si>
  <si>
    <t xml:space="preserve">#0372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</si>
  <si>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</si>
  <si>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</si>
  <si>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</si>
  <si>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</si>
  <si>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</si>
  <si>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</si>
  <si>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A0373</t>
  </si>
  <si>
    <t xml:space="preserve">#0373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</si>
  <si>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</si>
  <si>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</si>
  <si>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</si>
  <si>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</si>
  <si>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</si>
  <si>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</si>
  <si>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t xml:space="preserve">A0374</t>
  </si>
  <si>
    <t xml:space="preserve">#0374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</si>
  <si>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</si>
  <si>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</si>
  <si>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</si>
  <si>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</si>
  <si>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</si>
  <si>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</si>
  <si>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t xml:space="preserve">A0375</t>
  </si>
  <si>
    <t xml:space="preserve">#0375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</si>
  <si>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</si>
  <si>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</si>
  <si>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</si>
  <si>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</si>
  <si>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</si>
  <si>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</si>
  <si>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A0376</t>
  </si>
  <si>
    <t xml:space="preserve">#0376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</si>
  <si>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</si>
  <si>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</si>
  <si>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</si>
  <si>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</si>
  <si>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</si>
  <si>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</si>
  <si>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A0377</t>
  </si>
  <si>
    <t xml:space="preserve">#0377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</si>
  <si>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</si>
  <si>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</si>
  <si>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</si>
  <si>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</si>
  <si>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</si>
  <si>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</si>
  <si>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A0378</t>
  </si>
  <si>
    <t xml:space="preserve">#0378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</si>
  <si>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</si>
  <si>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</si>
  <si>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</si>
  <si>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</si>
  <si>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</si>
  <si>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</si>
  <si>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</si>
  <si>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</si>
  <si>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A0379</t>
  </si>
  <si>
    <t xml:space="preserve">#0379</t>
  </si>
  <si>
    <t xml:space="preserve">B043</t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</si>
  <si>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</si>
  <si>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</si>
  <si>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</si>
  <si>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</si>
  <si>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</si>
  <si>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</si>
  <si>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</si>
  <si>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A0380</t>
  </si>
  <si>
    <t xml:space="preserve">#0380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</si>
  <si>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</si>
  <si>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</si>
  <si>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</si>
  <si>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</si>
  <si>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</si>
  <si>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</si>
  <si>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</si>
  <si>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</si>
  <si>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A0381</t>
  </si>
  <si>
    <t xml:space="preserve">#0381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</si>
  <si>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</si>
  <si>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</si>
  <si>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</si>
  <si>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</si>
  <si>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</si>
  <si>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</si>
  <si>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</si>
  <si>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A0382</t>
  </si>
  <si>
    <t xml:space="preserve">#0382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</si>
  <si>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</si>
  <si>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</si>
  <si>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</si>
  <si>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</si>
  <si>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</si>
  <si>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</si>
  <si>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A0383</t>
  </si>
  <si>
    <t xml:space="preserve">#0383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</si>
  <si>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</si>
  <si>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</si>
  <si>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</si>
  <si>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</si>
  <si>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</si>
  <si>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A0384</t>
  </si>
  <si>
    <t xml:space="preserve">#0384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</si>
  <si>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</si>
  <si>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</si>
  <si>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</si>
  <si>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</si>
  <si>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</si>
  <si>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</si>
  <si>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</si>
  <si>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A0385</t>
  </si>
  <si>
    <t xml:space="preserve">#0385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</si>
  <si>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</si>
  <si>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</si>
  <si>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</si>
  <si>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</si>
  <si>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</si>
  <si>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</si>
  <si>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A0386</t>
  </si>
  <si>
    <t xml:space="preserve">#0386</t>
  </si>
  <si>
    <t xml:space="preserve">B044</t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</si>
  <si>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</si>
  <si>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</si>
  <si>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</si>
  <si>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</si>
  <si>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</si>
  <si>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</si>
  <si>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</si>
  <si>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</si>
  <si>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</si>
  <si>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A0387</t>
  </si>
  <si>
    <t xml:space="preserve">#0387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</si>
  <si>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</si>
  <si>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</si>
  <si>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</si>
  <si>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</si>
  <si>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</si>
  <si>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</si>
  <si>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A0388</t>
  </si>
  <si>
    <t xml:space="preserve">#0388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</si>
  <si>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</si>
  <si>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</si>
  <si>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</si>
  <si>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</si>
  <si>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</si>
  <si>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</si>
  <si>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</si>
  <si>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t xml:space="preserve">A0389</t>
  </si>
  <si>
    <t xml:space="preserve">#0389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</si>
  <si>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</si>
  <si>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</si>
  <si>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</si>
  <si>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</si>
  <si>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</si>
  <si>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</si>
  <si>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</si>
  <si>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A0390</t>
  </si>
  <si>
    <t xml:space="preserve">#0390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</si>
  <si>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</si>
  <si>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</si>
  <si>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</si>
  <si>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</si>
  <si>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</si>
  <si>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</si>
  <si>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</si>
  <si>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</si>
  <si>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t xml:space="preserve">#0391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</si>
  <si>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</si>
  <si>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</si>
  <si>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</si>
  <si>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</si>
  <si>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</si>
  <si>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</si>
  <si>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t xml:space="preserve">A0392</t>
  </si>
  <si>
    <t xml:space="preserve">#0392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</si>
  <si>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</si>
  <si>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</si>
  <si>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</si>
  <si>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</si>
  <si>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</si>
  <si>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t xml:space="preserve">A0393</t>
  </si>
  <si>
    <t xml:space="preserve">#0393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</si>
  <si>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</si>
  <si>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</si>
  <si>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</si>
  <si>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</si>
  <si>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</si>
  <si>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</si>
  <si>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</si>
  <si>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A0394</t>
  </si>
  <si>
    <t xml:space="preserve">#0394</t>
  </si>
  <si>
    <t xml:space="preserve">B045</t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</si>
  <si>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</si>
  <si>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</si>
  <si>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</si>
  <si>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</si>
  <si>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</si>
  <si>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</si>
  <si>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</si>
  <si>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</si>
  <si>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</si>
  <si>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t xml:space="preserve">A0395</t>
  </si>
  <si>
    <t xml:space="preserve">#0395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</si>
  <si>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</si>
  <si>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</si>
  <si>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</si>
  <si>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</si>
  <si>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</si>
  <si>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</si>
  <si>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t xml:space="preserve">A0396</t>
  </si>
  <si>
    <t xml:space="preserve">#0396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</si>
  <si>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</si>
  <si>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</si>
  <si>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</si>
  <si>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</si>
  <si>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</si>
  <si>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</si>
  <si>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</si>
  <si>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</si>
  <si>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A0397</t>
  </si>
  <si>
    <t xml:space="preserve">#0397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</si>
  <si>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</si>
  <si>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</si>
  <si>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</si>
  <si>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</si>
  <si>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</si>
  <si>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</si>
  <si>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</si>
  <si>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</si>
  <si>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A0398</t>
  </si>
  <si>
    <t xml:space="preserve">#0398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</si>
  <si>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</si>
  <si>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</si>
  <si>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</si>
  <si>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</si>
  <si>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</si>
  <si>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</si>
  <si>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</si>
  <si>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A0399</t>
  </si>
  <si>
    <t xml:space="preserve">#0399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</si>
  <si>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</si>
  <si>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</si>
  <si>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</si>
  <si>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</si>
  <si>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</si>
  <si>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</si>
  <si>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A0400</t>
  </si>
  <si>
    <t xml:space="preserve">#0400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</si>
  <si>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</si>
  <si>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</si>
  <si>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</si>
  <si>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</si>
  <si>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</si>
  <si>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</si>
  <si>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</si>
  <si>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A0401</t>
  </si>
  <si>
    <t xml:space="preserve">#0401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</si>
  <si>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</si>
  <si>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</si>
  <si>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</si>
  <si>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</si>
  <si>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</si>
  <si>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</si>
  <si>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</si>
  <si>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A0402</t>
  </si>
  <si>
    <t xml:space="preserve">#0402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</si>
  <si>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</si>
  <si>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</si>
  <si>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</si>
  <si>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</si>
  <si>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</si>
  <si>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</si>
  <si>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</si>
  <si>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A0403</t>
  </si>
  <si>
    <t xml:space="preserve">#0403</t>
  </si>
  <si>
    <t xml:space="preserve">B046</t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</si>
  <si>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</si>
  <si>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</si>
  <si>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</si>
  <si>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</si>
  <si>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</si>
  <si>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</si>
  <si>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</si>
  <si>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</si>
  <si>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</si>
  <si>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A0404</t>
  </si>
  <si>
    <t xml:space="preserve">#0404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</si>
  <si>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</si>
  <si>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</si>
  <si>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</si>
  <si>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</si>
  <si>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</si>
  <si>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</si>
  <si>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</si>
  <si>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t xml:space="preserve">A0405</t>
  </si>
  <si>
    <t xml:space="preserve">#0405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</si>
  <si>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</si>
  <si>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</si>
  <si>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</si>
  <si>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</si>
  <si>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</si>
  <si>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</si>
  <si>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t xml:space="preserve">A0406</t>
  </si>
  <si>
    <t xml:space="preserve">#0406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</si>
  <si>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</si>
  <si>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</si>
  <si>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</si>
  <si>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</si>
  <si>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</si>
  <si>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</si>
  <si>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A0407</t>
  </si>
  <si>
    <t xml:space="preserve">#0407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</si>
  <si>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</si>
  <si>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</si>
  <si>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</si>
  <si>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</si>
  <si>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</si>
  <si>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</si>
  <si>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</si>
  <si>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t xml:space="preserve">A0408</t>
  </si>
  <si>
    <t xml:space="preserve">#0408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</si>
  <si>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</si>
  <si>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</si>
  <si>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</si>
  <si>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</si>
  <si>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</si>
  <si>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</si>
  <si>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</si>
  <si>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</si>
  <si>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</si>
  <si>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A0409</t>
  </si>
  <si>
    <t xml:space="preserve">#0409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</si>
  <si>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</si>
  <si>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</si>
  <si>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</si>
  <si>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</si>
  <si>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</si>
  <si>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</si>
  <si>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</si>
  <si>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A0410</t>
  </si>
  <si>
    <t xml:space="preserve">#0410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</si>
  <si>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</si>
  <si>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</si>
  <si>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</si>
  <si>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</si>
  <si>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</si>
  <si>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</si>
  <si>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</si>
  <si>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A0411</t>
  </si>
  <si>
    <t xml:space="preserve">#0411</t>
  </si>
  <si>
    <t xml:space="preserve">B047</t>
  </si>
  <si>
    <t xml:space="preserve">이사야① 거룩하신 하나님과 임마누엘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</si>
  <si>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</si>
  <si>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</si>
  <si>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</si>
  <si>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</si>
  <si>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</si>
  <si>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</si>
  <si>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</si>
  <si>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</si>
  <si>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A0412</t>
  </si>
  <si>
    <t xml:space="preserve">#0412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</si>
  <si>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</si>
  <si>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</si>
  <si>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</si>
  <si>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</si>
  <si>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</si>
  <si>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</si>
  <si>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</si>
  <si>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A0413</t>
  </si>
  <si>
    <t xml:space="preserve">#0413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</si>
  <si>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</si>
  <si>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</si>
  <si>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</si>
  <si>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</si>
  <si>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</si>
  <si>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</si>
  <si>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</si>
  <si>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</si>
  <si>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t xml:space="preserve">A0414</t>
  </si>
  <si>
    <t xml:space="preserve">#0414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</si>
  <si>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</si>
  <si>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</si>
  <si>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</si>
  <si>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</si>
  <si>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</si>
  <si>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</si>
  <si>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</si>
  <si>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</si>
  <si>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A0415</t>
  </si>
  <si>
    <t xml:space="preserve">#0415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</si>
  <si>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</si>
  <si>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</si>
  <si>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</si>
  <si>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</si>
  <si>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</si>
  <si>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</si>
  <si>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</si>
  <si>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A0416</t>
  </si>
  <si>
    <t xml:space="preserve">#0416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</si>
  <si>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</si>
  <si>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</si>
  <si>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</si>
  <si>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</si>
  <si>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</si>
  <si>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</si>
  <si>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</si>
  <si>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t xml:space="preserve">A0417</t>
  </si>
  <si>
    <t xml:space="preserve">#0417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</si>
  <si>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</si>
  <si>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</si>
  <si>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</si>
  <si>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</si>
  <si>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</si>
  <si>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</si>
  <si>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</si>
  <si>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A0418</t>
  </si>
  <si>
    <t xml:space="preserve">#0418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</si>
  <si>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</si>
  <si>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</si>
  <si>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</si>
  <si>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</si>
  <si>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</si>
  <si>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</si>
  <si>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</si>
  <si>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A0419</t>
  </si>
  <si>
    <t xml:space="preserve">#0419</t>
  </si>
  <si>
    <t xml:space="preserve">B048</t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</si>
  <si>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</si>
  <si>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</si>
  <si>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</si>
  <si>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</si>
  <si>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</si>
  <si>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</si>
  <si>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</si>
  <si>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</si>
  <si>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A0420</t>
  </si>
  <si>
    <t xml:space="preserve">#0420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</si>
  <si>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</si>
  <si>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</si>
  <si>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</si>
  <si>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</si>
  <si>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</si>
  <si>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</si>
  <si>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</si>
  <si>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A0421</t>
  </si>
  <si>
    <t xml:space="preserve">#0421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</si>
  <si>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</si>
  <si>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</si>
  <si>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</si>
  <si>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</si>
  <si>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</si>
  <si>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</si>
  <si>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</si>
  <si>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A0422</t>
  </si>
  <si>
    <t xml:space="preserve">#0422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</si>
  <si>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</si>
  <si>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</si>
  <si>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</si>
  <si>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</si>
  <si>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</si>
  <si>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</si>
  <si>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</si>
  <si>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A0423</t>
  </si>
  <si>
    <t xml:space="preserve">#0423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</si>
  <si>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</si>
  <si>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</si>
  <si>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</si>
  <si>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</si>
  <si>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</si>
  <si>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</si>
  <si>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</si>
  <si>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A0424</t>
  </si>
  <si>
    <t xml:space="preserve">#0424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</si>
  <si>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</si>
  <si>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</si>
  <si>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</si>
  <si>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</si>
  <si>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</si>
  <si>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</si>
  <si>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</si>
  <si>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A0425</t>
  </si>
  <si>
    <t xml:space="preserve">#0425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</si>
  <si>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</si>
  <si>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</si>
  <si>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</si>
  <si>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</si>
  <si>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</si>
  <si>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</si>
  <si>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</si>
  <si>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A0426</t>
  </si>
  <si>
    <t xml:space="preserve">#0426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</si>
  <si>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</si>
  <si>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</si>
  <si>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</si>
  <si>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</si>
  <si>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</si>
  <si>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</si>
  <si>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t xml:space="preserve">A0427</t>
  </si>
  <si>
    <t xml:space="preserve">#0427</t>
  </si>
  <si>
    <t xml:space="preserve">B049</t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</si>
  <si>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</si>
  <si>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</si>
  <si>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</si>
  <si>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</si>
  <si>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</si>
  <si>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</si>
  <si>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</si>
  <si>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</si>
  <si>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t xml:space="preserve">A0428</t>
  </si>
  <si>
    <t xml:space="preserve">#0428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</si>
  <si>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</si>
  <si>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</si>
  <si>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</si>
  <si>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</si>
  <si>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</si>
  <si>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</si>
  <si>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</si>
  <si>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A0429</t>
  </si>
  <si>
    <t xml:space="preserve">#0429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</si>
  <si>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</si>
  <si>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</si>
  <si>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</si>
  <si>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</si>
  <si>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</si>
  <si>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</si>
  <si>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A0430</t>
  </si>
  <si>
    <t xml:space="preserve">#0430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</si>
  <si>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</si>
  <si>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</si>
  <si>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</si>
  <si>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</si>
  <si>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</si>
  <si>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</si>
  <si>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</si>
  <si>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</si>
  <si>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A0431</t>
  </si>
  <si>
    <t xml:space="preserve">#0431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</si>
  <si>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</si>
  <si>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</si>
  <si>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</si>
  <si>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</si>
  <si>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</si>
  <si>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</si>
  <si>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</si>
  <si>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</si>
  <si>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A0432</t>
  </si>
  <si>
    <t xml:space="preserve">#0432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</si>
  <si>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</si>
  <si>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</si>
  <si>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</si>
  <si>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</si>
  <si>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</si>
  <si>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</si>
  <si>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</si>
  <si>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</si>
  <si>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t xml:space="preserve">A0433</t>
  </si>
  <si>
    <t xml:space="preserve">#0433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</si>
  <si>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</si>
  <si>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</si>
  <si>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</si>
  <si>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</si>
  <si>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</si>
  <si>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</si>
  <si>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</si>
  <si>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t xml:space="preserve">A0434</t>
  </si>
  <si>
    <t xml:space="preserve">#0434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</si>
  <si>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</si>
  <si>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</si>
  <si>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</si>
  <si>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</si>
  <si>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</si>
  <si>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</si>
  <si>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A0435</t>
  </si>
  <si>
    <t xml:space="preserve">#0435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</si>
  <si>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</si>
  <si>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</si>
  <si>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</si>
  <si>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</si>
  <si>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</si>
  <si>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</si>
  <si>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</si>
  <si>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A0436</t>
  </si>
  <si>
    <t xml:space="preserve">#0436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</si>
  <si>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</si>
  <si>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</si>
  <si>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</si>
  <si>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</si>
  <si>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</si>
  <si>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</si>
  <si>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A0437</t>
  </si>
  <si>
    <t xml:space="preserve">#0437</t>
  </si>
  <si>
    <t xml:space="preserve">B050</t>
  </si>
  <si>
    <t xml:space="preserve">눈물의 선지자 예레미야①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</si>
  <si>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</si>
  <si>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</si>
  <si>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</si>
  <si>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</si>
  <si>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</si>
  <si>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</si>
  <si>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</si>
  <si>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</si>
  <si>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t xml:space="preserve">A0438</t>
  </si>
  <si>
    <t xml:space="preserve">#0438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</si>
  <si>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</si>
  <si>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</si>
  <si>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</si>
  <si>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</si>
  <si>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</si>
  <si>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</si>
  <si>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t xml:space="preserve">A0439</t>
  </si>
  <si>
    <t xml:space="preserve">#0439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</si>
  <si>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</si>
  <si>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</si>
  <si>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</si>
  <si>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</si>
  <si>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</si>
  <si>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</si>
  <si>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A0440</t>
  </si>
  <si>
    <t xml:space="preserve">#0440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</si>
  <si>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</si>
  <si>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</si>
  <si>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</si>
  <si>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</si>
  <si>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</si>
  <si>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</si>
  <si>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A0441</t>
  </si>
  <si>
    <t xml:space="preserve">#0441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</si>
  <si>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</si>
  <si>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</si>
  <si>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</si>
  <si>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</si>
  <si>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</si>
  <si>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</si>
  <si>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</si>
  <si>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A0442</t>
  </si>
  <si>
    <t xml:space="preserve">#0442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</si>
  <si>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</si>
  <si>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</si>
  <si>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</si>
  <si>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</si>
  <si>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</si>
  <si>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</si>
  <si>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A0443</t>
  </si>
  <si>
    <t xml:space="preserve">#0443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</si>
  <si>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</si>
  <si>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</si>
  <si>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</si>
  <si>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</si>
  <si>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</si>
  <si>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</si>
  <si>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A0444</t>
  </si>
  <si>
    <t xml:space="preserve">#0444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</si>
  <si>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</si>
  <si>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</si>
  <si>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</si>
  <si>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</si>
  <si>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</si>
  <si>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</si>
  <si>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</si>
  <si>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t xml:space="preserve">A0445</t>
  </si>
  <si>
    <t xml:space="preserve">#0445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</si>
  <si>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</si>
  <si>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</si>
  <si>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</si>
  <si>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</si>
  <si>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</si>
  <si>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</si>
  <si>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</si>
  <si>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t xml:space="preserve">A0446</t>
  </si>
  <si>
    <t xml:space="preserve">#0446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</si>
  <si>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</si>
  <si>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</si>
  <si>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</si>
  <si>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</si>
  <si>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</si>
  <si>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</si>
  <si>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</si>
  <si>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A0447</t>
  </si>
  <si>
    <t xml:space="preserve">#0447</t>
  </si>
  <si>
    <t xml:space="preserve">B051</t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</si>
  <si>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</si>
  <si>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</si>
  <si>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</si>
  <si>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</si>
  <si>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</si>
  <si>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</si>
  <si>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</si>
  <si>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A0448</t>
  </si>
  <si>
    <t xml:space="preserve">#0448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</si>
  <si>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</si>
  <si>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</si>
  <si>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</si>
  <si>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</si>
  <si>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</si>
  <si>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</si>
  <si>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</si>
  <si>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A0449</t>
  </si>
  <si>
    <t xml:space="preserve">#0449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</si>
  <si>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</si>
  <si>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</si>
  <si>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</si>
  <si>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</si>
  <si>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</si>
  <si>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</si>
  <si>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</si>
  <si>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</si>
  <si>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A0450</t>
  </si>
  <si>
    <t xml:space="preserve">#0450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</si>
  <si>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</si>
  <si>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</si>
  <si>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</si>
  <si>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</si>
  <si>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</si>
  <si>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</si>
  <si>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</si>
  <si>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t xml:space="preserve">A0451</t>
  </si>
  <si>
    <t xml:space="preserve">#0451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</si>
  <si>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</si>
  <si>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</si>
  <si>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</si>
  <si>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</si>
  <si>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</si>
  <si>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</si>
  <si>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</si>
  <si>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t xml:space="preserve">A0452</t>
  </si>
  <si>
    <t xml:space="preserve">#0452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</si>
  <si>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</si>
  <si>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</si>
  <si>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</si>
  <si>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</si>
  <si>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</si>
  <si>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</si>
  <si>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</si>
  <si>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A0453</t>
  </si>
  <si>
    <t xml:space="preserve">#0453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</si>
  <si>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</si>
  <si>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</si>
  <si>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</si>
  <si>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</si>
  <si>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</si>
  <si>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</si>
  <si>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</si>
  <si>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A0454</t>
  </si>
  <si>
    <t xml:space="preserve">#0454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</si>
  <si>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</si>
  <si>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</si>
  <si>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</si>
  <si>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</si>
  <si>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</si>
  <si>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</si>
  <si>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</si>
  <si>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t xml:space="preserve">A0455</t>
  </si>
  <si>
    <t xml:space="preserve">#0455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</si>
  <si>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</si>
  <si>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</si>
  <si>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</si>
  <si>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</si>
  <si>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</si>
  <si>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</si>
  <si>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</si>
  <si>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</si>
  <si>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t xml:space="preserve">A0456</t>
  </si>
  <si>
    <t xml:space="preserve">#0456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</si>
  <si>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</si>
  <si>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</si>
  <si>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</si>
  <si>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</si>
  <si>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</si>
  <si>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</si>
  <si>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</si>
  <si>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A0457</t>
  </si>
  <si>
    <t xml:space="preserve">#0457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</si>
  <si>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</si>
  <si>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</si>
  <si>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</si>
  <si>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</si>
  <si>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</si>
  <si>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</si>
  <si>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</si>
  <si>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</si>
  <si>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A0458</t>
  </si>
  <si>
    <t xml:space="preserve">#0458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</si>
  <si>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</si>
  <si>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</si>
  <si>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</si>
  <si>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</si>
  <si>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</si>
  <si>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</si>
  <si>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t xml:space="preserve">A0459</t>
  </si>
  <si>
    <t xml:space="preserve">#0459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</si>
  <si>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</si>
  <si>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</si>
  <si>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</si>
  <si>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</si>
  <si>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</si>
  <si>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</si>
  <si>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</si>
  <si>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t xml:space="preserve">A0460</t>
  </si>
  <si>
    <t xml:space="preserve">#0460</t>
  </si>
  <si>
    <t xml:space="preserve">B052</t>
  </si>
  <si>
    <t xml:space="preserve">포로 중의 선지자 에스겔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</si>
  <si>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</si>
  <si>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</si>
  <si>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</si>
  <si>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</si>
  <si>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</si>
  <si>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</si>
  <si>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</si>
  <si>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</si>
  <si>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</si>
  <si>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A0461</t>
  </si>
  <si>
    <t xml:space="preserve">#0461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</si>
  <si>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</si>
  <si>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</si>
  <si>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</si>
  <si>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</si>
  <si>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</si>
  <si>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</si>
  <si>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</si>
  <si>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A0462</t>
  </si>
  <si>
    <t xml:space="preserve">#0462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</si>
  <si>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</si>
  <si>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</si>
  <si>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</si>
  <si>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</si>
  <si>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</si>
  <si>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</si>
  <si>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A0463</t>
  </si>
  <si>
    <t xml:space="preserve">#0463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</si>
  <si>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</si>
  <si>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</si>
  <si>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</si>
  <si>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</si>
  <si>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</si>
  <si>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</si>
  <si>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</si>
  <si>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</si>
  <si>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A0464</t>
  </si>
  <si>
    <t xml:space="preserve">#0464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</si>
  <si>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</si>
  <si>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</si>
  <si>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</si>
  <si>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</si>
  <si>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</si>
  <si>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</si>
  <si>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A0465</t>
  </si>
  <si>
    <t xml:space="preserve">#0465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</si>
  <si>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</si>
  <si>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</si>
  <si>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</si>
  <si>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</si>
  <si>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</si>
  <si>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A0466</t>
  </si>
  <si>
    <t xml:space="preserve">#0466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</si>
  <si>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</si>
  <si>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</si>
  <si>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</si>
  <si>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</si>
  <si>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</si>
  <si>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</si>
  <si>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A0467</t>
  </si>
  <si>
    <t xml:space="preserve">#0467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</si>
  <si>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</si>
  <si>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</si>
  <si>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</si>
  <si>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</si>
  <si>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</si>
  <si>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</si>
  <si>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</si>
  <si>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A0468</t>
  </si>
  <si>
    <t xml:space="preserve">#0468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</si>
  <si>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</si>
  <si>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</si>
  <si>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</si>
  <si>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</si>
  <si>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</si>
  <si>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</si>
  <si>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A0469</t>
  </si>
  <si>
    <t xml:space="preserve">#0469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</si>
  <si>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</si>
  <si>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</si>
  <si>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</si>
  <si>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</si>
  <si>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</si>
  <si>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</si>
  <si>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</si>
  <si>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A0470</t>
  </si>
  <si>
    <t xml:space="preserve">#0470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</si>
  <si>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</si>
  <si>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</si>
  <si>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</si>
  <si>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</si>
  <si>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</si>
  <si>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</si>
  <si>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</si>
  <si>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A0471</t>
  </si>
  <si>
    <t xml:space="preserve">#0471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</si>
  <si>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</si>
  <si>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</si>
  <si>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</si>
  <si>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</si>
  <si>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</si>
  <si>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</si>
  <si>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</si>
  <si>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t xml:space="preserve">A0472</t>
  </si>
  <si>
    <t xml:space="preserve">#0472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</si>
  <si>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</si>
  <si>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</si>
  <si>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</si>
  <si>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</si>
  <si>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</si>
  <si>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</si>
  <si>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</si>
  <si>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t xml:space="preserve">A0473</t>
  </si>
  <si>
    <t xml:space="preserve">#0473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</si>
  <si>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</si>
  <si>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</si>
  <si>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</si>
  <si>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</si>
  <si>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</si>
  <si>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</si>
  <si>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</si>
  <si>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</si>
  <si>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A0474</t>
  </si>
  <si>
    <t xml:space="preserve">#0474</t>
  </si>
  <si>
    <t xml:space="preserve">B053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</si>
  <si>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</si>
  <si>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</si>
  <si>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</si>
  <si>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</si>
  <si>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</si>
  <si>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</si>
  <si>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</si>
  <si>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</si>
  <si>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</si>
  <si>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t xml:space="preserve">A0475</t>
  </si>
  <si>
    <t xml:space="preserve">#0475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</si>
  <si>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</si>
  <si>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</si>
  <si>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</si>
  <si>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</si>
  <si>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</si>
  <si>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</si>
  <si>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A0476</t>
  </si>
  <si>
    <t xml:space="preserve">#0476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</si>
  <si>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</si>
  <si>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</si>
  <si>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</si>
  <si>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</si>
  <si>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</si>
  <si>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</si>
  <si>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</si>
  <si>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A0477</t>
  </si>
  <si>
    <t xml:space="preserve">#0477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</si>
  <si>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</si>
  <si>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</si>
  <si>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</si>
  <si>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</si>
  <si>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</si>
  <si>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</si>
  <si>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</si>
  <si>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t xml:space="preserve">A0478</t>
  </si>
  <si>
    <t xml:space="preserve">#0478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</si>
  <si>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</si>
  <si>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</si>
  <si>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</si>
  <si>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</si>
  <si>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</si>
  <si>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</si>
  <si>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</si>
  <si>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</si>
  <si>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A0479</t>
  </si>
  <si>
    <t xml:space="preserve">#0479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</si>
  <si>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</si>
  <si>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</si>
  <si>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</si>
  <si>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</si>
  <si>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</si>
  <si>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</si>
  <si>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A0480</t>
  </si>
  <si>
    <t xml:space="preserve">#0480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</si>
  <si>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</si>
  <si>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</si>
  <si>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</si>
  <si>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</si>
  <si>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</si>
  <si>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</si>
  <si>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</si>
  <si>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A0481</t>
  </si>
  <si>
    <t xml:space="preserve">#0481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</si>
  <si>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</si>
  <si>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</si>
  <si>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</si>
  <si>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</si>
  <si>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</si>
  <si>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</si>
  <si>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</si>
  <si>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A0482</t>
  </si>
  <si>
    <t xml:space="preserve">#0482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</si>
  <si>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</si>
  <si>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</si>
  <si>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</si>
  <si>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</si>
  <si>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</si>
  <si>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</si>
  <si>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</si>
  <si>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A0483</t>
  </si>
  <si>
    <t xml:space="preserve">#0483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</si>
  <si>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</si>
  <si>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</si>
  <si>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</si>
  <si>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</si>
  <si>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</si>
  <si>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</si>
  <si>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</si>
  <si>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</si>
  <si>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t xml:space="preserve">A0484</t>
  </si>
  <si>
    <t xml:space="preserve">#0484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</si>
  <si>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</si>
  <si>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</si>
  <si>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</si>
  <si>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</si>
  <si>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</si>
  <si>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</si>
  <si>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</si>
  <si>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</si>
  <si>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A0485</t>
  </si>
  <si>
    <t xml:space="preserve">#0485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</si>
  <si>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</si>
  <si>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</si>
  <si>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</si>
  <si>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</si>
  <si>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</si>
  <si>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</si>
  <si>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</si>
  <si>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A0486</t>
  </si>
  <si>
    <t xml:space="preserve">#0486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</si>
  <si>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</si>
  <si>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</si>
  <si>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</si>
  <si>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</si>
  <si>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</si>
  <si>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</si>
  <si>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</si>
  <si>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</si>
  <si>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A0487</t>
  </si>
  <si>
    <t xml:space="preserve">#0487</t>
  </si>
  <si>
    <t xml:space="preserve">B054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</si>
  <si>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</si>
  <si>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</si>
  <si>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</si>
  <si>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</si>
  <si>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</si>
  <si>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</si>
  <si>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</si>
  <si>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</si>
  <si>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</si>
  <si>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</si>
  <si>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A0488</t>
  </si>
  <si>
    <t xml:space="preserve">#0488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</si>
  <si>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</si>
  <si>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</si>
  <si>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</si>
  <si>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</si>
  <si>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</si>
  <si>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</si>
  <si>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A0489</t>
  </si>
  <si>
    <t xml:space="preserve">#0489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</si>
  <si>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</si>
  <si>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</si>
  <si>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</si>
  <si>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</si>
  <si>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</si>
  <si>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</si>
  <si>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t xml:space="preserve">A0490</t>
  </si>
  <si>
    <t xml:space="preserve">#0490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</si>
  <si>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</si>
  <si>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</si>
  <si>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</si>
  <si>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</si>
  <si>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</si>
  <si>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</si>
  <si>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A0491</t>
  </si>
  <si>
    <t xml:space="preserve">#0491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</si>
  <si>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</si>
  <si>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</si>
  <si>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</si>
  <si>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</si>
  <si>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</si>
  <si>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</si>
  <si>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</si>
  <si>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A0492</t>
  </si>
  <si>
    <t xml:space="preserve">#0492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</si>
  <si>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</si>
  <si>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</si>
  <si>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</si>
  <si>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</si>
  <si>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</si>
  <si>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</si>
  <si>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</si>
  <si>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A0493</t>
  </si>
  <si>
    <t xml:space="preserve">#0493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</si>
  <si>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</si>
  <si>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</si>
  <si>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</si>
  <si>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</si>
  <si>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</si>
  <si>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</si>
  <si>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t xml:space="preserve">A0494</t>
  </si>
  <si>
    <t xml:space="preserve">#0494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</si>
  <si>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</si>
  <si>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</si>
  <si>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</si>
  <si>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</si>
  <si>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</si>
  <si>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</si>
  <si>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</si>
  <si>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A0495</t>
  </si>
  <si>
    <t xml:space="preserve">#0495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</si>
  <si>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</si>
  <si>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</si>
  <si>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</si>
  <si>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</si>
  <si>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</si>
  <si>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</si>
  <si>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t xml:space="preserve">A0496</t>
  </si>
  <si>
    <t xml:space="preserve">#0496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</si>
  <si>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</si>
  <si>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</si>
  <si>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</si>
  <si>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</si>
  <si>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</si>
  <si>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</si>
  <si>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</si>
  <si>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A0497</t>
  </si>
  <si>
    <t xml:space="preserve">#0497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</si>
  <si>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</si>
  <si>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</si>
  <si>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</si>
  <si>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</si>
  <si>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</si>
  <si>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</si>
  <si>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A0498</t>
  </si>
  <si>
    <t xml:space="preserve">#0498</t>
  </si>
  <si>
    <t xml:space="preserve">B055</t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</si>
  <si>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</si>
  <si>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</si>
  <si>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</si>
  <si>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</si>
  <si>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</si>
  <si>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</si>
  <si>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</si>
  <si>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</si>
  <si>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A0499</t>
  </si>
  <si>
    <t xml:space="preserve">#0499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</si>
  <si>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</si>
  <si>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</si>
  <si>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</si>
  <si>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</si>
  <si>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</si>
  <si>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</si>
  <si>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</si>
  <si>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t xml:space="preserve">A0500</t>
  </si>
  <si>
    <t xml:space="preserve">#0500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</si>
  <si>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</si>
  <si>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</si>
  <si>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</si>
  <si>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</si>
  <si>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</si>
  <si>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</si>
  <si>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</si>
  <si>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A0501</t>
  </si>
  <si>
    <t xml:space="preserve">#0501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</si>
  <si>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</si>
  <si>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</si>
  <si>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</si>
  <si>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</si>
  <si>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</si>
  <si>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</si>
  <si>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</si>
  <si>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A0502</t>
  </si>
  <si>
    <t xml:space="preserve">#0502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</si>
  <si>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</si>
  <si>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</si>
  <si>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</si>
  <si>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</si>
  <si>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</si>
  <si>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</si>
  <si>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</si>
  <si>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</si>
  <si>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A0503</t>
  </si>
  <si>
    <t xml:space="preserve">#0503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</si>
  <si>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</si>
  <si>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</si>
  <si>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</si>
  <si>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</si>
  <si>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</si>
  <si>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</si>
  <si>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</si>
  <si>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A0504</t>
  </si>
  <si>
    <t xml:space="preserve">#0504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</si>
  <si>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</si>
  <si>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</si>
  <si>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</si>
  <si>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</si>
  <si>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</si>
  <si>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</si>
  <si>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</si>
  <si>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A0505</t>
  </si>
  <si>
    <t xml:space="preserve">#0505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</si>
  <si>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</si>
  <si>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</si>
  <si>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</si>
  <si>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</si>
  <si>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</si>
  <si>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</si>
  <si>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t xml:space="preserve">A0506</t>
  </si>
  <si>
    <t xml:space="preserve">#0506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</si>
  <si>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</si>
  <si>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</si>
  <si>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</si>
  <si>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</si>
  <si>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</si>
  <si>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</si>
  <si>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</si>
  <si>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t xml:space="preserve">A0507</t>
  </si>
  <si>
    <t xml:space="preserve">#0507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</si>
  <si>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</si>
  <si>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</si>
  <si>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</si>
  <si>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</si>
  <si>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</si>
  <si>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</si>
  <si>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</si>
  <si>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</si>
  <si>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A0508</t>
  </si>
  <si>
    <t xml:space="preserve">#0508</t>
  </si>
  <si>
    <t xml:space="preserve">B056</t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</si>
  <si>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</si>
  <si>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</si>
  <si>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</si>
  <si>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</si>
  <si>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</si>
  <si>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</si>
  <si>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</si>
  <si>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</si>
  <si>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A0509</t>
  </si>
  <si>
    <t xml:space="preserve">#0509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</si>
  <si>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</si>
  <si>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</si>
  <si>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</si>
  <si>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</si>
  <si>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</si>
  <si>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</si>
  <si>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</si>
  <si>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t xml:space="preserve">A0510</t>
  </si>
  <si>
    <t xml:space="preserve">#0510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</si>
  <si>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</si>
  <si>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</si>
  <si>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</si>
  <si>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</si>
  <si>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</si>
  <si>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</si>
  <si>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t xml:space="preserve">A0511</t>
  </si>
  <si>
    <t xml:space="preserve">#0511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</si>
  <si>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</si>
  <si>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</si>
  <si>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</si>
  <si>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</si>
  <si>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</si>
  <si>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</si>
  <si>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</si>
  <si>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A0512</t>
  </si>
  <si>
    <t xml:space="preserve">#0512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</si>
  <si>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</si>
  <si>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</si>
  <si>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</si>
  <si>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</si>
  <si>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</si>
  <si>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</si>
  <si>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A0513</t>
  </si>
  <si>
    <t xml:space="preserve">#0513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</si>
  <si>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</si>
  <si>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</si>
  <si>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</si>
  <si>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</si>
  <si>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</si>
  <si>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</si>
  <si>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</si>
  <si>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</si>
  <si>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A0514</t>
  </si>
  <si>
    <t xml:space="preserve">#0514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</si>
  <si>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</si>
  <si>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</si>
  <si>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</si>
  <si>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</si>
  <si>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</si>
  <si>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</si>
  <si>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</si>
  <si>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A0515</t>
  </si>
  <si>
    <t xml:space="preserve">#0515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</si>
  <si>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</si>
  <si>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</si>
  <si>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</si>
  <si>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</si>
  <si>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</si>
  <si>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</si>
  <si>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</si>
  <si>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</si>
  <si>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</si>
  <si>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A0516</t>
  </si>
  <si>
    <t xml:space="preserve">#0516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</si>
  <si>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</si>
  <si>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</si>
  <si>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</si>
  <si>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</si>
  <si>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</si>
  <si>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</si>
  <si>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</si>
  <si>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A0517</t>
  </si>
  <si>
    <t xml:space="preserve">#0517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</si>
  <si>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</si>
  <si>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</si>
  <si>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</si>
  <si>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</si>
  <si>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</si>
  <si>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</si>
  <si>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</si>
  <si>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A0518</t>
  </si>
  <si>
    <t xml:space="preserve">#0518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</si>
  <si>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</si>
  <si>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</si>
  <si>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</si>
  <si>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</si>
  <si>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</si>
  <si>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</si>
  <si>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</si>
  <si>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A0519</t>
  </si>
  <si>
    <t xml:space="preserve">#0519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</si>
  <si>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</si>
  <si>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</si>
  <si>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</si>
  <si>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</si>
  <si>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</si>
  <si>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</si>
  <si>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</si>
  <si>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</si>
  <si>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A0520</t>
  </si>
  <si>
    <t xml:space="preserve">#0520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</si>
  <si>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</si>
  <si>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</si>
  <si>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</si>
  <si>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</si>
  <si>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</si>
  <si>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</si>
  <si>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</si>
  <si>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</si>
  <si>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A0521</t>
  </si>
  <si>
    <t xml:space="preserve">#0521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</si>
  <si>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</si>
  <si>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</si>
  <si>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</si>
  <si>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</si>
  <si>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</si>
  <si>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</si>
  <si>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</si>
  <si>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t xml:space="preserve">A0522</t>
  </si>
  <si>
    <t xml:space="preserve">#0522</t>
  </si>
  <si>
    <t xml:space="preserve">B057</t>
  </si>
  <si>
    <t xml:space="preserve">왕이 오시다</t>
  </si>
  <si>
    <t xml:space="preserve">신약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</si>
  <si>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</si>
  <si>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</si>
  <si>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</si>
  <si>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</si>
  <si>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</si>
  <si>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</si>
  <si>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</si>
  <si>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t xml:space="preserve">A0523</t>
  </si>
  <si>
    <t xml:space="preserve">#0523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</si>
  <si>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</si>
  <si>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</si>
  <si>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</si>
  <si>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</si>
  <si>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</si>
  <si>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</si>
  <si>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</si>
  <si>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</si>
  <si>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t xml:space="preserve">A0524</t>
  </si>
  <si>
    <t xml:space="preserve">#0524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</si>
  <si>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</si>
  <si>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</si>
  <si>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</si>
  <si>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</si>
  <si>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</si>
  <si>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</si>
  <si>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</si>
  <si>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</si>
  <si>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A0525</t>
  </si>
  <si>
    <t xml:space="preserve">#0525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</si>
  <si>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</si>
  <si>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</si>
  <si>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</si>
  <si>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</si>
  <si>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</si>
  <si>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</si>
  <si>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</si>
  <si>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</si>
  <si>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t xml:space="preserve">A0526</t>
  </si>
  <si>
    <t xml:space="preserve">#0526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</si>
  <si>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</si>
  <si>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</si>
  <si>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</si>
  <si>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</si>
  <si>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</si>
  <si>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</si>
  <si>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</si>
  <si>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t xml:space="preserve">A0527</t>
  </si>
  <si>
    <t xml:space="preserve">#0527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</si>
  <si>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</si>
  <si>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</si>
  <si>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</si>
  <si>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</si>
  <si>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</si>
  <si>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</si>
  <si>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</si>
  <si>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</si>
  <si>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A0528</t>
  </si>
  <si>
    <t xml:space="preserve">#0528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</si>
  <si>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</si>
  <si>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</si>
  <si>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</si>
  <si>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</si>
  <si>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</si>
  <si>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</si>
  <si>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</si>
  <si>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</si>
  <si>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t xml:space="preserve">A0529</t>
  </si>
  <si>
    <t xml:space="preserve">#0529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</si>
  <si>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</si>
  <si>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</si>
  <si>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</si>
  <si>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</si>
  <si>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</si>
  <si>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</si>
  <si>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</si>
  <si>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A0530</t>
  </si>
  <si>
    <t xml:space="preserve">#0530</t>
  </si>
  <si>
    <t xml:space="preserve">B058</t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</si>
  <si>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</si>
  <si>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</si>
  <si>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</si>
  <si>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</si>
  <si>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</si>
  <si>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</si>
  <si>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</si>
  <si>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</si>
  <si>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A0531</t>
  </si>
  <si>
    <t xml:space="preserve">#0531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</si>
  <si>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</si>
  <si>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</si>
  <si>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</si>
  <si>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</si>
  <si>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</si>
  <si>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</si>
  <si>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</si>
  <si>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A0532</t>
  </si>
  <si>
    <t xml:space="preserve">#0532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</si>
  <si>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</si>
  <si>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</si>
  <si>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</si>
  <si>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</si>
  <si>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</si>
  <si>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t xml:space="preserve">A0533</t>
  </si>
  <si>
    <t xml:space="preserve">#0533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</si>
  <si>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</si>
  <si>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</si>
  <si>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</si>
  <si>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</si>
  <si>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</si>
  <si>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A0534</t>
  </si>
  <si>
    <t xml:space="preserve">#0534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</si>
  <si>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</si>
  <si>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</si>
  <si>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</si>
  <si>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</si>
  <si>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</si>
  <si>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</si>
  <si>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</si>
  <si>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t xml:space="preserve">A0535</t>
  </si>
  <si>
    <t xml:space="preserve">#0535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</si>
  <si>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</si>
  <si>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</si>
  <si>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</si>
  <si>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</si>
  <si>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</si>
  <si>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</si>
  <si>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A0536</t>
  </si>
  <si>
    <t xml:space="preserve">#0536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</si>
  <si>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</si>
  <si>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</si>
  <si>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</si>
  <si>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</si>
  <si>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</si>
  <si>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</si>
  <si>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t xml:space="preserve">A0537</t>
  </si>
  <si>
    <t xml:space="preserve">#0537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</si>
  <si>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</si>
  <si>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</si>
  <si>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</si>
  <si>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</si>
  <si>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</si>
  <si>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</si>
  <si>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t xml:space="preserve">A0538</t>
  </si>
  <si>
    <t xml:space="preserve">#0538</t>
  </si>
  <si>
    <t xml:space="preserve">B059</t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</si>
  <si>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</si>
  <si>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</si>
  <si>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</si>
  <si>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</si>
  <si>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</si>
  <si>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</si>
  <si>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</si>
  <si>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</si>
  <si>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A0539</t>
  </si>
  <si>
    <t xml:space="preserve">#0539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</si>
  <si>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</si>
  <si>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</si>
  <si>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</si>
  <si>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</si>
  <si>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</si>
  <si>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</si>
  <si>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A0540</t>
  </si>
  <si>
    <t xml:space="preserve">#0540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</si>
  <si>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</si>
  <si>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</si>
  <si>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</si>
  <si>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</si>
  <si>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</si>
  <si>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</si>
  <si>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</si>
  <si>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</si>
  <si>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t xml:space="preserve">A0541</t>
  </si>
  <si>
    <t xml:space="preserve">#0541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</si>
  <si>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</si>
  <si>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</si>
  <si>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</si>
  <si>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</si>
  <si>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</si>
  <si>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</si>
  <si>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</si>
  <si>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t xml:space="preserve">A0542</t>
  </si>
  <si>
    <t xml:space="preserve">#0542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</si>
  <si>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</si>
  <si>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</si>
  <si>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</si>
  <si>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</si>
  <si>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</si>
  <si>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</si>
  <si>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</si>
  <si>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t xml:space="preserve">A0543</t>
  </si>
  <si>
    <t xml:space="preserve">#0543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</si>
  <si>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</si>
  <si>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</si>
  <si>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</si>
  <si>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</si>
  <si>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</si>
  <si>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</si>
  <si>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</si>
  <si>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t xml:space="preserve">A0544</t>
  </si>
  <si>
    <t xml:space="preserve">#0544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</si>
  <si>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</si>
  <si>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</si>
  <si>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</si>
  <si>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</si>
  <si>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</si>
  <si>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</si>
  <si>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</si>
  <si>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A0545</t>
  </si>
  <si>
    <t xml:space="preserve">#0545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</si>
  <si>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</si>
  <si>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</si>
  <si>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</si>
  <si>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</si>
  <si>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</si>
  <si>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</si>
  <si>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</si>
  <si>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</si>
  <si>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A0546</t>
  </si>
  <si>
    <t xml:space="preserve">#0546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</si>
  <si>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</si>
  <si>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</si>
  <si>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</si>
  <si>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</si>
  <si>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</si>
  <si>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</si>
  <si>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</si>
  <si>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</si>
  <si>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t xml:space="preserve">A0547</t>
  </si>
  <si>
    <t xml:space="preserve">#0547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</si>
  <si>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13:24-52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</si>
  <si>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</si>
  <si>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</si>
  <si>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</si>
  <si>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</si>
  <si>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</si>
  <si>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</si>
  <si>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t xml:space="preserve">A0548</t>
  </si>
  <si>
    <t xml:space="preserve">#0548</t>
  </si>
  <si>
    <t xml:space="preserve">B060</t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</si>
  <si>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</si>
  <si>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</si>
  <si>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</si>
  <si>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</si>
  <si>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</si>
  <si>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</si>
  <si>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</si>
  <si>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</si>
  <si>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</si>
  <si>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A0549</t>
  </si>
  <si>
    <t xml:space="preserve">#0549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</si>
  <si>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</si>
  <si>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</si>
  <si>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</si>
  <si>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</si>
  <si>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</si>
  <si>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</si>
  <si>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t xml:space="preserve">A0550</t>
  </si>
  <si>
    <t xml:space="preserve">#0550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</si>
  <si>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</si>
  <si>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</si>
  <si>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</si>
  <si>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</si>
  <si>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</si>
  <si>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</si>
  <si>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</si>
  <si>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A0551</t>
  </si>
  <si>
    <t xml:space="preserve">#0551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</si>
  <si>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</si>
  <si>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</si>
  <si>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</si>
  <si>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</si>
  <si>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</si>
  <si>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</si>
  <si>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</si>
  <si>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t xml:space="preserve">A0552</t>
  </si>
  <si>
    <t xml:space="preserve">#0552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</si>
  <si>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</si>
  <si>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</si>
  <si>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</si>
  <si>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</si>
  <si>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</si>
  <si>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</si>
  <si>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</si>
  <si>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t xml:space="preserve">A0553</t>
  </si>
  <si>
    <t xml:space="preserve">#0553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</si>
  <si>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</si>
  <si>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</si>
  <si>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</si>
  <si>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</si>
  <si>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</si>
  <si>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</si>
  <si>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</si>
  <si>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t xml:space="preserve">A0554</t>
  </si>
  <si>
    <t xml:space="preserve">#0554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</si>
  <si>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</si>
  <si>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</si>
  <si>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</si>
  <si>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</si>
  <si>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</si>
  <si>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</si>
  <si>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</si>
  <si>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A0555</t>
  </si>
  <si>
    <t xml:space="preserve">#0555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</si>
  <si>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</si>
  <si>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</si>
  <si>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</si>
  <si>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</si>
  <si>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</si>
  <si>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</si>
  <si>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</si>
  <si>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A0556</t>
  </si>
  <si>
    <t xml:space="preserve">#0556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</si>
  <si>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</si>
  <si>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</si>
  <si>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</si>
  <si>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</si>
  <si>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</si>
  <si>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</si>
  <si>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</si>
  <si>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t xml:space="preserve">A0557</t>
  </si>
  <si>
    <t xml:space="preserve">#0557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</si>
  <si>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</si>
  <si>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</si>
  <si>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</si>
  <si>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</si>
  <si>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</si>
  <si>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</si>
  <si>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</si>
  <si>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A0558</t>
  </si>
  <si>
    <t xml:space="preserve">#0558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</si>
  <si>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</si>
  <si>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</si>
  <si>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</si>
  <si>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</si>
  <si>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</si>
  <si>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</si>
  <si>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</si>
  <si>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t xml:space="preserve">A0559</t>
  </si>
  <si>
    <t xml:space="preserve">#0559</t>
  </si>
  <si>
    <t xml:space="preserve">B061</t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</si>
  <si>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</si>
  <si>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</si>
  <si>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</si>
  <si>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</si>
  <si>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</si>
  <si>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</si>
  <si>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</si>
  <si>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A0560</t>
  </si>
  <si>
    <t xml:space="preserve">#0560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</si>
  <si>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</si>
  <si>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</si>
  <si>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</si>
  <si>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</si>
  <si>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</si>
  <si>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</si>
  <si>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A0561</t>
  </si>
  <si>
    <t xml:space="preserve">#0561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</si>
  <si>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</si>
  <si>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</si>
  <si>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</si>
  <si>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</si>
  <si>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</si>
  <si>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</si>
  <si>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t xml:space="preserve">A0562</t>
  </si>
  <si>
    <t xml:space="preserve">#0562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</si>
  <si>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</si>
  <si>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</si>
  <si>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</si>
  <si>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</si>
  <si>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</si>
  <si>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</si>
  <si>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</si>
  <si>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t xml:space="preserve">A0563</t>
  </si>
  <si>
    <t xml:space="preserve">#0563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</si>
  <si>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</si>
  <si>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</si>
  <si>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</si>
  <si>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</si>
  <si>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</si>
  <si>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</si>
  <si>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</si>
  <si>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t xml:space="preserve">A0564</t>
  </si>
  <si>
    <t xml:space="preserve">#0564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</si>
  <si>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</si>
  <si>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</si>
  <si>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</si>
  <si>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</si>
  <si>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</si>
  <si>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</si>
  <si>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</si>
  <si>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t xml:space="preserve">A0565</t>
  </si>
  <si>
    <t xml:space="preserve">#0565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</si>
  <si>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</si>
  <si>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</si>
  <si>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</si>
  <si>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</si>
  <si>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</si>
  <si>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</si>
  <si>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</si>
  <si>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</si>
  <si>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t xml:space="preserve">A0566</t>
  </si>
  <si>
    <t xml:space="preserve">#0566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</si>
  <si>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</si>
  <si>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</si>
  <si>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</si>
  <si>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</si>
  <si>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</si>
  <si>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</si>
  <si>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</si>
  <si>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A0567</t>
  </si>
  <si>
    <t xml:space="preserve">#0567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</si>
  <si>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</si>
  <si>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</si>
  <si>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</si>
  <si>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</si>
  <si>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</si>
  <si>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</si>
  <si>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</si>
  <si>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</si>
  <si>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t xml:space="preserve">A0568</t>
  </si>
  <si>
    <t xml:space="preserve">#0568</t>
  </si>
  <si>
    <t xml:space="preserve">B062</t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</si>
  <si>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</si>
  <si>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</si>
  <si>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</si>
  <si>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</si>
  <si>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</si>
  <si>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</si>
  <si>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</si>
  <si>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</si>
  <si>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A0569</t>
  </si>
  <si>
    <t xml:space="preserve">#0569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</si>
  <si>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</si>
  <si>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</si>
  <si>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</si>
  <si>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</si>
  <si>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</si>
  <si>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</si>
  <si>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</si>
  <si>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t xml:space="preserve">A0570</t>
  </si>
  <si>
    <t xml:space="preserve">#0570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</si>
  <si>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</si>
  <si>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</si>
  <si>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</si>
  <si>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</si>
  <si>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</si>
  <si>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</si>
  <si>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</si>
  <si>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A0571</t>
  </si>
  <si>
    <t xml:space="preserve">#0571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</si>
  <si>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</si>
  <si>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</si>
  <si>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</si>
  <si>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</si>
  <si>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</si>
  <si>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</si>
  <si>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</si>
  <si>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A0572</t>
  </si>
  <si>
    <t xml:space="preserve">#0572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</si>
  <si>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</si>
  <si>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</si>
  <si>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</si>
  <si>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</si>
  <si>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</si>
  <si>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</si>
  <si>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</si>
  <si>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</si>
  <si>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t xml:space="preserve">A0573</t>
  </si>
  <si>
    <t xml:space="preserve">#0573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</si>
  <si>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</si>
  <si>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</si>
  <si>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</si>
  <si>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</si>
  <si>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</si>
  <si>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</si>
  <si>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</si>
  <si>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</si>
  <si>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A0574</t>
  </si>
  <si>
    <t xml:space="preserve">#0574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</si>
  <si>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</si>
  <si>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</si>
  <si>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</si>
  <si>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</si>
  <si>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</si>
  <si>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</si>
  <si>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</si>
  <si>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A0575</t>
  </si>
  <si>
    <t xml:space="preserve">#0575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</si>
  <si>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</si>
  <si>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</si>
  <si>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</si>
  <si>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</si>
  <si>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</si>
  <si>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</si>
  <si>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</si>
  <si>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A0576</t>
  </si>
  <si>
    <t xml:space="preserve">#0576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</si>
  <si>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</si>
  <si>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</si>
  <si>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</si>
  <si>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</si>
  <si>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</si>
  <si>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</si>
  <si>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A0577</t>
  </si>
  <si>
    <t xml:space="preserve">#0577</t>
  </si>
  <si>
    <t xml:space="preserve">B063</t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</si>
  <si>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</si>
  <si>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</si>
  <si>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</si>
  <si>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</si>
  <si>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</si>
  <si>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</si>
  <si>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</si>
  <si>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</si>
  <si>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</si>
  <si>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t xml:space="preserve">A0578</t>
  </si>
  <si>
    <t xml:space="preserve">#0578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</si>
  <si>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</si>
  <si>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</si>
  <si>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</si>
  <si>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</si>
  <si>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</si>
  <si>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</si>
  <si>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</si>
  <si>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t xml:space="preserve">A0579</t>
  </si>
  <si>
    <t xml:space="preserve">#0579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</si>
  <si>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</si>
  <si>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</si>
  <si>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</si>
  <si>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</si>
  <si>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</si>
  <si>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</si>
  <si>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</si>
  <si>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t xml:space="preserve">A0580</t>
  </si>
  <si>
    <t xml:space="preserve">#0580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</si>
  <si>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</si>
  <si>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</si>
  <si>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</si>
  <si>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</si>
  <si>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</si>
  <si>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</si>
  <si>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</si>
  <si>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t xml:space="preserve">A0581</t>
  </si>
  <si>
    <t xml:space="preserve">#0581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</si>
  <si>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</si>
  <si>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</si>
  <si>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</si>
  <si>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</si>
  <si>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</si>
  <si>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</si>
  <si>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</si>
  <si>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t xml:space="preserve">A0582</t>
  </si>
  <si>
    <t xml:space="preserve">#0582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</si>
  <si>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</si>
  <si>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</si>
  <si>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</si>
  <si>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</si>
  <si>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</si>
  <si>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</si>
  <si>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</si>
  <si>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t xml:space="preserve">A0583</t>
  </si>
  <si>
    <t xml:space="preserve">#0583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</si>
  <si>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</si>
  <si>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</si>
  <si>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</si>
  <si>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</si>
  <si>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</si>
  <si>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</si>
  <si>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</si>
  <si>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t xml:space="preserve">A0584</t>
  </si>
  <si>
    <t xml:space="preserve">#0584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</si>
  <si>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</si>
  <si>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</si>
  <si>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</si>
  <si>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</si>
  <si>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</si>
  <si>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</si>
  <si>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</si>
  <si>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t xml:space="preserve">A0585</t>
  </si>
  <si>
    <t xml:space="preserve">#0585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</si>
  <si>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</si>
  <si>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</si>
  <si>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</si>
  <si>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</si>
  <si>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</si>
  <si>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</si>
  <si>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</si>
  <si>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</si>
  <si>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t xml:space="preserve">A0586</t>
  </si>
  <si>
    <t xml:space="preserve">#0586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</si>
  <si>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</si>
  <si>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</si>
  <si>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</si>
  <si>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</si>
  <si>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</si>
  <si>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</si>
  <si>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</si>
  <si>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A0587</t>
  </si>
  <si>
    <t xml:space="preserve">#0587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</si>
  <si>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</si>
  <si>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</si>
  <si>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</si>
  <si>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</si>
  <si>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</si>
  <si>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</si>
  <si>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</si>
  <si>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A0588</t>
  </si>
  <si>
    <t xml:space="preserve">#0588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</si>
  <si>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</si>
  <si>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</si>
  <si>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</si>
  <si>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</si>
  <si>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</si>
  <si>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</si>
  <si>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</si>
  <si>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개역개정 괄호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</si>
  <si>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t xml:space="preserve">A0589</t>
  </si>
  <si>
    <t xml:space="preserve">#0589</t>
  </si>
  <si>
    <t xml:space="preserve">B064</t>
  </si>
  <si>
    <t xml:space="preserve">누가복음① 구주가 나셨다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</si>
  <si>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</si>
  <si>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</si>
  <si>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</si>
  <si>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</si>
  <si>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</si>
  <si>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</si>
  <si>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</si>
  <si>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</si>
  <si>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t xml:space="preserve">A0590</t>
  </si>
  <si>
    <t xml:space="preserve">#0590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</si>
  <si>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</si>
  <si>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</si>
  <si>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</si>
  <si>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</si>
  <si>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</si>
  <si>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</si>
  <si>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</si>
  <si>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</si>
  <si>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A0591</t>
  </si>
  <si>
    <t xml:space="preserve">#0591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</si>
  <si>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</si>
  <si>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</si>
  <si>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</si>
  <si>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</si>
  <si>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</si>
  <si>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</si>
  <si>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</si>
  <si>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t xml:space="preserve">A0592</t>
  </si>
  <si>
    <t xml:space="preserve">#0592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</si>
  <si>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</si>
  <si>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</si>
  <si>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</si>
  <si>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</si>
  <si>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</si>
  <si>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</si>
  <si>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</si>
  <si>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A0593</t>
  </si>
  <si>
    <t xml:space="preserve">#0593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</si>
  <si>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</si>
  <si>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</si>
  <si>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</si>
  <si>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</si>
  <si>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</si>
  <si>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</si>
  <si>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</si>
  <si>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</si>
  <si>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t xml:space="preserve">A0594</t>
  </si>
  <si>
    <t xml:space="preserve">#0594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</si>
  <si>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</si>
  <si>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</si>
  <si>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</si>
  <si>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</si>
  <si>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</si>
  <si>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</si>
  <si>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</si>
  <si>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A0595</t>
  </si>
  <si>
    <t xml:space="preserve">#0595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</si>
  <si>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</si>
  <si>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</si>
  <si>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</si>
  <si>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</si>
  <si>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</si>
  <si>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</si>
  <si>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t xml:space="preserve">A0596</t>
  </si>
  <si>
    <t xml:space="preserve">#0596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</si>
  <si>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</si>
  <si>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</si>
  <si>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</si>
  <si>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</si>
  <si>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</si>
  <si>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</si>
  <si>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</si>
  <si>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t xml:space="preserve">A0597</t>
  </si>
  <si>
    <t xml:space="preserve">#0597</t>
  </si>
  <si>
    <t xml:space="preserve">B065</t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</si>
  <si>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</si>
  <si>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</si>
  <si>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</si>
  <si>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</si>
  <si>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</si>
  <si>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</si>
  <si>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</si>
  <si>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t xml:space="preserve">A0598</t>
  </si>
  <si>
    <t xml:space="preserve">#0598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</si>
  <si>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</si>
  <si>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</si>
  <si>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</si>
  <si>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</si>
  <si>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</si>
  <si>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</si>
  <si>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</si>
  <si>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t xml:space="preserve">A0599</t>
  </si>
  <si>
    <t xml:space="preserve">#0599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</si>
  <si>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</si>
  <si>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</si>
  <si>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</si>
  <si>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</si>
  <si>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</si>
  <si>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</si>
  <si>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</si>
  <si>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t xml:space="preserve">A0600</t>
  </si>
  <si>
    <t xml:space="preserve">#0600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</si>
  <si>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</si>
  <si>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</si>
  <si>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</si>
  <si>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</si>
  <si>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</si>
  <si>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</si>
  <si>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</si>
  <si>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</si>
  <si>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A0601</t>
  </si>
  <si>
    <t xml:space="preserve">#0601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</si>
  <si>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</si>
  <si>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</si>
  <si>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</si>
  <si>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</si>
  <si>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</si>
  <si>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</si>
  <si>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</si>
  <si>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</si>
  <si>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t xml:space="preserve">A0602</t>
  </si>
  <si>
    <t xml:space="preserve">#0602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</si>
  <si>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</si>
  <si>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</si>
  <si>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</si>
  <si>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</si>
  <si>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</si>
  <si>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</si>
  <si>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</si>
  <si>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A0603</t>
  </si>
  <si>
    <t xml:space="preserve">#0603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</si>
  <si>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</si>
  <si>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</si>
  <si>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</si>
  <si>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</si>
  <si>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</si>
  <si>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t xml:space="preserve">A0604</t>
  </si>
  <si>
    <t xml:space="preserve">#0604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</si>
  <si>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</si>
  <si>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</si>
  <si>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</si>
  <si>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</si>
  <si>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</si>
  <si>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</si>
  <si>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</si>
  <si>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t xml:space="preserve">A0605</t>
  </si>
  <si>
    <t xml:space="preserve">#0605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</si>
  <si>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</si>
  <si>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</si>
  <si>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</si>
  <si>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</si>
  <si>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</si>
  <si>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</si>
  <si>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</si>
  <si>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t xml:space="preserve">A0606</t>
  </si>
  <si>
    <t xml:space="preserve">#0606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</si>
  <si>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</si>
  <si>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</si>
  <si>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</si>
  <si>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</si>
  <si>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</si>
  <si>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</si>
  <si>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</si>
  <si>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A0607</t>
  </si>
  <si>
    <t xml:space="preserve">#0607</t>
  </si>
  <si>
    <t xml:space="preserve">B066</t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</si>
  <si>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</si>
  <si>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</si>
  <si>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</si>
  <si>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</si>
  <si>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</si>
  <si>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</si>
  <si>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</si>
  <si>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</si>
  <si>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t xml:space="preserve">A0608</t>
  </si>
  <si>
    <t xml:space="preserve">#0608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</si>
  <si>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</si>
  <si>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</si>
  <si>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</si>
  <si>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</si>
  <si>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</si>
  <si>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</si>
  <si>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</si>
  <si>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A0609</t>
  </si>
  <si>
    <t xml:space="preserve">#0609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</si>
  <si>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</si>
  <si>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</si>
  <si>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</si>
  <si>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</si>
  <si>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</si>
  <si>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</si>
  <si>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</si>
  <si>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</si>
  <si>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t xml:space="preserve">A0610</t>
  </si>
  <si>
    <t xml:space="preserve">#0610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</si>
  <si>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</si>
  <si>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</si>
  <si>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</si>
  <si>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</si>
  <si>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</si>
  <si>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</si>
  <si>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</si>
  <si>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t xml:space="preserve">A0611</t>
  </si>
  <si>
    <t xml:space="preserve">#0611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</si>
  <si>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</si>
  <si>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</si>
  <si>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</si>
  <si>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</si>
  <si>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</si>
  <si>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</si>
  <si>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A0612</t>
  </si>
  <si>
    <t xml:space="preserve">#0612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</si>
  <si>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</si>
  <si>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</si>
  <si>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</si>
  <si>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</si>
  <si>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</si>
  <si>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</si>
  <si>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</si>
  <si>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A0613</t>
  </si>
  <si>
    <t xml:space="preserve">#0613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</si>
  <si>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</si>
  <si>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</si>
  <si>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</si>
  <si>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</si>
  <si>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</si>
  <si>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</si>
  <si>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t xml:space="preserve">A0614</t>
  </si>
  <si>
    <t xml:space="preserve">#0614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</si>
  <si>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</si>
  <si>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</si>
  <si>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</si>
  <si>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</si>
  <si>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</si>
  <si>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</si>
  <si>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</si>
  <si>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</si>
  <si>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t xml:space="preserve">A0615</t>
  </si>
  <si>
    <t xml:space="preserve">#0615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</si>
  <si>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</si>
  <si>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</si>
  <si>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</si>
  <si>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</si>
  <si>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</si>
  <si>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</si>
  <si>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</si>
  <si>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A0616</t>
  </si>
  <si>
    <t xml:space="preserve">#0616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</si>
  <si>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</si>
  <si>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</si>
  <si>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</si>
  <si>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</si>
  <si>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</si>
  <si>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</si>
  <si>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A0617</t>
  </si>
  <si>
    <t xml:space="preserve">#0617</t>
  </si>
  <si>
    <t xml:space="preserve">B067</t>
  </si>
  <si>
    <t xml:space="preserve">요한복음① 말씀이 육신이 되어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</si>
  <si>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</si>
  <si>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</si>
  <si>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</si>
  <si>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</si>
  <si>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</si>
  <si>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</si>
  <si>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</si>
  <si>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</si>
  <si>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</si>
  <si>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A0618</t>
  </si>
  <si>
    <t xml:space="preserve">#0618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</si>
  <si>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</si>
  <si>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</si>
  <si>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</si>
  <si>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</si>
  <si>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</si>
  <si>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</si>
  <si>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</si>
  <si>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t xml:space="preserve">A0619</t>
  </si>
  <si>
    <t xml:space="preserve">#0619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</si>
  <si>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</si>
  <si>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</si>
  <si>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</si>
  <si>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</si>
  <si>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</si>
  <si>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</si>
  <si>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</si>
  <si>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</si>
  <si>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t xml:space="preserve">A0620</t>
  </si>
  <si>
    <t xml:space="preserve">#0620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</si>
  <si>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</si>
  <si>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</si>
  <si>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</si>
  <si>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</si>
  <si>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</si>
  <si>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</si>
  <si>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A0621</t>
  </si>
  <si>
    <t xml:space="preserve">#0621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</si>
  <si>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</si>
  <si>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</si>
  <si>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</si>
  <si>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</si>
  <si>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</si>
  <si>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</si>
  <si>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</si>
  <si>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</si>
  <si>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t xml:space="preserve">A0622</t>
  </si>
  <si>
    <t xml:space="preserve">#0622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</si>
  <si>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</si>
  <si>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</si>
  <si>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</si>
  <si>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</si>
  <si>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</si>
  <si>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</si>
  <si>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</si>
  <si>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</si>
  <si>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A0623</t>
  </si>
  <si>
    <t xml:space="preserve">#0623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</si>
  <si>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</si>
  <si>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</si>
  <si>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</si>
  <si>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</si>
  <si>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</si>
  <si>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</si>
  <si>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</si>
  <si>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A0624</t>
  </si>
  <si>
    <t xml:space="preserve">#0624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</si>
  <si>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</si>
  <si>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</si>
  <si>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</si>
  <si>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</si>
  <si>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</si>
  <si>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</si>
  <si>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t xml:space="preserve">A0625</t>
  </si>
  <si>
    <t xml:space="preserve">#0625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</si>
  <si>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</si>
  <si>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</si>
  <si>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</si>
  <si>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</si>
  <si>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</si>
  <si>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</si>
  <si>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</si>
  <si>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A0626</t>
  </si>
  <si>
    <t xml:space="preserve">#0626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</si>
  <si>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</si>
  <si>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</si>
  <si>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</si>
  <si>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</si>
  <si>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</si>
  <si>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</si>
  <si>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</si>
  <si>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</si>
  <si>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A0627</t>
  </si>
  <si>
    <t xml:space="preserve">#0627</t>
  </si>
  <si>
    <t xml:space="preserve">B068</t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</si>
  <si>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</si>
  <si>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</si>
  <si>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</si>
  <si>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</si>
  <si>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</si>
  <si>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</si>
  <si>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</si>
  <si>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t xml:space="preserve">A0628</t>
  </si>
  <si>
    <t xml:space="preserve">#0628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</si>
  <si>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</si>
  <si>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</si>
  <si>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</si>
  <si>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</si>
  <si>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</si>
  <si>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</si>
  <si>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</si>
  <si>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t xml:space="preserve">A0629</t>
  </si>
  <si>
    <t xml:space="preserve">#0629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</si>
  <si>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</si>
  <si>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</si>
  <si>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</si>
  <si>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</si>
  <si>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</si>
  <si>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</si>
  <si>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</si>
  <si>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t xml:space="preserve">A0630</t>
  </si>
  <si>
    <t xml:space="preserve">#0630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</si>
  <si>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</si>
  <si>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</si>
  <si>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</si>
  <si>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</si>
  <si>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</si>
  <si>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</si>
  <si>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</si>
  <si>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t xml:space="preserve">A0631</t>
  </si>
  <si>
    <t xml:space="preserve">#0631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</si>
  <si>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</si>
  <si>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</si>
  <si>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</si>
  <si>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</si>
  <si>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</si>
  <si>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</si>
  <si>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</si>
  <si>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A0632</t>
  </si>
  <si>
    <t xml:space="preserve">#0632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</si>
  <si>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</si>
  <si>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</si>
  <si>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</si>
  <si>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</si>
  <si>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</si>
  <si>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</si>
  <si>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</si>
  <si>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A0633</t>
  </si>
  <si>
    <t xml:space="preserve">#0633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</si>
  <si>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</si>
  <si>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</si>
  <si>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</si>
  <si>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</si>
  <si>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</si>
  <si>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</si>
  <si>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</si>
  <si>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t xml:space="preserve">A0634</t>
  </si>
  <si>
    <t xml:space="preserve">#0634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</si>
  <si>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</si>
  <si>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</si>
  <si>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</si>
  <si>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</si>
  <si>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</si>
  <si>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</si>
  <si>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A0635</t>
  </si>
  <si>
    <t xml:space="preserve">#0635</t>
  </si>
  <si>
    <t xml:space="preserve">B069</t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</si>
  <si>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</si>
  <si>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</si>
  <si>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</si>
  <si>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</si>
  <si>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</si>
  <si>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</si>
  <si>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</si>
  <si>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t xml:space="preserve">A0636</t>
  </si>
  <si>
    <t xml:space="preserve">#0636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</si>
  <si>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</si>
  <si>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</si>
  <si>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</si>
  <si>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</si>
  <si>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</si>
  <si>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</si>
  <si>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</si>
  <si>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t xml:space="preserve">A0637</t>
  </si>
  <si>
    <t xml:space="preserve">#0637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</si>
  <si>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</si>
  <si>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</si>
  <si>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</si>
  <si>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</si>
  <si>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</si>
  <si>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</si>
  <si>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</si>
  <si>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t xml:space="preserve">A0638</t>
  </si>
  <si>
    <t xml:space="preserve">#0638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</si>
  <si>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</si>
  <si>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</si>
  <si>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</si>
  <si>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</si>
  <si>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</si>
  <si>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A0639</t>
  </si>
  <si>
    <t xml:space="preserve">#0639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</si>
  <si>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</si>
  <si>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</si>
  <si>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</si>
  <si>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</si>
  <si>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</si>
  <si>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</si>
  <si>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t xml:space="preserve">A0640</t>
  </si>
  <si>
    <t xml:space="preserve">#0640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</si>
  <si>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</si>
  <si>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</si>
  <si>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</si>
  <si>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</si>
  <si>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</si>
  <si>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</si>
  <si>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</si>
  <si>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t xml:space="preserve">A0641</t>
  </si>
  <si>
    <t xml:space="preserve">#0641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</si>
  <si>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</si>
  <si>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</si>
  <si>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</si>
  <si>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</si>
  <si>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</si>
  <si>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</si>
  <si>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</si>
  <si>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t xml:space="preserve">A0642</t>
  </si>
  <si>
    <t xml:space="preserve">#0642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</si>
  <si>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</si>
  <si>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</si>
  <si>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</si>
  <si>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</si>
  <si>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</si>
  <si>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</si>
  <si>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</si>
  <si>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A0643</t>
  </si>
  <si>
    <t xml:space="preserve">#0643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</si>
  <si>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</si>
  <si>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</si>
  <si>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</si>
  <si>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</si>
  <si>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</si>
  <si>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</si>
  <si>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</si>
  <si>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</si>
  <si>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t xml:space="preserve">A0644</t>
  </si>
  <si>
    <t xml:space="preserve">#0644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</si>
  <si>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</si>
  <si>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</si>
  <si>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</si>
  <si>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</si>
  <si>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</si>
  <si>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</si>
  <si>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</si>
  <si>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A0645</t>
  </si>
  <si>
    <t xml:space="preserve">#0645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</si>
  <si>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</si>
  <si>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</si>
  <si>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</si>
  <si>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</si>
  <si>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</si>
  <si>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</si>
  <si>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</si>
  <si>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A0646</t>
  </si>
  <si>
    <t xml:space="preserve">#0646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</si>
  <si>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</si>
  <si>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</si>
  <si>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</si>
  <si>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</si>
  <si>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</si>
  <si>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</si>
  <si>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A0647</t>
  </si>
  <si>
    <t xml:space="preserve">#0647</t>
  </si>
  <si>
    <t xml:space="preserve">B070</t>
  </si>
  <si>
    <t xml:space="preserve">교회의 탄생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</si>
  <si>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</si>
  <si>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</si>
  <si>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</si>
  <si>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</si>
  <si>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</si>
  <si>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</si>
  <si>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</si>
  <si>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</si>
  <si>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A0648</t>
  </si>
  <si>
    <t xml:space="preserve">#0648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</si>
  <si>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</si>
  <si>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</si>
  <si>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</si>
  <si>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</si>
  <si>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</si>
  <si>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</si>
  <si>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t xml:space="preserve">A0649</t>
  </si>
  <si>
    <t xml:space="preserve">#0649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</si>
  <si>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</si>
  <si>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</si>
  <si>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</si>
  <si>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</si>
  <si>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</si>
  <si>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</si>
  <si>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</si>
  <si>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</si>
  <si>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t xml:space="preserve">A0650</t>
  </si>
  <si>
    <t xml:space="preserve">#0650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</si>
  <si>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</si>
  <si>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</si>
  <si>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</si>
  <si>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</si>
  <si>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</si>
  <si>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</si>
  <si>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</si>
  <si>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A0651</t>
  </si>
  <si>
    <t xml:space="preserve">#0651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</si>
  <si>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</si>
  <si>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</si>
  <si>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</si>
  <si>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</si>
  <si>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</si>
  <si>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</si>
  <si>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</si>
  <si>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A0652</t>
  </si>
  <si>
    <t xml:space="preserve">#0652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</si>
  <si>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</si>
  <si>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</si>
  <si>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</si>
  <si>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</si>
  <si>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</si>
  <si>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</si>
  <si>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</si>
  <si>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A0653</t>
  </si>
  <si>
    <t xml:space="preserve">#0653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</si>
  <si>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</si>
  <si>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</si>
  <si>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</si>
  <si>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</si>
  <si>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</si>
  <si>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</si>
  <si>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</si>
  <si>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</si>
  <si>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t xml:space="preserve">A0654</t>
  </si>
  <si>
    <t xml:space="preserve">#0654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</si>
  <si>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</si>
  <si>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</si>
  <si>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</si>
  <si>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</si>
  <si>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</si>
  <si>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</si>
  <si>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</si>
  <si>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</si>
  <si>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t xml:space="preserve">A0655</t>
  </si>
  <si>
    <t xml:space="preserve">#0655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</si>
  <si>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</si>
  <si>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</si>
  <si>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</si>
  <si>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</si>
  <si>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</si>
  <si>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</si>
  <si>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</si>
  <si>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A0656</t>
  </si>
  <si>
    <t xml:space="preserve">#0656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</si>
  <si>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</si>
  <si>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</si>
  <si>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</si>
  <si>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</si>
  <si>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</si>
  <si>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</si>
  <si>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</si>
  <si>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</si>
  <si>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t xml:space="preserve">A0657</t>
  </si>
  <si>
    <t xml:space="preserve">#0657</t>
  </si>
  <si>
    <t xml:space="preserve">B071</t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</si>
  <si>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</si>
  <si>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</si>
  <si>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</si>
  <si>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</si>
  <si>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</si>
  <si>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</si>
  <si>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</si>
  <si>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</si>
  <si>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t xml:space="preserve">A0658</t>
  </si>
  <si>
    <t xml:space="preserve">#0658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</si>
  <si>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</si>
  <si>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</si>
  <si>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</si>
  <si>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</si>
  <si>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</si>
  <si>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</si>
  <si>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</si>
  <si>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t xml:space="preserve">A0659</t>
  </si>
  <si>
    <t xml:space="preserve">#0659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</si>
  <si>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</si>
  <si>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</si>
  <si>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</si>
  <si>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</si>
  <si>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</si>
  <si>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</si>
  <si>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</si>
  <si>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A0660</t>
  </si>
  <si>
    <t xml:space="preserve">#0660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</si>
  <si>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</si>
  <si>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</si>
  <si>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</si>
  <si>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</si>
  <si>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</si>
  <si>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</si>
  <si>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</si>
  <si>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A0661</t>
  </si>
  <si>
    <t xml:space="preserve">#0661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</si>
  <si>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</si>
  <si>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</si>
  <si>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</si>
  <si>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</si>
  <si>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</si>
  <si>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</si>
  <si>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</si>
  <si>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A0662</t>
  </si>
  <si>
    <t xml:space="preserve">#0662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</si>
  <si>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</si>
  <si>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</si>
  <si>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</si>
  <si>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</si>
  <si>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</si>
  <si>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</si>
  <si>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</si>
  <si>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t xml:space="preserve">A0663</t>
  </si>
  <si>
    <t xml:space="preserve">#0663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</si>
  <si>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</si>
  <si>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</si>
  <si>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</si>
  <si>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</si>
  <si>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</si>
  <si>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</si>
  <si>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</si>
  <si>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t xml:space="preserve">A0664</t>
  </si>
  <si>
    <t xml:space="preserve">#0664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</si>
  <si>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</si>
  <si>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</si>
  <si>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</si>
  <si>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</si>
  <si>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</si>
  <si>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</si>
  <si>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</si>
  <si>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</si>
  <si>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t xml:space="preserve">A0665</t>
  </si>
  <si>
    <t xml:space="preserve">#0665</t>
  </si>
  <si>
    <t xml:space="preserve">B072</t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</si>
  <si>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</si>
  <si>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</si>
  <si>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</si>
  <si>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</si>
  <si>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</si>
  <si>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</si>
  <si>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</si>
  <si>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</si>
  <si>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A0666</t>
  </si>
  <si>
    <t xml:space="preserve">#0666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</si>
  <si>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</si>
  <si>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</si>
  <si>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</si>
  <si>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</si>
  <si>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</si>
  <si>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</si>
  <si>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</si>
  <si>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t xml:space="preserve">A0667</t>
  </si>
  <si>
    <t xml:space="preserve">#0667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</si>
  <si>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</si>
  <si>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</si>
  <si>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</si>
  <si>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</si>
  <si>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</si>
  <si>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</si>
  <si>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</si>
  <si>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</si>
  <si>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t xml:space="preserve">A0668</t>
  </si>
  <si>
    <t xml:space="preserve">#0668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</si>
  <si>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</si>
  <si>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</si>
  <si>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</si>
  <si>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</si>
  <si>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</si>
  <si>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</si>
  <si>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</si>
  <si>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t xml:space="preserve">A0669</t>
  </si>
  <si>
    <t xml:space="preserve">#0669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</si>
  <si>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</si>
  <si>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</si>
  <si>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</si>
  <si>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</si>
  <si>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</si>
  <si>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</si>
  <si>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</si>
  <si>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t xml:space="preserve">A0670</t>
  </si>
  <si>
    <t xml:space="preserve">#0670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</si>
  <si>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</si>
  <si>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</si>
  <si>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</si>
  <si>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</si>
  <si>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</si>
  <si>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</si>
  <si>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</si>
  <si>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t xml:space="preserve">A0671</t>
  </si>
  <si>
    <t xml:space="preserve">#0671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</si>
  <si>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</si>
  <si>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</si>
  <si>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</si>
  <si>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</si>
  <si>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</si>
  <si>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</si>
  <si>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</si>
  <si>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</si>
  <si>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t xml:space="preserve">A0672</t>
  </si>
  <si>
    <t xml:space="preserve">#0672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</si>
  <si>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</si>
  <si>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</si>
  <si>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</si>
  <si>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</si>
  <si>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</si>
  <si>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</si>
  <si>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</si>
  <si>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t xml:space="preserve">A0673</t>
  </si>
  <si>
    <t xml:space="preserve">#0673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</si>
  <si>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</si>
  <si>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</si>
  <si>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</si>
  <si>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</si>
  <si>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</si>
  <si>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</si>
  <si>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t xml:space="preserve">A0674</t>
  </si>
  <si>
    <t xml:space="preserve">#0674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</si>
  <si>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</si>
  <si>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</si>
  <si>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</si>
  <si>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</si>
  <si>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</si>
  <si>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</si>
  <si>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</si>
  <si>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A0675</t>
  </si>
  <si>
    <t xml:space="preserve">#0675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</si>
  <si>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</si>
  <si>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</si>
  <si>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</si>
  <si>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</si>
  <si>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</si>
  <si>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</si>
  <si>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</si>
  <si>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t xml:space="preserve">A0676</t>
  </si>
  <si>
    <t xml:space="preserve">#0676</t>
  </si>
  <si>
    <t xml:space="preserve">B073</t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</si>
  <si>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</si>
  <si>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</si>
  <si>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</si>
  <si>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</si>
  <si>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</si>
  <si>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</si>
  <si>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</si>
  <si>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</si>
  <si>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t xml:space="preserve">A0677</t>
  </si>
  <si>
    <t xml:space="preserve">#0677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</si>
  <si>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</si>
  <si>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</si>
  <si>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</si>
  <si>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</si>
  <si>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</si>
  <si>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</si>
  <si>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</si>
  <si>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t xml:space="preserve">A0678</t>
  </si>
  <si>
    <t xml:space="preserve">#0678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</si>
  <si>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</si>
  <si>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</si>
  <si>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</si>
  <si>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</si>
  <si>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</si>
  <si>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</si>
  <si>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</si>
  <si>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t xml:space="preserve">A0679</t>
  </si>
  <si>
    <t xml:space="preserve">#0679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</si>
  <si>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</si>
  <si>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</si>
  <si>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</si>
  <si>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</si>
  <si>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</si>
  <si>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</si>
  <si>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</si>
  <si>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t xml:space="preserve">A0680</t>
  </si>
  <si>
    <t xml:space="preserve">#0680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</si>
  <si>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</si>
  <si>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</si>
  <si>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</si>
  <si>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</si>
  <si>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</si>
  <si>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</si>
  <si>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</si>
  <si>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t xml:space="preserve">A0681</t>
  </si>
  <si>
    <t xml:space="preserve">#0681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</si>
  <si>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</si>
  <si>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</si>
  <si>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</si>
  <si>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</si>
  <si>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</si>
  <si>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</si>
  <si>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</si>
  <si>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t xml:space="preserve">A0682</t>
  </si>
  <si>
    <t xml:space="preserve">#0682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</si>
  <si>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</si>
  <si>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</si>
  <si>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</si>
  <si>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</si>
  <si>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</si>
  <si>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</si>
  <si>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</si>
  <si>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A0683</t>
  </si>
  <si>
    <t xml:space="preserve">#0683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</si>
  <si>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</si>
  <si>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</si>
  <si>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</si>
  <si>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</si>
  <si>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</si>
  <si>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</si>
  <si>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</si>
  <si>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</si>
  <si>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t xml:space="preserve">A0684</t>
  </si>
  <si>
    <t xml:space="preserve">#0684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</si>
  <si>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</si>
  <si>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</si>
  <si>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</si>
  <si>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</si>
  <si>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</si>
  <si>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</si>
  <si>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</si>
  <si>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t xml:space="preserve">A0685</t>
  </si>
  <si>
    <t xml:space="preserve">#0685</t>
  </si>
  <si>
    <t xml:space="preserve">B074</t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</si>
  <si>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</si>
  <si>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</si>
  <si>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</si>
  <si>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</si>
  <si>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</si>
  <si>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</si>
  <si>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</si>
  <si>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바울</t>
  </si>
  <si>
    <t xml:space="preserve">로마로 보내는 편지</t>
  </si>
  <si>
    <t xml:space="preserve">A0686</t>
  </si>
  <si>
    <t xml:space="preserve">#0686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</si>
  <si>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</si>
  <si>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</si>
  <si>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</si>
  <si>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</si>
  <si>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</si>
  <si>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</si>
  <si>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A0687</t>
  </si>
  <si>
    <t xml:space="preserve">#0687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</si>
  <si>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</si>
  <si>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</si>
  <si>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</si>
  <si>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</si>
  <si>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</si>
  <si>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</si>
  <si>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t xml:space="preserve">A0688</t>
  </si>
  <si>
    <t xml:space="preserve">#0688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</si>
  <si>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</si>
  <si>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</si>
  <si>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</si>
  <si>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</si>
  <si>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</si>
  <si>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</si>
  <si>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</si>
  <si>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t xml:space="preserve">A0689</t>
  </si>
  <si>
    <t xml:space="preserve">#0689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</si>
  <si>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</si>
  <si>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</si>
  <si>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</si>
  <si>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</si>
  <si>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</si>
  <si>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</si>
  <si>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</si>
  <si>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</si>
  <si>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A0690</t>
  </si>
  <si>
    <t xml:space="preserve">#0690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</si>
  <si>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</si>
  <si>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</si>
  <si>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</si>
  <si>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</si>
  <si>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</si>
  <si>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</si>
  <si>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</si>
  <si>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A0691</t>
  </si>
  <si>
    <t xml:space="preserve">#0691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</si>
  <si>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</si>
  <si>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</si>
  <si>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</si>
  <si>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</si>
  <si>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</si>
  <si>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</si>
  <si>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A0692</t>
  </si>
  <si>
    <t xml:space="preserve">#0692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</si>
  <si>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</si>
  <si>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</si>
  <si>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</si>
  <si>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</si>
  <si>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</si>
  <si>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</si>
  <si>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A0693</t>
  </si>
  <si>
    <t xml:space="preserve">#0693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</si>
  <si>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</si>
  <si>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</si>
  <si>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</si>
  <si>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</si>
  <si>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</si>
  <si>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</si>
  <si>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</si>
  <si>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t xml:space="preserve">A0694</t>
  </si>
  <si>
    <t xml:space="preserve">#0694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</si>
  <si>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</si>
  <si>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</si>
  <si>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</si>
  <si>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</si>
  <si>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</si>
  <si>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</si>
  <si>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</si>
  <si>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t xml:space="preserve">A0695</t>
  </si>
  <si>
    <t xml:space="preserve">#0695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</si>
  <si>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</si>
  <si>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</si>
  <si>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</si>
  <si>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</si>
  <si>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</si>
  <si>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</si>
  <si>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A0696</t>
  </si>
  <si>
    <t xml:space="preserve">#0696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</si>
  <si>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</si>
  <si>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</si>
  <si>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</si>
  <si>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</si>
  <si>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</si>
  <si>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</si>
  <si>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A0697</t>
  </si>
  <si>
    <t xml:space="preserve">#0697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</si>
  <si>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</si>
  <si>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</si>
  <si>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</si>
  <si>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</si>
  <si>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</si>
  <si>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</si>
  <si>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</si>
  <si>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A0698</t>
  </si>
  <si>
    <t xml:space="preserve">#0698</t>
  </si>
  <si>
    <t xml:space="preserve">B075</t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</si>
  <si>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</si>
  <si>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</si>
  <si>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</si>
  <si>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</si>
  <si>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</si>
  <si>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</si>
  <si>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</si>
  <si>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</si>
  <si>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A0699</t>
  </si>
  <si>
    <t xml:space="preserve">#0699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</si>
  <si>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</si>
  <si>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</si>
  <si>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</si>
  <si>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</si>
  <si>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</si>
  <si>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</si>
  <si>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</si>
  <si>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</si>
  <si>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A0700</t>
  </si>
  <si>
    <t xml:space="preserve">#0700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</si>
  <si>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</si>
  <si>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</si>
  <si>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</si>
  <si>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</si>
  <si>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</si>
  <si>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</si>
  <si>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</si>
  <si>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A0701</t>
  </si>
  <si>
    <t xml:space="preserve">#0701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</si>
  <si>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</si>
  <si>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</si>
  <si>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</si>
  <si>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</si>
  <si>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</si>
  <si>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</si>
  <si>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A0702</t>
  </si>
  <si>
    <t xml:space="preserve">#0702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</si>
  <si>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</si>
  <si>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</si>
  <si>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</si>
  <si>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</si>
  <si>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</si>
  <si>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</si>
  <si>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A0703</t>
  </si>
  <si>
    <t xml:space="preserve">#0703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</si>
  <si>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</si>
  <si>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</si>
  <si>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</si>
  <si>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</si>
  <si>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</si>
  <si>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</si>
  <si>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</si>
  <si>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</si>
  <si>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A0704</t>
  </si>
  <si>
    <t xml:space="preserve">#0704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</si>
  <si>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</si>
  <si>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</si>
  <si>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</si>
  <si>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</si>
  <si>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</si>
  <si>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</si>
  <si>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</si>
  <si>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</si>
  <si>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t xml:space="preserve">#0705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</si>
  <si>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</si>
  <si>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</si>
  <si>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</si>
  <si>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</si>
  <si>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</si>
  <si>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</si>
  <si>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</si>
  <si>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t xml:space="preserve">A0706</t>
  </si>
  <si>
    <t xml:space="preserve">#0706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</si>
  <si>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</si>
  <si>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</si>
  <si>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</si>
  <si>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</si>
  <si>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</si>
  <si>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</si>
  <si>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</si>
  <si>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t xml:space="preserve">A0707</t>
  </si>
  <si>
    <t xml:space="preserve">#0707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</si>
  <si>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</si>
  <si>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</si>
  <si>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</si>
  <si>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</si>
  <si>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</si>
  <si>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</si>
  <si>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</si>
  <si>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</si>
  <si>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t xml:space="preserve">A0708</t>
  </si>
  <si>
    <t xml:space="preserve">#0708</t>
  </si>
  <si>
    <t xml:space="preserve">B076</t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</si>
  <si>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</si>
  <si>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</si>
  <si>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</si>
  <si>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</si>
  <si>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</si>
  <si>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</si>
  <si>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</si>
  <si>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</si>
  <si>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t xml:space="preserve">A0709</t>
  </si>
  <si>
    <t xml:space="preserve">#0709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</si>
  <si>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</si>
  <si>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</si>
  <si>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</si>
  <si>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</si>
  <si>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</si>
  <si>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</si>
  <si>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A0710</t>
  </si>
  <si>
    <t xml:space="preserve">#0710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</si>
  <si>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</si>
  <si>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</si>
  <si>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</si>
  <si>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</si>
  <si>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</si>
  <si>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</si>
  <si>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A0711</t>
  </si>
  <si>
    <t xml:space="preserve">#0711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</si>
  <si>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</si>
  <si>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</si>
  <si>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</si>
  <si>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</si>
  <si>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</si>
  <si>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</si>
  <si>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A0712</t>
  </si>
  <si>
    <t xml:space="preserve">#0712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</si>
  <si>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</si>
  <si>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</si>
  <si>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</si>
  <si>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</si>
  <si>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</si>
  <si>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</si>
  <si>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</si>
  <si>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</si>
  <si>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A0713</t>
  </si>
  <si>
    <t xml:space="preserve">#0713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</si>
  <si>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10:1-13:14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</si>
  <si>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</si>
  <si>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</si>
  <si>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</si>
  <si>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</si>
  <si>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</si>
  <si>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A0714</t>
  </si>
  <si>
    <t xml:space="preserve">#0714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</si>
  <si>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</si>
  <si>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</si>
  <si>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</si>
  <si>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</si>
  <si>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</si>
  <si>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</si>
  <si>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</si>
  <si>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</si>
  <si>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</si>
  <si>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A0715</t>
  </si>
  <si>
    <t xml:space="preserve">#0715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</si>
  <si>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</si>
  <si>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</si>
  <si>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</si>
  <si>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</si>
  <si>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</si>
  <si>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</si>
  <si>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</si>
  <si>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A0716</t>
  </si>
  <si>
    <t xml:space="preserve">#0716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</si>
  <si>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</si>
  <si>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</si>
  <si>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</si>
  <si>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</si>
  <si>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</si>
  <si>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</si>
  <si>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A0717</t>
  </si>
  <si>
    <t xml:space="preserve">#0717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</si>
  <si>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</si>
  <si>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</si>
  <si>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</si>
  <si>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</si>
  <si>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</si>
  <si>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</si>
  <si>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t xml:space="preserve">A0718</t>
  </si>
  <si>
    <t xml:space="preserve">#0718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</si>
  <si>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</si>
  <si>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</si>
  <si>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</si>
  <si>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</si>
  <si>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</si>
  <si>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</si>
  <si>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t xml:space="preserve">A0719</t>
  </si>
  <si>
    <t xml:space="preserve">#0719</t>
  </si>
  <si>
    <t xml:space="preserve">B077</t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</si>
  <si>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</si>
  <si>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</si>
  <si>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</si>
  <si>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</si>
  <si>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</si>
  <si>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</si>
  <si>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</si>
  <si>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</si>
  <si>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</si>
  <si>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A0720</t>
  </si>
  <si>
    <t xml:space="preserve">#0720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</si>
  <si>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</si>
  <si>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</si>
  <si>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</si>
  <si>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</si>
  <si>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</si>
  <si>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</si>
  <si>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</si>
  <si>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t xml:space="preserve">A0721</t>
  </si>
  <si>
    <t xml:space="preserve">#0721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</si>
  <si>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</si>
  <si>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</si>
  <si>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</si>
  <si>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</si>
  <si>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</si>
  <si>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</si>
  <si>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t xml:space="preserve">A0722</t>
  </si>
  <si>
    <t xml:space="preserve">#0722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</si>
  <si>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</si>
  <si>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</si>
  <si>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</si>
  <si>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</si>
  <si>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</si>
  <si>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</si>
  <si>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A0723</t>
  </si>
  <si>
    <t xml:space="preserve">#0723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</si>
  <si>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</si>
  <si>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</si>
  <si>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</si>
  <si>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</si>
  <si>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</si>
  <si>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</si>
  <si>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</si>
  <si>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A0724</t>
  </si>
  <si>
    <t xml:space="preserve">#0724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</si>
  <si>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</si>
  <si>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</si>
  <si>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</si>
  <si>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</si>
  <si>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</si>
  <si>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</si>
  <si>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</si>
  <si>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</si>
  <si>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t xml:space="preserve">A0725</t>
  </si>
  <si>
    <t xml:space="preserve">#0725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</si>
  <si>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</si>
  <si>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</si>
  <si>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</si>
  <si>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</si>
  <si>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</si>
  <si>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</si>
  <si>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</si>
  <si>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t xml:space="preserve">A0726</t>
  </si>
  <si>
    <t xml:space="preserve">#0726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</si>
  <si>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</si>
  <si>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</si>
  <si>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</si>
  <si>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</si>
  <si>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</si>
  <si>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</si>
  <si>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</si>
  <si>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</si>
  <si>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</si>
  <si>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t xml:space="preserve">#0727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</si>
  <si>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</si>
  <si>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</si>
  <si>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</si>
  <si>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</si>
  <si>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</si>
  <si>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</si>
  <si>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A0728</t>
  </si>
  <si>
    <t xml:space="preserve">#0728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</si>
  <si>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</si>
  <si>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</si>
  <si>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</si>
  <si>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</si>
  <si>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</si>
  <si>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</si>
  <si>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</si>
  <si>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</si>
  <si>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#0729</t>
  </si>
  <si>
    <t xml:space="preserve">B078</t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</si>
  <si>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</si>
  <si>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</si>
  <si>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</si>
  <si>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</si>
  <si>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</si>
  <si>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</si>
  <si>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</si>
  <si>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</si>
  <si>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</si>
  <si>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A0730</t>
  </si>
  <si>
    <t xml:space="preserve">#0730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</si>
  <si>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</si>
  <si>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</si>
  <si>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</si>
  <si>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</si>
  <si>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</si>
  <si>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</si>
  <si>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</si>
  <si>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A0731</t>
  </si>
  <si>
    <t xml:space="preserve">#0731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</si>
  <si>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</si>
  <si>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</si>
  <si>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</si>
  <si>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</si>
  <si>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</si>
  <si>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</si>
  <si>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A0732</t>
  </si>
  <si>
    <t xml:space="preserve">#0732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</si>
  <si>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</si>
  <si>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</si>
  <si>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</si>
  <si>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</si>
  <si>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</si>
  <si>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A0733</t>
  </si>
  <si>
    <t xml:space="preserve">#0733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</si>
  <si>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</si>
  <si>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</si>
  <si>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</si>
  <si>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</si>
  <si>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</si>
  <si>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</si>
  <si>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</si>
  <si>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</si>
  <si>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A0734</t>
  </si>
  <si>
    <t xml:space="preserve">#0734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</si>
  <si>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</si>
  <si>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</si>
  <si>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</si>
  <si>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</si>
  <si>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</si>
  <si>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</si>
  <si>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</si>
  <si>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A0735</t>
  </si>
  <si>
    <t xml:space="preserve">#0735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</si>
  <si>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</si>
  <si>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</si>
  <si>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</si>
  <si>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</si>
  <si>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</si>
  <si>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</si>
  <si>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</si>
  <si>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#0736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</si>
  <si>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</si>
  <si>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</si>
  <si>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</si>
  <si>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</si>
  <si>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</si>
  <si>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</si>
  <si>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</si>
  <si>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</si>
  <si>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A0737</t>
  </si>
  <si>
    <t xml:space="preserve">#0737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</si>
  <si>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</si>
  <si>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</si>
  <si>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</si>
  <si>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</si>
  <si>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</si>
  <si>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</si>
  <si>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A0738</t>
  </si>
  <si>
    <t xml:space="preserve">#0738</t>
  </si>
  <si>
    <t xml:space="preserve">B079</t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</si>
  <si>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</si>
  <si>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</si>
  <si>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</si>
  <si>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</si>
  <si>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</si>
  <si>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</si>
  <si>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</si>
  <si>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</si>
  <si>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</si>
  <si>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A0739</t>
  </si>
  <si>
    <t xml:space="preserve">#0739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</si>
  <si>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</si>
  <si>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</si>
  <si>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</si>
  <si>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</si>
  <si>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</si>
  <si>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</si>
  <si>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</si>
  <si>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A0740</t>
  </si>
  <si>
    <t xml:space="preserve">#0740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</si>
  <si>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</si>
  <si>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</si>
  <si>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</si>
  <si>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</si>
  <si>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</si>
  <si>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</si>
  <si>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</si>
  <si>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A0741</t>
  </si>
  <si>
    <t xml:space="preserve">#0741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</si>
  <si>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</si>
  <si>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</si>
  <si>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</si>
  <si>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</si>
  <si>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</si>
  <si>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</si>
  <si>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</si>
  <si>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A0742</t>
  </si>
  <si>
    <t xml:space="preserve">#0742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</si>
  <si>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</si>
  <si>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</si>
  <si>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</si>
  <si>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</si>
  <si>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</si>
  <si>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</si>
  <si>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</si>
  <si>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</si>
  <si>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A0743</t>
  </si>
  <si>
    <t xml:space="preserve">#0743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</si>
  <si>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</si>
  <si>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</si>
  <si>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</si>
  <si>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</si>
  <si>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</si>
  <si>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</si>
  <si>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A0744</t>
  </si>
  <si>
    <t xml:space="preserve">#0744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</si>
  <si>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</si>
  <si>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</si>
  <si>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</si>
  <si>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</si>
  <si>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</si>
  <si>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</si>
  <si>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</si>
  <si>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</si>
  <si>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#0745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</si>
  <si>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</si>
  <si>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</si>
  <si>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</si>
  <si>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</si>
  <si>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</si>
  <si>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</si>
  <si>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</si>
  <si>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</si>
  <si>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A0746</t>
  </si>
  <si>
    <t xml:space="preserve">#0746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</si>
  <si>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</si>
  <si>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</si>
  <si>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</si>
  <si>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</si>
  <si>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</si>
  <si>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</si>
  <si>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A0747</t>
  </si>
  <si>
    <t xml:space="preserve">#0747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</si>
  <si>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</si>
  <si>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</si>
  <si>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</si>
  <si>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</si>
  <si>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</si>
  <si>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</si>
  <si>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</si>
  <si>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</si>
  <si>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</si>
  <si>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A0748</t>
  </si>
  <si>
    <t xml:space="preserve">#0748</t>
  </si>
  <si>
    <t xml:space="preserve">B080</t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</si>
  <si>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</si>
  <si>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</si>
  <si>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</si>
  <si>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</si>
  <si>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</si>
  <si>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</si>
  <si>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</si>
  <si>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</si>
  <si>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</si>
  <si>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A0749</t>
  </si>
  <si>
    <t xml:space="preserve">#0749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</si>
  <si>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</si>
  <si>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</si>
  <si>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</si>
  <si>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</si>
  <si>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</si>
  <si>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</si>
  <si>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</si>
  <si>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A0750</t>
  </si>
  <si>
    <t xml:space="preserve">#0750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</si>
  <si>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</si>
  <si>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</si>
  <si>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</si>
  <si>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</si>
  <si>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</si>
  <si>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</si>
  <si>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</si>
  <si>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A0751</t>
  </si>
  <si>
    <t xml:space="preserve">#0751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</si>
  <si>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</si>
  <si>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</si>
  <si>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</si>
  <si>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</si>
  <si>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</si>
  <si>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</si>
  <si>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</si>
  <si>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</si>
  <si>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A0752</t>
  </si>
  <si>
    <t xml:space="preserve">#0752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</si>
  <si>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</si>
  <si>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</si>
  <si>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</si>
  <si>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</si>
  <si>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</si>
  <si>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</si>
  <si>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</si>
  <si>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A0753</t>
  </si>
  <si>
    <t xml:space="preserve">#0753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</si>
  <si>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</si>
  <si>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</si>
  <si>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</si>
  <si>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</si>
  <si>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</si>
  <si>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</si>
  <si>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</si>
  <si>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</si>
  <si>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A0754</t>
  </si>
  <si>
    <t xml:space="preserve">#0754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</si>
  <si>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</si>
  <si>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</si>
  <si>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</si>
  <si>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</si>
  <si>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</si>
  <si>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</si>
  <si>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A0755</t>
  </si>
  <si>
    <t xml:space="preserve">#0755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</si>
  <si>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</si>
  <si>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</si>
  <si>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</si>
  <si>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</si>
  <si>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</si>
  <si>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</si>
  <si>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</si>
  <si>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</si>
  <si>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t xml:space="preserve">A0756</t>
  </si>
  <si>
    <t xml:space="preserve">#0756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</si>
  <si>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</si>
  <si>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</si>
  <si>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</si>
  <si>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</si>
  <si>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</si>
  <si>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</si>
  <si>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</si>
  <si>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t xml:space="preserve">A0757</t>
  </si>
  <si>
    <t xml:space="preserve">#0757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</si>
  <si>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</si>
  <si>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</si>
  <si>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</si>
  <si>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</si>
  <si>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</si>
  <si>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</si>
  <si>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</si>
  <si>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</si>
  <si>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#0758</t>
  </si>
  <si>
    <t xml:space="preserve">B081</t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</si>
  <si>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</si>
  <si>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</si>
  <si>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</si>
  <si>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</si>
  <si>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</si>
  <si>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</si>
  <si>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</si>
  <si>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</si>
  <si>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</si>
  <si>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A0759</t>
  </si>
  <si>
    <t xml:space="preserve">#0759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</si>
  <si>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</si>
  <si>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</si>
  <si>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</si>
  <si>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</si>
  <si>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</si>
  <si>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</si>
  <si>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A0760</t>
  </si>
  <si>
    <t xml:space="preserve">#0760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</si>
  <si>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</si>
  <si>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</si>
  <si>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</si>
  <si>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</si>
  <si>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</si>
  <si>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</si>
  <si>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</si>
  <si>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</si>
  <si>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A0761</t>
  </si>
  <si>
    <t xml:space="preserve">#0761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</si>
  <si>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</si>
  <si>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</si>
  <si>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</si>
  <si>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</si>
  <si>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</si>
  <si>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</si>
  <si>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A0762</t>
  </si>
  <si>
    <t xml:space="preserve">#0762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</si>
  <si>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</si>
  <si>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</si>
  <si>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</si>
  <si>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</si>
  <si>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</si>
  <si>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</si>
  <si>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</si>
  <si>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</si>
  <si>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A0763</t>
  </si>
  <si>
    <t xml:space="preserve">#0763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</si>
  <si>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</si>
  <si>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</si>
  <si>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</si>
  <si>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</si>
  <si>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</si>
  <si>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</si>
  <si>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베드로</t>
  </si>
  <si>
    <t xml:space="preserve">흩어진 나그네들</t>
  </si>
  <si>
    <t xml:space="preserve">A0764</t>
  </si>
  <si>
    <t xml:space="preserve">#0764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</si>
  <si>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</si>
  <si>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</si>
  <si>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</si>
  <si>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</si>
  <si>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</si>
  <si>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</si>
  <si>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</si>
  <si>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A0765</t>
  </si>
  <si>
    <t xml:space="preserve">#0765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</si>
  <si>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</si>
  <si>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</si>
  <si>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</si>
  <si>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</si>
  <si>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</si>
  <si>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</si>
  <si>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</si>
  <si>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A0766</t>
  </si>
  <si>
    <t xml:space="preserve">#0766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</si>
  <si>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</si>
  <si>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</si>
  <si>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</si>
  <si>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</si>
  <si>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</si>
  <si>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</si>
  <si>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A0767</t>
  </si>
  <si>
    <t xml:space="preserve">#0767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</si>
  <si>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</si>
  <si>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</si>
  <si>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</si>
  <si>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</si>
  <si>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</si>
  <si>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</si>
  <si>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</si>
  <si>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</si>
  <si>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A0768</t>
  </si>
  <si>
    <t xml:space="preserve">#0768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</si>
  <si>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</si>
  <si>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</si>
  <si>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</si>
  <si>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</si>
  <si>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</si>
  <si>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</si>
  <si>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</si>
  <si>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A0769</t>
  </si>
  <si>
    <t xml:space="preserve">#0769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</si>
  <si>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</si>
  <si>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</si>
  <si>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</si>
  <si>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</si>
  <si>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</si>
  <si>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</si>
  <si>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</si>
  <si>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A0770</t>
  </si>
  <si>
    <t xml:space="preserve">#0770</t>
  </si>
  <si>
    <t xml:space="preserve">B082</t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</si>
  <si>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</si>
  <si>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</si>
  <si>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</si>
  <si>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</si>
  <si>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</si>
  <si>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</si>
  <si>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</si>
  <si>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</si>
  <si>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</si>
  <si>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A0771</t>
  </si>
  <si>
    <t xml:space="preserve">#0771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</si>
  <si>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</si>
  <si>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</si>
  <si>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</si>
  <si>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</si>
  <si>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</si>
  <si>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</si>
  <si>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t xml:space="preserve">A0772</t>
  </si>
  <si>
    <t xml:space="preserve">#0772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</si>
  <si>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</si>
  <si>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</si>
  <si>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</si>
  <si>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</si>
  <si>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</si>
  <si>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</si>
  <si>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</si>
  <si>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A0773</t>
  </si>
  <si>
    <t xml:space="preserve">#0773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</si>
  <si>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</si>
  <si>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</si>
  <si>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</si>
  <si>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</si>
  <si>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</si>
  <si>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</si>
  <si>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</si>
  <si>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A0774</t>
  </si>
  <si>
    <t xml:space="preserve">#0774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</si>
  <si>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</si>
  <si>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</si>
  <si>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</si>
  <si>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</si>
  <si>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</si>
  <si>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</si>
  <si>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</si>
  <si>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</si>
  <si>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</si>
  <si>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A0775</t>
  </si>
  <si>
    <t xml:space="preserve">#0775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</si>
  <si>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</si>
  <si>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</si>
  <si>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</si>
  <si>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</si>
  <si>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</si>
  <si>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</si>
  <si>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</si>
  <si>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</si>
  <si>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</si>
  <si>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A0776</t>
  </si>
  <si>
    <t xml:space="preserve">#0776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</si>
  <si>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</si>
  <si>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</si>
  <si>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</si>
  <si>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</si>
  <si>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</si>
  <si>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</si>
  <si>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</si>
  <si>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</si>
  <si>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</si>
  <si>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A0777</t>
  </si>
  <si>
    <t xml:space="preserve">#0777</t>
  </si>
  <si>
    <t xml:space="preserve">B083</t>
  </si>
  <si>
    <t xml:space="preserve">요한계시록① 승리하신 어린양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</si>
  <si>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</si>
  <si>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</si>
  <si>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</si>
  <si>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</si>
  <si>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</si>
  <si>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</si>
  <si>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</si>
  <si>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A0778</t>
  </si>
  <si>
    <t xml:space="preserve">#0778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</si>
  <si>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</si>
  <si>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</si>
  <si>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</si>
  <si>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</si>
  <si>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</si>
  <si>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</si>
  <si>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</si>
  <si>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</si>
  <si>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A0779</t>
  </si>
  <si>
    <t xml:space="preserve">#0779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</si>
  <si>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</si>
  <si>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</si>
  <si>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</si>
  <si>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</si>
  <si>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</si>
  <si>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</si>
  <si>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</si>
  <si>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</si>
  <si>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A0780</t>
  </si>
  <si>
    <t xml:space="preserve">#0780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</si>
  <si>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</si>
  <si>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</si>
  <si>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</si>
  <si>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</si>
  <si>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</si>
  <si>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</si>
  <si>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</si>
  <si>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A0781</t>
  </si>
  <si>
    <t xml:space="preserve">#0781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</si>
  <si>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</si>
  <si>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</si>
  <si>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</si>
  <si>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</si>
  <si>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</si>
  <si>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</si>
  <si>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</si>
  <si>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t xml:space="preserve">A0782</t>
  </si>
  <si>
    <t xml:space="preserve">#0782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</si>
  <si>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</si>
  <si>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</si>
  <si>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</si>
  <si>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</si>
  <si>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</si>
  <si>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</si>
  <si>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</si>
  <si>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</si>
  <si>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t xml:space="preserve">A0783</t>
  </si>
  <si>
    <t xml:space="preserve">#0783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</si>
  <si>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</si>
  <si>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</si>
  <si>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</si>
  <si>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</si>
  <si>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</si>
  <si>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</si>
  <si>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</si>
  <si>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</si>
  <si>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t xml:space="preserve">A0784</t>
  </si>
  <si>
    <t xml:space="preserve">#0784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</si>
  <si>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</si>
  <si>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</si>
  <si>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</si>
  <si>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</si>
  <si>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</si>
  <si>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</si>
  <si>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</si>
  <si>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</si>
  <si>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t xml:space="preserve">A0785</t>
  </si>
  <si>
    <t xml:space="preserve">#0785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</si>
  <si>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</si>
  <si>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</si>
  <si>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</si>
  <si>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</si>
  <si>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</si>
  <si>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</si>
  <si>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</si>
  <si>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</si>
  <si>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A0786</t>
  </si>
  <si>
    <t xml:space="preserve">#0786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</si>
  <si>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</si>
  <si>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</si>
  <si>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</si>
  <si>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</si>
  <si>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</si>
  <si>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</si>
  <si>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</si>
  <si>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</si>
  <si>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A0787</t>
  </si>
  <si>
    <t xml:space="preserve">#0787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</si>
  <si>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</si>
  <si>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</si>
  <si>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</si>
  <si>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</si>
  <si>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</si>
  <si>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</si>
  <si>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</si>
  <si>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</si>
  <si>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A0788</t>
  </si>
  <si>
    <t xml:space="preserve">#0788</t>
  </si>
  <si>
    <t xml:space="preserve">B084</t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</si>
  <si>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</si>
  <si>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</si>
  <si>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</si>
  <si>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</si>
  <si>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</si>
  <si>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</si>
  <si>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</si>
  <si>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</si>
  <si>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</si>
  <si>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A0789</t>
  </si>
  <si>
    <t xml:space="preserve">#0789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</si>
  <si>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</si>
  <si>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</si>
  <si>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</si>
  <si>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</si>
  <si>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</si>
  <si>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</si>
  <si>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</si>
  <si>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</si>
  <si>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A0790</t>
  </si>
  <si>
    <t xml:space="preserve">#0790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</si>
  <si>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</si>
  <si>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</si>
  <si>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</si>
  <si>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</si>
  <si>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</si>
  <si>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</si>
  <si>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</si>
  <si>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A0791</t>
  </si>
  <si>
    <t xml:space="preserve">#0791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</si>
  <si>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</si>
  <si>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</si>
  <si>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</si>
  <si>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</si>
  <si>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</si>
  <si>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</si>
  <si>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</si>
  <si>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t xml:space="preserve">A0792</t>
  </si>
  <si>
    <t xml:space="preserve">#0792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</si>
  <si>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</si>
  <si>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</si>
  <si>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</si>
  <si>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</si>
  <si>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</si>
  <si>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</si>
  <si>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</si>
  <si>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</si>
  <si>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t xml:space="preserve">A0793</t>
  </si>
  <si>
    <t xml:space="preserve">#0793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</si>
  <si>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</si>
  <si>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</si>
  <si>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</si>
  <si>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</si>
  <si>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</si>
  <si>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</si>
  <si>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</si>
  <si>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t xml:space="preserve">A0794</t>
  </si>
  <si>
    <t xml:space="preserve">#0794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</si>
  <si>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</si>
  <si>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</si>
  <si>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</si>
  <si>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</si>
  <si>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</si>
  <si>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</si>
  <si>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</si>
  <si>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</si>
  <si>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t xml:space="preserve">A0795</t>
  </si>
  <si>
    <t xml:space="preserve">#0795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</si>
  <si>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</si>
  <si>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</si>
  <si>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</si>
  <si>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</si>
  <si>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</si>
  <si>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</si>
  <si>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</si>
  <si>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</si>
  <si>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A0796</t>
  </si>
  <si>
    <t xml:space="preserve">#0796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</si>
  <si>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</si>
  <si>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</si>
  <si>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</si>
  <si>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</si>
  <si>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</si>
  <si>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A0797</t>
  </si>
  <si>
    <t xml:space="preserve">#0797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</si>
  <si>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</si>
  <si>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</si>
  <si>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</si>
  <si>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</si>
  <si>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</si>
  <si>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</si>
  <si>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</si>
  <si>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</si>
  <si>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A0798</t>
  </si>
  <si>
    <t xml:space="preserve">#0798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</si>
  <si>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</si>
  <si>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</si>
  <si>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</si>
  <si>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</si>
  <si>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</si>
  <si>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</si>
  <si>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</si>
  <si>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</si>
  <si>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시리즈 완결</t>
  </si>
  <si>
    <t xml:space="preserve">포함 책</t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</si>
  <si>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</si>
  <si>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</si>
  <si>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</si>
  <si>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</si>
  <si>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</si>
  <si>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</si>
  <si>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진행자 인트로 질문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삶의 고민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</si>
  <si>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그리스도 연결점</t>
  </si>
  <si>
    <t xml:space="preserve">핵심 교리</t>
  </si>
  <si>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전체 주의</t>
    </r>
  </si>
  <si>
    <t xml:space="preserve">공개 예정일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</si>
  <si>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</si>
  <si>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WenQuanYi Zen Hei"/>
        <family val="2"/>
      </rPr>
      <t xml:space="preserve">세상은 처음에 어떻게 시작됐을까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</si>
  <si>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</si>
  <si>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</si>
  <si>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</si>
  <si>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r>
      <rPr>
        <sz val="10"/>
        <color rgb="FF000000"/>
        <rFont val="WenQuanYi Zen Hei"/>
        <family val="2"/>
      </rPr>
      <t xml:space="preserve">사람은 왜 자꾸 하나님을 떠날까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</si>
  <si>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</si>
  <si>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</si>
  <si>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</si>
  <si>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확실한 게 하나도 없을 때 떠날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</si>
  <si>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</si>
  <si>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</si>
  <si>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</si>
  <si>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정말 소중한 것을 하나님께 맡길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</si>
  <si>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</si>
  <si>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</si>
  <si>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</si>
  <si>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r>
      <rPr>
        <sz val="10"/>
        <color rgb="FF000000"/>
        <rFont val="WenQuanYi Zen Hei"/>
        <family val="2"/>
      </rPr>
      <t xml:space="preserve">하나님의 인도하심은 어떻게 알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</si>
  <si>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</si>
  <si>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</si>
  <si>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</si>
  <si>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원하는 것을 위해 꾀를 써도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</si>
  <si>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</si>
  <si>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</si>
  <si>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</si>
  <si>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r>
      <rPr>
        <sz val="10"/>
        <color rgb="FF000000"/>
        <rFont val="WenQuanYi Zen Hei"/>
        <family val="2"/>
      </rPr>
      <t xml:space="preserve">두려운 사람을 다시 만나야 할 때 어떻게 할까</t>
    </r>
    <r>
      <rPr>
        <sz val="10"/>
        <color rgb="FF000000"/>
        <rFont val="Arial"/>
        <family val="0"/>
        <charset val="1"/>
      </rPr>
      <t xml:space="preserve">?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</si>
  <si>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</si>
  <si>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</si>
  <si>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</si>
  <si>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r>
      <rPr>
        <sz val="10"/>
        <color rgb="FF000000"/>
        <rFont val="WenQuanYi Zen Hei"/>
        <family val="2"/>
      </rPr>
      <t xml:space="preserve">억울한 일만 생길 때 하나님은 어디 계실까</t>
    </r>
    <r>
      <rPr>
        <sz val="10"/>
        <color rgb="FF000000"/>
        <rFont val="Arial"/>
        <family val="0"/>
        <charset val="1"/>
      </rPr>
      <t xml:space="preserve">?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</si>
  <si>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</si>
  <si>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</si>
  <si>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</si>
  <si>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r>
      <rPr>
        <sz val="10"/>
        <color rgb="FF000000"/>
        <rFont val="WenQuanYi Zen Hei"/>
        <family val="2"/>
      </rPr>
      <t xml:space="preserve">나에게 상처 준 사람을 용서할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</si>
  <si>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</si>
  <si>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</si>
  <si>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</si>
  <si>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t xml:space="preserve">내가 너무 부족해서 아무것도 못할 것 같을 때</t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</si>
  <si>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</si>
  <si>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</si>
  <si>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</si>
  <si>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하나님이 정말 이 세상을 다스리고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</si>
  <si>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</si>
  <si>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</si>
  <si>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</si>
  <si>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t xml:space="preserve">앞이 막혀 도무지 길이 보이지 않을 때</t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</si>
  <si>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</si>
  <si>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</si>
  <si>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</si>
  <si>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하나님은 왜 규칙을 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</si>
  <si>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</si>
  <si>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</si>
  <si>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</si>
  <si>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하나님을 실망시킨 뒤에도 다시 시작할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</si>
  <si>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</si>
  <si>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</si>
  <si>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</si>
  <si>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죄 많은 내가 어떻게 하나님 앞에 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</si>
  <si>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</si>
  <si>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</si>
  <si>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</si>
  <si>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함께 사는 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원망은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</si>
  <si>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</si>
  <si>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</si>
  <si>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</si>
  <si>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실패한 세대 뒤에도 소망이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</si>
  <si>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</si>
  <si>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</si>
  <si>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</si>
  <si>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r>
      <rPr>
        <sz val="10"/>
        <color rgb="FF000000"/>
        <rFont val="WenQuanYi Zen Hei"/>
        <family val="2"/>
      </rPr>
      <t xml:space="preserve">새로운 시작 앞에서 꼭 기억해야 할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</si>
  <si>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</si>
  <si>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</si>
  <si>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</si>
  <si>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두려운 새 출발 앞에서 무엇을 붙잡아야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</si>
  <si>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</si>
  <si>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</si>
  <si>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</si>
  <si>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약속은 정말 다 이루어질까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</si>
  <si>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</si>
  <si>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</si>
  <si>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</si>
  <si>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같은 실수를 반복하는 나를 하나님은 포기하실까</t>
    </r>
    <r>
      <rPr>
        <sz val="10"/>
        <color rgb="FF000000"/>
        <rFont val="Arial"/>
        <family val="0"/>
        <charset val="1"/>
      </rPr>
      <t xml:space="preserve">?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</si>
  <si>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</si>
  <si>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</si>
  <si>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</si>
  <si>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r>
      <rPr>
        <sz val="10"/>
        <color rgb="FF000000"/>
        <rFont val="WenQuanYi Zen Hei"/>
        <family val="2"/>
      </rPr>
      <t xml:space="preserve">모두가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생각엔 이게 옳아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라고 할 때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</si>
  <si>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</si>
  <si>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</si>
  <si>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</si>
  <si>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</si>
  <si>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r>
      <rPr>
        <sz val="10"/>
        <color rgb="FF000000"/>
        <rFont val="WenQuanYi Zen Hei"/>
        <family val="2"/>
      </rPr>
      <t xml:space="preserve">가장 절망적일 때 하나님은 무엇을 하고 계실까</t>
    </r>
    <r>
      <rPr>
        <sz val="10"/>
        <color rgb="FF000000"/>
        <rFont val="Arial"/>
        <family val="0"/>
        <charset val="1"/>
      </rPr>
      <t xml:space="preserve">?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</si>
  <si>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</si>
  <si>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</si>
  <si>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</si>
  <si>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r>
      <rPr>
        <sz val="10"/>
        <color rgb="FF000000"/>
        <rFont val="WenQuanYi Zen Hei"/>
        <family val="2"/>
      </rPr>
      <t xml:space="preserve">남들처럼 되고 싶은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잘못일까</t>
    </r>
    <r>
      <rPr>
        <sz val="10"/>
        <color rgb="FF000000"/>
        <rFont val="Arial"/>
        <family val="0"/>
        <charset val="1"/>
      </rPr>
      <t xml:space="preserve">?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</si>
  <si>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</si>
  <si>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</si>
  <si>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</si>
  <si>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r>
      <rPr>
        <sz val="10"/>
        <color rgb="FF000000"/>
        <rFont val="WenQuanYi Zen Hei"/>
        <family val="2"/>
      </rPr>
      <t xml:space="preserve">억울하게 미움받을 때 어떻게 해야 할까</t>
    </r>
    <r>
      <rPr>
        <sz val="10"/>
        <color rgb="FF000000"/>
        <rFont val="Arial"/>
        <family val="0"/>
        <charset val="1"/>
      </rPr>
      <t xml:space="preserve">?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</si>
  <si>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</si>
  <si>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</si>
  <si>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</si>
  <si>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</si>
  <si>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t xml:space="preserve">내 힘으로 해결하고 싶은 유혹이 올 때</t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</si>
  <si>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</si>
  <si>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</si>
  <si>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</si>
  <si>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성공했을 때 가장 먼저 해야 할 일은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</si>
  <si>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</si>
  <si>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</si>
  <si>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</si>
  <si>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큰 잘못을 저지른 뒤에도 돌아갈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</si>
  <si>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</si>
  <si>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</si>
  <si>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</si>
  <si>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무엇이든 구하라 하시면 나는 무엇을 구할까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</si>
  <si>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</si>
  <si>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</si>
  <si>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</si>
  <si>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모두가 거짓을 따를 때 혼자 진실을 말할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</si>
  <si>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</si>
  <si>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</si>
  <si>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</si>
  <si>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</si>
  <si>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t xml:space="preserve">열심히 했는데 지쳐 쓰러질 때</t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</si>
  <si>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</si>
  <si>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</si>
  <si>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</si>
  <si>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작고 평범한 내 삶에도 하나님이 일하실까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</si>
  <si>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</si>
  <si>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</si>
  <si>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</si>
  <si>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경고를 계속 무시하면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</si>
  <si>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</si>
  <si>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</si>
  <si>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</si>
  <si>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모든 게 무너져도 소망이 남아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</si>
  <si>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</si>
  <si>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</si>
  <si>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</si>
  <si>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r>
      <rPr>
        <sz val="10"/>
        <color rgb="FF000000"/>
        <rFont val="WenQuanYi Zen Hei"/>
        <family val="2"/>
      </rPr>
      <t xml:space="preserve">무너진 뒤에 우리는 무엇부터 다시 세워야 할까</t>
    </r>
    <r>
      <rPr>
        <sz val="10"/>
        <color rgb="FF000000"/>
        <rFont val="Arial"/>
        <family val="0"/>
        <charset val="1"/>
      </rPr>
      <t xml:space="preserve">?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</si>
  <si>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</si>
  <si>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</si>
  <si>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</si>
  <si>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하나님께서 정말 다시 받아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</si>
  <si>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</si>
  <si>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</si>
  <si>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</si>
  <si>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무너진 것을 다시 세울 때 무엇부터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</si>
  <si>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</si>
  <si>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</si>
  <si>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</si>
  <si>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r>
      <rPr>
        <sz val="10"/>
        <color rgb="FF000000"/>
        <rFont val="WenQuanYi Zen Hei"/>
        <family val="2"/>
      </rPr>
      <t xml:space="preserve">모두가 포기한 일을 다시 시작할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</si>
  <si>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</si>
  <si>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</si>
  <si>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</si>
  <si>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r>
      <rPr>
        <sz val="10"/>
        <color rgb="FF000000"/>
        <rFont val="WenQuanYi Zen Hei"/>
        <family val="2"/>
      </rPr>
      <t xml:space="preserve">하나님이 안 보이는 것 같을 때도 일하고 계실까</t>
    </r>
    <r>
      <rPr>
        <sz val="10"/>
        <color rgb="FF000000"/>
        <rFont val="Arial"/>
        <family val="0"/>
        <charset val="1"/>
      </rPr>
      <t xml:space="preserve">?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</si>
  <si>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</si>
  <si>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</si>
  <si>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</si>
  <si>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WenQuanYi Zen Hei"/>
        <family val="2"/>
      </rPr>
      <t xml:space="preserve">착하게 살았는데 왜 이런 일이 생길까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</si>
  <si>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</si>
  <si>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</si>
  <si>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</si>
  <si>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기도가 잘 안 나올 때 무슨 말로 기도할까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</si>
  <si>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</si>
  <si>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</si>
  <si>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</si>
  <si>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t xml:space="preserve">하나님이 멀게만 느껴질 때</t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</si>
  <si>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</si>
  <si>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</si>
  <si>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</si>
  <si>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인생이 너무 짧고 허무하게 느껴질 때</t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</si>
  <si>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</si>
  <si>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</si>
  <si>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</si>
  <si>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매일의 삶 속에서 어떻게 하나님을 찬양할까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</si>
  <si>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</si>
  <si>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</si>
  <si>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</si>
  <si>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어떻게 하면 지혜롭게 살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</si>
  <si>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</si>
  <si>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</si>
  <si>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</si>
  <si>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</si>
  <si>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다 가져도 허무하다면 무엇이 의미가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</si>
  <si>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</si>
  <si>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</si>
  <si>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</si>
  <si>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하나님은 정말 우리와 함께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</si>
  <si>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</si>
  <si>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</si>
  <si>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</si>
  <si>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세상이 혼란스러울 때 무엇을 붙들어야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</si>
  <si>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</si>
  <si>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</si>
  <si>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</si>
  <si>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나를 위해 대신 아파 줄 사람이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</si>
  <si>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</si>
  <si>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</si>
  <si>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</si>
  <si>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아무도 내 말을 듣지 않을 때 계속할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</si>
  <si>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</si>
  <si>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</si>
  <si>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</si>
  <si>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</si>
  <si>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모든 것이 무너진 뒤에도 희망이 남아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</si>
  <si>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</si>
  <si>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</si>
  <si>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</si>
  <si>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희망이 하나도 없어 보일 때 하나님은 무엇을 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</si>
  <si>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</si>
  <si>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</si>
  <si>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</si>
  <si>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모두가 다르게 살 때 나 혼자 믿음을 지킬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</si>
  <si>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</si>
  <si>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</si>
  <si>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</si>
  <si>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</si>
  <si>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하나님을 떠난 사람도 다시 받아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</si>
  <si>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</si>
  <si>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</si>
  <si>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</si>
  <si>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</si>
  <si>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하나님은 우리 편만 사랑하실까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</si>
  <si>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</si>
  <si>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</si>
  <si>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</si>
  <si>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</si>
  <si>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하나님이 대답하지 않으시는 것 같을 때</t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</si>
  <si>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</si>
  <si>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</si>
  <si>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</si>
  <si>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예수님은 정말 약속된 그 왕일까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</si>
  <si>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</si>
  <si>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</si>
  <si>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</si>
  <si>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행복한 삶은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</si>
  <si>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</si>
  <si>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</si>
  <si>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8:1~13:52</t>
    </r>
  </si>
  <si>
    <r>
      <rPr>
        <sz val="10"/>
        <color rgb="FF000000"/>
        <rFont val="WenQuanYi Zen Hei"/>
        <family val="2"/>
      </rPr>
      <t xml:space="preserve">예수님은 정말 내 문제를 해결하실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</si>
  <si>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</si>
  <si>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</si>
  <si>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</si>
  <si>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WenQuanYi Zen Hei"/>
        <family val="2"/>
      </rPr>
      <t xml:space="preserve">예수님을 따른다는 것은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</si>
  <si>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</si>
  <si>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</si>
  <si>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</si>
  <si>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r>
      <rPr>
        <sz val="10"/>
        <color rgb="FF000000"/>
        <rFont val="WenQuanYi Zen Hei"/>
        <family val="2"/>
      </rPr>
      <t xml:space="preserve">예수님은 다시 오실까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그날은 언제일까</t>
    </r>
    <r>
      <rPr>
        <sz val="10"/>
        <color rgb="FF000000"/>
        <rFont val="Arial"/>
        <family val="0"/>
        <charset val="1"/>
      </rPr>
      <t xml:space="preserve">?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</si>
  <si>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</si>
  <si>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</si>
  <si>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</si>
  <si>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r>
      <rPr>
        <sz val="10"/>
        <color rgb="FF000000"/>
        <rFont val="WenQuanYi Zen Hei"/>
        <family val="2"/>
      </rPr>
      <t xml:space="preserve">예수님은 왜 죽으셔야 했을까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</si>
  <si>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</si>
  <si>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</si>
  <si>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</si>
  <si>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바쁘고 지친 하루에도 예수님은 나를 만나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</si>
  <si>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</si>
  <si>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</si>
  <si>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</si>
  <si>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r>
      <rPr>
        <sz val="10"/>
        <color rgb="FF000000"/>
        <rFont val="WenQuanYi Zen Hei"/>
        <family val="2"/>
      </rPr>
      <t xml:space="preserve">하나님은 정말 낮은 곳에 오셨을까</t>
    </r>
    <r>
      <rPr>
        <sz val="10"/>
        <color rgb="FF000000"/>
        <rFont val="Arial"/>
        <family val="0"/>
        <charset val="1"/>
      </rPr>
      <t xml:space="preserve">?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</si>
  <si>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</si>
  <si>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</si>
  <si>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</si>
  <si>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나 같은 사람도 하나님이 찾으실까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</si>
  <si>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</si>
  <si>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</si>
  <si>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</si>
  <si>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r>
      <rPr>
        <sz val="10"/>
        <color rgb="FF000000"/>
        <rFont val="WenQuanYi Zen Hei"/>
        <family val="2"/>
      </rPr>
      <t xml:space="preserve">큰 잘못을 하고도 돌아갈 곳이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</si>
  <si>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</si>
  <si>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</si>
  <si>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</si>
  <si>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하나님을 직접 볼 수 있는 방법이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</si>
  <si>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</si>
  <si>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</si>
  <si>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</si>
  <si>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WenQuanYi Zen Hei"/>
        <family val="2"/>
      </rPr>
      <t xml:space="preserve">나는 누구를 따라가야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</si>
  <si>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</si>
  <si>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</si>
  <si>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</si>
  <si>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사랑받는다는 것은 어떤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</si>
  <si>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</si>
  <si>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</si>
  <si>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</si>
  <si>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r>
      <rPr>
        <sz val="10"/>
        <color rgb="FF000000"/>
        <rFont val="WenQuanYi Zen Hei"/>
        <family val="2"/>
      </rPr>
      <t xml:space="preserve">교회는 어떻게 시작되었을까</t>
    </r>
    <r>
      <rPr>
        <sz val="10"/>
        <color rgb="FF000000"/>
        <rFont val="Arial"/>
        <family val="0"/>
        <charset val="1"/>
      </rPr>
      <t xml:space="preserve">?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</si>
  <si>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</si>
  <si>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</si>
  <si>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</si>
  <si>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r>
      <rPr>
        <sz val="10"/>
        <color rgb="FF000000"/>
        <rFont val="WenQuanYi Zen Hei"/>
        <family val="2"/>
      </rPr>
      <t xml:space="preserve">하나님은 누구에게까지 복음을 전하길 원하실까</t>
    </r>
    <r>
      <rPr>
        <sz val="10"/>
        <color rgb="FF000000"/>
        <rFont val="Arial"/>
        <family val="0"/>
        <charset val="1"/>
      </rPr>
      <t xml:space="preserve">?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</si>
  <si>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</si>
  <si>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</si>
  <si>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</si>
  <si>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두려운 곳에 복음을 전할 용기가 생길까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</si>
  <si>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</si>
  <si>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</si>
  <si>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</si>
  <si>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어떤 상황에서도 복음은 멈추지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</si>
  <si>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</si>
  <si>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</si>
  <si>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</si>
  <si>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나는 정말 구원받을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</si>
  <si>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</si>
  <si>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</si>
  <si>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</si>
  <si>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교회 안에 다툼이 있을 때 어떻게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</si>
  <si>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</si>
  <si>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</si>
  <si>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</si>
  <si>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</si>
  <si>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약하고 부족한 나도 하나님이 쓰실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</si>
  <si>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</si>
  <si>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</si>
  <si>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</si>
  <si>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</si>
  <si>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하나님은 나를 언제부터 생각하셨을까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</si>
  <si>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</si>
  <si>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</si>
  <si>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</si>
  <si>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</si>
  <si>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예수님은 정말 다시 오실까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</si>
  <si>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</si>
  <si>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</si>
  <si>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</si>
  <si>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</si>
  <si>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신앙의 바통을 어떻게 이어 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</si>
  <si>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</si>
  <si>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</si>
  <si>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</si>
  <si>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흔들리는 믿음을 어떻게 붙잡을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</si>
  <si>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</si>
  <si>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</si>
  <si>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</si>
  <si>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</si>
  <si>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믿는다고 말만 하고 삶은 그대로라면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</si>
  <si>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</si>
  <si>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</si>
  <si>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</si>
  <si>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</si>
  <si>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사랑과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둘 다 지킬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</si>
  <si>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</si>
  <si>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</si>
  <si>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</si>
  <si>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세상이 무섭게 느껴질 때 누가 이 세상을 다스릴까</t>
    </r>
    <r>
      <rPr>
        <sz val="10"/>
        <color rgb="FF000000"/>
        <rFont val="Arial"/>
        <family val="0"/>
        <charset val="1"/>
      </rPr>
      <t xml:space="preserve">?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</si>
  <si>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</si>
  <si>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</si>
  <si>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</si>
  <si>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</si>
  <si>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r>
      <rPr>
        <sz val="10"/>
        <color rgb="FF000000"/>
        <rFont val="WenQuanYi Zen Hei"/>
        <family val="2"/>
      </rPr>
      <t xml:space="preserve">이 세상의 끝은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</si>
  <si>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</si>
  <si>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</si>
  <si>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t xml:space="preserve">순서</t>
  </si>
  <si>
    <t xml:space="preserve">약어</t>
  </si>
  <si>
    <t xml:space="preserve">장르</t>
  </si>
  <si>
    <t xml:space="preserve">장 수</t>
  </si>
  <si>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편수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포함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</si>
  <si>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</si>
  <si>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시작 회차</t>
  </si>
  <si>
    <t xml:space="preserve">끝 회차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</si>
  <si>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</si>
  <si>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</si>
  <si>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</si>
  <si>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</si>
  <si>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</si>
  <si>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</si>
  <si>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</si>
  <si>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</si>
  <si>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</si>
  <si>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</si>
  <si>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</si>
  <si>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룻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</si>
  <si>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</si>
  <si>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</si>
  <si>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</si>
  <si>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</si>
  <si>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</si>
  <si>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</si>
  <si>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</si>
  <si>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</si>
  <si>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</si>
  <si>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</si>
  <si>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</si>
  <si>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</si>
  <si>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</si>
  <si>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중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 구조 순서로 선별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</si>
  <si>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</si>
  <si>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</si>
  <si>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</si>
  <si>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</si>
  <si>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</si>
  <si>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</si>
  <si>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</si>
  <si>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</si>
  <si>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</si>
  <si>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</si>
  <si>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</si>
  <si>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</si>
  <si>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</si>
  <si>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</si>
  <si>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</si>
  <si>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</si>
  <si>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</si>
  <si>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</si>
  <si>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</si>
  <si>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</si>
  <si>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</si>
  <si>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</si>
  <si>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</si>
  <si>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</si>
  <si>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</si>
  <si>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</si>
  <si>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</si>
  <si>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</si>
  <si>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</si>
  <si>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</si>
  <si>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</si>
  <si>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</si>
  <si>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</si>
  <si>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</si>
  <si>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</si>
  <si>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</si>
  <si>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</si>
  <si>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</si>
  <si>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</si>
  <si>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</si>
  <si>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</si>
  <si>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</si>
  <si>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</si>
  <si>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</si>
  <si>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</si>
  <si>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</si>
  <si>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</si>
  <si>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</si>
  <si>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</si>
  <si>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</si>
  <si>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</si>
  <si>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요일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</si>
  <si>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</si>
  <si>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</si>
  <si>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</si>
  <si>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</si>
  <si>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</si>
  <si>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</si>
  <si>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ID</t>
  </si>
  <si>
    <t xml:space="preserve">인물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</si>
  <si>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</si>
  <si>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</si>
  <si>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</si>
  <si>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</si>
  <si>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</si>
  <si>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</si>
  <si>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</si>
  <si>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</si>
  <si>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</si>
  <si>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</si>
  <si>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</si>
  <si>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</si>
  <si>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</si>
  <si>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</si>
  <si>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</si>
  <si>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</si>
  <si>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</si>
  <si>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</si>
  <si>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</si>
  <si>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</si>
  <si>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</si>
  <si>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</si>
  <si>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</si>
  <si>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</si>
  <si>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</si>
  <si>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</si>
  <si>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</si>
  <si>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</si>
  <si>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</si>
  <si>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</si>
  <si>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</si>
  <si>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</si>
  <si>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</si>
  <si>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</si>
  <si>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</si>
  <si>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</si>
  <si>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</si>
  <si>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</si>
  <si>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</si>
  <si>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</si>
  <si>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</si>
  <si>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</si>
  <si>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</si>
  <si>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</si>
  <si>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</si>
  <si>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</si>
  <si>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</si>
  <si>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</si>
  <si>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</si>
  <si>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</si>
  <si>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</si>
  <si>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</si>
  <si>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</si>
  <si>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</si>
  <si>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</si>
  <si>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</si>
  <si>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</si>
  <si>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</si>
  <si>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</si>
  <si>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</si>
  <si>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</si>
  <si>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</si>
  <si>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</si>
  <si>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</si>
  <si>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</si>
  <si>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</si>
  <si>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</si>
  <si>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</si>
  <si>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</si>
  <si>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</si>
  <si>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</si>
  <si>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</si>
  <si>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</si>
  <si>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</si>
  <si>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</si>
  <si>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</si>
  <si>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</si>
  <si>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</si>
  <si>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</si>
  <si>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</si>
  <si>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</si>
  <si>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</si>
  <si>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</si>
  <si>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</si>
  <si>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</si>
  <si>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</si>
  <si>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</si>
  <si>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</si>
  <si>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</si>
  <si>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</si>
  <si>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</si>
  <si>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</si>
  <si>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</si>
  <si>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</si>
  <si>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</si>
  <si>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</si>
  <si>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</si>
  <si>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</si>
  <si>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</si>
  <si>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</si>
  <si>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</si>
  <si>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</si>
  <si>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</si>
  <si>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</si>
  <si>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</si>
  <si>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</si>
  <si>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</si>
  <si>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</si>
  <si>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</si>
  <si>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</si>
  <si>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t xml:space="preserve">야곱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</si>
  <si>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</si>
  <si>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</si>
  <si>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</si>
  <si>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</si>
  <si>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</si>
  <si>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</si>
  <si>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</si>
  <si>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</si>
  <si>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</si>
  <si>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</si>
  <si>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</si>
  <si>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</si>
  <si>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</si>
  <si>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</si>
  <si>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</si>
  <si>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</si>
  <si>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</si>
  <si>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</si>
  <si>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</si>
  <si>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</si>
  <si>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</si>
  <si>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</si>
  <si>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t xml:space="preserve">요셉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</si>
  <si>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</si>
  <si>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</si>
  <si>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</si>
  <si>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</si>
  <si>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</si>
  <si>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</si>
  <si>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</si>
  <si>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</si>
  <si>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</si>
  <si>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</si>
  <si>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</si>
  <si>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</si>
  <si>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</si>
  <si>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</si>
  <si>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</si>
  <si>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</si>
  <si>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</si>
  <si>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</si>
  <si>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</si>
  <si>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</si>
  <si>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</si>
  <si>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</si>
  <si>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</si>
  <si>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</si>
  <si>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</si>
  <si>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</si>
  <si>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</si>
  <si>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</si>
  <si>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</si>
  <si>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</si>
  <si>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</si>
  <si>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</si>
  <si>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</si>
  <si>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</si>
  <si>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</si>
  <si>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</si>
  <si>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</si>
  <si>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</si>
  <si>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</si>
  <si>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</si>
  <si>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</si>
  <si>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</si>
  <si>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</si>
  <si>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</si>
  <si>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</si>
  <si>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</si>
  <si>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</si>
  <si>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</si>
  <si>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</si>
  <si>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</si>
  <si>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</si>
  <si>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</si>
  <si>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</si>
  <si>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</si>
  <si>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</si>
  <si>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</si>
  <si>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</si>
  <si>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</si>
  <si>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</si>
  <si>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</si>
  <si>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</si>
  <si>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</si>
  <si>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</si>
  <si>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</si>
  <si>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</si>
  <si>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</si>
  <si>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</si>
  <si>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</si>
  <si>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</si>
  <si>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</si>
  <si>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</si>
  <si>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</si>
  <si>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</si>
  <si>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</si>
  <si>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</si>
  <si>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t xml:space="preserve">삼손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</si>
  <si>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</si>
  <si>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</si>
  <si>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</si>
  <si>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</si>
  <si>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</si>
  <si>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</si>
  <si>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</si>
  <si>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</si>
  <si>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</si>
  <si>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</si>
  <si>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</si>
  <si>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</si>
  <si>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</si>
  <si>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</si>
  <si>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</si>
  <si>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</si>
  <si>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</si>
  <si>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</si>
  <si>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</si>
  <si>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</si>
  <si>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</si>
  <si>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</si>
  <si>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</si>
  <si>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t xml:space="preserve">사무엘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</si>
  <si>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</si>
  <si>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</si>
  <si>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</si>
  <si>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</si>
  <si>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</si>
  <si>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</si>
  <si>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t xml:space="preserve">사울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</si>
  <si>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</si>
  <si>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</si>
  <si>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</si>
  <si>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</si>
  <si>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</si>
  <si>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</si>
  <si>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</si>
  <si>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</si>
  <si>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</si>
  <si>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</si>
  <si>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</si>
  <si>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</si>
  <si>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</si>
  <si>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</si>
  <si>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</si>
  <si>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</si>
  <si>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</si>
  <si>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</si>
  <si>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</si>
  <si>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</si>
  <si>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</si>
  <si>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</si>
  <si>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</si>
  <si>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</si>
  <si>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</si>
  <si>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</si>
  <si>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</si>
  <si>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</si>
  <si>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</si>
  <si>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</si>
  <si>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</si>
  <si>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t xml:space="preserve">엘리야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</si>
  <si>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</si>
  <si>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</si>
  <si>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</si>
  <si>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</si>
  <si>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</si>
  <si>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</si>
  <si>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t xml:space="preserve">엘리사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</si>
  <si>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</si>
  <si>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</si>
  <si>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</si>
  <si>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</si>
  <si>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</si>
  <si>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</si>
  <si>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</si>
  <si>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</si>
  <si>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</si>
  <si>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</si>
  <si>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</si>
  <si>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</si>
  <si>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</si>
  <si>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</si>
  <si>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</si>
  <si>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</si>
  <si>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</si>
  <si>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</si>
  <si>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</si>
  <si>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</si>
  <si>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</si>
  <si>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</si>
  <si>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</si>
  <si>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</si>
  <si>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</si>
  <si>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</si>
  <si>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</si>
  <si>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</si>
  <si>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</si>
  <si>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</si>
  <si>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</si>
  <si>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</si>
  <si>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</si>
  <si>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</si>
  <si>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</si>
  <si>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</si>
  <si>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</si>
  <si>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</si>
  <si>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</si>
  <si>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</si>
  <si>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</si>
  <si>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</si>
  <si>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</si>
  <si>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</si>
  <si>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</si>
  <si>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</si>
  <si>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</si>
  <si>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</si>
  <si>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</si>
  <si>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</si>
  <si>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</si>
  <si>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</si>
  <si>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</si>
  <si>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</si>
  <si>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</si>
  <si>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</si>
  <si>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</si>
  <si>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</si>
  <si>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</si>
  <si>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</si>
  <si>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</si>
  <si>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</si>
  <si>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</si>
  <si>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</si>
  <si>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</si>
  <si>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</si>
  <si>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</si>
  <si>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</si>
  <si>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</si>
  <si>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</si>
  <si>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</si>
  <si>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</si>
  <si>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</si>
  <si>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</si>
  <si>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</si>
  <si>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</si>
  <si>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질병 묘사 절제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</si>
  <si>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</si>
  <si>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</si>
  <si>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</si>
  <si>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</si>
  <si>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</si>
  <si>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</si>
  <si>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</si>
  <si>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</si>
  <si>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</si>
  <si>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</si>
  <si>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</si>
  <si>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</si>
  <si>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</si>
  <si>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</si>
  <si>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</si>
  <si>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</si>
  <si>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</si>
  <si>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</si>
  <si>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</si>
  <si>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</si>
  <si>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</si>
  <si>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</si>
  <si>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t xml:space="preserve">세례 요한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</si>
  <si>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</si>
  <si>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</si>
  <si>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</si>
  <si>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</si>
  <si>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</si>
  <si>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</si>
  <si>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</si>
  <si>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</si>
  <si>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</si>
  <si>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</si>
  <si>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</si>
  <si>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</si>
  <si>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</si>
  <si>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</si>
  <si>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</si>
  <si>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</si>
  <si>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</si>
  <si>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</si>
  <si>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</si>
  <si>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</si>
  <si>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</si>
  <si>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</si>
  <si>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</si>
  <si>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</si>
  <si>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</si>
  <si>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</si>
  <si>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</si>
  <si>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</si>
  <si>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</si>
  <si>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</si>
  <si>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</si>
  <si>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</si>
  <si>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</si>
  <si>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</si>
  <si>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</si>
  <si>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</si>
  <si>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</si>
  <si>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</si>
  <si>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</si>
  <si>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</si>
  <si>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</si>
  <si>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</si>
  <si>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</si>
  <si>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</si>
  <si>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</si>
  <si>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</si>
  <si>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</si>
  <si>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</si>
  <si>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</si>
  <si>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</si>
  <si>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</si>
  <si>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</si>
  <si>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</si>
  <si>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</si>
  <si>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</si>
  <si>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</si>
  <si>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</si>
  <si>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</si>
  <si>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</si>
  <si>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</si>
  <si>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</si>
  <si>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</si>
  <si>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</si>
  <si>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</si>
  <si>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</si>
  <si>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</si>
  <si>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</si>
  <si>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</si>
  <si>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</si>
  <si>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</si>
  <si>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</si>
  <si>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</si>
  <si>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</si>
  <si>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</si>
  <si>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</si>
  <si>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</si>
  <si>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</si>
  <si>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</si>
  <si>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타입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아웃트로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</si>
  <si>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</si>
  <si>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</si>
  <si>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</si>
  <si>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</si>
  <si>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</si>
  <si>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</si>
  <si>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</si>
  <si>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</si>
  <si>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</si>
  <si>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</si>
  <si>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</si>
  <si>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</si>
  <si>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</si>
  <si>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타입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아웃트로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</si>
  <si>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</si>
  <si>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</si>
  <si>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</si>
  <si>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</si>
  <si>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</si>
  <si>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</si>
  <si>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</si>
  <si>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</si>
  <si>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</si>
  <si>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</si>
  <si>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</si>
  <si>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기준</t>
  </si>
  <si>
    <t xml:space="preserve">성경</t>
  </si>
  <si>
    <r>
      <rPr>
        <sz val="10"/>
        <color rgb="FF000000"/>
        <rFont val="WenQuanYi Zen Hei"/>
        <family val="2"/>
      </rPr>
      <t xml:space="preserve">개역개정 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</si>
  <si>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</si>
  <si>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</si>
  <si>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</si>
  <si>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</si>
  <si>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</si>
  <si>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</si>
  <si>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</si>
  <si>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</si>
  <si>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</si>
  <si>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</si>
  <si>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</si>
  <si>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</si>
  <si>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</si>
  <si>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</si>
  <si>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□</t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</si>
  <si>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</si>
  <si>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</si>
  <si>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</si>
  <si>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</si>
  <si>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</si>
  <si>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</si>
  <si>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</si>
  <si>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</si>
  <si>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</si>
  <si>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</si>
  <si>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</si>
  <si>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</si>
  <si>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</si>
  <si>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</si>
  <si>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</si>
  <si>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</si>
  <si>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</si>
  <si>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</si>
  <si>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</si>
  <si>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</si>
  <si>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</si>
  <si>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</si>
  <si>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</si>
  <si>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</si>
  <si>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</si>
  <si>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</si>
  <si>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</si>
  <si>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</si>
  <si>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</si>
  <si>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</si>
  <si>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</si>
  <si>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</si>
  <si>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</si>
  <si>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</si>
  <si>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</si>
  <si>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</si>
  <si>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</si>
  <si>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</si>
  <si>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</si>
  <si>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</si>
  <si>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</si>
  <si>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</si>
  <si>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</si>
  <si>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</si>
  <si>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</si>
  <si>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</si>
  <si>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</si>
  <si>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</si>
  <si>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</si>
  <si>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</si>
  <si>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</si>
  <si>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</si>
  <si>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</si>
  <si>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</si>
  <si>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</si>
  <si>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</si>
  <si>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</si>
  <si>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</si>
  <si>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</si>
  <si>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</si>
  <si>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</si>
  <si>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</si>
  <si>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</si>
  <si>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</si>
  <si>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</si>
  <si>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</si>
  <si>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</si>
  <si>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</si>
  <si>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</si>
  <si>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</si>
  <si>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</si>
  <si>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</si>
  <si>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</si>
  <si>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</si>
  <si>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</si>
  <si>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</si>
  <si>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</si>
  <si>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</si>
  <si>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</si>
  <si>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</si>
  <si>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</si>
  <si>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</si>
  <si>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</si>
  <si>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</si>
  <si>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</si>
  <si>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</si>
  <si>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</si>
  <si>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</si>
  <si>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</si>
  <si>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</si>
  <si>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</si>
  <si>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</si>
  <si>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</si>
  <si>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</si>
  <si>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</si>
  <si>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</si>
  <si>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</si>
  <si>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</si>
  <si>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개역개정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</si>
  <si>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</si>
  <si>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</si>
  <si>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</si>
  <si>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</si>
  <si>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</si>
  <si>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</si>
  <si>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</si>
  <si>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</si>
  <si>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</si>
  <si>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</si>
  <si>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</si>
  <si>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</si>
  <si>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</si>
  <si>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개역개정과 대조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</si>
  <si>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</si>
  <si>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</si>
  <si>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</si>
  <si>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</si>
  <si>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</si>
  <si>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</si>
  <si>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</si>
  <si>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</si>
  <si>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</si>
  <si>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</si>
  <si>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</si>
  <si>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</si>
  <si>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</si>
  <si>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</si>
  <si>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</si>
  <si>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첫 컷은 가장 강한 장면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</si>
  <si>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</si>
  <si>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t xml:space="preserve">1</t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</si>
  <si>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</si>
  <si>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</si>
  <si>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</si>
  <si>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</si>
  <si>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</si>
  <si>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</si>
  <si>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</si>
  <si>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</si>
  <si>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</si>
  <si>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</si>
  <si>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</si>
  <si>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</si>
  <si>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 → </t>
    </r>
    <r>
      <rPr>
        <sz val="10"/>
        <color rgb="FF000000"/>
        <rFont val="WenQuanYi Zen Hei"/>
        <family val="2"/>
      </rPr>
      <t xml:space="preserve">첫 장면과 이어지게 반복 시청 유도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</si>
  <si>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</si>
  <si>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</si>
  <si>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</si>
  <si>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B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롱폼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</si>
  <si>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길이</t>
  </si>
  <si>
    <t xml:space="preserve">인트로</t>
  </si>
  <si>
    <r>
      <rPr>
        <sz val="10"/>
        <color rgb="FF000000"/>
        <rFont val="WenQuanYi Zen Hei"/>
        <family val="2"/>
      </rPr>
      <t xml:space="preserve">하람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은솔 가족의 일상 고민 → 할아버지가 성경을 펼침</t>
    </r>
  </si>
  <si>
    <r>
      <rPr>
        <sz val="10"/>
        <color rgb="FF000000"/>
        <rFont val="Arial"/>
        <family val="0"/>
        <charset val="1"/>
      </rPr>
      <t xml:space="preserve">B: </t>
    </r>
    <r>
      <rPr>
        <sz val="10"/>
        <color rgb="FF000000"/>
        <rFont val="WenQuanYi Zen Hei"/>
        <family val="2"/>
      </rPr>
      <t xml:space="preserve">진행자 인트로 질문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</si>
  <si>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</si>
  <si>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</si>
  <si>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대체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</si>
  <si>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</si>
  <si>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</si>
  <si>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중간 질문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</si>
  <si>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여러분이라면 어떻게 했을까요</t>
    </r>
    <r>
      <rPr>
        <sz val="10"/>
        <color rgb="FF000000"/>
        <rFont val="Arial"/>
        <family val="0"/>
        <charset val="1"/>
      </rPr>
      <t xml:space="preserve">?" (</t>
    </r>
    <r>
      <rPr>
        <sz val="10"/>
        <color rgb="FF000000"/>
        <rFont val="WenQuanYi Zen Hei"/>
        <family val="2"/>
      </rPr>
      <t xml:space="preserve">분반 토론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댓글 유도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</si>
  <si>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초</t>
    </r>
  </si>
  <si>
    <t xml:space="preserve">아웃트로</t>
  </si>
  <si>
    <r>
      <rPr>
        <sz val="10"/>
        <color rgb="FF000000"/>
        <rFont val="WenQuanYi Zen Hei"/>
        <family val="2"/>
      </rPr>
      <t xml:space="preserve">그리스도 연결점 정리 → 삶의 적용 → 짧은 기도 → 다음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예고</t>
    </r>
  </si>
  <si>
    <r>
      <rPr>
        <sz val="10"/>
        <color rgb="FF000000"/>
        <rFont val="Arial"/>
        <family val="0"/>
        <charset val="1"/>
      </rPr>
      <t xml:space="preserve">B: </t>
    </r>
    <r>
      <rPr>
        <sz val="10"/>
        <color rgb="FF000000"/>
        <rFont val="WenQuanYi Zen Hei"/>
        <family val="2"/>
      </rPr>
      <t xml:space="preserve">그리스도 연결점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</si>
  <si>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</si>
  <si>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</si>
  <si>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</si>
  <si>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</si>
  <si>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</si>
  <si>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</si>
  <si>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</si>
  <si>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</si>
  <si>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</si>
  <si>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</si>
  <si>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</si>
  <si>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</si>
  <si>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</si>
  <si>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</si>
  <si>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</si>
  <si>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</si>
  <si>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</si>
  <si>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</si>
  <si>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</si>
  <si>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</si>
  <si>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</si>
  <si>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</si>
  <si>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</si>
  <si>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</si>
  <si>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</si>
  <si>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</si>
  <si>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</si>
  <si>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</si>
  <si>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</si>
  <si>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</si>
  <si>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</si>
  <si>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</si>
  <si>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</si>
  <si>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</si>
  <si>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</si>
  <si>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</si>
  <si>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</si>
  <si>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</si>
  <si>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</si>
  <si>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</si>
  <si>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</si>
  <si>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</si>
  <si>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</si>
  <si>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</si>
  <si>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</si>
  <si>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</si>
  <si>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</si>
  <si>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</si>
  <si>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</si>
  <si>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회차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</si>
  <si>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유튜브 제목안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자동 생성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</si>
  <si>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</si>
  <si>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</si>
  <si>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</si>
  <si>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</si>
  <si>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</si>
  <si>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</si>
  <si>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</si>
  <si>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t xml:space="preserve">재생목록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</si>
  <si>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</si>
  <si>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</si>
  <si>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</si>
  <si>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</si>
  <si>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</si>
  <si>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t xml:space="preserve">개역개정 인용이 대한성서공회 사용 지침 범위 안이며 출처를 표기했는가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</si>
  <si>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</si>
  <si>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</si>
  <si>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</si>
  <si>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</si>
  <si>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개역개정과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</si>
  <si>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</si>
  <si>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</si>
  <si>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</si>
  <si>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</si>
  <si>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</si>
  <si>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</si>
  <si>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</si>
  <si>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</si>
  <si>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</si>
  <si>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</si>
  <si>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t xml:space="preserve">A0001, A0379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</si>
  <si>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</si>
  <si>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</si>
  <si>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</si>
  <si>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t xml:space="preserve">A0432, A0570, A0573, A0643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</si>
  <si>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</si>
  <si>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</si>
  <si>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</si>
  <si>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t xml:space="preserve">A0575, A0644, A0707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</si>
  <si>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</si>
  <si>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</si>
  <si>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</si>
  <si>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t xml:space="preserve">A0585, A0212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</si>
  <si>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</si>
  <si>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</si>
  <si>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</si>
  <si>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t xml:space="preserve">A0108, A0205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</si>
  <si>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</si>
  <si>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</si>
  <si>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</si>
  <si>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t xml:space="preserve">A0649, A0492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</si>
  <si>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</si>
  <si>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</si>
  <si>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</si>
  <si>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t xml:space="preserve">A0129, A0382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</si>
  <si>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</si>
  <si>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</si>
  <si>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</si>
  <si>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t xml:space="preserve">A0099, A0325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</si>
  <si>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</si>
  <si>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</si>
  <si>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</si>
  <si>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t xml:space="preserve">A0509, A0687, A0716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</si>
  <si>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</si>
  <si>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</si>
  <si>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감사</t>
  </si>
  <si>
    <t xml:space="preserve">A0610, A0382, A0160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</si>
  <si>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</si>
  <si>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</si>
  <si>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</si>
  <si>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t xml:space="preserve">A0414, A0415, A0505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</si>
  <si>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</si>
  <si>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</si>
  <si>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</si>
  <si>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t xml:space="preserve">A0593, A0594, A0524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</si>
  <si>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</si>
  <si>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</si>
  <si>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</si>
  <si>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t xml:space="preserve">A0155, A0796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</si>
  <si>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</si>
  <si>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</si>
  <si>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표기 통일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개역개정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</si>
  <si>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</si>
  <si>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</si>
  <si>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</si>
  <si>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</si>
  <si>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</si>
  <si>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</si>
  <si>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</si>
  <si>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t xml:space="preserve">개역개정 표기</t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</si>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</sst>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8" t="s">
        <v>9</v>
      </c>
    </row>
    <row r="8" customFormat="false" ht="15" hidden="false" customHeight="false" outlineLevel="0" collapsed="false">
      <c r="A8" s="9" t="s">
        <v>10</v>
      </c>
      <c r="C8" s="6" t="n">
        <v>120</v>
      </c>
      <c r="D8" s="7" t="s">
        <v>11</v>
      </c>
    </row>
    <row r="9" customFormat="false" ht="15" hidden="false" customHeight="false" outlineLevel="0" collapsed="false">
      <c r="A9" s="5" t="s">
        <v>12</v>
      </c>
      <c r="C9" s="6" t="n">
        <v>5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10" t="n">
        <v>46391</v>
      </c>
      <c r="D10" s="7" t="s">
        <v>15</v>
      </c>
    </row>
    <row r="12" customFormat="false" ht="16.4" hidden="false" customHeight="false" outlineLevel="0" collapsed="false">
      <c r="A12" s="3" t="s">
        <v>16</v>
      </c>
      <c r="B12" s="4"/>
      <c r="C12" s="4"/>
      <c r="D12" s="4"/>
    </row>
    <row r="13" customFormat="false" ht="15" hidden="false" customHeight="false" outlineLevel="0" collapsed="false">
      <c r="A13" s="9" t="s">
        <v>17</v>
      </c>
      <c r="C13" s="11" t="n">
        <f aca="false">COUNTA(A타입_제작표!$B$2:$B$799)</f>
        <v>798</v>
      </c>
      <c r="D13" s="7" t="s">
        <v>18</v>
      </c>
    </row>
    <row r="14" customFormat="false" ht="15" hidden="false" customHeight="false" outlineLevel="0" collapsed="false">
      <c r="A14" s="9" t="s">
        <v>19</v>
      </c>
      <c r="C14" s="11" t="n">
        <f aca="false">COUNTA(B타입_롱폼!$B$2:$B$85)</f>
        <v>84</v>
      </c>
      <c r="D14" s="7" t="s">
        <v>18</v>
      </c>
    </row>
    <row r="15" customFormat="false" ht="15" hidden="false" customHeight="false" outlineLevel="0" collapsed="false">
      <c r="A15" s="5" t="s">
        <v>20</v>
      </c>
      <c r="C15" s="11" t="n">
        <f aca="false">COUNTIF(A타입_제작표!$F$2:$F$799,"구약")</f>
        <v>521</v>
      </c>
      <c r="D15" s="7" t="s">
        <v>18</v>
      </c>
    </row>
    <row r="16" customFormat="false" ht="15" hidden="false" customHeight="false" outlineLevel="0" collapsed="false">
      <c r="A16" s="5" t="s">
        <v>21</v>
      </c>
      <c r="C16" s="11" t="n">
        <f aca="false">COUNTIF(A타입_제작표!$F$2:$F$799,"신약")</f>
        <v>277</v>
      </c>
      <c r="D16" s="7" t="s">
        <v>18</v>
      </c>
    </row>
    <row r="17" customFormat="false" ht="15" hidden="false" customHeight="false" outlineLevel="0" collapsed="false">
      <c r="A17" s="5" t="s">
        <v>22</v>
      </c>
      <c r="C17" s="11" t="n">
        <f aca="false">ROUND(C13*안내!$C$6/3600,1)</f>
        <v>13.3</v>
      </c>
      <c r="D17" s="7" t="s">
        <v>23</v>
      </c>
    </row>
    <row r="18" customFormat="false" ht="15" hidden="false" customHeight="false" outlineLevel="0" collapsed="false">
      <c r="A18" s="5" t="s">
        <v>24</v>
      </c>
      <c r="C18" s="11" t="n">
        <f aca="false">ROUND(SUM(B타입_롱폼!$G$2:$G$85)/3600,1)</f>
        <v>14.3</v>
      </c>
      <c r="D18" s="7" t="s">
        <v>23</v>
      </c>
    </row>
    <row r="19" customFormat="false" ht="15" hidden="false" customHeight="false" outlineLevel="0" collapsed="false">
      <c r="A19" s="5" t="s">
        <v>25</v>
      </c>
      <c r="C19" s="11" t="n">
        <f aca="false">ROUNDUP(C13/안내!$C$9,0)</f>
        <v>160</v>
      </c>
      <c r="D19" s="7" t="s">
        <v>26</v>
      </c>
    </row>
    <row r="20" customFormat="false" ht="15" hidden="false" customHeight="false" outlineLevel="0" collapsed="false">
      <c r="A20" s="5" t="s">
        <v>27</v>
      </c>
      <c r="C20" s="12" t="n">
        <f aca="false">MAX(A타입_제작표!$S$2:$S$799)</f>
        <v>47506</v>
      </c>
      <c r="D20" s="7"/>
    </row>
    <row r="22" customFormat="false" ht="15" hidden="false" customHeight="false" outlineLevel="0" collapsed="false">
      <c r="A22" s="3" t="s">
        <v>28</v>
      </c>
      <c r="B22" s="4"/>
      <c r="C22" s="4"/>
      <c r="D22" s="4"/>
    </row>
    <row r="23" customFormat="false" ht="30" hidden="false" customHeight="true" outlineLevel="0" collapsed="false">
      <c r="A23" s="9" t="s">
        <v>29</v>
      </c>
      <c r="B23" s="13" t="s">
        <v>30</v>
      </c>
      <c r="C23" s="13"/>
      <c r="D23" s="13"/>
    </row>
    <row r="24" customFormat="false" ht="30" hidden="false" customHeight="true" outlineLevel="0" collapsed="false">
      <c r="A24" s="9" t="s">
        <v>31</v>
      </c>
      <c r="B24" s="13" t="s">
        <v>32</v>
      </c>
      <c r="C24" s="13"/>
      <c r="D24" s="13"/>
    </row>
    <row r="25" customFormat="false" ht="30" hidden="false" customHeight="true" outlineLevel="0" collapsed="false">
      <c r="A25" s="5" t="s">
        <v>33</v>
      </c>
      <c r="B25" s="13" t="s">
        <v>34</v>
      </c>
      <c r="C25" s="13"/>
      <c r="D25" s="13"/>
    </row>
    <row r="26" customFormat="false" ht="30" hidden="false" customHeight="true" outlineLevel="0" collapsed="false">
      <c r="A26" s="5" t="s">
        <v>35</v>
      </c>
      <c r="B26" s="14" t="s">
        <v>36</v>
      </c>
      <c r="C26" s="14"/>
      <c r="D26" s="14"/>
    </row>
    <row r="27" customFormat="false" ht="30" hidden="false" customHeight="true" outlineLevel="0" collapsed="false">
      <c r="A27" s="5" t="s">
        <v>37</v>
      </c>
      <c r="B27" s="14" t="s">
        <v>38</v>
      </c>
      <c r="C27" s="14"/>
      <c r="D27" s="14"/>
    </row>
    <row r="28" customFormat="false" ht="60" hidden="false" customHeight="true" outlineLevel="0" collapsed="false">
      <c r="A28" s="5" t="s">
        <v>39</v>
      </c>
      <c r="B28" s="14" t="s">
        <v>40</v>
      </c>
      <c r="C28" s="14"/>
      <c r="D28" s="14"/>
    </row>
    <row r="30" customFormat="false" ht="15" hidden="false" customHeight="false" outlineLevel="0" collapsed="false">
      <c r="A30" s="3" t="s">
        <v>41</v>
      </c>
      <c r="B30" s="4"/>
      <c r="C30" s="4"/>
      <c r="D30" s="4"/>
    </row>
    <row r="31" customFormat="false" ht="15" hidden="false" customHeight="false" outlineLevel="0" collapsed="false">
      <c r="A31" s="5" t="s">
        <v>42</v>
      </c>
      <c r="B31" s="15" t="s">
        <v>43</v>
      </c>
      <c r="C31" s="15"/>
      <c r="D31" s="15"/>
    </row>
    <row r="32" customFormat="false" ht="14.15" hidden="false" customHeight="false" outlineLevel="0" collapsed="false">
      <c r="A32" s="9" t="s">
        <v>44</v>
      </c>
      <c r="B32" s="16" t="s">
        <v>45</v>
      </c>
      <c r="C32" s="16"/>
      <c r="D32" s="16"/>
    </row>
    <row r="33" customFormat="false" ht="14.15" hidden="false" customHeight="false" outlineLevel="0" collapsed="false">
      <c r="A33" s="9" t="s">
        <v>46</v>
      </c>
      <c r="B33" s="16" t="s">
        <v>47</v>
      </c>
      <c r="C33" s="16"/>
      <c r="D33" s="16"/>
    </row>
    <row r="34" customFormat="false" ht="14.15" hidden="false" customHeight="false" outlineLevel="0" collapsed="false">
      <c r="A34" s="5" t="s">
        <v>48</v>
      </c>
      <c r="B34" s="16" t="s">
        <v>49</v>
      </c>
      <c r="C34" s="16"/>
      <c r="D34" s="16"/>
    </row>
    <row r="35" customFormat="false" ht="14.15" hidden="false" customHeight="false" outlineLevel="0" collapsed="false">
      <c r="A35" s="5" t="s">
        <v>50</v>
      </c>
      <c r="B35" s="16" t="s">
        <v>51</v>
      </c>
      <c r="C35" s="16"/>
      <c r="D35" s="16"/>
    </row>
    <row r="36" customFormat="false" ht="15" hidden="false" customHeight="false" outlineLevel="0" collapsed="false">
      <c r="A36" s="5" t="s">
        <v>52</v>
      </c>
      <c r="B36" s="15" t="s">
        <v>53</v>
      </c>
      <c r="C36" s="15"/>
      <c r="D36" s="15"/>
    </row>
    <row r="37" customFormat="false" ht="15" hidden="false" customHeight="false" outlineLevel="0" collapsed="false">
      <c r="A37" s="5" t="s">
        <v>54</v>
      </c>
      <c r="B37" s="16" t="s">
        <v>55</v>
      </c>
      <c r="C37" s="16"/>
      <c r="D37" s="16"/>
    </row>
    <row r="38" customFormat="false" ht="15" hidden="false" customHeight="false" outlineLevel="0" collapsed="false">
      <c r="A38" s="5" t="s">
        <v>56</v>
      </c>
      <c r="B38" s="16" t="s">
        <v>57</v>
      </c>
      <c r="C38" s="16"/>
      <c r="D38" s="16"/>
    </row>
    <row r="40" customFormat="false" ht="15" hidden="false" customHeight="false" outlineLevel="0" collapsed="false">
      <c r="A40" s="17" t="s">
        <v>58</v>
      </c>
    </row>
  </sheetData>
  <mergeCells count="14">
    <mergeCell ref="B23:D23"/>
    <mergeCell ref="B24:D24"/>
    <mergeCell ref="B25:D25"/>
    <mergeCell ref="B26:D26"/>
    <mergeCell ref="B27:D27"/>
    <mergeCell ref="B28:D28"/>
    <mergeCell ref="B31:D31"/>
    <mergeCell ref="B32:D32"/>
    <mergeCell ref="B33:D33"/>
    <mergeCell ref="B34:D34"/>
    <mergeCell ref="B35:D35"/>
    <mergeCell ref="B36:D36"/>
    <mergeCell ref="B37:D37"/>
    <mergeCell ref="B38:D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0" ySplit="1" topLeftCell="K2" activePane="bottomRight" state="frozen"/>
      <selection pane="topLeft" activeCell="A1" activeCellId="0" sqref="A1"/>
      <selection pane="topRight" activeCell="K1" activeCellId="0" sqref="K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8"/>
    <col collapsed="false" customWidth="true" hidden="false" outlineLevel="0" max="4" min="4" style="0" width="7"/>
    <col collapsed="false" customWidth="true" hidden="false" outlineLevel="0" max="5" min="5" style="0" width="22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20"/>
    <col collapsed="false" customWidth="true" hidden="false" outlineLevel="0" max="11" min="11" style="0" width="30"/>
    <col collapsed="false" customWidth="true" hidden="false" outlineLevel="0" max="12" min="12" style="0" width="12"/>
    <col collapsed="false" customWidth="true" hidden="false" outlineLevel="0" max="13" min="13" style="0" width="32"/>
    <col collapsed="false" customWidth="true" hidden="false" outlineLevel="0" max="15" min="14" style="0" width="22"/>
    <col collapsed="false" customWidth="true" hidden="false" outlineLevel="0" max="16" min="16" style="0" width="34"/>
    <col collapsed="false" customWidth="true" hidden="false" outlineLevel="0" max="17" min="17" style="0" width="40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3" min="20" style="0" width="8"/>
    <col collapsed="false" customWidth="true" hidden="false" outlineLevel="0" max="24" min="24" style="0" width="16"/>
    <col collapsed="false" customWidth="true" hidden="false" outlineLevel="0" max="25" min="25" style="0" width="22"/>
  </cols>
  <sheetData>
    <row r="1" customFormat="false" ht="30" hidden="false" customHeight="true" outlineLevel="0" collapsed="false">
      <c r="A1" s="18" t="s">
        <v>59</v>
      </c>
      <c r="B1" s="19" t="s">
        <v>60</v>
      </c>
      <c r="C1" s="18" t="s">
        <v>61</v>
      </c>
      <c r="D1" s="19" t="s">
        <v>62</v>
      </c>
      <c r="E1" s="19" t="s">
        <v>63</v>
      </c>
      <c r="F1" s="18" t="s">
        <v>64</v>
      </c>
      <c r="G1" s="18" t="s">
        <v>65</v>
      </c>
      <c r="H1" s="18" t="s">
        <v>66</v>
      </c>
      <c r="I1" s="18" t="s">
        <v>67</v>
      </c>
      <c r="J1" s="18" t="s">
        <v>68</v>
      </c>
      <c r="K1" s="18" t="s">
        <v>69</v>
      </c>
      <c r="L1" s="18" t="s">
        <v>70</v>
      </c>
      <c r="M1" s="18" t="s">
        <v>71</v>
      </c>
      <c r="N1" s="18" t="s">
        <v>72</v>
      </c>
      <c r="O1" s="18" t="s">
        <v>73</v>
      </c>
      <c r="P1" s="18" t="s">
        <v>74</v>
      </c>
      <c r="Q1" s="18" t="s">
        <v>75</v>
      </c>
      <c r="R1" s="18" t="s">
        <v>76</v>
      </c>
      <c r="S1" s="18" t="s">
        <v>77</v>
      </c>
      <c r="T1" s="18" t="s">
        <v>78</v>
      </c>
      <c r="U1" s="18" t="s">
        <v>79</v>
      </c>
      <c r="V1" s="18" t="s">
        <v>80</v>
      </c>
      <c r="W1" s="18" t="s">
        <v>81</v>
      </c>
      <c r="X1" s="18" t="s">
        <v>82</v>
      </c>
      <c r="Y1" s="18" t="s">
        <v>83</v>
      </c>
    </row>
    <row r="2" customFormat="false" ht="26.85" hidden="false" customHeight="false" outlineLevel="0" collapsed="false">
      <c r="A2" s="20" t="n">
        <v>1</v>
      </c>
      <c r="B2" s="20" t="s">
        <v>84</v>
      </c>
      <c r="C2" s="20" t="s">
        <v>85</v>
      </c>
      <c r="D2" s="20" t="s">
        <v>86</v>
      </c>
      <c r="E2" s="21" t="s">
        <v>87</v>
      </c>
      <c r="F2" s="22" t="s">
        <v>88</v>
      </c>
      <c r="G2" s="22" t="s">
        <v>89</v>
      </c>
      <c r="H2" s="21" t="s">
        <v>90</v>
      </c>
      <c r="I2" s="23" t="s">
        <v>91</v>
      </c>
      <c r="J2" s="24" t="s">
        <v>92</v>
      </c>
      <c r="K2" s="24" t="s">
        <v>93</v>
      </c>
      <c r="L2" s="24" t="s">
        <v>94</v>
      </c>
      <c r="M2" s="24" t="s">
        <v>95</v>
      </c>
      <c r="N2" s="24" t="s">
        <v>96</v>
      </c>
      <c r="O2" s="24" t="s">
        <v>97</v>
      </c>
      <c r="P2" s="25" t="s">
        <v>98</v>
      </c>
      <c r="Q2" s="24" t="str">
        <f aca="false">"["&amp;안내!$C$5&amp;" "&amp;C2&amp;"] "&amp;J2&amp;" | "&amp;H2</f>
        <v>[1분 성경 #0001] 태초에 | 창 1:1-5</v>
      </c>
      <c r="R2" s="23" t="n">
        <f aca="false">INT((A2-1)/안내!$C$9)+1</f>
        <v>1</v>
      </c>
      <c r="S2" s="26" t="n">
        <f aca="false">안내!$C$10+(R2-1)*7+MOD(A2-1,안내!$C$9)</f>
        <v>46391</v>
      </c>
      <c r="T2" s="23" t="s">
        <v>99</v>
      </c>
      <c r="U2" s="23" t="s">
        <v>99</v>
      </c>
      <c r="V2" s="23" t="s">
        <v>99</v>
      </c>
      <c r="W2" s="23" t="s">
        <v>99</v>
      </c>
      <c r="X2" s="24"/>
      <c r="Y2" s="24" t="str">
        <f aca="false">"다음 편: "&amp;J3</f>
        <v>다음 편: 하늘과 바다와 땅</v>
      </c>
    </row>
    <row r="3" customFormat="false" ht="26.85" hidden="false" customHeight="false" outlineLevel="0" collapsed="false">
      <c r="A3" s="20" t="n">
        <v>2</v>
      </c>
      <c r="B3" s="20" t="s">
        <v>100</v>
      </c>
      <c r="C3" s="20" t="s">
        <v>101</v>
      </c>
      <c r="D3" s="20" t="s">
        <v>86</v>
      </c>
      <c r="E3" s="21" t="s">
        <v>87</v>
      </c>
      <c r="F3" s="22" t="s">
        <v>88</v>
      </c>
      <c r="G3" s="22" t="s">
        <v>89</v>
      </c>
      <c r="H3" s="21" t="s">
        <v>102</v>
      </c>
      <c r="I3" s="23" t="s">
        <v>91</v>
      </c>
      <c r="J3" s="24" t="s">
        <v>103</v>
      </c>
      <c r="K3" s="24" t="s">
        <v>104</v>
      </c>
      <c r="L3" s="24" t="s">
        <v>105</v>
      </c>
      <c r="M3" s="24" t="s">
        <v>106</v>
      </c>
      <c r="N3" s="24" t="s">
        <v>107</v>
      </c>
      <c r="O3" s="24" t="s">
        <v>108</v>
      </c>
      <c r="P3" s="25" t="s">
        <v>109</v>
      </c>
      <c r="Q3" s="24" t="str">
        <f aca="false">"["&amp;안내!$C$5&amp;" "&amp;C3&amp;"] "&amp;J3&amp;" | "&amp;H3</f>
        <v>[1분 성경 #0002] 하늘과 바다와 땅 | 창 1:6-13</v>
      </c>
      <c r="R3" s="23" t="n">
        <f aca="false">INT((A3-1)/안내!$C$9)+1</f>
        <v>1</v>
      </c>
      <c r="S3" s="26" t="n">
        <f aca="false">안내!$C$10+(R3-1)*7+MOD(A3-1,안내!$C$9)</f>
        <v>46392</v>
      </c>
      <c r="T3" s="23" t="s">
        <v>99</v>
      </c>
      <c r="U3" s="23" t="s">
        <v>99</v>
      </c>
      <c r="V3" s="23" t="s">
        <v>99</v>
      </c>
      <c r="W3" s="23" t="s">
        <v>99</v>
      </c>
      <c r="X3" s="24"/>
      <c r="Y3" s="24" t="str">
        <f aca="false">"다음 편: "&amp;J4</f>
        <v>다음 편: 해·달·별, 그리고 생명들</v>
      </c>
    </row>
    <row r="4" customFormat="false" ht="26.85" hidden="false" customHeight="false" outlineLevel="0" collapsed="false">
      <c r="A4" s="20" t="n">
        <v>3</v>
      </c>
      <c r="B4" s="20" t="s">
        <v>110</v>
      </c>
      <c r="C4" s="20" t="s">
        <v>111</v>
      </c>
      <c r="D4" s="20" t="s">
        <v>86</v>
      </c>
      <c r="E4" s="21" t="s">
        <v>87</v>
      </c>
      <c r="F4" s="22" t="s">
        <v>88</v>
      </c>
      <c r="G4" s="22" t="s">
        <v>89</v>
      </c>
      <c r="H4" s="21" t="s">
        <v>112</v>
      </c>
      <c r="I4" s="23" t="s">
        <v>91</v>
      </c>
      <c r="J4" s="24" t="s">
        <v>113</v>
      </c>
      <c r="K4" s="24" t="s">
        <v>114</v>
      </c>
      <c r="L4" s="24" t="s">
        <v>115</v>
      </c>
      <c r="M4" s="24" t="s">
        <v>116</v>
      </c>
      <c r="N4" s="24" t="s">
        <v>107</v>
      </c>
      <c r="O4" s="24" t="s">
        <v>117</v>
      </c>
      <c r="P4" s="24"/>
      <c r="Q4" s="24" t="str">
        <f aca="false">"["&amp;안내!$C$5&amp;" "&amp;C4&amp;"] "&amp;J4&amp;" | "&amp;H4</f>
        <v>[1분 성경 #0003] 해·달·별, 그리고 생명들 | 창 1:14-25</v>
      </c>
      <c r="R4" s="23" t="n">
        <f aca="false">INT((A4-1)/안내!$C$9)+1</f>
        <v>1</v>
      </c>
      <c r="S4" s="26" t="n">
        <f aca="false">안내!$C$10+(R4-1)*7+MOD(A4-1,안내!$C$9)</f>
        <v>46393</v>
      </c>
      <c r="T4" s="23" t="s">
        <v>99</v>
      </c>
      <c r="U4" s="23" t="s">
        <v>99</v>
      </c>
      <c r="V4" s="23" t="s">
        <v>99</v>
      </c>
      <c r="W4" s="23" t="s">
        <v>99</v>
      </c>
      <c r="X4" s="24"/>
      <c r="Y4" s="24" t="str">
        <f aca="false">"다음 편: "&amp;J5</f>
        <v>다음 편: 하나님의 형상, 사람</v>
      </c>
    </row>
    <row r="5" customFormat="false" ht="26.85" hidden="false" customHeight="false" outlineLevel="0" collapsed="false">
      <c r="A5" s="20" t="n">
        <v>4</v>
      </c>
      <c r="B5" s="20" t="s">
        <v>118</v>
      </c>
      <c r="C5" s="20" t="s">
        <v>119</v>
      </c>
      <c r="D5" s="20" t="s">
        <v>86</v>
      </c>
      <c r="E5" s="21" t="s">
        <v>87</v>
      </c>
      <c r="F5" s="22" t="s">
        <v>88</v>
      </c>
      <c r="G5" s="22" t="s">
        <v>89</v>
      </c>
      <c r="H5" s="21" t="s">
        <v>120</v>
      </c>
      <c r="I5" s="23" t="s">
        <v>91</v>
      </c>
      <c r="J5" s="24" t="s">
        <v>121</v>
      </c>
      <c r="K5" s="24" t="s">
        <v>122</v>
      </c>
      <c r="L5" s="24" t="s">
        <v>123</v>
      </c>
      <c r="M5" s="24" t="s">
        <v>124</v>
      </c>
      <c r="N5" s="24" t="s">
        <v>125</v>
      </c>
      <c r="O5" s="24" t="s">
        <v>126</v>
      </c>
      <c r="P5" s="25" t="s">
        <v>127</v>
      </c>
      <c r="Q5" s="24" t="str">
        <f aca="false">"["&amp;안내!$C$5&amp;" "&amp;C5&amp;"] "&amp;J5&amp;" | "&amp;H5</f>
        <v>[1분 성경 #0004] 하나님의 형상, 사람 | 창 1:26-2:3</v>
      </c>
      <c r="R5" s="23" t="n">
        <f aca="false">INT((A5-1)/안내!$C$9)+1</f>
        <v>1</v>
      </c>
      <c r="S5" s="26" t="n">
        <f aca="false">안내!$C$10+(R5-1)*7+MOD(A5-1,안내!$C$9)</f>
        <v>46394</v>
      </c>
      <c r="T5" s="23" t="s">
        <v>99</v>
      </c>
      <c r="U5" s="23" t="s">
        <v>99</v>
      </c>
      <c r="V5" s="23" t="s">
        <v>99</v>
      </c>
      <c r="W5" s="23" t="s">
        <v>99</v>
      </c>
      <c r="X5" s="24"/>
      <c r="Y5" s="24" t="str">
        <f aca="false">"다음 편: "&amp;J6</f>
        <v>다음 편: 에덴동산과 한 가지 명령</v>
      </c>
    </row>
    <row r="6" customFormat="false" ht="26.85" hidden="false" customHeight="false" outlineLevel="0" collapsed="false">
      <c r="A6" s="20" t="n">
        <v>5</v>
      </c>
      <c r="B6" s="20" t="s">
        <v>128</v>
      </c>
      <c r="C6" s="20" t="s">
        <v>129</v>
      </c>
      <c r="D6" s="20" t="s">
        <v>86</v>
      </c>
      <c r="E6" s="21" t="s">
        <v>87</v>
      </c>
      <c r="F6" s="22" t="s">
        <v>88</v>
      </c>
      <c r="G6" s="22" t="s">
        <v>89</v>
      </c>
      <c r="H6" s="21" t="s">
        <v>130</v>
      </c>
      <c r="I6" s="23" t="s">
        <v>91</v>
      </c>
      <c r="J6" s="24" t="s">
        <v>131</v>
      </c>
      <c r="K6" s="24" t="s">
        <v>132</v>
      </c>
      <c r="L6" s="24" t="s">
        <v>133</v>
      </c>
      <c r="M6" s="24" t="s">
        <v>134</v>
      </c>
      <c r="N6" s="24" t="s">
        <v>135</v>
      </c>
      <c r="O6" s="24" t="s">
        <v>136</v>
      </c>
      <c r="P6" s="25" t="s">
        <v>137</v>
      </c>
      <c r="Q6" s="24" t="str">
        <f aca="false">"["&amp;안내!$C$5&amp;" "&amp;C6&amp;"] "&amp;J6&amp;" | "&amp;H6</f>
        <v>[1분 성경 #0005] 에덴동산과 한 가지 명령 | 창 2:4-17</v>
      </c>
      <c r="R6" s="23" t="n">
        <f aca="false">INT((A6-1)/안내!$C$9)+1</f>
        <v>1</v>
      </c>
      <c r="S6" s="26" t="n">
        <f aca="false">안내!$C$10+(R6-1)*7+MOD(A6-1,안내!$C$9)</f>
        <v>46395</v>
      </c>
      <c r="T6" s="23" t="s">
        <v>99</v>
      </c>
      <c r="U6" s="23" t="s">
        <v>99</v>
      </c>
      <c r="V6" s="23" t="s">
        <v>99</v>
      </c>
      <c r="W6" s="23" t="s">
        <v>99</v>
      </c>
      <c r="X6" s="24"/>
      <c r="Y6" s="24" t="str">
        <f aca="false">"다음 편: "&amp;J7</f>
        <v>다음 편: 첫 번째 가정</v>
      </c>
    </row>
    <row r="7" customFormat="false" ht="26.85" hidden="false" customHeight="false" outlineLevel="0" collapsed="false">
      <c r="A7" s="20" t="n">
        <v>6</v>
      </c>
      <c r="B7" s="20" t="s">
        <v>138</v>
      </c>
      <c r="C7" s="20" t="s">
        <v>139</v>
      </c>
      <c r="D7" s="20" t="s">
        <v>86</v>
      </c>
      <c r="E7" s="21" t="s">
        <v>87</v>
      </c>
      <c r="F7" s="22" t="s">
        <v>88</v>
      </c>
      <c r="G7" s="22" t="s">
        <v>89</v>
      </c>
      <c r="H7" s="21" t="s">
        <v>140</v>
      </c>
      <c r="I7" s="23" t="s">
        <v>91</v>
      </c>
      <c r="J7" s="24" t="s">
        <v>141</v>
      </c>
      <c r="K7" s="24" t="s">
        <v>142</v>
      </c>
      <c r="L7" s="24" t="s">
        <v>143</v>
      </c>
      <c r="M7" s="24" t="s">
        <v>144</v>
      </c>
      <c r="N7" s="24" t="s">
        <v>125</v>
      </c>
      <c r="O7" s="24" t="s">
        <v>145</v>
      </c>
      <c r="P7" s="24"/>
      <c r="Q7" s="24" t="str">
        <f aca="false">"["&amp;안내!$C$5&amp;" "&amp;C7&amp;"] "&amp;J7&amp;" | "&amp;H7</f>
        <v>[1분 성경 #0006] 첫 번째 가정 | 창 2:18-25</v>
      </c>
      <c r="R7" s="23" t="n">
        <f aca="false">INT((A7-1)/안내!$C$9)+1</f>
        <v>2</v>
      </c>
      <c r="S7" s="26" t="n">
        <f aca="false">안내!$C$10+(R7-1)*7+MOD(A7-1,안내!$C$9)</f>
        <v>46398</v>
      </c>
      <c r="T7" s="23" t="s">
        <v>99</v>
      </c>
      <c r="U7" s="23" t="s">
        <v>99</v>
      </c>
      <c r="V7" s="23" t="s">
        <v>99</v>
      </c>
      <c r="W7" s="23" t="s">
        <v>99</v>
      </c>
      <c r="X7" s="24"/>
      <c r="Y7" s="24" t="str">
        <f aca="false">"다음 편: "&amp;J8</f>
        <v>다음 편: 뱀의 유혹</v>
      </c>
    </row>
    <row r="8" customFormat="false" ht="26.85" hidden="false" customHeight="false" outlineLevel="0" collapsed="false">
      <c r="A8" s="20" t="n">
        <v>7</v>
      </c>
      <c r="B8" s="20" t="s">
        <v>146</v>
      </c>
      <c r="C8" s="20" t="s">
        <v>147</v>
      </c>
      <c r="D8" s="20" t="s">
        <v>86</v>
      </c>
      <c r="E8" s="21" t="s">
        <v>87</v>
      </c>
      <c r="F8" s="22" t="s">
        <v>88</v>
      </c>
      <c r="G8" s="22" t="s">
        <v>89</v>
      </c>
      <c r="H8" s="21" t="s">
        <v>148</v>
      </c>
      <c r="I8" s="23" t="s">
        <v>91</v>
      </c>
      <c r="J8" s="24" t="s">
        <v>149</v>
      </c>
      <c r="K8" s="24" t="s">
        <v>150</v>
      </c>
      <c r="L8" s="24" t="s">
        <v>151</v>
      </c>
      <c r="M8" s="24" t="s">
        <v>152</v>
      </c>
      <c r="N8" s="24" t="s">
        <v>153</v>
      </c>
      <c r="O8" s="24" t="s">
        <v>154</v>
      </c>
      <c r="P8" s="25" t="s">
        <v>155</v>
      </c>
      <c r="Q8" s="24" t="str">
        <f aca="false">"["&amp;안내!$C$5&amp;" "&amp;C8&amp;"] "&amp;J8&amp;" | "&amp;H8</f>
        <v>[1분 성경 #0007] 뱀의 유혹 | 창 3:1-7</v>
      </c>
      <c r="R8" s="23" t="n">
        <f aca="false">INT((A8-1)/안내!$C$9)+1</f>
        <v>2</v>
      </c>
      <c r="S8" s="26" t="n">
        <f aca="false">안내!$C$10+(R8-1)*7+MOD(A8-1,안내!$C$9)</f>
        <v>46399</v>
      </c>
      <c r="T8" s="23" t="s">
        <v>99</v>
      </c>
      <c r="U8" s="23" t="s">
        <v>99</v>
      </c>
      <c r="V8" s="23" t="s">
        <v>99</v>
      </c>
      <c r="W8" s="23" t="s">
        <v>99</v>
      </c>
      <c r="X8" s="24"/>
      <c r="Y8" s="24" t="str">
        <f aca="false">"다음 편: "&amp;J9</f>
        <v>다음 편: 네가 어디 있느냐</v>
      </c>
    </row>
    <row r="9" customFormat="false" ht="26.85" hidden="false" customHeight="false" outlineLevel="0" collapsed="false">
      <c r="A9" s="20" t="n">
        <v>8</v>
      </c>
      <c r="B9" s="20" t="s">
        <v>156</v>
      </c>
      <c r="C9" s="20" t="s">
        <v>157</v>
      </c>
      <c r="D9" s="20" t="s">
        <v>86</v>
      </c>
      <c r="E9" s="21" t="s">
        <v>87</v>
      </c>
      <c r="F9" s="22" t="s">
        <v>88</v>
      </c>
      <c r="G9" s="22" t="s">
        <v>89</v>
      </c>
      <c r="H9" s="21" t="s">
        <v>158</v>
      </c>
      <c r="I9" s="23" t="s">
        <v>91</v>
      </c>
      <c r="J9" s="24" t="s">
        <v>159</v>
      </c>
      <c r="K9" s="24" t="s">
        <v>160</v>
      </c>
      <c r="L9" s="24" t="s">
        <v>161</v>
      </c>
      <c r="M9" s="24" t="s">
        <v>162</v>
      </c>
      <c r="N9" s="24" t="s">
        <v>163</v>
      </c>
      <c r="O9" s="24" t="s">
        <v>164</v>
      </c>
      <c r="P9" s="24"/>
      <c r="Q9" s="24" t="str">
        <f aca="false">"["&amp;안내!$C$5&amp;" "&amp;C9&amp;"] "&amp;J9&amp;" | "&amp;H9</f>
        <v>[1분 성경 #0008] 네가 어디 있느냐 | 창 3:8-13</v>
      </c>
      <c r="R9" s="23" t="n">
        <f aca="false">INT((A9-1)/안내!$C$9)+1</f>
        <v>2</v>
      </c>
      <c r="S9" s="26" t="n">
        <f aca="false">안내!$C$10+(R9-1)*7+MOD(A9-1,안내!$C$9)</f>
        <v>46400</v>
      </c>
      <c r="T9" s="23" t="s">
        <v>99</v>
      </c>
      <c r="U9" s="23" t="s">
        <v>99</v>
      </c>
      <c r="V9" s="23" t="s">
        <v>99</v>
      </c>
      <c r="W9" s="23" t="s">
        <v>99</v>
      </c>
      <c r="X9" s="24"/>
      <c r="Y9" s="24" t="str">
        <f aca="false">"다음 편: "&amp;J10</f>
        <v>다음 편: 첫 번째 복음</v>
      </c>
    </row>
    <row r="10" customFormat="false" ht="26.85" hidden="false" customHeight="false" outlineLevel="0" collapsed="false">
      <c r="A10" s="20" t="n">
        <v>9</v>
      </c>
      <c r="B10" s="20" t="s">
        <v>165</v>
      </c>
      <c r="C10" s="20" t="s">
        <v>166</v>
      </c>
      <c r="D10" s="20" t="s">
        <v>86</v>
      </c>
      <c r="E10" s="21" t="s">
        <v>87</v>
      </c>
      <c r="F10" s="22" t="s">
        <v>88</v>
      </c>
      <c r="G10" s="22" t="s">
        <v>89</v>
      </c>
      <c r="H10" s="21" t="s">
        <v>167</v>
      </c>
      <c r="I10" s="23" t="s">
        <v>91</v>
      </c>
      <c r="J10" s="24" t="s">
        <v>168</v>
      </c>
      <c r="K10" s="24" t="s">
        <v>169</v>
      </c>
      <c r="L10" s="24" t="s">
        <v>170</v>
      </c>
      <c r="M10" s="24" t="s">
        <v>171</v>
      </c>
      <c r="N10" s="24" t="s">
        <v>172</v>
      </c>
      <c r="O10" s="24" t="s">
        <v>145</v>
      </c>
      <c r="P10" s="27" t="s">
        <v>173</v>
      </c>
      <c r="Q10" s="24" t="str">
        <f aca="false">"["&amp;안내!$C$5&amp;" "&amp;C10&amp;"] "&amp;J10&amp;" | "&amp;H10</f>
        <v>[1분 성경 #0009] 첫 번째 복음 | 창 3:14-19</v>
      </c>
      <c r="R10" s="23" t="n">
        <f aca="false">INT((A10-1)/안내!$C$9)+1</f>
        <v>2</v>
      </c>
      <c r="S10" s="26" t="n">
        <f aca="false">안내!$C$10+(R10-1)*7+MOD(A10-1,안내!$C$9)</f>
        <v>46401</v>
      </c>
      <c r="T10" s="23" t="s">
        <v>99</v>
      </c>
      <c r="U10" s="23" t="s">
        <v>99</v>
      </c>
      <c r="V10" s="23" t="s">
        <v>99</v>
      </c>
      <c r="W10" s="23" t="s">
        <v>99</v>
      </c>
      <c r="X10" s="24"/>
      <c r="Y10" s="24" t="str">
        <f aca="false">"다음 편: "&amp;J11</f>
        <v>다음 편: 가죽옷과 에덴 밖으로</v>
      </c>
    </row>
    <row r="11" customFormat="false" ht="26.85" hidden="false" customHeight="false" outlineLevel="0" collapsed="false">
      <c r="A11" s="20" t="n">
        <v>10</v>
      </c>
      <c r="B11" s="20" t="s">
        <v>174</v>
      </c>
      <c r="C11" s="20" t="s">
        <v>175</v>
      </c>
      <c r="D11" s="20" t="s">
        <v>86</v>
      </c>
      <c r="E11" s="21" t="s">
        <v>87</v>
      </c>
      <c r="F11" s="22" t="s">
        <v>88</v>
      </c>
      <c r="G11" s="22" t="s">
        <v>89</v>
      </c>
      <c r="H11" s="21" t="s">
        <v>176</v>
      </c>
      <c r="I11" s="23" t="s">
        <v>91</v>
      </c>
      <c r="J11" s="24" t="s">
        <v>177</v>
      </c>
      <c r="K11" s="24" t="s">
        <v>178</v>
      </c>
      <c r="L11" s="24" t="s">
        <v>179</v>
      </c>
      <c r="M11" s="24" t="s">
        <v>180</v>
      </c>
      <c r="N11" s="24" t="s">
        <v>181</v>
      </c>
      <c r="O11" s="24" t="s">
        <v>182</v>
      </c>
      <c r="P11" s="25" t="s">
        <v>183</v>
      </c>
      <c r="Q11" s="24" t="str">
        <f aca="false">"["&amp;안내!$C$5&amp;" "&amp;C11&amp;"] "&amp;J11&amp;" | "&amp;H11</f>
        <v>[1분 성경 #0010] 가죽옷과 에덴 밖으로 | 창 3:20-24</v>
      </c>
      <c r="R11" s="23" t="n">
        <f aca="false">INT((A11-1)/안내!$C$9)+1</f>
        <v>2</v>
      </c>
      <c r="S11" s="26" t="n">
        <f aca="false">안내!$C$10+(R11-1)*7+MOD(A11-1,안내!$C$9)</f>
        <v>46402</v>
      </c>
      <c r="T11" s="23" t="s">
        <v>99</v>
      </c>
      <c r="U11" s="23" t="s">
        <v>99</v>
      </c>
      <c r="V11" s="23" t="s">
        <v>99</v>
      </c>
      <c r="W11" s="23" t="s">
        <v>99</v>
      </c>
      <c r="X11" s="24"/>
      <c r="Y11" s="24" t="str">
        <f aca="false">"다음 편: "&amp;J12</f>
        <v>다음 편: 가인과 아벨</v>
      </c>
    </row>
    <row r="12" customFormat="false" ht="26.85" hidden="false" customHeight="false" outlineLevel="0" collapsed="false">
      <c r="A12" s="20" t="n">
        <v>11</v>
      </c>
      <c r="B12" s="20" t="s">
        <v>184</v>
      </c>
      <c r="C12" s="20" t="s">
        <v>185</v>
      </c>
      <c r="D12" s="20" t="s">
        <v>186</v>
      </c>
      <c r="E12" s="21" t="s">
        <v>187</v>
      </c>
      <c r="F12" s="22" t="s">
        <v>88</v>
      </c>
      <c r="G12" s="22" t="s">
        <v>89</v>
      </c>
      <c r="H12" s="21" t="s">
        <v>188</v>
      </c>
      <c r="I12" s="23" t="s">
        <v>91</v>
      </c>
      <c r="J12" s="24" t="s">
        <v>189</v>
      </c>
      <c r="K12" s="24" t="s">
        <v>190</v>
      </c>
      <c r="L12" s="24" t="s">
        <v>191</v>
      </c>
      <c r="M12" s="24" t="s">
        <v>192</v>
      </c>
      <c r="N12" s="24" t="s">
        <v>193</v>
      </c>
      <c r="O12" s="24" t="s">
        <v>194</v>
      </c>
      <c r="P12" s="25" t="s">
        <v>195</v>
      </c>
      <c r="Q12" s="24" t="str">
        <f aca="false">"["&amp;안내!$C$5&amp;" "&amp;C12&amp;"] "&amp;J12&amp;" | "&amp;H12</f>
        <v>[1분 성경 #0011] 가인과 아벨 | 창 4:1-8</v>
      </c>
      <c r="R12" s="23" t="n">
        <f aca="false">INT((A12-1)/안내!$C$9)+1</f>
        <v>3</v>
      </c>
      <c r="S12" s="26" t="n">
        <f aca="false">안내!$C$10+(R12-1)*7+MOD(A12-1,안내!$C$9)</f>
        <v>46405</v>
      </c>
      <c r="T12" s="23" t="s">
        <v>99</v>
      </c>
      <c r="U12" s="23" t="s">
        <v>99</v>
      </c>
      <c r="V12" s="23" t="s">
        <v>99</v>
      </c>
      <c r="W12" s="23" t="s">
        <v>99</v>
      </c>
      <c r="X12" s="24"/>
      <c r="Y12" s="24" t="str">
        <f aca="false">"다음 편: "&amp;J13</f>
        <v>다음 편: 네 아우가 어디 있느냐</v>
      </c>
    </row>
    <row r="13" customFormat="false" ht="25.35" hidden="false" customHeight="false" outlineLevel="0" collapsed="false">
      <c r="A13" s="20" t="n">
        <v>12</v>
      </c>
      <c r="B13" s="20" t="s">
        <v>196</v>
      </c>
      <c r="C13" s="20" t="s">
        <v>197</v>
      </c>
      <c r="D13" s="20" t="s">
        <v>186</v>
      </c>
      <c r="E13" s="21" t="s">
        <v>187</v>
      </c>
      <c r="F13" s="22" t="s">
        <v>88</v>
      </c>
      <c r="G13" s="22" t="s">
        <v>89</v>
      </c>
      <c r="H13" s="21" t="s">
        <v>198</v>
      </c>
      <c r="I13" s="23" t="s">
        <v>91</v>
      </c>
      <c r="J13" s="24" t="s">
        <v>199</v>
      </c>
      <c r="K13" s="24" t="s">
        <v>200</v>
      </c>
      <c r="L13" s="24" t="s">
        <v>201</v>
      </c>
      <c r="M13" s="24" t="s">
        <v>202</v>
      </c>
      <c r="N13" s="24" t="s">
        <v>203</v>
      </c>
      <c r="O13" s="24" t="s">
        <v>204</v>
      </c>
      <c r="P13" s="25" t="s">
        <v>205</v>
      </c>
      <c r="Q13" s="24" t="str">
        <f aca="false">"["&amp;안내!$C$5&amp;" "&amp;C13&amp;"] "&amp;J13&amp;" | "&amp;H13</f>
        <v>[1분 성경 #0012] 네 아우가 어디 있느냐 | 창 4:9-16</v>
      </c>
      <c r="R13" s="23" t="n">
        <f aca="false">INT((A13-1)/안내!$C$9)+1</f>
        <v>3</v>
      </c>
      <c r="S13" s="26" t="n">
        <f aca="false">안내!$C$10+(R13-1)*7+MOD(A13-1,안내!$C$9)</f>
        <v>46406</v>
      </c>
      <c r="T13" s="23" t="s">
        <v>99</v>
      </c>
      <c r="U13" s="23" t="s">
        <v>99</v>
      </c>
      <c r="V13" s="23" t="s">
        <v>99</v>
      </c>
      <c r="W13" s="23" t="s">
        <v>99</v>
      </c>
      <c r="X13" s="24"/>
      <c r="Y13" s="24" t="str">
        <f aca="false">"다음 편: "&amp;J14</f>
        <v>다음 편: 가인의 후손과 셋</v>
      </c>
    </row>
    <row r="14" customFormat="false" ht="26.85" hidden="false" customHeight="false" outlineLevel="0" collapsed="false">
      <c r="A14" s="20" t="n">
        <v>13</v>
      </c>
      <c r="B14" s="20" t="s">
        <v>206</v>
      </c>
      <c r="C14" s="20" t="s">
        <v>207</v>
      </c>
      <c r="D14" s="20" t="s">
        <v>186</v>
      </c>
      <c r="E14" s="21" t="s">
        <v>187</v>
      </c>
      <c r="F14" s="22" t="s">
        <v>88</v>
      </c>
      <c r="G14" s="22" t="s">
        <v>89</v>
      </c>
      <c r="H14" s="21" t="s">
        <v>208</v>
      </c>
      <c r="I14" s="23" t="s">
        <v>91</v>
      </c>
      <c r="J14" s="24" t="s">
        <v>209</v>
      </c>
      <c r="K14" s="24" t="s">
        <v>210</v>
      </c>
      <c r="L14" s="24" t="s">
        <v>211</v>
      </c>
      <c r="M14" s="24" t="s">
        <v>212</v>
      </c>
      <c r="N14" s="24" t="s">
        <v>213</v>
      </c>
      <c r="O14" s="24" t="s">
        <v>214</v>
      </c>
      <c r="P14" s="24"/>
      <c r="Q14" s="24" t="str">
        <f aca="false">"["&amp;안내!$C$5&amp;" "&amp;C14&amp;"] "&amp;J14&amp;" | "&amp;H14</f>
        <v>[1분 성경 #0013] 가인의 후손과 셋 | 창 4:17-26</v>
      </c>
      <c r="R14" s="23" t="n">
        <f aca="false">INT((A14-1)/안내!$C$9)+1</f>
        <v>3</v>
      </c>
      <c r="S14" s="26" t="n">
        <f aca="false">안내!$C$10+(R14-1)*7+MOD(A14-1,안내!$C$9)</f>
        <v>46407</v>
      </c>
      <c r="T14" s="23" t="s">
        <v>99</v>
      </c>
      <c r="U14" s="23" t="s">
        <v>99</v>
      </c>
      <c r="V14" s="23" t="s">
        <v>99</v>
      </c>
      <c r="W14" s="23" t="s">
        <v>99</v>
      </c>
      <c r="X14" s="24"/>
      <c r="Y14" s="24" t="str">
        <f aca="false">"다음 편: "&amp;J15</f>
        <v>다음 편: 하나님과 동행한 에녹</v>
      </c>
    </row>
    <row r="15" customFormat="false" ht="26.85" hidden="false" customHeight="false" outlineLevel="0" collapsed="false">
      <c r="A15" s="20" t="n">
        <v>14</v>
      </c>
      <c r="B15" s="20" t="s">
        <v>215</v>
      </c>
      <c r="C15" s="20" t="s">
        <v>216</v>
      </c>
      <c r="D15" s="20" t="s">
        <v>186</v>
      </c>
      <c r="E15" s="21" t="s">
        <v>187</v>
      </c>
      <c r="F15" s="22" t="s">
        <v>88</v>
      </c>
      <c r="G15" s="22" t="s">
        <v>89</v>
      </c>
      <c r="H15" s="21" t="s">
        <v>217</v>
      </c>
      <c r="I15" s="23" t="s">
        <v>91</v>
      </c>
      <c r="J15" s="24" t="s">
        <v>218</v>
      </c>
      <c r="K15" s="24" t="s">
        <v>219</v>
      </c>
      <c r="L15" s="24" t="s">
        <v>220</v>
      </c>
      <c r="M15" s="24" t="s">
        <v>221</v>
      </c>
      <c r="N15" s="24" t="s">
        <v>222</v>
      </c>
      <c r="O15" s="24" t="s">
        <v>223</v>
      </c>
      <c r="P15" s="25" t="s">
        <v>224</v>
      </c>
      <c r="Q15" s="24" t="str">
        <f aca="false">"["&amp;안내!$C$5&amp;" "&amp;C15&amp;"] "&amp;J15&amp;" | "&amp;H15</f>
        <v>[1분 성경 #0014] 하나님과 동행한 에녹 | 창 5:1-32</v>
      </c>
      <c r="R15" s="23" t="n">
        <f aca="false">INT((A15-1)/안내!$C$9)+1</f>
        <v>3</v>
      </c>
      <c r="S15" s="26" t="n">
        <f aca="false">안내!$C$10+(R15-1)*7+MOD(A15-1,안내!$C$9)</f>
        <v>46408</v>
      </c>
      <c r="T15" s="23" t="s">
        <v>99</v>
      </c>
      <c r="U15" s="23" t="s">
        <v>99</v>
      </c>
      <c r="V15" s="23" t="s">
        <v>99</v>
      </c>
      <c r="W15" s="23" t="s">
        <v>99</v>
      </c>
      <c r="X15" s="24"/>
      <c r="Y15" s="24" t="str">
        <f aca="false">"다음 편: "&amp;J16</f>
        <v>다음 편: 은혜를 입은 노아</v>
      </c>
    </row>
    <row r="16" customFormat="false" ht="26.85" hidden="false" customHeight="false" outlineLevel="0" collapsed="false">
      <c r="A16" s="20" t="n">
        <v>15</v>
      </c>
      <c r="B16" s="20" t="s">
        <v>225</v>
      </c>
      <c r="C16" s="20" t="s">
        <v>226</v>
      </c>
      <c r="D16" s="20" t="s">
        <v>186</v>
      </c>
      <c r="E16" s="21" t="s">
        <v>187</v>
      </c>
      <c r="F16" s="22" t="s">
        <v>88</v>
      </c>
      <c r="G16" s="22" t="s">
        <v>89</v>
      </c>
      <c r="H16" s="21" t="s">
        <v>227</v>
      </c>
      <c r="I16" s="23" t="s">
        <v>91</v>
      </c>
      <c r="J16" s="24" t="s">
        <v>228</v>
      </c>
      <c r="K16" s="24" t="s">
        <v>229</v>
      </c>
      <c r="L16" s="24" t="s">
        <v>230</v>
      </c>
      <c r="M16" s="24" t="s">
        <v>231</v>
      </c>
      <c r="N16" s="24" t="s">
        <v>232</v>
      </c>
      <c r="O16" s="24" t="s">
        <v>233</v>
      </c>
      <c r="P16" s="27" t="s">
        <v>234</v>
      </c>
      <c r="Q16" s="24" t="str">
        <f aca="false">"["&amp;안내!$C$5&amp;" "&amp;C16&amp;"] "&amp;J16&amp;" | "&amp;H16</f>
        <v>[1분 성경 #0015] 은혜를 입은 노아 | 창 6:1-8</v>
      </c>
      <c r="R16" s="23" t="n">
        <f aca="false">INT((A16-1)/안내!$C$9)+1</f>
        <v>3</v>
      </c>
      <c r="S16" s="26" t="n">
        <f aca="false">안내!$C$10+(R16-1)*7+MOD(A16-1,안내!$C$9)</f>
        <v>46409</v>
      </c>
      <c r="T16" s="23" t="s">
        <v>99</v>
      </c>
      <c r="U16" s="23" t="s">
        <v>99</v>
      </c>
      <c r="V16" s="23" t="s">
        <v>99</v>
      </c>
      <c r="W16" s="23" t="s">
        <v>99</v>
      </c>
      <c r="X16" s="24"/>
      <c r="Y16" s="24" t="str">
        <f aca="false">"다음 편: "&amp;J17</f>
        <v>다음 편: 방주를 지어라</v>
      </c>
    </row>
    <row r="17" customFormat="false" ht="26.85" hidden="false" customHeight="false" outlineLevel="0" collapsed="false">
      <c r="A17" s="20" t="n">
        <v>16</v>
      </c>
      <c r="B17" s="20" t="s">
        <v>235</v>
      </c>
      <c r="C17" s="20" t="s">
        <v>236</v>
      </c>
      <c r="D17" s="20" t="s">
        <v>186</v>
      </c>
      <c r="E17" s="21" t="s">
        <v>187</v>
      </c>
      <c r="F17" s="22" t="s">
        <v>88</v>
      </c>
      <c r="G17" s="22" t="s">
        <v>89</v>
      </c>
      <c r="H17" s="21" t="s">
        <v>237</v>
      </c>
      <c r="I17" s="23" t="s">
        <v>91</v>
      </c>
      <c r="J17" s="24" t="s">
        <v>238</v>
      </c>
      <c r="K17" s="24" t="s">
        <v>239</v>
      </c>
      <c r="L17" s="24" t="s">
        <v>240</v>
      </c>
      <c r="M17" s="24" t="s">
        <v>241</v>
      </c>
      <c r="N17" s="24" t="s">
        <v>242</v>
      </c>
      <c r="O17" s="24" t="s">
        <v>243</v>
      </c>
      <c r="P17" s="24"/>
      <c r="Q17" s="24" t="str">
        <f aca="false">"["&amp;안내!$C$5&amp;" "&amp;C17&amp;"] "&amp;J17&amp;" | "&amp;H17</f>
        <v>[1분 성경 #0016] 방주를 지어라 | 창 6:9-22</v>
      </c>
      <c r="R17" s="23" t="n">
        <f aca="false">INT((A17-1)/안내!$C$9)+1</f>
        <v>4</v>
      </c>
      <c r="S17" s="26" t="n">
        <f aca="false">안내!$C$10+(R17-1)*7+MOD(A17-1,안내!$C$9)</f>
        <v>46412</v>
      </c>
      <c r="T17" s="23" t="s">
        <v>99</v>
      </c>
      <c r="U17" s="23" t="s">
        <v>99</v>
      </c>
      <c r="V17" s="23" t="s">
        <v>99</v>
      </c>
      <c r="W17" s="23" t="s">
        <v>99</v>
      </c>
      <c r="X17" s="24"/>
      <c r="Y17" s="24" t="str">
        <f aca="false">"다음 편: "&amp;J18</f>
        <v>다음 편: 홍수</v>
      </c>
    </row>
    <row r="18" customFormat="false" ht="26.85" hidden="false" customHeight="false" outlineLevel="0" collapsed="false">
      <c r="A18" s="20" t="n">
        <v>17</v>
      </c>
      <c r="B18" s="20" t="s">
        <v>244</v>
      </c>
      <c r="C18" s="20" t="s">
        <v>245</v>
      </c>
      <c r="D18" s="20" t="s">
        <v>186</v>
      </c>
      <c r="E18" s="21" t="s">
        <v>187</v>
      </c>
      <c r="F18" s="22" t="s">
        <v>88</v>
      </c>
      <c r="G18" s="22" t="s">
        <v>89</v>
      </c>
      <c r="H18" s="21" t="s">
        <v>246</v>
      </c>
      <c r="I18" s="23" t="s">
        <v>91</v>
      </c>
      <c r="J18" s="24" t="s">
        <v>247</v>
      </c>
      <c r="K18" s="28" t="s">
        <v>248</v>
      </c>
      <c r="L18" s="24" t="s">
        <v>249</v>
      </c>
      <c r="M18" s="24" t="s">
        <v>250</v>
      </c>
      <c r="N18" s="24" t="s">
        <v>251</v>
      </c>
      <c r="O18" s="24" t="s">
        <v>252</v>
      </c>
      <c r="P18" s="25" t="s">
        <v>253</v>
      </c>
      <c r="Q18" s="28" t="str">
        <f aca="false">"["&amp;안내!$C$5&amp;" "&amp;C18&amp;"] "&amp;J18&amp;" | "&amp;H18</f>
        <v>[1분 성경 #0017] 홍수 | 창 7:1-24</v>
      </c>
      <c r="R18" s="23" t="n">
        <f aca="false">INT((A18-1)/안내!$C$9)+1</f>
        <v>4</v>
      </c>
      <c r="S18" s="26" t="n">
        <f aca="false">안내!$C$10+(R18-1)*7+MOD(A18-1,안내!$C$9)</f>
        <v>46413</v>
      </c>
      <c r="T18" s="23" t="s">
        <v>99</v>
      </c>
      <c r="U18" s="23" t="s">
        <v>99</v>
      </c>
      <c r="V18" s="23" t="s">
        <v>99</v>
      </c>
      <c r="W18" s="23" t="s">
        <v>99</v>
      </c>
      <c r="X18" s="28"/>
      <c r="Y18" s="28" t="str">
        <f aca="false">"다음 편: "&amp;J19</f>
        <v>다음 편: 비둘기와 감람나무 잎</v>
      </c>
    </row>
    <row r="19" customFormat="false" ht="25.35" hidden="false" customHeight="false" outlineLevel="0" collapsed="false">
      <c r="A19" s="20" t="n">
        <v>18</v>
      </c>
      <c r="B19" s="20" t="s">
        <v>254</v>
      </c>
      <c r="C19" s="20" t="s">
        <v>255</v>
      </c>
      <c r="D19" s="20" t="s">
        <v>186</v>
      </c>
      <c r="E19" s="21" t="s">
        <v>187</v>
      </c>
      <c r="F19" s="22" t="s">
        <v>88</v>
      </c>
      <c r="G19" s="22" t="s">
        <v>89</v>
      </c>
      <c r="H19" s="21" t="s">
        <v>256</v>
      </c>
      <c r="I19" s="23" t="s">
        <v>91</v>
      </c>
      <c r="J19" s="24" t="s">
        <v>257</v>
      </c>
      <c r="K19" s="24" t="s">
        <v>258</v>
      </c>
      <c r="L19" s="24" t="s">
        <v>259</v>
      </c>
      <c r="M19" s="24" t="s">
        <v>260</v>
      </c>
      <c r="N19" s="24" t="s">
        <v>261</v>
      </c>
      <c r="O19" s="24" t="s">
        <v>262</v>
      </c>
      <c r="P19" s="28"/>
      <c r="Q19" s="28" t="str">
        <f aca="false">"["&amp;안내!$C$5&amp;" "&amp;C19&amp;"] "&amp;J19&amp;" | "&amp;H19</f>
        <v>[1분 성경 #0018] 비둘기와 감람나무 잎 | 창 8:1-19</v>
      </c>
      <c r="R19" s="23" t="n">
        <f aca="false">INT((A19-1)/안내!$C$9)+1</f>
        <v>4</v>
      </c>
      <c r="S19" s="26" t="n">
        <f aca="false">안내!$C$10+(R19-1)*7+MOD(A19-1,안내!$C$9)</f>
        <v>46414</v>
      </c>
      <c r="T19" s="23" t="s">
        <v>99</v>
      </c>
      <c r="U19" s="23" t="s">
        <v>99</v>
      </c>
      <c r="V19" s="23" t="s">
        <v>99</v>
      </c>
      <c r="W19" s="23" t="s">
        <v>99</v>
      </c>
      <c r="X19" s="28"/>
      <c r="Y19" s="28" t="str">
        <f aca="false">"다음 편: "&amp;J20</f>
        <v>다음 편: 무지개 언약</v>
      </c>
    </row>
    <row r="20" customFormat="false" ht="26.85" hidden="false" customHeight="false" outlineLevel="0" collapsed="false">
      <c r="A20" s="20" t="n">
        <v>19</v>
      </c>
      <c r="B20" s="20" t="s">
        <v>263</v>
      </c>
      <c r="C20" s="20" t="s">
        <v>264</v>
      </c>
      <c r="D20" s="20" t="s">
        <v>186</v>
      </c>
      <c r="E20" s="21" t="s">
        <v>187</v>
      </c>
      <c r="F20" s="22" t="s">
        <v>88</v>
      </c>
      <c r="G20" s="22" t="s">
        <v>89</v>
      </c>
      <c r="H20" s="21" t="s">
        <v>265</v>
      </c>
      <c r="I20" s="23" t="s">
        <v>91</v>
      </c>
      <c r="J20" s="24" t="s">
        <v>266</v>
      </c>
      <c r="K20" s="24" t="s">
        <v>267</v>
      </c>
      <c r="L20" s="24" t="s">
        <v>268</v>
      </c>
      <c r="M20" s="24" t="s">
        <v>269</v>
      </c>
      <c r="N20" s="24" t="s">
        <v>270</v>
      </c>
      <c r="O20" s="24" t="s">
        <v>271</v>
      </c>
      <c r="P20" s="25" t="s">
        <v>272</v>
      </c>
      <c r="Q20" s="28" t="str">
        <f aca="false">"["&amp;안내!$C$5&amp;" "&amp;C20&amp;"] "&amp;J20&amp;" | "&amp;H20</f>
        <v>[1분 성경 #0019] 무지개 언약 | 창 8:20-9:17</v>
      </c>
      <c r="R20" s="23" t="n">
        <f aca="false">INT((A20-1)/안내!$C$9)+1</f>
        <v>4</v>
      </c>
      <c r="S20" s="26" t="n">
        <f aca="false">안내!$C$10+(R20-1)*7+MOD(A20-1,안내!$C$9)</f>
        <v>46415</v>
      </c>
      <c r="T20" s="23" t="s">
        <v>99</v>
      </c>
      <c r="U20" s="23" t="s">
        <v>99</v>
      </c>
      <c r="V20" s="23" t="s">
        <v>99</v>
      </c>
      <c r="W20" s="23" t="s">
        <v>99</v>
      </c>
      <c r="X20" s="28"/>
      <c r="Y20" s="28" t="str">
        <f aca="false">"다음 편: "&amp;J21</f>
        <v>다음 편: 노아의 실수와 세 아들</v>
      </c>
    </row>
    <row r="21" customFormat="false" ht="25.35" hidden="false" customHeight="false" outlineLevel="0" collapsed="false">
      <c r="A21" s="20" t="n">
        <v>20</v>
      </c>
      <c r="B21" s="20" t="s">
        <v>273</v>
      </c>
      <c r="C21" s="20" t="s">
        <v>274</v>
      </c>
      <c r="D21" s="20" t="s">
        <v>186</v>
      </c>
      <c r="E21" s="21" t="s">
        <v>187</v>
      </c>
      <c r="F21" s="22" t="s">
        <v>88</v>
      </c>
      <c r="G21" s="22" t="s">
        <v>89</v>
      </c>
      <c r="H21" s="21" t="s">
        <v>275</v>
      </c>
      <c r="I21" s="23" t="s">
        <v>91</v>
      </c>
      <c r="J21" s="24" t="s">
        <v>276</v>
      </c>
      <c r="K21" s="24" t="s">
        <v>277</v>
      </c>
      <c r="L21" s="24" t="s">
        <v>278</v>
      </c>
      <c r="M21" s="24" t="s">
        <v>279</v>
      </c>
      <c r="N21" s="24" t="s">
        <v>242</v>
      </c>
      <c r="O21" s="24" t="s">
        <v>280</v>
      </c>
      <c r="P21" s="25" t="s">
        <v>281</v>
      </c>
      <c r="Q21" s="28" t="str">
        <f aca="false">"["&amp;안내!$C$5&amp;" "&amp;C21&amp;"] "&amp;J21&amp;" | "&amp;H21</f>
        <v>[1분 성경 #0020] 노아의 실수와 세 아들 | 창 9:18-29</v>
      </c>
      <c r="R21" s="23" t="n">
        <f aca="false">INT((A21-1)/안내!$C$9)+1</f>
        <v>4</v>
      </c>
      <c r="S21" s="26" t="n">
        <f aca="false">안내!$C$10+(R21-1)*7+MOD(A21-1,안내!$C$9)</f>
        <v>46416</v>
      </c>
      <c r="T21" s="23" t="s">
        <v>99</v>
      </c>
      <c r="U21" s="23" t="s">
        <v>99</v>
      </c>
      <c r="V21" s="23" t="s">
        <v>99</v>
      </c>
      <c r="W21" s="23" t="s">
        <v>99</v>
      </c>
      <c r="X21" s="28"/>
      <c r="Y21" s="28" t="str">
        <f aca="false">"다음 편: "&amp;J22</f>
        <v>다음 편: 민족들의 시작</v>
      </c>
    </row>
    <row r="22" customFormat="false" ht="15" hidden="false" customHeight="false" outlineLevel="0" collapsed="false">
      <c r="A22" s="20" t="n">
        <v>21</v>
      </c>
      <c r="B22" s="20" t="s">
        <v>282</v>
      </c>
      <c r="C22" s="20" t="s">
        <v>283</v>
      </c>
      <c r="D22" s="20" t="s">
        <v>186</v>
      </c>
      <c r="E22" s="21" t="s">
        <v>187</v>
      </c>
      <c r="F22" s="22" t="s">
        <v>88</v>
      </c>
      <c r="G22" s="22" t="s">
        <v>89</v>
      </c>
      <c r="H22" s="21" t="s">
        <v>284</v>
      </c>
      <c r="I22" s="23" t="s">
        <v>91</v>
      </c>
      <c r="J22" s="24" t="s">
        <v>285</v>
      </c>
      <c r="K22" s="24" t="s">
        <v>286</v>
      </c>
      <c r="L22" s="24" t="s">
        <v>287</v>
      </c>
      <c r="M22" s="24" t="s">
        <v>288</v>
      </c>
      <c r="N22" s="24" t="s">
        <v>289</v>
      </c>
      <c r="O22" s="24" t="s">
        <v>290</v>
      </c>
      <c r="P22" s="28"/>
      <c r="Q22" s="28" t="str">
        <f aca="false">"["&amp;안내!$C$5&amp;" "&amp;C22&amp;"] "&amp;J22&amp;" | "&amp;H22</f>
        <v>[1분 성경 #0021] 민족들의 시작 | 창 10:1-32</v>
      </c>
      <c r="R22" s="23" t="n">
        <f aca="false">INT((A22-1)/안내!$C$9)+1</f>
        <v>5</v>
      </c>
      <c r="S22" s="26" t="n">
        <f aca="false">안내!$C$10+(R22-1)*7+MOD(A22-1,안내!$C$9)</f>
        <v>46419</v>
      </c>
      <c r="T22" s="23" t="s">
        <v>99</v>
      </c>
      <c r="U22" s="23" t="s">
        <v>99</v>
      </c>
      <c r="V22" s="23" t="s">
        <v>99</v>
      </c>
      <c r="W22" s="23" t="s">
        <v>99</v>
      </c>
      <c r="X22" s="28"/>
      <c r="Y22" s="28" t="str">
        <f aca="false">"다음 편: "&amp;J23</f>
        <v>다음 편: 바벨탑</v>
      </c>
    </row>
    <row r="23" customFormat="false" ht="26.85" hidden="false" customHeight="false" outlineLevel="0" collapsed="false">
      <c r="A23" s="20" t="n">
        <v>22</v>
      </c>
      <c r="B23" s="20" t="s">
        <v>291</v>
      </c>
      <c r="C23" s="20" t="s">
        <v>292</v>
      </c>
      <c r="D23" s="20" t="s">
        <v>186</v>
      </c>
      <c r="E23" s="21" t="s">
        <v>187</v>
      </c>
      <c r="F23" s="22" t="s">
        <v>88</v>
      </c>
      <c r="G23" s="22" t="s">
        <v>89</v>
      </c>
      <c r="H23" s="21" t="s">
        <v>293</v>
      </c>
      <c r="I23" s="23" t="s">
        <v>91</v>
      </c>
      <c r="J23" s="24" t="s">
        <v>294</v>
      </c>
      <c r="K23" s="24" t="s">
        <v>295</v>
      </c>
      <c r="L23" s="24" t="s">
        <v>296</v>
      </c>
      <c r="M23" s="24" t="s">
        <v>297</v>
      </c>
      <c r="N23" s="24" t="s">
        <v>298</v>
      </c>
      <c r="O23" s="24" t="s">
        <v>299</v>
      </c>
      <c r="P23" s="28"/>
      <c r="Q23" s="28" t="str">
        <f aca="false">"["&amp;안내!$C$5&amp;" "&amp;C23&amp;"] "&amp;J23&amp;" | "&amp;H23</f>
        <v>[1분 성경 #0022] 바벨탑 | 창 11:1-9</v>
      </c>
      <c r="R23" s="23" t="n">
        <f aca="false">INT((A23-1)/안내!$C$9)+1</f>
        <v>5</v>
      </c>
      <c r="S23" s="26" t="n">
        <f aca="false">안내!$C$10+(R23-1)*7+MOD(A23-1,안내!$C$9)</f>
        <v>46420</v>
      </c>
      <c r="T23" s="23" t="s">
        <v>99</v>
      </c>
      <c r="U23" s="23" t="s">
        <v>99</v>
      </c>
      <c r="V23" s="23" t="s">
        <v>99</v>
      </c>
      <c r="W23" s="23" t="s">
        <v>99</v>
      </c>
      <c r="X23" s="28"/>
      <c r="Y23" s="28" t="str">
        <f aca="false">"다음 편: "&amp;J24</f>
        <v>다음 편: 셈에서 아브람까지</v>
      </c>
    </row>
    <row r="24" customFormat="false" ht="26.85" hidden="false" customHeight="false" outlineLevel="0" collapsed="false">
      <c r="A24" s="20" t="n">
        <v>23</v>
      </c>
      <c r="B24" s="20" t="s">
        <v>300</v>
      </c>
      <c r="C24" s="20" t="s">
        <v>301</v>
      </c>
      <c r="D24" s="20" t="s">
        <v>186</v>
      </c>
      <c r="E24" s="21" t="s">
        <v>187</v>
      </c>
      <c r="F24" s="22" t="s">
        <v>88</v>
      </c>
      <c r="G24" s="22" t="s">
        <v>89</v>
      </c>
      <c r="H24" s="21" t="s">
        <v>302</v>
      </c>
      <c r="I24" s="23" t="s">
        <v>91</v>
      </c>
      <c r="J24" s="24" t="s">
        <v>303</v>
      </c>
      <c r="K24" s="24" t="s">
        <v>304</v>
      </c>
      <c r="L24" s="24" t="s">
        <v>305</v>
      </c>
      <c r="M24" s="24" t="s">
        <v>306</v>
      </c>
      <c r="N24" s="24" t="s">
        <v>307</v>
      </c>
      <c r="O24" s="24" t="s">
        <v>308</v>
      </c>
      <c r="P24" s="28"/>
      <c r="Q24" s="28" t="str">
        <f aca="false">"["&amp;안내!$C$5&amp;" "&amp;C24&amp;"] "&amp;J24&amp;" | "&amp;H24</f>
        <v>[1분 성경 #0023] 셈에서 아브람까지 | 창 11:10-32</v>
      </c>
      <c r="R24" s="23" t="n">
        <f aca="false">INT((A24-1)/안내!$C$9)+1</f>
        <v>5</v>
      </c>
      <c r="S24" s="26" t="n">
        <f aca="false">안내!$C$10+(R24-1)*7+MOD(A24-1,안내!$C$9)</f>
        <v>46421</v>
      </c>
      <c r="T24" s="23" t="s">
        <v>99</v>
      </c>
      <c r="U24" s="23" t="s">
        <v>99</v>
      </c>
      <c r="V24" s="23" t="s">
        <v>99</v>
      </c>
      <c r="W24" s="23" t="s">
        <v>99</v>
      </c>
      <c r="X24" s="28"/>
      <c r="Y24" s="28" t="str">
        <f aca="false">"다음 편: "&amp;J25</f>
        <v>다음 편: 떠나라</v>
      </c>
    </row>
    <row r="25" customFormat="false" ht="26.85" hidden="false" customHeight="false" outlineLevel="0" collapsed="false">
      <c r="A25" s="20" t="n">
        <v>24</v>
      </c>
      <c r="B25" s="20" t="s">
        <v>309</v>
      </c>
      <c r="C25" s="20" t="s">
        <v>310</v>
      </c>
      <c r="D25" s="20" t="s">
        <v>311</v>
      </c>
      <c r="E25" s="21" t="s">
        <v>312</v>
      </c>
      <c r="F25" s="22" t="s">
        <v>88</v>
      </c>
      <c r="G25" s="22" t="s">
        <v>89</v>
      </c>
      <c r="H25" s="21" t="s">
        <v>313</v>
      </c>
      <c r="I25" s="23" t="s">
        <v>91</v>
      </c>
      <c r="J25" s="24" t="s">
        <v>314</v>
      </c>
      <c r="K25" s="28" t="s">
        <v>315</v>
      </c>
      <c r="L25" s="24" t="s">
        <v>316</v>
      </c>
      <c r="M25" s="24" t="s">
        <v>317</v>
      </c>
      <c r="N25" s="24" t="s">
        <v>318</v>
      </c>
      <c r="O25" s="24" t="s">
        <v>319</v>
      </c>
      <c r="P25" s="28"/>
      <c r="Q25" s="28" t="str">
        <f aca="false">"["&amp;안내!$C$5&amp;" "&amp;C25&amp;"] "&amp;J25&amp;" | "&amp;H25</f>
        <v>[1분 성경 #0024] 떠나라 | 창 12:1-9</v>
      </c>
      <c r="R25" s="23" t="n">
        <f aca="false">INT((A25-1)/안내!$C$9)+1</f>
        <v>5</v>
      </c>
      <c r="S25" s="26" t="n">
        <f aca="false">안내!$C$10+(R25-1)*7+MOD(A25-1,안내!$C$9)</f>
        <v>46422</v>
      </c>
      <c r="T25" s="23" t="s">
        <v>99</v>
      </c>
      <c r="U25" s="23" t="s">
        <v>99</v>
      </c>
      <c r="V25" s="23" t="s">
        <v>99</v>
      </c>
      <c r="W25" s="23" t="s">
        <v>99</v>
      </c>
      <c r="X25" s="28"/>
      <c r="Y25" s="28" t="str">
        <f aca="false">"다음 편: "&amp;J26</f>
        <v>다음 편: 애굽에서의 거짓말</v>
      </c>
    </row>
    <row r="26" customFormat="false" ht="26.85" hidden="false" customHeight="false" outlineLevel="0" collapsed="false">
      <c r="A26" s="20" t="n">
        <v>25</v>
      </c>
      <c r="B26" s="20" t="s">
        <v>320</v>
      </c>
      <c r="C26" s="20" t="s">
        <v>321</v>
      </c>
      <c r="D26" s="20" t="s">
        <v>311</v>
      </c>
      <c r="E26" s="21" t="s">
        <v>312</v>
      </c>
      <c r="F26" s="22" t="s">
        <v>88</v>
      </c>
      <c r="G26" s="22" t="s">
        <v>89</v>
      </c>
      <c r="H26" s="21" t="s">
        <v>322</v>
      </c>
      <c r="I26" s="23" t="s">
        <v>91</v>
      </c>
      <c r="J26" s="24" t="s">
        <v>323</v>
      </c>
      <c r="K26" s="24" t="s">
        <v>324</v>
      </c>
      <c r="L26" s="24" t="s">
        <v>325</v>
      </c>
      <c r="M26" s="24" t="s">
        <v>326</v>
      </c>
      <c r="N26" s="24" t="s">
        <v>327</v>
      </c>
      <c r="O26" s="24" t="s">
        <v>328</v>
      </c>
      <c r="P26" s="28"/>
      <c r="Q26" s="28" t="str">
        <f aca="false">"["&amp;안내!$C$5&amp;" "&amp;C26&amp;"] "&amp;J26&amp;" | "&amp;H26</f>
        <v>[1분 성경 #0025] 애굽에서의 거짓말 | 창 12:10-20</v>
      </c>
      <c r="R26" s="23" t="n">
        <f aca="false">INT((A26-1)/안내!$C$9)+1</f>
        <v>5</v>
      </c>
      <c r="S26" s="26" t="n">
        <f aca="false">안내!$C$10+(R26-1)*7+MOD(A26-1,안내!$C$9)</f>
        <v>46423</v>
      </c>
      <c r="T26" s="23" t="s">
        <v>99</v>
      </c>
      <c r="U26" s="23" t="s">
        <v>99</v>
      </c>
      <c r="V26" s="23" t="s">
        <v>99</v>
      </c>
      <c r="W26" s="23" t="s">
        <v>99</v>
      </c>
      <c r="X26" s="28"/>
      <c r="Y26" s="28" t="str">
        <f aca="false">"다음 편: "&amp;J27</f>
        <v>다음 편: 롯과 갈라서다</v>
      </c>
    </row>
    <row r="27" customFormat="false" ht="26.85" hidden="false" customHeight="false" outlineLevel="0" collapsed="false">
      <c r="A27" s="20" t="n">
        <v>26</v>
      </c>
      <c r="B27" s="20" t="s">
        <v>329</v>
      </c>
      <c r="C27" s="20" t="s">
        <v>330</v>
      </c>
      <c r="D27" s="20" t="s">
        <v>311</v>
      </c>
      <c r="E27" s="21" t="s">
        <v>312</v>
      </c>
      <c r="F27" s="22" t="s">
        <v>88</v>
      </c>
      <c r="G27" s="22" t="s">
        <v>89</v>
      </c>
      <c r="H27" s="21" t="s">
        <v>331</v>
      </c>
      <c r="I27" s="23" t="s">
        <v>91</v>
      </c>
      <c r="J27" s="24" t="s">
        <v>332</v>
      </c>
      <c r="K27" s="24" t="s">
        <v>333</v>
      </c>
      <c r="L27" s="24" t="s">
        <v>334</v>
      </c>
      <c r="M27" s="24" t="s">
        <v>335</v>
      </c>
      <c r="N27" s="24" t="s">
        <v>336</v>
      </c>
      <c r="O27" s="24" t="s">
        <v>337</v>
      </c>
      <c r="P27" s="28"/>
      <c r="Q27" s="28" t="str">
        <f aca="false">"["&amp;안내!$C$5&amp;" "&amp;C27&amp;"] "&amp;J27&amp;" | "&amp;H27</f>
        <v>[1분 성경 #0026] 롯과 갈라서다 | 창 13:1-18</v>
      </c>
      <c r="R27" s="23" t="n">
        <f aca="false">INT((A27-1)/안내!$C$9)+1</f>
        <v>6</v>
      </c>
      <c r="S27" s="26" t="n">
        <f aca="false">안내!$C$10+(R27-1)*7+MOD(A27-1,안내!$C$9)</f>
        <v>46426</v>
      </c>
      <c r="T27" s="23" t="s">
        <v>99</v>
      </c>
      <c r="U27" s="23" t="s">
        <v>99</v>
      </c>
      <c r="V27" s="23" t="s">
        <v>99</v>
      </c>
      <c r="W27" s="23" t="s">
        <v>99</v>
      </c>
      <c r="X27" s="28"/>
      <c r="Y27" s="28" t="str">
        <f aca="false">"다음 편: "&amp;J28</f>
        <v>다음 편: 롯을 구하고 멜기세덱을 만나다</v>
      </c>
    </row>
    <row r="28" customFormat="false" ht="26.85" hidden="false" customHeight="false" outlineLevel="0" collapsed="false">
      <c r="A28" s="20" t="n">
        <v>27</v>
      </c>
      <c r="B28" s="20" t="s">
        <v>338</v>
      </c>
      <c r="C28" s="20" t="s">
        <v>339</v>
      </c>
      <c r="D28" s="20" t="s">
        <v>311</v>
      </c>
      <c r="E28" s="21" t="s">
        <v>312</v>
      </c>
      <c r="F28" s="22" t="s">
        <v>88</v>
      </c>
      <c r="G28" s="22" t="s">
        <v>89</v>
      </c>
      <c r="H28" s="21" t="s">
        <v>340</v>
      </c>
      <c r="I28" s="23" t="s">
        <v>91</v>
      </c>
      <c r="J28" s="24" t="s">
        <v>341</v>
      </c>
      <c r="K28" s="28" t="s">
        <v>342</v>
      </c>
      <c r="L28" s="24" t="s">
        <v>343</v>
      </c>
      <c r="M28" s="24" t="s">
        <v>344</v>
      </c>
      <c r="N28" s="24" t="s">
        <v>345</v>
      </c>
      <c r="O28" s="24" t="s">
        <v>346</v>
      </c>
      <c r="P28" s="25" t="s">
        <v>347</v>
      </c>
      <c r="Q28" s="28" t="str">
        <f aca="false">"["&amp;안내!$C$5&amp;" "&amp;C28&amp;"] "&amp;J28&amp;" | "&amp;H28</f>
        <v>[1분 성경 #0027] 롯을 구하고 멜기세덱을 만나다 | 창 14:1-24</v>
      </c>
      <c r="R28" s="23" t="n">
        <f aca="false">INT((A28-1)/안내!$C$9)+1</f>
        <v>6</v>
      </c>
      <c r="S28" s="26" t="n">
        <f aca="false">안내!$C$10+(R28-1)*7+MOD(A28-1,안내!$C$9)</f>
        <v>46427</v>
      </c>
      <c r="T28" s="23" t="s">
        <v>99</v>
      </c>
      <c r="U28" s="23" t="s">
        <v>99</v>
      </c>
      <c r="V28" s="23" t="s">
        <v>99</v>
      </c>
      <c r="W28" s="23" t="s">
        <v>99</v>
      </c>
      <c r="X28" s="28"/>
      <c r="Y28" s="28" t="str">
        <f aca="false">"다음 편: "&amp;J29</f>
        <v>다음 편: 하늘의 별을 세어 보라</v>
      </c>
    </row>
    <row r="29" customFormat="false" ht="26.85" hidden="false" customHeight="false" outlineLevel="0" collapsed="false">
      <c r="A29" s="20" t="n">
        <v>28</v>
      </c>
      <c r="B29" s="20" t="s">
        <v>348</v>
      </c>
      <c r="C29" s="20" t="s">
        <v>349</v>
      </c>
      <c r="D29" s="20" t="s">
        <v>311</v>
      </c>
      <c r="E29" s="21" t="s">
        <v>312</v>
      </c>
      <c r="F29" s="22" t="s">
        <v>88</v>
      </c>
      <c r="G29" s="22" t="s">
        <v>89</v>
      </c>
      <c r="H29" s="21" t="s">
        <v>350</v>
      </c>
      <c r="I29" s="23" t="s">
        <v>91</v>
      </c>
      <c r="J29" s="24" t="s">
        <v>351</v>
      </c>
      <c r="K29" s="24" t="s">
        <v>352</v>
      </c>
      <c r="L29" s="24" t="s">
        <v>353</v>
      </c>
      <c r="M29" s="24" t="s">
        <v>354</v>
      </c>
      <c r="N29" s="24" t="s">
        <v>355</v>
      </c>
      <c r="O29" s="24" t="s">
        <v>356</v>
      </c>
      <c r="P29" s="25" t="s">
        <v>357</v>
      </c>
      <c r="Q29" s="28" t="str">
        <f aca="false">"["&amp;안내!$C$5&amp;" "&amp;C29&amp;"] "&amp;J29&amp;" | "&amp;H29</f>
        <v>[1분 성경 #0028] 하늘의 별을 세어 보라 | 창 15:1-21</v>
      </c>
      <c r="R29" s="23" t="n">
        <f aca="false">INT((A29-1)/안내!$C$9)+1</f>
        <v>6</v>
      </c>
      <c r="S29" s="26" t="n">
        <f aca="false">안내!$C$10+(R29-1)*7+MOD(A29-1,안내!$C$9)</f>
        <v>46428</v>
      </c>
      <c r="T29" s="23" t="s">
        <v>99</v>
      </c>
      <c r="U29" s="23" t="s">
        <v>99</v>
      </c>
      <c r="V29" s="23" t="s">
        <v>99</v>
      </c>
      <c r="W29" s="23" t="s">
        <v>99</v>
      </c>
      <c r="X29" s="28"/>
      <c r="Y29" s="28" t="str">
        <f aca="false">"다음 편: "&amp;J30</f>
        <v>다음 편: 하갈과 이스마엘</v>
      </c>
    </row>
    <row r="30" customFormat="false" ht="26.85" hidden="false" customHeight="false" outlineLevel="0" collapsed="false">
      <c r="A30" s="20" t="n">
        <v>29</v>
      </c>
      <c r="B30" s="20" t="s">
        <v>358</v>
      </c>
      <c r="C30" s="20" t="s">
        <v>359</v>
      </c>
      <c r="D30" s="20" t="s">
        <v>311</v>
      </c>
      <c r="E30" s="21" t="s">
        <v>312</v>
      </c>
      <c r="F30" s="22" t="s">
        <v>88</v>
      </c>
      <c r="G30" s="22" t="s">
        <v>89</v>
      </c>
      <c r="H30" s="21" t="s">
        <v>360</v>
      </c>
      <c r="I30" s="23" t="s">
        <v>91</v>
      </c>
      <c r="J30" s="24" t="s">
        <v>361</v>
      </c>
      <c r="K30" s="24" t="s">
        <v>362</v>
      </c>
      <c r="L30" s="24" t="s">
        <v>363</v>
      </c>
      <c r="M30" s="24" t="s">
        <v>364</v>
      </c>
      <c r="N30" s="24" t="s">
        <v>365</v>
      </c>
      <c r="O30" s="24" t="s">
        <v>366</v>
      </c>
      <c r="P30" s="25" t="s">
        <v>367</v>
      </c>
      <c r="Q30" s="28" t="str">
        <f aca="false">"["&amp;안내!$C$5&amp;" "&amp;C30&amp;"] "&amp;J30&amp;" | "&amp;H30</f>
        <v>[1분 성경 #0029] 하갈과 이스마엘 | 창 16:1-16</v>
      </c>
      <c r="R30" s="23" t="n">
        <f aca="false">INT((A30-1)/안내!$C$9)+1</f>
        <v>6</v>
      </c>
      <c r="S30" s="26" t="n">
        <f aca="false">안내!$C$10+(R30-1)*7+MOD(A30-1,안내!$C$9)</f>
        <v>46429</v>
      </c>
      <c r="T30" s="23" t="s">
        <v>99</v>
      </c>
      <c r="U30" s="23" t="s">
        <v>99</v>
      </c>
      <c r="V30" s="23" t="s">
        <v>99</v>
      </c>
      <c r="W30" s="23" t="s">
        <v>99</v>
      </c>
      <c r="X30" s="28"/>
      <c r="Y30" s="28" t="str">
        <f aca="false">"다음 편: "&amp;J31</f>
        <v>다음 편: 이름이 바뀌다</v>
      </c>
    </row>
    <row r="31" customFormat="false" ht="26.85" hidden="false" customHeight="false" outlineLevel="0" collapsed="false">
      <c r="A31" s="20" t="n">
        <v>30</v>
      </c>
      <c r="B31" s="20" t="s">
        <v>368</v>
      </c>
      <c r="C31" s="20" t="s">
        <v>369</v>
      </c>
      <c r="D31" s="20" t="s">
        <v>311</v>
      </c>
      <c r="E31" s="21" t="s">
        <v>312</v>
      </c>
      <c r="F31" s="22" t="s">
        <v>88</v>
      </c>
      <c r="G31" s="22" t="s">
        <v>89</v>
      </c>
      <c r="H31" s="21" t="s">
        <v>370</v>
      </c>
      <c r="I31" s="23" t="s">
        <v>91</v>
      </c>
      <c r="J31" s="24" t="s">
        <v>371</v>
      </c>
      <c r="K31" s="28" t="s">
        <v>372</v>
      </c>
      <c r="L31" s="24" t="s">
        <v>373</v>
      </c>
      <c r="M31" s="24" t="s">
        <v>374</v>
      </c>
      <c r="N31" s="24" t="s">
        <v>375</v>
      </c>
      <c r="O31" s="24" t="s">
        <v>376</v>
      </c>
      <c r="P31" s="25" t="s">
        <v>377</v>
      </c>
      <c r="Q31" s="28" t="str">
        <f aca="false">"["&amp;안내!$C$5&amp;" "&amp;C31&amp;"] "&amp;J31&amp;" | "&amp;H31</f>
        <v>[1분 성경 #0030] 이름이 바뀌다 | 창 17:1-27</v>
      </c>
      <c r="R31" s="23" t="n">
        <f aca="false">INT((A31-1)/안내!$C$9)+1</f>
        <v>6</v>
      </c>
      <c r="S31" s="26" t="n">
        <f aca="false">안내!$C$10+(R31-1)*7+MOD(A31-1,안내!$C$9)</f>
        <v>46430</v>
      </c>
      <c r="T31" s="23" t="s">
        <v>99</v>
      </c>
      <c r="U31" s="23" t="s">
        <v>99</v>
      </c>
      <c r="V31" s="23" t="s">
        <v>99</v>
      </c>
      <c r="W31" s="23" t="s">
        <v>99</v>
      </c>
      <c r="X31" s="28"/>
      <c r="Y31" s="28" t="str">
        <f aca="false">"다음 편: "&amp;J32</f>
        <v>다음 편: 세 나그네</v>
      </c>
    </row>
    <row r="32" customFormat="false" ht="26.85" hidden="false" customHeight="false" outlineLevel="0" collapsed="false">
      <c r="A32" s="20" t="n">
        <v>31</v>
      </c>
      <c r="B32" s="20" t="s">
        <v>378</v>
      </c>
      <c r="C32" s="20" t="s">
        <v>379</v>
      </c>
      <c r="D32" s="20" t="s">
        <v>380</v>
      </c>
      <c r="E32" s="21" t="s">
        <v>381</v>
      </c>
      <c r="F32" s="22" t="s">
        <v>88</v>
      </c>
      <c r="G32" s="22" t="s">
        <v>89</v>
      </c>
      <c r="H32" s="21" t="s">
        <v>382</v>
      </c>
      <c r="I32" s="23" t="s">
        <v>91</v>
      </c>
      <c r="J32" s="24" t="s">
        <v>383</v>
      </c>
      <c r="K32" s="28" t="s">
        <v>384</v>
      </c>
      <c r="L32" s="24" t="s">
        <v>385</v>
      </c>
      <c r="M32" s="24" t="s">
        <v>386</v>
      </c>
      <c r="N32" s="24" t="s">
        <v>387</v>
      </c>
      <c r="O32" s="24" t="s">
        <v>388</v>
      </c>
      <c r="P32" s="25" t="s">
        <v>389</v>
      </c>
      <c r="Q32" s="28" t="str">
        <f aca="false">"["&amp;안내!$C$5&amp;" "&amp;C32&amp;"] "&amp;J32&amp;" | "&amp;H32</f>
        <v>[1분 성경 #0031] 세 나그네 | 창 18:1-15</v>
      </c>
      <c r="R32" s="23" t="n">
        <f aca="false">INT((A32-1)/안내!$C$9)+1</f>
        <v>7</v>
      </c>
      <c r="S32" s="26" t="n">
        <f aca="false">안내!$C$10+(R32-1)*7+MOD(A32-1,안내!$C$9)</f>
        <v>46433</v>
      </c>
      <c r="T32" s="23" t="s">
        <v>99</v>
      </c>
      <c r="U32" s="23" t="s">
        <v>99</v>
      </c>
      <c r="V32" s="23" t="s">
        <v>99</v>
      </c>
      <c r="W32" s="23" t="s">
        <v>99</v>
      </c>
      <c r="X32" s="28"/>
      <c r="Y32" s="28" t="str">
        <f aca="false">"다음 편: "&amp;J33</f>
        <v>다음 편: 의인 열 명만 있다면</v>
      </c>
    </row>
    <row r="33" customFormat="false" ht="26.85" hidden="false" customHeight="false" outlineLevel="0" collapsed="false">
      <c r="A33" s="20" t="n">
        <v>32</v>
      </c>
      <c r="B33" s="20" t="s">
        <v>390</v>
      </c>
      <c r="C33" s="20" t="s">
        <v>391</v>
      </c>
      <c r="D33" s="20" t="s">
        <v>380</v>
      </c>
      <c r="E33" s="21" t="s">
        <v>381</v>
      </c>
      <c r="F33" s="22" t="s">
        <v>88</v>
      </c>
      <c r="G33" s="22" t="s">
        <v>89</v>
      </c>
      <c r="H33" s="21" t="s">
        <v>392</v>
      </c>
      <c r="I33" s="23" t="s">
        <v>91</v>
      </c>
      <c r="J33" s="24" t="s">
        <v>393</v>
      </c>
      <c r="K33" s="24" t="s">
        <v>394</v>
      </c>
      <c r="L33" s="24" t="s">
        <v>395</v>
      </c>
      <c r="M33" s="24" t="s">
        <v>396</v>
      </c>
      <c r="N33" s="24" t="s">
        <v>397</v>
      </c>
      <c r="O33" s="24" t="s">
        <v>398</v>
      </c>
      <c r="P33" s="28"/>
      <c r="Q33" s="28" t="str">
        <f aca="false">"["&amp;안내!$C$5&amp;" "&amp;C33&amp;"] "&amp;J33&amp;" | "&amp;H33</f>
        <v>[1분 성경 #0032] 의인 열 명만 있다면 | 창 18:16-33</v>
      </c>
      <c r="R33" s="23" t="n">
        <f aca="false">INT((A33-1)/안내!$C$9)+1</f>
        <v>7</v>
      </c>
      <c r="S33" s="26" t="n">
        <f aca="false">안내!$C$10+(R33-1)*7+MOD(A33-1,안내!$C$9)</f>
        <v>46434</v>
      </c>
      <c r="T33" s="23" t="s">
        <v>99</v>
      </c>
      <c r="U33" s="23" t="s">
        <v>99</v>
      </c>
      <c r="V33" s="23" t="s">
        <v>99</v>
      </c>
      <c r="W33" s="23" t="s">
        <v>99</v>
      </c>
      <c r="X33" s="28"/>
      <c r="Y33" s="28" t="str">
        <f aca="false">"다음 편: "&amp;J34</f>
        <v>다음 편: 소돔과 고모라</v>
      </c>
    </row>
    <row r="34" customFormat="false" ht="26.85" hidden="false" customHeight="false" outlineLevel="0" collapsed="false">
      <c r="A34" s="20" t="n">
        <v>33</v>
      </c>
      <c r="B34" s="20" t="s">
        <v>399</v>
      </c>
      <c r="C34" s="20" t="s">
        <v>400</v>
      </c>
      <c r="D34" s="20" t="s">
        <v>380</v>
      </c>
      <c r="E34" s="21" t="s">
        <v>381</v>
      </c>
      <c r="F34" s="22" t="s">
        <v>88</v>
      </c>
      <c r="G34" s="22" t="s">
        <v>89</v>
      </c>
      <c r="H34" s="21" t="s">
        <v>401</v>
      </c>
      <c r="I34" s="23" t="s">
        <v>91</v>
      </c>
      <c r="J34" s="24" t="s">
        <v>402</v>
      </c>
      <c r="K34" s="24" t="s">
        <v>403</v>
      </c>
      <c r="L34" s="24" t="s">
        <v>404</v>
      </c>
      <c r="M34" s="24" t="s">
        <v>405</v>
      </c>
      <c r="N34" s="24" t="s">
        <v>406</v>
      </c>
      <c r="O34" s="24" t="s">
        <v>407</v>
      </c>
      <c r="P34" s="25" t="s">
        <v>408</v>
      </c>
      <c r="Q34" s="28" t="str">
        <f aca="false">"["&amp;안내!$C$5&amp;" "&amp;C34&amp;"] "&amp;J34&amp;" | "&amp;H34</f>
        <v>[1분 성경 #0033] 소돔과 고모라 | 창 19:1-29</v>
      </c>
      <c r="R34" s="23" t="n">
        <f aca="false">INT((A34-1)/안내!$C$9)+1</f>
        <v>7</v>
      </c>
      <c r="S34" s="26" t="n">
        <f aca="false">안내!$C$10+(R34-1)*7+MOD(A34-1,안내!$C$9)</f>
        <v>46435</v>
      </c>
      <c r="T34" s="23" t="s">
        <v>99</v>
      </c>
      <c r="U34" s="23" t="s">
        <v>99</v>
      </c>
      <c r="V34" s="23" t="s">
        <v>99</v>
      </c>
      <c r="W34" s="23" t="s">
        <v>99</v>
      </c>
      <c r="X34" s="28"/>
      <c r="Y34" s="28" t="str">
        <f aca="false">"다음 편: "&amp;J35</f>
        <v>다음 편: 같은 실수를 또?</v>
      </c>
    </row>
    <row r="35" customFormat="false" ht="26.85" hidden="false" customHeight="false" outlineLevel="0" collapsed="false">
      <c r="A35" s="20" t="n">
        <v>34</v>
      </c>
      <c r="B35" s="20" t="s">
        <v>409</v>
      </c>
      <c r="C35" s="20" t="s">
        <v>410</v>
      </c>
      <c r="D35" s="20" t="s">
        <v>380</v>
      </c>
      <c r="E35" s="21" t="s">
        <v>381</v>
      </c>
      <c r="F35" s="22" t="s">
        <v>88</v>
      </c>
      <c r="G35" s="22" t="s">
        <v>89</v>
      </c>
      <c r="H35" s="21" t="s">
        <v>411</v>
      </c>
      <c r="I35" s="23" t="s">
        <v>91</v>
      </c>
      <c r="J35" s="24" t="s">
        <v>412</v>
      </c>
      <c r="K35" s="24" t="s">
        <v>413</v>
      </c>
      <c r="L35" s="24" t="s">
        <v>414</v>
      </c>
      <c r="M35" s="24" t="s">
        <v>415</v>
      </c>
      <c r="N35" s="24" t="s">
        <v>416</v>
      </c>
      <c r="O35" s="24" t="s">
        <v>417</v>
      </c>
      <c r="P35" s="28"/>
      <c r="Q35" s="28" t="str">
        <f aca="false">"["&amp;안내!$C$5&amp;" "&amp;C35&amp;"] "&amp;J35&amp;" | "&amp;H35</f>
        <v>[1분 성경 #0034] 같은 실수를 또? | 창 20:1-18</v>
      </c>
      <c r="R35" s="23" t="n">
        <f aca="false">INT((A35-1)/안내!$C$9)+1</f>
        <v>7</v>
      </c>
      <c r="S35" s="26" t="n">
        <f aca="false">안내!$C$10+(R35-1)*7+MOD(A35-1,안내!$C$9)</f>
        <v>46436</v>
      </c>
      <c r="T35" s="23" t="s">
        <v>99</v>
      </c>
      <c r="U35" s="23" t="s">
        <v>99</v>
      </c>
      <c r="V35" s="23" t="s">
        <v>99</v>
      </c>
      <c r="W35" s="23" t="s">
        <v>99</v>
      </c>
      <c r="X35" s="28"/>
      <c r="Y35" s="28" t="str">
        <f aca="false">"다음 편: "&amp;J36</f>
        <v>다음 편: 웃음이라는 이름의 아이</v>
      </c>
    </row>
    <row r="36" customFormat="false" ht="26.85" hidden="false" customHeight="false" outlineLevel="0" collapsed="false">
      <c r="A36" s="20" t="n">
        <v>35</v>
      </c>
      <c r="B36" s="20" t="s">
        <v>418</v>
      </c>
      <c r="C36" s="20" t="s">
        <v>419</v>
      </c>
      <c r="D36" s="20" t="s">
        <v>380</v>
      </c>
      <c r="E36" s="21" t="s">
        <v>381</v>
      </c>
      <c r="F36" s="22" t="s">
        <v>88</v>
      </c>
      <c r="G36" s="22" t="s">
        <v>89</v>
      </c>
      <c r="H36" s="21" t="s">
        <v>420</v>
      </c>
      <c r="I36" s="23" t="s">
        <v>91</v>
      </c>
      <c r="J36" s="24" t="s">
        <v>421</v>
      </c>
      <c r="K36" s="28" t="s">
        <v>422</v>
      </c>
      <c r="L36" s="24" t="s">
        <v>423</v>
      </c>
      <c r="M36" s="24" t="s">
        <v>424</v>
      </c>
      <c r="N36" s="24" t="s">
        <v>425</v>
      </c>
      <c r="O36" s="24" t="s">
        <v>376</v>
      </c>
      <c r="P36" s="28"/>
      <c r="Q36" s="28" t="str">
        <f aca="false">"["&amp;안내!$C$5&amp;" "&amp;C36&amp;"] "&amp;J36&amp;" | "&amp;H36</f>
        <v>[1분 성경 #0035] 웃음이라는 이름의 아이 | 창 21:1-7</v>
      </c>
      <c r="R36" s="23" t="n">
        <f aca="false">INT((A36-1)/안내!$C$9)+1</f>
        <v>7</v>
      </c>
      <c r="S36" s="26" t="n">
        <f aca="false">안내!$C$10+(R36-1)*7+MOD(A36-1,안내!$C$9)</f>
        <v>46437</v>
      </c>
      <c r="T36" s="23" t="s">
        <v>99</v>
      </c>
      <c r="U36" s="23" t="s">
        <v>99</v>
      </c>
      <c r="V36" s="23" t="s">
        <v>99</v>
      </c>
      <c r="W36" s="23" t="s">
        <v>99</v>
      </c>
      <c r="X36" s="28"/>
      <c r="Y36" s="28" t="str">
        <f aca="false">"다음 편: "&amp;J37</f>
        <v>다음 편: 광야에서 우는 아이</v>
      </c>
    </row>
    <row r="37" customFormat="false" ht="26.85" hidden="false" customHeight="false" outlineLevel="0" collapsed="false">
      <c r="A37" s="20" t="n">
        <v>36</v>
      </c>
      <c r="B37" s="20" t="s">
        <v>426</v>
      </c>
      <c r="C37" s="20" t="s">
        <v>427</v>
      </c>
      <c r="D37" s="20" t="s">
        <v>380</v>
      </c>
      <c r="E37" s="21" t="s">
        <v>381</v>
      </c>
      <c r="F37" s="22" t="s">
        <v>88</v>
      </c>
      <c r="G37" s="22" t="s">
        <v>89</v>
      </c>
      <c r="H37" s="21" t="s">
        <v>428</v>
      </c>
      <c r="I37" s="23" t="s">
        <v>91</v>
      </c>
      <c r="J37" s="24" t="s">
        <v>429</v>
      </c>
      <c r="K37" s="24" t="s">
        <v>430</v>
      </c>
      <c r="L37" s="24" t="s">
        <v>431</v>
      </c>
      <c r="M37" s="24" t="s">
        <v>432</v>
      </c>
      <c r="N37" s="24" t="s">
        <v>433</v>
      </c>
      <c r="O37" s="24" t="s">
        <v>434</v>
      </c>
      <c r="P37" s="28"/>
      <c r="Q37" s="28" t="str">
        <f aca="false">"["&amp;안내!$C$5&amp;" "&amp;C37&amp;"] "&amp;J37&amp;" | "&amp;H37</f>
        <v>[1분 성경 #0036] 광야에서 우는 아이 | 창 21:8-34</v>
      </c>
      <c r="R37" s="23" t="n">
        <f aca="false">INT((A37-1)/안내!$C$9)+1</f>
        <v>8</v>
      </c>
      <c r="S37" s="26" t="n">
        <f aca="false">안내!$C$10+(R37-1)*7+MOD(A37-1,안내!$C$9)</f>
        <v>46440</v>
      </c>
      <c r="T37" s="23" t="s">
        <v>99</v>
      </c>
      <c r="U37" s="23" t="s">
        <v>99</v>
      </c>
      <c r="V37" s="23" t="s">
        <v>99</v>
      </c>
      <c r="W37" s="23" t="s">
        <v>99</v>
      </c>
      <c r="X37" s="28"/>
      <c r="Y37" s="28" t="str">
        <f aca="false">"다음 편: "&amp;J38</f>
        <v>다음 편: 모리아 산</v>
      </c>
    </row>
    <row r="38" customFormat="false" ht="26.85" hidden="false" customHeight="false" outlineLevel="0" collapsed="false">
      <c r="A38" s="20" t="n">
        <v>37</v>
      </c>
      <c r="B38" s="20" t="s">
        <v>435</v>
      </c>
      <c r="C38" s="20" t="s">
        <v>436</v>
      </c>
      <c r="D38" s="20" t="s">
        <v>380</v>
      </c>
      <c r="E38" s="21" t="s">
        <v>381</v>
      </c>
      <c r="F38" s="22" t="s">
        <v>88</v>
      </c>
      <c r="G38" s="22" t="s">
        <v>89</v>
      </c>
      <c r="H38" s="21" t="s">
        <v>437</v>
      </c>
      <c r="I38" s="23" t="s">
        <v>91</v>
      </c>
      <c r="J38" s="24" t="s">
        <v>438</v>
      </c>
      <c r="K38" s="24" t="s">
        <v>439</v>
      </c>
      <c r="L38" s="24" t="s">
        <v>440</v>
      </c>
      <c r="M38" s="24" t="s">
        <v>441</v>
      </c>
      <c r="N38" s="24" t="s">
        <v>442</v>
      </c>
      <c r="O38" s="24" t="s">
        <v>443</v>
      </c>
      <c r="P38" s="25" t="s">
        <v>444</v>
      </c>
      <c r="Q38" s="28" t="str">
        <f aca="false">"["&amp;안내!$C$5&amp;" "&amp;C38&amp;"] "&amp;J38&amp;" | "&amp;H38</f>
        <v>[1분 성경 #0037] 모리아 산 | 창 22:1-19</v>
      </c>
      <c r="R38" s="23" t="n">
        <f aca="false">INT((A38-1)/안내!$C$9)+1</f>
        <v>8</v>
      </c>
      <c r="S38" s="26" t="n">
        <f aca="false">안내!$C$10+(R38-1)*7+MOD(A38-1,안내!$C$9)</f>
        <v>46441</v>
      </c>
      <c r="T38" s="23" t="s">
        <v>99</v>
      </c>
      <c r="U38" s="23" t="s">
        <v>99</v>
      </c>
      <c r="V38" s="23" t="s">
        <v>99</v>
      </c>
      <c r="W38" s="23" t="s">
        <v>99</v>
      </c>
      <c r="X38" s="28"/>
      <c r="Y38" s="28" t="str">
        <f aca="false">"다음 편: "&amp;J39</f>
        <v>다음 편: 사라의 죽음과 막벨라 굴</v>
      </c>
    </row>
    <row r="39" customFormat="false" ht="26.85" hidden="false" customHeight="false" outlineLevel="0" collapsed="false">
      <c r="A39" s="20" t="n">
        <v>38</v>
      </c>
      <c r="B39" s="20" t="s">
        <v>445</v>
      </c>
      <c r="C39" s="20" t="s">
        <v>446</v>
      </c>
      <c r="D39" s="20" t="s">
        <v>380</v>
      </c>
      <c r="E39" s="21" t="s">
        <v>381</v>
      </c>
      <c r="F39" s="22" t="s">
        <v>88</v>
      </c>
      <c r="G39" s="22" t="s">
        <v>89</v>
      </c>
      <c r="H39" s="21" t="s">
        <v>447</v>
      </c>
      <c r="I39" s="23" t="s">
        <v>91</v>
      </c>
      <c r="J39" s="24" t="s">
        <v>448</v>
      </c>
      <c r="K39" s="24" t="s">
        <v>449</v>
      </c>
      <c r="L39" s="24" t="s">
        <v>450</v>
      </c>
      <c r="M39" s="24" t="s">
        <v>451</v>
      </c>
      <c r="N39" s="24" t="s">
        <v>452</v>
      </c>
      <c r="O39" s="24" t="s">
        <v>453</v>
      </c>
      <c r="P39" s="28"/>
      <c r="Q39" s="28" t="str">
        <f aca="false">"["&amp;안내!$C$5&amp;" "&amp;C39&amp;"] "&amp;J39&amp;" | "&amp;H39</f>
        <v>[1분 성경 #0038] 사라의 죽음과 막벨라 굴 | 창 22:20-23:20</v>
      </c>
      <c r="R39" s="23" t="n">
        <f aca="false">INT((A39-1)/안내!$C$9)+1</f>
        <v>8</v>
      </c>
      <c r="S39" s="26" t="n">
        <f aca="false">안내!$C$10+(R39-1)*7+MOD(A39-1,안내!$C$9)</f>
        <v>46442</v>
      </c>
      <c r="T39" s="23" t="s">
        <v>99</v>
      </c>
      <c r="U39" s="23" t="s">
        <v>99</v>
      </c>
      <c r="V39" s="23" t="s">
        <v>99</v>
      </c>
      <c r="W39" s="23" t="s">
        <v>99</v>
      </c>
      <c r="X39" s="28"/>
      <c r="Y39" s="28" t="str">
        <f aca="false">"다음 편: "&amp;J40</f>
        <v>다음 편: 낙타에게 물을 주는 여인</v>
      </c>
    </row>
    <row r="40" customFormat="false" ht="26.85" hidden="false" customHeight="false" outlineLevel="0" collapsed="false">
      <c r="A40" s="20" t="n">
        <v>39</v>
      </c>
      <c r="B40" s="20" t="s">
        <v>454</v>
      </c>
      <c r="C40" s="20" t="s">
        <v>455</v>
      </c>
      <c r="D40" s="20" t="s">
        <v>456</v>
      </c>
      <c r="E40" s="21" t="s">
        <v>457</v>
      </c>
      <c r="F40" s="22" t="s">
        <v>88</v>
      </c>
      <c r="G40" s="22" t="s">
        <v>89</v>
      </c>
      <c r="H40" s="21" t="s">
        <v>458</v>
      </c>
      <c r="I40" s="23" t="s">
        <v>91</v>
      </c>
      <c r="J40" s="24" t="s">
        <v>459</v>
      </c>
      <c r="K40" s="24" t="s">
        <v>460</v>
      </c>
      <c r="L40" s="24" t="s">
        <v>461</v>
      </c>
      <c r="M40" s="24" t="s">
        <v>462</v>
      </c>
      <c r="N40" s="24" t="s">
        <v>463</v>
      </c>
      <c r="O40" s="24" t="s">
        <v>464</v>
      </c>
      <c r="P40" s="28"/>
      <c r="Q40" s="28" t="str">
        <f aca="false">"["&amp;안내!$C$5&amp;" "&amp;C40&amp;"] "&amp;J40&amp;" | "&amp;H40</f>
        <v>[1분 성경 #0039] 낙타에게 물을 주는 여인 | 창 24:1-27</v>
      </c>
      <c r="R40" s="23" t="n">
        <f aca="false">INT((A40-1)/안내!$C$9)+1</f>
        <v>8</v>
      </c>
      <c r="S40" s="26" t="n">
        <f aca="false">안내!$C$10+(R40-1)*7+MOD(A40-1,안내!$C$9)</f>
        <v>46443</v>
      </c>
      <c r="T40" s="23" t="s">
        <v>99</v>
      </c>
      <c r="U40" s="23" t="s">
        <v>99</v>
      </c>
      <c r="V40" s="23" t="s">
        <v>99</v>
      </c>
      <c r="W40" s="23" t="s">
        <v>99</v>
      </c>
      <c r="X40" s="28"/>
      <c r="Y40" s="28" t="str">
        <f aca="false">"다음 편: "&amp;J41</f>
        <v>다음 편: 가겠나이다</v>
      </c>
    </row>
    <row r="41" customFormat="false" ht="26.85" hidden="false" customHeight="false" outlineLevel="0" collapsed="false">
      <c r="A41" s="20" t="n">
        <v>40</v>
      </c>
      <c r="B41" s="20" t="s">
        <v>465</v>
      </c>
      <c r="C41" s="20" t="s">
        <v>466</v>
      </c>
      <c r="D41" s="20" t="s">
        <v>456</v>
      </c>
      <c r="E41" s="21" t="s">
        <v>457</v>
      </c>
      <c r="F41" s="22" t="s">
        <v>88</v>
      </c>
      <c r="G41" s="22" t="s">
        <v>89</v>
      </c>
      <c r="H41" s="21" t="s">
        <v>467</v>
      </c>
      <c r="I41" s="23" t="s">
        <v>91</v>
      </c>
      <c r="J41" s="24" t="s">
        <v>468</v>
      </c>
      <c r="K41" s="24" t="s">
        <v>469</v>
      </c>
      <c r="L41" s="24" t="s">
        <v>470</v>
      </c>
      <c r="M41" s="24" t="s">
        <v>471</v>
      </c>
      <c r="N41" s="24" t="s">
        <v>472</v>
      </c>
      <c r="O41" s="24" t="s">
        <v>473</v>
      </c>
      <c r="P41" s="28"/>
      <c r="Q41" s="28" t="str">
        <f aca="false">"["&amp;안내!$C$5&amp;" "&amp;C41&amp;"] "&amp;J41&amp;" | "&amp;H41</f>
        <v>[1분 성경 #0040] 가겠나이다 | 창 24:28-67</v>
      </c>
      <c r="R41" s="23" t="n">
        <f aca="false">INT((A41-1)/안내!$C$9)+1</f>
        <v>8</v>
      </c>
      <c r="S41" s="26" t="n">
        <f aca="false">안내!$C$10+(R41-1)*7+MOD(A41-1,안내!$C$9)</f>
        <v>46444</v>
      </c>
      <c r="T41" s="23" t="s">
        <v>99</v>
      </c>
      <c r="U41" s="23" t="s">
        <v>99</v>
      </c>
      <c r="V41" s="23" t="s">
        <v>99</v>
      </c>
      <c r="W41" s="23" t="s">
        <v>99</v>
      </c>
      <c r="X41" s="28"/>
      <c r="Y41" s="28" t="str">
        <f aca="false">"다음 편: "&amp;J42</f>
        <v>다음 편: 아브라함의 죽음</v>
      </c>
    </row>
    <row r="42" customFormat="false" ht="26.85" hidden="false" customHeight="false" outlineLevel="0" collapsed="false">
      <c r="A42" s="20" t="n">
        <v>41</v>
      </c>
      <c r="B42" s="20" t="s">
        <v>474</v>
      </c>
      <c r="C42" s="20" t="s">
        <v>475</v>
      </c>
      <c r="D42" s="20" t="s">
        <v>456</v>
      </c>
      <c r="E42" s="21" t="s">
        <v>457</v>
      </c>
      <c r="F42" s="22" t="s">
        <v>88</v>
      </c>
      <c r="G42" s="22" t="s">
        <v>89</v>
      </c>
      <c r="H42" s="21" t="s">
        <v>476</v>
      </c>
      <c r="I42" s="23" t="s">
        <v>91</v>
      </c>
      <c r="J42" s="24" t="s">
        <v>477</v>
      </c>
      <c r="K42" s="28" t="s">
        <v>478</v>
      </c>
      <c r="L42" s="24" t="s">
        <v>479</v>
      </c>
      <c r="M42" s="24" t="s">
        <v>480</v>
      </c>
      <c r="N42" s="24" t="s">
        <v>481</v>
      </c>
      <c r="O42" s="24" t="s">
        <v>482</v>
      </c>
      <c r="P42" s="28"/>
      <c r="Q42" s="28" t="str">
        <f aca="false">"["&amp;안내!$C$5&amp;" "&amp;C42&amp;"] "&amp;J42&amp;" | "&amp;H42</f>
        <v>[1분 성경 #0041] 아브라함의 죽음 | 창 25:1-18</v>
      </c>
      <c r="R42" s="23" t="n">
        <f aca="false">INT((A42-1)/안내!$C$9)+1</f>
        <v>9</v>
      </c>
      <c r="S42" s="26" t="n">
        <f aca="false">안내!$C$10+(R42-1)*7+MOD(A42-1,안내!$C$9)</f>
        <v>46447</v>
      </c>
      <c r="T42" s="23" t="s">
        <v>99</v>
      </c>
      <c r="U42" s="23" t="s">
        <v>99</v>
      </c>
      <c r="V42" s="23" t="s">
        <v>99</v>
      </c>
      <c r="W42" s="23" t="s">
        <v>99</v>
      </c>
      <c r="X42" s="28"/>
      <c r="Y42" s="28" t="str">
        <f aca="false">"다음 편: "&amp;J43</f>
        <v>다음 편: 배 속에서부터 싸운 쌍둥이</v>
      </c>
    </row>
    <row r="43" customFormat="false" ht="26.85" hidden="false" customHeight="false" outlineLevel="0" collapsed="false">
      <c r="A43" s="20" t="n">
        <v>42</v>
      </c>
      <c r="B43" s="20" t="s">
        <v>483</v>
      </c>
      <c r="C43" s="20" t="s">
        <v>484</v>
      </c>
      <c r="D43" s="20" t="s">
        <v>456</v>
      </c>
      <c r="E43" s="21" t="s">
        <v>457</v>
      </c>
      <c r="F43" s="22" t="s">
        <v>88</v>
      </c>
      <c r="G43" s="22" t="s">
        <v>89</v>
      </c>
      <c r="H43" s="21" t="s">
        <v>485</v>
      </c>
      <c r="I43" s="23" t="s">
        <v>91</v>
      </c>
      <c r="J43" s="24" t="s">
        <v>486</v>
      </c>
      <c r="K43" s="24" t="s">
        <v>487</v>
      </c>
      <c r="L43" s="24" t="s">
        <v>488</v>
      </c>
      <c r="M43" s="24" t="s">
        <v>489</v>
      </c>
      <c r="N43" s="24" t="s">
        <v>490</v>
      </c>
      <c r="O43" s="24" t="s">
        <v>376</v>
      </c>
      <c r="P43" s="25" t="s">
        <v>491</v>
      </c>
      <c r="Q43" s="28" t="str">
        <f aca="false">"["&amp;안내!$C$5&amp;" "&amp;C43&amp;"] "&amp;J43&amp;" | "&amp;H43</f>
        <v>[1분 성경 #0042] 배 속에서부터 싸운 쌍둥이 | 창 25:19-26</v>
      </c>
      <c r="R43" s="23" t="n">
        <f aca="false">INT((A43-1)/안내!$C$9)+1</f>
        <v>9</v>
      </c>
      <c r="S43" s="26" t="n">
        <f aca="false">안내!$C$10+(R43-1)*7+MOD(A43-1,안내!$C$9)</f>
        <v>46448</v>
      </c>
      <c r="T43" s="23" t="s">
        <v>99</v>
      </c>
      <c r="U43" s="23" t="s">
        <v>99</v>
      </c>
      <c r="V43" s="23" t="s">
        <v>99</v>
      </c>
      <c r="W43" s="23" t="s">
        <v>99</v>
      </c>
      <c r="X43" s="28"/>
      <c r="Y43" s="28" t="str">
        <f aca="false">"다음 편: "&amp;J44</f>
        <v>다음 편: 팥죽 한 그릇</v>
      </c>
    </row>
    <row r="44" customFormat="false" ht="26.85" hidden="false" customHeight="false" outlineLevel="0" collapsed="false">
      <c r="A44" s="20" t="n">
        <v>43</v>
      </c>
      <c r="B44" s="20" t="s">
        <v>492</v>
      </c>
      <c r="C44" s="20" t="s">
        <v>493</v>
      </c>
      <c r="D44" s="20" t="s">
        <v>456</v>
      </c>
      <c r="E44" s="21" t="s">
        <v>457</v>
      </c>
      <c r="F44" s="22" t="s">
        <v>88</v>
      </c>
      <c r="G44" s="22" t="s">
        <v>89</v>
      </c>
      <c r="H44" s="21" t="s">
        <v>494</v>
      </c>
      <c r="I44" s="23" t="s">
        <v>91</v>
      </c>
      <c r="J44" s="24" t="s">
        <v>495</v>
      </c>
      <c r="K44" s="24" t="s">
        <v>496</v>
      </c>
      <c r="L44" s="24" t="s">
        <v>497</v>
      </c>
      <c r="M44" s="24" t="s">
        <v>498</v>
      </c>
      <c r="N44" s="24" t="s">
        <v>499</v>
      </c>
      <c r="O44" s="24" t="s">
        <v>500</v>
      </c>
      <c r="P44" s="28"/>
      <c r="Q44" s="28" t="str">
        <f aca="false">"["&amp;안내!$C$5&amp;" "&amp;C44&amp;"] "&amp;J44&amp;" | "&amp;H44</f>
        <v>[1분 성경 #0043] 팥죽 한 그릇 | 창 25:27-34</v>
      </c>
      <c r="R44" s="23" t="n">
        <f aca="false">INT((A44-1)/안내!$C$9)+1</f>
        <v>9</v>
      </c>
      <c r="S44" s="26" t="n">
        <f aca="false">안내!$C$10+(R44-1)*7+MOD(A44-1,안내!$C$9)</f>
        <v>46449</v>
      </c>
      <c r="T44" s="23" t="s">
        <v>99</v>
      </c>
      <c r="U44" s="23" t="s">
        <v>99</v>
      </c>
      <c r="V44" s="23" t="s">
        <v>99</v>
      </c>
      <c r="W44" s="23" t="s">
        <v>99</v>
      </c>
      <c r="X44" s="28"/>
      <c r="Y44" s="28" t="str">
        <f aca="false">"다음 편: "&amp;J45</f>
        <v>다음 편: 아버지의 실수를 아들도</v>
      </c>
    </row>
    <row r="45" customFormat="false" ht="25.35" hidden="false" customHeight="false" outlineLevel="0" collapsed="false">
      <c r="A45" s="20" t="n">
        <v>44</v>
      </c>
      <c r="B45" s="20" t="s">
        <v>501</v>
      </c>
      <c r="C45" s="20" t="s">
        <v>502</v>
      </c>
      <c r="D45" s="20" t="s">
        <v>456</v>
      </c>
      <c r="E45" s="21" t="s">
        <v>457</v>
      </c>
      <c r="F45" s="22" t="s">
        <v>88</v>
      </c>
      <c r="G45" s="22" t="s">
        <v>89</v>
      </c>
      <c r="H45" s="21" t="s">
        <v>503</v>
      </c>
      <c r="I45" s="23" t="s">
        <v>91</v>
      </c>
      <c r="J45" s="24" t="s">
        <v>504</v>
      </c>
      <c r="K45" s="24" t="s">
        <v>505</v>
      </c>
      <c r="L45" s="24" t="s">
        <v>506</v>
      </c>
      <c r="M45" s="24" t="s">
        <v>507</v>
      </c>
      <c r="N45" s="24" t="s">
        <v>508</v>
      </c>
      <c r="O45" s="24" t="s">
        <v>417</v>
      </c>
      <c r="P45" s="28"/>
      <c r="Q45" s="28" t="str">
        <f aca="false">"["&amp;안내!$C$5&amp;" "&amp;C45&amp;"] "&amp;J45&amp;" | "&amp;H45</f>
        <v>[1분 성경 #0044] 아버지의 실수를 아들도 | 창 26:1-16</v>
      </c>
      <c r="R45" s="23" t="n">
        <f aca="false">INT((A45-1)/안내!$C$9)+1</f>
        <v>9</v>
      </c>
      <c r="S45" s="26" t="n">
        <f aca="false">안내!$C$10+(R45-1)*7+MOD(A45-1,안내!$C$9)</f>
        <v>46450</v>
      </c>
      <c r="T45" s="23" t="s">
        <v>99</v>
      </c>
      <c r="U45" s="23" t="s">
        <v>99</v>
      </c>
      <c r="V45" s="23" t="s">
        <v>99</v>
      </c>
      <c r="W45" s="23" t="s">
        <v>99</v>
      </c>
      <c r="X45" s="28"/>
      <c r="Y45" s="28" t="str">
        <f aca="false">"다음 편: "&amp;J46</f>
        <v>다음 편: 우물을 빼앗겨도</v>
      </c>
    </row>
    <row r="46" customFormat="false" ht="26.85" hidden="false" customHeight="false" outlineLevel="0" collapsed="false">
      <c r="A46" s="20" t="n">
        <v>45</v>
      </c>
      <c r="B46" s="20" t="s">
        <v>509</v>
      </c>
      <c r="C46" s="20" t="s">
        <v>510</v>
      </c>
      <c r="D46" s="20" t="s">
        <v>456</v>
      </c>
      <c r="E46" s="21" t="s">
        <v>457</v>
      </c>
      <c r="F46" s="22" t="s">
        <v>88</v>
      </c>
      <c r="G46" s="22" t="s">
        <v>89</v>
      </c>
      <c r="H46" s="21" t="s">
        <v>511</v>
      </c>
      <c r="I46" s="23" t="s">
        <v>91</v>
      </c>
      <c r="J46" s="24" t="s">
        <v>512</v>
      </c>
      <c r="K46" s="24" t="s">
        <v>513</v>
      </c>
      <c r="L46" s="24" t="s">
        <v>514</v>
      </c>
      <c r="M46" s="24" t="s">
        <v>515</v>
      </c>
      <c r="N46" s="24" t="s">
        <v>516</v>
      </c>
      <c r="O46" s="24" t="s">
        <v>517</v>
      </c>
      <c r="P46" s="28"/>
      <c r="Q46" s="28" t="str">
        <f aca="false">"["&amp;안내!$C$5&amp;" "&amp;C46&amp;"] "&amp;J46&amp;" | "&amp;H46</f>
        <v>[1분 성경 #0045] 우물을 빼앗겨도 | 창 26:17-35</v>
      </c>
      <c r="R46" s="23" t="n">
        <f aca="false">INT((A46-1)/안내!$C$9)+1</f>
        <v>9</v>
      </c>
      <c r="S46" s="26" t="n">
        <f aca="false">안내!$C$10+(R46-1)*7+MOD(A46-1,안내!$C$9)</f>
        <v>46451</v>
      </c>
      <c r="T46" s="23" t="s">
        <v>99</v>
      </c>
      <c r="U46" s="23" t="s">
        <v>99</v>
      </c>
      <c r="V46" s="23" t="s">
        <v>99</v>
      </c>
      <c r="W46" s="23" t="s">
        <v>99</v>
      </c>
      <c r="X46" s="28"/>
      <c r="Y46" s="28" t="str">
        <f aca="false">"다음 편: "&amp;J47</f>
        <v>다음 편: 눈먼 아버지를 속이다</v>
      </c>
    </row>
    <row r="47" customFormat="false" ht="26.85" hidden="false" customHeight="false" outlineLevel="0" collapsed="false">
      <c r="A47" s="20" t="n">
        <v>46</v>
      </c>
      <c r="B47" s="20" t="s">
        <v>518</v>
      </c>
      <c r="C47" s="20" t="s">
        <v>519</v>
      </c>
      <c r="D47" s="20" t="s">
        <v>520</v>
      </c>
      <c r="E47" s="21" t="s">
        <v>521</v>
      </c>
      <c r="F47" s="22" t="s">
        <v>88</v>
      </c>
      <c r="G47" s="22" t="s">
        <v>89</v>
      </c>
      <c r="H47" s="21" t="s">
        <v>522</v>
      </c>
      <c r="I47" s="23" t="s">
        <v>91</v>
      </c>
      <c r="J47" s="24" t="s">
        <v>523</v>
      </c>
      <c r="K47" s="24" t="s">
        <v>524</v>
      </c>
      <c r="L47" s="24" t="s">
        <v>525</v>
      </c>
      <c r="M47" s="24" t="s">
        <v>526</v>
      </c>
      <c r="N47" s="24" t="s">
        <v>527</v>
      </c>
      <c r="O47" s="24" t="s">
        <v>376</v>
      </c>
      <c r="P47" s="28"/>
      <c r="Q47" s="28" t="str">
        <f aca="false">"["&amp;안내!$C$5&amp;" "&amp;C47&amp;"] "&amp;J47&amp;" | "&amp;H47</f>
        <v>[1분 성경 #0046] 눈먼 아버지를 속이다 | 창 27:1-29</v>
      </c>
      <c r="R47" s="23" t="n">
        <f aca="false">INT((A47-1)/안내!$C$9)+1</f>
        <v>10</v>
      </c>
      <c r="S47" s="26" t="n">
        <f aca="false">안내!$C$10+(R47-1)*7+MOD(A47-1,안내!$C$9)</f>
        <v>46454</v>
      </c>
      <c r="T47" s="23" t="s">
        <v>99</v>
      </c>
      <c r="U47" s="23" t="s">
        <v>99</v>
      </c>
      <c r="V47" s="23" t="s">
        <v>99</v>
      </c>
      <c r="W47" s="23" t="s">
        <v>99</v>
      </c>
      <c r="X47" s="28"/>
      <c r="Y47" s="28" t="str">
        <f aca="false">"다음 편: "&amp;J48</f>
        <v>다음 편: 형이 나를 죽이려 한다</v>
      </c>
    </row>
    <row r="48" customFormat="false" ht="26.85" hidden="false" customHeight="false" outlineLevel="0" collapsed="false">
      <c r="A48" s="20" t="n">
        <v>47</v>
      </c>
      <c r="B48" s="20" t="s">
        <v>528</v>
      </c>
      <c r="C48" s="20" t="s">
        <v>529</v>
      </c>
      <c r="D48" s="20" t="s">
        <v>520</v>
      </c>
      <c r="E48" s="21" t="s">
        <v>521</v>
      </c>
      <c r="F48" s="22" t="s">
        <v>88</v>
      </c>
      <c r="G48" s="22" t="s">
        <v>89</v>
      </c>
      <c r="H48" s="21" t="s">
        <v>530</v>
      </c>
      <c r="I48" s="23" t="s">
        <v>91</v>
      </c>
      <c r="J48" s="24" t="s">
        <v>531</v>
      </c>
      <c r="K48" s="24" t="s">
        <v>532</v>
      </c>
      <c r="L48" s="24" t="s">
        <v>533</v>
      </c>
      <c r="M48" s="24" t="s">
        <v>534</v>
      </c>
      <c r="N48" s="24" t="s">
        <v>535</v>
      </c>
      <c r="O48" s="24" t="s">
        <v>376</v>
      </c>
      <c r="P48" s="28"/>
      <c r="Q48" s="28" t="str">
        <f aca="false">"["&amp;안내!$C$5&amp;" "&amp;C48&amp;"] "&amp;J48&amp;" | "&amp;H48</f>
        <v>[1분 성경 #0047] 형이 나를 죽이려 한다 | 창 27:30-28:9</v>
      </c>
      <c r="R48" s="23" t="n">
        <f aca="false">INT((A48-1)/안내!$C$9)+1</f>
        <v>10</v>
      </c>
      <c r="S48" s="26" t="n">
        <f aca="false">안내!$C$10+(R48-1)*7+MOD(A48-1,안내!$C$9)</f>
        <v>46455</v>
      </c>
      <c r="T48" s="23" t="s">
        <v>99</v>
      </c>
      <c r="U48" s="23" t="s">
        <v>99</v>
      </c>
      <c r="V48" s="23" t="s">
        <v>99</v>
      </c>
      <c r="W48" s="23" t="s">
        <v>99</v>
      </c>
      <c r="X48" s="28"/>
      <c r="Y48" s="28" t="str">
        <f aca="false">"다음 편: "&amp;J49</f>
        <v>다음 편: 돌베개와 하늘 사다리</v>
      </c>
    </row>
    <row r="49" customFormat="false" ht="25.35" hidden="false" customHeight="false" outlineLevel="0" collapsed="false">
      <c r="A49" s="20" t="n">
        <v>48</v>
      </c>
      <c r="B49" s="20" t="s">
        <v>536</v>
      </c>
      <c r="C49" s="20" t="s">
        <v>537</v>
      </c>
      <c r="D49" s="20" t="s">
        <v>520</v>
      </c>
      <c r="E49" s="21" t="s">
        <v>521</v>
      </c>
      <c r="F49" s="22" t="s">
        <v>88</v>
      </c>
      <c r="G49" s="22" t="s">
        <v>89</v>
      </c>
      <c r="H49" s="21" t="s">
        <v>538</v>
      </c>
      <c r="I49" s="23" t="s">
        <v>91</v>
      </c>
      <c r="J49" s="24" t="s">
        <v>539</v>
      </c>
      <c r="K49" s="24" t="s">
        <v>540</v>
      </c>
      <c r="L49" s="24" t="s">
        <v>541</v>
      </c>
      <c r="M49" s="24" t="s">
        <v>542</v>
      </c>
      <c r="N49" s="24" t="s">
        <v>543</v>
      </c>
      <c r="O49" s="24" t="s">
        <v>544</v>
      </c>
      <c r="P49" s="25" t="s">
        <v>545</v>
      </c>
      <c r="Q49" s="28" t="str">
        <f aca="false">"["&amp;안내!$C$5&amp;" "&amp;C49&amp;"] "&amp;J49&amp;" | "&amp;H49</f>
        <v>[1분 성경 #0048] 돌베개와 하늘 사다리 | 창 28:10-22</v>
      </c>
      <c r="R49" s="23" t="n">
        <f aca="false">INT((A49-1)/안내!$C$9)+1</f>
        <v>10</v>
      </c>
      <c r="S49" s="26" t="n">
        <f aca="false">안내!$C$10+(R49-1)*7+MOD(A49-1,안내!$C$9)</f>
        <v>46456</v>
      </c>
      <c r="T49" s="23" t="s">
        <v>99</v>
      </c>
      <c r="U49" s="23" t="s">
        <v>99</v>
      </c>
      <c r="V49" s="23" t="s">
        <v>99</v>
      </c>
      <c r="W49" s="23" t="s">
        <v>99</v>
      </c>
      <c r="X49" s="28"/>
      <c r="Y49" s="28" t="str">
        <f aca="false">"다음 편: "&amp;J50</f>
        <v>다음 편: 속이던 자가 속다</v>
      </c>
    </row>
    <row r="50" customFormat="false" ht="26.85" hidden="false" customHeight="false" outlineLevel="0" collapsed="false">
      <c r="A50" s="20" t="n">
        <v>49</v>
      </c>
      <c r="B50" s="20" t="s">
        <v>546</v>
      </c>
      <c r="C50" s="20" t="s">
        <v>547</v>
      </c>
      <c r="D50" s="20" t="s">
        <v>520</v>
      </c>
      <c r="E50" s="21" t="s">
        <v>521</v>
      </c>
      <c r="F50" s="22" t="s">
        <v>88</v>
      </c>
      <c r="G50" s="22" t="s">
        <v>89</v>
      </c>
      <c r="H50" s="21" t="s">
        <v>548</v>
      </c>
      <c r="I50" s="23" t="s">
        <v>91</v>
      </c>
      <c r="J50" s="24" t="s">
        <v>549</v>
      </c>
      <c r="K50" s="28" t="s">
        <v>550</v>
      </c>
      <c r="L50" s="24" t="s">
        <v>551</v>
      </c>
      <c r="M50" s="24" t="s">
        <v>552</v>
      </c>
      <c r="N50" s="24" t="s">
        <v>553</v>
      </c>
      <c r="O50" s="24" t="s">
        <v>554</v>
      </c>
      <c r="P50" s="28"/>
      <c r="Q50" s="28" t="str">
        <f aca="false">"["&amp;안내!$C$5&amp;" "&amp;C50&amp;"] "&amp;J50&amp;" | "&amp;H50</f>
        <v>[1분 성경 #0049] 속이던 자가 속다 | 창 29:1-30</v>
      </c>
      <c r="R50" s="23" t="n">
        <f aca="false">INT((A50-1)/안내!$C$9)+1</f>
        <v>10</v>
      </c>
      <c r="S50" s="26" t="n">
        <f aca="false">안내!$C$10+(R50-1)*7+MOD(A50-1,안내!$C$9)</f>
        <v>46457</v>
      </c>
      <c r="T50" s="23" t="s">
        <v>99</v>
      </c>
      <c r="U50" s="23" t="s">
        <v>99</v>
      </c>
      <c r="V50" s="23" t="s">
        <v>99</v>
      </c>
      <c r="W50" s="23" t="s">
        <v>99</v>
      </c>
      <c r="X50" s="28"/>
      <c r="Y50" s="28" t="str">
        <f aca="false">"다음 편: "&amp;J51</f>
        <v>다음 편: 사랑받지 못한 레아</v>
      </c>
    </row>
    <row r="51" customFormat="false" ht="25.35" hidden="false" customHeight="false" outlineLevel="0" collapsed="false">
      <c r="A51" s="20" t="n">
        <v>50</v>
      </c>
      <c r="B51" s="20" t="s">
        <v>555</v>
      </c>
      <c r="C51" s="20" t="s">
        <v>556</v>
      </c>
      <c r="D51" s="20" t="s">
        <v>520</v>
      </c>
      <c r="E51" s="21" t="s">
        <v>521</v>
      </c>
      <c r="F51" s="22" t="s">
        <v>88</v>
      </c>
      <c r="G51" s="22" t="s">
        <v>89</v>
      </c>
      <c r="H51" s="21" t="s">
        <v>557</v>
      </c>
      <c r="I51" s="23" t="s">
        <v>91</v>
      </c>
      <c r="J51" s="24" t="s">
        <v>558</v>
      </c>
      <c r="K51" s="24" t="s">
        <v>559</v>
      </c>
      <c r="L51" s="24" t="s">
        <v>560</v>
      </c>
      <c r="M51" s="24" t="s">
        <v>561</v>
      </c>
      <c r="N51" s="24" t="s">
        <v>562</v>
      </c>
      <c r="O51" s="24" t="s">
        <v>563</v>
      </c>
      <c r="P51" s="25" t="s">
        <v>564</v>
      </c>
      <c r="Q51" s="28" t="str">
        <f aca="false">"["&amp;안내!$C$5&amp;" "&amp;C51&amp;"] "&amp;J51&amp;" | "&amp;H51</f>
        <v>[1분 성경 #0050] 사랑받지 못한 레아 | 창 29:31-30:24</v>
      </c>
      <c r="R51" s="23" t="n">
        <f aca="false">INT((A51-1)/안내!$C$9)+1</f>
        <v>10</v>
      </c>
      <c r="S51" s="26" t="n">
        <f aca="false">안내!$C$10+(R51-1)*7+MOD(A51-1,안내!$C$9)</f>
        <v>46458</v>
      </c>
      <c r="T51" s="23" t="s">
        <v>99</v>
      </c>
      <c r="U51" s="23" t="s">
        <v>99</v>
      </c>
      <c r="V51" s="23" t="s">
        <v>99</v>
      </c>
      <c r="W51" s="23" t="s">
        <v>99</v>
      </c>
      <c r="X51" s="28"/>
      <c r="Y51" s="28" t="str">
        <f aca="false">"다음 편: "&amp;J52</f>
        <v>다음 편: 얼룩 양 떼</v>
      </c>
    </row>
    <row r="52" customFormat="false" ht="26.85" hidden="false" customHeight="false" outlineLevel="0" collapsed="false">
      <c r="A52" s="20" t="n">
        <v>51</v>
      </c>
      <c r="B52" s="20" t="s">
        <v>565</v>
      </c>
      <c r="C52" s="20" t="s">
        <v>566</v>
      </c>
      <c r="D52" s="20" t="s">
        <v>520</v>
      </c>
      <c r="E52" s="21" t="s">
        <v>521</v>
      </c>
      <c r="F52" s="22" t="s">
        <v>88</v>
      </c>
      <c r="G52" s="22" t="s">
        <v>89</v>
      </c>
      <c r="H52" s="21" t="s">
        <v>567</v>
      </c>
      <c r="I52" s="23" t="s">
        <v>91</v>
      </c>
      <c r="J52" s="24" t="s">
        <v>568</v>
      </c>
      <c r="K52" s="24" t="s">
        <v>569</v>
      </c>
      <c r="L52" s="24" t="s">
        <v>570</v>
      </c>
      <c r="M52" s="24" t="s">
        <v>571</v>
      </c>
      <c r="N52" s="24" t="s">
        <v>572</v>
      </c>
      <c r="O52" s="24" t="s">
        <v>573</v>
      </c>
      <c r="P52" s="25" t="s">
        <v>574</v>
      </c>
      <c r="Q52" s="28" t="str">
        <f aca="false">"["&amp;안내!$C$5&amp;" "&amp;C52&amp;"] "&amp;J52&amp;" | "&amp;H52</f>
        <v>[1분 성경 #0051] 얼룩 양 떼 | 창 30:25-43</v>
      </c>
      <c r="R52" s="23" t="n">
        <f aca="false">INT((A52-1)/안내!$C$9)+1</f>
        <v>11</v>
      </c>
      <c r="S52" s="26" t="n">
        <f aca="false">안내!$C$10+(R52-1)*7+MOD(A52-1,안내!$C$9)</f>
        <v>46461</v>
      </c>
      <c r="T52" s="23" t="s">
        <v>99</v>
      </c>
      <c r="U52" s="23" t="s">
        <v>99</v>
      </c>
      <c r="V52" s="23" t="s">
        <v>99</v>
      </c>
      <c r="W52" s="23" t="s">
        <v>99</v>
      </c>
      <c r="X52" s="28"/>
      <c r="Y52" s="28" t="str">
        <f aca="false">"다음 편: "&amp;J53</f>
        <v>다음 편: 20년 만의 귀향</v>
      </c>
    </row>
    <row r="53" customFormat="false" ht="15" hidden="false" customHeight="false" outlineLevel="0" collapsed="false">
      <c r="A53" s="20" t="n">
        <v>52</v>
      </c>
      <c r="B53" s="20" t="s">
        <v>575</v>
      </c>
      <c r="C53" s="20" t="s">
        <v>576</v>
      </c>
      <c r="D53" s="20" t="s">
        <v>520</v>
      </c>
      <c r="E53" s="21" t="s">
        <v>521</v>
      </c>
      <c r="F53" s="22" t="s">
        <v>88</v>
      </c>
      <c r="G53" s="22" t="s">
        <v>89</v>
      </c>
      <c r="H53" s="21" t="s">
        <v>577</v>
      </c>
      <c r="I53" s="23" t="s">
        <v>91</v>
      </c>
      <c r="J53" s="28" t="s">
        <v>578</v>
      </c>
      <c r="K53" s="24" t="s">
        <v>579</v>
      </c>
      <c r="L53" s="24" t="s">
        <v>580</v>
      </c>
      <c r="M53" s="24" t="s">
        <v>581</v>
      </c>
      <c r="N53" s="24" t="s">
        <v>582</v>
      </c>
      <c r="O53" s="24" t="s">
        <v>583</v>
      </c>
      <c r="P53" s="25" t="s">
        <v>584</v>
      </c>
      <c r="Q53" s="28" t="str">
        <f aca="false">"["&amp;안내!$C$5&amp;" "&amp;C53&amp;"] "&amp;J53&amp;" | "&amp;H53</f>
        <v>[1분 성경 #0052] 20년 만의 귀향 | 창 31:1-21</v>
      </c>
      <c r="R53" s="23" t="n">
        <f aca="false">INT((A53-1)/안내!$C$9)+1</f>
        <v>11</v>
      </c>
      <c r="S53" s="26" t="n">
        <f aca="false">안내!$C$10+(R53-1)*7+MOD(A53-1,안내!$C$9)</f>
        <v>46462</v>
      </c>
      <c r="T53" s="23" t="s">
        <v>99</v>
      </c>
      <c r="U53" s="23" t="s">
        <v>99</v>
      </c>
      <c r="V53" s="23" t="s">
        <v>99</v>
      </c>
      <c r="W53" s="23" t="s">
        <v>99</v>
      </c>
      <c r="X53" s="28"/>
      <c r="Y53" s="28" t="str">
        <f aca="false">"다음 편: "&amp;J54</f>
        <v>다음 편: 미스바</v>
      </c>
    </row>
    <row r="54" customFormat="false" ht="26.85" hidden="false" customHeight="false" outlineLevel="0" collapsed="false">
      <c r="A54" s="20" t="n">
        <v>53</v>
      </c>
      <c r="B54" s="20" t="s">
        <v>585</v>
      </c>
      <c r="C54" s="20" t="s">
        <v>586</v>
      </c>
      <c r="D54" s="20" t="s">
        <v>520</v>
      </c>
      <c r="E54" s="21" t="s">
        <v>521</v>
      </c>
      <c r="F54" s="22" t="s">
        <v>88</v>
      </c>
      <c r="G54" s="22" t="s">
        <v>89</v>
      </c>
      <c r="H54" s="21" t="s">
        <v>587</v>
      </c>
      <c r="I54" s="23" t="s">
        <v>91</v>
      </c>
      <c r="J54" s="24" t="s">
        <v>588</v>
      </c>
      <c r="K54" s="24" t="s">
        <v>589</v>
      </c>
      <c r="L54" s="24" t="s">
        <v>590</v>
      </c>
      <c r="M54" s="24" t="s">
        <v>591</v>
      </c>
      <c r="N54" s="24" t="s">
        <v>572</v>
      </c>
      <c r="O54" s="24" t="s">
        <v>592</v>
      </c>
      <c r="P54" s="28"/>
      <c r="Q54" s="28" t="str">
        <f aca="false">"["&amp;안내!$C$5&amp;" "&amp;C54&amp;"] "&amp;J54&amp;" | "&amp;H54</f>
        <v>[1분 성경 #0053] 미스바 | 창 31:22-55</v>
      </c>
      <c r="R54" s="23" t="n">
        <f aca="false">INT((A54-1)/안내!$C$9)+1</f>
        <v>11</v>
      </c>
      <c r="S54" s="26" t="n">
        <f aca="false">안내!$C$10+(R54-1)*7+MOD(A54-1,안내!$C$9)</f>
        <v>46463</v>
      </c>
      <c r="T54" s="23" t="s">
        <v>99</v>
      </c>
      <c r="U54" s="23" t="s">
        <v>99</v>
      </c>
      <c r="V54" s="23" t="s">
        <v>99</v>
      </c>
      <c r="W54" s="23" t="s">
        <v>99</v>
      </c>
      <c r="X54" s="28"/>
      <c r="Y54" s="28" t="str">
        <f aca="false">"다음 편: "&amp;J55</f>
        <v>다음 편: 형이 400명을 데리고 온다</v>
      </c>
    </row>
    <row r="55" customFormat="false" ht="26.85" hidden="false" customHeight="false" outlineLevel="0" collapsed="false">
      <c r="A55" s="20" t="n">
        <v>54</v>
      </c>
      <c r="B55" s="20" t="s">
        <v>593</v>
      </c>
      <c r="C55" s="20" t="s">
        <v>594</v>
      </c>
      <c r="D55" s="20" t="s">
        <v>595</v>
      </c>
      <c r="E55" s="21" t="s">
        <v>596</v>
      </c>
      <c r="F55" s="22" t="s">
        <v>88</v>
      </c>
      <c r="G55" s="22" t="s">
        <v>89</v>
      </c>
      <c r="H55" s="21" t="s">
        <v>597</v>
      </c>
      <c r="I55" s="23" t="s">
        <v>91</v>
      </c>
      <c r="J55" s="24" t="s">
        <v>598</v>
      </c>
      <c r="K55" s="28" t="s">
        <v>599</v>
      </c>
      <c r="L55" s="24" t="s">
        <v>600</v>
      </c>
      <c r="M55" s="24" t="s">
        <v>601</v>
      </c>
      <c r="N55" s="24" t="s">
        <v>602</v>
      </c>
      <c r="O55" s="24" t="s">
        <v>603</v>
      </c>
      <c r="P55" s="28"/>
      <c r="Q55" s="28" t="str">
        <f aca="false">"["&amp;안내!$C$5&amp;" "&amp;C55&amp;"] "&amp;J55&amp;" | "&amp;H55</f>
        <v>[1분 성경 #0054] 형이 400명을 데리고 온다 | 창 32:1-21</v>
      </c>
      <c r="R55" s="23" t="n">
        <f aca="false">INT((A55-1)/안내!$C$9)+1</f>
        <v>11</v>
      </c>
      <c r="S55" s="26" t="n">
        <f aca="false">안내!$C$10+(R55-1)*7+MOD(A55-1,안내!$C$9)</f>
        <v>46464</v>
      </c>
      <c r="T55" s="23" t="s">
        <v>99</v>
      </c>
      <c r="U55" s="23" t="s">
        <v>99</v>
      </c>
      <c r="V55" s="23" t="s">
        <v>99</v>
      </c>
      <c r="W55" s="23" t="s">
        <v>99</v>
      </c>
      <c r="X55" s="28"/>
      <c r="Y55" s="28" t="str">
        <f aca="false">"다음 편: "&amp;J56</f>
        <v>다음 편: 얍복강의 씨름</v>
      </c>
    </row>
    <row r="56" customFormat="false" ht="26.85" hidden="false" customHeight="false" outlineLevel="0" collapsed="false">
      <c r="A56" s="20" t="n">
        <v>55</v>
      </c>
      <c r="B56" s="20" t="s">
        <v>604</v>
      </c>
      <c r="C56" s="20" t="s">
        <v>605</v>
      </c>
      <c r="D56" s="20" t="s">
        <v>595</v>
      </c>
      <c r="E56" s="21" t="s">
        <v>596</v>
      </c>
      <c r="F56" s="22" t="s">
        <v>88</v>
      </c>
      <c r="G56" s="22" t="s">
        <v>89</v>
      </c>
      <c r="H56" s="21" t="s">
        <v>606</v>
      </c>
      <c r="I56" s="23" t="s">
        <v>91</v>
      </c>
      <c r="J56" s="24" t="s">
        <v>607</v>
      </c>
      <c r="K56" s="24" t="s">
        <v>608</v>
      </c>
      <c r="L56" s="24" t="s">
        <v>609</v>
      </c>
      <c r="M56" s="24" t="s">
        <v>610</v>
      </c>
      <c r="N56" s="24" t="s">
        <v>611</v>
      </c>
      <c r="O56" s="24" t="s">
        <v>612</v>
      </c>
      <c r="P56" s="25" t="s">
        <v>613</v>
      </c>
      <c r="Q56" s="28" t="str">
        <f aca="false">"["&amp;안내!$C$5&amp;" "&amp;C56&amp;"] "&amp;J56&amp;" | "&amp;H56</f>
        <v>[1분 성경 #0055] 얍복강의 씨름 | 창 32:22-32</v>
      </c>
      <c r="R56" s="23" t="n">
        <f aca="false">INT((A56-1)/안내!$C$9)+1</f>
        <v>11</v>
      </c>
      <c r="S56" s="26" t="n">
        <f aca="false">안내!$C$10+(R56-1)*7+MOD(A56-1,안내!$C$9)</f>
        <v>46465</v>
      </c>
      <c r="T56" s="23" t="s">
        <v>99</v>
      </c>
      <c r="U56" s="23" t="s">
        <v>99</v>
      </c>
      <c r="V56" s="23" t="s">
        <v>99</v>
      </c>
      <c r="W56" s="23" t="s">
        <v>99</v>
      </c>
      <c r="X56" s="28"/>
      <c r="Y56" s="28" t="str">
        <f aca="false">"다음 편: "&amp;J57</f>
        <v>다음 편: 형이 달려와 끌어안다</v>
      </c>
    </row>
    <row r="57" customFormat="false" ht="25.35" hidden="false" customHeight="false" outlineLevel="0" collapsed="false">
      <c r="A57" s="20" t="n">
        <v>56</v>
      </c>
      <c r="B57" s="20" t="s">
        <v>614</v>
      </c>
      <c r="C57" s="20" t="s">
        <v>615</v>
      </c>
      <c r="D57" s="20" t="s">
        <v>595</v>
      </c>
      <c r="E57" s="21" t="s">
        <v>596</v>
      </c>
      <c r="F57" s="22" t="s">
        <v>88</v>
      </c>
      <c r="G57" s="22" t="s">
        <v>89</v>
      </c>
      <c r="H57" s="21" t="s">
        <v>616</v>
      </c>
      <c r="I57" s="23" t="s">
        <v>91</v>
      </c>
      <c r="J57" s="24" t="s">
        <v>617</v>
      </c>
      <c r="K57" s="24" t="s">
        <v>618</v>
      </c>
      <c r="L57" s="24" t="s">
        <v>619</v>
      </c>
      <c r="M57" s="24" t="s">
        <v>620</v>
      </c>
      <c r="N57" s="24" t="s">
        <v>621</v>
      </c>
      <c r="O57" s="24" t="s">
        <v>622</v>
      </c>
      <c r="P57" s="28"/>
      <c r="Q57" s="28" t="str">
        <f aca="false">"["&amp;안내!$C$5&amp;" "&amp;C57&amp;"] "&amp;J57&amp;" | "&amp;H57</f>
        <v>[1분 성경 #0056] 형이 달려와 끌어안다 | 창 33:1-20</v>
      </c>
      <c r="R57" s="23" t="n">
        <f aca="false">INT((A57-1)/안내!$C$9)+1</f>
        <v>12</v>
      </c>
      <c r="S57" s="26" t="n">
        <f aca="false">안내!$C$10+(R57-1)*7+MOD(A57-1,안내!$C$9)</f>
        <v>46468</v>
      </c>
      <c r="T57" s="23" t="s">
        <v>99</v>
      </c>
      <c r="U57" s="23" t="s">
        <v>99</v>
      </c>
      <c r="V57" s="23" t="s">
        <v>99</v>
      </c>
      <c r="W57" s="23" t="s">
        <v>99</v>
      </c>
      <c r="X57" s="28"/>
      <c r="Y57" s="28" t="str">
        <f aca="false">"다음 편: "&amp;J58</f>
        <v>다음 편: 세겜의 비극</v>
      </c>
    </row>
    <row r="58" customFormat="false" ht="26.85" hidden="false" customHeight="false" outlineLevel="0" collapsed="false">
      <c r="A58" s="20" t="n">
        <v>57</v>
      </c>
      <c r="B58" s="20" t="s">
        <v>623</v>
      </c>
      <c r="C58" s="20" t="s">
        <v>624</v>
      </c>
      <c r="D58" s="20" t="s">
        <v>595</v>
      </c>
      <c r="E58" s="21" t="s">
        <v>596</v>
      </c>
      <c r="F58" s="22" t="s">
        <v>88</v>
      </c>
      <c r="G58" s="22" t="s">
        <v>89</v>
      </c>
      <c r="H58" s="21" t="s">
        <v>625</v>
      </c>
      <c r="I58" s="23" t="s">
        <v>91</v>
      </c>
      <c r="J58" s="24" t="s">
        <v>626</v>
      </c>
      <c r="K58" s="24" t="s">
        <v>627</v>
      </c>
      <c r="L58" s="24" t="s">
        <v>628</v>
      </c>
      <c r="M58" s="24" t="s">
        <v>629</v>
      </c>
      <c r="N58" s="24" t="s">
        <v>630</v>
      </c>
      <c r="O58" s="24" t="s">
        <v>631</v>
      </c>
      <c r="P58" s="25" t="s">
        <v>632</v>
      </c>
      <c r="Q58" s="28" t="str">
        <f aca="false">"["&amp;안내!$C$5&amp;" "&amp;C58&amp;"] "&amp;J58&amp;" | "&amp;H58</f>
        <v>[1분 성경 #0057] 세겜의 비극 | 창 34:1-31</v>
      </c>
      <c r="R58" s="23" t="n">
        <f aca="false">INT((A58-1)/안내!$C$9)+1</f>
        <v>12</v>
      </c>
      <c r="S58" s="26" t="n">
        <f aca="false">안내!$C$10+(R58-1)*7+MOD(A58-1,안내!$C$9)</f>
        <v>46469</v>
      </c>
      <c r="T58" s="23" t="s">
        <v>99</v>
      </c>
      <c r="U58" s="23" t="s">
        <v>99</v>
      </c>
      <c r="V58" s="23" t="s">
        <v>99</v>
      </c>
      <c r="W58" s="23" t="s">
        <v>99</v>
      </c>
      <c r="X58" s="28"/>
      <c r="Y58" s="28" t="str">
        <f aca="false">"다음 편: "&amp;J59</f>
        <v>다음 편: 다시 벧엘로</v>
      </c>
    </row>
    <row r="59" customFormat="false" ht="26.85" hidden="false" customHeight="false" outlineLevel="0" collapsed="false">
      <c r="A59" s="20" t="n">
        <v>58</v>
      </c>
      <c r="B59" s="20" t="s">
        <v>633</v>
      </c>
      <c r="C59" s="20" t="s">
        <v>634</v>
      </c>
      <c r="D59" s="20" t="s">
        <v>595</v>
      </c>
      <c r="E59" s="21" t="s">
        <v>596</v>
      </c>
      <c r="F59" s="22" t="s">
        <v>88</v>
      </c>
      <c r="G59" s="22" t="s">
        <v>89</v>
      </c>
      <c r="H59" s="21" t="s">
        <v>635</v>
      </c>
      <c r="I59" s="23" t="s">
        <v>91</v>
      </c>
      <c r="J59" s="24" t="s">
        <v>636</v>
      </c>
      <c r="K59" s="24" t="s">
        <v>637</v>
      </c>
      <c r="L59" s="24" t="s">
        <v>638</v>
      </c>
      <c r="M59" s="24" t="s">
        <v>639</v>
      </c>
      <c r="N59" s="24" t="s">
        <v>640</v>
      </c>
      <c r="O59" s="24" t="s">
        <v>641</v>
      </c>
      <c r="P59" s="28"/>
      <c r="Q59" s="28" t="str">
        <f aca="false">"["&amp;안내!$C$5&amp;" "&amp;C59&amp;"] "&amp;J59&amp;" | "&amp;H59</f>
        <v>[1분 성경 #0058] 다시 벧엘로 | 창 35:1-15</v>
      </c>
      <c r="R59" s="23" t="n">
        <f aca="false">INT((A59-1)/안내!$C$9)+1</f>
        <v>12</v>
      </c>
      <c r="S59" s="26" t="n">
        <f aca="false">안내!$C$10+(R59-1)*7+MOD(A59-1,안내!$C$9)</f>
        <v>46470</v>
      </c>
      <c r="T59" s="23" t="s">
        <v>99</v>
      </c>
      <c r="U59" s="23" t="s">
        <v>99</v>
      </c>
      <c r="V59" s="23" t="s">
        <v>99</v>
      </c>
      <c r="W59" s="23" t="s">
        <v>99</v>
      </c>
      <c r="X59" s="28"/>
      <c r="Y59" s="28" t="str">
        <f aca="false">"다음 편: "&amp;J60</f>
        <v>다음 편: 라헬과 이삭의 죽음</v>
      </c>
    </row>
    <row r="60" customFormat="false" ht="26.85" hidden="false" customHeight="false" outlineLevel="0" collapsed="false">
      <c r="A60" s="20" t="n">
        <v>59</v>
      </c>
      <c r="B60" s="20" t="s">
        <v>642</v>
      </c>
      <c r="C60" s="20" t="s">
        <v>643</v>
      </c>
      <c r="D60" s="20" t="s">
        <v>595</v>
      </c>
      <c r="E60" s="21" t="s">
        <v>596</v>
      </c>
      <c r="F60" s="22" t="s">
        <v>88</v>
      </c>
      <c r="G60" s="22" t="s">
        <v>89</v>
      </c>
      <c r="H60" s="21" t="s">
        <v>644</v>
      </c>
      <c r="I60" s="23" t="s">
        <v>91</v>
      </c>
      <c r="J60" s="24" t="s">
        <v>645</v>
      </c>
      <c r="K60" s="24" t="s">
        <v>646</v>
      </c>
      <c r="L60" s="24" t="s">
        <v>647</v>
      </c>
      <c r="M60" s="24" t="s">
        <v>648</v>
      </c>
      <c r="N60" s="24" t="s">
        <v>649</v>
      </c>
      <c r="O60" s="24" t="s">
        <v>650</v>
      </c>
      <c r="P60" s="28"/>
      <c r="Q60" s="28" t="str">
        <f aca="false">"["&amp;안내!$C$5&amp;" "&amp;C60&amp;"] "&amp;J60&amp;" | "&amp;H60</f>
        <v>[1분 성경 #0059] 라헬과 이삭의 죽음 | 창 35:16-29</v>
      </c>
      <c r="R60" s="23" t="n">
        <f aca="false">INT((A60-1)/안내!$C$9)+1</f>
        <v>12</v>
      </c>
      <c r="S60" s="26" t="n">
        <f aca="false">안내!$C$10+(R60-1)*7+MOD(A60-1,안내!$C$9)</f>
        <v>46471</v>
      </c>
      <c r="T60" s="23" t="s">
        <v>99</v>
      </c>
      <c r="U60" s="23" t="s">
        <v>99</v>
      </c>
      <c r="V60" s="23" t="s">
        <v>99</v>
      </c>
      <c r="W60" s="23" t="s">
        <v>99</v>
      </c>
      <c r="X60" s="28"/>
      <c r="Y60" s="28" t="str">
        <f aca="false">"다음 편: "&amp;J61</f>
        <v>다음 편: 에서의 후손</v>
      </c>
    </row>
    <row r="61" customFormat="false" ht="26.85" hidden="false" customHeight="false" outlineLevel="0" collapsed="false">
      <c r="A61" s="20" t="n">
        <v>60</v>
      </c>
      <c r="B61" s="20" t="s">
        <v>651</v>
      </c>
      <c r="C61" s="20" t="s">
        <v>652</v>
      </c>
      <c r="D61" s="20" t="s">
        <v>595</v>
      </c>
      <c r="E61" s="21" t="s">
        <v>596</v>
      </c>
      <c r="F61" s="22" t="s">
        <v>88</v>
      </c>
      <c r="G61" s="22" t="s">
        <v>89</v>
      </c>
      <c r="H61" s="21" t="s">
        <v>653</v>
      </c>
      <c r="I61" s="23" t="s">
        <v>91</v>
      </c>
      <c r="J61" s="24" t="s">
        <v>654</v>
      </c>
      <c r="K61" s="24" t="s">
        <v>655</v>
      </c>
      <c r="L61" s="24" t="s">
        <v>656</v>
      </c>
      <c r="M61" s="24" t="s">
        <v>657</v>
      </c>
      <c r="N61" s="24" t="s">
        <v>658</v>
      </c>
      <c r="O61" s="24" t="s">
        <v>659</v>
      </c>
      <c r="P61" s="28"/>
      <c r="Q61" s="28" t="str">
        <f aca="false">"["&amp;안내!$C$5&amp;" "&amp;C61&amp;"] "&amp;J61&amp;" | "&amp;H61</f>
        <v>[1분 성경 #0060] 에서의 후손 | 창 36:1-43</v>
      </c>
      <c r="R61" s="23" t="n">
        <f aca="false">INT((A61-1)/안내!$C$9)+1</f>
        <v>12</v>
      </c>
      <c r="S61" s="26" t="n">
        <f aca="false">안내!$C$10+(R61-1)*7+MOD(A61-1,안내!$C$9)</f>
        <v>46472</v>
      </c>
      <c r="T61" s="23" t="s">
        <v>99</v>
      </c>
      <c r="U61" s="23" t="s">
        <v>99</v>
      </c>
      <c r="V61" s="23" t="s">
        <v>99</v>
      </c>
      <c r="W61" s="23" t="s">
        <v>99</v>
      </c>
      <c r="X61" s="28"/>
      <c r="Y61" s="28" t="str">
        <f aca="false">"다음 편: "&amp;J62</f>
        <v>다음 편: 꿈꾸는 소년</v>
      </c>
    </row>
    <row r="62" customFormat="false" ht="26.85" hidden="false" customHeight="false" outlineLevel="0" collapsed="false">
      <c r="A62" s="20" t="n">
        <v>61</v>
      </c>
      <c r="B62" s="20" t="s">
        <v>660</v>
      </c>
      <c r="C62" s="20" t="s">
        <v>661</v>
      </c>
      <c r="D62" s="20" t="s">
        <v>662</v>
      </c>
      <c r="E62" s="21" t="s">
        <v>663</v>
      </c>
      <c r="F62" s="22" t="s">
        <v>88</v>
      </c>
      <c r="G62" s="22" t="s">
        <v>89</v>
      </c>
      <c r="H62" s="21" t="s">
        <v>664</v>
      </c>
      <c r="I62" s="23" t="s">
        <v>91</v>
      </c>
      <c r="J62" s="24" t="s">
        <v>665</v>
      </c>
      <c r="K62" s="24" t="s">
        <v>666</v>
      </c>
      <c r="L62" s="24" t="s">
        <v>667</v>
      </c>
      <c r="M62" s="24" t="s">
        <v>668</v>
      </c>
      <c r="N62" s="24" t="s">
        <v>669</v>
      </c>
      <c r="O62" s="24" t="s">
        <v>670</v>
      </c>
      <c r="P62" s="28"/>
      <c r="Q62" s="28" t="str">
        <f aca="false">"["&amp;안내!$C$5&amp;" "&amp;C62&amp;"] "&amp;J62&amp;" | "&amp;H62</f>
        <v>[1분 성경 #0061] 꿈꾸는 소년 | 창 37:1-11</v>
      </c>
      <c r="R62" s="23" t="n">
        <f aca="false">INT((A62-1)/안내!$C$9)+1</f>
        <v>13</v>
      </c>
      <c r="S62" s="26" t="n">
        <f aca="false">안내!$C$10+(R62-1)*7+MOD(A62-1,안내!$C$9)</f>
        <v>46475</v>
      </c>
      <c r="T62" s="23" t="s">
        <v>99</v>
      </c>
      <c r="U62" s="23" t="s">
        <v>99</v>
      </c>
      <c r="V62" s="23" t="s">
        <v>99</v>
      </c>
      <c r="W62" s="23" t="s">
        <v>99</v>
      </c>
      <c r="X62" s="28"/>
      <c r="Y62" s="28" t="str">
        <f aca="false">"다음 편: "&amp;J63</f>
        <v>다음 편: 은 20개에 팔리다</v>
      </c>
    </row>
    <row r="63" customFormat="false" ht="26.85" hidden="false" customHeight="false" outlineLevel="0" collapsed="false">
      <c r="A63" s="20" t="n">
        <v>62</v>
      </c>
      <c r="B63" s="20" t="s">
        <v>671</v>
      </c>
      <c r="C63" s="20" t="s">
        <v>672</v>
      </c>
      <c r="D63" s="20" t="s">
        <v>662</v>
      </c>
      <c r="E63" s="21" t="s">
        <v>663</v>
      </c>
      <c r="F63" s="22" t="s">
        <v>88</v>
      </c>
      <c r="G63" s="22" t="s">
        <v>89</v>
      </c>
      <c r="H63" s="21" t="s">
        <v>673</v>
      </c>
      <c r="I63" s="23" t="s">
        <v>91</v>
      </c>
      <c r="J63" s="24" t="s">
        <v>674</v>
      </c>
      <c r="K63" s="24" t="s">
        <v>675</v>
      </c>
      <c r="L63" s="24" t="s">
        <v>676</v>
      </c>
      <c r="M63" s="24" t="s">
        <v>677</v>
      </c>
      <c r="N63" s="24" t="s">
        <v>678</v>
      </c>
      <c r="O63" s="24" t="s">
        <v>679</v>
      </c>
      <c r="P63" s="28"/>
      <c r="Q63" s="28" t="str">
        <f aca="false">"["&amp;안내!$C$5&amp;" "&amp;C63&amp;"] "&amp;J63&amp;" | "&amp;H63</f>
        <v>[1분 성경 #0062] 은 20개에 팔리다 | 창 37:12-36</v>
      </c>
      <c r="R63" s="23" t="n">
        <f aca="false">INT((A63-1)/안내!$C$9)+1</f>
        <v>13</v>
      </c>
      <c r="S63" s="26" t="n">
        <f aca="false">안내!$C$10+(R63-1)*7+MOD(A63-1,안내!$C$9)</f>
        <v>46476</v>
      </c>
      <c r="T63" s="23" t="s">
        <v>99</v>
      </c>
      <c r="U63" s="23" t="s">
        <v>99</v>
      </c>
      <c r="V63" s="23" t="s">
        <v>99</v>
      </c>
      <c r="W63" s="23" t="s">
        <v>99</v>
      </c>
      <c r="X63" s="28"/>
      <c r="Y63" s="28" t="str">
        <f aca="false">"다음 편: "&amp;J64</f>
        <v>다음 편: 유다와 다말</v>
      </c>
    </row>
    <row r="64" customFormat="false" ht="26.85" hidden="false" customHeight="false" outlineLevel="0" collapsed="false">
      <c r="A64" s="20" t="n">
        <v>63</v>
      </c>
      <c r="B64" s="20" t="s">
        <v>680</v>
      </c>
      <c r="C64" s="20" t="s">
        <v>681</v>
      </c>
      <c r="D64" s="20" t="s">
        <v>662</v>
      </c>
      <c r="E64" s="21" t="s">
        <v>663</v>
      </c>
      <c r="F64" s="22" t="s">
        <v>88</v>
      </c>
      <c r="G64" s="22" t="s">
        <v>89</v>
      </c>
      <c r="H64" s="21" t="s">
        <v>682</v>
      </c>
      <c r="I64" s="23" t="s">
        <v>91</v>
      </c>
      <c r="J64" s="24" t="s">
        <v>683</v>
      </c>
      <c r="K64" s="24" t="s">
        <v>684</v>
      </c>
      <c r="L64" s="24" t="s">
        <v>685</v>
      </c>
      <c r="M64" s="24" t="s">
        <v>686</v>
      </c>
      <c r="N64" s="24" t="s">
        <v>687</v>
      </c>
      <c r="O64" s="24" t="s">
        <v>688</v>
      </c>
      <c r="P64" s="25" t="s">
        <v>689</v>
      </c>
      <c r="Q64" s="28" t="str">
        <f aca="false">"["&amp;안내!$C$5&amp;" "&amp;C64&amp;"] "&amp;J64&amp;" | "&amp;H64</f>
        <v>[1분 성경 #0063] 유다와 다말 | 창 38:1-30</v>
      </c>
      <c r="R64" s="23" t="n">
        <f aca="false">INT((A64-1)/안내!$C$9)+1</f>
        <v>13</v>
      </c>
      <c r="S64" s="26" t="n">
        <f aca="false">안내!$C$10+(R64-1)*7+MOD(A64-1,안내!$C$9)</f>
        <v>46477</v>
      </c>
      <c r="T64" s="23" t="s">
        <v>99</v>
      </c>
      <c r="U64" s="23" t="s">
        <v>99</v>
      </c>
      <c r="V64" s="23" t="s">
        <v>99</v>
      </c>
      <c r="W64" s="23" t="s">
        <v>99</v>
      </c>
      <c r="X64" s="28"/>
      <c r="Y64" s="28" t="str">
        <f aca="false">"다음 편: "&amp;J65</f>
        <v>다음 편: 아무도 없는 집에서</v>
      </c>
    </row>
    <row r="65" customFormat="false" ht="26.85" hidden="false" customHeight="false" outlineLevel="0" collapsed="false">
      <c r="A65" s="20" t="n">
        <v>64</v>
      </c>
      <c r="B65" s="20" t="s">
        <v>690</v>
      </c>
      <c r="C65" s="20" t="s">
        <v>691</v>
      </c>
      <c r="D65" s="20" t="s">
        <v>662</v>
      </c>
      <c r="E65" s="21" t="s">
        <v>663</v>
      </c>
      <c r="F65" s="22" t="s">
        <v>88</v>
      </c>
      <c r="G65" s="22" t="s">
        <v>89</v>
      </c>
      <c r="H65" s="21" t="s">
        <v>692</v>
      </c>
      <c r="I65" s="23" t="s">
        <v>91</v>
      </c>
      <c r="J65" s="24" t="s">
        <v>693</v>
      </c>
      <c r="K65" s="24" t="s">
        <v>694</v>
      </c>
      <c r="L65" s="24" t="s">
        <v>695</v>
      </c>
      <c r="M65" s="24" t="s">
        <v>696</v>
      </c>
      <c r="N65" s="24" t="s">
        <v>697</v>
      </c>
      <c r="O65" s="24" t="s">
        <v>698</v>
      </c>
      <c r="P65" s="25" t="s">
        <v>699</v>
      </c>
      <c r="Q65" s="28" t="str">
        <f aca="false">"["&amp;안내!$C$5&amp;" "&amp;C65&amp;"] "&amp;J65&amp;" | "&amp;H65</f>
        <v>[1분 성경 #0064] 아무도 없는 집에서 | 창 39:1-23</v>
      </c>
      <c r="R65" s="23" t="n">
        <f aca="false">INT((A65-1)/안내!$C$9)+1</f>
        <v>13</v>
      </c>
      <c r="S65" s="26" t="n">
        <f aca="false">안내!$C$10+(R65-1)*7+MOD(A65-1,안내!$C$9)</f>
        <v>46478</v>
      </c>
      <c r="T65" s="23" t="s">
        <v>99</v>
      </c>
      <c r="U65" s="23" t="s">
        <v>99</v>
      </c>
      <c r="V65" s="23" t="s">
        <v>99</v>
      </c>
      <c r="W65" s="23" t="s">
        <v>99</v>
      </c>
      <c r="X65" s="28"/>
      <c r="Y65" s="28" t="str">
        <f aca="false">"다음 편: "&amp;J66</f>
        <v>다음 편: 감옥의 두 꿈</v>
      </c>
    </row>
    <row r="66" customFormat="false" ht="26.85" hidden="false" customHeight="false" outlineLevel="0" collapsed="false">
      <c r="A66" s="20" t="n">
        <v>65</v>
      </c>
      <c r="B66" s="20" t="s">
        <v>700</v>
      </c>
      <c r="C66" s="20" t="s">
        <v>701</v>
      </c>
      <c r="D66" s="20" t="s">
        <v>662</v>
      </c>
      <c r="E66" s="21" t="s">
        <v>663</v>
      </c>
      <c r="F66" s="22" t="s">
        <v>88</v>
      </c>
      <c r="G66" s="22" t="s">
        <v>89</v>
      </c>
      <c r="H66" s="21" t="s">
        <v>702</v>
      </c>
      <c r="I66" s="23" t="s">
        <v>91</v>
      </c>
      <c r="J66" s="24" t="s">
        <v>703</v>
      </c>
      <c r="K66" s="24" t="s">
        <v>704</v>
      </c>
      <c r="L66" s="24" t="s">
        <v>705</v>
      </c>
      <c r="M66" s="24" t="s">
        <v>706</v>
      </c>
      <c r="N66" s="24" t="s">
        <v>707</v>
      </c>
      <c r="O66" s="24" t="s">
        <v>708</v>
      </c>
      <c r="P66" s="25" t="s">
        <v>709</v>
      </c>
      <c r="Q66" s="28" t="str">
        <f aca="false">"["&amp;안내!$C$5&amp;" "&amp;C66&amp;"] "&amp;J66&amp;" | "&amp;H66</f>
        <v>[1분 성경 #0065] 감옥의 두 꿈 | 창 40:1-23</v>
      </c>
      <c r="R66" s="23" t="n">
        <f aca="false">INT((A66-1)/안내!$C$9)+1</f>
        <v>13</v>
      </c>
      <c r="S66" s="26" t="n">
        <f aca="false">안내!$C$10+(R66-1)*7+MOD(A66-1,안내!$C$9)</f>
        <v>46479</v>
      </c>
      <c r="T66" s="23" t="s">
        <v>99</v>
      </c>
      <c r="U66" s="23" t="s">
        <v>99</v>
      </c>
      <c r="V66" s="23" t="s">
        <v>99</v>
      </c>
      <c r="W66" s="23" t="s">
        <v>99</v>
      </c>
      <c r="X66" s="28"/>
      <c r="Y66" s="28" t="str">
        <f aca="false">"다음 편: "&amp;J67</f>
        <v>다음 편: 살진 소와 마른 소</v>
      </c>
    </row>
    <row r="67" customFormat="false" ht="26.85" hidden="false" customHeight="false" outlineLevel="0" collapsed="false">
      <c r="A67" s="20" t="n">
        <v>66</v>
      </c>
      <c r="B67" s="20" t="s">
        <v>710</v>
      </c>
      <c r="C67" s="20" t="s">
        <v>711</v>
      </c>
      <c r="D67" s="20" t="s">
        <v>662</v>
      </c>
      <c r="E67" s="21" t="s">
        <v>663</v>
      </c>
      <c r="F67" s="22" t="s">
        <v>88</v>
      </c>
      <c r="G67" s="22" t="s">
        <v>89</v>
      </c>
      <c r="H67" s="21" t="s">
        <v>712</v>
      </c>
      <c r="I67" s="23" t="s">
        <v>91</v>
      </c>
      <c r="J67" s="24" t="s">
        <v>713</v>
      </c>
      <c r="K67" s="24" t="s">
        <v>714</v>
      </c>
      <c r="L67" s="24" t="s">
        <v>715</v>
      </c>
      <c r="M67" s="24" t="s">
        <v>716</v>
      </c>
      <c r="N67" s="24" t="s">
        <v>717</v>
      </c>
      <c r="O67" s="24" t="s">
        <v>718</v>
      </c>
      <c r="P67" s="28"/>
      <c r="Q67" s="28" t="str">
        <f aca="false">"["&amp;안내!$C$5&amp;" "&amp;C67&amp;"] "&amp;J67&amp;" | "&amp;H67</f>
        <v>[1분 성경 #0066] 살진 소와 마른 소 | 창 41:1-36</v>
      </c>
      <c r="R67" s="23" t="n">
        <f aca="false">INT((A67-1)/안내!$C$9)+1</f>
        <v>14</v>
      </c>
      <c r="S67" s="26" t="n">
        <f aca="false">안내!$C$10+(R67-1)*7+MOD(A67-1,안내!$C$9)</f>
        <v>46482</v>
      </c>
      <c r="T67" s="23" t="s">
        <v>99</v>
      </c>
      <c r="U67" s="23" t="s">
        <v>99</v>
      </c>
      <c r="V67" s="23" t="s">
        <v>99</v>
      </c>
      <c r="W67" s="23" t="s">
        <v>99</v>
      </c>
      <c r="X67" s="28"/>
      <c r="Y67" s="28" t="str">
        <f aca="false">"다음 편: "&amp;J68</f>
        <v>다음 편: 하루 만에 총리로</v>
      </c>
    </row>
    <row r="68" customFormat="false" ht="26.85" hidden="false" customHeight="false" outlineLevel="0" collapsed="false">
      <c r="A68" s="20" t="n">
        <v>67</v>
      </c>
      <c r="B68" s="20" t="s">
        <v>719</v>
      </c>
      <c r="C68" s="20" t="s">
        <v>720</v>
      </c>
      <c r="D68" s="20" t="s">
        <v>662</v>
      </c>
      <c r="E68" s="21" t="s">
        <v>663</v>
      </c>
      <c r="F68" s="22" t="s">
        <v>88</v>
      </c>
      <c r="G68" s="22" t="s">
        <v>89</v>
      </c>
      <c r="H68" s="21" t="s">
        <v>721</v>
      </c>
      <c r="I68" s="23" t="s">
        <v>91</v>
      </c>
      <c r="J68" s="24" t="s">
        <v>722</v>
      </c>
      <c r="K68" s="24" t="s">
        <v>723</v>
      </c>
      <c r="L68" s="24" t="s">
        <v>724</v>
      </c>
      <c r="M68" s="24" t="s">
        <v>725</v>
      </c>
      <c r="N68" s="24" t="s">
        <v>726</v>
      </c>
      <c r="O68" s="24" t="s">
        <v>727</v>
      </c>
      <c r="P68" s="28"/>
      <c r="Q68" s="28" t="str">
        <f aca="false">"["&amp;안내!$C$5&amp;" "&amp;C68&amp;"] "&amp;J68&amp;" | "&amp;H68</f>
        <v>[1분 성경 #0067] 하루 만에 총리로 | 창 41:37-57</v>
      </c>
      <c r="R68" s="23" t="n">
        <f aca="false">INT((A68-1)/안내!$C$9)+1</f>
        <v>14</v>
      </c>
      <c r="S68" s="26" t="n">
        <f aca="false">안내!$C$10+(R68-1)*7+MOD(A68-1,안내!$C$9)</f>
        <v>46483</v>
      </c>
      <c r="T68" s="23" t="s">
        <v>99</v>
      </c>
      <c r="U68" s="23" t="s">
        <v>99</v>
      </c>
      <c r="V68" s="23" t="s">
        <v>99</v>
      </c>
      <c r="W68" s="23" t="s">
        <v>99</v>
      </c>
      <c r="X68" s="28"/>
      <c r="Y68" s="28" t="str">
        <f aca="false">"다음 편: "&amp;J69</f>
        <v>다음 편: 꿈이 이루어지던 날</v>
      </c>
    </row>
    <row r="69" customFormat="false" ht="15" hidden="false" customHeight="false" outlineLevel="0" collapsed="false">
      <c r="A69" s="20" t="n">
        <v>68</v>
      </c>
      <c r="B69" s="20" t="s">
        <v>728</v>
      </c>
      <c r="C69" s="20" t="s">
        <v>729</v>
      </c>
      <c r="D69" s="20" t="s">
        <v>730</v>
      </c>
      <c r="E69" s="21" t="s">
        <v>731</v>
      </c>
      <c r="F69" s="22" t="s">
        <v>88</v>
      </c>
      <c r="G69" s="22" t="s">
        <v>89</v>
      </c>
      <c r="H69" s="21" t="s">
        <v>732</v>
      </c>
      <c r="I69" s="23" t="s">
        <v>91</v>
      </c>
      <c r="J69" s="24" t="s">
        <v>733</v>
      </c>
      <c r="K69" s="24" t="s">
        <v>734</v>
      </c>
      <c r="L69" s="24" t="s">
        <v>735</v>
      </c>
      <c r="M69" s="24" t="s">
        <v>736</v>
      </c>
      <c r="N69" s="24" t="s">
        <v>737</v>
      </c>
      <c r="O69" s="24" t="s">
        <v>738</v>
      </c>
      <c r="P69" s="28"/>
      <c r="Q69" s="28" t="str">
        <f aca="false">"["&amp;안내!$C$5&amp;" "&amp;C69&amp;"] "&amp;J69&amp;" | "&amp;H69</f>
        <v>[1분 성경 #0068] 꿈이 이루어지던 날 | 창 42:1-28</v>
      </c>
      <c r="R69" s="23" t="n">
        <f aca="false">INT((A69-1)/안내!$C$9)+1</f>
        <v>14</v>
      </c>
      <c r="S69" s="26" t="n">
        <f aca="false">안내!$C$10+(R69-1)*7+MOD(A69-1,안내!$C$9)</f>
        <v>46484</v>
      </c>
      <c r="T69" s="23" t="s">
        <v>99</v>
      </c>
      <c r="U69" s="23" t="s">
        <v>99</v>
      </c>
      <c r="V69" s="23" t="s">
        <v>99</v>
      </c>
      <c r="W69" s="23" t="s">
        <v>99</v>
      </c>
      <c r="X69" s="28"/>
      <c r="Y69" s="28" t="str">
        <f aca="false">"다음 편: "&amp;J70</f>
        <v>다음 편: 막내를 데려오라</v>
      </c>
    </row>
    <row r="70" customFormat="false" ht="25.35" hidden="false" customHeight="false" outlineLevel="0" collapsed="false">
      <c r="A70" s="20" t="n">
        <v>69</v>
      </c>
      <c r="B70" s="20" t="s">
        <v>739</v>
      </c>
      <c r="C70" s="20" t="s">
        <v>740</v>
      </c>
      <c r="D70" s="20" t="s">
        <v>730</v>
      </c>
      <c r="E70" s="21" t="s">
        <v>731</v>
      </c>
      <c r="F70" s="22" t="s">
        <v>88</v>
      </c>
      <c r="G70" s="22" t="s">
        <v>89</v>
      </c>
      <c r="H70" s="21" t="s">
        <v>741</v>
      </c>
      <c r="I70" s="23" t="s">
        <v>91</v>
      </c>
      <c r="J70" s="24" t="s">
        <v>742</v>
      </c>
      <c r="K70" s="24" t="s">
        <v>743</v>
      </c>
      <c r="L70" s="24" t="s">
        <v>744</v>
      </c>
      <c r="M70" s="24" t="s">
        <v>745</v>
      </c>
      <c r="N70" s="24" t="s">
        <v>746</v>
      </c>
      <c r="O70" s="24" t="s">
        <v>747</v>
      </c>
      <c r="P70" s="28"/>
      <c r="Q70" s="28" t="str">
        <f aca="false">"["&amp;안내!$C$5&amp;" "&amp;C70&amp;"] "&amp;J70&amp;" | "&amp;H70</f>
        <v>[1분 성경 #0069] 막내를 데려오라 | 창 42:29-43:34</v>
      </c>
      <c r="R70" s="23" t="n">
        <f aca="false">INT((A70-1)/안내!$C$9)+1</f>
        <v>14</v>
      </c>
      <c r="S70" s="26" t="n">
        <f aca="false">안내!$C$10+(R70-1)*7+MOD(A70-1,안내!$C$9)</f>
        <v>46485</v>
      </c>
      <c r="T70" s="23" t="s">
        <v>99</v>
      </c>
      <c r="U70" s="23" t="s">
        <v>99</v>
      </c>
      <c r="V70" s="23" t="s">
        <v>99</v>
      </c>
      <c r="W70" s="23" t="s">
        <v>99</v>
      </c>
      <c r="X70" s="28"/>
      <c r="Y70" s="28" t="str">
        <f aca="false">"다음 편: "&amp;J71</f>
        <v>다음 편: 은잔 사건</v>
      </c>
    </row>
    <row r="71" customFormat="false" ht="26.85" hidden="false" customHeight="false" outlineLevel="0" collapsed="false">
      <c r="A71" s="20" t="n">
        <v>70</v>
      </c>
      <c r="B71" s="20" t="s">
        <v>748</v>
      </c>
      <c r="C71" s="20" t="s">
        <v>749</v>
      </c>
      <c r="D71" s="20" t="s">
        <v>730</v>
      </c>
      <c r="E71" s="21" t="s">
        <v>731</v>
      </c>
      <c r="F71" s="22" t="s">
        <v>88</v>
      </c>
      <c r="G71" s="22" t="s">
        <v>89</v>
      </c>
      <c r="H71" s="21" t="s">
        <v>750</v>
      </c>
      <c r="I71" s="23" t="s">
        <v>91</v>
      </c>
      <c r="J71" s="24" t="s">
        <v>751</v>
      </c>
      <c r="K71" s="24" t="s">
        <v>752</v>
      </c>
      <c r="L71" s="24" t="s">
        <v>753</v>
      </c>
      <c r="M71" s="24" t="s">
        <v>754</v>
      </c>
      <c r="N71" s="24" t="s">
        <v>755</v>
      </c>
      <c r="O71" s="24" t="s">
        <v>756</v>
      </c>
      <c r="P71" s="25" t="s">
        <v>757</v>
      </c>
      <c r="Q71" s="28" t="str">
        <f aca="false">"["&amp;안내!$C$5&amp;" "&amp;C71&amp;"] "&amp;J71&amp;" | "&amp;H71</f>
        <v>[1분 성경 #0070] 은잔 사건 | 창 44:1-34</v>
      </c>
      <c r="R71" s="23" t="n">
        <f aca="false">INT((A71-1)/안내!$C$9)+1</f>
        <v>14</v>
      </c>
      <c r="S71" s="26" t="n">
        <f aca="false">안내!$C$10+(R71-1)*7+MOD(A71-1,안내!$C$9)</f>
        <v>46486</v>
      </c>
      <c r="T71" s="23" t="s">
        <v>99</v>
      </c>
      <c r="U71" s="23" t="s">
        <v>99</v>
      </c>
      <c r="V71" s="23" t="s">
        <v>99</v>
      </c>
      <c r="W71" s="23" t="s">
        <v>99</v>
      </c>
      <c r="X71" s="28"/>
      <c r="Y71" s="28" t="str">
        <f aca="false">"다음 편: "&amp;J72</f>
        <v>다음 편: 내가 요셉이라</v>
      </c>
    </row>
    <row r="72" customFormat="false" ht="26.85" hidden="false" customHeight="false" outlineLevel="0" collapsed="false">
      <c r="A72" s="20" t="n">
        <v>71</v>
      </c>
      <c r="B72" s="20" t="s">
        <v>758</v>
      </c>
      <c r="C72" s="20" t="s">
        <v>759</v>
      </c>
      <c r="D72" s="20" t="s">
        <v>730</v>
      </c>
      <c r="E72" s="21" t="s">
        <v>731</v>
      </c>
      <c r="F72" s="22" t="s">
        <v>88</v>
      </c>
      <c r="G72" s="22" t="s">
        <v>89</v>
      </c>
      <c r="H72" s="21" t="s">
        <v>760</v>
      </c>
      <c r="I72" s="23" t="s">
        <v>91</v>
      </c>
      <c r="J72" s="24" t="s">
        <v>761</v>
      </c>
      <c r="K72" s="24" t="s">
        <v>762</v>
      </c>
      <c r="L72" s="24" t="s">
        <v>763</v>
      </c>
      <c r="M72" s="24" t="s">
        <v>764</v>
      </c>
      <c r="N72" s="24" t="s">
        <v>765</v>
      </c>
      <c r="O72" s="24" t="s">
        <v>756</v>
      </c>
      <c r="P72" s="28"/>
      <c r="Q72" s="28" t="str">
        <f aca="false">"["&amp;안내!$C$5&amp;" "&amp;C72&amp;"] "&amp;J72&amp;" | "&amp;H72</f>
        <v>[1분 성경 #0071] 내가 요셉이라 | 창 45:1-15</v>
      </c>
      <c r="R72" s="23" t="n">
        <f aca="false">INT((A72-1)/안내!$C$9)+1</f>
        <v>15</v>
      </c>
      <c r="S72" s="26" t="n">
        <f aca="false">안내!$C$10+(R72-1)*7+MOD(A72-1,안내!$C$9)</f>
        <v>46489</v>
      </c>
      <c r="T72" s="23" t="s">
        <v>99</v>
      </c>
      <c r="U72" s="23" t="s">
        <v>99</v>
      </c>
      <c r="V72" s="23" t="s">
        <v>99</v>
      </c>
      <c r="W72" s="23" t="s">
        <v>99</v>
      </c>
      <c r="X72" s="28"/>
      <c r="Y72" s="28" t="str">
        <f aca="false">"다음 편: "&amp;J73</f>
        <v>다음 편: 요셉이 살아 있다</v>
      </c>
    </row>
    <row r="73" customFormat="false" ht="26.85" hidden="false" customHeight="false" outlineLevel="0" collapsed="false">
      <c r="A73" s="20" t="n">
        <v>72</v>
      </c>
      <c r="B73" s="20" t="s">
        <v>766</v>
      </c>
      <c r="C73" s="20" t="s">
        <v>767</v>
      </c>
      <c r="D73" s="20" t="s">
        <v>730</v>
      </c>
      <c r="E73" s="21" t="s">
        <v>731</v>
      </c>
      <c r="F73" s="22" t="s">
        <v>88</v>
      </c>
      <c r="G73" s="22" t="s">
        <v>89</v>
      </c>
      <c r="H73" s="21" t="s">
        <v>768</v>
      </c>
      <c r="I73" s="23" t="s">
        <v>91</v>
      </c>
      <c r="J73" s="24" t="s">
        <v>769</v>
      </c>
      <c r="K73" s="24" t="s">
        <v>770</v>
      </c>
      <c r="L73" s="24" t="s">
        <v>771</v>
      </c>
      <c r="M73" s="24" t="s">
        <v>772</v>
      </c>
      <c r="N73" s="24" t="s">
        <v>773</v>
      </c>
      <c r="O73" s="24" t="s">
        <v>774</v>
      </c>
      <c r="P73" s="28"/>
      <c r="Q73" s="28" t="str">
        <f aca="false">"["&amp;안내!$C$5&amp;" "&amp;C73&amp;"] "&amp;J73&amp;" | "&amp;H73</f>
        <v>[1분 성경 #0072] 요셉이 살아 있다 | 창 45:16-46:7</v>
      </c>
      <c r="R73" s="23" t="n">
        <f aca="false">INT((A73-1)/안내!$C$9)+1</f>
        <v>15</v>
      </c>
      <c r="S73" s="26" t="n">
        <f aca="false">안내!$C$10+(R73-1)*7+MOD(A73-1,안내!$C$9)</f>
        <v>46490</v>
      </c>
      <c r="T73" s="23" t="s">
        <v>99</v>
      </c>
      <c r="U73" s="23" t="s">
        <v>99</v>
      </c>
      <c r="V73" s="23" t="s">
        <v>99</v>
      </c>
      <c r="W73" s="23" t="s">
        <v>99</v>
      </c>
      <c r="X73" s="28"/>
      <c r="Y73" s="28" t="str">
        <f aca="false">"다음 편: "&amp;J74</f>
        <v>다음 편: 바로를 축복한 노인</v>
      </c>
    </row>
    <row r="74" customFormat="false" ht="25.35" hidden="false" customHeight="false" outlineLevel="0" collapsed="false">
      <c r="A74" s="20" t="n">
        <v>73</v>
      </c>
      <c r="B74" s="20" t="s">
        <v>775</v>
      </c>
      <c r="C74" s="20" t="s">
        <v>776</v>
      </c>
      <c r="D74" s="20" t="s">
        <v>730</v>
      </c>
      <c r="E74" s="21" t="s">
        <v>731</v>
      </c>
      <c r="F74" s="22" t="s">
        <v>88</v>
      </c>
      <c r="G74" s="22" t="s">
        <v>89</v>
      </c>
      <c r="H74" s="21" t="s">
        <v>777</v>
      </c>
      <c r="I74" s="23" t="s">
        <v>91</v>
      </c>
      <c r="J74" s="24" t="s">
        <v>778</v>
      </c>
      <c r="K74" s="28" t="s">
        <v>779</v>
      </c>
      <c r="L74" s="24" t="s">
        <v>780</v>
      </c>
      <c r="M74" s="24" t="s">
        <v>781</v>
      </c>
      <c r="N74" s="24" t="s">
        <v>782</v>
      </c>
      <c r="O74" s="24" t="s">
        <v>783</v>
      </c>
      <c r="P74" s="28"/>
      <c r="Q74" s="28" t="str">
        <f aca="false">"["&amp;안내!$C$5&amp;" "&amp;C74&amp;"] "&amp;J74&amp;" | "&amp;H74</f>
        <v>[1분 성경 #0073] 바로를 축복한 노인 | 창 46:8-47:12</v>
      </c>
      <c r="R74" s="23" t="n">
        <f aca="false">INT((A74-1)/안내!$C$9)+1</f>
        <v>15</v>
      </c>
      <c r="S74" s="26" t="n">
        <f aca="false">안내!$C$10+(R74-1)*7+MOD(A74-1,안내!$C$9)</f>
        <v>46491</v>
      </c>
      <c r="T74" s="23" t="s">
        <v>99</v>
      </c>
      <c r="U74" s="23" t="s">
        <v>99</v>
      </c>
      <c r="V74" s="23" t="s">
        <v>99</v>
      </c>
      <c r="W74" s="23" t="s">
        <v>99</v>
      </c>
      <c r="X74" s="28"/>
      <c r="Y74" s="28" t="str">
        <f aca="false">"다음 편: "&amp;J75</f>
        <v>다음 편: 기근 속의 총리</v>
      </c>
    </row>
    <row r="75" customFormat="false" ht="15" hidden="false" customHeight="false" outlineLevel="0" collapsed="false">
      <c r="A75" s="20" t="n">
        <v>74</v>
      </c>
      <c r="B75" s="20" t="s">
        <v>784</v>
      </c>
      <c r="C75" s="20" t="s">
        <v>785</v>
      </c>
      <c r="D75" s="20" t="s">
        <v>730</v>
      </c>
      <c r="E75" s="21" t="s">
        <v>731</v>
      </c>
      <c r="F75" s="22" t="s">
        <v>88</v>
      </c>
      <c r="G75" s="22" t="s">
        <v>89</v>
      </c>
      <c r="H75" s="21" t="s">
        <v>786</v>
      </c>
      <c r="I75" s="23" t="s">
        <v>91</v>
      </c>
      <c r="J75" s="24" t="s">
        <v>787</v>
      </c>
      <c r="K75" s="24" t="s">
        <v>788</v>
      </c>
      <c r="L75" s="24" t="s">
        <v>789</v>
      </c>
      <c r="M75" s="24" t="s">
        <v>790</v>
      </c>
      <c r="N75" s="24" t="s">
        <v>791</v>
      </c>
      <c r="O75" s="24" t="s">
        <v>738</v>
      </c>
      <c r="P75" s="28"/>
      <c r="Q75" s="28" t="str">
        <f aca="false">"["&amp;안내!$C$5&amp;" "&amp;C75&amp;"] "&amp;J75&amp;" | "&amp;H75</f>
        <v>[1분 성경 #0074] 기근 속의 총리 | 창 47:13-31</v>
      </c>
      <c r="R75" s="23" t="n">
        <f aca="false">INT((A75-1)/안내!$C$9)+1</f>
        <v>15</v>
      </c>
      <c r="S75" s="26" t="n">
        <f aca="false">안내!$C$10+(R75-1)*7+MOD(A75-1,안내!$C$9)</f>
        <v>46492</v>
      </c>
      <c r="T75" s="23" t="s">
        <v>99</v>
      </c>
      <c r="U75" s="23" t="s">
        <v>99</v>
      </c>
      <c r="V75" s="23" t="s">
        <v>99</v>
      </c>
      <c r="W75" s="23" t="s">
        <v>99</v>
      </c>
      <c r="X75" s="28"/>
      <c r="Y75" s="28" t="str">
        <f aca="false">"다음 편: "&amp;J76</f>
        <v>다음 편: 엇갈린 두 손</v>
      </c>
    </row>
    <row r="76" customFormat="false" ht="26.85" hidden="false" customHeight="false" outlineLevel="0" collapsed="false">
      <c r="A76" s="20" t="n">
        <v>75</v>
      </c>
      <c r="B76" s="20" t="s">
        <v>792</v>
      </c>
      <c r="C76" s="20" t="s">
        <v>793</v>
      </c>
      <c r="D76" s="20" t="s">
        <v>730</v>
      </c>
      <c r="E76" s="21" t="s">
        <v>731</v>
      </c>
      <c r="F76" s="22" t="s">
        <v>88</v>
      </c>
      <c r="G76" s="22" t="s">
        <v>89</v>
      </c>
      <c r="H76" s="21" t="s">
        <v>794</v>
      </c>
      <c r="I76" s="23" t="s">
        <v>91</v>
      </c>
      <c r="J76" s="24" t="s">
        <v>795</v>
      </c>
      <c r="K76" s="24" t="s">
        <v>796</v>
      </c>
      <c r="L76" s="24" t="s">
        <v>797</v>
      </c>
      <c r="M76" s="24" t="s">
        <v>798</v>
      </c>
      <c r="N76" s="24" t="s">
        <v>799</v>
      </c>
      <c r="O76" s="24" t="s">
        <v>800</v>
      </c>
      <c r="P76" s="28"/>
      <c r="Q76" s="28" t="str">
        <f aca="false">"["&amp;안내!$C$5&amp;" "&amp;C76&amp;"] "&amp;J76&amp;" | "&amp;H76</f>
        <v>[1분 성경 #0075] 엇갈린 두 손 | 창 48:1-22</v>
      </c>
      <c r="R76" s="23" t="n">
        <f aca="false">INT((A76-1)/안내!$C$9)+1</f>
        <v>15</v>
      </c>
      <c r="S76" s="26" t="n">
        <f aca="false">안내!$C$10+(R76-1)*7+MOD(A76-1,안내!$C$9)</f>
        <v>46493</v>
      </c>
      <c r="T76" s="23" t="s">
        <v>99</v>
      </c>
      <c r="U76" s="23" t="s">
        <v>99</v>
      </c>
      <c r="V76" s="23" t="s">
        <v>99</v>
      </c>
      <c r="W76" s="23" t="s">
        <v>99</v>
      </c>
      <c r="X76" s="28"/>
      <c r="Y76" s="28" t="str">
        <f aca="false">"다음 편: "&amp;J77</f>
        <v>다음 편: 열두 아들을 위한 예언</v>
      </c>
    </row>
    <row r="77" customFormat="false" ht="25.35" hidden="false" customHeight="false" outlineLevel="0" collapsed="false">
      <c r="A77" s="20" t="n">
        <v>76</v>
      </c>
      <c r="B77" s="20" t="s">
        <v>801</v>
      </c>
      <c r="C77" s="20" t="s">
        <v>802</v>
      </c>
      <c r="D77" s="20" t="s">
        <v>730</v>
      </c>
      <c r="E77" s="21" t="s">
        <v>731</v>
      </c>
      <c r="F77" s="22" t="s">
        <v>88</v>
      </c>
      <c r="G77" s="22" t="s">
        <v>89</v>
      </c>
      <c r="H77" s="21" t="s">
        <v>803</v>
      </c>
      <c r="I77" s="23" t="s">
        <v>91</v>
      </c>
      <c r="J77" s="24" t="s">
        <v>804</v>
      </c>
      <c r="K77" s="24" t="s">
        <v>805</v>
      </c>
      <c r="L77" s="24" t="s">
        <v>806</v>
      </c>
      <c r="M77" s="24" t="s">
        <v>807</v>
      </c>
      <c r="N77" s="24" t="s">
        <v>808</v>
      </c>
      <c r="O77" s="24" t="s">
        <v>809</v>
      </c>
      <c r="P77" s="27" t="s">
        <v>810</v>
      </c>
      <c r="Q77" s="28" t="str">
        <f aca="false">"["&amp;안내!$C$5&amp;" "&amp;C77&amp;"] "&amp;J77&amp;" | "&amp;H77</f>
        <v>[1분 성경 #0076] 열두 아들을 위한 예언 | 창 49:1-28</v>
      </c>
      <c r="R77" s="23" t="n">
        <f aca="false">INT((A77-1)/안내!$C$9)+1</f>
        <v>16</v>
      </c>
      <c r="S77" s="26" t="n">
        <f aca="false">안내!$C$10+(R77-1)*7+MOD(A77-1,안내!$C$9)</f>
        <v>46496</v>
      </c>
      <c r="T77" s="23" t="s">
        <v>99</v>
      </c>
      <c r="U77" s="23" t="s">
        <v>99</v>
      </c>
      <c r="V77" s="23" t="s">
        <v>99</v>
      </c>
      <c r="W77" s="23" t="s">
        <v>99</v>
      </c>
      <c r="X77" s="28"/>
      <c r="Y77" s="28" t="str">
        <f aca="false">"다음 편: "&amp;J78</f>
        <v>다음 편: 야곱의 장례</v>
      </c>
    </row>
    <row r="78" customFormat="false" ht="15" hidden="false" customHeight="false" outlineLevel="0" collapsed="false">
      <c r="A78" s="20" t="n">
        <v>77</v>
      </c>
      <c r="B78" s="20" t="s">
        <v>811</v>
      </c>
      <c r="C78" s="20" t="s">
        <v>812</v>
      </c>
      <c r="D78" s="20" t="s">
        <v>730</v>
      </c>
      <c r="E78" s="21" t="s">
        <v>731</v>
      </c>
      <c r="F78" s="22" t="s">
        <v>88</v>
      </c>
      <c r="G78" s="22" t="s">
        <v>89</v>
      </c>
      <c r="H78" s="21" t="s">
        <v>813</v>
      </c>
      <c r="I78" s="23" t="s">
        <v>91</v>
      </c>
      <c r="J78" s="24" t="s">
        <v>814</v>
      </c>
      <c r="K78" s="24" t="s">
        <v>815</v>
      </c>
      <c r="L78" s="24" t="s">
        <v>816</v>
      </c>
      <c r="M78" s="24" t="s">
        <v>817</v>
      </c>
      <c r="N78" s="24" t="s">
        <v>818</v>
      </c>
      <c r="O78" s="24" t="s">
        <v>819</v>
      </c>
      <c r="P78" s="28"/>
      <c r="Q78" s="28" t="str">
        <f aca="false">"["&amp;안내!$C$5&amp;" "&amp;C78&amp;"] "&amp;J78&amp;" | "&amp;H78</f>
        <v>[1분 성경 #0077] 야곱의 장례 | 창 49:29-50:14</v>
      </c>
      <c r="R78" s="23" t="n">
        <f aca="false">INT((A78-1)/안내!$C$9)+1</f>
        <v>16</v>
      </c>
      <c r="S78" s="26" t="n">
        <f aca="false">안내!$C$10+(R78-1)*7+MOD(A78-1,안내!$C$9)</f>
        <v>46497</v>
      </c>
      <c r="T78" s="23" t="s">
        <v>99</v>
      </c>
      <c r="U78" s="23" t="s">
        <v>99</v>
      </c>
      <c r="V78" s="23" t="s">
        <v>99</v>
      </c>
      <c r="W78" s="23" t="s">
        <v>99</v>
      </c>
      <c r="X78" s="28"/>
      <c r="Y78" s="28" t="str">
        <f aca="false">"다음 편: "&amp;J79</f>
        <v>다음 편: 악을 선으로</v>
      </c>
    </row>
    <row r="79" customFormat="false" ht="26.85" hidden="false" customHeight="false" outlineLevel="0" collapsed="false">
      <c r="A79" s="20" t="n">
        <v>78</v>
      </c>
      <c r="B79" s="20" t="s">
        <v>820</v>
      </c>
      <c r="C79" s="20" t="s">
        <v>821</v>
      </c>
      <c r="D79" s="20" t="s">
        <v>730</v>
      </c>
      <c r="E79" s="21" t="s">
        <v>731</v>
      </c>
      <c r="F79" s="22" t="s">
        <v>88</v>
      </c>
      <c r="G79" s="22" t="s">
        <v>89</v>
      </c>
      <c r="H79" s="21" t="s">
        <v>822</v>
      </c>
      <c r="I79" s="23" t="s">
        <v>91</v>
      </c>
      <c r="J79" s="24" t="s">
        <v>823</v>
      </c>
      <c r="K79" s="24" t="s">
        <v>824</v>
      </c>
      <c r="L79" s="24" t="s">
        <v>825</v>
      </c>
      <c r="M79" s="24" t="s">
        <v>826</v>
      </c>
      <c r="N79" s="24" t="s">
        <v>765</v>
      </c>
      <c r="O79" s="24" t="s">
        <v>827</v>
      </c>
      <c r="P79" s="25" t="s">
        <v>828</v>
      </c>
      <c r="Q79" s="28" t="str">
        <f aca="false">"["&amp;안내!$C$5&amp;" "&amp;C79&amp;"] "&amp;J79&amp;" | "&amp;H79</f>
        <v>[1분 성경 #0078] 악을 선으로 | 창 50:15-26</v>
      </c>
      <c r="R79" s="23" t="n">
        <f aca="false">INT((A79-1)/안내!$C$9)+1</f>
        <v>16</v>
      </c>
      <c r="S79" s="26" t="n">
        <f aca="false">안내!$C$10+(R79-1)*7+MOD(A79-1,안내!$C$9)</f>
        <v>46498</v>
      </c>
      <c r="T79" s="23" t="s">
        <v>99</v>
      </c>
      <c r="U79" s="23" t="s">
        <v>99</v>
      </c>
      <c r="V79" s="23" t="s">
        <v>99</v>
      </c>
      <c r="W79" s="23" t="s">
        <v>99</v>
      </c>
      <c r="X79" s="28"/>
      <c r="Y79" s="28" t="str">
        <f aca="false">"다음 편: "&amp;J80</f>
        <v>다음 편: 나일강에 던져라</v>
      </c>
    </row>
    <row r="80" customFormat="false" ht="26.85" hidden="false" customHeight="false" outlineLevel="0" collapsed="false">
      <c r="A80" s="20" t="n">
        <v>79</v>
      </c>
      <c r="B80" s="20" t="s">
        <v>829</v>
      </c>
      <c r="C80" s="20" t="s">
        <v>830</v>
      </c>
      <c r="D80" s="20" t="s">
        <v>831</v>
      </c>
      <c r="E80" s="21" t="s">
        <v>832</v>
      </c>
      <c r="F80" s="22" t="s">
        <v>88</v>
      </c>
      <c r="G80" s="22" t="s">
        <v>833</v>
      </c>
      <c r="H80" s="21" t="s">
        <v>834</v>
      </c>
      <c r="I80" s="23" t="s">
        <v>91</v>
      </c>
      <c r="J80" s="24" t="s">
        <v>835</v>
      </c>
      <c r="K80" s="24" t="s">
        <v>836</v>
      </c>
      <c r="L80" s="24" t="s">
        <v>837</v>
      </c>
      <c r="M80" s="24" t="s">
        <v>838</v>
      </c>
      <c r="N80" s="24" t="s">
        <v>839</v>
      </c>
      <c r="O80" s="24" t="s">
        <v>840</v>
      </c>
      <c r="P80" s="25" t="s">
        <v>841</v>
      </c>
      <c r="Q80" s="28" t="str">
        <f aca="false">"["&amp;안내!$C$5&amp;" "&amp;C80&amp;"] "&amp;J80&amp;" | "&amp;H80</f>
        <v>[1분 성경 #0079] 나일강에 던져라 | 출 1:1-22</v>
      </c>
      <c r="R80" s="23" t="n">
        <f aca="false">INT((A80-1)/안내!$C$9)+1</f>
        <v>16</v>
      </c>
      <c r="S80" s="26" t="n">
        <f aca="false">안내!$C$10+(R80-1)*7+MOD(A80-1,안내!$C$9)</f>
        <v>46499</v>
      </c>
      <c r="T80" s="23" t="s">
        <v>99</v>
      </c>
      <c r="U80" s="23" t="s">
        <v>99</v>
      </c>
      <c r="V80" s="23" t="s">
        <v>99</v>
      </c>
      <c r="W80" s="23" t="s">
        <v>99</v>
      </c>
      <c r="X80" s="28"/>
      <c r="Y80" s="28" t="str">
        <f aca="false">"다음 편: "&amp;J81</f>
        <v>다음 편: 갈대 상자</v>
      </c>
    </row>
    <row r="81" customFormat="false" ht="26.85" hidden="false" customHeight="false" outlineLevel="0" collapsed="false">
      <c r="A81" s="20" t="n">
        <v>80</v>
      </c>
      <c r="B81" s="20" t="s">
        <v>842</v>
      </c>
      <c r="C81" s="20" t="s">
        <v>843</v>
      </c>
      <c r="D81" s="20" t="s">
        <v>831</v>
      </c>
      <c r="E81" s="21" t="s">
        <v>832</v>
      </c>
      <c r="F81" s="22" t="s">
        <v>88</v>
      </c>
      <c r="G81" s="22" t="s">
        <v>833</v>
      </c>
      <c r="H81" s="21" t="s">
        <v>844</v>
      </c>
      <c r="I81" s="23" t="s">
        <v>91</v>
      </c>
      <c r="J81" s="24" t="s">
        <v>845</v>
      </c>
      <c r="K81" s="24" t="s">
        <v>846</v>
      </c>
      <c r="L81" s="24" t="s">
        <v>847</v>
      </c>
      <c r="M81" s="24" t="s">
        <v>848</v>
      </c>
      <c r="N81" s="24" t="s">
        <v>849</v>
      </c>
      <c r="O81" s="24" t="s">
        <v>850</v>
      </c>
      <c r="P81" s="28"/>
      <c r="Q81" s="28" t="str">
        <f aca="false">"["&amp;안내!$C$5&amp;" "&amp;C81&amp;"] "&amp;J81&amp;" | "&amp;H81</f>
        <v>[1분 성경 #0080] 갈대 상자 | 출 2:1-10</v>
      </c>
      <c r="R81" s="23" t="n">
        <f aca="false">INT((A81-1)/안내!$C$9)+1</f>
        <v>16</v>
      </c>
      <c r="S81" s="26" t="n">
        <f aca="false">안내!$C$10+(R81-1)*7+MOD(A81-1,안내!$C$9)</f>
        <v>46500</v>
      </c>
      <c r="T81" s="23" t="s">
        <v>99</v>
      </c>
      <c r="U81" s="23" t="s">
        <v>99</v>
      </c>
      <c r="V81" s="23" t="s">
        <v>99</v>
      </c>
      <c r="W81" s="23" t="s">
        <v>99</v>
      </c>
      <c r="X81" s="28"/>
      <c r="Y81" s="28" t="str">
        <f aca="false">"다음 편: "&amp;J82</f>
        <v>다음 편: 왕자에서 도망자로</v>
      </c>
    </row>
    <row r="82" customFormat="false" ht="26.85" hidden="false" customHeight="false" outlineLevel="0" collapsed="false">
      <c r="A82" s="20" t="n">
        <v>81</v>
      </c>
      <c r="B82" s="20" t="s">
        <v>851</v>
      </c>
      <c r="C82" s="20" t="s">
        <v>852</v>
      </c>
      <c r="D82" s="20" t="s">
        <v>831</v>
      </c>
      <c r="E82" s="21" t="s">
        <v>832</v>
      </c>
      <c r="F82" s="22" t="s">
        <v>88</v>
      </c>
      <c r="G82" s="22" t="s">
        <v>833</v>
      </c>
      <c r="H82" s="21" t="s">
        <v>853</v>
      </c>
      <c r="I82" s="23" t="s">
        <v>91</v>
      </c>
      <c r="J82" s="24" t="s">
        <v>854</v>
      </c>
      <c r="K82" s="28" t="s">
        <v>855</v>
      </c>
      <c r="L82" s="24" t="s">
        <v>856</v>
      </c>
      <c r="M82" s="24" t="s">
        <v>857</v>
      </c>
      <c r="N82" s="24" t="s">
        <v>858</v>
      </c>
      <c r="O82" s="24" t="s">
        <v>859</v>
      </c>
      <c r="P82" s="25" t="s">
        <v>860</v>
      </c>
      <c r="Q82" s="28" t="str">
        <f aca="false">"["&amp;안내!$C$5&amp;" "&amp;C82&amp;"] "&amp;J82&amp;" | "&amp;H82</f>
        <v>[1분 성경 #0081] 왕자에서 도망자로 | 출 2:11-25</v>
      </c>
      <c r="R82" s="23" t="n">
        <f aca="false">INT((A82-1)/안내!$C$9)+1</f>
        <v>17</v>
      </c>
      <c r="S82" s="26" t="n">
        <f aca="false">안내!$C$10+(R82-1)*7+MOD(A82-1,안내!$C$9)</f>
        <v>46503</v>
      </c>
      <c r="T82" s="23" t="s">
        <v>99</v>
      </c>
      <c r="U82" s="23" t="s">
        <v>99</v>
      </c>
      <c r="V82" s="23" t="s">
        <v>99</v>
      </c>
      <c r="W82" s="23" t="s">
        <v>99</v>
      </c>
      <c r="X82" s="28"/>
      <c r="Y82" s="28" t="str">
        <f aca="false">"다음 편: "&amp;J83</f>
        <v>다음 편: 불붙은 떨기나무</v>
      </c>
    </row>
    <row r="83" customFormat="false" ht="26.85" hidden="false" customHeight="false" outlineLevel="0" collapsed="false">
      <c r="A83" s="20" t="n">
        <v>82</v>
      </c>
      <c r="B83" s="20" t="s">
        <v>861</v>
      </c>
      <c r="C83" s="20" t="s">
        <v>862</v>
      </c>
      <c r="D83" s="20" t="s">
        <v>831</v>
      </c>
      <c r="E83" s="21" t="s">
        <v>832</v>
      </c>
      <c r="F83" s="22" t="s">
        <v>88</v>
      </c>
      <c r="G83" s="22" t="s">
        <v>833</v>
      </c>
      <c r="H83" s="21" t="s">
        <v>863</v>
      </c>
      <c r="I83" s="23" t="s">
        <v>91</v>
      </c>
      <c r="J83" s="24" t="s">
        <v>864</v>
      </c>
      <c r="K83" s="24" t="s">
        <v>865</v>
      </c>
      <c r="L83" s="24" t="s">
        <v>866</v>
      </c>
      <c r="M83" s="24" t="s">
        <v>867</v>
      </c>
      <c r="N83" s="24" t="s">
        <v>868</v>
      </c>
      <c r="O83" s="24" t="s">
        <v>869</v>
      </c>
      <c r="P83" s="25" t="s">
        <v>870</v>
      </c>
      <c r="Q83" s="28" t="str">
        <f aca="false">"["&amp;안내!$C$5&amp;" "&amp;C83&amp;"] "&amp;J83&amp;" | "&amp;H83</f>
        <v>[1분 성경 #0082] 불붙은 떨기나무 | 출 3:1-12</v>
      </c>
      <c r="R83" s="23" t="n">
        <f aca="false">INT((A83-1)/안내!$C$9)+1</f>
        <v>17</v>
      </c>
      <c r="S83" s="26" t="n">
        <f aca="false">안내!$C$10+(R83-1)*7+MOD(A83-1,안내!$C$9)</f>
        <v>46504</v>
      </c>
      <c r="T83" s="23" t="s">
        <v>99</v>
      </c>
      <c r="U83" s="23" t="s">
        <v>99</v>
      </c>
      <c r="V83" s="23" t="s">
        <v>99</v>
      </c>
      <c r="W83" s="23" t="s">
        <v>99</v>
      </c>
      <c r="X83" s="28"/>
      <c r="Y83" s="28" t="str">
        <f aca="false">"다음 편: "&amp;J84</f>
        <v>다음 편: 나는 스스로 있는 자</v>
      </c>
    </row>
    <row r="84" customFormat="false" ht="26.85" hidden="false" customHeight="false" outlineLevel="0" collapsed="false">
      <c r="A84" s="20" t="n">
        <v>83</v>
      </c>
      <c r="B84" s="20" t="s">
        <v>871</v>
      </c>
      <c r="C84" s="20" t="s">
        <v>872</v>
      </c>
      <c r="D84" s="20" t="s">
        <v>831</v>
      </c>
      <c r="E84" s="21" t="s">
        <v>832</v>
      </c>
      <c r="F84" s="22" t="s">
        <v>88</v>
      </c>
      <c r="G84" s="22" t="s">
        <v>833</v>
      </c>
      <c r="H84" s="21" t="s">
        <v>873</v>
      </c>
      <c r="I84" s="23" t="s">
        <v>91</v>
      </c>
      <c r="J84" s="24" t="s">
        <v>874</v>
      </c>
      <c r="K84" s="24" t="s">
        <v>875</v>
      </c>
      <c r="L84" s="24" t="s">
        <v>876</v>
      </c>
      <c r="M84" s="24" t="s">
        <v>877</v>
      </c>
      <c r="N84" s="24" t="s">
        <v>878</v>
      </c>
      <c r="O84" s="24" t="s">
        <v>879</v>
      </c>
      <c r="P84" s="28"/>
      <c r="Q84" s="28" t="str">
        <f aca="false">"["&amp;안내!$C$5&amp;" "&amp;C84&amp;"] "&amp;J84&amp;" | "&amp;H84</f>
        <v>[1분 성경 #0083] 나는 스스로 있는 자 | 출 3:13-4:17</v>
      </c>
      <c r="R84" s="23" t="n">
        <f aca="false">INT((A84-1)/안내!$C$9)+1</f>
        <v>17</v>
      </c>
      <c r="S84" s="26" t="n">
        <f aca="false">안내!$C$10+(R84-1)*7+MOD(A84-1,안내!$C$9)</f>
        <v>46505</v>
      </c>
      <c r="T84" s="23" t="s">
        <v>99</v>
      </c>
      <c r="U84" s="23" t="s">
        <v>99</v>
      </c>
      <c r="V84" s="23" t="s">
        <v>99</v>
      </c>
      <c r="W84" s="23" t="s">
        <v>99</v>
      </c>
      <c r="X84" s="28"/>
      <c r="Y84" s="28" t="str">
        <f aca="false">"다음 편: "&amp;J85</f>
        <v>다음 편: 다시 애굽으로</v>
      </c>
    </row>
    <row r="85" customFormat="false" ht="26.85" hidden="false" customHeight="false" outlineLevel="0" collapsed="false">
      <c r="A85" s="20" t="n">
        <v>84</v>
      </c>
      <c r="B85" s="20" t="s">
        <v>880</v>
      </c>
      <c r="C85" s="20" t="s">
        <v>881</v>
      </c>
      <c r="D85" s="20" t="s">
        <v>831</v>
      </c>
      <c r="E85" s="21" t="s">
        <v>832</v>
      </c>
      <c r="F85" s="22" t="s">
        <v>88</v>
      </c>
      <c r="G85" s="22" t="s">
        <v>833</v>
      </c>
      <c r="H85" s="21" t="s">
        <v>882</v>
      </c>
      <c r="I85" s="23" t="s">
        <v>91</v>
      </c>
      <c r="J85" s="24" t="s">
        <v>883</v>
      </c>
      <c r="K85" s="28" t="s">
        <v>884</v>
      </c>
      <c r="L85" s="24" t="s">
        <v>885</v>
      </c>
      <c r="M85" s="24" t="s">
        <v>886</v>
      </c>
      <c r="N85" s="24" t="s">
        <v>887</v>
      </c>
      <c r="O85" s="24" t="s">
        <v>888</v>
      </c>
      <c r="P85" s="27" t="s">
        <v>889</v>
      </c>
      <c r="Q85" s="28" t="str">
        <f aca="false">"["&amp;안내!$C$5&amp;" "&amp;C85&amp;"] "&amp;J85&amp;" | "&amp;H85</f>
        <v>[1분 성경 #0084] 다시 애굽으로 | 출 4:18-31</v>
      </c>
      <c r="R85" s="23" t="n">
        <f aca="false">INT((A85-1)/안내!$C$9)+1</f>
        <v>17</v>
      </c>
      <c r="S85" s="26" t="n">
        <f aca="false">안내!$C$10+(R85-1)*7+MOD(A85-1,안내!$C$9)</f>
        <v>46506</v>
      </c>
      <c r="T85" s="23" t="s">
        <v>99</v>
      </c>
      <c r="U85" s="23" t="s">
        <v>99</v>
      </c>
      <c r="V85" s="23" t="s">
        <v>99</v>
      </c>
      <c r="W85" s="23" t="s">
        <v>99</v>
      </c>
      <c r="X85" s="28"/>
      <c r="Y85" s="28" t="str">
        <f aca="false">"다음 편: "&amp;J86</f>
        <v>다음 편: 벽돌은 그대로, 짚은 없다</v>
      </c>
    </row>
    <row r="86" customFormat="false" ht="26.85" hidden="false" customHeight="false" outlineLevel="0" collapsed="false">
      <c r="A86" s="20" t="n">
        <v>85</v>
      </c>
      <c r="B86" s="20" t="s">
        <v>890</v>
      </c>
      <c r="C86" s="20" t="s">
        <v>891</v>
      </c>
      <c r="D86" s="20" t="s">
        <v>831</v>
      </c>
      <c r="E86" s="21" t="s">
        <v>832</v>
      </c>
      <c r="F86" s="22" t="s">
        <v>88</v>
      </c>
      <c r="G86" s="22" t="s">
        <v>833</v>
      </c>
      <c r="H86" s="21" t="s">
        <v>892</v>
      </c>
      <c r="I86" s="23" t="s">
        <v>91</v>
      </c>
      <c r="J86" s="24" t="s">
        <v>893</v>
      </c>
      <c r="K86" s="24" t="s">
        <v>894</v>
      </c>
      <c r="L86" s="24" t="s">
        <v>895</v>
      </c>
      <c r="M86" s="24" t="s">
        <v>896</v>
      </c>
      <c r="N86" s="24" t="s">
        <v>897</v>
      </c>
      <c r="O86" s="24" t="s">
        <v>898</v>
      </c>
      <c r="P86" s="28"/>
      <c r="Q86" s="28" t="str">
        <f aca="false">"["&amp;안내!$C$5&amp;" "&amp;C86&amp;"] "&amp;J86&amp;" | "&amp;H86</f>
        <v>[1분 성경 #0085] 벽돌은 그대로, 짚은 없다 | 출 5:1-23</v>
      </c>
      <c r="R86" s="23" t="n">
        <f aca="false">INT((A86-1)/안내!$C$9)+1</f>
        <v>17</v>
      </c>
      <c r="S86" s="26" t="n">
        <f aca="false">안내!$C$10+(R86-1)*7+MOD(A86-1,안내!$C$9)</f>
        <v>46507</v>
      </c>
      <c r="T86" s="23" t="s">
        <v>99</v>
      </c>
      <c r="U86" s="23" t="s">
        <v>99</v>
      </c>
      <c r="V86" s="23" t="s">
        <v>99</v>
      </c>
      <c r="W86" s="23" t="s">
        <v>99</v>
      </c>
      <c r="X86" s="28"/>
      <c r="Y86" s="28" t="str">
        <f aca="false">"다음 편: "&amp;J87</f>
        <v>다음 편: 내가 여호와니라</v>
      </c>
    </row>
    <row r="87" customFormat="false" ht="26.85" hidden="false" customHeight="false" outlineLevel="0" collapsed="false">
      <c r="A87" s="20" t="n">
        <v>86</v>
      </c>
      <c r="B87" s="20" t="s">
        <v>899</v>
      </c>
      <c r="C87" s="20" t="s">
        <v>900</v>
      </c>
      <c r="D87" s="20" t="s">
        <v>831</v>
      </c>
      <c r="E87" s="21" t="s">
        <v>832</v>
      </c>
      <c r="F87" s="22" t="s">
        <v>88</v>
      </c>
      <c r="G87" s="22" t="s">
        <v>833</v>
      </c>
      <c r="H87" s="21" t="s">
        <v>901</v>
      </c>
      <c r="I87" s="23" t="s">
        <v>91</v>
      </c>
      <c r="J87" s="24" t="s">
        <v>902</v>
      </c>
      <c r="K87" s="24" t="s">
        <v>903</v>
      </c>
      <c r="L87" s="24" t="s">
        <v>904</v>
      </c>
      <c r="M87" s="24" t="s">
        <v>905</v>
      </c>
      <c r="N87" s="24" t="s">
        <v>906</v>
      </c>
      <c r="O87" s="24" t="s">
        <v>827</v>
      </c>
      <c r="P87" s="28"/>
      <c r="Q87" s="28" t="str">
        <f aca="false">"["&amp;안내!$C$5&amp;" "&amp;C87&amp;"] "&amp;J87&amp;" | "&amp;H87</f>
        <v>[1분 성경 #0086] 내가 여호와니라 | 출 6:1-30</v>
      </c>
      <c r="R87" s="23" t="n">
        <f aca="false">INT((A87-1)/안내!$C$9)+1</f>
        <v>18</v>
      </c>
      <c r="S87" s="26" t="n">
        <f aca="false">안내!$C$10+(R87-1)*7+MOD(A87-1,안내!$C$9)</f>
        <v>46510</v>
      </c>
      <c r="T87" s="23" t="s">
        <v>99</v>
      </c>
      <c r="U87" s="23" t="s">
        <v>99</v>
      </c>
      <c r="V87" s="23" t="s">
        <v>99</v>
      </c>
      <c r="W87" s="23" t="s">
        <v>99</v>
      </c>
      <c r="X87" s="28"/>
      <c r="Y87" s="28" t="str">
        <f aca="false">"다음 편: "&amp;J88</f>
        <v>다음 편: 뱀을 삼킨 지팡이</v>
      </c>
    </row>
    <row r="88" customFormat="false" ht="26.85" hidden="false" customHeight="false" outlineLevel="0" collapsed="false">
      <c r="A88" s="20" t="n">
        <v>87</v>
      </c>
      <c r="B88" s="20" t="s">
        <v>907</v>
      </c>
      <c r="C88" s="20" t="s">
        <v>908</v>
      </c>
      <c r="D88" s="20" t="s">
        <v>909</v>
      </c>
      <c r="E88" s="21" t="s">
        <v>910</v>
      </c>
      <c r="F88" s="22" t="s">
        <v>88</v>
      </c>
      <c r="G88" s="22" t="s">
        <v>833</v>
      </c>
      <c r="H88" s="21" t="s">
        <v>911</v>
      </c>
      <c r="I88" s="23" t="s">
        <v>91</v>
      </c>
      <c r="J88" s="24" t="s">
        <v>912</v>
      </c>
      <c r="K88" s="24" t="s">
        <v>913</v>
      </c>
      <c r="L88" s="24" t="s">
        <v>914</v>
      </c>
      <c r="M88" s="24" t="s">
        <v>915</v>
      </c>
      <c r="N88" s="24" t="s">
        <v>916</v>
      </c>
      <c r="O88" s="24" t="s">
        <v>718</v>
      </c>
      <c r="P88" s="25" t="s">
        <v>917</v>
      </c>
      <c r="Q88" s="28" t="str">
        <f aca="false">"["&amp;안내!$C$5&amp;" "&amp;C88&amp;"] "&amp;J88&amp;" | "&amp;H88</f>
        <v>[1분 성경 #0087] 뱀을 삼킨 지팡이 | 출 7:1-13</v>
      </c>
      <c r="R88" s="23" t="n">
        <f aca="false">INT((A88-1)/안내!$C$9)+1</f>
        <v>18</v>
      </c>
      <c r="S88" s="26" t="n">
        <f aca="false">안내!$C$10+(R88-1)*7+MOD(A88-1,안내!$C$9)</f>
        <v>46511</v>
      </c>
      <c r="T88" s="23" t="s">
        <v>99</v>
      </c>
      <c r="U88" s="23" t="s">
        <v>99</v>
      </c>
      <c r="V88" s="23" t="s">
        <v>99</v>
      </c>
      <c r="W88" s="23" t="s">
        <v>99</v>
      </c>
      <c r="X88" s="28"/>
      <c r="Y88" s="28" t="str">
        <f aca="false">"다음 편: "&amp;J89</f>
        <v>다음 편: 피로 변한 나일강</v>
      </c>
    </row>
    <row r="89" customFormat="false" ht="15" hidden="false" customHeight="false" outlineLevel="0" collapsed="false">
      <c r="A89" s="20" t="n">
        <v>88</v>
      </c>
      <c r="B89" s="20" t="s">
        <v>918</v>
      </c>
      <c r="C89" s="20" t="s">
        <v>919</v>
      </c>
      <c r="D89" s="20" t="s">
        <v>909</v>
      </c>
      <c r="E89" s="21" t="s">
        <v>910</v>
      </c>
      <c r="F89" s="22" t="s">
        <v>88</v>
      </c>
      <c r="G89" s="22" t="s">
        <v>833</v>
      </c>
      <c r="H89" s="21" t="s">
        <v>920</v>
      </c>
      <c r="I89" s="23" t="s">
        <v>91</v>
      </c>
      <c r="J89" s="24" t="s">
        <v>921</v>
      </c>
      <c r="K89" s="24" t="s">
        <v>922</v>
      </c>
      <c r="L89" s="24" t="s">
        <v>923</v>
      </c>
      <c r="M89" s="24" t="s">
        <v>924</v>
      </c>
      <c r="N89" s="24" t="s">
        <v>925</v>
      </c>
      <c r="O89" s="24" t="s">
        <v>926</v>
      </c>
      <c r="P89" s="28"/>
      <c r="Q89" s="28" t="str">
        <f aca="false">"["&amp;안내!$C$5&amp;" "&amp;C89&amp;"] "&amp;J89&amp;" | "&amp;H89</f>
        <v>[1분 성경 #0088] 피로 변한 나일강 | 출 7:14-25</v>
      </c>
      <c r="R89" s="23" t="n">
        <f aca="false">INT((A89-1)/안내!$C$9)+1</f>
        <v>18</v>
      </c>
      <c r="S89" s="26" t="n">
        <f aca="false">안내!$C$10+(R89-1)*7+MOD(A89-1,안내!$C$9)</f>
        <v>46512</v>
      </c>
      <c r="T89" s="23" t="s">
        <v>99</v>
      </c>
      <c r="U89" s="23" t="s">
        <v>99</v>
      </c>
      <c r="V89" s="23" t="s">
        <v>99</v>
      </c>
      <c r="W89" s="23" t="s">
        <v>99</v>
      </c>
      <c r="X89" s="28"/>
      <c r="Y89" s="28" t="str">
        <f aca="false">"다음 편: "&amp;J90</f>
        <v>다음 편: 개구리 재앙</v>
      </c>
    </row>
    <row r="90" customFormat="false" ht="15" hidden="false" customHeight="false" outlineLevel="0" collapsed="false">
      <c r="A90" s="20" t="n">
        <v>89</v>
      </c>
      <c r="B90" s="20" t="s">
        <v>927</v>
      </c>
      <c r="C90" s="20" t="s">
        <v>928</v>
      </c>
      <c r="D90" s="20" t="s">
        <v>909</v>
      </c>
      <c r="E90" s="21" t="s">
        <v>910</v>
      </c>
      <c r="F90" s="22" t="s">
        <v>88</v>
      </c>
      <c r="G90" s="22" t="s">
        <v>833</v>
      </c>
      <c r="H90" s="21" t="s">
        <v>929</v>
      </c>
      <c r="I90" s="23" t="s">
        <v>91</v>
      </c>
      <c r="J90" s="24" t="s">
        <v>930</v>
      </c>
      <c r="K90" s="24" t="s">
        <v>931</v>
      </c>
      <c r="L90" s="24" t="s">
        <v>932</v>
      </c>
      <c r="M90" s="24" t="s">
        <v>933</v>
      </c>
      <c r="N90" s="24" t="s">
        <v>934</v>
      </c>
      <c r="O90" s="24" t="s">
        <v>935</v>
      </c>
      <c r="P90" s="28"/>
      <c r="Q90" s="28" t="str">
        <f aca="false">"["&amp;안내!$C$5&amp;" "&amp;C90&amp;"] "&amp;J90&amp;" | "&amp;H90</f>
        <v>[1분 성경 #0089] 개구리 재앙 | 출 8:1-15</v>
      </c>
      <c r="R90" s="23" t="n">
        <f aca="false">INT((A90-1)/안내!$C$9)+1</f>
        <v>18</v>
      </c>
      <c r="S90" s="26" t="n">
        <f aca="false">안내!$C$10+(R90-1)*7+MOD(A90-1,안내!$C$9)</f>
        <v>46513</v>
      </c>
      <c r="T90" s="23" t="s">
        <v>99</v>
      </c>
      <c r="U90" s="23" t="s">
        <v>99</v>
      </c>
      <c r="V90" s="23" t="s">
        <v>99</v>
      </c>
      <c r="W90" s="23" t="s">
        <v>99</v>
      </c>
      <c r="X90" s="28"/>
      <c r="Y90" s="28" t="str">
        <f aca="false">"다음 편: "&amp;J91</f>
        <v>다음 편: 이와 파리</v>
      </c>
    </row>
    <row r="91" customFormat="false" ht="26.85" hidden="false" customHeight="false" outlineLevel="0" collapsed="false">
      <c r="A91" s="20" t="n">
        <v>90</v>
      </c>
      <c r="B91" s="20" t="s">
        <v>936</v>
      </c>
      <c r="C91" s="20" t="s">
        <v>937</v>
      </c>
      <c r="D91" s="20" t="s">
        <v>909</v>
      </c>
      <c r="E91" s="21" t="s">
        <v>910</v>
      </c>
      <c r="F91" s="22" t="s">
        <v>88</v>
      </c>
      <c r="G91" s="22" t="s">
        <v>833</v>
      </c>
      <c r="H91" s="21" t="s">
        <v>938</v>
      </c>
      <c r="I91" s="23" t="s">
        <v>91</v>
      </c>
      <c r="J91" s="24" t="s">
        <v>939</v>
      </c>
      <c r="K91" s="24" t="s">
        <v>940</v>
      </c>
      <c r="L91" s="24" t="s">
        <v>941</v>
      </c>
      <c r="M91" s="24" t="s">
        <v>942</v>
      </c>
      <c r="N91" s="24" t="s">
        <v>943</v>
      </c>
      <c r="O91" s="24" t="s">
        <v>944</v>
      </c>
      <c r="P91" s="28"/>
      <c r="Q91" s="28" t="str">
        <f aca="false">"["&amp;안내!$C$5&amp;" "&amp;C91&amp;"] "&amp;J91&amp;" | "&amp;H91</f>
        <v>[1분 성경 #0090] 이와 파리 | 출 8:16-32</v>
      </c>
      <c r="R91" s="23" t="n">
        <f aca="false">INT((A91-1)/안내!$C$9)+1</f>
        <v>18</v>
      </c>
      <c r="S91" s="26" t="n">
        <f aca="false">안내!$C$10+(R91-1)*7+MOD(A91-1,안내!$C$9)</f>
        <v>46514</v>
      </c>
      <c r="T91" s="23" t="s">
        <v>99</v>
      </c>
      <c r="U91" s="23" t="s">
        <v>99</v>
      </c>
      <c r="V91" s="23" t="s">
        <v>99</v>
      </c>
      <c r="W91" s="23" t="s">
        <v>99</v>
      </c>
      <c r="X91" s="28"/>
      <c r="Y91" s="28" t="str">
        <f aca="false">"다음 편: "&amp;J92</f>
        <v>다음 편: 가축 돌림병과 악성 종기</v>
      </c>
    </row>
    <row r="92" customFormat="false" ht="26.85" hidden="false" customHeight="false" outlineLevel="0" collapsed="false">
      <c r="A92" s="20" t="n">
        <v>91</v>
      </c>
      <c r="B92" s="20" t="s">
        <v>945</v>
      </c>
      <c r="C92" s="20" t="s">
        <v>946</v>
      </c>
      <c r="D92" s="20" t="s">
        <v>909</v>
      </c>
      <c r="E92" s="21" t="s">
        <v>910</v>
      </c>
      <c r="F92" s="22" t="s">
        <v>88</v>
      </c>
      <c r="G92" s="22" t="s">
        <v>833</v>
      </c>
      <c r="H92" s="21" t="s">
        <v>947</v>
      </c>
      <c r="I92" s="23" t="s">
        <v>91</v>
      </c>
      <c r="J92" s="24" t="s">
        <v>948</v>
      </c>
      <c r="K92" s="24" t="s">
        <v>949</v>
      </c>
      <c r="L92" s="24" t="s">
        <v>950</v>
      </c>
      <c r="M92" s="24" t="s">
        <v>951</v>
      </c>
      <c r="N92" s="24" t="s">
        <v>925</v>
      </c>
      <c r="O92" s="24" t="s">
        <v>952</v>
      </c>
      <c r="P92" s="28"/>
      <c r="Q92" s="28" t="str">
        <f aca="false">"["&amp;안내!$C$5&amp;" "&amp;C92&amp;"] "&amp;J92&amp;" | "&amp;H92</f>
        <v>[1분 성경 #0091] 가축 돌림병과 악성 종기 | 출 9:1-12</v>
      </c>
      <c r="R92" s="23" t="n">
        <f aca="false">INT((A92-1)/안내!$C$9)+1</f>
        <v>19</v>
      </c>
      <c r="S92" s="26" t="n">
        <f aca="false">안내!$C$10+(R92-1)*7+MOD(A92-1,안내!$C$9)</f>
        <v>46517</v>
      </c>
      <c r="T92" s="23" t="s">
        <v>99</v>
      </c>
      <c r="U92" s="23" t="s">
        <v>99</v>
      </c>
      <c r="V92" s="23" t="s">
        <v>99</v>
      </c>
      <c r="W92" s="23" t="s">
        <v>99</v>
      </c>
      <c r="X92" s="28"/>
      <c r="Y92" s="28" t="str">
        <f aca="false">"다음 편: "&amp;J93</f>
        <v>다음 편: 불덩이 섞인 우박</v>
      </c>
    </row>
    <row r="93" customFormat="false" ht="15" hidden="false" customHeight="false" outlineLevel="0" collapsed="false">
      <c r="A93" s="20" t="n">
        <v>92</v>
      </c>
      <c r="B93" s="20" t="s">
        <v>953</v>
      </c>
      <c r="C93" s="20" t="s">
        <v>954</v>
      </c>
      <c r="D93" s="20" t="s">
        <v>909</v>
      </c>
      <c r="E93" s="21" t="s">
        <v>910</v>
      </c>
      <c r="F93" s="22" t="s">
        <v>88</v>
      </c>
      <c r="G93" s="22" t="s">
        <v>833</v>
      </c>
      <c r="H93" s="21" t="s">
        <v>955</v>
      </c>
      <c r="I93" s="23" t="s">
        <v>91</v>
      </c>
      <c r="J93" s="24" t="s">
        <v>956</v>
      </c>
      <c r="K93" s="24" t="s">
        <v>957</v>
      </c>
      <c r="L93" s="24" t="s">
        <v>958</v>
      </c>
      <c r="M93" s="24" t="s">
        <v>959</v>
      </c>
      <c r="N93" s="24" t="s">
        <v>934</v>
      </c>
      <c r="O93" s="24" t="s">
        <v>960</v>
      </c>
      <c r="P93" s="28"/>
      <c r="Q93" s="28" t="str">
        <f aca="false">"["&amp;안내!$C$5&amp;" "&amp;C93&amp;"] "&amp;J93&amp;" | "&amp;H93</f>
        <v>[1분 성경 #0092] 불덩이 섞인 우박 | 출 9:13-35</v>
      </c>
      <c r="R93" s="23" t="n">
        <f aca="false">INT((A93-1)/안내!$C$9)+1</f>
        <v>19</v>
      </c>
      <c r="S93" s="26" t="n">
        <f aca="false">안내!$C$10+(R93-1)*7+MOD(A93-1,안내!$C$9)</f>
        <v>46518</v>
      </c>
      <c r="T93" s="23" t="s">
        <v>99</v>
      </c>
      <c r="U93" s="23" t="s">
        <v>99</v>
      </c>
      <c r="V93" s="23" t="s">
        <v>99</v>
      </c>
      <c r="W93" s="23" t="s">
        <v>99</v>
      </c>
      <c r="X93" s="28"/>
      <c r="Y93" s="28" t="str">
        <f aca="false">"다음 편: "&amp;J94</f>
        <v>다음 편: 메뚜기 떼</v>
      </c>
    </row>
    <row r="94" customFormat="false" ht="15" hidden="false" customHeight="false" outlineLevel="0" collapsed="false">
      <c r="A94" s="20" t="n">
        <v>93</v>
      </c>
      <c r="B94" s="20" t="s">
        <v>961</v>
      </c>
      <c r="C94" s="20" t="s">
        <v>962</v>
      </c>
      <c r="D94" s="20" t="s">
        <v>909</v>
      </c>
      <c r="E94" s="21" t="s">
        <v>910</v>
      </c>
      <c r="F94" s="22" t="s">
        <v>88</v>
      </c>
      <c r="G94" s="22" t="s">
        <v>833</v>
      </c>
      <c r="H94" s="21" t="s">
        <v>963</v>
      </c>
      <c r="I94" s="23" t="s">
        <v>91</v>
      </c>
      <c r="J94" s="24" t="s">
        <v>964</v>
      </c>
      <c r="K94" s="24" t="s">
        <v>965</v>
      </c>
      <c r="L94" s="24" t="s">
        <v>966</v>
      </c>
      <c r="M94" s="24" t="s">
        <v>967</v>
      </c>
      <c r="N94" s="24" t="s">
        <v>968</v>
      </c>
      <c r="O94" s="24" t="s">
        <v>969</v>
      </c>
      <c r="P94" s="28"/>
      <c r="Q94" s="28" t="str">
        <f aca="false">"["&amp;안내!$C$5&amp;" "&amp;C94&amp;"] "&amp;J94&amp;" | "&amp;H94</f>
        <v>[1분 성경 #0093] 메뚜기 떼 | 출 10:1-20</v>
      </c>
      <c r="R94" s="23" t="n">
        <f aca="false">INT((A94-1)/안내!$C$9)+1</f>
        <v>19</v>
      </c>
      <c r="S94" s="26" t="n">
        <f aca="false">안내!$C$10+(R94-1)*7+MOD(A94-1,안내!$C$9)</f>
        <v>46519</v>
      </c>
      <c r="T94" s="23" t="s">
        <v>99</v>
      </c>
      <c r="U94" s="23" t="s">
        <v>99</v>
      </c>
      <c r="V94" s="23" t="s">
        <v>99</v>
      </c>
      <c r="W94" s="23" t="s">
        <v>99</v>
      </c>
      <c r="X94" s="28"/>
      <c r="Y94" s="28" t="str">
        <f aca="false">"다음 편: "&amp;J95</f>
        <v>다음 편: 사흘간의 흑암</v>
      </c>
    </row>
    <row r="95" customFormat="false" ht="26.85" hidden="false" customHeight="false" outlineLevel="0" collapsed="false">
      <c r="A95" s="20" t="n">
        <v>94</v>
      </c>
      <c r="B95" s="20" t="s">
        <v>970</v>
      </c>
      <c r="C95" s="20" t="s">
        <v>971</v>
      </c>
      <c r="D95" s="20" t="s">
        <v>909</v>
      </c>
      <c r="E95" s="21" t="s">
        <v>910</v>
      </c>
      <c r="F95" s="22" t="s">
        <v>88</v>
      </c>
      <c r="G95" s="22" t="s">
        <v>833</v>
      </c>
      <c r="H95" s="21" t="s">
        <v>972</v>
      </c>
      <c r="I95" s="23" t="s">
        <v>91</v>
      </c>
      <c r="J95" s="24" t="s">
        <v>973</v>
      </c>
      <c r="K95" s="24" t="s">
        <v>974</v>
      </c>
      <c r="L95" s="24" t="s">
        <v>975</v>
      </c>
      <c r="M95" s="24" t="s">
        <v>976</v>
      </c>
      <c r="N95" s="24" t="s">
        <v>934</v>
      </c>
      <c r="O95" s="24" t="s">
        <v>977</v>
      </c>
      <c r="P95" s="28"/>
      <c r="Q95" s="28" t="str">
        <f aca="false">"["&amp;안내!$C$5&amp;" "&amp;C95&amp;"] "&amp;J95&amp;" | "&amp;H95</f>
        <v>[1분 성경 #0094] 사흘간의 흑암 | 출 10:21-29</v>
      </c>
      <c r="R95" s="23" t="n">
        <f aca="false">INT((A95-1)/안내!$C$9)+1</f>
        <v>19</v>
      </c>
      <c r="S95" s="26" t="n">
        <f aca="false">안내!$C$10+(R95-1)*7+MOD(A95-1,안내!$C$9)</f>
        <v>46520</v>
      </c>
      <c r="T95" s="23" t="s">
        <v>99</v>
      </c>
      <c r="U95" s="23" t="s">
        <v>99</v>
      </c>
      <c r="V95" s="23" t="s">
        <v>99</v>
      </c>
      <c r="W95" s="23" t="s">
        <v>99</v>
      </c>
      <c r="X95" s="28"/>
      <c r="Y95" s="28" t="str">
        <f aca="false">"다음 편: "&amp;J96</f>
        <v>다음 편: 문설주의 피</v>
      </c>
    </row>
    <row r="96" customFormat="false" ht="26.85" hidden="false" customHeight="false" outlineLevel="0" collapsed="false">
      <c r="A96" s="20" t="n">
        <v>95</v>
      </c>
      <c r="B96" s="20" t="s">
        <v>978</v>
      </c>
      <c r="C96" s="20" t="s">
        <v>979</v>
      </c>
      <c r="D96" s="20" t="s">
        <v>909</v>
      </c>
      <c r="E96" s="21" t="s">
        <v>910</v>
      </c>
      <c r="F96" s="22" t="s">
        <v>88</v>
      </c>
      <c r="G96" s="22" t="s">
        <v>833</v>
      </c>
      <c r="H96" s="21" t="s">
        <v>980</v>
      </c>
      <c r="I96" s="23" t="s">
        <v>91</v>
      </c>
      <c r="J96" s="24" t="s">
        <v>981</v>
      </c>
      <c r="K96" s="24" t="s">
        <v>982</v>
      </c>
      <c r="L96" s="24" t="s">
        <v>983</v>
      </c>
      <c r="M96" s="24" t="s">
        <v>984</v>
      </c>
      <c r="N96" s="24" t="s">
        <v>985</v>
      </c>
      <c r="O96" s="24" t="s">
        <v>986</v>
      </c>
      <c r="P96" s="25" t="s">
        <v>987</v>
      </c>
      <c r="Q96" s="28" t="str">
        <f aca="false">"["&amp;안내!$C$5&amp;" "&amp;C96&amp;"] "&amp;J96&amp;" | "&amp;H96</f>
        <v>[1분 성경 #0095] 문설주의 피 | 출 11:1-12:28</v>
      </c>
      <c r="R96" s="23" t="n">
        <f aca="false">INT((A96-1)/안내!$C$9)+1</f>
        <v>19</v>
      </c>
      <c r="S96" s="26" t="n">
        <f aca="false">안내!$C$10+(R96-1)*7+MOD(A96-1,안내!$C$9)</f>
        <v>46521</v>
      </c>
      <c r="T96" s="23" t="s">
        <v>99</v>
      </c>
      <c r="U96" s="23" t="s">
        <v>99</v>
      </c>
      <c r="V96" s="23" t="s">
        <v>99</v>
      </c>
      <c r="W96" s="23" t="s">
        <v>99</v>
      </c>
      <c r="X96" s="28"/>
      <c r="Y96" s="28" t="str">
        <f aca="false">"다음 편: "&amp;J97</f>
        <v>다음 편: 430년 만의 해방</v>
      </c>
    </row>
    <row r="97" customFormat="false" ht="26.85" hidden="false" customHeight="false" outlineLevel="0" collapsed="false">
      <c r="A97" s="20" t="n">
        <v>96</v>
      </c>
      <c r="B97" s="20" t="s">
        <v>988</v>
      </c>
      <c r="C97" s="20" t="s">
        <v>989</v>
      </c>
      <c r="D97" s="20" t="s">
        <v>909</v>
      </c>
      <c r="E97" s="21" t="s">
        <v>910</v>
      </c>
      <c r="F97" s="22" t="s">
        <v>88</v>
      </c>
      <c r="G97" s="22" t="s">
        <v>833</v>
      </c>
      <c r="H97" s="21" t="s">
        <v>990</v>
      </c>
      <c r="I97" s="23" t="s">
        <v>91</v>
      </c>
      <c r="J97" s="28" t="s">
        <v>991</v>
      </c>
      <c r="K97" s="24" t="s">
        <v>992</v>
      </c>
      <c r="L97" s="24" t="s">
        <v>993</v>
      </c>
      <c r="M97" s="24" t="s">
        <v>994</v>
      </c>
      <c r="N97" s="24" t="s">
        <v>995</v>
      </c>
      <c r="O97" s="24" t="s">
        <v>996</v>
      </c>
      <c r="P97" s="25" t="s">
        <v>997</v>
      </c>
      <c r="Q97" s="28" t="str">
        <f aca="false">"["&amp;안내!$C$5&amp;" "&amp;C97&amp;"] "&amp;J97&amp;" | "&amp;H97</f>
        <v>[1분 성경 #0096] 430년 만의 해방 | 출 12:29-51</v>
      </c>
      <c r="R97" s="23" t="n">
        <f aca="false">INT((A97-1)/안내!$C$9)+1</f>
        <v>20</v>
      </c>
      <c r="S97" s="26" t="n">
        <f aca="false">안내!$C$10+(R97-1)*7+MOD(A97-1,안내!$C$9)</f>
        <v>46524</v>
      </c>
      <c r="T97" s="23" t="s">
        <v>99</v>
      </c>
      <c r="U97" s="23" t="s">
        <v>99</v>
      </c>
      <c r="V97" s="23" t="s">
        <v>99</v>
      </c>
      <c r="W97" s="23" t="s">
        <v>99</v>
      </c>
      <c r="X97" s="28"/>
      <c r="Y97" s="28" t="str">
        <f aca="false">"다음 편: "&amp;J98</f>
        <v>다음 편: 구름 기둥과 불 기둥</v>
      </c>
    </row>
    <row r="98" customFormat="false" ht="26.85" hidden="false" customHeight="false" outlineLevel="0" collapsed="false">
      <c r="A98" s="20" t="n">
        <v>97</v>
      </c>
      <c r="B98" s="20" t="s">
        <v>998</v>
      </c>
      <c r="C98" s="20" t="s">
        <v>999</v>
      </c>
      <c r="D98" s="20" t="s">
        <v>909</v>
      </c>
      <c r="E98" s="21" t="s">
        <v>910</v>
      </c>
      <c r="F98" s="22" t="s">
        <v>88</v>
      </c>
      <c r="G98" s="22" t="s">
        <v>833</v>
      </c>
      <c r="H98" s="21" t="s">
        <v>1000</v>
      </c>
      <c r="I98" s="23" t="s">
        <v>91</v>
      </c>
      <c r="J98" s="24" t="s">
        <v>1001</v>
      </c>
      <c r="K98" s="24" t="s">
        <v>1002</v>
      </c>
      <c r="L98" s="24" t="s">
        <v>1003</v>
      </c>
      <c r="M98" s="24" t="s">
        <v>1004</v>
      </c>
      <c r="N98" s="24" t="s">
        <v>1005</v>
      </c>
      <c r="O98" s="24" t="s">
        <v>1006</v>
      </c>
      <c r="P98" s="25" t="s">
        <v>1007</v>
      </c>
      <c r="Q98" s="28" t="str">
        <f aca="false">"["&amp;안내!$C$5&amp;" "&amp;C98&amp;"] "&amp;J98&amp;" | "&amp;H98</f>
        <v>[1분 성경 #0097] 구름 기둥과 불 기둥 | 출 13:1-22</v>
      </c>
      <c r="R98" s="23" t="n">
        <f aca="false">INT((A98-1)/안내!$C$9)+1</f>
        <v>20</v>
      </c>
      <c r="S98" s="26" t="n">
        <f aca="false">안내!$C$10+(R98-1)*7+MOD(A98-1,안내!$C$9)</f>
        <v>46525</v>
      </c>
      <c r="T98" s="23" t="s">
        <v>99</v>
      </c>
      <c r="U98" s="23" t="s">
        <v>99</v>
      </c>
      <c r="V98" s="23" t="s">
        <v>99</v>
      </c>
      <c r="W98" s="23" t="s">
        <v>99</v>
      </c>
      <c r="X98" s="28"/>
      <c r="Y98" s="28" t="str">
        <f aca="false">"다음 편: "&amp;J99</f>
        <v>다음 편: 앞은 바다, 뒤는 군대</v>
      </c>
    </row>
    <row r="99" customFormat="false" ht="25.35" hidden="false" customHeight="false" outlineLevel="0" collapsed="false">
      <c r="A99" s="20" t="n">
        <v>98</v>
      </c>
      <c r="B99" s="20" t="s">
        <v>1008</v>
      </c>
      <c r="C99" s="20" t="s">
        <v>1009</v>
      </c>
      <c r="D99" s="20" t="s">
        <v>1010</v>
      </c>
      <c r="E99" s="21" t="s">
        <v>1011</v>
      </c>
      <c r="F99" s="22" t="s">
        <v>88</v>
      </c>
      <c r="G99" s="22" t="s">
        <v>833</v>
      </c>
      <c r="H99" s="21" t="s">
        <v>1012</v>
      </c>
      <c r="I99" s="23" t="s">
        <v>91</v>
      </c>
      <c r="J99" s="24" t="s">
        <v>1013</v>
      </c>
      <c r="K99" s="24" t="s">
        <v>1014</v>
      </c>
      <c r="L99" s="24" t="s">
        <v>1015</v>
      </c>
      <c r="M99" s="24" t="s">
        <v>1016</v>
      </c>
      <c r="N99" s="24" t="s">
        <v>1017</v>
      </c>
      <c r="O99" s="24" t="s">
        <v>1018</v>
      </c>
      <c r="P99" s="28"/>
      <c r="Q99" s="28" t="str">
        <f aca="false">"["&amp;안내!$C$5&amp;" "&amp;C99&amp;"] "&amp;J99&amp;" | "&amp;H99</f>
        <v>[1분 성경 #0098] 앞은 바다, 뒤는 군대 | 출 14:1-14</v>
      </c>
      <c r="R99" s="23" t="n">
        <f aca="false">INT((A99-1)/안내!$C$9)+1</f>
        <v>20</v>
      </c>
      <c r="S99" s="26" t="n">
        <f aca="false">안내!$C$10+(R99-1)*7+MOD(A99-1,안내!$C$9)</f>
        <v>46526</v>
      </c>
      <c r="T99" s="23" t="s">
        <v>99</v>
      </c>
      <c r="U99" s="23" t="s">
        <v>99</v>
      </c>
      <c r="V99" s="23" t="s">
        <v>99</v>
      </c>
      <c r="W99" s="23" t="s">
        <v>99</v>
      </c>
      <c r="X99" s="28"/>
      <c r="Y99" s="28" t="str">
        <f aca="false">"다음 편: "&amp;J100</f>
        <v>다음 편: 바다가 갈라지다</v>
      </c>
    </row>
    <row r="100" customFormat="false" ht="26.85" hidden="false" customHeight="false" outlineLevel="0" collapsed="false">
      <c r="A100" s="20" t="n">
        <v>99</v>
      </c>
      <c r="B100" s="20" t="s">
        <v>1019</v>
      </c>
      <c r="C100" s="20" t="s">
        <v>1020</v>
      </c>
      <c r="D100" s="20" t="s">
        <v>1010</v>
      </c>
      <c r="E100" s="21" t="s">
        <v>1011</v>
      </c>
      <c r="F100" s="22" t="s">
        <v>88</v>
      </c>
      <c r="G100" s="22" t="s">
        <v>833</v>
      </c>
      <c r="H100" s="21" t="s">
        <v>1021</v>
      </c>
      <c r="I100" s="23" t="s">
        <v>91</v>
      </c>
      <c r="J100" s="24" t="s">
        <v>1022</v>
      </c>
      <c r="K100" s="24" t="s">
        <v>1023</v>
      </c>
      <c r="L100" s="24" t="s">
        <v>1024</v>
      </c>
      <c r="M100" s="24" t="s">
        <v>1025</v>
      </c>
      <c r="N100" s="24" t="s">
        <v>1026</v>
      </c>
      <c r="O100" s="24" t="s">
        <v>1027</v>
      </c>
      <c r="P100" s="25" t="s">
        <v>1028</v>
      </c>
      <c r="Q100" s="28" t="str">
        <f aca="false">"["&amp;안내!$C$5&amp;" "&amp;C100&amp;"] "&amp;J100&amp;" | "&amp;H100</f>
        <v>[1분 성경 #0099] 바다가 갈라지다 | 출 14:15-31</v>
      </c>
      <c r="R100" s="23" t="n">
        <f aca="false">INT((A100-1)/안내!$C$9)+1</f>
        <v>20</v>
      </c>
      <c r="S100" s="26" t="n">
        <f aca="false">안내!$C$10+(R100-1)*7+MOD(A100-1,안내!$C$9)</f>
        <v>46527</v>
      </c>
      <c r="T100" s="23" t="s">
        <v>99</v>
      </c>
      <c r="U100" s="23" t="s">
        <v>99</v>
      </c>
      <c r="V100" s="23" t="s">
        <v>99</v>
      </c>
      <c r="W100" s="23" t="s">
        <v>99</v>
      </c>
      <c r="X100" s="28"/>
      <c r="Y100" s="28" t="str">
        <f aca="false">"다음 편: "&amp;J101</f>
        <v>다음 편: 구원의 노래</v>
      </c>
    </row>
    <row r="101" customFormat="false" ht="26.85" hidden="false" customHeight="false" outlineLevel="0" collapsed="false">
      <c r="A101" s="20" t="n">
        <v>100</v>
      </c>
      <c r="B101" s="20" t="s">
        <v>1029</v>
      </c>
      <c r="C101" s="20" t="s">
        <v>1030</v>
      </c>
      <c r="D101" s="20" t="s">
        <v>1010</v>
      </c>
      <c r="E101" s="21" t="s">
        <v>1011</v>
      </c>
      <c r="F101" s="22" t="s">
        <v>88</v>
      </c>
      <c r="G101" s="22" t="s">
        <v>833</v>
      </c>
      <c r="H101" s="21" t="s">
        <v>1031</v>
      </c>
      <c r="I101" s="23" t="s">
        <v>91</v>
      </c>
      <c r="J101" s="24" t="s">
        <v>1032</v>
      </c>
      <c r="K101" s="24" t="s">
        <v>1033</v>
      </c>
      <c r="L101" s="24" t="s">
        <v>1034</v>
      </c>
      <c r="M101" s="24" t="s">
        <v>1035</v>
      </c>
      <c r="N101" s="24" t="s">
        <v>1036</v>
      </c>
      <c r="O101" s="24" t="s">
        <v>1037</v>
      </c>
      <c r="P101" s="28"/>
      <c r="Q101" s="28" t="str">
        <f aca="false">"["&amp;안내!$C$5&amp;" "&amp;C101&amp;"] "&amp;J101&amp;" | "&amp;H101</f>
        <v>[1분 성경 #0100] 구원의 노래 | 출 15:1-21</v>
      </c>
      <c r="R101" s="23" t="n">
        <f aca="false">INT((A101-1)/안내!$C$9)+1</f>
        <v>20</v>
      </c>
      <c r="S101" s="26" t="n">
        <f aca="false">안내!$C$10+(R101-1)*7+MOD(A101-1,안내!$C$9)</f>
        <v>46528</v>
      </c>
      <c r="T101" s="23" t="s">
        <v>99</v>
      </c>
      <c r="U101" s="23" t="s">
        <v>99</v>
      </c>
      <c r="V101" s="23" t="s">
        <v>99</v>
      </c>
      <c r="W101" s="23" t="s">
        <v>99</v>
      </c>
      <c r="X101" s="28"/>
      <c r="Y101" s="28" t="str">
        <f aca="false">"다음 편: "&amp;J102</f>
        <v>다음 편: 쓴 물이 단물로</v>
      </c>
    </row>
    <row r="102" customFormat="false" ht="26.85" hidden="false" customHeight="false" outlineLevel="0" collapsed="false">
      <c r="A102" s="20" t="n">
        <v>101</v>
      </c>
      <c r="B102" s="20" t="s">
        <v>1038</v>
      </c>
      <c r="C102" s="20" t="s">
        <v>1039</v>
      </c>
      <c r="D102" s="20" t="s">
        <v>1010</v>
      </c>
      <c r="E102" s="21" t="s">
        <v>1011</v>
      </c>
      <c r="F102" s="22" t="s">
        <v>88</v>
      </c>
      <c r="G102" s="22" t="s">
        <v>833</v>
      </c>
      <c r="H102" s="21" t="s">
        <v>1040</v>
      </c>
      <c r="I102" s="23" t="s">
        <v>91</v>
      </c>
      <c r="J102" s="24" t="s">
        <v>1041</v>
      </c>
      <c r="K102" s="24" t="s">
        <v>1042</v>
      </c>
      <c r="L102" s="24" t="s">
        <v>1043</v>
      </c>
      <c r="M102" s="24" t="s">
        <v>1044</v>
      </c>
      <c r="N102" s="24" t="s">
        <v>1005</v>
      </c>
      <c r="O102" s="24" t="s">
        <v>1045</v>
      </c>
      <c r="P102" s="28"/>
      <c r="Q102" s="28" t="str">
        <f aca="false">"["&amp;안내!$C$5&amp;" "&amp;C102&amp;"] "&amp;J102&amp;" | "&amp;H102</f>
        <v>[1분 성경 #0101] 쓴 물이 단물로 | 출 15:22-27</v>
      </c>
      <c r="R102" s="23" t="n">
        <f aca="false">INT((A102-1)/안내!$C$9)+1</f>
        <v>21</v>
      </c>
      <c r="S102" s="26" t="n">
        <f aca="false">안내!$C$10+(R102-1)*7+MOD(A102-1,안내!$C$9)</f>
        <v>46531</v>
      </c>
      <c r="T102" s="23" t="s">
        <v>99</v>
      </c>
      <c r="U102" s="23" t="s">
        <v>99</v>
      </c>
      <c r="V102" s="23" t="s">
        <v>99</v>
      </c>
      <c r="W102" s="23" t="s">
        <v>99</v>
      </c>
      <c r="X102" s="28"/>
      <c r="Y102" s="28" t="str">
        <f aca="false">"다음 편: "&amp;J103</f>
        <v>다음 편: 하늘에서 내린 빵</v>
      </c>
    </row>
    <row r="103" customFormat="false" ht="15" hidden="false" customHeight="false" outlineLevel="0" collapsed="false">
      <c r="A103" s="20" t="n">
        <v>102</v>
      </c>
      <c r="B103" s="20" t="s">
        <v>1046</v>
      </c>
      <c r="C103" s="20" t="s">
        <v>1047</v>
      </c>
      <c r="D103" s="20" t="s">
        <v>1010</v>
      </c>
      <c r="E103" s="21" t="s">
        <v>1011</v>
      </c>
      <c r="F103" s="22" t="s">
        <v>88</v>
      </c>
      <c r="G103" s="22" t="s">
        <v>833</v>
      </c>
      <c r="H103" s="21" t="s">
        <v>1048</v>
      </c>
      <c r="I103" s="23" t="s">
        <v>91</v>
      </c>
      <c r="J103" s="24" t="s">
        <v>1049</v>
      </c>
      <c r="K103" s="24" t="s">
        <v>1050</v>
      </c>
      <c r="L103" s="24" t="s">
        <v>1051</v>
      </c>
      <c r="M103" s="24" t="s">
        <v>1052</v>
      </c>
      <c r="N103" s="24" t="s">
        <v>1053</v>
      </c>
      <c r="O103" s="24" t="s">
        <v>1054</v>
      </c>
      <c r="P103" s="25" t="s">
        <v>1055</v>
      </c>
      <c r="Q103" s="28" t="str">
        <f aca="false">"["&amp;안내!$C$5&amp;" "&amp;C103&amp;"] "&amp;J103&amp;" | "&amp;H103</f>
        <v>[1분 성경 #0102] 하늘에서 내린 빵 | 출 16:1-36</v>
      </c>
      <c r="R103" s="23" t="n">
        <f aca="false">INT((A103-1)/안내!$C$9)+1</f>
        <v>21</v>
      </c>
      <c r="S103" s="26" t="n">
        <f aca="false">안내!$C$10+(R103-1)*7+MOD(A103-1,안내!$C$9)</f>
        <v>46532</v>
      </c>
      <c r="T103" s="23" t="s">
        <v>99</v>
      </c>
      <c r="U103" s="23" t="s">
        <v>99</v>
      </c>
      <c r="V103" s="23" t="s">
        <v>99</v>
      </c>
      <c r="W103" s="23" t="s">
        <v>99</v>
      </c>
      <c r="X103" s="28"/>
      <c r="Y103" s="28" t="str">
        <f aca="false">"다음 편: "&amp;J104</f>
        <v>다음 편: 반석에서 물이</v>
      </c>
    </row>
    <row r="104" customFormat="false" ht="26.85" hidden="false" customHeight="false" outlineLevel="0" collapsed="false">
      <c r="A104" s="20" t="n">
        <v>103</v>
      </c>
      <c r="B104" s="20" t="s">
        <v>1056</v>
      </c>
      <c r="C104" s="20" t="s">
        <v>1057</v>
      </c>
      <c r="D104" s="20" t="s">
        <v>1010</v>
      </c>
      <c r="E104" s="21" t="s">
        <v>1011</v>
      </c>
      <c r="F104" s="22" t="s">
        <v>88</v>
      </c>
      <c r="G104" s="22" t="s">
        <v>833</v>
      </c>
      <c r="H104" s="21" t="s">
        <v>1058</v>
      </c>
      <c r="I104" s="23" t="s">
        <v>91</v>
      </c>
      <c r="J104" s="24" t="s">
        <v>1059</v>
      </c>
      <c r="K104" s="24" t="s">
        <v>1060</v>
      </c>
      <c r="L104" s="24" t="s">
        <v>1061</v>
      </c>
      <c r="M104" s="24" t="s">
        <v>1062</v>
      </c>
      <c r="N104" s="24" t="s">
        <v>1063</v>
      </c>
      <c r="O104" s="24" t="s">
        <v>1064</v>
      </c>
      <c r="P104" s="25" t="s">
        <v>1065</v>
      </c>
      <c r="Q104" s="28" t="str">
        <f aca="false">"["&amp;안내!$C$5&amp;" "&amp;C104&amp;"] "&amp;J104&amp;" | "&amp;H104</f>
        <v>[1분 성경 #0103] 반석에서 물이 | 출 17:1-7</v>
      </c>
      <c r="R104" s="23" t="n">
        <f aca="false">INT((A104-1)/안내!$C$9)+1</f>
        <v>21</v>
      </c>
      <c r="S104" s="26" t="n">
        <f aca="false">안내!$C$10+(R104-1)*7+MOD(A104-1,안내!$C$9)</f>
        <v>46533</v>
      </c>
      <c r="T104" s="23" t="s">
        <v>99</v>
      </c>
      <c r="U104" s="23" t="s">
        <v>99</v>
      </c>
      <c r="V104" s="23" t="s">
        <v>99</v>
      </c>
      <c r="W104" s="23" t="s">
        <v>99</v>
      </c>
      <c r="X104" s="28"/>
      <c r="Y104" s="28" t="str">
        <f aca="false">"다음 편: "&amp;J105</f>
        <v>다음 편: 모세의 손</v>
      </c>
    </row>
    <row r="105" customFormat="false" ht="26.85" hidden="false" customHeight="false" outlineLevel="0" collapsed="false">
      <c r="A105" s="20" t="n">
        <v>104</v>
      </c>
      <c r="B105" s="20" t="s">
        <v>1066</v>
      </c>
      <c r="C105" s="20" t="s">
        <v>1067</v>
      </c>
      <c r="D105" s="20" t="s">
        <v>1010</v>
      </c>
      <c r="E105" s="21" t="s">
        <v>1011</v>
      </c>
      <c r="F105" s="22" t="s">
        <v>88</v>
      </c>
      <c r="G105" s="22" t="s">
        <v>833</v>
      </c>
      <c r="H105" s="21" t="s">
        <v>1068</v>
      </c>
      <c r="I105" s="23" t="s">
        <v>91</v>
      </c>
      <c r="J105" s="24" t="s">
        <v>1069</v>
      </c>
      <c r="K105" s="24" t="s">
        <v>1070</v>
      </c>
      <c r="L105" s="24" t="s">
        <v>1071</v>
      </c>
      <c r="M105" s="24" t="s">
        <v>1072</v>
      </c>
      <c r="N105" s="24" t="s">
        <v>1073</v>
      </c>
      <c r="O105" s="24" t="s">
        <v>1074</v>
      </c>
      <c r="P105" s="25" t="s">
        <v>1075</v>
      </c>
      <c r="Q105" s="28" t="str">
        <f aca="false">"["&amp;안내!$C$5&amp;" "&amp;C105&amp;"] "&amp;J105&amp;" | "&amp;H105</f>
        <v>[1분 성경 #0104] 모세의 손 | 출 17:8-16</v>
      </c>
      <c r="R105" s="23" t="n">
        <f aca="false">INT((A105-1)/안내!$C$9)+1</f>
        <v>21</v>
      </c>
      <c r="S105" s="26" t="n">
        <f aca="false">안내!$C$10+(R105-1)*7+MOD(A105-1,안내!$C$9)</f>
        <v>46534</v>
      </c>
      <c r="T105" s="23" t="s">
        <v>99</v>
      </c>
      <c r="U105" s="23" t="s">
        <v>99</v>
      </c>
      <c r="V105" s="23" t="s">
        <v>99</v>
      </c>
      <c r="W105" s="23" t="s">
        <v>99</v>
      </c>
      <c r="X105" s="28"/>
      <c r="Y105" s="28" t="str">
        <f aca="false">"다음 편: "&amp;J106</f>
        <v>다음 편: 혼자 다 하려다 지친 리더</v>
      </c>
    </row>
    <row r="106" customFormat="false" ht="26.85" hidden="false" customHeight="false" outlineLevel="0" collapsed="false">
      <c r="A106" s="20" t="n">
        <v>105</v>
      </c>
      <c r="B106" s="20" t="s">
        <v>1076</v>
      </c>
      <c r="C106" s="20" t="s">
        <v>1077</v>
      </c>
      <c r="D106" s="20" t="s">
        <v>1010</v>
      </c>
      <c r="E106" s="21" t="s">
        <v>1011</v>
      </c>
      <c r="F106" s="22" t="s">
        <v>88</v>
      </c>
      <c r="G106" s="22" t="s">
        <v>833</v>
      </c>
      <c r="H106" s="21" t="s">
        <v>1078</v>
      </c>
      <c r="I106" s="23" t="s">
        <v>91</v>
      </c>
      <c r="J106" s="24" t="s">
        <v>1079</v>
      </c>
      <c r="K106" s="24" t="s">
        <v>1080</v>
      </c>
      <c r="L106" s="24" t="s">
        <v>1081</v>
      </c>
      <c r="M106" s="24" t="s">
        <v>1082</v>
      </c>
      <c r="N106" s="24" t="s">
        <v>1083</v>
      </c>
      <c r="O106" s="24" t="s">
        <v>1084</v>
      </c>
      <c r="P106" s="28"/>
      <c r="Q106" s="28" t="str">
        <f aca="false">"["&amp;안내!$C$5&amp;" "&amp;C106&amp;"] "&amp;J106&amp;" | "&amp;H106</f>
        <v>[1분 성경 #0105] 혼자 다 하려다 지친 리더 | 출 18:1-27</v>
      </c>
      <c r="R106" s="23" t="n">
        <f aca="false">INT((A106-1)/안내!$C$9)+1</f>
        <v>21</v>
      </c>
      <c r="S106" s="26" t="n">
        <f aca="false">안내!$C$10+(R106-1)*7+MOD(A106-1,안내!$C$9)</f>
        <v>46535</v>
      </c>
      <c r="T106" s="23" t="s">
        <v>99</v>
      </c>
      <c r="U106" s="23" t="s">
        <v>99</v>
      </c>
      <c r="V106" s="23" t="s">
        <v>99</v>
      </c>
      <c r="W106" s="23" t="s">
        <v>99</v>
      </c>
      <c r="X106" s="28"/>
      <c r="Y106" s="28" t="str">
        <f aca="false">"다음 편: "&amp;J107</f>
        <v>다음 편: 불타는 시내산</v>
      </c>
    </row>
    <row r="107" customFormat="false" ht="26.85" hidden="false" customHeight="false" outlineLevel="0" collapsed="false">
      <c r="A107" s="20" t="n">
        <v>106</v>
      </c>
      <c r="B107" s="20" t="s">
        <v>1085</v>
      </c>
      <c r="C107" s="20" t="s">
        <v>1086</v>
      </c>
      <c r="D107" s="20" t="s">
        <v>1087</v>
      </c>
      <c r="E107" s="21" t="s">
        <v>1088</v>
      </c>
      <c r="F107" s="22" t="s">
        <v>88</v>
      </c>
      <c r="G107" s="22" t="s">
        <v>833</v>
      </c>
      <c r="H107" s="21" t="s">
        <v>1089</v>
      </c>
      <c r="I107" s="23" t="s">
        <v>91</v>
      </c>
      <c r="J107" s="24" t="s">
        <v>1090</v>
      </c>
      <c r="K107" s="24" t="s">
        <v>1091</v>
      </c>
      <c r="L107" s="24" t="s">
        <v>1092</v>
      </c>
      <c r="M107" s="24" t="s">
        <v>1093</v>
      </c>
      <c r="N107" s="24" t="s">
        <v>1005</v>
      </c>
      <c r="O107" s="24" t="s">
        <v>1094</v>
      </c>
      <c r="P107" s="25" t="s">
        <v>1095</v>
      </c>
      <c r="Q107" s="28" t="str">
        <f aca="false">"["&amp;안내!$C$5&amp;" "&amp;C107&amp;"] "&amp;J107&amp;" | "&amp;H107</f>
        <v>[1분 성경 #0106] 불타는 시내산 | 출 19:1-25</v>
      </c>
      <c r="R107" s="23" t="n">
        <f aca="false">INT((A107-1)/안내!$C$9)+1</f>
        <v>22</v>
      </c>
      <c r="S107" s="26" t="n">
        <f aca="false">안내!$C$10+(R107-1)*7+MOD(A107-1,안내!$C$9)</f>
        <v>46538</v>
      </c>
      <c r="T107" s="23" t="s">
        <v>99</v>
      </c>
      <c r="U107" s="23" t="s">
        <v>99</v>
      </c>
      <c r="V107" s="23" t="s">
        <v>99</v>
      </c>
      <c r="W107" s="23" t="s">
        <v>99</v>
      </c>
      <c r="X107" s="28"/>
      <c r="Y107" s="28" t="str">
        <f aca="false">"다음 편: "&amp;J108</f>
        <v>다음 편: 십계명 ① 하나님 사랑</v>
      </c>
    </row>
    <row r="108" customFormat="false" ht="39.55" hidden="false" customHeight="false" outlineLevel="0" collapsed="false">
      <c r="A108" s="20" t="n">
        <v>107</v>
      </c>
      <c r="B108" s="20" t="s">
        <v>1096</v>
      </c>
      <c r="C108" s="20" t="s">
        <v>1097</v>
      </c>
      <c r="D108" s="20" t="s">
        <v>1087</v>
      </c>
      <c r="E108" s="21" t="s">
        <v>1088</v>
      </c>
      <c r="F108" s="22" t="s">
        <v>88</v>
      </c>
      <c r="G108" s="22" t="s">
        <v>833</v>
      </c>
      <c r="H108" s="21" t="s">
        <v>1098</v>
      </c>
      <c r="I108" s="23" t="s">
        <v>91</v>
      </c>
      <c r="J108" s="24" t="s">
        <v>1099</v>
      </c>
      <c r="K108" s="24" t="s">
        <v>1100</v>
      </c>
      <c r="L108" s="24" t="s">
        <v>1101</v>
      </c>
      <c r="M108" s="24" t="s">
        <v>1102</v>
      </c>
      <c r="N108" s="24" t="s">
        <v>906</v>
      </c>
      <c r="O108" s="24" t="s">
        <v>1103</v>
      </c>
      <c r="P108" s="27" t="s">
        <v>1104</v>
      </c>
      <c r="Q108" s="28" t="str">
        <f aca="false">"["&amp;안내!$C$5&amp;" "&amp;C108&amp;"] "&amp;J108&amp;" | "&amp;H108</f>
        <v>[1분 성경 #0107] 십계명 ① 하나님 사랑 | 출 20:1-11</v>
      </c>
      <c r="R108" s="23" t="n">
        <f aca="false">INT((A108-1)/안내!$C$9)+1</f>
        <v>22</v>
      </c>
      <c r="S108" s="26" t="n">
        <f aca="false">안내!$C$10+(R108-1)*7+MOD(A108-1,안내!$C$9)</f>
        <v>46539</v>
      </c>
      <c r="T108" s="23" t="s">
        <v>99</v>
      </c>
      <c r="U108" s="23" t="s">
        <v>99</v>
      </c>
      <c r="V108" s="23" t="s">
        <v>99</v>
      </c>
      <c r="W108" s="23" t="s">
        <v>99</v>
      </c>
      <c r="X108" s="28"/>
      <c r="Y108" s="28" t="str">
        <f aca="false">"다음 편: "&amp;J109</f>
        <v>다음 편: 십계명 ② 이웃 사랑</v>
      </c>
    </row>
    <row r="109" customFormat="false" ht="26.85" hidden="false" customHeight="false" outlineLevel="0" collapsed="false">
      <c r="A109" s="20" t="n">
        <v>108</v>
      </c>
      <c r="B109" s="20" t="s">
        <v>1105</v>
      </c>
      <c r="C109" s="20" t="s">
        <v>1106</v>
      </c>
      <c r="D109" s="20" t="s">
        <v>1087</v>
      </c>
      <c r="E109" s="21" t="s">
        <v>1088</v>
      </c>
      <c r="F109" s="22" t="s">
        <v>88</v>
      </c>
      <c r="G109" s="22" t="s">
        <v>833</v>
      </c>
      <c r="H109" s="21" t="s">
        <v>1107</v>
      </c>
      <c r="I109" s="23" t="s">
        <v>91</v>
      </c>
      <c r="J109" s="24" t="s">
        <v>1108</v>
      </c>
      <c r="K109" s="24" t="s">
        <v>1109</v>
      </c>
      <c r="L109" s="24" t="s">
        <v>1110</v>
      </c>
      <c r="M109" s="24" t="s">
        <v>1111</v>
      </c>
      <c r="N109" s="24" t="s">
        <v>1005</v>
      </c>
      <c r="O109" s="24" t="s">
        <v>1112</v>
      </c>
      <c r="P109" s="28"/>
      <c r="Q109" s="28" t="str">
        <f aca="false">"["&amp;안내!$C$5&amp;" "&amp;C109&amp;"] "&amp;J109&amp;" | "&amp;H109</f>
        <v>[1분 성경 #0108] 십계명 ② 이웃 사랑 | 출 20:12-17</v>
      </c>
      <c r="R109" s="23" t="n">
        <f aca="false">INT((A109-1)/안내!$C$9)+1</f>
        <v>22</v>
      </c>
      <c r="S109" s="26" t="n">
        <f aca="false">안내!$C$10+(R109-1)*7+MOD(A109-1,안내!$C$9)</f>
        <v>46540</v>
      </c>
      <c r="T109" s="23" t="s">
        <v>99</v>
      </c>
      <c r="U109" s="23" t="s">
        <v>99</v>
      </c>
      <c r="V109" s="23" t="s">
        <v>99</v>
      </c>
      <c r="W109" s="23" t="s">
        <v>99</v>
      </c>
      <c r="X109" s="28"/>
      <c r="Y109" s="28" t="str">
        <f aca="false">"다음 편: "&amp;J110</f>
        <v>다음 편: 약자를 지키는 법</v>
      </c>
    </row>
    <row r="110" customFormat="false" ht="25.35" hidden="false" customHeight="false" outlineLevel="0" collapsed="false">
      <c r="A110" s="20" t="n">
        <v>109</v>
      </c>
      <c r="B110" s="20" t="s">
        <v>1113</v>
      </c>
      <c r="C110" s="20" t="s">
        <v>1114</v>
      </c>
      <c r="D110" s="20" t="s">
        <v>1087</v>
      </c>
      <c r="E110" s="21" t="s">
        <v>1088</v>
      </c>
      <c r="F110" s="22" t="s">
        <v>88</v>
      </c>
      <c r="G110" s="22" t="s">
        <v>833</v>
      </c>
      <c r="H110" s="21" t="s">
        <v>1115</v>
      </c>
      <c r="I110" s="23" t="s">
        <v>1116</v>
      </c>
      <c r="J110" s="24" t="s">
        <v>1117</v>
      </c>
      <c r="K110" s="28" t="s">
        <v>1118</v>
      </c>
      <c r="L110" s="24" t="s">
        <v>1119</v>
      </c>
      <c r="M110" s="24" t="s">
        <v>1120</v>
      </c>
      <c r="N110" s="24" t="s">
        <v>1005</v>
      </c>
      <c r="O110" s="24" t="s">
        <v>1121</v>
      </c>
      <c r="P110" s="28"/>
      <c r="Q110" s="28" t="str">
        <f aca="false">"["&amp;안내!$C$5&amp;" "&amp;C110&amp;"] "&amp;J110&amp;" | "&amp;H110</f>
        <v>[1분 성경 #0109] 약자를 지키는 법 | 출 20:18-23:33</v>
      </c>
      <c r="R110" s="23" t="n">
        <f aca="false">INT((A110-1)/안내!$C$9)+1</f>
        <v>22</v>
      </c>
      <c r="S110" s="26" t="n">
        <f aca="false">안내!$C$10+(R110-1)*7+MOD(A110-1,안내!$C$9)</f>
        <v>46541</v>
      </c>
      <c r="T110" s="23" t="s">
        <v>99</v>
      </c>
      <c r="U110" s="23" t="s">
        <v>99</v>
      </c>
      <c r="V110" s="23" t="s">
        <v>99</v>
      </c>
      <c r="W110" s="23" t="s">
        <v>99</v>
      </c>
      <c r="X110" s="28"/>
      <c r="Y110" s="28" t="str">
        <f aca="false">"다음 편: "&amp;J111</f>
        <v>다음 편: 피로 맺은 약속</v>
      </c>
    </row>
    <row r="111" customFormat="false" ht="26.85" hidden="false" customHeight="false" outlineLevel="0" collapsed="false">
      <c r="A111" s="20" t="n">
        <v>110</v>
      </c>
      <c r="B111" s="20" t="s">
        <v>1122</v>
      </c>
      <c r="C111" s="20" t="s">
        <v>1123</v>
      </c>
      <c r="D111" s="20" t="s">
        <v>1087</v>
      </c>
      <c r="E111" s="21" t="s">
        <v>1088</v>
      </c>
      <c r="F111" s="22" t="s">
        <v>88</v>
      </c>
      <c r="G111" s="22" t="s">
        <v>833</v>
      </c>
      <c r="H111" s="21" t="s">
        <v>1124</v>
      </c>
      <c r="I111" s="23" t="s">
        <v>91</v>
      </c>
      <c r="J111" s="24" t="s">
        <v>1125</v>
      </c>
      <c r="K111" s="24" t="s">
        <v>1126</v>
      </c>
      <c r="L111" s="24" t="s">
        <v>1127</v>
      </c>
      <c r="M111" s="24" t="s">
        <v>1128</v>
      </c>
      <c r="N111" s="24" t="s">
        <v>1129</v>
      </c>
      <c r="O111" s="24" t="s">
        <v>1130</v>
      </c>
      <c r="P111" s="25" t="s">
        <v>1131</v>
      </c>
      <c r="Q111" s="28" t="str">
        <f aca="false">"["&amp;안내!$C$5&amp;" "&amp;C111&amp;"] "&amp;J111&amp;" | "&amp;H111</f>
        <v>[1분 성경 #0110] 피로 맺은 약속 | 출 24:1-18</v>
      </c>
      <c r="R111" s="23" t="n">
        <f aca="false">INT((A111-1)/안내!$C$9)+1</f>
        <v>22</v>
      </c>
      <c r="S111" s="26" t="n">
        <f aca="false">안내!$C$10+(R111-1)*7+MOD(A111-1,안내!$C$9)</f>
        <v>46542</v>
      </c>
      <c r="T111" s="23" t="s">
        <v>99</v>
      </c>
      <c r="U111" s="23" t="s">
        <v>99</v>
      </c>
      <c r="V111" s="23" t="s">
        <v>99</v>
      </c>
      <c r="W111" s="23" t="s">
        <v>99</v>
      </c>
      <c r="X111" s="28"/>
      <c r="Y111" s="28" t="str">
        <f aca="false">"다음 편: "&amp;J112</f>
        <v>다음 편: 하나님이 함께 사시는 텐트</v>
      </c>
    </row>
    <row r="112" customFormat="false" ht="26.85" hidden="false" customHeight="false" outlineLevel="0" collapsed="false">
      <c r="A112" s="20" t="n">
        <v>111</v>
      </c>
      <c r="B112" s="20" t="s">
        <v>1132</v>
      </c>
      <c r="C112" s="20" t="s">
        <v>1133</v>
      </c>
      <c r="D112" s="20" t="s">
        <v>1087</v>
      </c>
      <c r="E112" s="21" t="s">
        <v>1088</v>
      </c>
      <c r="F112" s="22" t="s">
        <v>88</v>
      </c>
      <c r="G112" s="22" t="s">
        <v>833</v>
      </c>
      <c r="H112" s="21" t="s">
        <v>1134</v>
      </c>
      <c r="I112" s="23" t="s">
        <v>1116</v>
      </c>
      <c r="J112" s="24" t="s">
        <v>1135</v>
      </c>
      <c r="K112" s="24" t="s">
        <v>1136</v>
      </c>
      <c r="L112" s="24" t="s">
        <v>1137</v>
      </c>
      <c r="M112" s="24" t="s">
        <v>1138</v>
      </c>
      <c r="N112" s="24" t="s">
        <v>1139</v>
      </c>
      <c r="O112" s="24" t="s">
        <v>1140</v>
      </c>
      <c r="P112" s="25" t="s">
        <v>1141</v>
      </c>
      <c r="Q112" s="28" t="str">
        <f aca="false">"["&amp;안내!$C$5&amp;" "&amp;C112&amp;"] "&amp;J112&amp;" | "&amp;H112</f>
        <v>[1분 성경 #0111] 하나님이 함께 사시는 텐트 | 출 25:1-27:21</v>
      </c>
      <c r="R112" s="23" t="n">
        <f aca="false">INT((A112-1)/안내!$C$9)+1</f>
        <v>23</v>
      </c>
      <c r="S112" s="26" t="n">
        <f aca="false">안내!$C$10+(R112-1)*7+MOD(A112-1,안내!$C$9)</f>
        <v>46545</v>
      </c>
      <c r="T112" s="23" t="s">
        <v>99</v>
      </c>
      <c r="U112" s="23" t="s">
        <v>99</v>
      </c>
      <c r="V112" s="23" t="s">
        <v>99</v>
      </c>
      <c r="W112" s="23" t="s">
        <v>99</v>
      </c>
      <c r="X112" s="28"/>
      <c r="Y112" s="28" t="str">
        <f aca="false">"다음 편: "&amp;J113</f>
        <v>다음 편: 대제사장의 옷</v>
      </c>
    </row>
    <row r="113" customFormat="false" ht="26.85" hidden="false" customHeight="false" outlineLevel="0" collapsed="false">
      <c r="A113" s="20" t="n">
        <v>112</v>
      </c>
      <c r="B113" s="20" t="s">
        <v>1142</v>
      </c>
      <c r="C113" s="20" t="s">
        <v>1143</v>
      </c>
      <c r="D113" s="20" t="s">
        <v>1087</v>
      </c>
      <c r="E113" s="21" t="s">
        <v>1088</v>
      </c>
      <c r="F113" s="22" t="s">
        <v>88</v>
      </c>
      <c r="G113" s="22" t="s">
        <v>833</v>
      </c>
      <c r="H113" s="21" t="s">
        <v>1144</v>
      </c>
      <c r="I113" s="23" t="s">
        <v>1116</v>
      </c>
      <c r="J113" s="24" t="s">
        <v>1145</v>
      </c>
      <c r="K113" s="24" t="s">
        <v>1146</v>
      </c>
      <c r="L113" s="24" t="s">
        <v>1147</v>
      </c>
      <c r="M113" s="24" t="s">
        <v>1148</v>
      </c>
      <c r="N113" s="24" t="s">
        <v>1149</v>
      </c>
      <c r="O113" s="24" t="s">
        <v>1150</v>
      </c>
      <c r="P113" s="25" t="s">
        <v>1151</v>
      </c>
      <c r="Q113" s="28" t="str">
        <f aca="false">"["&amp;안내!$C$5&amp;" "&amp;C113&amp;"] "&amp;J113&amp;" | "&amp;H113</f>
        <v>[1분 성경 #0112] 대제사장의 옷 | 출 28:1-29:46</v>
      </c>
      <c r="R113" s="23" t="n">
        <f aca="false">INT((A113-1)/안내!$C$9)+1</f>
        <v>23</v>
      </c>
      <c r="S113" s="26" t="n">
        <f aca="false">안내!$C$10+(R113-1)*7+MOD(A113-1,안내!$C$9)</f>
        <v>46546</v>
      </c>
      <c r="T113" s="23" t="s">
        <v>99</v>
      </c>
      <c r="U113" s="23" t="s">
        <v>99</v>
      </c>
      <c r="V113" s="23" t="s">
        <v>99</v>
      </c>
      <c r="W113" s="23" t="s">
        <v>99</v>
      </c>
      <c r="X113" s="28"/>
      <c r="Y113" s="28" t="str">
        <f aca="false">"다음 편: "&amp;J114</f>
        <v>다음 편: 하나님이 부르신 기술자</v>
      </c>
    </row>
    <row r="114" customFormat="false" ht="26.85" hidden="false" customHeight="false" outlineLevel="0" collapsed="false">
      <c r="A114" s="20" t="n">
        <v>113</v>
      </c>
      <c r="B114" s="20" t="s">
        <v>1152</v>
      </c>
      <c r="C114" s="20" t="s">
        <v>1153</v>
      </c>
      <c r="D114" s="20" t="s">
        <v>1087</v>
      </c>
      <c r="E114" s="21" t="s">
        <v>1088</v>
      </c>
      <c r="F114" s="22" t="s">
        <v>88</v>
      </c>
      <c r="G114" s="22" t="s">
        <v>833</v>
      </c>
      <c r="H114" s="21" t="s">
        <v>1154</v>
      </c>
      <c r="I114" s="23" t="s">
        <v>1116</v>
      </c>
      <c r="J114" s="24" t="s">
        <v>1155</v>
      </c>
      <c r="K114" s="24" t="s">
        <v>1156</v>
      </c>
      <c r="L114" s="24" t="s">
        <v>1157</v>
      </c>
      <c r="M114" s="24" t="s">
        <v>1158</v>
      </c>
      <c r="N114" s="24" t="s">
        <v>1159</v>
      </c>
      <c r="O114" s="24" t="s">
        <v>1160</v>
      </c>
      <c r="P114" s="25" t="s">
        <v>1161</v>
      </c>
      <c r="Q114" s="28" t="str">
        <f aca="false">"["&amp;안내!$C$5&amp;" "&amp;C114&amp;"] "&amp;J114&amp;" | "&amp;H114</f>
        <v>[1분 성경 #0113] 하나님이 부르신 기술자 | 출 30:1-31:18</v>
      </c>
      <c r="R114" s="23" t="n">
        <f aca="false">INT((A114-1)/안내!$C$9)+1</f>
        <v>23</v>
      </c>
      <c r="S114" s="26" t="n">
        <f aca="false">안내!$C$10+(R114-1)*7+MOD(A114-1,안내!$C$9)</f>
        <v>46547</v>
      </c>
      <c r="T114" s="23" t="s">
        <v>99</v>
      </c>
      <c r="U114" s="23" t="s">
        <v>99</v>
      </c>
      <c r="V114" s="23" t="s">
        <v>99</v>
      </c>
      <c r="W114" s="23" t="s">
        <v>99</v>
      </c>
      <c r="X114" s="28"/>
      <c r="Y114" s="28" t="str">
        <f aca="false">"다음 편: "&amp;J115</f>
        <v>다음 편: 금송아지</v>
      </c>
    </row>
    <row r="115" customFormat="false" ht="26.85" hidden="false" customHeight="false" outlineLevel="0" collapsed="false">
      <c r="A115" s="20" t="n">
        <v>114</v>
      </c>
      <c r="B115" s="20" t="s">
        <v>1162</v>
      </c>
      <c r="C115" s="20" t="s">
        <v>1163</v>
      </c>
      <c r="D115" s="20" t="s">
        <v>1164</v>
      </c>
      <c r="E115" s="21" t="s">
        <v>1165</v>
      </c>
      <c r="F115" s="22" t="s">
        <v>88</v>
      </c>
      <c r="G115" s="22" t="s">
        <v>833</v>
      </c>
      <c r="H115" s="21" t="s">
        <v>1166</v>
      </c>
      <c r="I115" s="23" t="s">
        <v>91</v>
      </c>
      <c r="J115" s="24" t="s">
        <v>1167</v>
      </c>
      <c r="K115" s="28" t="s">
        <v>1168</v>
      </c>
      <c r="L115" s="24" t="s">
        <v>1169</v>
      </c>
      <c r="M115" s="24" t="s">
        <v>1170</v>
      </c>
      <c r="N115" s="24" t="s">
        <v>1171</v>
      </c>
      <c r="O115" s="24" t="s">
        <v>1172</v>
      </c>
      <c r="P115" s="25" t="s">
        <v>1173</v>
      </c>
      <c r="Q115" s="28" t="str">
        <f aca="false">"["&amp;안내!$C$5&amp;" "&amp;C115&amp;"] "&amp;J115&amp;" | "&amp;H115</f>
        <v>[1분 성경 #0114] 금송아지 | 출 32:1-14</v>
      </c>
      <c r="R115" s="23" t="n">
        <f aca="false">INT((A115-1)/안내!$C$9)+1</f>
        <v>23</v>
      </c>
      <c r="S115" s="26" t="n">
        <f aca="false">안내!$C$10+(R115-1)*7+MOD(A115-1,안내!$C$9)</f>
        <v>46548</v>
      </c>
      <c r="T115" s="23" t="s">
        <v>99</v>
      </c>
      <c r="U115" s="23" t="s">
        <v>99</v>
      </c>
      <c r="V115" s="23" t="s">
        <v>99</v>
      </c>
      <c r="W115" s="23" t="s">
        <v>99</v>
      </c>
      <c r="X115" s="28"/>
      <c r="Y115" s="28" t="str">
        <f aca="false">"다음 편: "&amp;J116</f>
        <v>다음 편: 깨어진 돌판</v>
      </c>
    </row>
    <row r="116" customFormat="false" ht="26.85" hidden="false" customHeight="false" outlineLevel="0" collapsed="false">
      <c r="A116" s="20" t="n">
        <v>115</v>
      </c>
      <c r="B116" s="20" t="s">
        <v>1174</v>
      </c>
      <c r="C116" s="20" t="s">
        <v>1175</v>
      </c>
      <c r="D116" s="20" t="s">
        <v>1164</v>
      </c>
      <c r="E116" s="21" t="s">
        <v>1165</v>
      </c>
      <c r="F116" s="22" t="s">
        <v>88</v>
      </c>
      <c r="G116" s="22" t="s">
        <v>833</v>
      </c>
      <c r="H116" s="21" t="s">
        <v>1176</v>
      </c>
      <c r="I116" s="23" t="s">
        <v>91</v>
      </c>
      <c r="J116" s="24" t="s">
        <v>1177</v>
      </c>
      <c r="K116" s="24" t="s">
        <v>1178</v>
      </c>
      <c r="L116" s="24" t="s">
        <v>1179</v>
      </c>
      <c r="M116" s="24" t="s">
        <v>1180</v>
      </c>
      <c r="N116" s="24" t="s">
        <v>1181</v>
      </c>
      <c r="O116" s="24" t="s">
        <v>1182</v>
      </c>
      <c r="P116" s="25" t="s">
        <v>1183</v>
      </c>
      <c r="Q116" s="28" t="str">
        <f aca="false">"["&amp;안내!$C$5&amp;" "&amp;C116&amp;"] "&amp;J116&amp;" | "&amp;H116</f>
        <v>[1분 성경 #0115] 깨어진 돌판 | 출 32:15-35</v>
      </c>
      <c r="R116" s="23" t="n">
        <f aca="false">INT((A116-1)/안내!$C$9)+1</f>
        <v>23</v>
      </c>
      <c r="S116" s="26" t="n">
        <f aca="false">안내!$C$10+(R116-1)*7+MOD(A116-1,안내!$C$9)</f>
        <v>46549</v>
      </c>
      <c r="T116" s="23" t="s">
        <v>99</v>
      </c>
      <c r="U116" s="23" t="s">
        <v>99</v>
      </c>
      <c r="V116" s="23" t="s">
        <v>99</v>
      </c>
      <c r="W116" s="23" t="s">
        <v>99</v>
      </c>
      <c r="X116" s="28"/>
      <c r="Y116" s="28" t="str">
        <f aca="false">"다음 편: "&amp;J117</f>
        <v>다음 편: 주의 영광을 보여 주소서</v>
      </c>
    </row>
    <row r="117" customFormat="false" ht="26.85" hidden="false" customHeight="false" outlineLevel="0" collapsed="false">
      <c r="A117" s="20" t="n">
        <v>116</v>
      </c>
      <c r="B117" s="20" t="s">
        <v>1184</v>
      </c>
      <c r="C117" s="20" t="s">
        <v>1185</v>
      </c>
      <c r="D117" s="20" t="s">
        <v>1164</v>
      </c>
      <c r="E117" s="21" t="s">
        <v>1165</v>
      </c>
      <c r="F117" s="22" t="s">
        <v>88</v>
      </c>
      <c r="G117" s="22" t="s">
        <v>833</v>
      </c>
      <c r="H117" s="21" t="s">
        <v>1186</v>
      </c>
      <c r="I117" s="23" t="s">
        <v>91</v>
      </c>
      <c r="J117" s="24" t="s">
        <v>1187</v>
      </c>
      <c r="K117" s="24" t="s">
        <v>1188</v>
      </c>
      <c r="L117" s="24" t="s">
        <v>1189</v>
      </c>
      <c r="M117" s="24" t="s">
        <v>1190</v>
      </c>
      <c r="N117" s="24" t="s">
        <v>1191</v>
      </c>
      <c r="O117" s="24" t="s">
        <v>1192</v>
      </c>
      <c r="P117" s="25" t="s">
        <v>1193</v>
      </c>
      <c r="Q117" s="28" t="str">
        <f aca="false">"["&amp;안내!$C$5&amp;" "&amp;C117&amp;"] "&amp;J117&amp;" | "&amp;H117</f>
        <v>[1분 성경 #0116] 주의 영광을 보여 주소서 | 출 33:1-23</v>
      </c>
      <c r="R117" s="23" t="n">
        <f aca="false">INT((A117-1)/안내!$C$9)+1</f>
        <v>24</v>
      </c>
      <c r="S117" s="26" t="n">
        <f aca="false">안내!$C$10+(R117-1)*7+MOD(A117-1,안내!$C$9)</f>
        <v>46552</v>
      </c>
      <c r="T117" s="23" t="s">
        <v>99</v>
      </c>
      <c r="U117" s="23" t="s">
        <v>99</v>
      </c>
      <c r="V117" s="23" t="s">
        <v>99</v>
      </c>
      <c r="W117" s="23" t="s">
        <v>99</v>
      </c>
      <c r="X117" s="28"/>
      <c r="Y117" s="28" t="str">
        <f aca="false">"다음 편: "&amp;J118</f>
        <v>다음 편: 빛나는 얼굴</v>
      </c>
    </row>
    <row r="118" customFormat="false" ht="26.85" hidden="false" customHeight="false" outlineLevel="0" collapsed="false">
      <c r="A118" s="20" t="n">
        <v>117</v>
      </c>
      <c r="B118" s="20" t="s">
        <v>1194</v>
      </c>
      <c r="C118" s="20" t="s">
        <v>1195</v>
      </c>
      <c r="D118" s="20" t="s">
        <v>1164</v>
      </c>
      <c r="E118" s="21" t="s">
        <v>1165</v>
      </c>
      <c r="F118" s="22" t="s">
        <v>88</v>
      </c>
      <c r="G118" s="22" t="s">
        <v>833</v>
      </c>
      <c r="H118" s="21" t="s">
        <v>1196</v>
      </c>
      <c r="I118" s="23" t="s">
        <v>91</v>
      </c>
      <c r="J118" s="24" t="s">
        <v>1197</v>
      </c>
      <c r="K118" s="24" t="s">
        <v>1198</v>
      </c>
      <c r="L118" s="24" t="s">
        <v>1199</v>
      </c>
      <c r="M118" s="24" t="s">
        <v>1200</v>
      </c>
      <c r="N118" s="24" t="s">
        <v>1005</v>
      </c>
      <c r="O118" s="24" t="s">
        <v>1201</v>
      </c>
      <c r="P118" s="28"/>
      <c r="Q118" s="28" t="str">
        <f aca="false">"["&amp;안내!$C$5&amp;" "&amp;C118&amp;"] "&amp;J118&amp;" | "&amp;H118</f>
        <v>[1분 성경 #0117] 빛나는 얼굴 | 출 34:1-35</v>
      </c>
      <c r="R118" s="23" t="n">
        <f aca="false">INT((A118-1)/안내!$C$9)+1</f>
        <v>24</v>
      </c>
      <c r="S118" s="26" t="n">
        <f aca="false">안내!$C$10+(R118-1)*7+MOD(A118-1,안내!$C$9)</f>
        <v>46553</v>
      </c>
      <c r="T118" s="23" t="s">
        <v>99</v>
      </c>
      <c r="U118" s="23" t="s">
        <v>99</v>
      </c>
      <c r="V118" s="23" t="s">
        <v>99</v>
      </c>
      <c r="W118" s="23" t="s">
        <v>99</v>
      </c>
      <c r="X118" s="28"/>
      <c r="Y118" s="28" t="str">
        <f aca="false">"다음 편: "&amp;J119</f>
        <v>다음 편: 그만 가져오세요!</v>
      </c>
    </row>
    <row r="119" customFormat="false" ht="26.85" hidden="false" customHeight="false" outlineLevel="0" collapsed="false">
      <c r="A119" s="20" t="n">
        <v>118</v>
      </c>
      <c r="B119" s="20" t="s">
        <v>1202</v>
      </c>
      <c r="C119" s="20" t="s">
        <v>1203</v>
      </c>
      <c r="D119" s="20" t="s">
        <v>1164</v>
      </c>
      <c r="E119" s="21" t="s">
        <v>1165</v>
      </c>
      <c r="F119" s="22" t="s">
        <v>88</v>
      </c>
      <c r="G119" s="22" t="s">
        <v>833</v>
      </c>
      <c r="H119" s="21" t="s">
        <v>1204</v>
      </c>
      <c r="I119" s="23" t="s">
        <v>1116</v>
      </c>
      <c r="J119" s="24" t="s">
        <v>1205</v>
      </c>
      <c r="K119" s="24" t="s">
        <v>1206</v>
      </c>
      <c r="L119" s="24" t="s">
        <v>1207</v>
      </c>
      <c r="M119" s="24" t="s">
        <v>1208</v>
      </c>
      <c r="N119" s="24" t="s">
        <v>1209</v>
      </c>
      <c r="O119" s="24" t="s">
        <v>1160</v>
      </c>
      <c r="P119" s="25" t="s">
        <v>1210</v>
      </c>
      <c r="Q119" s="28" t="str">
        <f aca="false">"["&amp;안내!$C$5&amp;" "&amp;C119&amp;"] "&amp;J119&amp;" | "&amp;H119</f>
        <v>[1분 성경 #0118] 그만 가져오세요! | 출 35:1-36:7</v>
      </c>
      <c r="R119" s="23" t="n">
        <f aca="false">INT((A119-1)/안내!$C$9)+1</f>
        <v>24</v>
      </c>
      <c r="S119" s="26" t="n">
        <f aca="false">안내!$C$10+(R119-1)*7+MOD(A119-1,안내!$C$9)</f>
        <v>46554</v>
      </c>
      <c r="T119" s="23" t="s">
        <v>99</v>
      </c>
      <c r="U119" s="23" t="s">
        <v>99</v>
      </c>
      <c r="V119" s="23" t="s">
        <v>99</v>
      </c>
      <c r="W119" s="23" t="s">
        <v>99</v>
      </c>
      <c r="X119" s="28"/>
      <c r="Y119" s="28" t="str">
        <f aca="false">"다음 편: "&amp;J120</f>
        <v>다음 편: 성막을 만들다</v>
      </c>
    </row>
    <row r="120" customFormat="false" ht="26.85" hidden="false" customHeight="false" outlineLevel="0" collapsed="false">
      <c r="A120" s="20" t="n">
        <v>119</v>
      </c>
      <c r="B120" s="20" t="s">
        <v>1211</v>
      </c>
      <c r="C120" s="20" t="s">
        <v>1212</v>
      </c>
      <c r="D120" s="20" t="s">
        <v>1164</v>
      </c>
      <c r="E120" s="21" t="s">
        <v>1165</v>
      </c>
      <c r="F120" s="22" t="s">
        <v>88</v>
      </c>
      <c r="G120" s="22" t="s">
        <v>833</v>
      </c>
      <c r="H120" s="21" t="s">
        <v>1213</v>
      </c>
      <c r="I120" s="23" t="s">
        <v>1116</v>
      </c>
      <c r="J120" s="24" t="s">
        <v>1214</v>
      </c>
      <c r="K120" s="24" t="s">
        <v>1215</v>
      </c>
      <c r="L120" s="24" t="s">
        <v>1216</v>
      </c>
      <c r="M120" s="24" t="s">
        <v>1217</v>
      </c>
      <c r="N120" s="24" t="s">
        <v>1218</v>
      </c>
      <c r="O120" s="24" t="s">
        <v>1219</v>
      </c>
      <c r="P120" s="28"/>
      <c r="Q120" s="28" t="str">
        <f aca="false">"["&amp;안내!$C$5&amp;" "&amp;C120&amp;"] "&amp;J120&amp;" | "&amp;H120</f>
        <v>[1분 성경 #0119] 성막을 만들다 | 출 36:8-39:43</v>
      </c>
      <c r="R120" s="23" t="n">
        <f aca="false">INT((A120-1)/안내!$C$9)+1</f>
        <v>24</v>
      </c>
      <c r="S120" s="26" t="n">
        <f aca="false">안내!$C$10+(R120-1)*7+MOD(A120-1,안내!$C$9)</f>
        <v>46555</v>
      </c>
      <c r="T120" s="23" t="s">
        <v>99</v>
      </c>
      <c r="U120" s="23" t="s">
        <v>99</v>
      </c>
      <c r="V120" s="23" t="s">
        <v>99</v>
      </c>
      <c r="W120" s="23" t="s">
        <v>99</v>
      </c>
      <c r="X120" s="28"/>
      <c r="Y120" s="28" t="str">
        <f aca="false">"다음 편: "&amp;J121</f>
        <v>다음 편: 영광이 성막에 가득하다</v>
      </c>
    </row>
    <row r="121" customFormat="false" ht="26.85" hidden="false" customHeight="false" outlineLevel="0" collapsed="false">
      <c r="A121" s="20" t="n">
        <v>120</v>
      </c>
      <c r="B121" s="20" t="s">
        <v>1220</v>
      </c>
      <c r="C121" s="20" t="s">
        <v>1221</v>
      </c>
      <c r="D121" s="20" t="s">
        <v>1164</v>
      </c>
      <c r="E121" s="21" t="s">
        <v>1165</v>
      </c>
      <c r="F121" s="22" t="s">
        <v>88</v>
      </c>
      <c r="G121" s="22" t="s">
        <v>833</v>
      </c>
      <c r="H121" s="21" t="s">
        <v>1222</v>
      </c>
      <c r="I121" s="23" t="s">
        <v>91</v>
      </c>
      <c r="J121" s="24" t="s">
        <v>1223</v>
      </c>
      <c r="K121" s="24" t="s">
        <v>1224</v>
      </c>
      <c r="L121" s="24" t="s">
        <v>1225</v>
      </c>
      <c r="M121" s="24" t="s">
        <v>1226</v>
      </c>
      <c r="N121" s="24" t="s">
        <v>1005</v>
      </c>
      <c r="O121" s="24" t="s">
        <v>1227</v>
      </c>
      <c r="P121" s="28"/>
      <c r="Q121" s="28" t="str">
        <f aca="false">"["&amp;안내!$C$5&amp;" "&amp;C121&amp;"] "&amp;J121&amp;" | "&amp;H121</f>
        <v>[1분 성경 #0120] 영광이 성막에 가득하다 | 출 40:1-38</v>
      </c>
      <c r="R121" s="23" t="n">
        <f aca="false">INT((A121-1)/안내!$C$9)+1</f>
        <v>24</v>
      </c>
      <c r="S121" s="26" t="n">
        <f aca="false">안내!$C$10+(R121-1)*7+MOD(A121-1,안내!$C$9)</f>
        <v>46556</v>
      </c>
      <c r="T121" s="23" t="s">
        <v>99</v>
      </c>
      <c r="U121" s="23" t="s">
        <v>99</v>
      </c>
      <c r="V121" s="23" t="s">
        <v>99</v>
      </c>
      <c r="W121" s="23" t="s">
        <v>99</v>
      </c>
      <c r="X121" s="28"/>
      <c r="Y121" s="28" t="str">
        <f aca="false">"다음 편: "&amp;J122</f>
        <v>다음 편: 왜 동물을 바쳤을까?</v>
      </c>
    </row>
    <row r="122" customFormat="false" ht="26.85" hidden="false" customHeight="false" outlineLevel="0" collapsed="false">
      <c r="A122" s="20" t="n">
        <v>121</v>
      </c>
      <c r="B122" s="20" t="s">
        <v>1228</v>
      </c>
      <c r="C122" s="20" t="s">
        <v>1229</v>
      </c>
      <c r="D122" s="20" t="s">
        <v>1230</v>
      </c>
      <c r="E122" s="21" t="s">
        <v>1231</v>
      </c>
      <c r="F122" s="22" t="s">
        <v>88</v>
      </c>
      <c r="G122" s="22" t="s">
        <v>1232</v>
      </c>
      <c r="H122" s="21" t="s">
        <v>1233</v>
      </c>
      <c r="I122" s="23" t="s">
        <v>1116</v>
      </c>
      <c r="J122" s="24" t="s">
        <v>1234</v>
      </c>
      <c r="K122" s="28" t="s">
        <v>1235</v>
      </c>
      <c r="L122" s="24" t="s">
        <v>1236</v>
      </c>
      <c r="M122" s="24" t="s">
        <v>1237</v>
      </c>
      <c r="N122" s="24" t="s">
        <v>1238</v>
      </c>
      <c r="O122" s="24" t="s">
        <v>1239</v>
      </c>
      <c r="P122" s="25" t="s">
        <v>1240</v>
      </c>
      <c r="Q122" s="28" t="str">
        <f aca="false">"["&amp;안내!$C$5&amp;" "&amp;C122&amp;"] "&amp;J122&amp;" | "&amp;H122</f>
        <v>[1분 성경 #0121] 왜 동물을 바쳤을까? | 레 1:1-3:17</v>
      </c>
      <c r="R122" s="23" t="n">
        <f aca="false">INT((A122-1)/안내!$C$9)+1</f>
        <v>25</v>
      </c>
      <c r="S122" s="26" t="n">
        <f aca="false">안내!$C$10+(R122-1)*7+MOD(A122-1,안내!$C$9)</f>
        <v>46559</v>
      </c>
      <c r="T122" s="23" t="s">
        <v>99</v>
      </c>
      <c r="U122" s="23" t="s">
        <v>99</v>
      </c>
      <c r="V122" s="23" t="s">
        <v>99</v>
      </c>
      <c r="W122" s="23" t="s">
        <v>99</v>
      </c>
      <c r="X122" s="28"/>
      <c r="Y122" s="28" t="str">
        <f aca="false">"다음 편: "&amp;J123</f>
        <v>다음 편: 모르고 지은 죄도 죄일까?</v>
      </c>
    </row>
    <row r="123" customFormat="false" ht="26.85" hidden="false" customHeight="false" outlineLevel="0" collapsed="false">
      <c r="A123" s="20" t="n">
        <v>122</v>
      </c>
      <c r="B123" s="20" t="s">
        <v>1241</v>
      </c>
      <c r="C123" s="20" t="s">
        <v>1242</v>
      </c>
      <c r="D123" s="20" t="s">
        <v>1230</v>
      </c>
      <c r="E123" s="21" t="s">
        <v>1231</v>
      </c>
      <c r="F123" s="22" t="s">
        <v>88</v>
      </c>
      <c r="G123" s="22" t="s">
        <v>1232</v>
      </c>
      <c r="H123" s="21" t="s">
        <v>1243</v>
      </c>
      <c r="I123" s="23" t="s">
        <v>1116</v>
      </c>
      <c r="J123" s="24" t="s">
        <v>1244</v>
      </c>
      <c r="K123" s="24" t="s">
        <v>1245</v>
      </c>
      <c r="L123" s="24" t="s">
        <v>1246</v>
      </c>
      <c r="M123" s="24" t="s">
        <v>1247</v>
      </c>
      <c r="N123" s="24" t="s">
        <v>1248</v>
      </c>
      <c r="O123" s="24" t="s">
        <v>1249</v>
      </c>
      <c r="P123" s="28"/>
      <c r="Q123" s="28" t="str">
        <f aca="false">"["&amp;안내!$C$5&amp;" "&amp;C123&amp;"] "&amp;J123&amp;" | "&amp;H123</f>
        <v>[1분 성경 #0122] 모르고 지은 죄도 죄일까? | 레 4:1-7:38</v>
      </c>
      <c r="R123" s="23" t="n">
        <f aca="false">INT((A123-1)/안내!$C$9)+1</f>
        <v>25</v>
      </c>
      <c r="S123" s="26" t="n">
        <f aca="false">안내!$C$10+(R123-1)*7+MOD(A123-1,안내!$C$9)</f>
        <v>46560</v>
      </c>
      <c r="T123" s="23" t="s">
        <v>99</v>
      </c>
      <c r="U123" s="23" t="s">
        <v>99</v>
      </c>
      <c r="V123" s="23" t="s">
        <v>99</v>
      </c>
      <c r="W123" s="23" t="s">
        <v>99</v>
      </c>
      <c r="X123" s="28"/>
      <c r="Y123" s="28" t="str">
        <f aca="false">"다음 편: "&amp;J124</f>
        <v>다음 편: 다른 불</v>
      </c>
    </row>
    <row r="124" customFormat="false" ht="26.85" hidden="false" customHeight="false" outlineLevel="0" collapsed="false">
      <c r="A124" s="20" t="n">
        <v>123</v>
      </c>
      <c r="B124" s="20" t="s">
        <v>1250</v>
      </c>
      <c r="C124" s="20" t="s">
        <v>1251</v>
      </c>
      <c r="D124" s="20" t="s">
        <v>1230</v>
      </c>
      <c r="E124" s="21" t="s">
        <v>1231</v>
      </c>
      <c r="F124" s="22" t="s">
        <v>88</v>
      </c>
      <c r="G124" s="22" t="s">
        <v>1232</v>
      </c>
      <c r="H124" s="21" t="s">
        <v>1252</v>
      </c>
      <c r="I124" s="23" t="s">
        <v>1116</v>
      </c>
      <c r="J124" s="24" t="s">
        <v>1253</v>
      </c>
      <c r="K124" s="24" t="s">
        <v>1254</v>
      </c>
      <c r="L124" s="24" t="s">
        <v>1255</v>
      </c>
      <c r="M124" s="24" t="s">
        <v>1256</v>
      </c>
      <c r="N124" s="24" t="s">
        <v>1257</v>
      </c>
      <c r="O124" s="24" t="s">
        <v>1258</v>
      </c>
      <c r="P124" s="25" t="s">
        <v>1259</v>
      </c>
      <c r="Q124" s="28" t="str">
        <f aca="false">"["&amp;안내!$C$5&amp;" "&amp;C124&amp;"] "&amp;J124&amp;" | "&amp;H124</f>
        <v>[1분 성경 #0123] 다른 불 | 레 8:1-10:7</v>
      </c>
      <c r="R124" s="23" t="n">
        <f aca="false">INT((A124-1)/안내!$C$9)+1</f>
        <v>25</v>
      </c>
      <c r="S124" s="26" t="n">
        <f aca="false">안내!$C$10+(R124-1)*7+MOD(A124-1,안내!$C$9)</f>
        <v>46561</v>
      </c>
      <c r="T124" s="23" t="s">
        <v>99</v>
      </c>
      <c r="U124" s="23" t="s">
        <v>99</v>
      </c>
      <c r="V124" s="23" t="s">
        <v>99</v>
      </c>
      <c r="W124" s="23" t="s">
        <v>99</v>
      </c>
      <c r="X124" s="28"/>
      <c r="Y124" s="28" t="str">
        <f aca="false">"다음 편: "&amp;J125</f>
        <v>다음 편: 먹어도 되는 것, 안 되는 것</v>
      </c>
    </row>
    <row r="125" customFormat="false" ht="26.85" hidden="false" customHeight="false" outlineLevel="0" collapsed="false">
      <c r="A125" s="20" t="n">
        <v>124</v>
      </c>
      <c r="B125" s="20" t="s">
        <v>1260</v>
      </c>
      <c r="C125" s="20" t="s">
        <v>1261</v>
      </c>
      <c r="D125" s="20" t="s">
        <v>1230</v>
      </c>
      <c r="E125" s="21" t="s">
        <v>1231</v>
      </c>
      <c r="F125" s="22" t="s">
        <v>88</v>
      </c>
      <c r="G125" s="22" t="s">
        <v>1232</v>
      </c>
      <c r="H125" s="21" t="s">
        <v>1262</v>
      </c>
      <c r="I125" s="23" t="s">
        <v>1116</v>
      </c>
      <c r="J125" s="24" t="s">
        <v>1263</v>
      </c>
      <c r="K125" s="24" t="s">
        <v>1264</v>
      </c>
      <c r="L125" s="24" t="s">
        <v>1265</v>
      </c>
      <c r="M125" s="24" t="s">
        <v>1266</v>
      </c>
      <c r="N125" s="24" t="s">
        <v>1248</v>
      </c>
      <c r="O125" s="24" t="s">
        <v>1182</v>
      </c>
      <c r="P125" s="25" t="s">
        <v>1267</v>
      </c>
      <c r="Q125" s="28" t="str">
        <f aca="false">"["&amp;안내!$C$5&amp;" "&amp;C125&amp;"] "&amp;J125&amp;" | "&amp;H125</f>
        <v>[1분 성경 #0124] 먹어도 되는 것, 안 되는 것 | 레 11:1-15:33</v>
      </c>
      <c r="R125" s="23" t="n">
        <f aca="false">INT((A125-1)/안내!$C$9)+1</f>
        <v>25</v>
      </c>
      <c r="S125" s="26" t="n">
        <f aca="false">안내!$C$10+(R125-1)*7+MOD(A125-1,안내!$C$9)</f>
        <v>46562</v>
      </c>
      <c r="T125" s="23" t="s">
        <v>99</v>
      </c>
      <c r="U125" s="23" t="s">
        <v>99</v>
      </c>
      <c r="V125" s="23" t="s">
        <v>99</v>
      </c>
      <c r="W125" s="23" t="s">
        <v>99</v>
      </c>
      <c r="X125" s="28"/>
      <c r="Y125" s="28" t="str">
        <f aca="false">"다음 편: "&amp;J126</f>
        <v>다음 편: 1년에 단 하루</v>
      </c>
    </row>
    <row r="126" customFormat="false" ht="26.85" hidden="false" customHeight="false" outlineLevel="0" collapsed="false">
      <c r="A126" s="20" t="n">
        <v>125</v>
      </c>
      <c r="B126" s="20" t="s">
        <v>1268</v>
      </c>
      <c r="C126" s="20" t="s">
        <v>1269</v>
      </c>
      <c r="D126" s="20" t="s">
        <v>1230</v>
      </c>
      <c r="E126" s="21" t="s">
        <v>1231</v>
      </c>
      <c r="F126" s="22" t="s">
        <v>88</v>
      </c>
      <c r="G126" s="22" t="s">
        <v>1232</v>
      </c>
      <c r="H126" s="21" t="s">
        <v>1270</v>
      </c>
      <c r="I126" s="23" t="s">
        <v>1116</v>
      </c>
      <c r="J126" s="28" t="s">
        <v>1271</v>
      </c>
      <c r="K126" s="24" t="s">
        <v>1272</v>
      </c>
      <c r="L126" s="24" t="s">
        <v>1273</v>
      </c>
      <c r="M126" s="24" t="s">
        <v>1274</v>
      </c>
      <c r="N126" s="24" t="s">
        <v>1275</v>
      </c>
      <c r="O126" s="24" t="s">
        <v>1276</v>
      </c>
      <c r="P126" s="25" t="s">
        <v>1277</v>
      </c>
      <c r="Q126" s="28" t="str">
        <f aca="false">"["&amp;안내!$C$5&amp;" "&amp;C126&amp;"] "&amp;J126&amp;" | "&amp;H126</f>
        <v>[1분 성경 #0125] 1년에 단 하루 | 레 16:1-34</v>
      </c>
      <c r="R126" s="23" t="n">
        <f aca="false">INT((A126-1)/안내!$C$9)+1</f>
        <v>25</v>
      </c>
      <c r="S126" s="26" t="n">
        <f aca="false">안내!$C$10+(R126-1)*7+MOD(A126-1,안내!$C$9)</f>
        <v>46563</v>
      </c>
      <c r="T126" s="23" t="s">
        <v>99</v>
      </c>
      <c r="U126" s="23" t="s">
        <v>99</v>
      </c>
      <c r="V126" s="23" t="s">
        <v>99</v>
      </c>
      <c r="W126" s="23" t="s">
        <v>99</v>
      </c>
      <c r="X126" s="28"/>
      <c r="Y126" s="28" t="str">
        <f aca="false">"다음 편: "&amp;J127</f>
        <v>다음 편: 피는 생명이다</v>
      </c>
    </row>
    <row r="127" customFormat="false" ht="39.55" hidden="false" customHeight="false" outlineLevel="0" collapsed="false">
      <c r="A127" s="20" t="n">
        <v>126</v>
      </c>
      <c r="B127" s="20" t="s">
        <v>1278</v>
      </c>
      <c r="C127" s="20" t="s">
        <v>1279</v>
      </c>
      <c r="D127" s="20" t="s">
        <v>1230</v>
      </c>
      <c r="E127" s="21" t="s">
        <v>1231</v>
      </c>
      <c r="F127" s="22" t="s">
        <v>88</v>
      </c>
      <c r="G127" s="22" t="s">
        <v>1232</v>
      </c>
      <c r="H127" s="21" t="s">
        <v>1280</v>
      </c>
      <c r="I127" s="23" t="s">
        <v>1116</v>
      </c>
      <c r="J127" s="24" t="s">
        <v>1281</v>
      </c>
      <c r="K127" s="24" t="s">
        <v>1282</v>
      </c>
      <c r="L127" s="24" t="s">
        <v>1283</v>
      </c>
      <c r="M127" s="24" t="s">
        <v>1284</v>
      </c>
      <c r="N127" s="24" t="s">
        <v>1005</v>
      </c>
      <c r="O127" s="24" t="s">
        <v>1182</v>
      </c>
      <c r="P127" s="27" t="s">
        <v>1285</v>
      </c>
      <c r="Q127" s="28" t="str">
        <f aca="false">"["&amp;안내!$C$5&amp;" "&amp;C127&amp;"] "&amp;J127&amp;" | "&amp;H127</f>
        <v>[1분 성경 #0126] 피는 생명이다 | 레 17:1-18:30</v>
      </c>
      <c r="R127" s="23" t="n">
        <f aca="false">INT((A127-1)/안내!$C$9)+1</f>
        <v>26</v>
      </c>
      <c r="S127" s="26" t="n">
        <f aca="false">안내!$C$10+(R127-1)*7+MOD(A127-1,안내!$C$9)</f>
        <v>46566</v>
      </c>
      <c r="T127" s="23" t="s">
        <v>99</v>
      </c>
      <c r="U127" s="23" t="s">
        <v>99</v>
      </c>
      <c r="V127" s="23" t="s">
        <v>99</v>
      </c>
      <c r="W127" s="23" t="s">
        <v>99</v>
      </c>
      <c r="X127" s="28"/>
      <c r="Y127" s="28" t="str">
        <f aca="false">"다음 편: "&amp;J128</f>
        <v>다음 편: 네 이웃을 네 몸과 같이</v>
      </c>
    </row>
    <row r="128" customFormat="false" ht="26.85" hidden="false" customHeight="false" outlineLevel="0" collapsed="false">
      <c r="A128" s="20" t="n">
        <v>127</v>
      </c>
      <c r="B128" s="20" t="s">
        <v>1286</v>
      </c>
      <c r="C128" s="20" t="s">
        <v>1287</v>
      </c>
      <c r="D128" s="20" t="s">
        <v>1230</v>
      </c>
      <c r="E128" s="21" t="s">
        <v>1231</v>
      </c>
      <c r="F128" s="22" t="s">
        <v>88</v>
      </c>
      <c r="G128" s="22" t="s">
        <v>1232</v>
      </c>
      <c r="H128" s="21" t="s">
        <v>1288</v>
      </c>
      <c r="I128" s="23" t="s">
        <v>1116</v>
      </c>
      <c r="J128" s="24" t="s">
        <v>1289</v>
      </c>
      <c r="K128" s="24" t="s">
        <v>1290</v>
      </c>
      <c r="L128" s="24" t="s">
        <v>1291</v>
      </c>
      <c r="M128" s="24" t="s">
        <v>1292</v>
      </c>
      <c r="N128" s="24" t="s">
        <v>1005</v>
      </c>
      <c r="O128" s="24" t="s">
        <v>1293</v>
      </c>
      <c r="P128" s="28"/>
      <c r="Q128" s="28" t="str">
        <f aca="false">"["&amp;안내!$C$5&amp;" "&amp;C128&amp;"] "&amp;J128&amp;" | "&amp;H128</f>
        <v>[1분 성경 #0127] 네 이웃을 네 몸과 같이 | 레 19:1-37</v>
      </c>
      <c r="R128" s="23" t="n">
        <f aca="false">INT((A128-1)/안내!$C$9)+1</f>
        <v>26</v>
      </c>
      <c r="S128" s="26" t="n">
        <f aca="false">안내!$C$10+(R128-1)*7+MOD(A128-1,안내!$C$9)</f>
        <v>46567</v>
      </c>
      <c r="T128" s="23" t="s">
        <v>99</v>
      </c>
      <c r="U128" s="23" t="s">
        <v>99</v>
      </c>
      <c r="V128" s="23" t="s">
        <v>99</v>
      </c>
      <c r="W128" s="23" t="s">
        <v>99</v>
      </c>
      <c r="X128" s="28"/>
      <c r="Y128" s="28" t="str">
        <f aca="false">"다음 편: "&amp;J129</f>
        <v>다음 편: 구별된 백성</v>
      </c>
    </row>
    <row r="129" customFormat="false" ht="26.85" hidden="false" customHeight="false" outlineLevel="0" collapsed="false">
      <c r="A129" s="20" t="n">
        <v>128</v>
      </c>
      <c r="B129" s="20" t="s">
        <v>1294</v>
      </c>
      <c r="C129" s="20" t="s">
        <v>1295</v>
      </c>
      <c r="D129" s="20" t="s">
        <v>1230</v>
      </c>
      <c r="E129" s="21" t="s">
        <v>1231</v>
      </c>
      <c r="F129" s="22" t="s">
        <v>88</v>
      </c>
      <c r="G129" s="22" t="s">
        <v>1232</v>
      </c>
      <c r="H129" s="21" t="s">
        <v>1296</v>
      </c>
      <c r="I129" s="23" t="s">
        <v>1116</v>
      </c>
      <c r="J129" s="24" t="s">
        <v>1297</v>
      </c>
      <c r="K129" s="24" t="s">
        <v>1298</v>
      </c>
      <c r="L129" s="24" t="s">
        <v>1299</v>
      </c>
      <c r="M129" s="24" t="s">
        <v>1300</v>
      </c>
      <c r="N129" s="24" t="s">
        <v>1248</v>
      </c>
      <c r="O129" s="24" t="s">
        <v>1301</v>
      </c>
      <c r="P129" s="25" t="s">
        <v>1302</v>
      </c>
      <c r="Q129" s="28" t="str">
        <f aca="false">"["&amp;안내!$C$5&amp;" "&amp;C129&amp;"] "&amp;J129&amp;" | "&amp;H129</f>
        <v>[1분 성경 #0128] 구별된 백성 | 레 20:1-22:33</v>
      </c>
      <c r="R129" s="23" t="n">
        <f aca="false">INT((A129-1)/안내!$C$9)+1</f>
        <v>26</v>
      </c>
      <c r="S129" s="26" t="n">
        <f aca="false">안내!$C$10+(R129-1)*7+MOD(A129-1,안내!$C$9)</f>
        <v>46568</v>
      </c>
      <c r="T129" s="23" t="s">
        <v>99</v>
      </c>
      <c r="U129" s="23" t="s">
        <v>99</v>
      </c>
      <c r="V129" s="23" t="s">
        <v>99</v>
      </c>
      <c r="W129" s="23" t="s">
        <v>99</v>
      </c>
      <c r="X129" s="28"/>
      <c r="Y129" s="28" t="str">
        <f aca="false">"다음 편: "&amp;J130</f>
        <v>다음 편: 이스라엘의 일곱 절기</v>
      </c>
    </row>
    <row r="130" customFormat="false" ht="26.85" hidden="false" customHeight="false" outlineLevel="0" collapsed="false">
      <c r="A130" s="20" t="n">
        <v>129</v>
      </c>
      <c r="B130" s="20" t="s">
        <v>1303</v>
      </c>
      <c r="C130" s="20" t="s">
        <v>1304</v>
      </c>
      <c r="D130" s="20" t="s">
        <v>1230</v>
      </c>
      <c r="E130" s="21" t="s">
        <v>1231</v>
      </c>
      <c r="F130" s="22" t="s">
        <v>88</v>
      </c>
      <c r="G130" s="22" t="s">
        <v>1232</v>
      </c>
      <c r="H130" s="21" t="s">
        <v>1305</v>
      </c>
      <c r="I130" s="23" t="s">
        <v>1116</v>
      </c>
      <c r="J130" s="24" t="s">
        <v>1306</v>
      </c>
      <c r="K130" s="24" t="s">
        <v>1307</v>
      </c>
      <c r="L130" s="24" t="s">
        <v>1308</v>
      </c>
      <c r="M130" s="24" t="s">
        <v>1309</v>
      </c>
      <c r="N130" s="24" t="s">
        <v>1310</v>
      </c>
      <c r="O130" s="24" t="s">
        <v>1311</v>
      </c>
      <c r="P130" s="25" t="s">
        <v>1312</v>
      </c>
      <c r="Q130" s="28" t="str">
        <f aca="false">"["&amp;안내!$C$5&amp;" "&amp;C130&amp;"] "&amp;J130&amp;" | "&amp;H130</f>
        <v>[1분 성경 #0129] 이스라엘의 일곱 절기 | 레 23:1-44</v>
      </c>
      <c r="R130" s="23" t="n">
        <f aca="false">INT((A130-1)/안내!$C$9)+1</f>
        <v>26</v>
      </c>
      <c r="S130" s="26" t="n">
        <f aca="false">안내!$C$10+(R130-1)*7+MOD(A130-1,안내!$C$9)</f>
        <v>46569</v>
      </c>
      <c r="T130" s="23" t="s">
        <v>99</v>
      </c>
      <c r="U130" s="23" t="s">
        <v>99</v>
      </c>
      <c r="V130" s="23" t="s">
        <v>99</v>
      </c>
      <c r="W130" s="23" t="s">
        <v>99</v>
      </c>
      <c r="X130" s="28"/>
      <c r="Y130" s="28" t="str">
        <f aca="false">"다음 편: "&amp;J131</f>
        <v>다음 편: 등불과 진설병</v>
      </c>
    </row>
    <row r="131" customFormat="false" ht="26.85" hidden="false" customHeight="false" outlineLevel="0" collapsed="false">
      <c r="A131" s="20" t="n">
        <v>130</v>
      </c>
      <c r="B131" s="20" t="s">
        <v>1313</v>
      </c>
      <c r="C131" s="20" t="s">
        <v>1314</v>
      </c>
      <c r="D131" s="20" t="s">
        <v>1230</v>
      </c>
      <c r="E131" s="21" t="s">
        <v>1231</v>
      </c>
      <c r="F131" s="22" t="s">
        <v>88</v>
      </c>
      <c r="G131" s="22" t="s">
        <v>1232</v>
      </c>
      <c r="H131" s="21" t="s">
        <v>1315</v>
      </c>
      <c r="I131" s="23" t="s">
        <v>1116</v>
      </c>
      <c r="J131" s="24" t="s">
        <v>1316</v>
      </c>
      <c r="K131" s="24" t="s">
        <v>1317</v>
      </c>
      <c r="L131" s="24" t="s">
        <v>1318</v>
      </c>
      <c r="M131" s="24" t="s">
        <v>1319</v>
      </c>
      <c r="N131" s="24" t="s">
        <v>1248</v>
      </c>
      <c r="O131" s="24" t="s">
        <v>1320</v>
      </c>
      <c r="P131" s="25" t="s">
        <v>709</v>
      </c>
      <c r="Q131" s="28" t="str">
        <f aca="false">"["&amp;안내!$C$5&amp;" "&amp;C131&amp;"] "&amp;J131&amp;" | "&amp;H131</f>
        <v>[1분 성경 #0130] 등불과 진설병 | 레 24:1-23</v>
      </c>
      <c r="R131" s="23" t="n">
        <f aca="false">INT((A131-1)/안내!$C$9)+1</f>
        <v>26</v>
      </c>
      <c r="S131" s="26" t="n">
        <f aca="false">안내!$C$10+(R131-1)*7+MOD(A131-1,안내!$C$9)</f>
        <v>46570</v>
      </c>
      <c r="T131" s="23" t="s">
        <v>99</v>
      </c>
      <c r="U131" s="23" t="s">
        <v>99</v>
      </c>
      <c r="V131" s="23" t="s">
        <v>99</v>
      </c>
      <c r="W131" s="23" t="s">
        <v>99</v>
      </c>
      <c r="X131" s="28"/>
      <c r="Y131" s="28" t="str">
        <f aca="false">"다음 편: "&amp;J132</f>
        <v>다음 편: 50년마다 모든 것이 돌아간다</v>
      </c>
    </row>
    <row r="132" customFormat="false" ht="26.85" hidden="false" customHeight="false" outlineLevel="0" collapsed="false">
      <c r="A132" s="20" t="n">
        <v>131</v>
      </c>
      <c r="B132" s="20" t="s">
        <v>1321</v>
      </c>
      <c r="C132" s="20" t="s">
        <v>1322</v>
      </c>
      <c r="D132" s="20" t="s">
        <v>1230</v>
      </c>
      <c r="E132" s="21" t="s">
        <v>1231</v>
      </c>
      <c r="F132" s="22" t="s">
        <v>88</v>
      </c>
      <c r="G132" s="22" t="s">
        <v>1232</v>
      </c>
      <c r="H132" s="21" t="s">
        <v>1323</v>
      </c>
      <c r="I132" s="23" t="s">
        <v>1116</v>
      </c>
      <c r="J132" s="28" t="s">
        <v>1324</v>
      </c>
      <c r="K132" s="24" t="s">
        <v>1325</v>
      </c>
      <c r="L132" s="24" t="s">
        <v>1326</v>
      </c>
      <c r="M132" s="24" t="s">
        <v>1327</v>
      </c>
      <c r="N132" s="24" t="s">
        <v>1310</v>
      </c>
      <c r="O132" s="24" t="s">
        <v>1328</v>
      </c>
      <c r="P132" s="25" t="s">
        <v>1329</v>
      </c>
      <c r="Q132" s="28" t="str">
        <f aca="false">"["&amp;안내!$C$5&amp;" "&amp;C132&amp;"] "&amp;J132&amp;" | "&amp;H132</f>
        <v>[1분 성경 #0131] 50년마다 모든 것이 돌아간다 | 레 25:1-55</v>
      </c>
      <c r="R132" s="23" t="n">
        <f aca="false">INT((A132-1)/안내!$C$9)+1</f>
        <v>27</v>
      </c>
      <c r="S132" s="26" t="n">
        <f aca="false">안내!$C$10+(R132-1)*7+MOD(A132-1,안내!$C$9)</f>
        <v>46573</v>
      </c>
      <c r="T132" s="23" t="s">
        <v>99</v>
      </c>
      <c r="U132" s="23" t="s">
        <v>99</v>
      </c>
      <c r="V132" s="23" t="s">
        <v>99</v>
      </c>
      <c r="W132" s="23" t="s">
        <v>99</v>
      </c>
      <c r="X132" s="28"/>
      <c r="Y132" s="28" t="str">
        <f aca="false">"다음 편: "&amp;J133</f>
        <v>다음 편: 순종과 복</v>
      </c>
    </row>
    <row r="133" customFormat="false" ht="26.85" hidden="false" customHeight="false" outlineLevel="0" collapsed="false">
      <c r="A133" s="20" t="n">
        <v>132</v>
      </c>
      <c r="B133" s="20" t="s">
        <v>1330</v>
      </c>
      <c r="C133" s="20" t="s">
        <v>1331</v>
      </c>
      <c r="D133" s="20" t="s">
        <v>1230</v>
      </c>
      <c r="E133" s="21" t="s">
        <v>1231</v>
      </c>
      <c r="F133" s="22" t="s">
        <v>88</v>
      </c>
      <c r="G133" s="22" t="s">
        <v>1232</v>
      </c>
      <c r="H133" s="21" t="s">
        <v>1332</v>
      </c>
      <c r="I133" s="23" t="s">
        <v>1116</v>
      </c>
      <c r="J133" s="24" t="s">
        <v>1333</v>
      </c>
      <c r="K133" s="24" t="s">
        <v>1334</v>
      </c>
      <c r="L133" s="24" t="s">
        <v>1335</v>
      </c>
      <c r="M133" s="24" t="s">
        <v>1336</v>
      </c>
      <c r="N133" s="24" t="s">
        <v>1005</v>
      </c>
      <c r="O133" s="24" t="s">
        <v>1182</v>
      </c>
      <c r="P133" s="25" t="s">
        <v>1337</v>
      </c>
      <c r="Q133" s="28" t="str">
        <f aca="false">"["&amp;안내!$C$5&amp;" "&amp;C133&amp;"] "&amp;J133&amp;" | "&amp;H133</f>
        <v>[1분 성경 #0132] 순종과 복 | 레 26:1-27:34</v>
      </c>
      <c r="R133" s="23" t="n">
        <f aca="false">INT((A133-1)/안내!$C$9)+1</f>
        <v>27</v>
      </c>
      <c r="S133" s="26" t="n">
        <f aca="false">안내!$C$10+(R133-1)*7+MOD(A133-1,안내!$C$9)</f>
        <v>46574</v>
      </c>
      <c r="T133" s="23" t="s">
        <v>99</v>
      </c>
      <c r="U133" s="23" t="s">
        <v>99</v>
      </c>
      <c r="V133" s="23" t="s">
        <v>99</v>
      </c>
      <c r="W133" s="23" t="s">
        <v>99</v>
      </c>
      <c r="X133" s="28"/>
      <c r="Y133" s="28" t="str">
        <f aca="false">"다음 편: "&amp;J134</f>
        <v>다음 편: 광야의 대형</v>
      </c>
    </row>
    <row r="134" customFormat="false" ht="26.85" hidden="false" customHeight="false" outlineLevel="0" collapsed="false">
      <c r="A134" s="20" t="n">
        <v>133</v>
      </c>
      <c r="B134" s="20" t="s">
        <v>1338</v>
      </c>
      <c r="C134" s="20" t="s">
        <v>1339</v>
      </c>
      <c r="D134" s="20" t="s">
        <v>1340</v>
      </c>
      <c r="E134" s="21" t="s">
        <v>1341</v>
      </c>
      <c r="F134" s="22" t="s">
        <v>88</v>
      </c>
      <c r="G134" s="22" t="s">
        <v>1342</v>
      </c>
      <c r="H134" s="21" t="s">
        <v>1343</v>
      </c>
      <c r="I134" s="23" t="s">
        <v>1116</v>
      </c>
      <c r="J134" s="24" t="s">
        <v>1344</v>
      </c>
      <c r="K134" s="28" t="s">
        <v>1345</v>
      </c>
      <c r="L134" s="24" t="s">
        <v>1346</v>
      </c>
      <c r="M134" s="24" t="s">
        <v>1347</v>
      </c>
      <c r="N134" s="24" t="s">
        <v>1348</v>
      </c>
      <c r="O134" s="24" t="s">
        <v>1349</v>
      </c>
      <c r="P134" s="28"/>
      <c r="Q134" s="28" t="str">
        <f aca="false">"["&amp;안내!$C$5&amp;" "&amp;C134&amp;"] "&amp;J134&amp;" | "&amp;H134</f>
        <v>[1분 성경 #0133] 광야의 대형 | 민 1:1-4:49</v>
      </c>
      <c r="R134" s="23" t="n">
        <f aca="false">INT((A134-1)/안내!$C$9)+1</f>
        <v>27</v>
      </c>
      <c r="S134" s="26" t="n">
        <f aca="false">안내!$C$10+(R134-1)*7+MOD(A134-1,안내!$C$9)</f>
        <v>46575</v>
      </c>
      <c r="T134" s="23" t="s">
        <v>99</v>
      </c>
      <c r="U134" s="23" t="s">
        <v>99</v>
      </c>
      <c r="V134" s="23" t="s">
        <v>99</v>
      </c>
      <c r="W134" s="23" t="s">
        <v>99</v>
      </c>
      <c r="X134" s="28"/>
      <c r="Y134" s="28" t="str">
        <f aca="false">"다음 편: "&amp;J135</f>
        <v>다음 편: 3천 년 된 축복기도</v>
      </c>
    </row>
    <row r="135" customFormat="false" ht="26.85" hidden="false" customHeight="false" outlineLevel="0" collapsed="false">
      <c r="A135" s="20" t="n">
        <v>134</v>
      </c>
      <c r="B135" s="20" t="s">
        <v>1350</v>
      </c>
      <c r="C135" s="20" t="s">
        <v>1351</v>
      </c>
      <c r="D135" s="20" t="s">
        <v>1340</v>
      </c>
      <c r="E135" s="21" t="s">
        <v>1341</v>
      </c>
      <c r="F135" s="22" t="s">
        <v>88</v>
      </c>
      <c r="G135" s="22" t="s">
        <v>1342</v>
      </c>
      <c r="H135" s="21" t="s">
        <v>1352</v>
      </c>
      <c r="I135" s="23" t="s">
        <v>1116</v>
      </c>
      <c r="J135" s="28" t="s">
        <v>1353</v>
      </c>
      <c r="K135" s="24" t="s">
        <v>1354</v>
      </c>
      <c r="L135" s="24" t="s">
        <v>1355</v>
      </c>
      <c r="M135" s="24" t="s">
        <v>1356</v>
      </c>
      <c r="N135" s="24" t="s">
        <v>1357</v>
      </c>
      <c r="O135" s="24" t="s">
        <v>1358</v>
      </c>
      <c r="P135" s="28"/>
      <c r="Q135" s="28" t="str">
        <f aca="false">"["&amp;안내!$C$5&amp;" "&amp;C135&amp;"] "&amp;J135&amp;" | "&amp;H135</f>
        <v>[1분 성경 #0134] 3천 년 된 축복기도 | 민 5:1-6:27</v>
      </c>
      <c r="R135" s="23" t="n">
        <f aca="false">INT((A135-1)/안내!$C$9)+1</f>
        <v>27</v>
      </c>
      <c r="S135" s="26" t="n">
        <f aca="false">안내!$C$10+(R135-1)*7+MOD(A135-1,안내!$C$9)</f>
        <v>46576</v>
      </c>
      <c r="T135" s="23" t="s">
        <v>99</v>
      </c>
      <c r="U135" s="23" t="s">
        <v>99</v>
      </c>
      <c r="V135" s="23" t="s">
        <v>99</v>
      </c>
      <c r="W135" s="23" t="s">
        <v>99</v>
      </c>
      <c r="X135" s="28"/>
      <c r="Y135" s="28" t="str">
        <f aca="false">"다음 편: "&amp;J136</f>
        <v>다음 편: 구름이 움직이면</v>
      </c>
    </row>
    <row r="136" customFormat="false" ht="15" hidden="false" customHeight="false" outlineLevel="0" collapsed="false">
      <c r="A136" s="20" t="n">
        <v>135</v>
      </c>
      <c r="B136" s="20" t="s">
        <v>1359</v>
      </c>
      <c r="C136" s="20" t="s">
        <v>1360</v>
      </c>
      <c r="D136" s="20" t="s">
        <v>1340</v>
      </c>
      <c r="E136" s="21" t="s">
        <v>1341</v>
      </c>
      <c r="F136" s="22" t="s">
        <v>88</v>
      </c>
      <c r="G136" s="22" t="s">
        <v>1342</v>
      </c>
      <c r="H136" s="21" t="s">
        <v>1361</v>
      </c>
      <c r="I136" s="23" t="s">
        <v>91</v>
      </c>
      <c r="J136" s="24" t="s">
        <v>1362</v>
      </c>
      <c r="K136" s="24" t="s">
        <v>1363</v>
      </c>
      <c r="L136" s="24" t="s">
        <v>1364</v>
      </c>
      <c r="M136" s="24" t="s">
        <v>1365</v>
      </c>
      <c r="N136" s="24" t="s">
        <v>1005</v>
      </c>
      <c r="O136" s="24" t="s">
        <v>1366</v>
      </c>
      <c r="P136" s="28"/>
      <c r="Q136" s="28" t="str">
        <f aca="false">"["&amp;안내!$C$5&amp;" "&amp;C136&amp;"] "&amp;J136&amp;" | "&amp;H136</f>
        <v>[1분 성경 #0135] 구름이 움직이면 | 민 7:1-9:23</v>
      </c>
      <c r="R136" s="23" t="n">
        <f aca="false">INT((A136-1)/안내!$C$9)+1</f>
        <v>27</v>
      </c>
      <c r="S136" s="26" t="n">
        <f aca="false">안내!$C$10+(R136-1)*7+MOD(A136-1,안내!$C$9)</f>
        <v>46577</v>
      </c>
      <c r="T136" s="23" t="s">
        <v>99</v>
      </c>
      <c r="U136" s="23" t="s">
        <v>99</v>
      </c>
      <c r="V136" s="23" t="s">
        <v>99</v>
      </c>
      <c r="W136" s="23" t="s">
        <v>99</v>
      </c>
      <c r="X136" s="28"/>
      <c r="Y136" s="28" t="str">
        <f aca="false">"다음 편: "&amp;J137</f>
        <v>다음 편: 은 나팔과 출발</v>
      </c>
    </row>
    <row r="137" customFormat="false" ht="15" hidden="false" customHeight="false" outlineLevel="0" collapsed="false">
      <c r="A137" s="20" t="n">
        <v>136</v>
      </c>
      <c r="B137" s="20" t="s">
        <v>1367</v>
      </c>
      <c r="C137" s="20" t="s">
        <v>1368</v>
      </c>
      <c r="D137" s="20" t="s">
        <v>1340</v>
      </c>
      <c r="E137" s="21" t="s">
        <v>1341</v>
      </c>
      <c r="F137" s="22" t="s">
        <v>88</v>
      </c>
      <c r="G137" s="22" t="s">
        <v>1342</v>
      </c>
      <c r="H137" s="21" t="s">
        <v>1369</v>
      </c>
      <c r="I137" s="23" t="s">
        <v>91</v>
      </c>
      <c r="J137" s="24" t="s">
        <v>1370</v>
      </c>
      <c r="K137" s="24" t="s">
        <v>1371</v>
      </c>
      <c r="L137" s="24" t="s">
        <v>1372</v>
      </c>
      <c r="M137" s="24" t="s">
        <v>1373</v>
      </c>
      <c r="N137" s="24" t="s">
        <v>1374</v>
      </c>
      <c r="O137" s="24" t="s">
        <v>1375</v>
      </c>
      <c r="P137" s="28"/>
      <c r="Q137" s="28" t="str">
        <f aca="false">"["&amp;안내!$C$5&amp;" "&amp;C137&amp;"] "&amp;J137&amp;" | "&amp;H137</f>
        <v>[1분 성경 #0136] 은 나팔과 출발 | 민 10:1-36</v>
      </c>
      <c r="R137" s="23" t="n">
        <f aca="false">INT((A137-1)/안내!$C$9)+1</f>
        <v>28</v>
      </c>
      <c r="S137" s="26" t="n">
        <f aca="false">안내!$C$10+(R137-1)*7+MOD(A137-1,안내!$C$9)</f>
        <v>46580</v>
      </c>
      <c r="T137" s="23" t="s">
        <v>99</v>
      </c>
      <c r="U137" s="23" t="s">
        <v>99</v>
      </c>
      <c r="V137" s="23" t="s">
        <v>99</v>
      </c>
      <c r="W137" s="23" t="s">
        <v>99</v>
      </c>
      <c r="X137" s="28"/>
      <c r="Y137" s="28" t="str">
        <f aca="false">"다음 편: "&amp;J138</f>
        <v>다음 편: 만나가 지겹다</v>
      </c>
    </row>
    <row r="138" customFormat="false" ht="26.85" hidden="false" customHeight="false" outlineLevel="0" collapsed="false">
      <c r="A138" s="20" t="n">
        <v>137</v>
      </c>
      <c r="B138" s="20" t="s">
        <v>1376</v>
      </c>
      <c r="C138" s="20" t="s">
        <v>1377</v>
      </c>
      <c r="D138" s="20" t="s">
        <v>1340</v>
      </c>
      <c r="E138" s="21" t="s">
        <v>1341</v>
      </c>
      <c r="F138" s="22" t="s">
        <v>88</v>
      </c>
      <c r="G138" s="22" t="s">
        <v>1342</v>
      </c>
      <c r="H138" s="21" t="s">
        <v>1378</v>
      </c>
      <c r="I138" s="23" t="s">
        <v>91</v>
      </c>
      <c r="J138" s="24" t="s">
        <v>1379</v>
      </c>
      <c r="K138" s="24" t="s">
        <v>1380</v>
      </c>
      <c r="L138" s="24" t="s">
        <v>1381</v>
      </c>
      <c r="M138" s="24" t="s">
        <v>1382</v>
      </c>
      <c r="N138" s="24" t="s">
        <v>1383</v>
      </c>
      <c r="O138" s="24" t="s">
        <v>1384</v>
      </c>
      <c r="P138" s="28"/>
      <c r="Q138" s="28" t="str">
        <f aca="false">"["&amp;안내!$C$5&amp;" "&amp;C138&amp;"] "&amp;J138&amp;" | "&amp;H138</f>
        <v>[1분 성경 #0137] 만나가 지겹다 | 민 11:1-35</v>
      </c>
      <c r="R138" s="23" t="n">
        <f aca="false">INT((A138-1)/안내!$C$9)+1</f>
        <v>28</v>
      </c>
      <c r="S138" s="26" t="n">
        <f aca="false">안내!$C$10+(R138-1)*7+MOD(A138-1,안내!$C$9)</f>
        <v>46581</v>
      </c>
      <c r="T138" s="23" t="s">
        <v>99</v>
      </c>
      <c r="U138" s="23" t="s">
        <v>99</v>
      </c>
      <c r="V138" s="23" t="s">
        <v>99</v>
      </c>
      <c r="W138" s="23" t="s">
        <v>99</v>
      </c>
      <c r="X138" s="28"/>
      <c r="Y138" s="28" t="str">
        <f aca="false">"다음 편: "&amp;J139</f>
        <v>다음 편: 모세를 비방한 누나</v>
      </c>
    </row>
    <row r="139" customFormat="false" ht="26.85" hidden="false" customHeight="false" outlineLevel="0" collapsed="false">
      <c r="A139" s="20" t="n">
        <v>138</v>
      </c>
      <c r="B139" s="20" t="s">
        <v>1385</v>
      </c>
      <c r="C139" s="20" t="s">
        <v>1386</v>
      </c>
      <c r="D139" s="20" t="s">
        <v>1340</v>
      </c>
      <c r="E139" s="21" t="s">
        <v>1341</v>
      </c>
      <c r="F139" s="22" t="s">
        <v>88</v>
      </c>
      <c r="G139" s="22" t="s">
        <v>1342</v>
      </c>
      <c r="H139" s="21" t="s">
        <v>1387</v>
      </c>
      <c r="I139" s="23" t="s">
        <v>91</v>
      </c>
      <c r="J139" s="24" t="s">
        <v>1388</v>
      </c>
      <c r="K139" s="24" t="s">
        <v>1389</v>
      </c>
      <c r="L139" s="24" t="s">
        <v>1390</v>
      </c>
      <c r="M139" s="24" t="s">
        <v>1391</v>
      </c>
      <c r="N139" s="24" t="s">
        <v>1392</v>
      </c>
      <c r="O139" s="24" t="s">
        <v>1393</v>
      </c>
      <c r="P139" s="25" t="s">
        <v>1394</v>
      </c>
      <c r="Q139" s="28" t="str">
        <f aca="false">"["&amp;안내!$C$5&amp;" "&amp;C139&amp;"] "&amp;J139&amp;" | "&amp;H139</f>
        <v>[1분 성경 #0138] 모세를 비방한 누나 | 민 12:1-16</v>
      </c>
      <c r="R139" s="23" t="n">
        <f aca="false">INT((A139-1)/안내!$C$9)+1</f>
        <v>28</v>
      </c>
      <c r="S139" s="26" t="n">
        <f aca="false">안내!$C$10+(R139-1)*7+MOD(A139-1,안내!$C$9)</f>
        <v>46582</v>
      </c>
      <c r="T139" s="23" t="s">
        <v>99</v>
      </c>
      <c r="U139" s="23" t="s">
        <v>99</v>
      </c>
      <c r="V139" s="23" t="s">
        <v>99</v>
      </c>
      <c r="W139" s="23" t="s">
        <v>99</v>
      </c>
      <c r="X139" s="28"/>
      <c r="Y139" s="28" t="str">
        <f aca="false">"다음 편: "&amp;J140</f>
        <v>다음 편: 열두 정탐꾼</v>
      </c>
    </row>
    <row r="140" customFormat="false" ht="15" hidden="false" customHeight="false" outlineLevel="0" collapsed="false">
      <c r="A140" s="20" t="n">
        <v>139</v>
      </c>
      <c r="B140" s="20" t="s">
        <v>1395</v>
      </c>
      <c r="C140" s="20" t="s">
        <v>1396</v>
      </c>
      <c r="D140" s="20" t="s">
        <v>1340</v>
      </c>
      <c r="E140" s="21" t="s">
        <v>1341</v>
      </c>
      <c r="F140" s="22" t="s">
        <v>88</v>
      </c>
      <c r="G140" s="22" t="s">
        <v>1342</v>
      </c>
      <c r="H140" s="21" t="s">
        <v>1397</v>
      </c>
      <c r="I140" s="23" t="s">
        <v>91</v>
      </c>
      <c r="J140" s="24" t="s">
        <v>1398</v>
      </c>
      <c r="K140" s="24" t="s">
        <v>1399</v>
      </c>
      <c r="L140" s="24" t="s">
        <v>1400</v>
      </c>
      <c r="M140" s="24" t="s">
        <v>1401</v>
      </c>
      <c r="N140" s="24" t="s">
        <v>1402</v>
      </c>
      <c r="O140" s="24" t="s">
        <v>1403</v>
      </c>
      <c r="P140" s="28"/>
      <c r="Q140" s="28" t="str">
        <f aca="false">"["&amp;안내!$C$5&amp;" "&amp;C140&amp;"] "&amp;J140&amp;" | "&amp;H140</f>
        <v>[1분 성경 #0139] 열두 정탐꾼 | 민 13:1-33</v>
      </c>
      <c r="R140" s="23" t="n">
        <f aca="false">INT((A140-1)/안내!$C$9)+1</f>
        <v>28</v>
      </c>
      <c r="S140" s="26" t="n">
        <f aca="false">안내!$C$10+(R140-1)*7+MOD(A140-1,안내!$C$9)</f>
        <v>46583</v>
      </c>
      <c r="T140" s="23" t="s">
        <v>99</v>
      </c>
      <c r="U140" s="23" t="s">
        <v>99</v>
      </c>
      <c r="V140" s="23" t="s">
        <v>99</v>
      </c>
      <c r="W140" s="23" t="s">
        <v>99</v>
      </c>
      <c r="X140" s="28"/>
      <c r="Y140" s="28" t="str">
        <f aca="false">"다음 편: "&amp;J141</f>
        <v>다음 편: 40년의 광야</v>
      </c>
    </row>
    <row r="141" customFormat="false" ht="15" hidden="false" customHeight="false" outlineLevel="0" collapsed="false">
      <c r="A141" s="20" t="n">
        <v>140</v>
      </c>
      <c r="B141" s="20" t="s">
        <v>1404</v>
      </c>
      <c r="C141" s="20" t="s">
        <v>1405</v>
      </c>
      <c r="D141" s="20" t="s">
        <v>1340</v>
      </c>
      <c r="E141" s="21" t="s">
        <v>1341</v>
      </c>
      <c r="F141" s="22" t="s">
        <v>88</v>
      </c>
      <c r="G141" s="22" t="s">
        <v>1342</v>
      </c>
      <c r="H141" s="21" t="s">
        <v>1406</v>
      </c>
      <c r="I141" s="23" t="s">
        <v>91</v>
      </c>
      <c r="J141" s="28" t="s">
        <v>1407</v>
      </c>
      <c r="K141" s="24" t="s">
        <v>1408</v>
      </c>
      <c r="L141" s="24" t="s">
        <v>1409</v>
      </c>
      <c r="M141" s="24" t="s">
        <v>1410</v>
      </c>
      <c r="N141" s="24" t="s">
        <v>1411</v>
      </c>
      <c r="O141" s="24" t="s">
        <v>1412</v>
      </c>
      <c r="P141" s="28"/>
      <c r="Q141" s="28" t="str">
        <f aca="false">"["&amp;안내!$C$5&amp;" "&amp;C141&amp;"] "&amp;J141&amp;" | "&amp;H141</f>
        <v>[1분 성경 #0140] 40년의 광야 | 민 14:1-45</v>
      </c>
      <c r="R141" s="23" t="n">
        <f aca="false">INT((A141-1)/안내!$C$9)+1</f>
        <v>28</v>
      </c>
      <c r="S141" s="26" t="n">
        <f aca="false">안내!$C$10+(R141-1)*7+MOD(A141-1,안내!$C$9)</f>
        <v>46584</v>
      </c>
      <c r="T141" s="23" t="s">
        <v>99</v>
      </c>
      <c r="U141" s="23" t="s">
        <v>99</v>
      </c>
      <c r="V141" s="23" t="s">
        <v>99</v>
      </c>
      <c r="W141" s="23" t="s">
        <v>99</v>
      </c>
      <c r="X141" s="28"/>
      <c r="Y141" s="28" t="str">
        <f aca="false">"다음 편: "&amp;J142</f>
        <v>다음 편: 옷자락의 파란 끈</v>
      </c>
    </row>
    <row r="142" customFormat="false" ht="15" hidden="false" customHeight="false" outlineLevel="0" collapsed="false">
      <c r="A142" s="20" t="n">
        <v>141</v>
      </c>
      <c r="B142" s="20" t="s">
        <v>1413</v>
      </c>
      <c r="C142" s="20" t="s">
        <v>1414</v>
      </c>
      <c r="D142" s="20" t="s">
        <v>1415</v>
      </c>
      <c r="E142" s="21" t="s">
        <v>1416</v>
      </c>
      <c r="F142" s="22" t="s">
        <v>88</v>
      </c>
      <c r="G142" s="22" t="s">
        <v>1342</v>
      </c>
      <c r="H142" s="21" t="s">
        <v>1417</v>
      </c>
      <c r="I142" s="23" t="s">
        <v>1116</v>
      </c>
      <c r="J142" s="24" t="s">
        <v>1418</v>
      </c>
      <c r="K142" s="24" t="s">
        <v>1419</v>
      </c>
      <c r="L142" s="24" t="s">
        <v>1420</v>
      </c>
      <c r="M142" s="24" t="s">
        <v>1421</v>
      </c>
      <c r="N142" s="24" t="s">
        <v>1310</v>
      </c>
      <c r="O142" s="24" t="s">
        <v>1182</v>
      </c>
      <c r="P142" s="28"/>
      <c r="Q142" s="28" t="str">
        <f aca="false">"["&amp;안내!$C$5&amp;" "&amp;C142&amp;"] "&amp;J142&amp;" | "&amp;H142</f>
        <v>[1분 성경 #0141] 옷자락의 파란 끈 | 민 15:1-41</v>
      </c>
      <c r="R142" s="23" t="n">
        <f aca="false">INT((A142-1)/안내!$C$9)+1</f>
        <v>29</v>
      </c>
      <c r="S142" s="26" t="n">
        <f aca="false">안내!$C$10+(R142-1)*7+MOD(A142-1,안내!$C$9)</f>
        <v>46587</v>
      </c>
      <c r="T142" s="23" t="s">
        <v>99</v>
      </c>
      <c r="U142" s="23" t="s">
        <v>99</v>
      </c>
      <c r="V142" s="23" t="s">
        <v>99</v>
      </c>
      <c r="W142" s="23" t="s">
        <v>99</v>
      </c>
      <c r="X142" s="28"/>
      <c r="Y142" s="28" t="str">
        <f aca="false">"다음 편: "&amp;J143</f>
        <v>다음 편: 고라의 반역</v>
      </c>
    </row>
    <row r="143" customFormat="false" ht="26.85" hidden="false" customHeight="false" outlineLevel="0" collapsed="false">
      <c r="A143" s="20" t="n">
        <v>142</v>
      </c>
      <c r="B143" s="20" t="s">
        <v>1422</v>
      </c>
      <c r="C143" s="20" t="s">
        <v>1423</v>
      </c>
      <c r="D143" s="20" t="s">
        <v>1415</v>
      </c>
      <c r="E143" s="21" t="s">
        <v>1416</v>
      </c>
      <c r="F143" s="22" t="s">
        <v>88</v>
      </c>
      <c r="G143" s="22" t="s">
        <v>1342</v>
      </c>
      <c r="H143" s="21" t="s">
        <v>1424</v>
      </c>
      <c r="I143" s="23" t="s">
        <v>91</v>
      </c>
      <c r="J143" s="24" t="s">
        <v>1425</v>
      </c>
      <c r="K143" s="24" t="s">
        <v>1426</v>
      </c>
      <c r="L143" s="24" t="s">
        <v>1427</v>
      </c>
      <c r="M143" s="24" t="s">
        <v>1428</v>
      </c>
      <c r="N143" s="24" t="s">
        <v>1429</v>
      </c>
      <c r="O143" s="24" t="s">
        <v>1430</v>
      </c>
      <c r="P143" s="25" t="s">
        <v>1431</v>
      </c>
      <c r="Q143" s="28" t="str">
        <f aca="false">"["&amp;안내!$C$5&amp;" "&amp;C143&amp;"] "&amp;J143&amp;" | "&amp;H143</f>
        <v>[1분 성경 #0142] 고라의 반역 | 민 16:1-50</v>
      </c>
      <c r="R143" s="23" t="n">
        <f aca="false">INT((A143-1)/안내!$C$9)+1</f>
        <v>29</v>
      </c>
      <c r="S143" s="26" t="n">
        <f aca="false">안내!$C$10+(R143-1)*7+MOD(A143-1,안내!$C$9)</f>
        <v>46588</v>
      </c>
      <c r="T143" s="23" t="s">
        <v>99</v>
      </c>
      <c r="U143" s="23" t="s">
        <v>99</v>
      </c>
      <c r="V143" s="23" t="s">
        <v>99</v>
      </c>
      <c r="W143" s="23" t="s">
        <v>99</v>
      </c>
      <c r="X143" s="28"/>
      <c r="Y143" s="28" t="str">
        <f aca="false">"다음 편: "&amp;J144</f>
        <v>다음 편: 싹 난 지팡이</v>
      </c>
    </row>
    <row r="144" customFormat="false" ht="26.85" hidden="false" customHeight="false" outlineLevel="0" collapsed="false">
      <c r="A144" s="20" t="n">
        <v>143</v>
      </c>
      <c r="B144" s="20" t="s">
        <v>1432</v>
      </c>
      <c r="C144" s="20" t="s">
        <v>1433</v>
      </c>
      <c r="D144" s="20" t="s">
        <v>1415</v>
      </c>
      <c r="E144" s="21" t="s">
        <v>1416</v>
      </c>
      <c r="F144" s="22" t="s">
        <v>88</v>
      </c>
      <c r="G144" s="22" t="s">
        <v>1342</v>
      </c>
      <c r="H144" s="21" t="s">
        <v>1434</v>
      </c>
      <c r="I144" s="23" t="s">
        <v>91</v>
      </c>
      <c r="J144" s="24" t="s">
        <v>1435</v>
      </c>
      <c r="K144" s="24" t="s">
        <v>1436</v>
      </c>
      <c r="L144" s="24" t="s">
        <v>1437</v>
      </c>
      <c r="M144" s="24" t="s">
        <v>1438</v>
      </c>
      <c r="N144" s="24" t="s">
        <v>1439</v>
      </c>
      <c r="O144" s="24" t="s">
        <v>1440</v>
      </c>
      <c r="P144" s="28"/>
      <c r="Q144" s="28" t="str">
        <f aca="false">"["&amp;안내!$C$5&amp;" "&amp;C144&amp;"] "&amp;J144&amp;" | "&amp;H144</f>
        <v>[1분 성경 #0143] 싹 난 지팡이 | 민 17:1-13</v>
      </c>
      <c r="R144" s="23" t="n">
        <f aca="false">INT((A144-1)/안내!$C$9)+1</f>
        <v>29</v>
      </c>
      <c r="S144" s="26" t="n">
        <f aca="false">안내!$C$10+(R144-1)*7+MOD(A144-1,안내!$C$9)</f>
        <v>46589</v>
      </c>
      <c r="T144" s="23" t="s">
        <v>99</v>
      </c>
      <c r="U144" s="23" t="s">
        <v>99</v>
      </c>
      <c r="V144" s="23" t="s">
        <v>99</v>
      </c>
      <c r="W144" s="23" t="s">
        <v>99</v>
      </c>
      <c r="X144" s="28"/>
      <c r="Y144" s="28" t="str">
        <f aca="false">"다음 편: "&amp;J145</f>
        <v>다음 편: 붉은 암송아지</v>
      </c>
    </row>
    <row r="145" customFormat="false" ht="26.85" hidden="false" customHeight="false" outlineLevel="0" collapsed="false">
      <c r="A145" s="20" t="n">
        <v>144</v>
      </c>
      <c r="B145" s="20" t="s">
        <v>1441</v>
      </c>
      <c r="C145" s="20" t="s">
        <v>1442</v>
      </c>
      <c r="D145" s="20" t="s">
        <v>1415</v>
      </c>
      <c r="E145" s="21" t="s">
        <v>1416</v>
      </c>
      <c r="F145" s="22" t="s">
        <v>88</v>
      </c>
      <c r="G145" s="22" t="s">
        <v>1342</v>
      </c>
      <c r="H145" s="21" t="s">
        <v>1443</v>
      </c>
      <c r="I145" s="23" t="s">
        <v>1116</v>
      </c>
      <c r="J145" s="24" t="s">
        <v>1444</v>
      </c>
      <c r="K145" s="24" t="s">
        <v>1445</v>
      </c>
      <c r="L145" s="24" t="s">
        <v>1446</v>
      </c>
      <c r="M145" s="24" t="s">
        <v>1447</v>
      </c>
      <c r="N145" s="24" t="s">
        <v>1149</v>
      </c>
      <c r="O145" s="24" t="s">
        <v>1448</v>
      </c>
      <c r="P145" s="25" t="s">
        <v>1449</v>
      </c>
      <c r="Q145" s="28" t="str">
        <f aca="false">"["&amp;안내!$C$5&amp;" "&amp;C145&amp;"] "&amp;J145&amp;" | "&amp;H145</f>
        <v>[1분 성경 #0144] 붉은 암송아지 | 민 18:1-19:22</v>
      </c>
      <c r="R145" s="23" t="n">
        <f aca="false">INT((A145-1)/안내!$C$9)+1</f>
        <v>29</v>
      </c>
      <c r="S145" s="26" t="n">
        <f aca="false">안내!$C$10+(R145-1)*7+MOD(A145-1,안내!$C$9)</f>
        <v>46590</v>
      </c>
      <c r="T145" s="23" t="s">
        <v>99</v>
      </c>
      <c r="U145" s="23" t="s">
        <v>99</v>
      </c>
      <c r="V145" s="23" t="s">
        <v>99</v>
      </c>
      <c r="W145" s="23" t="s">
        <v>99</v>
      </c>
      <c r="X145" s="28"/>
      <c r="Y145" s="28" t="str">
        <f aca="false">"다음 편: "&amp;J146</f>
        <v>다음 편: 한 번의 분노</v>
      </c>
    </row>
    <row r="146" customFormat="false" ht="15" hidden="false" customHeight="false" outlineLevel="0" collapsed="false">
      <c r="A146" s="20" t="n">
        <v>145</v>
      </c>
      <c r="B146" s="20" t="s">
        <v>1450</v>
      </c>
      <c r="C146" s="20" t="s">
        <v>1451</v>
      </c>
      <c r="D146" s="20" t="s">
        <v>1415</v>
      </c>
      <c r="E146" s="21" t="s">
        <v>1416</v>
      </c>
      <c r="F146" s="22" t="s">
        <v>88</v>
      </c>
      <c r="G146" s="22" t="s">
        <v>1342</v>
      </c>
      <c r="H146" s="21" t="s">
        <v>1452</v>
      </c>
      <c r="I146" s="23" t="s">
        <v>91</v>
      </c>
      <c r="J146" s="24" t="s">
        <v>1453</v>
      </c>
      <c r="K146" s="24" t="s">
        <v>1454</v>
      </c>
      <c r="L146" s="24" t="s">
        <v>1455</v>
      </c>
      <c r="M146" s="24" t="s">
        <v>1456</v>
      </c>
      <c r="N146" s="24" t="s">
        <v>1053</v>
      </c>
      <c r="O146" s="24" t="s">
        <v>1457</v>
      </c>
      <c r="P146" s="28"/>
      <c r="Q146" s="28" t="str">
        <f aca="false">"["&amp;안내!$C$5&amp;" "&amp;C146&amp;"] "&amp;J146&amp;" | "&amp;H146</f>
        <v>[1분 성경 #0145] 한 번의 분노 | 민 20:1-13</v>
      </c>
      <c r="R146" s="23" t="n">
        <f aca="false">INT((A146-1)/안내!$C$9)+1</f>
        <v>29</v>
      </c>
      <c r="S146" s="26" t="n">
        <f aca="false">안내!$C$10+(R146-1)*7+MOD(A146-1,안내!$C$9)</f>
        <v>46591</v>
      </c>
      <c r="T146" s="23" t="s">
        <v>99</v>
      </c>
      <c r="U146" s="23" t="s">
        <v>99</v>
      </c>
      <c r="V146" s="23" t="s">
        <v>99</v>
      </c>
      <c r="W146" s="23" t="s">
        <v>99</v>
      </c>
      <c r="X146" s="28"/>
      <c r="Y146" s="28" t="str">
        <f aca="false">"다음 편: "&amp;J147</f>
        <v>다음 편: 놋뱀</v>
      </c>
    </row>
    <row r="147" customFormat="false" ht="26.85" hidden="false" customHeight="false" outlineLevel="0" collapsed="false">
      <c r="A147" s="20" t="n">
        <v>146</v>
      </c>
      <c r="B147" s="20" t="s">
        <v>1458</v>
      </c>
      <c r="C147" s="20" t="s">
        <v>1459</v>
      </c>
      <c r="D147" s="20" t="s">
        <v>1415</v>
      </c>
      <c r="E147" s="21" t="s">
        <v>1416</v>
      </c>
      <c r="F147" s="22" t="s">
        <v>88</v>
      </c>
      <c r="G147" s="22" t="s">
        <v>1342</v>
      </c>
      <c r="H147" s="21" t="s">
        <v>1460</v>
      </c>
      <c r="I147" s="23" t="s">
        <v>91</v>
      </c>
      <c r="J147" s="24" t="s">
        <v>1461</v>
      </c>
      <c r="K147" s="24" t="s">
        <v>1462</v>
      </c>
      <c r="L147" s="24" t="s">
        <v>1463</v>
      </c>
      <c r="M147" s="24" t="s">
        <v>1464</v>
      </c>
      <c r="N147" s="24" t="s">
        <v>1053</v>
      </c>
      <c r="O147" s="24" t="s">
        <v>1465</v>
      </c>
      <c r="P147" s="25" t="s">
        <v>1466</v>
      </c>
      <c r="Q147" s="28" t="str">
        <f aca="false">"["&amp;안내!$C$5&amp;" "&amp;C147&amp;"] "&amp;J147&amp;" | "&amp;H147</f>
        <v>[1분 성경 #0146] 놋뱀 | 민 20:14-21:9</v>
      </c>
      <c r="R147" s="23" t="n">
        <f aca="false">INT((A147-1)/안내!$C$9)+1</f>
        <v>30</v>
      </c>
      <c r="S147" s="26" t="n">
        <f aca="false">안내!$C$10+(R147-1)*7+MOD(A147-1,안내!$C$9)</f>
        <v>46594</v>
      </c>
      <c r="T147" s="23" t="s">
        <v>99</v>
      </c>
      <c r="U147" s="23" t="s">
        <v>99</v>
      </c>
      <c r="V147" s="23" t="s">
        <v>99</v>
      </c>
      <c r="W147" s="23" t="s">
        <v>99</v>
      </c>
      <c r="X147" s="28"/>
      <c r="Y147" s="28" t="str">
        <f aca="false">"다음 편: "&amp;J148</f>
        <v>다음 편: 시혼과 옥을 이기다</v>
      </c>
    </row>
    <row r="148" customFormat="false" ht="26.85" hidden="false" customHeight="false" outlineLevel="0" collapsed="false">
      <c r="A148" s="20" t="n">
        <v>147</v>
      </c>
      <c r="B148" s="20" t="s">
        <v>1467</v>
      </c>
      <c r="C148" s="20" t="s">
        <v>1468</v>
      </c>
      <c r="D148" s="20" t="s">
        <v>1415</v>
      </c>
      <c r="E148" s="21" t="s">
        <v>1416</v>
      </c>
      <c r="F148" s="22" t="s">
        <v>88</v>
      </c>
      <c r="G148" s="22" t="s">
        <v>1342</v>
      </c>
      <c r="H148" s="21" t="s">
        <v>1469</v>
      </c>
      <c r="I148" s="23" t="s">
        <v>91</v>
      </c>
      <c r="J148" s="24" t="s">
        <v>1470</v>
      </c>
      <c r="K148" s="24" t="s">
        <v>1471</v>
      </c>
      <c r="L148" s="24" t="s">
        <v>1472</v>
      </c>
      <c r="M148" s="24" t="s">
        <v>1473</v>
      </c>
      <c r="N148" s="24" t="s">
        <v>1474</v>
      </c>
      <c r="O148" s="24" t="s">
        <v>1475</v>
      </c>
      <c r="P148" s="25" t="s">
        <v>1476</v>
      </c>
      <c r="Q148" s="28" t="str">
        <f aca="false">"["&amp;안내!$C$5&amp;" "&amp;C148&amp;"] "&amp;J148&amp;" | "&amp;H148</f>
        <v>[1분 성경 #0147] 시혼과 옥을 이기다 | 민 21:10-35</v>
      </c>
      <c r="R148" s="23" t="n">
        <f aca="false">INT((A148-1)/안내!$C$9)+1</f>
        <v>30</v>
      </c>
      <c r="S148" s="26" t="n">
        <f aca="false">안내!$C$10+(R148-1)*7+MOD(A148-1,안내!$C$9)</f>
        <v>46595</v>
      </c>
      <c r="T148" s="23" t="s">
        <v>99</v>
      </c>
      <c r="U148" s="23" t="s">
        <v>99</v>
      </c>
      <c r="V148" s="23" t="s">
        <v>99</v>
      </c>
      <c r="W148" s="23" t="s">
        <v>99</v>
      </c>
      <c r="X148" s="28"/>
      <c r="Y148" s="28" t="str">
        <f aca="false">"다음 편: "&amp;J149</f>
        <v>다음 편: 말하는 나귀</v>
      </c>
    </row>
    <row r="149" customFormat="false" ht="26.85" hidden="false" customHeight="false" outlineLevel="0" collapsed="false">
      <c r="A149" s="20" t="n">
        <v>148</v>
      </c>
      <c r="B149" s="20" t="s">
        <v>1477</v>
      </c>
      <c r="C149" s="20" t="s">
        <v>1478</v>
      </c>
      <c r="D149" s="20" t="s">
        <v>1415</v>
      </c>
      <c r="E149" s="21" t="s">
        <v>1416</v>
      </c>
      <c r="F149" s="22" t="s">
        <v>88</v>
      </c>
      <c r="G149" s="22" t="s">
        <v>1342</v>
      </c>
      <c r="H149" s="21" t="s">
        <v>1479</v>
      </c>
      <c r="I149" s="23" t="s">
        <v>91</v>
      </c>
      <c r="J149" s="24" t="s">
        <v>1480</v>
      </c>
      <c r="K149" s="24" t="s">
        <v>1481</v>
      </c>
      <c r="L149" s="24" t="s">
        <v>1482</v>
      </c>
      <c r="M149" s="24" t="s">
        <v>1483</v>
      </c>
      <c r="N149" s="24" t="s">
        <v>1484</v>
      </c>
      <c r="O149" s="24" t="s">
        <v>1485</v>
      </c>
      <c r="P149" s="25" t="s">
        <v>1486</v>
      </c>
      <c r="Q149" s="28" t="str">
        <f aca="false">"["&amp;안내!$C$5&amp;" "&amp;C149&amp;"] "&amp;J149&amp;" | "&amp;H149</f>
        <v>[1분 성경 #0148] 말하는 나귀 | 민 22:1-41</v>
      </c>
      <c r="R149" s="23" t="n">
        <f aca="false">INT((A149-1)/안내!$C$9)+1</f>
        <v>30</v>
      </c>
      <c r="S149" s="26" t="n">
        <f aca="false">안내!$C$10+(R149-1)*7+MOD(A149-1,안내!$C$9)</f>
        <v>46596</v>
      </c>
      <c r="T149" s="23" t="s">
        <v>99</v>
      </c>
      <c r="U149" s="23" t="s">
        <v>99</v>
      </c>
      <c r="V149" s="23" t="s">
        <v>99</v>
      </c>
      <c r="W149" s="23" t="s">
        <v>99</v>
      </c>
      <c r="X149" s="28"/>
      <c r="Y149" s="28" t="str">
        <f aca="false">"다음 편: "&amp;J150</f>
        <v>다음 편: 저주하러 왔다가 축복하다</v>
      </c>
    </row>
    <row r="150" customFormat="false" ht="26.85" hidden="false" customHeight="false" outlineLevel="0" collapsed="false">
      <c r="A150" s="20" t="n">
        <v>149</v>
      </c>
      <c r="B150" s="20" t="s">
        <v>1487</v>
      </c>
      <c r="C150" s="20" t="s">
        <v>1488</v>
      </c>
      <c r="D150" s="20" t="s">
        <v>1415</v>
      </c>
      <c r="E150" s="21" t="s">
        <v>1416</v>
      </c>
      <c r="F150" s="22" t="s">
        <v>88</v>
      </c>
      <c r="G150" s="22" t="s">
        <v>1342</v>
      </c>
      <c r="H150" s="21" t="s">
        <v>1489</v>
      </c>
      <c r="I150" s="23" t="s">
        <v>91</v>
      </c>
      <c r="J150" s="24" t="s">
        <v>1490</v>
      </c>
      <c r="K150" s="24" t="s">
        <v>1491</v>
      </c>
      <c r="L150" s="24" t="s">
        <v>1492</v>
      </c>
      <c r="M150" s="24" t="s">
        <v>1493</v>
      </c>
      <c r="N150" s="24" t="s">
        <v>1494</v>
      </c>
      <c r="O150" s="24" t="s">
        <v>1495</v>
      </c>
      <c r="P150" s="27" t="s">
        <v>1496</v>
      </c>
      <c r="Q150" s="28" t="str">
        <f aca="false">"["&amp;안내!$C$5&amp;" "&amp;C150&amp;"] "&amp;J150&amp;" | "&amp;H150</f>
        <v>[1분 성경 #0149] 저주하러 왔다가 축복하다 | 민 23:1-24:25</v>
      </c>
      <c r="R150" s="23" t="n">
        <f aca="false">INT((A150-1)/안내!$C$9)+1</f>
        <v>30</v>
      </c>
      <c r="S150" s="26" t="n">
        <f aca="false">안내!$C$10+(R150-1)*7+MOD(A150-1,안내!$C$9)</f>
        <v>46597</v>
      </c>
      <c r="T150" s="23" t="s">
        <v>99</v>
      </c>
      <c r="U150" s="23" t="s">
        <v>99</v>
      </c>
      <c r="V150" s="23" t="s">
        <v>99</v>
      </c>
      <c r="W150" s="23" t="s">
        <v>99</v>
      </c>
      <c r="X150" s="28"/>
      <c r="Y150" s="28" t="str">
        <f aca="false">"다음 편: "&amp;J151</f>
        <v>다음 편: 바알브올</v>
      </c>
    </row>
    <row r="151" customFormat="false" ht="26.85" hidden="false" customHeight="false" outlineLevel="0" collapsed="false">
      <c r="A151" s="20" t="n">
        <v>150</v>
      </c>
      <c r="B151" s="20" t="s">
        <v>1497</v>
      </c>
      <c r="C151" s="20" t="s">
        <v>1498</v>
      </c>
      <c r="D151" s="20" t="s">
        <v>1415</v>
      </c>
      <c r="E151" s="21" t="s">
        <v>1416</v>
      </c>
      <c r="F151" s="22" t="s">
        <v>88</v>
      </c>
      <c r="G151" s="22" t="s">
        <v>1342</v>
      </c>
      <c r="H151" s="21" t="s">
        <v>1499</v>
      </c>
      <c r="I151" s="23" t="s">
        <v>91</v>
      </c>
      <c r="J151" s="24" t="s">
        <v>1500</v>
      </c>
      <c r="K151" s="24" t="s">
        <v>1501</v>
      </c>
      <c r="L151" s="24" t="s">
        <v>1502</v>
      </c>
      <c r="M151" s="24" t="s">
        <v>1503</v>
      </c>
      <c r="N151" s="24" t="s">
        <v>1504</v>
      </c>
      <c r="O151" s="24" t="s">
        <v>1505</v>
      </c>
      <c r="P151" s="25" t="s">
        <v>1506</v>
      </c>
      <c r="Q151" s="28" t="str">
        <f aca="false">"["&amp;안내!$C$5&amp;" "&amp;C151&amp;"] "&amp;J151&amp;" | "&amp;H151</f>
        <v>[1분 성경 #0150] 바알브올 | 민 25:1-18</v>
      </c>
      <c r="R151" s="23" t="n">
        <f aca="false">INT((A151-1)/안내!$C$9)+1</f>
        <v>30</v>
      </c>
      <c r="S151" s="26" t="n">
        <f aca="false">안내!$C$10+(R151-1)*7+MOD(A151-1,안내!$C$9)</f>
        <v>46598</v>
      </c>
      <c r="T151" s="23" t="s">
        <v>99</v>
      </c>
      <c r="U151" s="23" t="s">
        <v>99</v>
      </c>
      <c r="V151" s="23" t="s">
        <v>99</v>
      </c>
      <c r="W151" s="23" t="s">
        <v>99</v>
      </c>
      <c r="X151" s="28"/>
      <c r="Y151" s="28" t="str">
        <f aca="false">"다음 편: "&amp;J152</f>
        <v>다음 편: 새 세대와 새 지도자</v>
      </c>
    </row>
    <row r="152" customFormat="false" ht="26.85" hidden="false" customHeight="false" outlineLevel="0" collapsed="false">
      <c r="A152" s="20" t="n">
        <v>151</v>
      </c>
      <c r="B152" s="20" t="s">
        <v>1507</v>
      </c>
      <c r="C152" s="20" t="s">
        <v>1508</v>
      </c>
      <c r="D152" s="20" t="s">
        <v>1415</v>
      </c>
      <c r="E152" s="21" t="s">
        <v>1416</v>
      </c>
      <c r="F152" s="22" t="s">
        <v>88</v>
      </c>
      <c r="G152" s="22" t="s">
        <v>1342</v>
      </c>
      <c r="H152" s="21" t="s">
        <v>1509</v>
      </c>
      <c r="I152" s="23" t="s">
        <v>1116</v>
      </c>
      <c r="J152" s="24" t="s">
        <v>1510</v>
      </c>
      <c r="K152" s="24" t="s">
        <v>1511</v>
      </c>
      <c r="L152" s="24" t="s">
        <v>1512</v>
      </c>
      <c r="M152" s="24" t="s">
        <v>1513</v>
      </c>
      <c r="N152" s="24" t="s">
        <v>1514</v>
      </c>
      <c r="O152" s="24" t="s">
        <v>1515</v>
      </c>
      <c r="P152" s="28"/>
      <c r="Q152" s="28" t="str">
        <f aca="false">"["&amp;안내!$C$5&amp;" "&amp;C152&amp;"] "&amp;J152&amp;" | "&amp;H152</f>
        <v>[1분 성경 #0151] 새 세대와 새 지도자 | 민 26:1-27:23</v>
      </c>
      <c r="R152" s="23" t="n">
        <f aca="false">INT((A152-1)/안내!$C$9)+1</f>
        <v>31</v>
      </c>
      <c r="S152" s="26" t="n">
        <f aca="false">안내!$C$10+(R152-1)*7+MOD(A152-1,안내!$C$9)</f>
        <v>46601</v>
      </c>
      <c r="T152" s="23" t="s">
        <v>99</v>
      </c>
      <c r="U152" s="23" t="s">
        <v>99</v>
      </c>
      <c r="V152" s="23" t="s">
        <v>99</v>
      </c>
      <c r="W152" s="23" t="s">
        <v>99</v>
      </c>
      <c r="X152" s="28"/>
      <c r="Y152" s="28" t="str">
        <f aca="false">"다음 편: "&amp;J153</f>
        <v>다음 편: 날마다 드리는 예배</v>
      </c>
    </row>
    <row r="153" customFormat="false" ht="26.85" hidden="false" customHeight="false" outlineLevel="0" collapsed="false">
      <c r="A153" s="20" t="n">
        <v>152</v>
      </c>
      <c r="B153" s="20" t="s">
        <v>1516</v>
      </c>
      <c r="C153" s="20" t="s">
        <v>1517</v>
      </c>
      <c r="D153" s="20" t="s">
        <v>1415</v>
      </c>
      <c r="E153" s="21" t="s">
        <v>1416</v>
      </c>
      <c r="F153" s="22" t="s">
        <v>88</v>
      </c>
      <c r="G153" s="22" t="s">
        <v>1342</v>
      </c>
      <c r="H153" s="21" t="s">
        <v>1518</v>
      </c>
      <c r="I153" s="23" t="s">
        <v>1116</v>
      </c>
      <c r="J153" s="24" t="s">
        <v>1519</v>
      </c>
      <c r="K153" s="24" t="s">
        <v>1520</v>
      </c>
      <c r="L153" s="24" t="s">
        <v>1521</v>
      </c>
      <c r="M153" s="24" t="s">
        <v>1522</v>
      </c>
      <c r="N153" s="24" t="s">
        <v>1248</v>
      </c>
      <c r="O153" s="24" t="s">
        <v>1301</v>
      </c>
      <c r="P153" s="28"/>
      <c r="Q153" s="28" t="str">
        <f aca="false">"["&amp;안내!$C$5&amp;" "&amp;C153&amp;"] "&amp;J153&amp;" | "&amp;H153</f>
        <v>[1분 성경 #0152] 날마다 드리는 예배 | 민 28:1-30:16</v>
      </c>
      <c r="R153" s="23" t="n">
        <f aca="false">INT((A153-1)/안내!$C$9)+1</f>
        <v>31</v>
      </c>
      <c r="S153" s="26" t="n">
        <f aca="false">안내!$C$10+(R153-1)*7+MOD(A153-1,안내!$C$9)</f>
        <v>46602</v>
      </c>
      <c r="T153" s="23" t="s">
        <v>99</v>
      </c>
      <c r="U153" s="23" t="s">
        <v>99</v>
      </c>
      <c r="V153" s="23" t="s">
        <v>99</v>
      </c>
      <c r="W153" s="23" t="s">
        <v>99</v>
      </c>
      <c r="X153" s="28"/>
      <c r="Y153" s="28" t="str">
        <f aca="false">"다음 편: "&amp;J154</f>
        <v>다음 편: 요단 동편의 두 지파 반</v>
      </c>
    </row>
    <row r="154" customFormat="false" ht="26.85" hidden="false" customHeight="false" outlineLevel="0" collapsed="false">
      <c r="A154" s="20" t="n">
        <v>153</v>
      </c>
      <c r="B154" s="20" t="s">
        <v>1523</v>
      </c>
      <c r="C154" s="20" t="s">
        <v>1524</v>
      </c>
      <c r="D154" s="20" t="s">
        <v>1415</v>
      </c>
      <c r="E154" s="21" t="s">
        <v>1416</v>
      </c>
      <c r="F154" s="22" t="s">
        <v>88</v>
      </c>
      <c r="G154" s="22" t="s">
        <v>1342</v>
      </c>
      <c r="H154" s="21" t="s">
        <v>1525</v>
      </c>
      <c r="I154" s="23" t="s">
        <v>91</v>
      </c>
      <c r="J154" s="24" t="s">
        <v>1526</v>
      </c>
      <c r="K154" s="24" t="s">
        <v>1527</v>
      </c>
      <c r="L154" s="24" t="s">
        <v>1528</v>
      </c>
      <c r="M154" s="24" t="s">
        <v>1529</v>
      </c>
      <c r="N154" s="24" t="s">
        <v>1530</v>
      </c>
      <c r="O154" s="24" t="s">
        <v>1531</v>
      </c>
      <c r="P154" s="27" t="s">
        <v>1532</v>
      </c>
      <c r="Q154" s="28" t="str">
        <f aca="false">"["&amp;안내!$C$5&amp;" "&amp;C154&amp;"] "&amp;J154&amp;" | "&amp;H154</f>
        <v>[1분 성경 #0153] 요단 동편의 두 지파 반 | 민 31:1-32:42</v>
      </c>
      <c r="R154" s="23" t="n">
        <f aca="false">INT((A154-1)/안내!$C$9)+1</f>
        <v>31</v>
      </c>
      <c r="S154" s="26" t="n">
        <f aca="false">안내!$C$10+(R154-1)*7+MOD(A154-1,안내!$C$9)</f>
        <v>46603</v>
      </c>
      <c r="T154" s="23" t="s">
        <v>99</v>
      </c>
      <c r="U154" s="23" t="s">
        <v>99</v>
      </c>
      <c r="V154" s="23" t="s">
        <v>99</v>
      </c>
      <c r="W154" s="23" t="s">
        <v>99</v>
      </c>
      <c r="X154" s="28"/>
      <c r="Y154" s="28" t="str">
        <f aca="false">"다음 편: "&amp;J155</f>
        <v>다음 편: 도피성</v>
      </c>
    </row>
    <row r="155" customFormat="false" ht="26.85" hidden="false" customHeight="false" outlineLevel="0" collapsed="false">
      <c r="A155" s="20" t="n">
        <v>154</v>
      </c>
      <c r="B155" s="20" t="s">
        <v>1533</v>
      </c>
      <c r="C155" s="20" t="s">
        <v>1534</v>
      </c>
      <c r="D155" s="20" t="s">
        <v>1415</v>
      </c>
      <c r="E155" s="21" t="s">
        <v>1416</v>
      </c>
      <c r="F155" s="22" t="s">
        <v>88</v>
      </c>
      <c r="G155" s="22" t="s">
        <v>1342</v>
      </c>
      <c r="H155" s="21" t="s">
        <v>1535</v>
      </c>
      <c r="I155" s="23" t="s">
        <v>1116</v>
      </c>
      <c r="J155" s="24" t="s">
        <v>1536</v>
      </c>
      <c r="K155" s="24" t="s">
        <v>1537</v>
      </c>
      <c r="L155" s="24" t="s">
        <v>1538</v>
      </c>
      <c r="M155" s="24" t="s">
        <v>1539</v>
      </c>
      <c r="N155" s="24" t="s">
        <v>1005</v>
      </c>
      <c r="O155" s="24" t="s">
        <v>1540</v>
      </c>
      <c r="P155" s="25" t="s">
        <v>1541</v>
      </c>
      <c r="Q155" s="28" t="str">
        <f aca="false">"["&amp;안내!$C$5&amp;" "&amp;C155&amp;"] "&amp;J155&amp;" | "&amp;H155</f>
        <v>[1분 성경 #0154] 도피성 | 민 33:1-36:13</v>
      </c>
      <c r="R155" s="23" t="n">
        <f aca="false">INT((A155-1)/안내!$C$9)+1</f>
        <v>31</v>
      </c>
      <c r="S155" s="26" t="n">
        <f aca="false">안내!$C$10+(R155-1)*7+MOD(A155-1,안내!$C$9)</f>
        <v>46604</v>
      </c>
      <c r="T155" s="23" t="s">
        <v>99</v>
      </c>
      <c r="U155" s="23" t="s">
        <v>99</v>
      </c>
      <c r="V155" s="23" t="s">
        <v>99</v>
      </c>
      <c r="W155" s="23" t="s">
        <v>99</v>
      </c>
      <c r="X155" s="28"/>
      <c r="Y155" s="28" t="str">
        <f aca="false">"다음 편: "&amp;J156</f>
        <v>다음 편: 아버지가 아들을 안듯</v>
      </c>
    </row>
    <row r="156" customFormat="false" ht="26.85" hidden="false" customHeight="false" outlineLevel="0" collapsed="false">
      <c r="A156" s="20" t="n">
        <v>155</v>
      </c>
      <c r="B156" s="20" t="s">
        <v>1542</v>
      </c>
      <c r="C156" s="20" t="s">
        <v>1543</v>
      </c>
      <c r="D156" s="20" t="s">
        <v>1544</v>
      </c>
      <c r="E156" s="21" t="s">
        <v>1545</v>
      </c>
      <c r="F156" s="22" t="s">
        <v>88</v>
      </c>
      <c r="G156" s="22" t="s">
        <v>1546</v>
      </c>
      <c r="H156" s="21" t="s">
        <v>1547</v>
      </c>
      <c r="I156" s="23" t="s">
        <v>1116</v>
      </c>
      <c r="J156" s="24" t="s">
        <v>1548</v>
      </c>
      <c r="K156" s="24" t="s">
        <v>1549</v>
      </c>
      <c r="L156" s="24" t="s">
        <v>1550</v>
      </c>
      <c r="M156" s="24" t="s">
        <v>1551</v>
      </c>
      <c r="N156" s="24" t="s">
        <v>1005</v>
      </c>
      <c r="O156" s="24" t="s">
        <v>1515</v>
      </c>
      <c r="P156" s="28"/>
      <c r="Q156" s="28" t="str">
        <f aca="false">"["&amp;안내!$C$5&amp;" "&amp;C156&amp;"] "&amp;J156&amp;" | "&amp;H156</f>
        <v>[1분 성경 #0155] 아버지가 아들을 안듯 | 신 1:1-3:29</v>
      </c>
      <c r="R156" s="23" t="n">
        <f aca="false">INT((A156-1)/안내!$C$9)+1</f>
        <v>31</v>
      </c>
      <c r="S156" s="26" t="n">
        <f aca="false">안내!$C$10+(R156-1)*7+MOD(A156-1,안내!$C$9)</f>
        <v>46605</v>
      </c>
      <c r="T156" s="23" t="s">
        <v>99</v>
      </c>
      <c r="U156" s="23" t="s">
        <v>99</v>
      </c>
      <c r="V156" s="23" t="s">
        <v>99</v>
      </c>
      <c r="W156" s="23" t="s">
        <v>99</v>
      </c>
      <c r="X156" s="28"/>
      <c r="Y156" s="28" t="str">
        <f aca="false">"다음 편: "&amp;J157</f>
        <v>다음 편: 여호와 외에 다른 신은 없다</v>
      </c>
    </row>
    <row r="157" customFormat="false" ht="26.85" hidden="false" customHeight="false" outlineLevel="0" collapsed="false">
      <c r="A157" s="20" t="n">
        <v>156</v>
      </c>
      <c r="B157" s="20" t="s">
        <v>1552</v>
      </c>
      <c r="C157" s="20" t="s">
        <v>1553</v>
      </c>
      <c r="D157" s="20" t="s">
        <v>1544</v>
      </c>
      <c r="E157" s="21" t="s">
        <v>1545</v>
      </c>
      <c r="F157" s="22" t="s">
        <v>88</v>
      </c>
      <c r="G157" s="22" t="s">
        <v>1546</v>
      </c>
      <c r="H157" s="21" t="s">
        <v>1554</v>
      </c>
      <c r="I157" s="23" t="s">
        <v>1116</v>
      </c>
      <c r="J157" s="24" t="s">
        <v>1555</v>
      </c>
      <c r="K157" s="24" t="s">
        <v>1556</v>
      </c>
      <c r="L157" s="24" t="s">
        <v>1557</v>
      </c>
      <c r="M157" s="24" t="s">
        <v>1558</v>
      </c>
      <c r="N157" s="24" t="s">
        <v>1005</v>
      </c>
      <c r="O157" s="24" t="s">
        <v>1515</v>
      </c>
      <c r="P157" s="25" t="s">
        <v>1559</v>
      </c>
      <c r="Q157" s="28" t="str">
        <f aca="false">"["&amp;안내!$C$5&amp;" "&amp;C157&amp;"] "&amp;J157&amp;" | "&amp;H157</f>
        <v>[1분 성경 #0156] 여호와 외에 다른 신은 없다 | 신 4:1-49</v>
      </c>
      <c r="R157" s="23" t="n">
        <f aca="false">INT((A157-1)/안내!$C$9)+1</f>
        <v>32</v>
      </c>
      <c r="S157" s="26" t="n">
        <f aca="false">안내!$C$10+(R157-1)*7+MOD(A157-1,안내!$C$9)</f>
        <v>46608</v>
      </c>
      <c r="T157" s="23" t="s">
        <v>99</v>
      </c>
      <c r="U157" s="23" t="s">
        <v>99</v>
      </c>
      <c r="V157" s="23" t="s">
        <v>99</v>
      </c>
      <c r="W157" s="23" t="s">
        <v>99</v>
      </c>
      <c r="X157" s="28"/>
      <c r="Y157" s="28" t="str">
        <f aca="false">"다음 편: "&amp;J158</f>
        <v>다음 편: 다시 들려준 십계명</v>
      </c>
    </row>
    <row r="158" customFormat="false" ht="26.85" hidden="false" customHeight="false" outlineLevel="0" collapsed="false">
      <c r="A158" s="20" t="n">
        <v>157</v>
      </c>
      <c r="B158" s="20" t="s">
        <v>1560</v>
      </c>
      <c r="C158" s="20" t="s">
        <v>1561</v>
      </c>
      <c r="D158" s="20" t="s">
        <v>1544</v>
      </c>
      <c r="E158" s="21" t="s">
        <v>1545</v>
      </c>
      <c r="F158" s="22" t="s">
        <v>88</v>
      </c>
      <c r="G158" s="22" t="s">
        <v>1546</v>
      </c>
      <c r="H158" s="21" t="s">
        <v>1562</v>
      </c>
      <c r="I158" s="23" t="s">
        <v>1116</v>
      </c>
      <c r="J158" s="24" t="s">
        <v>1563</v>
      </c>
      <c r="K158" s="28" t="s">
        <v>1564</v>
      </c>
      <c r="L158" s="24" t="s">
        <v>1565</v>
      </c>
      <c r="M158" s="24" t="s">
        <v>1566</v>
      </c>
      <c r="N158" s="24" t="s">
        <v>1567</v>
      </c>
      <c r="O158" s="24" t="s">
        <v>1515</v>
      </c>
      <c r="P158" s="28"/>
      <c r="Q158" s="28" t="str">
        <f aca="false">"["&amp;안내!$C$5&amp;" "&amp;C158&amp;"] "&amp;J158&amp;" | "&amp;H158</f>
        <v>[1분 성경 #0157] 다시 들려준 십계명 | 신 5:1-33</v>
      </c>
      <c r="R158" s="23" t="n">
        <f aca="false">INT((A158-1)/안내!$C$9)+1</f>
        <v>32</v>
      </c>
      <c r="S158" s="26" t="n">
        <f aca="false">안내!$C$10+(R158-1)*7+MOD(A158-1,안내!$C$9)</f>
        <v>46609</v>
      </c>
      <c r="T158" s="23" t="s">
        <v>99</v>
      </c>
      <c r="U158" s="23" t="s">
        <v>99</v>
      </c>
      <c r="V158" s="23" t="s">
        <v>99</v>
      </c>
      <c r="W158" s="23" t="s">
        <v>99</v>
      </c>
      <c r="X158" s="28"/>
      <c r="Y158" s="28" t="str">
        <f aca="false">"다음 편: "&amp;J159</f>
        <v>다음 편: 들으라 이스라엘아</v>
      </c>
    </row>
    <row r="159" customFormat="false" ht="26.85" hidden="false" customHeight="false" outlineLevel="0" collapsed="false">
      <c r="A159" s="20" t="n">
        <v>158</v>
      </c>
      <c r="B159" s="20" t="s">
        <v>1568</v>
      </c>
      <c r="C159" s="20" t="s">
        <v>1569</v>
      </c>
      <c r="D159" s="20" t="s">
        <v>1544</v>
      </c>
      <c r="E159" s="21" t="s">
        <v>1545</v>
      </c>
      <c r="F159" s="22" t="s">
        <v>88</v>
      </c>
      <c r="G159" s="22" t="s">
        <v>1546</v>
      </c>
      <c r="H159" s="21" t="s">
        <v>1570</v>
      </c>
      <c r="I159" s="23" t="s">
        <v>1116</v>
      </c>
      <c r="J159" s="24" t="s">
        <v>1571</v>
      </c>
      <c r="K159" s="24" t="s">
        <v>1572</v>
      </c>
      <c r="L159" s="24" t="s">
        <v>1573</v>
      </c>
      <c r="M159" s="24" t="s">
        <v>1574</v>
      </c>
      <c r="N159" s="24" t="s">
        <v>1575</v>
      </c>
      <c r="O159" s="24" t="s">
        <v>1576</v>
      </c>
      <c r="P159" s="25" t="s">
        <v>1577</v>
      </c>
      <c r="Q159" s="28" t="str">
        <f aca="false">"["&amp;안내!$C$5&amp;" "&amp;C159&amp;"] "&amp;J159&amp;" | "&amp;H159</f>
        <v>[1분 성경 #0158] 들으라 이스라엘아 | 신 6:1-25</v>
      </c>
      <c r="R159" s="23" t="n">
        <f aca="false">INT((A159-1)/안내!$C$9)+1</f>
        <v>32</v>
      </c>
      <c r="S159" s="26" t="n">
        <f aca="false">안내!$C$10+(R159-1)*7+MOD(A159-1,안내!$C$9)</f>
        <v>46610</v>
      </c>
      <c r="T159" s="23" t="s">
        <v>99</v>
      </c>
      <c r="U159" s="23" t="s">
        <v>99</v>
      </c>
      <c r="V159" s="23" t="s">
        <v>99</v>
      </c>
      <c r="W159" s="23" t="s">
        <v>99</v>
      </c>
      <c r="X159" s="28"/>
      <c r="Y159" s="28" t="str">
        <f aca="false">"다음 편: "&amp;J160</f>
        <v>다음 편: 왜 우리를 택하셨을까?</v>
      </c>
    </row>
    <row r="160" customFormat="false" ht="26.85" hidden="false" customHeight="false" outlineLevel="0" collapsed="false">
      <c r="A160" s="20" t="n">
        <v>159</v>
      </c>
      <c r="B160" s="20" t="s">
        <v>1578</v>
      </c>
      <c r="C160" s="20" t="s">
        <v>1579</v>
      </c>
      <c r="D160" s="20" t="s">
        <v>1544</v>
      </c>
      <c r="E160" s="21" t="s">
        <v>1545</v>
      </c>
      <c r="F160" s="22" t="s">
        <v>88</v>
      </c>
      <c r="G160" s="22" t="s">
        <v>1546</v>
      </c>
      <c r="H160" s="21" t="s">
        <v>1580</v>
      </c>
      <c r="I160" s="23" t="s">
        <v>1116</v>
      </c>
      <c r="J160" s="24" t="s">
        <v>1581</v>
      </c>
      <c r="K160" s="24" t="s">
        <v>1582</v>
      </c>
      <c r="L160" s="24" t="s">
        <v>1583</v>
      </c>
      <c r="M160" s="24" t="s">
        <v>1584</v>
      </c>
      <c r="N160" s="24" t="s">
        <v>1005</v>
      </c>
      <c r="O160" s="24" t="s">
        <v>1515</v>
      </c>
      <c r="P160" s="25" t="s">
        <v>1585</v>
      </c>
      <c r="Q160" s="28" t="str">
        <f aca="false">"["&amp;안내!$C$5&amp;" "&amp;C160&amp;"] "&amp;J160&amp;" | "&amp;H160</f>
        <v>[1분 성경 #0159] 왜 우리를 택하셨을까? | 신 7:1-26</v>
      </c>
      <c r="R160" s="23" t="n">
        <f aca="false">INT((A160-1)/안내!$C$9)+1</f>
        <v>32</v>
      </c>
      <c r="S160" s="26" t="n">
        <f aca="false">안내!$C$10+(R160-1)*7+MOD(A160-1,안내!$C$9)</f>
        <v>46611</v>
      </c>
      <c r="T160" s="23" t="s">
        <v>99</v>
      </c>
      <c r="U160" s="23" t="s">
        <v>99</v>
      </c>
      <c r="V160" s="23" t="s">
        <v>99</v>
      </c>
      <c r="W160" s="23" t="s">
        <v>99</v>
      </c>
      <c r="X160" s="28"/>
      <c r="Y160" s="28" t="str">
        <f aca="false">"다음 편: "&amp;J161</f>
        <v>다음 편: 떡으로만 살지 않는다</v>
      </c>
    </row>
    <row r="161" customFormat="false" ht="26.85" hidden="false" customHeight="false" outlineLevel="0" collapsed="false">
      <c r="A161" s="20" t="n">
        <v>160</v>
      </c>
      <c r="B161" s="20" t="s">
        <v>1586</v>
      </c>
      <c r="C161" s="20" t="s">
        <v>1587</v>
      </c>
      <c r="D161" s="20" t="s">
        <v>1544</v>
      </c>
      <c r="E161" s="21" t="s">
        <v>1545</v>
      </c>
      <c r="F161" s="22" t="s">
        <v>88</v>
      </c>
      <c r="G161" s="22" t="s">
        <v>1546</v>
      </c>
      <c r="H161" s="21" t="s">
        <v>1588</v>
      </c>
      <c r="I161" s="23" t="s">
        <v>1116</v>
      </c>
      <c r="J161" s="24" t="s">
        <v>1589</v>
      </c>
      <c r="K161" s="24" t="s">
        <v>1590</v>
      </c>
      <c r="L161" s="24" t="s">
        <v>1591</v>
      </c>
      <c r="M161" s="24" t="s">
        <v>1592</v>
      </c>
      <c r="N161" s="24" t="s">
        <v>1005</v>
      </c>
      <c r="O161" s="24" t="s">
        <v>1593</v>
      </c>
      <c r="P161" s="25" t="s">
        <v>1594</v>
      </c>
      <c r="Q161" s="28" t="str">
        <f aca="false">"["&amp;안내!$C$5&amp;" "&amp;C161&amp;"] "&amp;J161&amp;" | "&amp;H161</f>
        <v>[1분 성경 #0160] 떡으로만 살지 않는다 | 신 8:1-20</v>
      </c>
      <c r="R161" s="23" t="n">
        <f aca="false">INT((A161-1)/안내!$C$9)+1</f>
        <v>32</v>
      </c>
      <c r="S161" s="26" t="n">
        <f aca="false">안내!$C$10+(R161-1)*7+MOD(A161-1,안내!$C$9)</f>
        <v>46612</v>
      </c>
      <c r="T161" s="23" t="s">
        <v>99</v>
      </c>
      <c r="U161" s="23" t="s">
        <v>99</v>
      </c>
      <c r="V161" s="23" t="s">
        <v>99</v>
      </c>
      <c r="W161" s="23" t="s">
        <v>99</v>
      </c>
      <c r="X161" s="28"/>
      <c r="Y161" s="28" t="str">
        <f aca="false">"다음 편: "&amp;J162</f>
        <v>다음 편: 너희가 의로워서가 아니다</v>
      </c>
    </row>
    <row r="162" customFormat="false" ht="26.85" hidden="false" customHeight="false" outlineLevel="0" collapsed="false">
      <c r="A162" s="20" t="n">
        <v>161</v>
      </c>
      <c r="B162" s="20" t="s">
        <v>1595</v>
      </c>
      <c r="C162" s="20" t="s">
        <v>1596</v>
      </c>
      <c r="D162" s="20" t="s">
        <v>1544</v>
      </c>
      <c r="E162" s="21" t="s">
        <v>1545</v>
      </c>
      <c r="F162" s="22" t="s">
        <v>88</v>
      </c>
      <c r="G162" s="22" t="s">
        <v>1546</v>
      </c>
      <c r="H162" s="21" t="s">
        <v>1597</v>
      </c>
      <c r="I162" s="23" t="s">
        <v>1116</v>
      </c>
      <c r="J162" s="24" t="s">
        <v>1598</v>
      </c>
      <c r="K162" s="24" t="s">
        <v>1599</v>
      </c>
      <c r="L162" s="24" t="s">
        <v>1600</v>
      </c>
      <c r="M162" s="24" t="s">
        <v>1601</v>
      </c>
      <c r="N162" s="24" t="s">
        <v>1005</v>
      </c>
      <c r="O162" s="24" t="s">
        <v>1515</v>
      </c>
      <c r="P162" s="25" t="s">
        <v>1602</v>
      </c>
      <c r="Q162" s="28" t="str">
        <f aca="false">"["&amp;안내!$C$5&amp;" "&amp;C162&amp;"] "&amp;J162&amp;" | "&amp;H162</f>
        <v>[1분 성경 #0161] 너희가 의로워서가 아니다 | 신 9:1-11:32</v>
      </c>
      <c r="R162" s="23" t="n">
        <f aca="false">INT((A162-1)/안내!$C$9)+1</f>
        <v>33</v>
      </c>
      <c r="S162" s="26" t="n">
        <f aca="false">안내!$C$10+(R162-1)*7+MOD(A162-1,안내!$C$9)</f>
        <v>46615</v>
      </c>
      <c r="T162" s="23" t="s">
        <v>99</v>
      </c>
      <c r="U162" s="23" t="s">
        <v>99</v>
      </c>
      <c r="V162" s="23" t="s">
        <v>99</v>
      </c>
      <c r="W162" s="23" t="s">
        <v>99</v>
      </c>
      <c r="X162" s="28"/>
      <c r="Y162" s="28" t="str">
        <f aca="false">"다음 편: "&amp;J163</f>
        <v>다음 편: 하나님이 택하신 곳에서</v>
      </c>
    </row>
    <row r="163" customFormat="false" ht="26.85" hidden="false" customHeight="false" outlineLevel="0" collapsed="false">
      <c r="A163" s="20" t="n">
        <v>162</v>
      </c>
      <c r="B163" s="20" t="s">
        <v>1603</v>
      </c>
      <c r="C163" s="20" t="s">
        <v>1604</v>
      </c>
      <c r="D163" s="20" t="s">
        <v>1544</v>
      </c>
      <c r="E163" s="21" t="s">
        <v>1545</v>
      </c>
      <c r="F163" s="22" t="s">
        <v>88</v>
      </c>
      <c r="G163" s="22" t="s">
        <v>1546</v>
      </c>
      <c r="H163" s="21" t="s">
        <v>1605</v>
      </c>
      <c r="I163" s="23" t="s">
        <v>1116</v>
      </c>
      <c r="J163" s="24" t="s">
        <v>1606</v>
      </c>
      <c r="K163" s="24" t="s">
        <v>1607</v>
      </c>
      <c r="L163" s="24" t="s">
        <v>1608</v>
      </c>
      <c r="M163" s="24" t="s">
        <v>1609</v>
      </c>
      <c r="N163" s="24" t="s">
        <v>1005</v>
      </c>
      <c r="O163" s="24" t="s">
        <v>1610</v>
      </c>
      <c r="P163" s="28"/>
      <c r="Q163" s="28" t="str">
        <f aca="false">"["&amp;안내!$C$5&amp;" "&amp;C163&amp;"] "&amp;J163&amp;" | "&amp;H163</f>
        <v>[1분 성경 #0162] 하나님이 택하신 곳에서 | 신 12:1-16:17</v>
      </c>
      <c r="R163" s="23" t="n">
        <f aca="false">INT((A163-1)/안내!$C$9)+1</f>
        <v>33</v>
      </c>
      <c r="S163" s="26" t="n">
        <f aca="false">안내!$C$10+(R163-1)*7+MOD(A163-1,안내!$C$9)</f>
        <v>46616</v>
      </c>
      <c r="T163" s="23" t="s">
        <v>99</v>
      </c>
      <c r="U163" s="23" t="s">
        <v>99</v>
      </c>
      <c r="V163" s="23" t="s">
        <v>99</v>
      </c>
      <c r="W163" s="23" t="s">
        <v>99</v>
      </c>
      <c r="X163" s="28"/>
      <c r="Y163" s="28" t="str">
        <f aca="false">"다음 편: "&amp;J164</f>
        <v>다음 편: 나 같은 선지자</v>
      </c>
    </row>
    <row r="164" customFormat="false" ht="26.85" hidden="false" customHeight="false" outlineLevel="0" collapsed="false">
      <c r="A164" s="20" t="n">
        <v>163</v>
      </c>
      <c r="B164" s="20" t="s">
        <v>1611</v>
      </c>
      <c r="C164" s="20" t="s">
        <v>1612</v>
      </c>
      <c r="D164" s="20" t="s">
        <v>1544</v>
      </c>
      <c r="E164" s="21" t="s">
        <v>1545</v>
      </c>
      <c r="F164" s="22" t="s">
        <v>88</v>
      </c>
      <c r="G164" s="22" t="s">
        <v>1546</v>
      </c>
      <c r="H164" s="21" t="s">
        <v>1613</v>
      </c>
      <c r="I164" s="23" t="s">
        <v>1116</v>
      </c>
      <c r="J164" s="24" t="s">
        <v>1614</v>
      </c>
      <c r="K164" s="24" t="s">
        <v>1615</v>
      </c>
      <c r="L164" s="24" t="s">
        <v>1616</v>
      </c>
      <c r="M164" s="24" t="s">
        <v>1617</v>
      </c>
      <c r="N164" s="24" t="s">
        <v>1005</v>
      </c>
      <c r="O164" s="24" t="s">
        <v>1515</v>
      </c>
      <c r="P164" s="25" t="s">
        <v>1618</v>
      </c>
      <c r="Q164" s="28" t="str">
        <f aca="false">"["&amp;안내!$C$5&amp;" "&amp;C164&amp;"] "&amp;J164&amp;" | "&amp;H164</f>
        <v>[1분 성경 #0163] 나 같은 선지자 | 신 16:18-20:20</v>
      </c>
      <c r="R164" s="23" t="n">
        <f aca="false">INT((A164-1)/안내!$C$9)+1</f>
        <v>33</v>
      </c>
      <c r="S164" s="26" t="n">
        <f aca="false">안내!$C$10+(R164-1)*7+MOD(A164-1,안내!$C$9)</f>
        <v>46617</v>
      </c>
      <c r="T164" s="23" t="s">
        <v>99</v>
      </c>
      <c r="U164" s="23" t="s">
        <v>99</v>
      </c>
      <c r="V164" s="23" t="s">
        <v>99</v>
      </c>
      <c r="W164" s="23" t="s">
        <v>99</v>
      </c>
      <c r="X164" s="28"/>
      <c r="Y164" s="28" t="str">
        <f aca="false">"다음 편: "&amp;J165</f>
        <v>다음 편: 이삭을 남겨 두라</v>
      </c>
    </row>
    <row r="165" customFormat="false" ht="26.85" hidden="false" customHeight="false" outlineLevel="0" collapsed="false">
      <c r="A165" s="20" t="n">
        <v>164</v>
      </c>
      <c r="B165" s="20" t="s">
        <v>1619</v>
      </c>
      <c r="C165" s="20" t="s">
        <v>1620</v>
      </c>
      <c r="D165" s="20" t="s">
        <v>1544</v>
      </c>
      <c r="E165" s="21" t="s">
        <v>1545</v>
      </c>
      <c r="F165" s="22" t="s">
        <v>88</v>
      </c>
      <c r="G165" s="22" t="s">
        <v>1546</v>
      </c>
      <c r="H165" s="21" t="s">
        <v>1621</v>
      </c>
      <c r="I165" s="23" t="s">
        <v>1116</v>
      </c>
      <c r="J165" s="24" t="s">
        <v>1622</v>
      </c>
      <c r="K165" s="24" t="s">
        <v>1623</v>
      </c>
      <c r="L165" s="24" t="s">
        <v>1624</v>
      </c>
      <c r="M165" s="24" t="s">
        <v>1625</v>
      </c>
      <c r="N165" s="24" t="s">
        <v>1005</v>
      </c>
      <c r="O165" s="24" t="s">
        <v>1626</v>
      </c>
      <c r="P165" s="28"/>
      <c r="Q165" s="28" t="str">
        <f aca="false">"["&amp;안내!$C$5&amp;" "&amp;C165&amp;"] "&amp;J165&amp;" | "&amp;H165</f>
        <v>[1분 성경 #0164] 이삭을 남겨 두라 | 신 21:1-26:19</v>
      </c>
      <c r="R165" s="23" t="n">
        <f aca="false">INT((A165-1)/안내!$C$9)+1</f>
        <v>33</v>
      </c>
      <c r="S165" s="26" t="n">
        <f aca="false">안내!$C$10+(R165-1)*7+MOD(A165-1,안내!$C$9)</f>
        <v>46618</v>
      </c>
      <c r="T165" s="23" t="s">
        <v>99</v>
      </c>
      <c r="U165" s="23" t="s">
        <v>99</v>
      </c>
      <c r="V165" s="23" t="s">
        <v>99</v>
      </c>
      <c r="W165" s="23" t="s">
        <v>99</v>
      </c>
      <c r="X165" s="28"/>
      <c r="Y165" s="28" t="str">
        <f aca="false">"다음 편: "&amp;J166</f>
        <v>다음 편: 축복과 저주</v>
      </c>
    </row>
    <row r="166" customFormat="false" ht="15" hidden="false" customHeight="false" outlineLevel="0" collapsed="false">
      <c r="A166" s="20" t="n">
        <v>165</v>
      </c>
      <c r="B166" s="20" t="s">
        <v>1627</v>
      </c>
      <c r="C166" s="20" t="s">
        <v>1628</v>
      </c>
      <c r="D166" s="20" t="s">
        <v>1544</v>
      </c>
      <c r="E166" s="21" t="s">
        <v>1545</v>
      </c>
      <c r="F166" s="22" t="s">
        <v>88</v>
      </c>
      <c r="G166" s="22" t="s">
        <v>1546</v>
      </c>
      <c r="H166" s="21" t="s">
        <v>1629</v>
      </c>
      <c r="I166" s="23" t="s">
        <v>1116</v>
      </c>
      <c r="J166" s="24" t="s">
        <v>1630</v>
      </c>
      <c r="K166" s="24" t="s">
        <v>1631</v>
      </c>
      <c r="L166" s="24" t="s">
        <v>1632</v>
      </c>
      <c r="M166" s="24" t="s">
        <v>1633</v>
      </c>
      <c r="N166" s="24" t="s">
        <v>1005</v>
      </c>
      <c r="O166" s="24" t="s">
        <v>1634</v>
      </c>
      <c r="P166" s="25" t="s">
        <v>1337</v>
      </c>
      <c r="Q166" s="28" t="str">
        <f aca="false">"["&amp;안내!$C$5&amp;" "&amp;C166&amp;"] "&amp;J166&amp;" | "&amp;H166</f>
        <v>[1분 성경 #0165] 축복과 저주 | 신 27:1-28:68</v>
      </c>
      <c r="R166" s="23" t="n">
        <f aca="false">INT((A166-1)/안내!$C$9)+1</f>
        <v>33</v>
      </c>
      <c r="S166" s="26" t="n">
        <f aca="false">안내!$C$10+(R166-1)*7+MOD(A166-1,안내!$C$9)</f>
        <v>46619</v>
      </c>
      <c r="T166" s="23" t="s">
        <v>99</v>
      </c>
      <c r="U166" s="23" t="s">
        <v>99</v>
      </c>
      <c r="V166" s="23" t="s">
        <v>99</v>
      </c>
      <c r="W166" s="23" t="s">
        <v>99</v>
      </c>
      <c r="X166" s="28"/>
      <c r="Y166" s="28" t="str">
        <f aca="false">"다음 편: "&amp;J167</f>
        <v>다음 편: 생명을 택하라</v>
      </c>
    </row>
    <row r="167" customFormat="false" ht="26.85" hidden="false" customHeight="false" outlineLevel="0" collapsed="false">
      <c r="A167" s="20" t="n">
        <v>166</v>
      </c>
      <c r="B167" s="20" t="s">
        <v>1635</v>
      </c>
      <c r="C167" s="20" t="s">
        <v>1636</v>
      </c>
      <c r="D167" s="20" t="s">
        <v>1544</v>
      </c>
      <c r="E167" s="21" t="s">
        <v>1545</v>
      </c>
      <c r="F167" s="22" t="s">
        <v>88</v>
      </c>
      <c r="G167" s="22" t="s">
        <v>1546</v>
      </c>
      <c r="H167" s="21" t="s">
        <v>1637</v>
      </c>
      <c r="I167" s="23" t="s">
        <v>1116</v>
      </c>
      <c r="J167" s="24" t="s">
        <v>1638</v>
      </c>
      <c r="K167" s="24" t="s">
        <v>1639</v>
      </c>
      <c r="L167" s="24" t="s">
        <v>1640</v>
      </c>
      <c r="M167" s="24" t="s">
        <v>1641</v>
      </c>
      <c r="N167" s="24" t="s">
        <v>1005</v>
      </c>
      <c r="O167" s="24" t="s">
        <v>1515</v>
      </c>
      <c r="P167" s="27" t="s">
        <v>1642</v>
      </c>
      <c r="Q167" s="28" t="str">
        <f aca="false">"["&amp;안내!$C$5&amp;" "&amp;C167&amp;"] "&amp;J167&amp;" | "&amp;H167</f>
        <v>[1분 성경 #0166] 생명을 택하라 | 신 29:1-30:20</v>
      </c>
      <c r="R167" s="23" t="n">
        <f aca="false">INT((A167-1)/안내!$C$9)+1</f>
        <v>34</v>
      </c>
      <c r="S167" s="26" t="n">
        <f aca="false">안내!$C$10+(R167-1)*7+MOD(A167-1,안내!$C$9)</f>
        <v>46622</v>
      </c>
      <c r="T167" s="23" t="s">
        <v>99</v>
      </c>
      <c r="U167" s="23" t="s">
        <v>99</v>
      </c>
      <c r="V167" s="23" t="s">
        <v>99</v>
      </c>
      <c r="W167" s="23" t="s">
        <v>99</v>
      </c>
      <c r="X167" s="28"/>
      <c r="Y167" s="28" t="str">
        <f aca="false">"다음 편: "&amp;J168</f>
        <v>다음 편: 강하고 담대하라</v>
      </c>
    </row>
    <row r="168" customFormat="false" ht="26.85" hidden="false" customHeight="false" outlineLevel="0" collapsed="false">
      <c r="A168" s="20" t="n">
        <v>167</v>
      </c>
      <c r="B168" s="20" t="s">
        <v>1643</v>
      </c>
      <c r="C168" s="20" t="s">
        <v>1644</v>
      </c>
      <c r="D168" s="20" t="s">
        <v>1544</v>
      </c>
      <c r="E168" s="21" t="s">
        <v>1545</v>
      </c>
      <c r="F168" s="22" t="s">
        <v>88</v>
      </c>
      <c r="G168" s="22" t="s">
        <v>1546</v>
      </c>
      <c r="H168" s="21" t="s">
        <v>1645</v>
      </c>
      <c r="I168" s="23" t="s">
        <v>1116</v>
      </c>
      <c r="J168" s="24" t="s">
        <v>1646</v>
      </c>
      <c r="K168" s="28" t="s">
        <v>1647</v>
      </c>
      <c r="L168" s="24" t="s">
        <v>1648</v>
      </c>
      <c r="M168" s="24" t="s">
        <v>1649</v>
      </c>
      <c r="N168" s="24" t="s">
        <v>1650</v>
      </c>
      <c r="O168" s="24" t="s">
        <v>1651</v>
      </c>
      <c r="P168" s="28"/>
      <c r="Q168" s="28" t="str">
        <f aca="false">"["&amp;안내!$C$5&amp;" "&amp;C168&amp;"] "&amp;J168&amp;" | "&amp;H168</f>
        <v>[1분 성경 #0167] 강하고 담대하라 | 신 31:1-32:52</v>
      </c>
      <c r="R168" s="23" t="n">
        <f aca="false">INT((A168-1)/안내!$C$9)+1</f>
        <v>34</v>
      </c>
      <c r="S168" s="26" t="n">
        <f aca="false">안내!$C$10+(R168-1)*7+MOD(A168-1,안내!$C$9)</f>
        <v>46623</v>
      </c>
      <c r="T168" s="23" t="s">
        <v>99</v>
      </c>
      <c r="U168" s="23" t="s">
        <v>99</v>
      </c>
      <c r="V168" s="23" t="s">
        <v>99</v>
      </c>
      <c r="W168" s="23" t="s">
        <v>99</v>
      </c>
      <c r="X168" s="28"/>
      <c r="Y168" s="28" t="str">
        <f aca="false">"다음 편: "&amp;J169</f>
        <v>다음 편: 느보산에서 본 약속의 땅</v>
      </c>
    </row>
    <row r="169" customFormat="false" ht="26.85" hidden="false" customHeight="false" outlineLevel="0" collapsed="false">
      <c r="A169" s="20" t="n">
        <v>168</v>
      </c>
      <c r="B169" s="20" t="s">
        <v>1652</v>
      </c>
      <c r="C169" s="20" t="s">
        <v>1653</v>
      </c>
      <c r="D169" s="20" t="s">
        <v>1544</v>
      </c>
      <c r="E169" s="21" t="s">
        <v>1545</v>
      </c>
      <c r="F169" s="22" t="s">
        <v>88</v>
      </c>
      <c r="G169" s="22" t="s">
        <v>1546</v>
      </c>
      <c r="H169" s="21" t="s">
        <v>1654</v>
      </c>
      <c r="I169" s="23" t="s">
        <v>1116</v>
      </c>
      <c r="J169" s="24" t="s">
        <v>1655</v>
      </c>
      <c r="K169" s="24" t="s">
        <v>1656</v>
      </c>
      <c r="L169" s="24" t="s">
        <v>1657</v>
      </c>
      <c r="M169" s="24" t="s">
        <v>1658</v>
      </c>
      <c r="N169" s="24" t="s">
        <v>1139</v>
      </c>
      <c r="O169" s="24" t="s">
        <v>1659</v>
      </c>
      <c r="P169" s="25" t="s">
        <v>1660</v>
      </c>
      <c r="Q169" s="28" t="str">
        <f aca="false">"["&amp;안내!$C$5&amp;" "&amp;C169&amp;"] "&amp;J169&amp;" | "&amp;H169</f>
        <v>[1분 성경 #0168] 느보산에서 본 약속의 땅 | 신 33:1-34:12</v>
      </c>
      <c r="R169" s="23" t="n">
        <f aca="false">INT((A169-1)/안내!$C$9)+1</f>
        <v>34</v>
      </c>
      <c r="S169" s="26" t="n">
        <f aca="false">안내!$C$10+(R169-1)*7+MOD(A169-1,안내!$C$9)</f>
        <v>46624</v>
      </c>
      <c r="T169" s="23" t="s">
        <v>99</v>
      </c>
      <c r="U169" s="23" t="s">
        <v>99</v>
      </c>
      <c r="V169" s="23" t="s">
        <v>99</v>
      </c>
      <c r="W169" s="23" t="s">
        <v>99</v>
      </c>
      <c r="X169" s="28"/>
      <c r="Y169" s="28" t="str">
        <f aca="false">"다음 편: "&amp;J170</f>
        <v>다음 편: 강하고 담대하라</v>
      </c>
    </row>
    <row r="170" customFormat="false" ht="15" hidden="false" customHeight="false" outlineLevel="0" collapsed="false">
      <c r="A170" s="20" t="n">
        <v>169</v>
      </c>
      <c r="B170" s="20" t="s">
        <v>1661</v>
      </c>
      <c r="C170" s="20" t="s">
        <v>1662</v>
      </c>
      <c r="D170" s="20" t="s">
        <v>1663</v>
      </c>
      <c r="E170" s="21" t="s">
        <v>1664</v>
      </c>
      <c r="F170" s="22" t="s">
        <v>88</v>
      </c>
      <c r="G170" s="22" t="s">
        <v>1665</v>
      </c>
      <c r="H170" s="21" t="s">
        <v>1666</v>
      </c>
      <c r="I170" s="23" t="s">
        <v>91</v>
      </c>
      <c r="J170" s="24" t="s">
        <v>1646</v>
      </c>
      <c r="K170" s="24" t="s">
        <v>1667</v>
      </c>
      <c r="L170" s="24" t="s">
        <v>1668</v>
      </c>
      <c r="M170" s="24" t="s">
        <v>1669</v>
      </c>
      <c r="N170" s="24" t="s">
        <v>1670</v>
      </c>
      <c r="O170" s="24" t="s">
        <v>1671</v>
      </c>
      <c r="P170" s="28"/>
      <c r="Q170" s="28" t="str">
        <f aca="false">"["&amp;안내!$C$5&amp;" "&amp;C170&amp;"] "&amp;J170&amp;" | "&amp;H170</f>
        <v>[1분 성경 #0169] 강하고 담대하라 | 수 1:1-18</v>
      </c>
      <c r="R170" s="23" t="n">
        <f aca="false">INT((A170-1)/안내!$C$9)+1</f>
        <v>34</v>
      </c>
      <c r="S170" s="26" t="n">
        <f aca="false">안내!$C$10+(R170-1)*7+MOD(A170-1,안내!$C$9)</f>
        <v>46625</v>
      </c>
      <c r="T170" s="23" t="s">
        <v>99</v>
      </c>
      <c r="U170" s="23" t="s">
        <v>99</v>
      </c>
      <c r="V170" s="23" t="s">
        <v>99</v>
      </c>
      <c r="W170" s="23" t="s">
        <v>99</v>
      </c>
      <c r="X170" s="28"/>
      <c r="Y170" s="28" t="str">
        <f aca="false">"다음 편: "&amp;J171</f>
        <v>다음 편: 붉은 줄</v>
      </c>
    </row>
    <row r="171" customFormat="false" ht="26.85" hidden="false" customHeight="false" outlineLevel="0" collapsed="false">
      <c r="A171" s="20" t="n">
        <v>170</v>
      </c>
      <c r="B171" s="20" t="s">
        <v>1672</v>
      </c>
      <c r="C171" s="20" t="s">
        <v>1673</v>
      </c>
      <c r="D171" s="20" t="s">
        <v>1663</v>
      </c>
      <c r="E171" s="21" t="s">
        <v>1664</v>
      </c>
      <c r="F171" s="22" t="s">
        <v>88</v>
      </c>
      <c r="G171" s="22" t="s">
        <v>1665</v>
      </c>
      <c r="H171" s="21" t="s">
        <v>1674</v>
      </c>
      <c r="I171" s="23" t="s">
        <v>91</v>
      </c>
      <c r="J171" s="24" t="s">
        <v>1675</v>
      </c>
      <c r="K171" s="24" t="s">
        <v>1676</v>
      </c>
      <c r="L171" s="24" t="s">
        <v>1677</v>
      </c>
      <c r="M171" s="24" t="s">
        <v>1678</v>
      </c>
      <c r="N171" s="24" t="s">
        <v>1679</v>
      </c>
      <c r="O171" s="24" t="s">
        <v>1680</v>
      </c>
      <c r="P171" s="25" t="s">
        <v>1681</v>
      </c>
      <c r="Q171" s="28" t="str">
        <f aca="false">"["&amp;안내!$C$5&amp;" "&amp;C171&amp;"] "&amp;J171&amp;" | "&amp;H171</f>
        <v>[1분 성경 #0170] 붉은 줄 | 수 2:1-24</v>
      </c>
      <c r="R171" s="23" t="n">
        <f aca="false">INT((A171-1)/안내!$C$9)+1</f>
        <v>34</v>
      </c>
      <c r="S171" s="26" t="n">
        <f aca="false">안내!$C$10+(R171-1)*7+MOD(A171-1,안내!$C$9)</f>
        <v>46626</v>
      </c>
      <c r="T171" s="23" t="s">
        <v>99</v>
      </c>
      <c r="U171" s="23" t="s">
        <v>99</v>
      </c>
      <c r="V171" s="23" t="s">
        <v>99</v>
      </c>
      <c r="W171" s="23" t="s">
        <v>99</v>
      </c>
      <c r="X171" s="28"/>
      <c r="Y171" s="28" t="str">
        <f aca="false">"다음 편: "&amp;J172</f>
        <v>다음 편: 멈춰 선 요단강</v>
      </c>
    </row>
    <row r="172" customFormat="false" ht="26.85" hidden="false" customHeight="false" outlineLevel="0" collapsed="false">
      <c r="A172" s="20" t="n">
        <v>171</v>
      </c>
      <c r="B172" s="20" t="s">
        <v>1682</v>
      </c>
      <c r="C172" s="20" t="s">
        <v>1683</v>
      </c>
      <c r="D172" s="20" t="s">
        <v>1663</v>
      </c>
      <c r="E172" s="21" t="s">
        <v>1664</v>
      </c>
      <c r="F172" s="22" t="s">
        <v>88</v>
      </c>
      <c r="G172" s="22" t="s">
        <v>1665</v>
      </c>
      <c r="H172" s="21" t="s">
        <v>1684</v>
      </c>
      <c r="I172" s="23" t="s">
        <v>91</v>
      </c>
      <c r="J172" s="24" t="s">
        <v>1685</v>
      </c>
      <c r="K172" s="24" t="s">
        <v>1686</v>
      </c>
      <c r="L172" s="24" t="s">
        <v>1687</v>
      </c>
      <c r="M172" s="24" t="s">
        <v>1688</v>
      </c>
      <c r="N172" s="24" t="s">
        <v>1689</v>
      </c>
      <c r="O172" s="24" t="s">
        <v>1690</v>
      </c>
      <c r="P172" s="28"/>
      <c r="Q172" s="28" t="str">
        <f aca="false">"["&amp;안내!$C$5&amp;" "&amp;C172&amp;"] "&amp;J172&amp;" | "&amp;H172</f>
        <v>[1분 성경 #0171] 멈춰 선 요단강 | 수 3:1-4:24</v>
      </c>
      <c r="R172" s="23" t="n">
        <f aca="false">INT((A172-1)/안내!$C$9)+1</f>
        <v>35</v>
      </c>
      <c r="S172" s="26" t="n">
        <f aca="false">안내!$C$10+(R172-1)*7+MOD(A172-1,안내!$C$9)</f>
        <v>46629</v>
      </c>
      <c r="T172" s="23" t="s">
        <v>99</v>
      </c>
      <c r="U172" s="23" t="s">
        <v>99</v>
      </c>
      <c r="V172" s="23" t="s">
        <v>99</v>
      </c>
      <c r="W172" s="23" t="s">
        <v>99</v>
      </c>
      <c r="X172" s="28"/>
      <c r="Y172" s="28" t="str">
        <f aca="false">"다음 편: "&amp;J173</f>
        <v>다음 편: 여호와의 군대 대장</v>
      </c>
    </row>
    <row r="173" customFormat="false" ht="26.85" hidden="false" customHeight="false" outlineLevel="0" collapsed="false">
      <c r="A173" s="20" t="n">
        <v>172</v>
      </c>
      <c r="B173" s="20" t="s">
        <v>1691</v>
      </c>
      <c r="C173" s="20" t="s">
        <v>1692</v>
      </c>
      <c r="D173" s="20" t="s">
        <v>1663</v>
      </c>
      <c r="E173" s="21" t="s">
        <v>1664</v>
      </c>
      <c r="F173" s="22" t="s">
        <v>88</v>
      </c>
      <c r="G173" s="22" t="s">
        <v>1665</v>
      </c>
      <c r="H173" s="21" t="s">
        <v>1693</v>
      </c>
      <c r="I173" s="23" t="s">
        <v>91</v>
      </c>
      <c r="J173" s="24" t="s">
        <v>1694</v>
      </c>
      <c r="K173" s="24" t="s">
        <v>1695</v>
      </c>
      <c r="L173" s="24" t="s">
        <v>1696</v>
      </c>
      <c r="M173" s="24" t="s">
        <v>1697</v>
      </c>
      <c r="N173" s="24" t="s">
        <v>1698</v>
      </c>
      <c r="O173" s="24" t="s">
        <v>1699</v>
      </c>
      <c r="P173" s="25" t="s">
        <v>1700</v>
      </c>
      <c r="Q173" s="28" t="str">
        <f aca="false">"["&amp;안내!$C$5&amp;" "&amp;C173&amp;"] "&amp;J173&amp;" | "&amp;H173</f>
        <v>[1분 성경 #0172] 여호와의 군대 대장 | 수 5:1-15</v>
      </c>
      <c r="R173" s="23" t="n">
        <f aca="false">INT((A173-1)/안내!$C$9)+1</f>
        <v>35</v>
      </c>
      <c r="S173" s="26" t="n">
        <f aca="false">안내!$C$10+(R173-1)*7+MOD(A173-1,안내!$C$9)</f>
        <v>46630</v>
      </c>
      <c r="T173" s="23" t="s">
        <v>99</v>
      </c>
      <c r="U173" s="23" t="s">
        <v>99</v>
      </c>
      <c r="V173" s="23" t="s">
        <v>99</v>
      </c>
      <c r="W173" s="23" t="s">
        <v>99</v>
      </c>
      <c r="X173" s="28"/>
      <c r="Y173" s="28" t="str">
        <f aca="false">"다음 편: "&amp;J174</f>
        <v>다음 편: 무너진 여리고 성</v>
      </c>
    </row>
    <row r="174" customFormat="false" ht="26.85" hidden="false" customHeight="false" outlineLevel="0" collapsed="false">
      <c r="A174" s="20" t="n">
        <v>173</v>
      </c>
      <c r="B174" s="20" t="s">
        <v>1701</v>
      </c>
      <c r="C174" s="20" t="s">
        <v>1702</v>
      </c>
      <c r="D174" s="20" t="s">
        <v>1663</v>
      </c>
      <c r="E174" s="21" t="s">
        <v>1664</v>
      </c>
      <c r="F174" s="22" t="s">
        <v>88</v>
      </c>
      <c r="G174" s="22" t="s">
        <v>1665</v>
      </c>
      <c r="H174" s="21" t="s">
        <v>1703</v>
      </c>
      <c r="I174" s="23" t="s">
        <v>91</v>
      </c>
      <c r="J174" s="24" t="s">
        <v>1704</v>
      </c>
      <c r="K174" s="28" t="s">
        <v>1705</v>
      </c>
      <c r="L174" s="24" t="s">
        <v>1706</v>
      </c>
      <c r="M174" s="24" t="s">
        <v>1707</v>
      </c>
      <c r="N174" s="24" t="s">
        <v>1708</v>
      </c>
      <c r="O174" s="24" t="s">
        <v>1709</v>
      </c>
      <c r="P174" s="25" t="s">
        <v>1710</v>
      </c>
      <c r="Q174" s="28" t="str">
        <f aca="false">"["&amp;안내!$C$5&amp;" "&amp;C174&amp;"] "&amp;J174&amp;" | "&amp;H174</f>
        <v>[1분 성경 #0173] 무너진 여리고 성 | 수 6:1-27</v>
      </c>
      <c r="R174" s="23" t="n">
        <f aca="false">INT((A174-1)/안내!$C$9)+1</f>
        <v>35</v>
      </c>
      <c r="S174" s="26" t="n">
        <f aca="false">안내!$C$10+(R174-1)*7+MOD(A174-1,안내!$C$9)</f>
        <v>46631</v>
      </c>
      <c r="T174" s="23" t="s">
        <v>99</v>
      </c>
      <c r="U174" s="23" t="s">
        <v>99</v>
      </c>
      <c r="V174" s="23" t="s">
        <v>99</v>
      </c>
      <c r="W174" s="23" t="s">
        <v>99</v>
      </c>
      <c r="X174" s="28"/>
      <c r="Y174" s="28" t="str">
        <f aca="false">"다음 편: "&amp;J175</f>
        <v>다음 편: 숨겨 둔 외투 한 벌</v>
      </c>
    </row>
    <row r="175" customFormat="false" ht="15" hidden="false" customHeight="false" outlineLevel="0" collapsed="false">
      <c r="A175" s="20" t="n">
        <v>174</v>
      </c>
      <c r="B175" s="20" t="s">
        <v>1711</v>
      </c>
      <c r="C175" s="20" t="s">
        <v>1712</v>
      </c>
      <c r="D175" s="20" t="s">
        <v>1663</v>
      </c>
      <c r="E175" s="21" t="s">
        <v>1664</v>
      </c>
      <c r="F175" s="22" t="s">
        <v>88</v>
      </c>
      <c r="G175" s="22" t="s">
        <v>1665</v>
      </c>
      <c r="H175" s="21" t="s">
        <v>1713</v>
      </c>
      <c r="I175" s="23" t="s">
        <v>91</v>
      </c>
      <c r="J175" s="24" t="s">
        <v>1714</v>
      </c>
      <c r="K175" s="24" t="s">
        <v>1715</v>
      </c>
      <c r="L175" s="24" t="s">
        <v>1716</v>
      </c>
      <c r="M175" s="24" t="s">
        <v>1717</v>
      </c>
      <c r="N175" s="24" t="s">
        <v>1718</v>
      </c>
      <c r="O175" s="24" t="s">
        <v>1719</v>
      </c>
      <c r="P175" s="25" t="s">
        <v>709</v>
      </c>
      <c r="Q175" s="28" t="str">
        <f aca="false">"["&amp;안내!$C$5&amp;" "&amp;C175&amp;"] "&amp;J175&amp;" | "&amp;H175</f>
        <v>[1분 성경 #0174] 숨겨 둔 외투 한 벌 | 수 7:1-26</v>
      </c>
      <c r="R175" s="23" t="n">
        <f aca="false">INT((A175-1)/안내!$C$9)+1</f>
        <v>35</v>
      </c>
      <c r="S175" s="26" t="n">
        <f aca="false">안내!$C$10+(R175-1)*7+MOD(A175-1,안내!$C$9)</f>
        <v>46632</v>
      </c>
      <c r="T175" s="23" t="s">
        <v>99</v>
      </c>
      <c r="U175" s="23" t="s">
        <v>99</v>
      </c>
      <c r="V175" s="23" t="s">
        <v>99</v>
      </c>
      <c r="W175" s="23" t="s">
        <v>99</v>
      </c>
      <c r="X175" s="28"/>
      <c r="Y175" s="28" t="str">
        <f aca="false">"다음 편: "&amp;J176</f>
        <v>다음 편: 다시 일어서다</v>
      </c>
    </row>
    <row r="176" customFormat="false" ht="26.85" hidden="false" customHeight="false" outlineLevel="0" collapsed="false">
      <c r="A176" s="20" t="n">
        <v>175</v>
      </c>
      <c r="B176" s="20" t="s">
        <v>1720</v>
      </c>
      <c r="C176" s="20" t="s">
        <v>1721</v>
      </c>
      <c r="D176" s="20" t="s">
        <v>1663</v>
      </c>
      <c r="E176" s="21" t="s">
        <v>1664</v>
      </c>
      <c r="F176" s="22" t="s">
        <v>88</v>
      </c>
      <c r="G176" s="22" t="s">
        <v>1665</v>
      </c>
      <c r="H176" s="21" t="s">
        <v>1722</v>
      </c>
      <c r="I176" s="23" t="s">
        <v>91</v>
      </c>
      <c r="J176" s="24" t="s">
        <v>1723</v>
      </c>
      <c r="K176" s="24" t="s">
        <v>1724</v>
      </c>
      <c r="L176" s="24" t="s">
        <v>1725</v>
      </c>
      <c r="M176" s="24" t="s">
        <v>1726</v>
      </c>
      <c r="N176" s="24" t="s">
        <v>1727</v>
      </c>
      <c r="O176" s="24" t="s">
        <v>1728</v>
      </c>
      <c r="P176" s="28"/>
      <c r="Q176" s="28" t="str">
        <f aca="false">"["&amp;안내!$C$5&amp;" "&amp;C176&amp;"] "&amp;J176&amp;" | "&amp;H176</f>
        <v>[1분 성경 #0175] 다시 일어서다 | 수 8:1-35</v>
      </c>
      <c r="R176" s="23" t="n">
        <f aca="false">INT((A176-1)/안내!$C$9)+1</f>
        <v>35</v>
      </c>
      <c r="S176" s="26" t="n">
        <f aca="false">안내!$C$10+(R176-1)*7+MOD(A176-1,안내!$C$9)</f>
        <v>46633</v>
      </c>
      <c r="T176" s="23" t="s">
        <v>99</v>
      </c>
      <c r="U176" s="23" t="s">
        <v>99</v>
      </c>
      <c r="V176" s="23" t="s">
        <v>99</v>
      </c>
      <c r="W176" s="23" t="s">
        <v>99</v>
      </c>
      <c r="X176" s="28"/>
      <c r="Y176" s="28" t="str">
        <f aca="false">"다음 편: "&amp;J177</f>
        <v>다음 편: 기브온의 속임수</v>
      </c>
    </row>
    <row r="177" customFormat="false" ht="15" hidden="false" customHeight="false" outlineLevel="0" collapsed="false">
      <c r="A177" s="20" t="n">
        <v>176</v>
      </c>
      <c r="B177" s="20" t="s">
        <v>1729</v>
      </c>
      <c r="C177" s="20" t="s">
        <v>1730</v>
      </c>
      <c r="D177" s="20" t="s">
        <v>1731</v>
      </c>
      <c r="E177" s="21" t="s">
        <v>1732</v>
      </c>
      <c r="F177" s="22" t="s">
        <v>88</v>
      </c>
      <c r="G177" s="22" t="s">
        <v>1665</v>
      </c>
      <c r="H177" s="21" t="s">
        <v>1733</v>
      </c>
      <c r="I177" s="23" t="s">
        <v>91</v>
      </c>
      <c r="J177" s="24" t="s">
        <v>1734</v>
      </c>
      <c r="K177" s="24" t="s">
        <v>1735</v>
      </c>
      <c r="L177" s="24" t="s">
        <v>1736</v>
      </c>
      <c r="M177" s="24" t="s">
        <v>1737</v>
      </c>
      <c r="N177" s="24" t="s">
        <v>1738</v>
      </c>
      <c r="O177" s="24" t="s">
        <v>1739</v>
      </c>
      <c r="P177" s="28"/>
      <c r="Q177" s="28" t="str">
        <f aca="false">"["&amp;안내!$C$5&amp;" "&amp;C177&amp;"] "&amp;J177&amp;" | "&amp;H177</f>
        <v>[1분 성경 #0176] 기브온의 속임수 | 수 9:1-27</v>
      </c>
      <c r="R177" s="23" t="n">
        <f aca="false">INT((A177-1)/안내!$C$9)+1</f>
        <v>36</v>
      </c>
      <c r="S177" s="26" t="n">
        <f aca="false">안내!$C$10+(R177-1)*7+MOD(A177-1,안내!$C$9)</f>
        <v>46636</v>
      </c>
      <c r="T177" s="23" t="s">
        <v>99</v>
      </c>
      <c r="U177" s="23" t="s">
        <v>99</v>
      </c>
      <c r="V177" s="23" t="s">
        <v>99</v>
      </c>
      <c r="W177" s="23" t="s">
        <v>99</v>
      </c>
      <c r="X177" s="28"/>
      <c r="Y177" s="28" t="str">
        <f aca="false">"다음 편: "&amp;J178</f>
        <v>다음 편: 태양아 멈추라</v>
      </c>
    </row>
    <row r="178" customFormat="false" ht="26.85" hidden="false" customHeight="false" outlineLevel="0" collapsed="false">
      <c r="A178" s="20" t="n">
        <v>177</v>
      </c>
      <c r="B178" s="20" t="s">
        <v>1740</v>
      </c>
      <c r="C178" s="20" t="s">
        <v>1741</v>
      </c>
      <c r="D178" s="20" t="s">
        <v>1731</v>
      </c>
      <c r="E178" s="21" t="s">
        <v>1732</v>
      </c>
      <c r="F178" s="22" t="s">
        <v>88</v>
      </c>
      <c r="G178" s="22" t="s">
        <v>1665</v>
      </c>
      <c r="H178" s="21" t="s">
        <v>1742</v>
      </c>
      <c r="I178" s="23" t="s">
        <v>91</v>
      </c>
      <c r="J178" s="24" t="s">
        <v>1743</v>
      </c>
      <c r="K178" s="24" t="s">
        <v>1744</v>
      </c>
      <c r="L178" s="24" t="s">
        <v>1745</v>
      </c>
      <c r="M178" s="24" t="s">
        <v>1746</v>
      </c>
      <c r="N178" s="24" t="s">
        <v>1747</v>
      </c>
      <c r="O178" s="24" t="s">
        <v>1748</v>
      </c>
      <c r="P178" s="28"/>
      <c r="Q178" s="28" t="str">
        <f aca="false">"["&amp;안내!$C$5&amp;" "&amp;C178&amp;"] "&amp;J178&amp;" | "&amp;H178</f>
        <v>[1분 성경 #0177] 태양아 멈추라 | 수 10:1-15</v>
      </c>
      <c r="R178" s="23" t="n">
        <f aca="false">INT((A178-1)/안내!$C$9)+1</f>
        <v>36</v>
      </c>
      <c r="S178" s="26" t="n">
        <f aca="false">안내!$C$10+(R178-1)*7+MOD(A178-1,안내!$C$9)</f>
        <v>46637</v>
      </c>
      <c r="T178" s="23" t="s">
        <v>99</v>
      </c>
      <c r="U178" s="23" t="s">
        <v>99</v>
      </c>
      <c r="V178" s="23" t="s">
        <v>99</v>
      </c>
      <c r="W178" s="23" t="s">
        <v>99</v>
      </c>
      <c r="X178" s="28"/>
      <c r="Y178" s="28" t="str">
        <f aca="false">"다음 편: "&amp;J179</f>
        <v>다음 편: 가나안 정복 전쟁</v>
      </c>
    </row>
    <row r="179" customFormat="false" ht="26.85" hidden="false" customHeight="false" outlineLevel="0" collapsed="false">
      <c r="A179" s="20" t="n">
        <v>178</v>
      </c>
      <c r="B179" s="20" t="s">
        <v>1749</v>
      </c>
      <c r="C179" s="20" t="s">
        <v>1750</v>
      </c>
      <c r="D179" s="20" t="s">
        <v>1731</v>
      </c>
      <c r="E179" s="21" t="s">
        <v>1732</v>
      </c>
      <c r="F179" s="22" t="s">
        <v>88</v>
      </c>
      <c r="G179" s="22" t="s">
        <v>1665</v>
      </c>
      <c r="H179" s="21" t="s">
        <v>1751</v>
      </c>
      <c r="I179" s="23" t="s">
        <v>1116</v>
      </c>
      <c r="J179" s="24" t="s">
        <v>1752</v>
      </c>
      <c r="K179" s="28" t="s">
        <v>1753</v>
      </c>
      <c r="L179" s="24" t="s">
        <v>1754</v>
      </c>
      <c r="M179" s="24" t="s">
        <v>1755</v>
      </c>
      <c r="N179" s="24" t="s">
        <v>1756</v>
      </c>
      <c r="O179" s="24" t="s">
        <v>1757</v>
      </c>
      <c r="P179" s="25" t="s">
        <v>1758</v>
      </c>
      <c r="Q179" s="28" t="str">
        <f aca="false">"["&amp;안내!$C$5&amp;" "&amp;C179&amp;"] "&amp;J179&amp;" | "&amp;H179</f>
        <v>[1분 성경 #0178] 가나안 정복 전쟁 | 수 10:16-12:24</v>
      </c>
      <c r="R179" s="23" t="n">
        <f aca="false">INT((A179-1)/안내!$C$9)+1</f>
        <v>36</v>
      </c>
      <c r="S179" s="26" t="n">
        <f aca="false">안내!$C$10+(R179-1)*7+MOD(A179-1,안내!$C$9)</f>
        <v>46638</v>
      </c>
      <c r="T179" s="23" t="s">
        <v>99</v>
      </c>
      <c r="U179" s="23" t="s">
        <v>99</v>
      </c>
      <c r="V179" s="23" t="s">
        <v>99</v>
      </c>
      <c r="W179" s="23" t="s">
        <v>99</v>
      </c>
      <c r="X179" s="28"/>
      <c r="Y179" s="28" t="str">
        <f aca="false">"다음 편: "&amp;J180</f>
        <v>다음 편: 땅을 나누다</v>
      </c>
    </row>
    <row r="180" customFormat="false" ht="15" hidden="false" customHeight="false" outlineLevel="0" collapsed="false">
      <c r="A180" s="20" t="n">
        <v>179</v>
      </c>
      <c r="B180" s="20" t="s">
        <v>1759</v>
      </c>
      <c r="C180" s="20" t="s">
        <v>1760</v>
      </c>
      <c r="D180" s="20" t="s">
        <v>1731</v>
      </c>
      <c r="E180" s="21" t="s">
        <v>1732</v>
      </c>
      <c r="F180" s="22" t="s">
        <v>88</v>
      </c>
      <c r="G180" s="22" t="s">
        <v>1665</v>
      </c>
      <c r="H180" s="21" t="s">
        <v>1761</v>
      </c>
      <c r="I180" s="23" t="s">
        <v>1116</v>
      </c>
      <c r="J180" s="24" t="s">
        <v>1762</v>
      </c>
      <c r="K180" s="24" t="s">
        <v>1763</v>
      </c>
      <c r="L180" s="24" t="s">
        <v>1764</v>
      </c>
      <c r="M180" s="24" t="s">
        <v>1765</v>
      </c>
      <c r="N180" s="24" t="s">
        <v>1766</v>
      </c>
      <c r="O180" s="24" t="s">
        <v>1767</v>
      </c>
      <c r="P180" s="28"/>
      <c r="Q180" s="28" t="str">
        <f aca="false">"["&amp;안내!$C$5&amp;" "&amp;C180&amp;"] "&amp;J180&amp;" | "&amp;H180</f>
        <v>[1분 성경 #0179] 땅을 나누다 | 수 13:1-14:5</v>
      </c>
      <c r="R180" s="23" t="n">
        <f aca="false">INT((A180-1)/안내!$C$9)+1</f>
        <v>36</v>
      </c>
      <c r="S180" s="26" t="n">
        <f aca="false">안내!$C$10+(R180-1)*7+MOD(A180-1,안내!$C$9)</f>
        <v>46639</v>
      </c>
      <c r="T180" s="23" t="s">
        <v>99</v>
      </c>
      <c r="U180" s="23" t="s">
        <v>99</v>
      </c>
      <c r="V180" s="23" t="s">
        <v>99</v>
      </c>
      <c r="W180" s="23" t="s">
        <v>99</v>
      </c>
      <c r="X180" s="28"/>
      <c r="Y180" s="28" t="str">
        <f aca="false">"다음 편: "&amp;J181</f>
        <v>다음 편: 85세 갈렙</v>
      </c>
    </row>
    <row r="181" customFormat="false" ht="15" hidden="false" customHeight="false" outlineLevel="0" collapsed="false">
      <c r="A181" s="20" t="n">
        <v>180</v>
      </c>
      <c r="B181" s="20" t="s">
        <v>1768</v>
      </c>
      <c r="C181" s="20" t="s">
        <v>1769</v>
      </c>
      <c r="D181" s="20" t="s">
        <v>1731</v>
      </c>
      <c r="E181" s="21" t="s">
        <v>1732</v>
      </c>
      <c r="F181" s="22" t="s">
        <v>88</v>
      </c>
      <c r="G181" s="22" t="s">
        <v>1665</v>
      </c>
      <c r="H181" s="21" t="s">
        <v>1770</v>
      </c>
      <c r="I181" s="23" t="s">
        <v>91</v>
      </c>
      <c r="J181" s="28" t="s">
        <v>1771</v>
      </c>
      <c r="K181" s="24" t="s">
        <v>1772</v>
      </c>
      <c r="L181" s="24" t="s">
        <v>1773</v>
      </c>
      <c r="M181" s="24" t="s">
        <v>1774</v>
      </c>
      <c r="N181" s="24" t="s">
        <v>1775</v>
      </c>
      <c r="O181" s="24" t="s">
        <v>1776</v>
      </c>
      <c r="P181" s="28"/>
      <c r="Q181" s="28" t="str">
        <f aca="false">"["&amp;안내!$C$5&amp;" "&amp;C181&amp;"] "&amp;J181&amp;" | "&amp;H181</f>
        <v>[1분 성경 #0180] 85세 갈렙 | 수 14:6-15</v>
      </c>
      <c r="R181" s="23" t="n">
        <f aca="false">INT((A181-1)/안내!$C$9)+1</f>
        <v>36</v>
      </c>
      <c r="S181" s="26" t="n">
        <f aca="false">안내!$C$10+(R181-1)*7+MOD(A181-1,안내!$C$9)</f>
        <v>46640</v>
      </c>
      <c r="T181" s="23" t="s">
        <v>99</v>
      </c>
      <c r="U181" s="23" t="s">
        <v>99</v>
      </c>
      <c r="V181" s="23" t="s">
        <v>99</v>
      </c>
      <c r="W181" s="23" t="s">
        <v>99</v>
      </c>
      <c r="X181" s="28"/>
      <c r="Y181" s="28" t="str">
        <f aca="false">"다음 편: "&amp;J182</f>
        <v>다음 편: 열두 지파의 기업</v>
      </c>
    </row>
    <row r="182" customFormat="false" ht="25.35" hidden="false" customHeight="false" outlineLevel="0" collapsed="false">
      <c r="A182" s="20" t="n">
        <v>181</v>
      </c>
      <c r="B182" s="20" t="s">
        <v>1777</v>
      </c>
      <c r="C182" s="20" t="s">
        <v>1778</v>
      </c>
      <c r="D182" s="20" t="s">
        <v>1731</v>
      </c>
      <c r="E182" s="21" t="s">
        <v>1732</v>
      </c>
      <c r="F182" s="22" t="s">
        <v>88</v>
      </c>
      <c r="G182" s="22" t="s">
        <v>1665</v>
      </c>
      <c r="H182" s="21" t="s">
        <v>1779</v>
      </c>
      <c r="I182" s="23" t="s">
        <v>1116</v>
      </c>
      <c r="J182" s="24" t="s">
        <v>1780</v>
      </c>
      <c r="K182" s="24" t="s">
        <v>1781</v>
      </c>
      <c r="L182" s="24" t="s">
        <v>1782</v>
      </c>
      <c r="M182" s="24" t="s">
        <v>1783</v>
      </c>
      <c r="N182" s="24" t="s">
        <v>1784</v>
      </c>
      <c r="O182" s="24" t="s">
        <v>1785</v>
      </c>
      <c r="P182" s="28"/>
      <c r="Q182" s="28" t="str">
        <f aca="false">"["&amp;안내!$C$5&amp;" "&amp;C182&amp;"] "&amp;J182&amp;" | "&amp;H182</f>
        <v>[1분 성경 #0181] 열두 지파의 기업 | 수 15:1-19:51</v>
      </c>
      <c r="R182" s="23" t="n">
        <f aca="false">INT((A182-1)/안내!$C$9)+1</f>
        <v>37</v>
      </c>
      <c r="S182" s="26" t="n">
        <f aca="false">안내!$C$10+(R182-1)*7+MOD(A182-1,안내!$C$9)</f>
        <v>46643</v>
      </c>
      <c r="T182" s="23" t="s">
        <v>99</v>
      </c>
      <c r="U182" s="23" t="s">
        <v>99</v>
      </c>
      <c r="V182" s="23" t="s">
        <v>99</v>
      </c>
      <c r="W182" s="23" t="s">
        <v>99</v>
      </c>
      <c r="X182" s="28"/>
      <c r="Y182" s="28" t="str">
        <f aca="false">"다음 편: "&amp;J183</f>
        <v>다음 편: 하나도 남김없이</v>
      </c>
    </row>
    <row r="183" customFormat="false" ht="26.85" hidden="false" customHeight="false" outlineLevel="0" collapsed="false">
      <c r="A183" s="20" t="n">
        <v>182</v>
      </c>
      <c r="B183" s="20" t="s">
        <v>1786</v>
      </c>
      <c r="C183" s="20" t="s">
        <v>1787</v>
      </c>
      <c r="D183" s="20" t="s">
        <v>1731</v>
      </c>
      <c r="E183" s="21" t="s">
        <v>1732</v>
      </c>
      <c r="F183" s="22" t="s">
        <v>88</v>
      </c>
      <c r="G183" s="22" t="s">
        <v>1665</v>
      </c>
      <c r="H183" s="21" t="s">
        <v>1788</v>
      </c>
      <c r="I183" s="23" t="s">
        <v>91</v>
      </c>
      <c r="J183" s="24" t="s">
        <v>1789</v>
      </c>
      <c r="K183" s="24" t="s">
        <v>1790</v>
      </c>
      <c r="L183" s="24" t="s">
        <v>1791</v>
      </c>
      <c r="M183" s="24" t="s">
        <v>1792</v>
      </c>
      <c r="N183" s="24" t="s">
        <v>1793</v>
      </c>
      <c r="O183" s="24" t="s">
        <v>1794</v>
      </c>
      <c r="P183" s="28"/>
      <c r="Q183" s="28" t="str">
        <f aca="false">"["&amp;안내!$C$5&amp;" "&amp;C183&amp;"] "&amp;J183&amp;" | "&amp;H183</f>
        <v>[1분 성경 #0182] 하나도 남김없이 | 수 20:1-21:45</v>
      </c>
      <c r="R183" s="23" t="n">
        <f aca="false">INT((A183-1)/안내!$C$9)+1</f>
        <v>37</v>
      </c>
      <c r="S183" s="26" t="n">
        <f aca="false">안내!$C$10+(R183-1)*7+MOD(A183-1,안내!$C$9)</f>
        <v>46644</v>
      </c>
      <c r="T183" s="23" t="s">
        <v>99</v>
      </c>
      <c r="U183" s="23" t="s">
        <v>99</v>
      </c>
      <c r="V183" s="23" t="s">
        <v>99</v>
      </c>
      <c r="W183" s="23" t="s">
        <v>99</v>
      </c>
      <c r="X183" s="28"/>
      <c r="Y183" s="28" t="str">
        <f aca="false">"다음 편: "&amp;J184</f>
        <v>다음 편: 요단 강가의 큰 제단</v>
      </c>
    </row>
    <row r="184" customFormat="false" ht="25.35" hidden="false" customHeight="false" outlineLevel="0" collapsed="false">
      <c r="A184" s="20" t="n">
        <v>183</v>
      </c>
      <c r="B184" s="20" t="s">
        <v>1795</v>
      </c>
      <c r="C184" s="20" t="s">
        <v>1796</v>
      </c>
      <c r="D184" s="20" t="s">
        <v>1731</v>
      </c>
      <c r="E184" s="21" t="s">
        <v>1732</v>
      </c>
      <c r="F184" s="22" t="s">
        <v>88</v>
      </c>
      <c r="G184" s="22" t="s">
        <v>1665</v>
      </c>
      <c r="H184" s="21" t="s">
        <v>1797</v>
      </c>
      <c r="I184" s="23" t="s">
        <v>91</v>
      </c>
      <c r="J184" s="24" t="s">
        <v>1798</v>
      </c>
      <c r="K184" s="24" t="s">
        <v>1799</v>
      </c>
      <c r="L184" s="24" t="s">
        <v>1800</v>
      </c>
      <c r="M184" s="24" t="s">
        <v>1801</v>
      </c>
      <c r="N184" s="24" t="s">
        <v>1802</v>
      </c>
      <c r="O184" s="24" t="s">
        <v>1803</v>
      </c>
      <c r="P184" s="28"/>
      <c r="Q184" s="28" t="str">
        <f aca="false">"["&amp;안내!$C$5&amp;" "&amp;C184&amp;"] "&amp;J184&amp;" | "&amp;H184</f>
        <v>[1분 성경 #0183] 요단 강가의 큰 제단 | 수 22:1-34</v>
      </c>
      <c r="R184" s="23" t="n">
        <f aca="false">INT((A184-1)/안내!$C$9)+1</f>
        <v>37</v>
      </c>
      <c r="S184" s="26" t="n">
        <f aca="false">안내!$C$10+(R184-1)*7+MOD(A184-1,안내!$C$9)</f>
        <v>46645</v>
      </c>
      <c r="T184" s="23" t="s">
        <v>99</v>
      </c>
      <c r="U184" s="23" t="s">
        <v>99</v>
      </c>
      <c r="V184" s="23" t="s">
        <v>99</v>
      </c>
      <c r="W184" s="23" t="s">
        <v>99</v>
      </c>
      <c r="X184" s="28"/>
      <c r="Y184" s="28" t="str">
        <f aca="false">"다음 편: "&amp;J185</f>
        <v>다음 편: 나와 내 집은</v>
      </c>
    </row>
    <row r="185" customFormat="false" ht="26.85" hidden="false" customHeight="false" outlineLevel="0" collapsed="false">
      <c r="A185" s="20" t="n">
        <v>184</v>
      </c>
      <c r="B185" s="20" t="s">
        <v>1804</v>
      </c>
      <c r="C185" s="20" t="s">
        <v>1805</v>
      </c>
      <c r="D185" s="20" t="s">
        <v>1731</v>
      </c>
      <c r="E185" s="21" t="s">
        <v>1732</v>
      </c>
      <c r="F185" s="22" t="s">
        <v>88</v>
      </c>
      <c r="G185" s="22" t="s">
        <v>1665</v>
      </c>
      <c r="H185" s="21" t="s">
        <v>1806</v>
      </c>
      <c r="I185" s="23" t="s">
        <v>91</v>
      </c>
      <c r="J185" s="24" t="s">
        <v>1807</v>
      </c>
      <c r="K185" s="24" t="s">
        <v>1808</v>
      </c>
      <c r="L185" s="24" t="s">
        <v>1809</v>
      </c>
      <c r="M185" s="24" t="s">
        <v>1810</v>
      </c>
      <c r="N185" s="24" t="s">
        <v>1727</v>
      </c>
      <c r="O185" s="24" t="s">
        <v>631</v>
      </c>
      <c r="P185" s="28"/>
      <c r="Q185" s="28" t="str">
        <f aca="false">"["&amp;안내!$C$5&amp;" "&amp;C185&amp;"] "&amp;J185&amp;" | "&amp;H185</f>
        <v>[1분 성경 #0184] 나와 내 집은 | 수 23:1-24:33</v>
      </c>
      <c r="R185" s="23" t="n">
        <f aca="false">INT((A185-1)/안내!$C$9)+1</f>
        <v>37</v>
      </c>
      <c r="S185" s="26" t="n">
        <f aca="false">안내!$C$10+(R185-1)*7+MOD(A185-1,안내!$C$9)</f>
        <v>46646</v>
      </c>
      <c r="T185" s="23" t="s">
        <v>99</v>
      </c>
      <c r="U185" s="23" t="s">
        <v>99</v>
      </c>
      <c r="V185" s="23" t="s">
        <v>99</v>
      </c>
      <c r="W185" s="23" t="s">
        <v>99</v>
      </c>
      <c r="X185" s="28"/>
      <c r="Y185" s="28" t="str">
        <f aca="false">"다음 편: "&amp;J186</f>
        <v>다음 편: 끝내지 못한 정복</v>
      </c>
    </row>
    <row r="186" customFormat="false" ht="26.85" hidden="false" customHeight="false" outlineLevel="0" collapsed="false">
      <c r="A186" s="20" t="n">
        <v>185</v>
      </c>
      <c r="B186" s="20" t="s">
        <v>1811</v>
      </c>
      <c r="C186" s="20" t="s">
        <v>1812</v>
      </c>
      <c r="D186" s="20" t="s">
        <v>1813</v>
      </c>
      <c r="E186" s="21" t="s">
        <v>1814</v>
      </c>
      <c r="F186" s="22" t="s">
        <v>88</v>
      </c>
      <c r="G186" s="22" t="s">
        <v>1815</v>
      </c>
      <c r="H186" s="21" t="s">
        <v>1816</v>
      </c>
      <c r="I186" s="23" t="s">
        <v>91</v>
      </c>
      <c r="J186" s="24" t="s">
        <v>1817</v>
      </c>
      <c r="K186" s="24" t="s">
        <v>1818</v>
      </c>
      <c r="L186" s="24" t="s">
        <v>1819</v>
      </c>
      <c r="M186" s="24" t="s">
        <v>1820</v>
      </c>
      <c r="N186" s="24" t="s">
        <v>1821</v>
      </c>
      <c r="O186" s="24" t="s">
        <v>1822</v>
      </c>
      <c r="P186" s="28"/>
      <c r="Q186" s="28" t="str">
        <f aca="false">"["&amp;안내!$C$5&amp;" "&amp;C186&amp;"] "&amp;J186&amp;" | "&amp;H186</f>
        <v>[1분 성경 #0185] 끝내지 못한 정복 | 삿 1:1-2:5</v>
      </c>
      <c r="R186" s="23" t="n">
        <f aca="false">INT((A186-1)/안내!$C$9)+1</f>
        <v>37</v>
      </c>
      <c r="S186" s="26" t="n">
        <f aca="false">안내!$C$10+(R186-1)*7+MOD(A186-1,안내!$C$9)</f>
        <v>46647</v>
      </c>
      <c r="T186" s="23" t="s">
        <v>99</v>
      </c>
      <c r="U186" s="23" t="s">
        <v>99</v>
      </c>
      <c r="V186" s="23" t="s">
        <v>99</v>
      </c>
      <c r="W186" s="23" t="s">
        <v>99</v>
      </c>
      <c r="X186" s="28"/>
      <c r="Y186" s="28" t="str">
        <f aca="false">"다음 편: "&amp;J187</f>
        <v>다음 편: 여호와를 알지 못하는 세대</v>
      </c>
    </row>
    <row r="187" customFormat="false" ht="26.85" hidden="false" customHeight="false" outlineLevel="0" collapsed="false">
      <c r="A187" s="20" t="n">
        <v>186</v>
      </c>
      <c r="B187" s="20" t="s">
        <v>1823</v>
      </c>
      <c r="C187" s="20" t="s">
        <v>1824</v>
      </c>
      <c r="D187" s="20" t="s">
        <v>1813</v>
      </c>
      <c r="E187" s="21" t="s">
        <v>1814</v>
      </c>
      <c r="F187" s="22" t="s">
        <v>88</v>
      </c>
      <c r="G187" s="22" t="s">
        <v>1815</v>
      </c>
      <c r="H187" s="21" t="s">
        <v>1825</v>
      </c>
      <c r="I187" s="23" t="s">
        <v>91</v>
      </c>
      <c r="J187" s="24" t="s">
        <v>1826</v>
      </c>
      <c r="K187" s="24" t="s">
        <v>1827</v>
      </c>
      <c r="L187" s="24" t="s">
        <v>1828</v>
      </c>
      <c r="M187" s="24" t="s">
        <v>1829</v>
      </c>
      <c r="N187" s="24" t="s">
        <v>1310</v>
      </c>
      <c r="O187" s="24" t="s">
        <v>1830</v>
      </c>
      <c r="P187" s="28"/>
      <c r="Q187" s="28" t="str">
        <f aca="false">"["&amp;안내!$C$5&amp;" "&amp;C187&amp;"] "&amp;J187&amp;" | "&amp;H187</f>
        <v>[1분 성경 #0186] 여호와를 알지 못하는 세대 | 삿 2:6-3:6</v>
      </c>
      <c r="R187" s="23" t="n">
        <f aca="false">INT((A187-1)/안내!$C$9)+1</f>
        <v>38</v>
      </c>
      <c r="S187" s="26" t="n">
        <f aca="false">안내!$C$10+(R187-1)*7+MOD(A187-1,안내!$C$9)</f>
        <v>46650</v>
      </c>
      <c r="T187" s="23" t="s">
        <v>99</v>
      </c>
      <c r="U187" s="23" t="s">
        <v>99</v>
      </c>
      <c r="V187" s="23" t="s">
        <v>99</v>
      </c>
      <c r="W187" s="23" t="s">
        <v>99</v>
      </c>
      <c r="X187" s="28"/>
      <c r="Y187" s="28" t="str">
        <f aca="false">"다음 편: "&amp;J188</f>
        <v>다음 편: 왼손잡이 구원자</v>
      </c>
    </row>
    <row r="188" customFormat="false" ht="26.85" hidden="false" customHeight="false" outlineLevel="0" collapsed="false">
      <c r="A188" s="20" t="n">
        <v>187</v>
      </c>
      <c r="B188" s="20" t="s">
        <v>1831</v>
      </c>
      <c r="C188" s="20" t="s">
        <v>1832</v>
      </c>
      <c r="D188" s="20" t="s">
        <v>1813</v>
      </c>
      <c r="E188" s="21" t="s">
        <v>1814</v>
      </c>
      <c r="F188" s="22" t="s">
        <v>88</v>
      </c>
      <c r="G188" s="22" t="s">
        <v>1815</v>
      </c>
      <c r="H188" s="21" t="s">
        <v>1833</v>
      </c>
      <c r="I188" s="23" t="s">
        <v>91</v>
      </c>
      <c r="J188" s="24" t="s">
        <v>1834</v>
      </c>
      <c r="K188" s="24" t="s">
        <v>1835</v>
      </c>
      <c r="L188" s="24" t="s">
        <v>1836</v>
      </c>
      <c r="M188" s="24" t="s">
        <v>1837</v>
      </c>
      <c r="N188" s="24" t="s">
        <v>1838</v>
      </c>
      <c r="O188" s="24" t="s">
        <v>1839</v>
      </c>
      <c r="P188" s="25" t="s">
        <v>1840</v>
      </c>
      <c r="Q188" s="28" t="str">
        <f aca="false">"["&amp;안내!$C$5&amp;" "&amp;C188&amp;"] "&amp;J188&amp;" | "&amp;H188</f>
        <v>[1분 성경 #0187] 왼손잡이 구원자 | 삿 3:7-31</v>
      </c>
      <c r="R188" s="23" t="n">
        <f aca="false">INT((A188-1)/안내!$C$9)+1</f>
        <v>38</v>
      </c>
      <c r="S188" s="26" t="n">
        <f aca="false">안내!$C$10+(R188-1)*7+MOD(A188-1,안내!$C$9)</f>
        <v>46651</v>
      </c>
      <c r="T188" s="23" t="s">
        <v>99</v>
      </c>
      <c r="U188" s="23" t="s">
        <v>99</v>
      </c>
      <c r="V188" s="23" t="s">
        <v>99</v>
      </c>
      <c r="W188" s="23" t="s">
        <v>99</v>
      </c>
      <c r="X188" s="28"/>
      <c r="Y188" s="28" t="str">
        <f aca="false">"다음 편: "&amp;J189</f>
        <v>다음 편: 드보라와 바락</v>
      </c>
    </row>
    <row r="189" customFormat="false" ht="15" hidden="false" customHeight="false" outlineLevel="0" collapsed="false">
      <c r="A189" s="20" t="n">
        <v>188</v>
      </c>
      <c r="B189" s="20" t="s">
        <v>1841</v>
      </c>
      <c r="C189" s="20" t="s">
        <v>1842</v>
      </c>
      <c r="D189" s="20" t="s">
        <v>1813</v>
      </c>
      <c r="E189" s="21" t="s">
        <v>1814</v>
      </c>
      <c r="F189" s="22" t="s">
        <v>88</v>
      </c>
      <c r="G189" s="22" t="s">
        <v>1815</v>
      </c>
      <c r="H189" s="21" t="s">
        <v>1843</v>
      </c>
      <c r="I189" s="23" t="s">
        <v>91</v>
      </c>
      <c r="J189" s="24" t="s">
        <v>1844</v>
      </c>
      <c r="K189" s="24" t="s">
        <v>1845</v>
      </c>
      <c r="L189" s="24" t="s">
        <v>1846</v>
      </c>
      <c r="M189" s="24" t="s">
        <v>1847</v>
      </c>
      <c r="N189" s="24" t="s">
        <v>1848</v>
      </c>
      <c r="O189" s="24" t="s">
        <v>1849</v>
      </c>
      <c r="P189" s="25" t="s">
        <v>1850</v>
      </c>
      <c r="Q189" s="28" t="str">
        <f aca="false">"["&amp;안내!$C$5&amp;" "&amp;C189&amp;"] "&amp;J189&amp;" | "&amp;H189</f>
        <v>[1분 성경 #0188] 드보라와 바락 | 삿 4:1-24</v>
      </c>
      <c r="R189" s="23" t="n">
        <f aca="false">INT((A189-1)/안내!$C$9)+1</f>
        <v>38</v>
      </c>
      <c r="S189" s="26" t="n">
        <f aca="false">안내!$C$10+(R189-1)*7+MOD(A189-1,안내!$C$9)</f>
        <v>46652</v>
      </c>
      <c r="T189" s="23" t="s">
        <v>99</v>
      </c>
      <c r="U189" s="23" t="s">
        <v>99</v>
      </c>
      <c r="V189" s="23" t="s">
        <v>99</v>
      </c>
      <c r="W189" s="23" t="s">
        <v>99</v>
      </c>
      <c r="X189" s="28"/>
      <c r="Y189" s="28" t="str">
        <f aca="false">"다음 편: "&amp;J190</f>
        <v>다음 편: 드보라의 노래</v>
      </c>
    </row>
    <row r="190" customFormat="false" ht="26.85" hidden="false" customHeight="false" outlineLevel="0" collapsed="false">
      <c r="A190" s="20" t="n">
        <v>189</v>
      </c>
      <c r="B190" s="20" t="s">
        <v>1851</v>
      </c>
      <c r="C190" s="20" t="s">
        <v>1852</v>
      </c>
      <c r="D190" s="20" t="s">
        <v>1813</v>
      </c>
      <c r="E190" s="21" t="s">
        <v>1814</v>
      </c>
      <c r="F190" s="22" t="s">
        <v>88</v>
      </c>
      <c r="G190" s="22" t="s">
        <v>1815</v>
      </c>
      <c r="H190" s="21" t="s">
        <v>1853</v>
      </c>
      <c r="I190" s="23" t="s">
        <v>91</v>
      </c>
      <c r="J190" s="24" t="s">
        <v>1854</v>
      </c>
      <c r="K190" s="24" t="s">
        <v>1855</v>
      </c>
      <c r="L190" s="24" t="s">
        <v>1856</v>
      </c>
      <c r="M190" s="24" t="s">
        <v>1857</v>
      </c>
      <c r="N190" s="24" t="s">
        <v>1858</v>
      </c>
      <c r="O190" s="24" t="s">
        <v>1859</v>
      </c>
      <c r="P190" s="28"/>
      <c r="Q190" s="28" t="str">
        <f aca="false">"["&amp;안내!$C$5&amp;" "&amp;C190&amp;"] "&amp;J190&amp;" | "&amp;H190</f>
        <v>[1분 성경 #0189] 드보라의 노래 | 삿 5:1-31</v>
      </c>
      <c r="R190" s="23" t="n">
        <f aca="false">INT((A190-1)/안내!$C$9)+1</f>
        <v>38</v>
      </c>
      <c r="S190" s="26" t="n">
        <f aca="false">안내!$C$10+(R190-1)*7+MOD(A190-1,안내!$C$9)</f>
        <v>46653</v>
      </c>
      <c r="T190" s="23" t="s">
        <v>99</v>
      </c>
      <c r="U190" s="23" t="s">
        <v>99</v>
      </c>
      <c r="V190" s="23" t="s">
        <v>99</v>
      </c>
      <c r="W190" s="23" t="s">
        <v>99</v>
      </c>
      <c r="X190" s="28"/>
      <c r="Y190" s="28" t="str">
        <f aca="false">"다음 편: "&amp;J191</f>
        <v>다음 편: 큰 용사여</v>
      </c>
    </row>
    <row r="191" customFormat="false" ht="26.85" hidden="false" customHeight="false" outlineLevel="0" collapsed="false">
      <c r="A191" s="20" t="n">
        <v>190</v>
      </c>
      <c r="B191" s="20" t="s">
        <v>1860</v>
      </c>
      <c r="C191" s="20" t="s">
        <v>1861</v>
      </c>
      <c r="D191" s="20" t="s">
        <v>1813</v>
      </c>
      <c r="E191" s="21" t="s">
        <v>1814</v>
      </c>
      <c r="F191" s="22" t="s">
        <v>88</v>
      </c>
      <c r="G191" s="22" t="s">
        <v>1815</v>
      </c>
      <c r="H191" s="21" t="s">
        <v>1862</v>
      </c>
      <c r="I191" s="23" t="s">
        <v>91</v>
      </c>
      <c r="J191" s="24" t="s">
        <v>1863</v>
      </c>
      <c r="K191" s="24" t="s">
        <v>1864</v>
      </c>
      <c r="L191" s="24" t="s">
        <v>1865</v>
      </c>
      <c r="M191" s="24" t="s">
        <v>1866</v>
      </c>
      <c r="N191" s="24" t="s">
        <v>1867</v>
      </c>
      <c r="O191" s="24" t="s">
        <v>1868</v>
      </c>
      <c r="P191" s="25" t="s">
        <v>1869</v>
      </c>
      <c r="Q191" s="28" t="str">
        <f aca="false">"["&amp;안내!$C$5&amp;" "&amp;C191&amp;"] "&amp;J191&amp;" | "&amp;H191</f>
        <v>[1분 성경 #0190] 큰 용사여 | 삿 6:1-24</v>
      </c>
      <c r="R191" s="23" t="n">
        <f aca="false">INT((A191-1)/안내!$C$9)+1</f>
        <v>38</v>
      </c>
      <c r="S191" s="26" t="n">
        <f aca="false">안내!$C$10+(R191-1)*7+MOD(A191-1,안내!$C$9)</f>
        <v>46654</v>
      </c>
      <c r="T191" s="23" t="s">
        <v>99</v>
      </c>
      <c r="U191" s="23" t="s">
        <v>99</v>
      </c>
      <c r="V191" s="23" t="s">
        <v>99</v>
      </c>
      <c r="W191" s="23" t="s">
        <v>99</v>
      </c>
      <c r="X191" s="28"/>
      <c r="Y191" s="28" t="str">
        <f aca="false">"다음 편: "&amp;J192</f>
        <v>다음 편: 양털 시험</v>
      </c>
    </row>
    <row r="192" customFormat="false" ht="26.85" hidden="false" customHeight="false" outlineLevel="0" collapsed="false">
      <c r="A192" s="20" t="n">
        <v>191</v>
      </c>
      <c r="B192" s="20" t="s">
        <v>1870</v>
      </c>
      <c r="C192" s="20" t="s">
        <v>1871</v>
      </c>
      <c r="D192" s="20" t="s">
        <v>1813</v>
      </c>
      <c r="E192" s="21" t="s">
        <v>1814</v>
      </c>
      <c r="F192" s="22" t="s">
        <v>88</v>
      </c>
      <c r="G192" s="22" t="s">
        <v>1815</v>
      </c>
      <c r="H192" s="21" t="s">
        <v>1872</v>
      </c>
      <c r="I192" s="23" t="s">
        <v>91</v>
      </c>
      <c r="J192" s="24" t="s">
        <v>1873</v>
      </c>
      <c r="K192" s="24" t="s">
        <v>1874</v>
      </c>
      <c r="L192" s="24" t="s">
        <v>1875</v>
      </c>
      <c r="M192" s="24" t="s">
        <v>1876</v>
      </c>
      <c r="N192" s="24" t="s">
        <v>1877</v>
      </c>
      <c r="O192" s="24" t="s">
        <v>1878</v>
      </c>
      <c r="P192" s="28"/>
      <c r="Q192" s="28" t="str">
        <f aca="false">"["&amp;안내!$C$5&amp;" "&amp;C192&amp;"] "&amp;J192&amp;" | "&amp;H192</f>
        <v>[1분 성경 #0191] 양털 시험 | 삿 6:25-40</v>
      </c>
      <c r="R192" s="23" t="n">
        <f aca="false">INT((A192-1)/안내!$C$9)+1</f>
        <v>39</v>
      </c>
      <c r="S192" s="26" t="n">
        <f aca="false">안내!$C$10+(R192-1)*7+MOD(A192-1,안내!$C$9)</f>
        <v>46657</v>
      </c>
      <c r="T192" s="23" t="s">
        <v>99</v>
      </c>
      <c r="U192" s="23" t="s">
        <v>99</v>
      </c>
      <c r="V192" s="23" t="s">
        <v>99</v>
      </c>
      <c r="W192" s="23" t="s">
        <v>99</v>
      </c>
      <c r="X192" s="28"/>
      <c r="Y192" s="28" t="str">
        <f aca="false">"다음 편: "&amp;J193</f>
        <v>다음 편: 300명의 용사</v>
      </c>
    </row>
    <row r="193" customFormat="false" ht="26.85" hidden="false" customHeight="false" outlineLevel="0" collapsed="false">
      <c r="A193" s="20" t="n">
        <v>192</v>
      </c>
      <c r="B193" s="20" t="s">
        <v>1879</v>
      </c>
      <c r="C193" s="20" t="s">
        <v>1880</v>
      </c>
      <c r="D193" s="20" t="s">
        <v>1813</v>
      </c>
      <c r="E193" s="21" t="s">
        <v>1814</v>
      </c>
      <c r="F193" s="22" t="s">
        <v>88</v>
      </c>
      <c r="G193" s="22" t="s">
        <v>1815</v>
      </c>
      <c r="H193" s="21" t="s">
        <v>1881</v>
      </c>
      <c r="I193" s="23" t="s">
        <v>91</v>
      </c>
      <c r="J193" s="28" t="s">
        <v>1882</v>
      </c>
      <c r="K193" s="28" t="s">
        <v>1883</v>
      </c>
      <c r="L193" s="24" t="s">
        <v>1884</v>
      </c>
      <c r="M193" s="24" t="s">
        <v>1885</v>
      </c>
      <c r="N193" s="24" t="s">
        <v>1886</v>
      </c>
      <c r="O193" s="24" t="s">
        <v>1887</v>
      </c>
      <c r="P193" s="28"/>
      <c r="Q193" s="28" t="str">
        <f aca="false">"["&amp;안내!$C$5&amp;" "&amp;C193&amp;"] "&amp;J193&amp;" | "&amp;H193</f>
        <v>[1분 성경 #0192] 300명의 용사 | 삿 7:1-25</v>
      </c>
      <c r="R193" s="23" t="n">
        <f aca="false">INT((A193-1)/안내!$C$9)+1</f>
        <v>39</v>
      </c>
      <c r="S193" s="26" t="n">
        <f aca="false">안내!$C$10+(R193-1)*7+MOD(A193-1,안내!$C$9)</f>
        <v>46658</v>
      </c>
      <c r="T193" s="23" t="s">
        <v>99</v>
      </c>
      <c r="U193" s="23" t="s">
        <v>99</v>
      </c>
      <c r="V193" s="23" t="s">
        <v>99</v>
      </c>
      <c r="W193" s="23" t="s">
        <v>99</v>
      </c>
      <c r="X193" s="28"/>
      <c r="Y193" s="28" t="str">
        <f aca="false">"다음 편: "&amp;J194</f>
        <v>다음 편: 승리 후의 실수</v>
      </c>
    </row>
    <row r="194" customFormat="false" ht="15" hidden="false" customHeight="false" outlineLevel="0" collapsed="false">
      <c r="A194" s="20" t="n">
        <v>193</v>
      </c>
      <c r="B194" s="20" t="s">
        <v>1888</v>
      </c>
      <c r="C194" s="20" t="s">
        <v>1889</v>
      </c>
      <c r="D194" s="20" t="s">
        <v>1813</v>
      </c>
      <c r="E194" s="21" t="s">
        <v>1814</v>
      </c>
      <c r="F194" s="22" t="s">
        <v>88</v>
      </c>
      <c r="G194" s="22" t="s">
        <v>1815</v>
      </c>
      <c r="H194" s="21" t="s">
        <v>1890</v>
      </c>
      <c r="I194" s="23" t="s">
        <v>91</v>
      </c>
      <c r="J194" s="24" t="s">
        <v>1891</v>
      </c>
      <c r="K194" s="24" t="s">
        <v>1892</v>
      </c>
      <c r="L194" s="24" t="s">
        <v>1893</v>
      </c>
      <c r="M194" s="24" t="s">
        <v>1894</v>
      </c>
      <c r="N194" s="24" t="s">
        <v>1895</v>
      </c>
      <c r="O194" s="24" t="s">
        <v>1896</v>
      </c>
      <c r="P194" s="28"/>
      <c r="Q194" s="28" t="str">
        <f aca="false">"["&amp;안내!$C$5&amp;" "&amp;C194&amp;"] "&amp;J194&amp;" | "&amp;H194</f>
        <v>[1분 성경 #0193] 승리 후의 실수 | 삿 8:1-35</v>
      </c>
      <c r="R194" s="23" t="n">
        <f aca="false">INT((A194-1)/안내!$C$9)+1</f>
        <v>39</v>
      </c>
      <c r="S194" s="26" t="n">
        <f aca="false">안내!$C$10+(R194-1)*7+MOD(A194-1,안내!$C$9)</f>
        <v>46659</v>
      </c>
      <c r="T194" s="23" t="s">
        <v>99</v>
      </c>
      <c r="U194" s="23" t="s">
        <v>99</v>
      </c>
      <c r="V194" s="23" t="s">
        <v>99</v>
      </c>
      <c r="W194" s="23" t="s">
        <v>99</v>
      </c>
      <c r="X194" s="28"/>
      <c r="Y194" s="28" t="str">
        <f aca="false">"다음 편: "&amp;J195</f>
        <v>다음 편: 가시나무 왕</v>
      </c>
    </row>
    <row r="195" customFormat="false" ht="15" hidden="false" customHeight="false" outlineLevel="0" collapsed="false">
      <c r="A195" s="20" t="n">
        <v>194</v>
      </c>
      <c r="B195" s="20" t="s">
        <v>1897</v>
      </c>
      <c r="C195" s="20" t="s">
        <v>1898</v>
      </c>
      <c r="D195" s="20" t="s">
        <v>1899</v>
      </c>
      <c r="E195" s="21" t="s">
        <v>1900</v>
      </c>
      <c r="F195" s="22" t="s">
        <v>88</v>
      </c>
      <c r="G195" s="22" t="s">
        <v>1815</v>
      </c>
      <c r="H195" s="21" t="s">
        <v>1901</v>
      </c>
      <c r="I195" s="23" t="s">
        <v>91</v>
      </c>
      <c r="J195" s="24" t="s">
        <v>1902</v>
      </c>
      <c r="K195" s="24" t="s">
        <v>1903</v>
      </c>
      <c r="L195" s="24" t="s">
        <v>1904</v>
      </c>
      <c r="M195" s="24" t="s">
        <v>1905</v>
      </c>
      <c r="N195" s="24" t="s">
        <v>1906</v>
      </c>
      <c r="O195" s="24" t="s">
        <v>1907</v>
      </c>
      <c r="P195" s="25" t="s">
        <v>1908</v>
      </c>
      <c r="Q195" s="28" t="str">
        <f aca="false">"["&amp;안내!$C$5&amp;" "&amp;C195&amp;"] "&amp;J195&amp;" | "&amp;H195</f>
        <v>[1분 성경 #0194] 가시나무 왕 | 삿 9:1-57</v>
      </c>
      <c r="R195" s="23" t="n">
        <f aca="false">INT((A195-1)/안내!$C$9)+1</f>
        <v>39</v>
      </c>
      <c r="S195" s="26" t="n">
        <f aca="false">안내!$C$10+(R195-1)*7+MOD(A195-1,안내!$C$9)</f>
        <v>46660</v>
      </c>
      <c r="T195" s="23" t="s">
        <v>99</v>
      </c>
      <c r="U195" s="23" t="s">
        <v>99</v>
      </c>
      <c r="V195" s="23" t="s">
        <v>99</v>
      </c>
      <c r="W195" s="23" t="s">
        <v>99</v>
      </c>
      <c r="X195" s="28"/>
      <c r="Y195" s="28" t="str">
        <f aca="false">"다음 편: "&amp;J196</f>
        <v>다음 편: 쫓겨난 아들 입다</v>
      </c>
    </row>
    <row r="196" customFormat="false" ht="26.85" hidden="false" customHeight="false" outlineLevel="0" collapsed="false">
      <c r="A196" s="20" t="n">
        <v>195</v>
      </c>
      <c r="B196" s="20" t="s">
        <v>1909</v>
      </c>
      <c r="C196" s="20" t="s">
        <v>1910</v>
      </c>
      <c r="D196" s="20" t="s">
        <v>1899</v>
      </c>
      <c r="E196" s="21" t="s">
        <v>1900</v>
      </c>
      <c r="F196" s="22" t="s">
        <v>88</v>
      </c>
      <c r="G196" s="22" t="s">
        <v>1815</v>
      </c>
      <c r="H196" s="21" t="s">
        <v>1911</v>
      </c>
      <c r="I196" s="23" t="s">
        <v>91</v>
      </c>
      <c r="J196" s="24" t="s">
        <v>1912</v>
      </c>
      <c r="K196" s="24" t="s">
        <v>1913</v>
      </c>
      <c r="L196" s="24" t="s">
        <v>1914</v>
      </c>
      <c r="M196" s="24" t="s">
        <v>1915</v>
      </c>
      <c r="N196" s="24" t="s">
        <v>1916</v>
      </c>
      <c r="O196" s="24" t="s">
        <v>1917</v>
      </c>
      <c r="P196" s="28"/>
      <c r="Q196" s="28" t="str">
        <f aca="false">"["&amp;안내!$C$5&amp;" "&amp;C196&amp;"] "&amp;J196&amp;" | "&amp;H196</f>
        <v>[1분 성경 #0195] 쫓겨난 아들 입다 | 삿 10:1-11:28</v>
      </c>
      <c r="R196" s="23" t="n">
        <f aca="false">INT((A196-1)/안내!$C$9)+1</f>
        <v>39</v>
      </c>
      <c r="S196" s="26" t="n">
        <f aca="false">안내!$C$10+(R196-1)*7+MOD(A196-1,안내!$C$9)</f>
        <v>46661</v>
      </c>
      <c r="T196" s="23" t="s">
        <v>99</v>
      </c>
      <c r="U196" s="23" t="s">
        <v>99</v>
      </c>
      <c r="V196" s="23" t="s">
        <v>99</v>
      </c>
      <c r="W196" s="23" t="s">
        <v>99</v>
      </c>
      <c r="X196" s="28"/>
      <c r="Y196" s="28" t="str">
        <f aca="false">"다음 편: "&amp;J197</f>
        <v>다음 편: 입다의 서원</v>
      </c>
    </row>
    <row r="197" customFormat="false" ht="26.85" hidden="false" customHeight="false" outlineLevel="0" collapsed="false">
      <c r="A197" s="20" t="n">
        <v>196</v>
      </c>
      <c r="B197" s="20" t="s">
        <v>1918</v>
      </c>
      <c r="C197" s="20" t="s">
        <v>1919</v>
      </c>
      <c r="D197" s="20" t="s">
        <v>1899</v>
      </c>
      <c r="E197" s="21" t="s">
        <v>1900</v>
      </c>
      <c r="F197" s="22" t="s">
        <v>88</v>
      </c>
      <c r="G197" s="22" t="s">
        <v>1815</v>
      </c>
      <c r="H197" s="21" t="s">
        <v>1920</v>
      </c>
      <c r="I197" s="23" t="s">
        <v>91</v>
      </c>
      <c r="J197" s="24" t="s">
        <v>1921</v>
      </c>
      <c r="K197" s="24" t="s">
        <v>1922</v>
      </c>
      <c r="L197" s="24" t="s">
        <v>1923</v>
      </c>
      <c r="M197" s="24" t="s">
        <v>1924</v>
      </c>
      <c r="N197" s="24" t="s">
        <v>1925</v>
      </c>
      <c r="O197" s="24" t="s">
        <v>1926</v>
      </c>
      <c r="P197" s="25" t="s">
        <v>1927</v>
      </c>
      <c r="Q197" s="28" t="str">
        <f aca="false">"["&amp;안내!$C$5&amp;" "&amp;C197&amp;"] "&amp;J197&amp;" | "&amp;H197</f>
        <v>[1분 성경 #0196] 입다의 서원 | 삿 11:29-40</v>
      </c>
      <c r="R197" s="23" t="n">
        <f aca="false">INT((A197-1)/안내!$C$9)+1</f>
        <v>40</v>
      </c>
      <c r="S197" s="26" t="n">
        <f aca="false">안내!$C$10+(R197-1)*7+MOD(A197-1,안내!$C$9)</f>
        <v>46664</v>
      </c>
      <c r="T197" s="23" t="s">
        <v>99</v>
      </c>
      <c r="U197" s="23" t="s">
        <v>99</v>
      </c>
      <c r="V197" s="23" t="s">
        <v>99</v>
      </c>
      <c r="W197" s="23" t="s">
        <v>99</v>
      </c>
      <c r="X197" s="28"/>
      <c r="Y197" s="28" t="str">
        <f aca="false">"다음 편: "&amp;J198</f>
        <v>다음 편: 쉽볼렛</v>
      </c>
    </row>
    <row r="198" customFormat="false" ht="15" hidden="false" customHeight="false" outlineLevel="0" collapsed="false">
      <c r="A198" s="20" t="n">
        <v>197</v>
      </c>
      <c r="B198" s="20" t="s">
        <v>1928</v>
      </c>
      <c r="C198" s="20" t="s">
        <v>1929</v>
      </c>
      <c r="D198" s="20" t="s">
        <v>1899</v>
      </c>
      <c r="E198" s="21" t="s">
        <v>1900</v>
      </c>
      <c r="F198" s="22" t="s">
        <v>88</v>
      </c>
      <c r="G198" s="22" t="s">
        <v>1815</v>
      </c>
      <c r="H198" s="21" t="s">
        <v>1930</v>
      </c>
      <c r="I198" s="23" t="s">
        <v>91</v>
      </c>
      <c r="J198" s="24" t="s">
        <v>1931</v>
      </c>
      <c r="K198" s="24" t="s">
        <v>1932</v>
      </c>
      <c r="L198" s="24" t="s">
        <v>1933</v>
      </c>
      <c r="M198" s="24" t="s">
        <v>1934</v>
      </c>
      <c r="N198" s="24" t="s">
        <v>1935</v>
      </c>
      <c r="O198" s="24" t="s">
        <v>1936</v>
      </c>
      <c r="P198" s="25" t="s">
        <v>1937</v>
      </c>
      <c r="Q198" s="28" t="str">
        <f aca="false">"["&amp;안내!$C$5&amp;" "&amp;C198&amp;"] "&amp;J198&amp;" | "&amp;H198</f>
        <v>[1분 성경 #0197] 쉽볼렛 | 삿 12:1-15</v>
      </c>
      <c r="R198" s="23" t="n">
        <f aca="false">INT((A198-1)/안내!$C$9)+1</f>
        <v>40</v>
      </c>
      <c r="S198" s="26" t="n">
        <f aca="false">안내!$C$10+(R198-1)*7+MOD(A198-1,안내!$C$9)</f>
        <v>46665</v>
      </c>
      <c r="T198" s="23" t="s">
        <v>99</v>
      </c>
      <c r="U198" s="23" t="s">
        <v>99</v>
      </c>
      <c r="V198" s="23" t="s">
        <v>99</v>
      </c>
      <c r="W198" s="23" t="s">
        <v>99</v>
      </c>
      <c r="X198" s="28"/>
      <c r="Y198" s="28" t="str">
        <f aca="false">"다음 편: "&amp;J199</f>
        <v>다음 편: 삼손의 탄생</v>
      </c>
    </row>
    <row r="199" customFormat="false" ht="26.85" hidden="false" customHeight="false" outlineLevel="0" collapsed="false">
      <c r="A199" s="20" t="n">
        <v>198</v>
      </c>
      <c r="B199" s="20" t="s">
        <v>1938</v>
      </c>
      <c r="C199" s="20" t="s">
        <v>1939</v>
      </c>
      <c r="D199" s="20" t="s">
        <v>1899</v>
      </c>
      <c r="E199" s="21" t="s">
        <v>1900</v>
      </c>
      <c r="F199" s="22" t="s">
        <v>88</v>
      </c>
      <c r="G199" s="22" t="s">
        <v>1815</v>
      </c>
      <c r="H199" s="21" t="s">
        <v>1940</v>
      </c>
      <c r="I199" s="23" t="s">
        <v>91</v>
      </c>
      <c r="J199" s="24" t="s">
        <v>1941</v>
      </c>
      <c r="K199" s="24" t="s">
        <v>1942</v>
      </c>
      <c r="L199" s="24" t="s">
        <v>1943</v>
      </c>
      <c r="M199" s="24" t="s">
        <v>1944</v>
      </c>
      <c r="N199" s="24" t="s">
        <v>1945</v>
      </c>
      <c r="O199" s="24" t="s">
        <v>1946</v>
      </c>
      <c r="P199" s="28"/>
      <c r="Q199" s="28" t="str">
        <f aca="false">"["&amp;안내!$C$5&amp;" "&amp;C199&amp;"] "&amp;J199&amp;" | "&amp;H199</f>
        <v>[1분 성경 #0198] 삼손의 탄생 | 삿 13:1-25</v>
      </c>
      <c r="R199" s="23" t="n">
        <f aca="false">INT((A199-1)/안내!$C$9)+1</f>
        <v>40</v>
      </c>
      <c r="S199" s="26" t="n">
        <f aca="false">안내!$C$10+(R199-1)*7+MOD(A199-1,안내!$C$9)</f>
        <v>46666</v>
      </c>
      <c r="T199" s="23" t="s">
        <v>99</v>
      </c>
      <c r="U199" s="23" t="s">
        <v>99</v>
      </c>
      <c r="V199" s="23" t="s">
        <v>99</v>
      </c>
      <c r="W199" s="23" t="s">
        <v>99</v>
      </c>
      <c r="X199" s="28"/>
      <c r="Y199" s="28" t="str">
        <f aca="false">"다음 편: "&amp;J200</f>
        <v>다음 편: 사자와 수수께끼</v>
      </c>
    </row>
    <row r="200" customFormat="false" ht="15" hidden="false" customHeight="false" outlineLevel="0" collapsed="false">
      <c r="A200" s="20" t="n">
        <v>199</v>
      </c>
      <c r="B200" s="20" t="s">
        <v>1947</v>
      </c>
      <c r="C200" s="20" t="s">
        <v>1948</v>
      </c>
      <c r="D200" s="20" t="s">
        <v>1899</v>
      </c>
      <c r="E200" s="21" t="s">
        <v>1900</v>
      </c>
      <c r="F200" s="22" t="s">
        <v>88</v>
      </c>
      <c r="G200" s="22" t="s">
        <v>1815</v>
      </c>
      <c r="H200" s="21" t="s">
        <v>1949</v>
      </c>
      <c r="I200" s="23" t="s">
        <v>91</v>
      </c>
      <c r="J200" s="24" t="s">
        <v>1950</v>
      </c>
      <c r="K200" s="24" t="s">
        <v>1951</v>
      </c>
      <c r="L200" s="24" t="s">
        <v>1952</v>
      </c>
      <c r="M200" s="24" t="s">
        <v>1953</v>
      </c>
      <c r="N200" s="24" t="s">
        <v>1954</v>
      </c>
      <c r="O200" s="24" t="s">
        <v>1955</v>
      </c>
      <c r="P200" s="28"/>
      <c r="Q200" s="28" t="str">
        <f aca="false">"["&amp;안내!$C$5&amp;" "&amp;C200&amp;"] "&amp;J200&amp;" | "&amp;H200</f>
        <v>[1분 성경 #0199] 사자와 수수께끼 | 삿 14:1-20</v>
      </c>
      <c r="R200" s="23" t="n">
        <f aca="false">INT((A200-1)/안내!$C$9)+1</f>
        <v>40</v>
      </c>
      <c r="S200" s="26" t="n">
        <f aca="false">안내!$C$10+(R200-1)*7+MOD(A200-1,안내!$C$9)</f>
        <v>46667</v>
      </c>
      <c r="T200" s="23" t="s">
        <v>99</v>
      </c>
      <c r="U200" s="23" t="s">
        <v>99</v>
      </c>
      <c r="V200" s="23" t="s">
        <v>99</v>
      </c>
      <c r="W200" s="23" t="s">
        <v>99</v>
      </c>
      <c r="X200" s="28"/>
      <c r="Y200" s="28" t="str">
        <f aca="false">"다음 편: "&amp;J201</f>
        <v>다음 편: 나귀 턱뼈</v>
      </c>
    </row>
    <row r="201" customFormat="false" ht="15" hidden="false" customHeight="false" outlineLevel="0" collapsed="false">
      <c r="A201" s="20" t="n">
        <v>200</v>
      </c>
      <c r="B201" s="20" t="s">
        <v>1956</v>
      </c>
      <c r="C201" s="20" t="s">
        <v>1957</v>
      </c>
      <c r="D201" s="20" t="s">
        <v>1899</v>
      </c>
      <c r="E201" s="21" t="s">
        <v>1900</v>
      </c>
      <c r="F201" s="22" t="s">
        <v>88</v>
      </c>
      <c r="G201" s="22" t="s">
        <v>1815</v>
      </c>
      <c r="H201" s="21" t="s">
        <v>1958</v>
      </c>
      <c r="I201" s="23" t="s">
        <v>91</v>
      </c>
      <c r="J201" s="24" t="s">
        <v>1959</v>
      </c>
      <c r="K201" s="24" t="s">
        <v>1960</v>
      </c>
      <c r="L201" s="24" t="s">
        <v>1961</v>
      </c>
      <c r="M201" s="24" t="s">
        <v>1962</v>
      </c>
      <c r="N201" s="24" t="s">
        <v>1963</v>
      </c>
      <c r="O201" s="24" t="s">
        <v>1964</v>
      </c>
      <c r="P201" s="25" t="s">
        <v>1965</v>
      </c>
      <c r="Q201" s="28" t="str">
        <f aca="false">"["&amp;안내!$C$5&amp;" "&amp;C201&amp;"] "&amp;J201&amp;" | "&amp;H201</f>
        <v>[1분 성경 #0200] 나귀 턱뼈 | 삿 15:1-20</v>
      </c>
      <c r="R201" s="23" t="n">
        <f aca="false">INT((A201-1)/안내!$C$9)+1</f>
        <v>40</v>
      </c>
      <c r="S201" s="26" t="n">
        <f aca="false">안내!$C$10+(R201-1)*7+MOD(A201-1,안내!$C$9)</f>
        <v>46668</v>
      </c>
      <c r="T201" s="23" t="s">
        <v>99</v>
      </c>
      <c r="U201" s="23" t="s">
        <v>99</v>
      </c>
      <c r="V201" s="23" t="s">
        <v>99</v>
      </c>
      <c r="W201" s="23" t="s">
        <v>99</v>
      </c>
      <c r="X201" s="28"/>
      <c r="Y201" s="28" t="str">
        <f aca="false">"다음 편: "&amp;J202</f>
        <v>다음 편: 머리카락의 비밀</v>
      </c>
    </row>
    <row r="202" customFormat="false" ht="26.85" hidden="false" customHeight="false" outlineLevel="0" collapsed="false">
      <c r="A202" s="20" t="n">
        <v>201</v>
      </c>
      <c r="B202" s="20" t="s">
        <v>1966</v>
      </c>
      <c r="C202" s="20" t="s">
        <v>1967</v>
      </c>
      <c r="D202" s="20" t="s">
        <v>1899</v>
      </c>
      <c r="E202" s="21" t="s">
        <v>1900</v>
      </c>
      <c r="F202" s="22" t="s">
        <v>88</v>
      </c>
      <c r="G202" s="22" t="s">
        <v>1815</v>
      </c>
      <c r="H202" s="21" t="s">
        <v>1968</v>
      </c>
      <c r="I202" s="23" t="s">
        <v>91</v>
      </c>
      <c r="J202" s="24" t="s">
        <v>1969</v>
      </c>
      <c r="K202" s="24" t="s">
        <v>1970</v>
      </c>
      <c r="L202" s="24" t="s">
        <v>1971</v>
      </c>
      <c r="M202" s="24" t="s">
        <v>1972</v>
      </c>
      <c r="N202" s="24" t="s">
        <v>1973</v>
      </c>
      <c r="O202" s="24" t="s">
        <v>1974</v>
      </c>
      <c r="P202" s="25" t="s">
        <v>1975</v>
      </c>
      <c r="Q202" s="28" t="str">
        <f aca="false">"["&amp;안내!$C$5&amp;" "&amp;C202&amp;"] "&amp;J202&amp;" | "&amp;H202</f>
        <v>[1분 성경 #0201] 머리카락의 비밀 | 삿 16:1-22</v>
      </c>
      <c r="R202" s="23" t="n">
        <f aca="false">INT((A202-1)/안내!$C$9)+1</f>
        <v>41</v>
      </c>
      <c r="S202" s="26" t="n">
        <f aca="false">안내!$C$10+(R202-1)*7+MOD(A202-1,안내!$C$9)</f>
        <v>46671</v>
      </c>
      <c r="T202" s="23" t="s">
        <v>99</v>
      </c>
      <c r="U202" s="23" t="s">
        <v>99</v>
      </c>
      <c r="V202" s="23" t="s">
        <v>99</v>
      </c>
      <c r="W202" s="23" t="s">
        <v>99</v>
      </c>
      <c r="X202" s="28"/>
      <c r="Y202" s="28" t="str">
        <f aca="false">"다음 편: "&amp;J203</f>
        <v>다음 편: 삼손의 마지막 기도</v>
      </c>
    </row>
    <row r="203" customFormat="false" ht="26.85" hidden="false" customHeight="false" outlineLevel="0" collapsed="false">
      <c r="A203" s="20" t="n">
        <v>202</v>
      </c>
      <c r="B203" s="20" t="s">
        <v>1976</v>
      </c>
      <c r="C203" s="20" t="s">
        <v>1977</v>
      </c>
      <c r="D203" s="20" t="s">
        <v>1899</v>
      </c>
      <c r="E203" s="21" t="s">
        <v>1900</v>
      </c>
      <c r="F203" s="22" t="s">
        <v>88</v>
      </c>
      <c r="G203" s="22" t="s">
        <v>1815</v>
      </c>
      <c r="H203" s="21" t="s">
        <v>1978</v>
      </c>
      <c r="I203" s="23" t="s">
        <v>91</v>
      </c>
      <c r="J203" s="24" t="s">
        <v>1979</v>
      </c>
      <c r="K203" s="24" t="s">
        <v>1980</v>
      </c>
      <c r="L203" s="24" t="s">
        <v>1981</v>
      </c>
      <c r="M203" s="24" t="s">
        <v>1982</v>
      </c>
      <c r="N203" s="24" t="s">
        <v>1983</v>
      </c>
      <c r="O203" s="24" t="s">
        <v>1984</v>
      </c>
      <c r="P203" s="28"/>
      <c r="Q203" s="28" t="str">
        <f aca="false">"["&amp;안내!$C$5&amp;" "&amp;C203&amp;"] "&amp;J203&amp;" | "&amp;H203</f>
        <v>[1분 성경 #0202] 삼손의 마지막 기도 | 삿 16:23-31</v>
      </c>
      <c r="R203" s="23" t="n">
        <f aca="false">INT((A203-1)/안내!$C$9)+1</f>
        <v>41</v>
      </c>
      <c r="S203" s="26" t="n">
        <f aca="false">안내!$C$10+(R203-1)*7+MOD(A203-1,안내!$C$9)</f>
        <v>46672</v>
      </c>
      <c r="T203" s="23" t="s">
        <v>99</v>
      </c>
      <c r="U203" s="23" t="s">
        <v>99</v>
      </c>
      <c r="V203" s="23" t="s">
        <v>99</v>
      </c>
      <c r="W203" s="23" t="s">
        <v>99</v>
      </c>
      <c r="X203" s="28"/>
      <c r="Y203" s="28" t="str">
        <f aca="false">"다음 편: "&amp;J204</f>
        <v>다음 편: 내 소견에 옳은 대로</v>
      </c>
    </row>
    <row r="204" customFormat="false" ht="26.85" hidden="false" customHeight="false" outlineLevel="0" collapsed="false">
      <c r="A204" s="20" t="n">
        <v>203</v>
      </c>
      <c r="B204" s="20" t="s">
        <v>1985</v>
      </c>
      <c r="C204" s="20" t="s">
        <v>1986</v>
      </c>
      <c r="D204" s="20" t="s">
        <v>1899</v>
      </c>
      <c r="E204" s="21" t="s">
        <v>1900</v>
      </c>
      <c r="F204" s="22" t="s">
        <v>88</v>
      </c>
      <c r="G204" s="22" t="s">
        <v>1815</v>
      </c>
      <c r="H204" s="21" t="s">
        <v>1987</v>
      </c>
      <c r="I204" s="23" t="s">
        <v>91</v>
      </c>
      <c r="J204" s="24" t="s">
        <v>1988</v>
      </c>
      <c r="K204" s="24" t="s">
        <v>1989</v>
      </c>
      <c r="L204" s="24" t="s">
        <v>1990</v>
      </c>
      <c r="M204" s="24" t="s">
        <v>1991</v>
      </c>
      <c r="N204" s="24" t="s">
        <v>1992</v>
      </c>
      <c r="O204" s="24" t="s">
        <v>1993</v>
      </c>
      <c r="P204" s="28"/>
      <c r="Q204" s="28" t="str">
        <f aca="false">"["&amp;안내!$C$5&amp;" "&amp;C204&amp;"] "&amp;J204&amp;" | "&amp;H204</f>
        <v>[1분 성경 #0203] 내 소견에 옳은 대로 | 삿 17:1-18:31</v>
      </c>
      <c r="R204" s="23" t="n">
        <f aca="false">INT((A204-1)/안내!$C$9)+1</f>
        <v>41</v>
      </c>
      <c r="S204" s="26" t="n">
        <f aca="false">안내!$C$10+(R204-1)*7+MOD(A204-1,안내!$C$9)</f>
        <v>46673</v>
      </c>
      <c r="T204" s="23" t="s">
        <v>99</v>
      </c>
      <c r="U204" s="23" t="s">
        <v>99</v>
      </c>
      <c r="V204" s="23" t="s">
        <v>99</v>
      </c>
      <c r="W204" s="23" t="s">
        <v>99</v>
      </c>
      <c r="X204" s="28"/>
      <c r="Y204" s="28" t="str">
        <f aca="false">"다음 편: "&amp;J205</f>
        <v>다음 편: 왕이 없던 시대의 비극</v>
      </c>
    </row>
    <row r="205" customFormat="false" ht="26.85" hidden="false" customHeight="false" outlineLevel="0" collapsed="false">
      <c r="A205" s="20" t="n">
        <v>204</v>
      </c>
      <c r="B205" s="20" t="s">
        <v>1994</v>
      </c>
      <c r="C205" s="20" t="s">
        <v>1995</v>
      </c>
      <c r="D205" s="20" t="s">
        <v>1899</v>
      </c>
      <c r="E205" s="21" t="s">
        <v>1900</v>
      </c>
      <c r="F205" s="22" t="s">
        <v>88</v>
      </c>
      <c r="G205" s="22" t="s">
        <v>1815</v>
      </c>
      <c r="H205" s="21" t="s">
        <v>1996</v>
      </c>
      <c r="I205" s="23" t="s">
        <v>91</v>
      </c>
      <c r="J205" s="24" t="s">
        <v>1997</v>
      </c>
      <c r="K205" s="24" t="s">
        <v>1998</v>
      </c>
      <c r="L205" s="24" t="s">
        <v>1999</v>
      </c>
      <c r="M205" s="24" t="s">
        <v>2000</v>
      </c>
      <c r="N205" s="24" t="s">
        <v>2001</v>
      </c>
      <c r="O205" s="24" t="s">
        <v>2002</v>
      </c>
      <c r="P205" s="27" t="s">
        <v>2003</v>
      </c>
      <c r="Q205" s="28" t="str">
        <f aca="false">"["&amp;안내!$C$5&amp;" "&amp;C205&amp;"] "&amp;J205&amp;" | "&amp;H205</f>
        <v>[1분 성경 #0204] 왕이 없던 시대의 비극 | 삿 19:1-21:25</v>
      </c>
      <c r="R205" s="23" t="n">
        <f aca="false">INT((A205-1)/안내!$C$9)+1</f>
        <v>41</v>
      </c>
      <c r="S205" s="26" t="n">
        <f aca="false">안내!$C$10+(R205-1)*7+MOD(A205-1,안내!$C$9)</f>
        <v>46674</v>
      </c>
      <c r="T205" s="23" t="s">
        <v>99</v>
      </c>
      <c r="U205" s="23" t="s">
        <v>99</v>
      </c>
      <c r="V205" s="23" t="s">
        <v>99</v>
      </c>
      <c r="W205" s="23" t="s">
        <v>99</v>
      </c>
      <c r="X205" s="28"/>
      <c r="Y205" s="28" t="str">
        <f aca="false">"다음 편: "&amp;J206</f>
        <v>다음 편: 어머니가 가시는 곳에 나도</v>
      </c>
    </row>
    <row r="206" customFormat="false" ht="26.85" hidden="false" customHeight="false" outlineLevel="0" collapsed="false">
      <c r="A206" s="20" t="n">
        <v>205</v>
      </c>
      <c r="B206" s="20" t="s">
        <v>2004</v>
      </c>
      <c r="C206" s="20" t="s">
        <v>2005</v>
      </c>
      <c r="D206" s="20" t="s">
        <v>2006</v>
      </c>
      <c r="E206" s="21" t="s">
        <v>2007</v>
      </c>
      <c r="F206" s="22" t="s">
        <v>88</v>
      </c>
      <c r="G206" s="22" t="s">
        <v>2008</v>
      </c>
      <c r="H206" s="21" t="s">
        <v>2009</v>
      </c>
      <c r="I206" s="23" t="s">
        <v>91</v>
      </c>
      <c r="J206" s="24" t="s">
        <v>2010</v>
      </c>
      <c r="K206" s="24" t="s">
        <v>2011</v>
      </c>
      <c r="L206" s="24" t="s">
        <v>2012</v>
      </c>
      <c r="M206" s="24" t="s">
        <v>2013</v>
      </c>
      <c r="N206" s="24" t="s">
        <v>2014</v>
      </c>
      <c r="O206" s="24" t="s">
        <v>2015</v>
      </c>
      <c r="P206" s="28"/>
      <c r="Q206" s="28" t="str">
        <f aca="false">"["&amp;안내!$C$5&amp;" "&amp;C206&amp;"] "&amp;J206&amp;" | "&amp;H206</f>
        <v>[1분 성경 #0205] 어머니가 가시는 곳에 나도 | 룻 1:1-22</v>
      </c>
      <c r="R206" s="23" t="n">
        <f aca="false">INT((A206-1)/안내!$C$9)+1</f>
        <v>41</v>
      </c>
      <c r="S206" s="26" t="n">
        <f aca="false">안내!$C$10+(R206-1)*7+MOD(A206-1,안내!$C$9)</f>
        <v>46675</v>
      </c>
      <c r="T206" s="23" t="s">
        <v>99</v>
      </c>
      <c r="U206" s="23" t="s">
        <v>99</v>
      </c>
      <c r="V206" s="23" t="s">
        <v>99</v>
      </c>
      <c r="W206" s="23" t="s">
        <v>99</v>
      </c>
      <c r="X206" s="28"/>
      <c r="Y206" s="28" t="str">
        <f aca="false">"다음 편: "&amp;J207</f>
        <v>다음 편: 우연히 들어간 밭</v>
      </c>
    </row>
    <row r="207" customFormat="false" ht="26.85" hidden="false" customHeight="false" outlineLevel="0" collapsed="false">
      <c r="A207" s="20" t="n">
        <v>206</v>
      </c>
      <c r="B207" s="20" t="s">
        <v>2016</v>
      </c>
      <c r="C207" s="20" t="s">
        <v>2017</v>
      </c>
      <c r="D207" s="20" t="s">
        <v>2006</v>
      </c>
      <c r="E207" s="21" t="s">
        <v>2007</v>
      </c>
      <c r="F207" s="22" t="s">
        <v>88</v>
      </c>
      <c r="G207" s="22" t="s">
        <v>2008</v>
      </c>
      <c r="H207" s="21" t="s">
        <v>2018</v>
      </c>
      <c r="I207" s="23" t="s">
        <v>91</v>
      </c>
      <c r="J207" s="24" t="s">
        <v>2019</v>
      </c>
      <c r="K207" s="24" t="s">
        <v>2020</v>
      </c>
      <c r="L207" s="24" t="s">
        <v>2021</v>
      </c>
      <c r="M207" s="24" t="s">
        <v>2022</v>
      </c>
      <c r="N207" s="24" t="s">
        <v>2023</v>
      </c>
      <c r="O207" s="24" t="s">
        <v>2024</v>
      </c>
      <c r="P207" s="28"/>
      <c r="Q207" s="28" t="str">
        <f aca="false">"["&amp;안내!$C$5&amp;" "&amp;C207&amp;"] "&amp;J207&amp;" | "&amp;H207</f>
        <v>[1분 성경 #0206] 우연히 들어간 밭 | 룻 2:1-23</v>
      </c>
      <c r="R207" s="23" t="n">
        <f aca="false">INT((A207-1)/안내!$C$9)+1</f>
        <v>42</v>
      </c>
      <c r="S207" s="26" t="n">
        <f aca="false">안내!$C$10+(R207-1)*7+MOD(A207-1,안내!$C$9)</f>
        <v>46678</v>
      </c>
      <c r="T207" s="23" t="s">
        <v>99</v>
      </c>
      <c r="U207" s="23" t="s">
        <v>99</v>
      </c>
      <c r="V207" s="23" t="s">
        <v>99</v>
      </c>
      <c r="W207" s="23" t="s">
        <v>99</v>
      </c>
      <c r="X207" s="28"/>
      <c r="Y207" s="28" t="str">
        <f aca="false">"다음 편: "&amp;J208</f>
        <v>다음 편: 기업 무를 자</v>
      </c>
    </row>
    <row r="208" customFormat="false" ht="26.85" hidden="false" customHeight="false" outlineLevel="0" collapsed="false">
      <c r="A208" s="20" t="n">
        <v>207</v>
      </c>
      <c r="B208" s="20" t="s">
        <v>2025</v>
      </c>
      <c r="C208" s="20" t="s">
        <v>2026</v>
      </c>
      <c r="D208" s="20" t="s">
        <v>2006</v>
      </c>
      <c r="E208" s="21" t="s">
        <v>2007</v>
      </c>
      <c r="F208" s="22" t="s">
        <v>88</v>
      </c>
      <c r="G208" s="22" t="s">
        <v>2008</v>
      </c>
      <c r="H208" s="21" t="s">
        <v>2027</v>
      </c>
      <c r="I208" s="23" t="s">
        <v>91</v>
      </c>
      <c r="J208" s="24" t="s">
        <v>2028</v>
      </c>
      <c r="K208" s="24" t="s">
        <v>2029</v>
      </c>
      <c r="L208" s="24" t="s">
        <v>2030</v>
      </c>
      <c r="M208" s="24" t="s">
        <v>2031</v>
      </c>
      <c r="N208" s="24" t="s">
        <v>2023</v>
      </c>
      <c r="O208" s="24" t="s">
        <v>2032</v>
      </c>
      <c r="P208" s="25" t="s">
        <v>2033</v>
      </c>
      <c r="Q208" s="28" t="str">
        <f aca="false">"["&amp;안내!$C$5&amp;" "&amp;C208&amp;"] "&amp;J208&amp;" | "&amp;H208</f>
        <v>[1분 성경 #0207] 기업 무를 자 | 룻 3:1-18</v>
      </c>
      <c r="R208" s="23" t="n">
        <f aca="false">INT((A208-1)/안내!$C$9)+1</f>
        <v>42</v>
      </c>
      <c r="S208" s="26" t="n">
        <f aca="false">안내!$C$10+(R208-1)*7+MOD(A208-1,안내!$C$9)</f>
        <v>46679</v>
      </c>
      <c r="T208" s="23" t="s">
        <v>99</v>
      </c>
      <c r="U208" s="23" t="s">
        <v>99</v>
      </c>
      <c r="V208" s="23" t="s">
        <v>99</v>
      </c>
      <c r="W208" s="23" t="s">
        <v>99</v>
      </c>
      <c r="X208" s="28"/>
      <c r="Y208" s="28" t="str">
        <f aca="false">"다음 편: "&amp;J209</f>
        <v>다음 편: 성문에서의 결정</v>
      </c>
    </row>
    <row r="209" customFormat="false" ht="26.85" hidden="false" customHeight="false" outlineLevel="0" collapsed="false">
      <c r="A209" s="20" t="n">
        <v>208</v>
      </c>
      <c r="B209" s="20" t="s">
        <v>2034</v>
      </c>
      <c r="C209" s="20" t="s">
        <v>2035</v>
      </c>
      <c r="D209" s="20" t="s">
        <v>2006</v>
      </c>
      <c r="E209" s="21" t="s">
        <v>2007</v>
      </c>
      <c r="F209" s="22" t="s">
        <v>88</v>
      </c>
      <c r="G209" s="22" t="s">
        <v>2008</v>
      </c>
      <c r="H209" s="21" t="s">
        <v>2036</v>
      </c>
      <c r="I209" s="23" t="s">
        <v>91</v>
      </c>
      <c r="J209" s="24" t="s">
        <v>2037</v>
      </c>
      <c r="K209" s="24" t="s">
        <v>2038</v>
      </c>
      <c r="L209" s="24" t="s">
        <v>2039</v>
      </c>
      <c r="M209" s="24" t="s">
        <v>2040</v>
      </c>
      <c r="N209" s="24" t="s">
        <v>2041</v>
      </c>
      <c r="O209" s="24" t="s">
        <v>2042</v>
      </c>
      <c r="P209" s="25" t="s">
        <v>2043</v>
      </c>
      <c r="Q209" s="28" t="str">
        <f aca="false">"["&amp;안내!$C$5&amp;" "&amp;C209&amp;"] "&amp;J209&amp;" | "&amp;H209</f>
        <v>[1분 성경 #0208] 성문에서의 결정 | 룻 4:1-12</v>
      </c>
      <c r="R209" s="23" t="n">
        <f aca="false">INT((A209-1)/안내!$C$9)+1</f>
        <v>42</v>
      </c>
      <c r="S209" s="26" t="n">
        <f aca="false">안내!$C$10+(R209-1)*7+MOD(A209-1,안내!$C$9)</f>
        <v>46680</v>
      </c>
      <c r="T209" s="23" t="s">
        <v>99</v>
      </c>
      <c r="U209" s="23" t="s">
        <v>99</v>
      </c>
      <c r="V209" s="23" t="s">
        <v>99</v>
      </c>
      <c r="W209" s="23" t="s">
        <v>99</v>
      </c>
      <c r="X209" s="28"/>
      <c r="Y209" s="28" t="str">
        <f aca="false">"다음 편: "&amp;J210</f>
        <v>다음 편: 다윗의 증조할머니</v>
      </c>
    </row>
    <row r="210" customFormat="false" ht="26.85" hidden="false" customHeight="false" outlineLevel="0" collapsed="false">
      <c r="A210" s="20" t="n">
        <v>209</v>
      </c>
      <c r="B210" s="20" t="s">
        <v>2044</v>
      </c>
      <c r="C210" s="20" t="s">
        <v>2045</v>
      </c>
      <c r="D210" s="20" t="s">
        <v>2006</v>
      </c>
      <c r="E210" s="21" t="s">
        <v>2007</v>
      </c>
      <c r="F210" s="22" t="s">
        <v>88</v>
      </c>
      <c r="G210" s="22" t="s">
        <v>2008</v>
      </c>
      <c r="H210" s="21" t="s">
        <v>2046</v>
      </c>
      <c r="I210" s="23" t="s">
        <v>91</v>
      </c>
      <c r="J210" s="24" t="s">
        <v>2047</v>
      </c>
      <c r="K210" s="24" t="s">
        <v>2048</v>
      </c>
      <c r="L210" s="24" t="s">
        <v>2049</v>
      </c>
      <c r="M210" s="24" t="s">
        <v>2050</v>
      </c>
      <c r="N210" s="24" t="s">
        <v>2051</v>
      </c>
      <c r="O210" s="24" t="s">
        <v>2052</v>
      </c>
      <c r="P210" s="25" t="s">
        <v>2053</v>
      </c>
      <c r="Q210" s="28" t="str">
        <f aca="false">"["&amp;안내!$C$5&amp;" "&amp;C210&amp;"] "&amp;J210&amp;" | "&amp;H210</f>
        <v>[1분 성경 #0209] 다윗의 증조할머니 | 룻 4:13-22</v>
      </c>
      <c r="R210" s="23" t="n">
        <f aca="false">INT((A210-1)/안내!$C$9)+1</f>
        <v>42</v>
      </c>
      <c r="S210" s="26" t="n">
        <f aca="false">안내!$C$10+(R210-1)*7+MOD(A210-1,안내!$C$9)</f>
        <v>46681</v>
      </c>
      <c r="T210" s="23" t="s">
        <v>99</v>
      </c>
      <c r="U210" s="23" t="s">
        <v>99</v>
      </c>
      <c r="V210" s="23" t="s">
        <v>99</v>
      </c>
      <c r="W210" s="23" t="s">
        <v>99</v>
      </c>
      <c r="X210" s="28"/>
      <c r="Y210" s="28" t="str">
        <f aca="false">"다음 편: "&amp;J211</f>
        <v>다음 편: 한나의 기도</v>
      </c>
    </row>
    <row r="211" customFormat="false" ht="26.85" hidden="false" customHeight="false" outlineLevel="0" collapsed="false">
      <c r="A211" s="20" t="n">
        <v>210</v>
      </c>
      <c r="B211" s="20" t="s">
        <v>2054</v>
      </c>
      <c r="C211" s="20" t="s">
        <v>2055</v>
      </c>
      <c r="D211" s="20" t="s">
        <v>2006</v>
      </c>
      <c r="E211" s="21" t="s">
        <v>2007</v>
      </c>
      <c r="F211" s="22" t="s">
        <v>88</v>
      </c>
      <c r="G211" s="22" t="s">
        <v>2056</v>
      </c>
      <c r="H211" s="21" t="s">
        <v>2057</v>
      </c>
      <c r="I211" s="23" t="s">
        <v>91</v>
      </c>
      <c r="J211" s="24" t="s">
        <v>2058</v>
      </c>
      <c r="K211" s="24" t="s">
        <v>2059</v>
      </c>
      <c r="L211" s="24" t="s">
        <v>2060</v>
      </c>
      <c r="M211" s="24" t="s">
        <v>2061</v>
      </c>
      <c r="N211" s="24" t="s">
        <v>2062</v>
      </c>
      <c r="O211" s="24" t="s">
        <v>2063</v>
      </c>
      <c r="P211" s="28"/>
      <c r="Q211" s="28" t="str">
        <f aca="false">"["&amp;안내!$C$5&amp;" "&amp;C211&amp;"] "&amp;J211&amp;" | "&amp;H211</f>
        <v>[1분 성경 #0210] 한나의 기도 | 삼상 1:1-28</v>
      </c>
      <c r="R211" s="23" t="n">
        <f aca="false">INT((A211-1)/안내!$C$9)+1</f>
        <v>42</v>
      </c>
      <c r="S211" s="26" t="n">
        <f aca="false">안내!$C$10+(R211-1)*7+MOD(A211-1,안내!$C$9)</f>
        <v>46682</v>
      </c>
      <c r="T211" s="23" t="s">
        <v>99</v>
      </c>
      <c r="U211" s="23" t="s">
        <v>99</v>
      </c>
      <c r="V211" s="23" t="s">
        <v>99</v>
      </c>
      <c r="W211" s="23" t="s">
        <v>99</v>
      </c>
      <c r="X211" s="28"/>
      <c r="Y211" s="28" t="str">
        <f aca="false">"다음 편: "&amp;J212</f>
        <v>다음 편: 한나의 노래와 엘리의 아들들</v>
      </c>
    </row>
    <row r="212" customFormat="false" ht="26.85" hidden="false" customHeight="false" outlineLevel="0" collapsed="false">
      <c r="A212" s="20" t="n">
        <v>211</v>
      </c>
      <c r="B212" s="20" t="s">
        <v>2064</v>
      </c>
      <c r="C212" s="20" t="s">
        <v>2065</v>
      </c>
      <c r="D212" s="20" t="s">
        <v>2006</v>
      </c>
      <c r="E212" s="21" t="s">
        <v>2007</v>
      </c>
      <c r="F212" s="22" t="s">
        <v>88</v>
      </c>
      <c r="G212" s="22" t="s">
        <v>2056</v>
      </c>
      <c r="H212" s="21" t="s">
        <v>2066</v>
      </c>
      <c r="I212" s="23" t="s">
        <v>91</v>
      </c>
      <c r="J212" s="24" t="s">
        <v>2067</v>
      </c>
      <c r="K212" s="24" t="s">
        <v>2068</v>
      </c>
      <c r="L212" s="24" t="s">
        <v>2069</v>
      </c>
      <c r="M212" s="24" t="s">
        <v>2070</v>
      </c>
      <c r="N212" s="24" t="s">
        <v>2071</v>
      </c>
      <c r="O212" s="24" t="s">
        <v>2063</v>
      </c>
      <c r="P212" s="28"/>
      <c r="Q212" s="28" t="str">
        <f aca="false">"["&amp;안내!$C$5&amp;" "&amp;C212&amp;"] "&amp;J212&amp;" | "&amp;H212</f>
        <v>[1분 성경 #0211] 한나의 노래와 엘리의 아들들 | 삼상 2:1-36</v>
      </c>
      <c r="R212" s="23" t="n">
        <f aca="false">INT((A212-1)/안내!$C$9)+1</f>
        <v>43</v>
      </c>
      <c r="S212" s="26" t="n">
        <f aca="false">안내!$C$10+(R212-1)*7+MOD(A212-1,안내!$C$9)</f>
        <v>46685</v>
      </c>
      <c r="T212" s="23" t="s">
        <v>99</v>
      </c>
      <c r="U212" s="23" t="s">
        <v>99</v>
      </c>
      <c r="V212" s="23" t="s">
        <v>99</v>
      </c>
      <c r="W212" s="23" t="s">
        <v>99</v>
      </c>
      <c r="X212" s="28"/>
      <c r="Y212" s="28" t="str">
        <f aca="false">"다음 편: "&amp;J213</f>
        <v>다음 편: 말씀하옵소서</v>
      </c>
    </row>
    <row r="213" customFormat="false" ht="26.85" hidden="false" customHeight="false" outlineLevel="0" collapsed="false">
      <c r="A213" s="20" t="n">
        <v>212</v>
      </c>
      <c r="B213" s="20" t="s">
        <v>2072</v>
      </c>
      <c r="C213" s="20" t="s">
        <v>2073</v>
      </c>
      <c r="D213" s="20" t="s">
        <v>2006</v>
      </c>
      <c r="E213" s="21" t="s">
        <v>2007</v>
      </c>
      <c r="F213" s="22" t="s">
        <v>88</v>
      </c>
      <c r="G213" s="22" t="s">
        <v>2056</v>
      </c>
      <c r="H213" s="21" t="s">
        <v>2074</v>
      </c>
      <c r="I213" s="23" t="s">
        <v>91</v>
      </c>
      <c r="J213" s="24" t="s">
        <v>2075</v>
      </c>
      <c r="K213" s="24" t="s">
        <v>2076</v>
      </c>
      <c r="L213" s="24" t="s">
        <v>2077</v>
      </c>
      <c r="M213" s="24" t="s">
        <v>2078</v>
      </c>
      <c r="N213" s="24" t="s">
        <v>2079</v>
      </c>
      <c r="O213" s="24" t="s">
        <v>2080</v>
      </c>
      <c r="P213" s="28"/>
      <c r="Q213" s="28" t="str">
        <f aca="false">"["&amp;안내!$C$5&amp;" "&amp;C213&amp;"] "&amp;J213&amp;" | "&amp;H213</f>
        <v>[1분 성경 #0212] 말씀하옵소서 | 삼상 3:1-21</v>
      </c>
      <c r="R213" s="23" t="n">
        <f aca="false">INT((A213-1)/안내!$C$9)+1</f>
        <v>43</v>
      </c>
      <c r="S213" s="26" t="n">
        <f aca="false">안내!$C$10+(R213-1)*7+MOD(A213-1,안내!$C$9)</f>
        <v>46686</v>
      </c>
      <c r="T213" s="23" t="s">
        <v>99</v>
      </c>
      <c r="U213" s="23" t="s">
        <v>99</v>
      </c>
      <c r="V213" s="23" t="s">
        <v>99</v>
      </c>
      <c r="W213" s="23" t="s">
        <v>99</v>
      </c>
      <c r="X213" s="28"/>
      <c r="Y213" s="28" t="str">
        <f aca="false">"다음 편: "&amp;J214</f>
        <v>다음 편: 빼앗긴 언약궤</v>
      </c>
    </row>
    <row r="214" customFormat="false" ht="26.85" hidden="false" customHeight="false" outlineLevel="0" collapsed="false">
      <c r="A214" s="20" t="n">
        <v>213</v>
      </c>
      <c r="B214" s="20" t="s">
        <v>2081</v>
      </c>
      <c r="C214" s="20" t="s">
        <v>2082</v>
      </c>
      <c r="D214" s="20" t="s">
        <v>2083</v>
      </c>
      <c r="E214" s="21" t="s">
        <v>2084</v>
      </c>
      <c r="F214" s="22" t="s">
        <v>88</v>
      </c>
      <c r="G214" s="22" t="s">
        <v>2056</v>
      </c>
      <c r="H214" s="21" t="s">
        <v>2085</v>
      </c>
      <c r="I214" s="23" t="s">
        <v>91</v>
      </c>
      <c r="J214" s="24" t="s">
        <v>2086</v>
      </c>
      <c r="K214" s="24" t="s">
        <v>2087</v>
      </c>
      <c r="L214" s="24" t="s">
        <v>2088</v>
      </c>
      <c r="M214" s="24" t="s">
        <v>2089</v>
      </c>
      <c r="N214" s="24" t="s">
        <v>2090</v>
      </c>
      <c r="O214" s="24" t="s">
        <v>2091</v>
      </c>
      <c r="P214" s="25" t="s">
        <v>2092</v>
      </c>
      <c r="Q214" s="28" t="str">
        <f aca="false">"["&amp;안내!$C$5&amp;" "&amp;C214&amp;"] "&amp;J214&amp;" | "&amp;H214</f>
        <v>[1분 성경 #0213] 빼앗긴 언약궤 | 삼상 4:1-22</v>
      </c>
      <c r="R214" s="23" t="n">
        <f aca="false">INT((A214-1)/안내!$C$9)+1</f>
        <v>43</v>
      </c>
      <c r="S214" s="26" t="n">
        <f aca="false">안내!$C$10+(R214-1)*7+MOD(A214-1,안내!$C$9)</f>
        <v>46687</v>
      </c>
      <c r="T214" s="23" t="s">
        <v>99</v>
      </c>
      <c r="U214" s="23" t="s">
        <v>99</v>
      </c>
      <c r="V214" s="23" t="s">
        <v>99</v>
      </c>
      <c r="W214" s="23" t="s">
        <v>99</v>
      </c>
      <c r="X214" s="28"/>
      <c r="Y214" s="28" t="str">
        <f aca="false">"다음 편: "&amp;J215</f>
        <v>다음 편: 쓰러진 다곤</v>
      </c>
    </row>
    <row r="215" customFormat="false" ht="26.85" hidden="false" customHeight="false" outlineLevel="0" collapsed="false">
      <c r="A215" s="20" t="n">
        <v>214</v>
      </c>
      <c r="B215" s="20" t="s">
        <v>2093</v>
      </c>
      <c r="C215" s="20" t="s">
        <v>2094</v>
      </c>
      <c r="D215" s="20" t="s">
        <v>2083</v>
      </c>
      <c r="E215" s="21" t="s">
        <v>2084</v>
      </c>
      <c r="F215" s="22" t="s">
        <v>88</v>
      </c>
      <c r="G215" s="22" t="s">
        <v>2056</v>
      </c>
      <c r="H215" s="21" t="s">
        <v>2095</v>
      </c>
      <c r="I215" s="23" t="s">
        <v>91</v>
      </c>
      <c r="J215" s="24" t="s">
        <v>2096</v>
      </c>
      <c r="K215" s="24" t="s">
        <v>2097</v>
      </c>
      <c r="L215" s="24" t="s">
        <v>2098</v>
      </c>
      <c r="M215" s="24" t="s">
        <v>2099</v>
      </c>
      <c r="N215" s="24" t="s">
        <v>2100</v>
      </c>
      <c r="O215" s="24" t="s">
        <v>2101</v>
      </c>
      <c r="P215" s="28"/>
      <c r="Q215" s="28" t="str">
        <f aca="false">"["&amp;안내!$C$5&amp;" "&amp;C215&amp;"] "&amp;J215&amp;" | "&amp;H215</f>
        <v>[1분 성경 #0214] 쓰러진 다곤 | 삼상 5:1-6:21</v>
      </c>
      <c r="R215" s="23" t="n">
        <f aca="false">INT((A215-1)/안내!$C$9)+1</f>
        <v>43</v>
      </c>
      <c r="S215" s="26" t="n">
        <f aca="false">안내!$C$10+(R215-1)*7+MOD(A215-1,안내!$C$9)</f>
        <v>46688</v>
      </c>
      <c r="T215" s="23" t="s">
        <v>99</v>
      </c>
      <c r="U215" s="23" t="s">
        <v>99</v>
      </c>
      <c r="V215" s="23" t="s">
        <v>99</v>
      </c>
      <c r="W215" s="23" t="s">
        <v>99</v>
      </c>
      <c r="X215" s="28"/>
      <c r="Y215" s="28" t="str">
        <f aca="false">"다음 편: "&amp;J216</f>
        <v>다음 편: 에벤에셀</v>
      </c>
    </row>
    <row r="216" customFormat="false" ht="26.85" hidden="false" customHeight="false" outlineLevel="0" collapsed="false">
      <c r="A216" s="20" t="n">
        <v>215</v>
      </c>
      <c r="B216" s="20" t="s">
        <v>2102</v>
      </c>
      <c r="C216" s="20" t="s">
        <v>2103</v>
      </c>
      <c r="D216" s="20" t="s">
        <v>2083</v>
      </c>
      <c r="E216" s="21" t="s">
        <v>2084</v>
      </c>
      <c r="F216" s="22" t="s">
        <v>88</v>
      </c>
      <c r="G216" s="22" t="s">
        <v>2056</v>
      </c>
      <c r="H216" s="21" t="s">
        <v>2104</v>
      </c>
      <c r="I216" s="23" t="s">
        <v>91</v>
      </c>
      <c r="J216" s="24" t="s">
        <v>2105</v>
      </c>
      <c r="K216" s="24" t="s">
        <v>2106</v>
      </c>
      <c r="L216" s="24" t="s">
        <v>2107</v>
      </c>
      <c r="M216" s="24" t="s">
        <v>2108</v>
      </c>
      <c r="N216" s="24" t="s">
        <v>2109</v>
      </c>
      <c r="O216" s="24" t="s">
        <v>2110</v>
      </c>
      <c r="P216" s="28"/>
      <c r="Q216" s="28" t="str">
        <f aca="false">"["&amp;안내!$C$5&amp;" "&amp;C216&amp;"] "&amp;J216&amp;" | "&amp;H216</f>
        <v>[1분 성경 #0215] 에벤에셀 | 삼상 7:1-17</v>
      </c>
      <c r="R216" s="23" t="n">
        <f aca="false">INT((A216-1)/안내!$C$9)+1</f>
        <v>43</v>
      </c>
      <c r="S216" s="26" t="n">
        <f aca="false">안내!$C$10+(R216-1)*7+MOD(A216-1,안내!$C$9)</f>
        <v>46689</v>
      </c>
      <c r="T216" s="23" t="s">
        <v>99</v>
      </c>
      <c r="U216" s="23" t="s">
        <v>99</v>
      </c>
      <c r="V216" s="23" t="s">
        <v>99</v>
      </c>
      <c r="W216" s="23" t="s">
        <v>99</v>
      </c>
      <c r="X216" s="28"/>
      <c r="Y216" s="28" t="str">
        <f aca="false">"다음 편: "&amp;J217</f>
        <v>다음 편: 우리에게도 왕을</v>
      </c>
    </row>
    <row r="217" customFormat="false" ht="26.85" hidden="false" customHeight="false" outlineLevel="0" collapsed="false">
      <c r="A217" s="20" t="n">
        <v>216</v>
      </c>
      <c r="B217" s="20" t="s">
        <v>2111</v>
      </c>
      <c r="C217" s="20" t="s">
        <v>2112</v>
      </c>
      <c r="D217" s="20" t="s">
        <v>2083</v>
      </c>
      <c r="E217" s="21" t="s">
        <v>2084</v>
      </c>
      <c r="F217" s="22" t="s">
        <v>88</v>
      </c>
      <c r="G217" s="22" t="s">
        <v>2056</v>
      </c>
      <c r="H217" s="21" t="s">
        <v>2113</v>
      </c>
      <c r="I217" s="23" t="s">
        <v>91</v>
      </c>
      <c r="J217" s="24" t="s">
        <v>2114</v>
      </c>
      <c r="K217" s="24" t="s">
        <v>2115</v>
      </c>
      <c r="L217" s="24" t="s">
        <v>2116</v>
      </c>
      <c r="M217" s="24" t="s">
        <v>2117</v>
      </c>
      <c r="N217" s="24" t="s">
        <v>2118</v>
      </c>
      <c r="O217" s="24" t="s">
        <v>2119</v>
      </c>
      <c r="P217" s="28"/>
      <c r="Q217" s="28" t="str">
        <f aca="false">"["&amp;안내!$C$5&amp;" "&amp;C217&amp;"] "&amp;J217&amp;" | "&amp;H217</f>
        <v>[1분 성경 #0216] 우리에게도 왕을 | 삼상 8:1-22</v>
      </c>
      <c r="R217" s="23" t="n">
        <f aca="false">INT((A217-1)/안내!$C$9)+1</f>
        <v>44</v>
      </c>
      <c r="S217" s="26" t="n">
        <f aca="false">안내!$C$10+(R217-1)*7+MOD(A217-1,안내!$C$9)</f>
        <v>46692</v>
      </c>
      <c r="T217" s="23" t="s">
        <v>99</v>
      </c>
      <c r="U217" s="23" t="s">
        <v>99</v>
      </c>
      <c r="V217" s="23" t="s">
        <v>99</v>
      </c>
      <c r="W217" s="23" t="s">
        <v>99</v>
      </c>
      <c r="X217" s="28"/>
      <c r="Y217" s="28" t="str">
        <f aca="false">"다음 편: "&amp;J218</f>
        <v>다음 편: 나귀 찾다가 왕이 되다</v>
      </c>
    </row>
    <row r="218" customFormat="false" ht="26.85" hidden="false" customHeight="false" outlineLevel="0" collapsed="false">
      <c r="A218" s="20" t="n">
        <v>217</v>
      </c>
      <c r="B218" s="20" t="s">
        <v>2120</v>
      </c>
      <c r="C218" s="20" t="s">
        <v>2121</v>
      </c>
      <c r="D218" s="20" t="s">
        <v>2083</v>
      </c>
      <c r="E218" s="21" t="s">
        <v>2084</v>
      </c>
      <c r="F218" s="22" t="s">
        <v>88</v>
      </c>
      <c r="G218" s="22" t="s">
        <v>2056</v>
      </c>
      <c r="H218" s="21" t="s">
        <v>2122</v>
      </c>
      <c r="I218" s="23" t="s">
        <v>91</v>
      </c>
      <c r="J218" s="24" t="s">
        <v>2123</v>
      </c>
      <c r="K218" s="24" t="s">
        <v>2124</v>
      </c>
      <c r="L218" s="24" t="s">
        <v>2125</v>
      </c>
      <c r="M218" s="24" t="s">
        <v>2126</v>
      </c>
      <c r="N218" s="24" t="s">
        <v>2127</v>
      </c>
      <c r="O218" s="24" t="s">
        <v>2128</v>
      </c>
      <c r="P218" s="28"/>
      <c r="Q218" s="28" t="str">
        <f aca="false">"["&amp;안내!$C$5&amp;" "&amp;C218&amp;"] "&amp;J218&amp;" | "&amp;H218</f>
        <v>[1분 성경 #0217] 나귀 찾다가 왕이 되다 | 삼상 9:1-10:27</v>
      </c>
      <c r="R218" s="23" t="n">
        <f aca="false">INT((A218-1)/안내!$C$9)+1</f>
        <v>44</v>
      </c>
      <c r="S218" s="26" t="n">
        <f aca="false">안내!$C$10+(R218-1)*7+MOD(A218-1,안내!$C$9)</f>
        <v>46693</v>
      </c>
      <c r="T218" s="23" t="s">
        <v>99</v>
      </c>
      <c r="U218" s="23" t="s">
        <v>99</v>
      </c>
      <c r="V218" s="23" t="s">
        <v>99</v>
      </c>
      <c r="W218" s="23" t="s">
        <v>99</v>
      </c>
      <c r="X218" s="28"/>
      <c r="Y218" s="28" t="str">
        <f aca="false">"다음 편: "&amp;J219</f>
        <v>다음 편: 사울의 첫 승리와 사무엘의 고별</v>
      </c>
    </row>
    <row r="219" customFormat="false" ht="26.85" hidden="false" customHeight="false" outlineLevel="0" collapsed="false">
      <c r="A219" s="20" t="n">
        <v>218</v>
      </c>
      <c r="B219" s="20" t="s">
        <v>2129</v>
      </c>
      <c r="C219" s="20" t="s">
        <v>2130</v>
      </c>
      <c r="D219" s="20" t="s">
        <v>2083</v>
      </c>
      <c r="E219" s="21" t="s">
        <v>2084</v>
      </c>
      <c r="F219" s="22" t="s">
        <v>88</v>
      </c>
      <c r="G219" s="22" t="s">
        <v>2056</v>
      </c>
      <c r="H219" s="21" t="s">
        <v>2131</v>
      </c>
      <c r="I219" s="23" t="s">
        <v>91</v>
      </c>
      <c r="J219" s="24" t="s">
        <v>2132</v>
      </c>
      <c r="K219" s="24" t="s">
        <v>2133</v>
      </c>
      <c r="L219" s="24" t="s">
        <v>2134</v>
      </c>
      <c r="M219" s="24" t="s">
        <v>2135</v>
      </c>
      <c r="N219" s="24" t="s">
        <v>2136</v>
      </c>
      <c r="O219" s="24" t="s">
        <v>2137</v>
      </c>
      <c r="P219" s="28"/>
      <c r="Q219" s="28" t="str">
        <f aca="false">"["&amp;안내!$C$5&amp;" "&amp;C219&amp;"] "&amp;J219&amp;" | "&amp;H219</f>
        <v>[1분 성경 #0218] 사울의 첫 승리와 사무엘의 고별 | 삼상 11:1-12:25</v>
      </c>
      <c r="R219" s="23" t="n">
        <f aca="false">INT((A219-1)/안내!$C$9)+1</f>
        <v>44</v>
      </c>
      <c r="S219" s="26" t="n">
        <f aca="false">안내!$C$10+(R219-1)*7+MOD(A219-1,안내!$C$9)</f>
        <v>46694</v>
      </c>
      <c r="T219" s="23" t="s">
        <v>99</v>
      </c>
      <c r="U219" s="23" t="s">
        <v>99</v>
      </c>
      <c r="V219" s="23" t="s">
        <v>99</v>
      </c>
      <c r="W219" s="23" t="s">
        <v>99</v>
      </c>
      <c r="X219" s="28"/>
      <c r="Y219" s="28" t="str">
        <f aca="false">"다음 편: "&amp;J220</f>
        <v>다음 편: 기다리지 못한 왕</v>
      </c>
    </row>
    <row r="220" customFormat="false" ht="26.85" hidden="false" customHeight="false" outlineLevel="0" collapsed="false">
      <c r="A220" s="20" t="n">
        <v>219</v>
      </c>
      <c r="B220" s="20" t="s">
        <v>2138</v>
      </c>
      <c r="C220" s="20" t="s">
        <v>2139</v>
      </c>
      <c r="D220" s="20" t="s">
        <v>2083</v>
      </c>
      <c r="E220" s="21" t="s">
        <v>2084</v>
      </c>
      <c r="F220" s="22" t="s">
        <v>88</v>
      </c>
      <c r="G220" s="22" t="s">
        <v>2056</v>
      </c>
      <c r="H220" s="21" t="s">
        <v>2140</v>
      </c>
      <c r="I220" s="23" t="s">
        <v>91</v>
      </c>
      <c r="J220" s="24" t="s">
        <v>2141</v>
      </c>
      <c r="K220" s="28" t="s">
        <v>2142</v>
      </c>
      <c r="L220" s="24" t="s">
        <v>2143</v>
      </c>
      <c r="M220" s="24" t="s">
        <v>2144</v>
      </c>
      <c r="N220" s="24" t="s">
        <v>2127</v>
      </c>
      <c r="O220" s="24" t="s">
        <v>2145</v>
      </c>
      <c r="P220" s="28"/>
      <c r="Q220" s="28" t="str">
        <f aca="false">"["&amp;안내!$C$5&amp;" "&amp;C220&amp;"] "&amp;J220&amp;" | "&amp;H220</f>
        <v>[1분 성경 #0219] 기다리지 못한 왕 | 삼상 13:1-23</v>
      </c>
      <c r="R220" s="23" t="n">
        <f aca="false">INT((A220-1)/안내!$C$9)+1</f>
        <v>44</v>
      </c>
      <c r="S220" s="26" t="n">
        <f aca="false">안내!$C$10+(R220-1)*7+MOD(A220-1,안내!$C$9)</f>
        <v>46695</v>
      </c>
      <c r="T220" s="23" t="s">
        <v>99</v>
      </c>
      <c r="U220" s="23" t="s">
        <v>99</v>
      </c>
      <c r="V220" s="23" t="s">
        <v>99</v>
      </c>
      <c r="W220" s="23" t="s">
        <v>99</v>
      </c>
      <c r="X220" s="28"/>
      <c r="Y220" s="28" t="str">
        <f aca="false">"다음 편: "&amp;J221</f>
        <v>다음 편: 요나단과 무기 든 소년</v>
      </c>
    </row>
    <row r="221" customFormat="false" ht="26.85" hidden="false" customHeight="false" outlineLevel="0" collapsed="false">
      <c r="A221" s="20" t="n">
        <v>220</v>
      </c>
      <c r="B221" s="20" t="s">
        <v>2146</v>
      </c>
      <c r="C221" s="20" t="s">
        <v>2147</v>
      </c>
      <c r="D221" s="20" t="s">
        <v>2083</v>
      </c>
      <c r="E221" s="21" t="s">
        <v>2084</v>
      </c>
      <c r="F221" s="22" t="s">
        <v>88</v>
      </c>
      <c r="G221" s="22" t="s">
        <v>2056</v>
      </c>
      <c r="H221" s="21" t="s">
        <v>2148</v>
      </c>
      <c r="I221" s="23" t="s">
        <v>91</v>
      </c>
      <c r="J221" s="24" t="s">
        <v>2149</v>
      </c>
      <c r="K221" s="24" t="s">
        <v>2150</v>
      </c>
      <c r="L221" s="24" t="s">
        <v>2151</v>
      </c>
      <c r="M221" s="24" t="s">
        <v>2152</v>
      </c>
      <c r="N221" s="24" t="s">
        <v>2153</v>
      </c>
      <c r="O221" s="24" t="s">
        <v>2154</v>
      </c>
      <c r="P221" s="28"/>
      <c r="Q221" s="28" t="str">
        <f aca="false">"["&amp;안내!$C$5&amp;" "&amp;C221&amp;"] "&amp;J221&amp;" | "&amp;H221</f>
        <v>[1분 성경 #0220] 요나단과 무기 든 소년 | 삼상 14:1-52</v>
      </c>
      <c r="R221" s="23" t="n">
        <f aca="false">INT((A221-1)/안내!$C$9)+1</f>
        <v>44</v>
      </c>
      <c r="S221" s="26" t="n">
        <f aca="false">안내!$C$10+(R221-1)*7+MOD(A221-1,안내!$C$9)</f>
        <v>46696</v>
      </c>
      <c r="T221" s="23" t="s">
        <v>99</v>
      </c>
      <c r="U221" s="23" t="s">
        <v>99</v>
      </c>
      <c r="V221" s="23" t="s">
        <v>99</v>
      </c>
      <c r="W221" s="23" t="s">
        <v>99</v>
      </c>
      <c r="X221" s="28"/>
      <c r="Y221" s="28" t="str">
        <f aca="false">"다음 편: "&amp;J222</f>
        <v>다음 편: 순종이 제사보다 낫다</v>
      </c>
    </row>
    <row r="222" customFormat="false" ht="26.85" hidden="false" customHeight="false" outlineLevel="0" collapsed="false">
      <c r="A222" s="20" t="n">
        <v>221</v>
      </c>
      <c r="B222" s="20" t="s">
        <v>2155</v>
      </c>
      <c r="C222" s="20" t="s">
        <v>2156</v>
      </c>
      <c r="D222" s="20" t="s">
        <v>2083</v>
      </c>
      <c r="E222" s="21" t="s">
        <v>2084</v>
      </c>
      <c r="F222" s="22" t="s">
        <v>88</v>
      </c>
      <c r="G222" s="22" t="s">
        <v>2056</v>
      </c>
      <c r="H222" s="21" t="s">
        <v>2157</v>
      </c>
      <c r="I222" s="23" t="s">
        <v>91</v>
      </c>
      <c r="J222" s="24" t="s">
        <v>2158</v>
      </c>
      <c r="K222" s="24" t="s">
        <v>2159</v>
      </c>
      <c r="L222" s="24" t="s">
        <v>2160</v>
      </c>
      <c r="M222" s="24" t="s">
        <v>2161</v>
      </c>
      <c r="N222" s="24" t="s">
        <v>2162</v>
      </c>
      <c r="O222" s="24" t="s">
        <v>2145</v>
      </c>
      <c r="P222" s="25" t="s">
        <v>709</v>
      </c>
      <c r="Q222" s="28" t="str">
        <f aca="false">"["&amp;안내!$C$5&amp;" "&amp;C222&amp;"] "&amp;J222&amp;" | "&amp;H222</f>
        <v>[1분 성경 #0221] 순종이 제사보다 낫다 | 삼상 15:1-35</v>
      </c>
      <c r="R222" s="23" t="n">
        <f aca="false">INT((A222-1)/안내!$C$9)+1</f>
        <v>45</v>
      </c>
      <c r="S222" s="26" t="n">
        <f aca="false">안내!$C$10+(R222-1)*7+MOD(A222-1,안내!$C$9)</f>
        <v>46699</v>
      </c>
      <c r="T222" s="23" t="s">
        <v>99</v>
      </c>
      <c r="U222" s="23" t="s">
        <v>99</v>
      </c>
      <c r="V222" s="23" t="s">
        <v>99</v>
      </c>
      <c r="W222" s="23" t="s">
        <v>99</v>
      </c>
      <c r="X222" s="28"/>
      <c r="Y222" s="28" t="str">
        <f aca="false">"다음 편: "&amp;J223</f>
        <v>다음 편: 중심을 보시는 하나님</v>
      </c>
    </row>
    <row r="223" customFormat="false" ht="26.85" hidden="false" customHeight="false" outlineLevel="0" collapsed="false">
      <c r="A223" s="20" t="n">
        <v>222</v>
      </c>
      <c r="B223" s="20" t="s">
        <v>2163</v>
      </c>
      <c r="C223" s="20" t="s">
        <v>2164</v>
      </c>
      <c r="D223" s="20" t="s">
        <v>2165</v>
      </c>
      <c r="E223" s="21" t="s">
        <v>2166</v>
      </c>
      <c r="F223" s="22" t="s">
        <v>88</v>
      </c>
      <c r="G223" s="22" t="s">
        <v>2056</v>
      </c>
      <c r="H223" s="21" t="s">
        <v>2167</v>
      </c>
      <c r="I223" s="23" t="s">
        <v>91</v>
      </c>
      <c r="J223" s="24" t="s">
        <v>2168</v>
      </c>
      <c r="K223" s="24" t="s">
        <v>2169</v>
      </c>
      <c r="L223" s="24" t="s">
        <v>2170</v>
      </c>
      <c r="M223" s="24" t="s">
        <v>2171</v>
      </c>
      <c r="N223" s="24" t="s">
        <v>2172</v>
      </c>
      <c r="O223" s="24" t="s">
        <v>2052</v>
      </c>
      <c r="P223" s="28"/>
      <c r="Q223" s="28" t="str">
        <f aca="false">"["&amp;안내!$C$5&amp;" "&amp;C223&amp;"] "&amp;J223&amp;" | "&amp;H223</f>
        <v>[1분 성경 #0222] 중심을 보시는 하나님 | 삼상 16:1-13</v>
      </c>
      <c r="R223" s="23" t="n">
        <f aca="false">INT((A223-1)/안내!$C$9)+1</f>
        <v>45</v>
      </c>
      <c r="S223" s="26" t="n">
        <f aca="false">안내!$C$10+(R223-1)*7+MOD(A223-1,안내!$C$9)</f>
        <v>46700</v>
      </c>
      <c r="T223" s="23" t="s">
        <v>99</v>
      </c>
      <c r="U223" s="23" t="s">
        <v>99</v>
      </c>
      <c r="V223" s="23" t="s">
        <v>99</v>
      </c>
      <c r="W223" s="23" t="s">
        <v>99</v>
      </c>
      <c r="X223" s="28"/>
      <c r="Y223" s="28" t="str">
        <f aca="false">"다음 편: "&amp;J224</f>
        <v>다음 편: 수금 타는 소년</v>
      </c>
    </row>
    <row r="224" customFormat="false" ht="26.85" hidden="false" customHeight="false" outlineLevel="0" collapsed="false">
      <c r="A224" s="20" t="n">
        <v>223</v>
      </c>
      <c r="B224" s="20" t="s">
        <v>2173</v>
      </c>
      <c r="C224" s="20" t="s">
        <v>2174</v>
      </c>
      <c r="D224" s="20" t="s">
        <v>2165</v>
      </c>
      <c r="E224" s="21" t="s">
        <v>2166</v>
      </c>
      <c r="F224" s="22" t="s">
        <v>88</v>
      </c>
      <c r="G224" s="22" t="s">
        <v>2056</v>
      </c>
      <c r="H224" s="21" t="s">
        <v>2175</v>
      </c>
      <c r="I224" s="23" t="s">
        <v>91</v>
      </c>
      <c r="J224" s="24" t="s">
        <v>2176</v>
      </c>
      <c r="K224" s="24" t="s">
        <v>2177</v>
      </c>
      <c r="L224" s="24" t="s">
        <v>2178</v>
      </c>
      <c r="M224" s="24" t="s">
        <v>2179</v>
      </c>
      <c r="N224" s="24" t="s">
        <v>2180</v>
      </c>
      <c r="O224" s="24" t="s">
        <v>2181</v>
      </c>
      <c r="P224" s="27" t="s">
        <v>2182</v>
      </c>
      <c r="Q224" s="28" t="str">
        <f aca="false">"["&amp;안내!$C$5&amp;" "&amp;C224&amp;"] "&amp;J224&amp;" | "&amp;H224</f>
        <v>[1분 성경 #0223] 수금 타는 소년 | 삼상 16:14-23</v>
      </c>
      <c r="R224" s="23" t="n">
        <f aca="false">INT((A224-1)/안내!$C$9)+1</f>
        <v>45</v>
      </c>
      <c r="S224" s="26" t="n">
        <f aca="false">안내!$C$10+(R224-1)*7+MOD(A224-1,안내!$C$9)</f>
        <v>46701</v>
      </c>
      <c r="T224" s="23" t="s">
        <v>99</v>
      </c>
      <c r="U224" s="23" t="s">
        <v>99</v>
      </c>
      <c r="V224" s="23" t="s">
        <v>99</v>
      </c>
      <c r="W224" s="23" t="s">
        <v>99</v>
      </c>
      <c r="X224" s="28"/>
      <c r="Y224" s="28" t="str">
        <f aca="false">"다음 편: "&amp;J225</f>
        <v>다음 편: 거인 골리앗</v>
      </c>
    </row>
    <row r="225" customFormat="false" ht="15" hidden="false" customHeight="false" outlineLevel="0" collapsed="false">
      <c r="A225" s="20" t="n">
        <v>224</v>
      </c>
      <c r="B225" s="20" t="s">
        <v>2183</v>
      </c>
      <c r="C225" s="20" t="s">
        <v>2184</v>
      </c>
      <c r="D225" s="20" t="s">
        <v>2165</v>
      </c>
      <c r="E225" s="21" t="s">
        <v>2166</v>
      </c>
      <c r="F225" s="22" t="s">
        <v>88</v>
      </c>
      <c r="G225" s="22" t="s">
        <v>2056</v>
      </c>
      <c r="H225" s="21" t="s">
        <v>2185</v>
      </c>
      <c r="I225" s="23" t="s">
        <v>91</v>
      </c>
      <c r="J225" s="24" t="s">
        <v>2186</v>
      </c>
      <c r="K225" s="28" t="s">
        <v>2187</v>
      </c>
      <c r="L225" s="24" t="s">
        <v>2188</v>
      </c>
      <c r="M225" s="24" t="s">
        <v>2189</v>
      </c>
      <c r="N225" s="24" t="s">
        <v>2190</v>
      </c>
      <c r="O225" s="24" t="s">
        <v>2191</v>
      </c>
      <c r="P225" s="28"/>
      <c r="Q225" s="28" t="str">
        <f aca="false">"["&amp;안내!$C$5&amp;" "&amp;C225&amp;"] "&amp;J225&amp;" | "&amp;H225</f>
        <v>[1분 성경 #0224] 거인 골리앗 | 삼상 17:1-30</v>
      </c>
      <c r="R225" s="23" t="n">
        <f aca="false">INT((A225-1)/안내!$C$9)+1</f>
        <v>45</v>
      </c>
      <c r="S225" s="26" t="n">
        <f aca="false">안내!$C$10+(R225-1)*7+MOD(A225-1,안내!$C$9)</f>
        <v>46702</v>
      </c>
      <c r="T225" s="23" t="s">
        <v>99</v>
      </c>
      <c r="U225" s="23" t="s">
        <v>99</v>
      </c>
      <c r="V225" s="23" t="s">
        <v>99</v>
      </c>
      <c r="W225" s="23" t="s">
        <v>99</v>
      </c>
      <c r="X225" s="28"/>
      <c r="Y225" s="28" t="str">
        <f aca="false">"다음 편: "&amp;J226</f>
        <v>다음 편: 물맷돌 다섯 개</v>
      </c>
    </row>
    <row r="226" customFormat="false" ht="26.85" hidden="false" customHeight="false" outlineLevel="0" collapsed="false">
      <c r="A226" s="20" t="n">
        <v>225</v>
      </c>
      <c r="B226" s="20" t="s">
        <v>2192</v>
      </c>
      <c r="C226" s="20" t="s">
        <v>2193</v>
      </c>
      <c r="D226" s="20" t="s">
        <v>2165</v>
      </c>
      <c r="E226" s="21" t="s">
        <v>2166</v>
      </c>
      <c r="F226" s="22" t="s">
        <v>88</v>
      </c>
      <c r="G226" s="22" t="s">
        <v>2056</v>
      </c>
      <c r="H226" s="21" t="s">
        <v>2194</v>
      </c>
      <c r="I226" s="23" t="s">
        <v>91</v>
      </c>
      <c r="J226" s="24" t="s">
        <v>2195</v>
      </c>
      <c r="K226" s="24" t="s">
        <v>2196</v>
      </c>
      <c r="L226" s="24" t="s">
        <v>2197</v>
      </c>
      <c r="M226" s="24" t="s">
        <v>2198</v>
      </c>
      <c r="N226" s="24" t="s">
        <v>2199</v>
      </c>
      <c r="O226" s="24" t="s">
        <v>2191</v>
      </c>
      <c r="P226" s="25" t="s">
        <v>2200</v>
      </c>
      <c r="Q226" s="28" t="str">
        <f aca="false">"["&amp;안내!$C$5&amp;" "&amp;C226&amp;"] "&amp;J226&amp;" | "&amp;H226</f>
        <v>[1분 성경 #0225] 물맷돌 다섯 개 | 삼상 17:31-58</v>
      </c>
      <c r="R226" s="23" t="n">
        <f aca="false">INT((A226-1)/안내!$C$9)+1</f>
        <v>45</v>
      </c>
      <c r="S226" s="26" t="n">
        <f aca="false">안내!$C$10+(R226-1)*7+MOD(A226-1,안내!$C$9)</f>
        <v>46703</v>
      </c>
      <c r="T226" s="23" t="s">
        <v>99</v>
      </c>
      <c r="U226" s="23" t="s">
        <v>99</v>
      </c>
      <c r="V226" s="23" t="s">
        <v>99</v>
      </c>
      <c r="W226" s="23" t="s">
        <v>99</v>
      </c>
      <c r="X226" s="28"/>
      <c r="Y226" s="28" t="str">
        <f aca="false">"다음 편: "&amp;J227</f>
        <v>다음 편: 요나단의 우정과 사울의 질투</v>
      </c>
    </row>
    <row r="227" customFormat="false" ht="26.85" hidden="false" customHeight="false" outlineLevel="0" collapsed="false">
      <c r="A227" s="20" t="n">
        <v>226</v>
      </c>
      <c r="B227" s="20" t="s">
        <v>2201</v>
      </c>
      <c r="C227" s="20" t="s">
        <v>2202</v>
      </c>
      <c r="D227" s="20" t="s">
        <v>2165</v>
      </c>
      <c r="E227" s="21" t="s">
        <v>2166</v>
      </c>
      <c r="F227" s="22" t="s">
        <v>88</v>
      </c>
      <c r="G227" s="22" t="s">
        <v>2056</v>
      </c>
      <c r="H227" s="21" t="s">
        <v>2203</v>
      </c>
      <c r="I227" s="23" t="s">
        <v>91</v>
      </c>
      <c r="J227" s="24" t="s">
        <v>2204</v>
      </c>
      <c r="K227" s="24" t="s">
        <v>2205</v>
      </c>
      <c r="L227" s="24" t="s">
        <v>2206</v>
      </c>
      <c r="M227" s="24" t="s">
        <v>2207</v>
      </c>
      <c r="N227" s="24" t="s">
        <v>2208</v>
      </c>
      <c r="O227" s="24" t="s">
        <v>2181</v>
      </c>
      <c r="P227" s="28"/>
      <c r="Q227" s="28" t="str">
        <f aca="false">"["&amp;안내!$C$5&amp;" "&amp;C227&amp;"] "&amp;J227&amp;" | "&amp;H227</f>
        <v>[1분 성경 #0226] 요나단의 우정과 사울의 질투 | 삼상 18:1-30</v>
      </c>
      <c r="R227" s="23" t="n">
        <f aca="false">INT((A227-1)/안내!$C$9)+1</f>
        <v>46</v>
      </c>
      <c r="S227" s="26" t="n">
        <f aca="false">안내!$C$10+(R227-1)*7+MOD(A227-1,안내!$C$9)</f>
        <v>46706</v>
      </c>
      <c r="T227" s="23" t="s">
        <v>99</v>
      </c>
      <c r="U227" s="23" t="s">
        <v>99</v>
      </c>
      <c r="V227" s="23" t="s">
        <v>99</v>
      </c>
      <c r="W227" s="23" t="s">
        <v>99</v>
      </c>
      <c r="X227" s="28"/>
      <c r="Y227" s="28" t="str">
        <f aca="false">"다음 편: "&amp;J228</f>
        <v>다음 편: 창으로 도망치다</v>
      </c>
    </row>
    <row r="228" customFormat="false" ht="15" hidden="false" customHeight="false" outlineLevel="0" collapsed="false">
      <c r="A228" s="20" t="n">
        <v>227</v>
      </c>
      <c r="B228" s="20" t="s">
        <v>2209</v>
      </c>
      <c r="C228" s="20" t="s">
        <v>2210</v>
      </c>
      <c r="D228" s="20" t="s">
        <v>2165</v>
      </c>
      <c r="E228" s="21" t="s">
        <v>2166</v>
      </c>
      <c r="F228" s="22" t="s">
        <v>88</v>
      </c>
      <c r="G228" s="22" t="s">
        <v>2056</v>
      </c>
      <c r="H228" s="21" t="s">
        <v>2211</v>
      </c>
      <c r="I228" s="23" t="s">
        <v>91</v>
      </c>
      <c r="J228" s="24" t="s">
        <v>2212</v>
      </c>
      <c r="K228" s="24" t="s">
        <v>2213</v>
      </c>
      <c r="L228" s="24" t="s">
        <v>2214</v>
      </c>
      <c r="M228" s="24" t="s">
        <v>2215</v>
      </c>
      <c r="N228" s="24" t="s">
        <v>2216</v>
      </c>
      <c r="O228" s="24" t="s">
        <v>2217</v>
      </c>
      <c r="P228" s="28"/>
      <c r="Q228" s="28" t="str">
        <f aca="false">"["&amp;안내!$C$5&amp;" "&amp;C228&amp;"] "&amp;J228&amp;" | "&amp;H228</f>
        <v>[1분 성경 #0227] 창으로 도망치다 | 삼상 19:1-24</v>
      </c>
      <c r="R228" s="23" t="n">
        <f aca="false">INT((A228-1)/안내!$C$9)+1</f>
        <v>46</v>
      </c>
      <c r="S228" s="26" t="n">
        <f aca="false">안내!$C$10+(R228-1)*7+MOD(A228-1,안내!$C$9)</f>
        <v>46707</v>
      </c>
      <c r="T228" s="23" t="s">
        <v>99</v>
      </c>
      <c r="U228" s="23" t="s">
        <v>99</v>
      </c>
      <c r="V228" s="23" t="s">
        <v>99</v>
      </c>
      <c r="W228" s="23" t="s">
        <v>99</v>
      </c>
      <c r="X228" s="28"/>
      <c r="Y228" s="28" t="str">
        <f aca="false">"다음 편: "&amp;J229</f>
        <v>다음 편: 요나단의 화살</v>
      </c>
    </row>
    <row r="229" customFormat="false" ht="15" hidden="false" customHeight="false" outlineLevel="0" collapsed="false">
      <c r="A229" s="20" t="n">
        <v>228</v>
      </c>
      <c r="B229" s="20" t="s">
        <v>2218</v>
      </c>
      <c r="C229" s="20" t="s">
        <v>2219</v>
      </c>
      <c r="D229" s="20" t="s">
        <v>2165</v>
      </c>
      <c r="E229" s="21" t="s">
        <v>2166</v>
      </c>
      <c r="F229" s="22" t="s">
        <v>88</v>
      </c>
      <c r="G229" s="22" t="s">
        <v>2056</v>
      </c>
      <c r="H229" s="21" t="s">
        <v>2220</v>
      </c>
      <c r="I229" s="23" t="s">
        <v>91</v>
      </c>
      <c r="J229" s="24" t="s">
        <v>2221</v>
      </c>
      <c r="K229" s="24" t="s">
        <v>2222</v>
      </c>
      <c r="L229" s="24" t="s">
        <v>2223</v>
      </c>
      <c r="M229" s="24" t="s">
        <v>2224</v>
      </c>
      <c r="N229" s="24" t="s">
        <v>2225</v>
      </c>
      <c r="O229" s="24" t="s">
        <v>2226</v>
      </c>
      <c r="P229" s="28"/>
      <c r="Q229" s="28" t="str">
        <f aca="false">"["&amp;안내!$C$5&amp;" "&amp;C229&amp;"] "&amp;J229&amp;" | "&amp;H229</f>
        <v>[1분 성경 #0228] 요나단의 화살 | 삼상 20:1-42</v>
      </c>
      <c r="R229" s="23" t="n">
        <f aca="false">INT((A229-1)/안내!$C$9)+1</f>
        <v>46</v>
      </c>
      <c r="S229" s="26" t="n">
        <f aca="false">안내!$C$10+(R229-1)*7+MOD(A229-1,안내!$C$9)</f>
        <v>46708</v>
      </c>
      <c r="T229" s="23" t="s">
        <v>99</v>
      </c>
      <c r="U229" s="23" t="s">
        <v>99</v>
      </c>
      <c r="V229" s="23" t="s">
        <v>99</v>
      </c>
      <c r="W229" s="23" t="s">
        <v>99</v>
      </c>
      <c r="X229" s="28"/>
      <c r="Y229" s="28" t="str">
        <f aca="false">"다음 편: "&amp;J230</f>
        <v>다음 편: 놉과 아둘람 굴</v>
      </c>
    </row>
    <row r="230" customFormat="false" ht="26.85" hidden="false" customHeight="false" outlineLevel="0" collapsed="false">
      <c r="A230" s="20" t="n">
        <v>229</v>
      </c>
      <c r="B230" s="20" t="s">
        <v>2227</v>
      </c>
      <c r="C230" s="20" t="s">
        <v>2228</v>
      </c>
      <c r="D230" s="20" t="s">
        <v>2165</v>
      </c>
      <c r="E230" s="21" t="s">
        <v>2166</v>
      </c>
      <c r="F230" s="22" t="s">
        <v>88</v>
      </c>
      <c r="G230" s="22" t="s">
        <v>2056</v>
      </c>
      <c r="H230" s="21" t="s">
        <v>2229</v>
      </c>
      <c r="I230" s="23" t="s">
        <v>91</v>
      </c>
      <c r="J230" s="24" t="s">
        <v>2230</v>
      </c>
      <c r="K230" s="24" t="s">
        <v>2231</v>
      </c>
      <c r="L230" s="24" t="s">
        <v>2232</v>
      </c>
      <c r="M230" s="24" t="s">
        <v>2233</v>
      </c>
      <c r="N230" s="24" t="s">
        <v>2234</v>
      </c>
      <c r="O230" s="24" t="s">
        <v>2235</v>
      </c>
      <c r="P230" s="25" t="s">
        <v>2236</v>
      </c>
      <c r="Q230" s="28" t="str">
        <f aca="false">"["&amp;안내!$C$5&amp;" "&amp;C230&amp;"] "&amp;J230&amp;" | "&amp;H230</f>
        <v>[1분 성경 #0229] 놉과 아둘람 굴 | 삼상 21:1-22:23</v>
      </c>
      <c r="R230" s="23" t="n">
        <f aca="false">INT((A230-1)/안내!$C$9)+1</f>
        <v>46</v>
      </c>
      <c r="S230" s="26" t="n">
        <f aca="false">안내!$C$10+(R230-1)*7+MOD(A230-1,안내!$C$9)</f>
        <v>46709</v>
      </c>
      <c r="T230" s="23" t="s">
        <v>99</v>
      </c>
      <c r="U230" s="23" t="s">
        <v>99</v>
      </c>
      <c r="V230" s="23" t="s">
        <v>99</v>
      </c>
      <c r="W230" s="23" t="s">
        <v>99</v>
      </c>
      <c r="X230" s="28"/>
      <c r="Y230" s="28" t="str">
        <f aca="false">"다음 편: "&amp;J231</f>
        <v>다음 편: 광야의 다윗</v>
      </c>
    </row>
    <row r="231" customFormat="false" ht="15" hidden="false" customHeight="false" outlineLevel="0" collapsed="false">
      <c r="A231" s="20" t="n">
        <v>230</v>
      </c>
      <c r="B231" s="20" t="s">
        <v>2237</v>
      </c>
      <c r="C231" s="20" t="s">
        <v>2238</v>
      </c>
      <c r="D231" s="20" t="s">
        <v>2165</v>
      </c>
      <c r="E231" s="21" t="s">
        <v>2166</v>
      </c>
      <c r="F231" s="22" t="s">
        <v>88</v>
      </c>
      <c r="G231" s="22" t="s">
        <v>2056</v>
      </c>
      <c r="H231" s="21" t="s">
        <v>2239</v>
      </c>
      <c r="I231" s="23" t="s">
        <v>91</v>
      </c>
      <c r="J231" s="24" t="s">
        <v>2240</v>
      </c>
      <c r="K231" s="24" t="s">
        <v>2241</v>
      </c>
      <c r="L231" s="24" t="s">
        <v>2242</v>
      </c>
      <c r="M231" s="24" t="s">
        <v>2243</v>
      </c>
      <c r="N231" s="24" t="s">
        <v>2244</v>
      </c>
      <c r="O231" s="24" t="s">
        <v>2245</v>
      </c>
      <c r="P231" s="28"/>
      <c r="Q231" s="28" t="str">
        <f aca="false">"["&amp;안내!$C$5&amp;" "&amp;C231&amp;"] "&amp;J231&amp;" | "&amp;H231</f>
        <v>[1분 성경 #0230] 광야의 다윗 | 삼상 23:1-29</v>
      </c>
      <c r="R231" s="23" t="n">
        <f aca="false">INT((A231-1)/안내!$C$9)+1</f>
        <v>46</v>
      </c>
      <c r="S231" s="26" t="n">
        <f aca="false">안내!$C$10+(R231-1)*7+MOD(A231-1,안내!$C$9)</f>
        <v>46710</v>
      </c>
      <c r="T231" s="23" t="s">
        <v>99</v>
      </c>
      <c r="U231" s="23" t="s">
        <v>99</v>
      </c>
      <c r="V231" s="23" t="s">
        <v>99</v>
      </c>
      <c r="W231" s="23" t="s">
        <v>99</v>
      </c>
      <c r="X231" s="28"/>
      <c r="Y231" s="28" t="str">
        <f aca="false">"다음 편: "&amp;J232</f>
        <v>다음 편: 동굴 속의 기회</v>
      </c>
    </row>
    <row r="232" customFormat="false" ht="26.85" hidden="false" customHeight="false" outlineLevel="0" collapsed="false">
      <c r="A232" s="20" t="n">
        <v>231</v>
      </c>
      <c r="B232" s="20" t="s">
        <v>2246</v>
      </c>
      <c r="C232" s="20" t="s">
        <v>2247</v>
      </c>
      <c r="D232" s="20" t="s">
        <v>2165</v>
      </c>
      <c r="E232" s="21" t="s">
        <v>2166</v>
      </c>
      <c r="F232" s="22" t="s">
        <v>88</v>
      </c>
      <c r="G232" s="22" t="s">
        <v>2056</v>
      </c>
      <c r="H232" s="21" t="s">
        <v>2248</v>
      </c>
      <c r="I232" s="23" t="s">
        <v>91</v>
      </c>
      <c r="J232" s="24" t="s">
        <v>2249</v>
      </c>
      <c r="K232" s="24" t="s">
        <v>2250</v>
      </c>
      <c r="L232" s="24" t="s">
        <v>2251</v>
      </c>
      <c r="M232" s="24" t="s">
        <v>2252</v>
      </c>
      <c r="N232" s="24" t="s">
        <v>2253</v>
      </c>
      <c r="O232" s="24" t="s">
        <v>2254</v>
      </c>
      <c r="P232" s="28"/>
      <c r="Q232" s="28" t="str">
        <f aca="false">"["&amp;안내!$C$5&amp;" "&amp;C232&amp;"] "&amp;J232&amp;" | "&amp;H232</f>
        <v>[1분 성경 #0231] 동굴 속의 기회 | 삼상 24:1-22</v>
      </c>
      <c r="R232" s="23" t="n">
        <f aca="false">INT((A232-1)/안내!$C$9)+1</f>
        <v>47</v>
      </c>
      <c r="S232" s="26" t="n">
        <f aca="false">안내!$C$10+(R232-1)*7+MOD(A232-1,안내!$C$9)</f>
        <v>46713</v>
      </c>
      <c r="T232" s="23" t="s">
        <v>99</v>
      </c>
      <c r="U232" s="23" t="s">
        <v>99</v>
      </c>
      <c r="V232" s="23" t="s">
        <v>99</v>
      </c>
      <c r="W232" s="23" t="s">
        <v>99</v>
      </c>
      <c r="X232" s="28"/>
      <c r="Y232" s="28" t="str">
        <f aca="false">"다음 편: "&amp;J233</f>
        <v>다음 편: 지혜로운 아비가일</v>
      </c>
    </row>
    <row r="233" customFormat="false" ht="26.85" hidden="false" customHeight="false" outlineLevel="0" collapsed="false">
      <c r="A233" s="20" t="n">
        <v>232</v>
      </c>
      <c r="B233" s="20" t="s">
        <v>2255</v>
      </c>
      <c r="C233" s="20" t="s">
        <v>2256</v>
      </c>
      <c r="D233" s="20" t="s">
        <v>2257</v>
      </c>
      <c r="E233" s="21" t="s">
        <v>2258</v>
      </c>
      <c r="F233" s="22" t="s">
        <v>88</v>
      </c>
      <c r="G233" s="22" t="s">
        <v>2056</v>
      </c>
      <c r="H233" s="21" t="s">
        <v>2259</v>
      </c>
      <c r="I233" s="23" t="s">
        <v>91</v>
      </c>
      <c r="J233" s="24" t="s">
        <v>2260</v>
      </c>
      <c r="K233" s="24" t="s">
        <v>2261</v>
      </c>
      <c r="L233" s="24" t="s">
        <v>2262</v>
      </c>
      <c r="M233" s="24" t="s">
        <v>2263</v>
      </c>
      <c r="N233" s="24" t="s">
        <v>2264</v>
      </c>
      <c r="O233" s="24" t="s">
        <v>2265</v>
      </c>
      <c r="P233" s="28"/>
      <c r="Q233" s="28" t="str">
        <f aca="false">"["&amp;안내!$C$5&amp;" "&amp;C233&amp;"] "&amp;J233&amp;" | "&amp;H233</f>
        <v>[1분 성경 #0232] 지혜로운 아비가일 | 삼상 25:1-44</v>
      </c>
      <c r="R233" s="23" t="n">
        <f aca="false">INT((A233-1)/안내!$C$9)+1</f>
        <v>47</v>
      </c>
      <c r="S233" s="26" t="n">
        <f aca="false">안내!$C$10+(R233-1)*7+MOD(A233-1,안내!$C$9)</f>
        <v>46714</v>
      </c>
      <c r="T233" s="23" t="s">
        <v>99</v>
      </c>
      <c r="U233" s="23" t="s">
        <v>99</v>
      </c>
      <c r="V233" s="23" t="s">
        <v>99</v>
      </c>
      <c r="W233" s="23" t="s">
        <v>99</v>
      </c>
      <c r="X233" s="28"/>
      <c r="Y233" s="28" t="str">
        <f aca="false">"다음 편: "&amp;J234</f>
        <v>다음 편: 다시 살려 준 사울</v>
      </c>
    </row>
    <row r="234" customFormat="false" ht="26.85" hidden="false" customHeight="false" outlineLevel="0" collapsed="false">
      <c r="A234" s="20" t="n">
        <v>233</v>
      </c>
      <c r="B234" s="20" t="s">
        <v>2266</v>
      </c>
      <c r="C234" s="20" t="s">
        <v>2267</v>
      </c>
      <c r="D234" s="20" t="s">
        <v>2257</v>
      </c>
      <c r="E234" s="21" t="s">
        <v>2258</v>
      </c>
      <c r="F234" s="22" t="s">
        <v>88</v>
      </c>
      <c r="G234" s="22" t="s">
        <v>2056</v>
      </c>
      <c r="H234" s="21" t="s">
        <v>2268</v>
      </c>
      <c r="I234" s="23" t="s">
        <v>91</v>
      </c>
      <c r="J234" s="24" t="s">
        <v>2269</v>
      </c>
      <c r="K234" s="24" t="s">
        <v>2270</v>
      </c>
      <c r="L234" s="24" t="s">
        <v>2271</v>
      </c>
      <c r="M234" s="24" t="s">
        <v>2272</v>
      </c>
      <c r="N234" s="24" t="s">
        <v>2273</v>
      </c>
      <c r="O234" s="24" t="s">
        <v>2274</v>
      </c>
      <c r="P234" s="28"/>
      <c r="Q234" s="28" t="str">
        <f aca="false">"["&amp;안내!$C$5&amp;" "&amp;C234&amp;"] "&amp;J234&amp;" | "&amp;H234</f>
        <v>[1분 성경 #0233] 다시 살려 준 사울 | 삼상 26:1-25</v>
      </c>
      <c r="R234" s="23" t="n">
        <f aca="false">INT((A234-1)/안내!$C$9)+1</f>
        <v>47</v>
      </c>
      <c r="S234" s="26" t="n">
        <f aca="false">안내!$C$10+(R234-1)*7+MOD(A234-1,안내!$C$9)</f>
        <v>46715</v>
      </c>
      <c r="T234" s="23" t="s">
        <v>99</v>
      </c>
      <c r="U234" s="23" t="s">
        <v>99</v>
      </c>
      <c r="V234" s="23" t="s">
        <v>99</v>
      </c>
      <c r="W234" s="23" t="s">
        <v>99</v>
      </c>
      <c r="X234" s="28"/>
      <c r="Y234" s="28" t="str">
        <f aca="false">"다음 편: "&amp;J235</f>
        <v>다음 편: 적국으로 피한 다윗</v>
      </c>
    </row>
    <row r="235" customFormat="false" ht="26.85" hidden="false" customHeight="false" outlineLevel="0" collapsed="false">
      <c r="A235" s="20" t="n">
        <v>234</v>
      </c>
      <c r="B235" s="20" t="s">
        <v>2275</v>
      </c>
      <c r="C235" s="20" t="s">
        <v>2276</v>
      </c>
      <c r="D235" s="20" t="s">
        <v>2257</v>
      </c>
      <c r="E235" s="21" t="s">
        <v>2258</v>
      </c>
      <c r="F235" s="22" t="s">
        <v>88</v>
      </c>
      <c r="G235" s="22" t="s">
        <v>2056</v>
      </c>
      <c r="H235" s="21" t="s">
        <v>2277</v>
      </c>
      <c r="I235" s="23" t="s">
        <v>91</v>
      </c>
      <c r="J235" s="24" t="s">
        <v>2278</v>
      </c>
      <c r="K235" s="24" t="s">
        <v>2279</v>
      </c>
      <c r="L235" s="24" t="s">
        <v>2280</v>
      </c>
      <c r="M235" s="24" t="s">
        <v>2281</v>
      </c>
      <c r="N235" s="24" t="s">
        <v>2282</v>
      </c>
      <c r="O235" s="24" t="s">
        <v>2283</v>
      </c>
      <c r="P235" s="28"/>
      <c r="Q235" s="28" t="str">
        <f aca="false">"["&amp;안내!$C$5&amp;" "&amp;C235&amp;"] "&amp;J235&amp;" | "&amp;H235</f>
        <v>[1분 성경 #0234] 적국으로 피한 다윗 | 삼상 27:1-28:2</v>
      </c>
      <c r="R235" s="23" t="n">
        <f aca="false">INT((A235-1)/안내!$C$9)+1</f>
        <v>47</v>
      </c>
      <c r="S235" s="26" t="n">
        <f aca="false">안내!$C$10+(R235-1)*7+MOD(A235-1,안내!$C$9)</f>
        <v>46716</v>
      </c>
      <c r="T235" s="23" t="s">
        <v>99</v>
      </c>
      <c r="U235" s="23" t="s">
        <v>99</v>
      </c>
      <c r="V235" s="23" t="s">
        <v>99</v>
      </c>
      <c r="W235" s="23" t="s">
        <v>99</v>
      </c>
      <c r="X235" s="28"/>
      <c r="Y235" s="28" t="str">
        <f aca="false">"다음 편: "&amp;J236</f>
        <v>다음 편: 엔돌의 신접한 여인</v>
      </c>
    </row>
    <row r="236" customFormat="false" ht="26.85" hidden="false" customHeight="false" outlineLevel="0" collapsed="false">
      <c r="A236" s="20" t="n">
        <v>235</v>
      </c>
      <c r="B236" s="20" t="s">
        <v>2284</v>
      </c>
      <c r="C236" s="20" t="s">
        <v>2285</v>
      </c>
      <c r="D236" s="20" t="s">
        <v>2257</v>
      </c>
      <c r="E236" s="21" t="s">
        <v>2258</v>
      </c>
      <c r="F236" s="22" t="s">
        <v>88</v>
      </c>
      <c r="G236" s="22" t="s">
        <v>2056</v>
      </c>
      <c r="H236" s="21" t="s">
        <v>2286</v>
      </c>
      <c r="I236" s="23" t="s">
        <v>91</v>
      </c>
      <c r="J236" s="24" t="s">
        <v>2287</v>
      </c>
      <c r="K236" s="24" t="s">
        <v>2288</v>
      </c>
      <c r="L236" s="24" t="s">
        <v>2289</v>
      </c>
      <c r="M236" s="24" t="s">
        <v>2290</v>
      </c>
      <c r="N236" s="24" t="s">
        <v>2291</v>
      </c>
      <c r="O236" s="24" t="s">
        <v>2292</v>
      </c>
      <c r="P236" s="25" t="s">
        <v>2293</v>
      </c>
      <c r="Q236" s="28" t="str">
        <f aca="false">"["&amp;안내!$C$5&amp;" "&amp;C236&amp;"] "&amp;J236&amp;" | "&amp;H236</f>
        <v>[1분 성경 #0235] 엔돌의 신접한 여인 | 삼상 28:3-25</v>
      </c>
      <c r="R236" s="23" t="n">
        <f aca="false">INT((A236-1)/안내!$C$9)+1</f>
        <v>47</v>
      </c>
      <c r="S236" s="26" t="n">
        <f aca="false">안내!$C$10+(R236-1)*7+MOD(A236-1,안내!$C$9)</f>
        <v>46717</v>
      </c>
      <c r="T236" s="23" t="s">
        <v>99</v>
      </c>
      <c r="U236" s="23" t="s">
        <v>99</v>
      </c>
      <c r="V236" s="23" t="s">
        <v>99</v>
      </c>
      <c r="W236" s="23" t="s">
        <v>99</v>
      </c>
      <c r="X236" s="28"/>
      <c r="Y236" s="28" t="str">
        <f aca="false">"다음 편: "&amp;J237</f>
        <v>다음 편: 불타 버린 시글락</v>
      </c>
    </row>
    <row r="237" customFormat="false" ht="26.85" hidden="false" customHeight="false" outlineLevel="0" collapsed="false">
      <c r="A237" s="20" t="n">
        <v>236</v>
      </c>
      <c r="B237" s="20" t="s">
        <v>2294</v>
      </c>
      <c r="C237" s="20" t="s">
        <v>2295</v>
      </c>
      <c r="D237" s="20" t="s">
        <v>2257</v>
      </c>
      <c r="E237" s="21" t="s">
        <v>2258</v>
      </c>
      <c r="F237" s="22" t="s">
        <v>88</v>
      </c>
      <c r="G237" s="22" t="s">
        <v>2056</v>
      </c>
      <c r="H237" s="21" t="s">
        <v>2296</v>
      </c>
      <c r="I237" s="23" t="s">
        <v>91</v>
      </c>
      <c r="J237" s="24" t="s">
        <v>2297</v>
      </c>
      <c r="K237" s="24" t="s">
        <v>2298</v>
      </c>
      <c r="L237" s="24" t="s">
        <v>2299</v>
      </c>
      <c r="M237" s="24" t="s">
        <v>2300</v>
      </c>
      <c r="N237" s="24" t="s">
        <v>2301</v>
      </c>
      <c r="O237" s="24" t="s">
        <v>2302</v>
      </c>
      <c r="P237" s="28"/>
      <c r="Q237" s="28" t="str">
        <f aca="false">"["&amp;안내!$C$5&amp;" "&amp;C237&amp;"] "&amp;J237&amp;" | "&amp;H237</f>
        <v>[1분 성경 #0236] 불타 버린 시글락 | 삼상 29:1-30:31</v>
      </c>
      <c r="R237" s="23" t="n">
        <f aca="false">INT((A237-1)/안내!$C$9)+1</f>
        <v>48</v>
      </c>
      <c r="S237" s="26" t="n">
        <f aca="false">안내!$C$10+(R237-1)*7+MOD(A237-1,안내!$C$9)</f>
        <v>46720</v>
      </c>
      <c r="T237" s="23" t="s">
        <v>99</v>
      </c>
      <c r="U237" s="23" t="s">
        <v>99</v>
      </c>
      <c r="V237" s="23" t="s">
        <v>99</v>
      </c>
      <c r="W237" s="23" t="s">
        <v>99</v>
      </c>
      <c r="X237" s="28"/>
      <c r="Y237" s="28" t="str">
        <f aca="false">"다음 편: "&amp;J238</f>
        <v>다음 편: 사울의 마지막</v>
      </c>
    </row>
    <row r="238" customFormat="false" ht="15" hidden="false" customHeight="false" outlineLevel="0" collapsed="false">
      <c r="A238" s="20" t="n">
        <v>237</v>
      </c>
      <c r="B238" s="20" t="s">
        <v>2303</v>
      </c>
      <c r="C238" s="20" t="s">
        <v>2304</v>
      </c>
      <c r="D238" s="20" t="s">
        <v>2257</v>
      </c>
      <c r="E238" s="21" t="s">
        <v>2258</v>
      </c>
      <c r="F238" s="22" t="s">
        <v>88</v>
      </c>
      <c r="G238" s="22" t="s">
        <v>2056</v>
      </c>
      <c r="H238" s="21" t="s">
        <v>2305</v>
      </c>
      <c r="I238" s="23" t="s">
        <v>91</v>
      </c>
      <c r="J238" s="24" t="s">
        <v>2306</v>
      </c>
      <c r="K238" s="24" t="s">
        <v>2307</v>
      </c>
      <c r="L238" s="24" t="s">
        <v>2308</v>
      </c>
      <c r="M238" s="24" t="s">
        <v>2309</v>
      </c>
      <c r="N238" s="24" t="s">
        <v>2310</v>
      </c>
      <c r="O238" s="24" t="s">
        <v>2311</v>
      </c>
      <c r="P238" s="25" t="s">
        <v>2312</v>
      </c>
      <c r="Q238" s="28" t="str">
        <f aca="false">"["&amp;안내!$C$5&amp;" "&amp;C238&amp;"] "&amp;J238&amp;" | "&amp;H238</f>
        <v>[1분 성경 #0237] 사울의 마지막 | 삼상 31:1-13</v>
      </c>
      <c r="R238" s="23" t="n">
        <f aca="false">INT((A238-1)/안내!$C$9)+1</f>
        <v>48</v>
      </c>
      <c r="S238" s="26" t="n">
        <f aca="false">안내!$C$10+(R238-1)*7+MOD(A238-1,안내!$C$9)</f>
        <v>46721</v>
      </c>
      <c r="T238" s="23" t="s">
        <v>99</v>
      </c>
      <c r="U238" s="23" t="s">
        <v>99</v>
      </c>
      <c r="V238" s="23" t="s">
        <v>99</v>
      </c>
      <c r="W238" s="23" t="s">
        <v>99</v>
      </c>
      <c r="X238" s="28"/>
      <c r="Y238" s="28" t="str">
        <f aca="false">"다음 편: "&amp;J239</f>
        <v>다음 편: 활의 노래</v>
      </c>
    </row>
    <row r="239" customFormat="false" ht="15" hidden="false" customHeight="false" outlineLevel="0" collapsed="false">
      <c r="A239" s="20" t="n">
        <v>238</v>
      </c>
      <c r="B239" s="20" t="s">
        <v>2313</v>
      </c>
      <c r="C239" s="20" t="s">
        <v>2314</v>
      </c>
      <c r="D239" s="20" t="s">
        <v>2257</v>
      </c>
      <c r="E239" s="21" t="s">
        <v>2258</v>
      </c>
      <c r="F239" s="22" t="s">
        <v>88</v>
      </c>
      <c r="G239" s="22" t="s">
        <v>2315</v>
      </c>
      <c r="H239" s="21" t="s">
        <v>2316</v>
      </c>
      <c r="I239" s="23" t="s">
        <v>91</v>
      </c>
      <c r="J239" s="24" t="s">
        <v>2317</v>
      </c>
      <c r="K239" s="24" t="s">
        <v>2318</v>
      </c>
      <c r="L239" s="24" t="s">
        <v>2319</v>
      </c>
      <c r="M239" s="24" t="s">
        <v>2320</v>
      </c>
      <c r="N239" s="24" t="s">
        <v>2321</v>
      </c>
      <c r="O239" s="24" t="s">
        <v>2322</v>
      </c>
      <c r="P239" s="28"/>
      <c r="Q239" s="28" t="str">
        <f aca="false">"["&amp;안내!$C$5&amp;" "&amp;C239&amp;"] "&amp;J239&amp;" | "&amp;H239</f>
        <v>[1분 성경 #0238] 활의 노래 | 삼하 1:1-27</v>
      </c>
      <c r="R239" s="23" t="n">
        <f aca="false">INT((A239-1)/안내!$C$9)+1</f>
        <v>48</v>
      </c>
      <c r="S239" s="26" t="n">
        <f aca="false">안내!$C$10+(R239-1)*7+MOD(A239-1,안내!$C$9)</f>
        <v>46722</v>
      </c>
      <c r="T239" s="23" t="s">
        <v>99</v>
      </c>
      <c r="U239" s="23" t="s">
        <v>99</v>
      </c>
      <c r="V239" s="23" t="s">
        <v>99</v>
      </c>
      <c r="W239" s="23" t="s">
        <v>99</v>
      </c>
      <c r="X239" s="28"/>
      <c r="Y239" s="28" t="str">
        <f aca="false">"다음 편: "&amp;J240</f>
        <v>다음 편: 올라가리이까</v>
      </c>
    </row>
    <row r="240" customFormat="false" ht="15" hidden="false" customHeight="false" outlineLevel="0" collapsed="false">
      <c r="A240" s="20" t="n">
        <v>239</v>
      </c>
      <c r="B240" s="20" t="s">
        <v>2323</v>
      </c>
      <c r="C240" s="20" t="s">
        <v>2324</v>
      </c>
      <c r="D240" s="20" t="s">
        <v>2257</v>
      </c>
      <c r="E240" s="21" t="s">
        <v>2258</v>
      </c>
      <c r="F240" s="22" t="s">
        <v>88</v>
      </c>
      <c r="G240" s="22" t="s">
        <v>2315</v>
      </c>
      <c r="H240" s="21" t="s">
        <v>2325</v>
      </c>
      <c r="I240" s="23" t="s">
        <v>91</v>
      </c>
      <c r="J240" s="24" t="s">
        <v>2326</v>
      </c>
      <c r="K240" s="24" t="s">
        <v>2327</v>
      </c>
      <c r="L240" s="24" t="s">
        <v>2328</v>
      </c>
      <c r="M240" s="24" t="s">
        <v>2329</v>
      </c>
      <c r="N240" s="24" t="s">
        <v>2330</v>
      </c>
      <c r="O240" s="24" t="s">
        <v>2331</v>
      </c>
      <c r="P240" s="28"/>
      <c r="Q240" s="28" t="str">
        <f aca="false">"["&amp;안내!$C$5&amp;" "&amp;C240&amp;"] "&amp;J240&amp;" | "&amp;H240</f>
        <v>[1분 성경 #0239] 올라가리이까 | 삼하 2:1-11</v>
      </c>
      <c r="R240" s="23" t="n">
        <f aca="false">INT((A240-1)/안내!$C$9)+1</f>
        <v>48</v>
      </c>
      <c r="S240" s="26" t="n">
        <f aca="false">안내!$C$10+(R240-1)*7+MOD(A240-1,안내!$C$9)</f>
        <v>46723</v>
      </c>
      <c r="T240" s="23" t="s">
        <v>99</v>
      </c>
      <c r="U240" s="23" t="s">
        <v>99</v>
      </c>
      <c r="V240" s="23" t="s">
        <v>99</v>
      </c>
      <c r="W240" s="23" t="s">
        <v>99</v>
      </c>
      <c r="X240" s="28"/>
      <c r="Y240" s="28" t="str">
        <f aca="false">"다음 편: "&amp;J241</f>
        <v>다음 편: 내전과 아브넬</v>
      </c>
    </row>
    <row r="241" customFormat="false" ht="26.85" hidden="false" customHeight="false" outlineLevel="0" collapsed="false">
      <c r="A241" s="20" t="n">
        <v>240</v>
      </c>
      <c r="B241" s="20" t="s">
        <v>2332</v>
      </c>
      <c r="C241" s="20" t="s">
        <v>2333</v>
      </c>
      <c r="D241" s="20" t="s">
        <v>2334</v>
      </c>
      <c r="E241" s="21" t="s">
        <v>2335</v>
      </c>
      <c r="F241" s="22" t="s">
        <v>88</v>
      </c>
      <c r="G241" s="22" t="s">
        <v>2315</v>
      </c>
      <c r="H241" s="21" t="s">
        <v>2336</v>
      </c>
      <c r="I241" s="23" t="s">
        <v>91</v>
      </c>
      <c r="J241" s="24" t="s">
        <v>2337</v>
      </c>
      <c r="K241" s="24" t="s">
        <v>2338</v>
      </c>
      <c r="L241" s="24" t="s">
        <v>2339</v>
      </c>
      <c r="M241" s="24" t="s">
        <v>2340</v>
      </c>
      <c r="N241" s="24" t="s">
        <v>2341</v>
      </c>
      <c r="O241" s="24" t="s">
        <v>2342</v>
      </c>
      <c r="P241" s="25" t="s">
        <v>1937</v>
      </c>
      <c r="Q241" s="28" t="str">
        <f aca="false">"["&amp;안내!$C$5&amp;" "&amp;C241&amp;"] "&amp;J241&amp;" | "&amp;H241</f>
        <v>[1분 성경 #0240] 내전과 아브넬 | 삼하 2:12-3:39</v>
      </c>
      <c r="R241" s="23" t="n">
        <f aca="false">INT((A241-1)/안내!$C$9)+1</f>
        <v>48</v>
      </c>
      <c r="S241" s="26" t="n">
        <f aca="false">안내!$C$10+(R241-1)*7+MOD(A241-1,안내!$C$9)</f>
        <v>46724</v>
      </c>
      <c r="T241" s="23" t="s">
        <v>99</v>
      </c>
      <c r="U241" s="23" t="s">
        <v>99</v>
      </c>
      <c r="V241" s="23" t="s">
        <v>99</v>
      </c>
      <c r="W241" s="23" t="s">
        <v>99</v>
      </c>
      <c r="X241" s="28"/>
      <c r="Y241" s="28" t="str">
        <f aca="false">"다음 편: "&amp;J242</f>
        <v>다음 편: 이스보셋의 죽음</v>
      </c>
    </row>
    <row r="242" customFormat="false" ht="26.85" hidden="false" customHeight="false" outlineLevel="0" collapsed="false">
      <c r="A242" s="20" t="n">
        <v>241</v>
      </c>
      <c r="B242" s="20" t="s">
        <v>2343</v>
      </c>
      <c r="C242" s="20" t="s">
        <v>2344</v>
      </c>
      <c r="D242" s="20" t="s">
        <v>2334</v>
      </c>
      <c r="E242" s="21" t="s">
        <v>2335</v>
      </c>
      <c r="F242" s="22" t="s">
        <v>88</v>
      </c>
      <c r="G242" s="22" t="s">
        <v>2315</v>
      </c>
      <c r="H242" s="21" t="s">
        <v>2345</v>
      </c>
      <c r="I242" s="23" t="s">
        <v>91</v>
      </c>
      <c r="J242" s="24" t="s">
        <v>2346</v>
      </c>
      <c r="K242" s="24" t="s">
        <v>2347</v>
      </c>
      <c r="L242" s="24" t="s">
        <v>2348</v>
      </c>
      <c r="M242" s="24" t="s">
        <v>2349</v>
      </c>
      <c r="N242" s="24" t="s">
        <v>2350</v>
      </c>
      <c r="O242" s="24" t="s">
        <v>2331</v>
      </c>
      <c r="P242" s="25" t="s">
        <v>2351</v>
      </c>
      <c r="Q242" s="28" t="str">
        <f aca="false">"["&amp;안내!$C$5&amp;" "&amp;C242&amp;"] "&amp;J242&amp;" | "&amp;H242</f>
        <v>[1분 성경 #0241] 이스보셋의 죽음 | 삼하 4:1-12</v>
      </c>
      <c r="R242" s="23" t="n">
        <f aca="false">INT((A242-1)/안내!$C$9)+1</f>
        <v>49</v>
      </c>
      <c r="S242" s="26" t="n">
        <f aca="false">안내!$C$10+(R242-1)*7+MOD(A242-1,안내!$C$9)</f>
        <v>46727</v>
      </c>
      <c r="T242" s="23" t="s">
        <v>99</v>
      </c>
      <c r="U242" s="23" t="s">
        <v>99</v>
      </c>
      <c r="V242" s="23" t="s">
        <v>99</v>
      </c>
      <c r="W242" s="23" t="s">
        <v>99</v>
      </c>
      <c r="X242" s="28"/>
      <c r="Y242" s="28" t="str">
        <f aca="false">"다음 편: "&amp;J243</f>
        <v>다음 편: 예루살렘 정복</v>
      </c>
    </row>
    <row r="243" customFormat="false" ht="26.85" hidden="false" customHeight="false" outlineLevel="0" collapsed="false">
      <c r="A243" s="20" t="n">
        <v>242</v>
      </c>
      <c r="B243" s="20" t="s">
        <v>2352</v>
      </c>
      <c r="C243" s="20" t="s">
        <v>2353</v>
      </c>
      <c r="D243" s="20" t="s">
        <v>2334</v>
      </c>
      <c r="E243" s="21" t="s">
        <v>2335</v>
      </c>
      <c r="F243" s="22" t="s">
        <v>88</v>
      </c>
      <c r="G243" s="22" t="s">
        <v>2315</v>
      </c>
      <c r="H243" s="21" t="s">
        <v>2354</v>
      </c>
      <c r="I243" s="23" t="s">
        <v>91</v>
      </c>
      <c r="J243" s="24" t="s">
        <v>2355</v>
      </c>
      <c r="K243" s="24" t="s">
        <v>2356</v>
      </c>
      <c r="L243" s="24" t="s">
        <v>2357</v>
      </c>
      <c r="M243" s="24" t="s">
        <v>2358</v>
      </c>
      <c r="N243" s="24" t="s">
        <v>2359</v>
      </c>
      <c r="O243" s="24" t="s">
        <v>2360</v>
      </c>
      <c r="P243" s="28"/>
      <c r="Q243" s="28" t="str">
        <f aca="false">"["&amp;안내!$C$5&amp;" "&amp;C243&amp;"] "&amp;J243&amp;" | "&amp;H243</f>
        <v>[1분 성경 #0242] 예루살렘 정복 | 삼하 5:1-25</v>
      </c>
      <c r="R243" s="23" t="n">
        <f aca="false">INT((A243-1)/안내!$C$9)+1</f>
        <v>49</v>
      </c>
      <c r="S243" s="26" t="n">
        <f aca="false">안내!$C$10+(R243-1)*7+MOD(A243-1,안내!$C$9)</f>
        <v>46728</v>
      </c>
      <c r="T243" s="23" t="s">
        <v>99</v>
      </c>
      <c r="U243" s="23" t="s">
        <v>99</v>
      </c>
      <c r="V243" s="23" t="s">
        <v>99</v>
      </c>
      <c r="W243" s="23" t="s">
        <v>99</v>
      </c>
      <c r="X243" s="28"/>
      <c r="Y243" s="28" t="str">
        <f aca="false">"다음 편: "&amp;J244</f>
        <v>다음 편: 언약궤 앞에서 춤추다</v>
      </c>
    </row>
    <row r="244" customFormat="false" ht="26.85" hidden="false" customHeight="false" outlineLevel="0" collapsed="false">
      <c r="A244" s="20" t="n">
        <v>243</v>
      </c>
      <c r="B244" s="20" t="s">
        <v>2361</v>
      </c>
      <c r="C244" s="20" t="s">
        <v>2362</v>
      </c>
      <c r="D244" s="20" t="s">
        <v>2334</v>
      </c>
      <c r="E244" s="21" t="s">
        <v>2335</v>
      </c>
      <c r="F244" s="22" t="s">
        <v>88</v>
      </c>
      <c r="G244" s="22" t="s">
        <v>2315</v>
      </c>
      <c r="H244" s="21" t="s">
        <v>2363</v>
      </c>
      <c r="I244" s="23" t="s">
        <v>91</v>
      </c>
      <c r="J244" s="24" t="s">
        <v>2364</v>
      </c>
      <c r="K244" s="24" t="s">
        <v>2365</v>
      </c>
      <c r="L244" s="24" t="s">
        <v>2366</v>
      </c>
      <c r="M244" s="24" t="s">
        <v>2367</v>
      </c>
      <c r="N244" s="24" t="s">
        <v>2368</v>
      </c>
      <c r="O244" s="24" t="s">
        <v>2369</v>
      </c>
      <c r="P244" s="25" t="s">
        <v>2370</v>
      </c>
      <c r="Q244" s="28" t="str">
        <f aca="false">"["&amp;안내!$C$5&amp;" "&amp;C244&amp;"] "&amp;J244&amp;" | "&amp;H244</f>
        <v>[1분 성경 #0243] 언약궤 앞에서 춤추다 | 삼하 6:1-23</v>
      </c>
      <c r="R244" s="23" t="n">
        <f aca="false">INT((A244-1)/안내!$C$9)+1</f>
        <v>49</v>
      </c>
      <c r="S244" s="26" t="n">
        <f aca="false">안내!$C$10+(R244-1)*7+MOD(A244-1,안내!$C$9)</f>
        <v>46729</v>
      </c>
      <c r="T244" s="23" t="s">
        <v>99</v>
      </c>
      <c r="U244" s="23" t="s">
        <v>99</v>
      </c>
      <c r="V244" s="23" t="s">
        <v>99</v>
      </c>
      <c r="W244" s="23" t="s">
        <v>99</v>
      </c>
      <c r="X244" s="28"/>
      <c r="Y244" s="28" t="str">
        <f aca="false">"다음 편: "&amp;J245</f>
        <v>다음 편: 영원한 왕국의 약속</v>
      </c>
    </row>
    <row r="245" customFormat="false" ht="26.85" hidden="false" customHeight="false" outlineLevel="0" collapsed="false">
      <c r="A245" s="20" t="n">
        <v>244</v>
      </c>
      <c r="B245" s="20" t="s">
        <v>2371</v>
      </c>
      <c r="C245" s="20" t="s">
        <v>2372</v>
      </c>
      <c r="D245" s="20" t="s">
        <v>2334</v>
      </c>
      <c r="E245" s="21" t="s">
        <v>2335</v>
      </c>
      <c r="F245" s="22" t="s">
        <v>88</v>
      </c>
      <c r="G245" s="22" t="s">
        <v>2315</v>
      </c>
      <c r="H245" s="21" t="s">
        <v>2373</v>
      </c>
      <c r="I245" s="23" t="s">
        <v>91</v>
      </c>
      <c r="J245" s="24" t="s">
        <v>2374</v>
      </c>
      <c r="K245" s="24" t="s">
        <v>2375</v>
      </c>
      <c r="L245" s="24" t="s">
        <v>2376</v>
      </c>
      <c r="M245" s="24" t="s">
        <v>2377</v>
      </c>
      <c r="N245" s="24" t="s">
        <v>2378</v>
      </c>
      <c r="O245" s="24" t="s">
        <v>2379</v>
      </c>
      <c r="P245" s="25" t="s">
        <v>2380</v>
      </c>
      <c r="Q245" s="28" t="str">
        <f aca="false">"["&amp;안내!$C$5&amp;" "&amp;C245&amp;"] "&amp;J245&amp;" | "&amp;H245</f>
        <v>[1분 성경 #0244] 영원한 왕국의 약속 | 삼하 7:1-29</v>
      </c>
      <c r="R245" s="23" t="n">
        <f aca="false">INT((A245-1)/안내!$C$9)+1</f>
        <v>49</v>
      </c>
      <c r="S245" s="26" t="n">
        <f aca="false">안내!$C$10+(R245-1)*7+MOD(A245-1,안내!$C$9)</f>
        <v>46730</v>
      </c>
      <c r="T245" s="23" t="s">
        <v>99</v>
      </c>
      <c r="U245" s="23" t="s">
        <v>99</v>
      </c>
      <c r="V245" s="23" t="s">
        <v>99</v>
      </c>
      <c r="W245" s="23" t="s">
        <v>99</v>
      </c>
      <c r="X245" s="28"/>
      <c r="Y245" s="28" t="str">
        <f aca="false">"다음 편: "&amp;J246</f>
        <v>다음 편: 다윗의 승리</v>
      </c>
    </row>
    <row r="246" customFormat="false" ht="15" hidden="false" customHeight="false" outlineLevel="0" collapsed="false">
      <c r="A246" s="20" t="n">
        <v>245</v>
      </c>
      <c r="B246" s="20" t="s">
        <v>2381</v>
      </c>
      <c r="C246" s="20" t="s">
        <v>2382</v>
      </c>
      <c r="D246" s="20" t="s">
        <v>2334</v>
      </c>
      <c r="E246" s="21" t="s">
        <v>2335</v>
      </c>
      <c r="F246" s="22" t="s">
        <v>88</v>
      </c>
      <c r="G246" s="22" t="s">
        <v>2315</v>
      </c>
      <c r="H246" s="21" t="s">
        <v>2383</v>
      </c>
      <c r="I246" s="23" t="s">
        <v>91</v>
      </c>
      <c r="J246" s="24" t="s">
        <v>2384</v>
      </c>
      <c r="K246" s="24" t="s">
        <v>2385</v>
      </c>
      <c r="L246" s="24" t="s">
        <v>2386</v>
      </c>
      <c r="M246" s="24" t="s">
        <v>2387</v>
      </c>
      <c r="N246" s="24" t="s">
        <v>2388</v>
      </c>
      <c r="O246" s="24" t="s">
        <v>2389</v>
      </c>
      <c r="P246" s="28"/>
      <c r="Q246" s="28" t="str">
        <f aca="false">"["&amp;안내!$C$5&amp;" "&amp;C246&amp;"] "&amp;J246&amp;" | "&amp;H246</f>
        <v>[1분 성경 #0245] 다윗의 승리 | 삼하 8:1-18</v>
      </c>
      <c r="R246" s="23" t="n">
        <f aca="false">INT((A246-1)/안내!$C$9)+1</f>
        <v>49</v>
      </c>
      <c r="S246" s="26" t="n">
        <f aca="false">안내!$C$10+(R246-1)*7+MOD(A246-1,안내!$C$9)</f>
        <v>46731</v>
      </c>
      <c r="T246" s="23" t="s">
        <v>99</v>
      </c>
      <c r="U246" s="23" t="s">
        <v>99</v>
      </c>
      <c r="V246" s="23" t="s">
        <v>99</v>
      </c>
      <c r="W246" s="23" t="s">
        <v>99</v>
      </c>
      <c r="X246" s="28"/>
      <c r="Y246" s="28" t="str">
        <f aca="false">"다음 편: "&amp;J247</f>
        <v>다음 편: 왕의 식탁</v>
      </c>
    </row>
    <row r="247" customFormat="false" ht="26.85" hidden="false" customHeight="false" outlineLevel="0" collapsed="false">
      <c r="A247" s="20" t="n">
        <v>246</v>
      </c>
      <c r="B247" s="20" t="s">
        <v>2390</v>
      </c>
      <c r="C247" s="20" t="s">
        <v>2391</v>
      </c>
      <c r="D247" s="20" t="s">
        <v>2334</v>
      </c>
      <c r="E247" s="21" t="s">
        <v>2335</v>
      </c>
      <c r="F247" s="22" t="s">
        <v>88</v>
      </c>
      <c r="G247" s="22" t="s">
        <v>2315</v>
      </c>
      <c r="H247" s="21" t="s">
        <v>2392</v>
      </c>
      <c r="I247" s="23" t="s">
        <v>91</v>
      </c>
      <c r="J247" s="24" t="s">
        <v>2393</v>
      </c>
      <c r="K247" s="24" t="s">
        <v>2394</v>
      </c>
      <c r="L247" s="24" t="s">
        <v>2395</v>
      </c>
      <c r="M247" s="24" t="s">
        <v>2396</v>
      </c>
      <c r="N247" s="24" t="s">
        <v>2397</v>
      </c>
      <c r="O247" s="24" t="s">
        <v>2398</v>
      </c>
      <c r="P247" s="25" t="s">
        <v>2399</v>
      </c>
      <c r="Q247" s="28" t="str">
        <f aca="false">"["&amp;안내!$C$5&amp;" "&amp;C247&amp;"] "&amp;J247&amp;" | "&amp;H247</f>
        <v>[1분 성경 #0246] 왕의 식탁 | 삼하 9:1-13</v>
      </c>
      <c r="R247" s="23" t="n">
        <f aca="false">INT((A247-1)/안내!$C$9)+1</f>
        <v>50</v>
      </c>
      <c r="S247" s="26" t="n">
        <f aca="false">안내!$C$10+(R247-1)*7+MOD(A247-1,안내!$C$9)</f>
        <v>46734</v>
      </c>
      <c r="T247" s="23" t="s">
        <v>99</v>
      </c>
      <c r="U247" s="23" t="s">
        <v>99</v>
      </c>
      <c r="V247" s="23" t="s">
        <v>99</v>
      </c>
      <c r="W247" s="23" t="s">
        <v>99</v>
      </c>
      <c r="X247" s="28"/>
      <c r="Y247" s="28" t="str">
        <f aca="false">"다음 편: "&amp;J248</f>
        <v>다음 편: 암몬과의 전쟁</v>
      </c>
    </row>
    <row r="248" customFormat="false" ht="26.85" hidden="false" customHeight="false" outlineLevel="0" collapsed="false">
      <c r="A248" s="20" t="n">
        <v>247</v>
      </c>
      <c r="B248" s="20" t="s">
        <v>2400</v>
      </c>
      <c r="C248" s="20" t="s">
        <v>2401</v>
      </c>
      <c r="D248" s="20" t="s">
        <v>2334</v>
      </c>
      <c r="E248" s="21" t="s">
        <v>2335</v>
      </c>
      <c r="F248" s="22" t="s">
        <v>88</v>
      </c>
      <c r="G248" s="22" t="s">
        <v>2315</v>
      </c>
      <c r="H248" s="21" t="s">
        <v>2402</v>
      </c>
      <c r="I248" s="23" t="s">
        <v>91</v>
      </c>
      <c r="J248" s="24" t="s">
        <v>2403</v>
      </c>
      <c r="K248" s="24" t="s">
        <v>2404</v>
      </c>
      <c r="L248" s="24" t="s">
        <v>2405</v>
      </c>
      <c r="M248" s="24" t="s">
        <v>2406</v>
      </c>
      <c r="N248" s="24" t="s">
        <v>2407</v>
      </c>
      <c r="O248" s="24" t="s">
        <v>2408</v>
      </c>
      <c r="P248" s="28"/>
      <c r="Q248" s="28" t="str">
        <f aca="false">"["&amp;안내!$C$5&amp;" "&amp;C248&amp;"] "&amp;J248&amp;" | "&amp;H248</f>
        <v>[1분 성경 #0247] 암몬과의 전쟁 | 삼하 10:1-19</v>
      </c>
      <c r="R248" s="23" t="n">
        <f aca="false">INT((A248-1)/안내!$C$9)+1</f>
        <v>50</v>
      </c>
      <c r="S248" s="26" t="n">
        <f aca="false">안내!$C$10+(R248-1)*7+MOD(A248-1,안내!$C$9)</f>
        <v>46735</v>
      </c>
      <c r="T248" s="23" t="s">
        <v>99</v>
      </c>
      <c r="U248" s="23" t="s">
        <v>99</v>
      </c>
      <c r="V248" s="23" t="s">
        <v>99</v>
      </c>
      <c r="W248" s="23" t="s">
        <v>99</v>
      </c>
      <c r="X248" s="28"/>
      <c r="Y248" s="28" t="str">
        <f aca="false">"다음 편: "&amp;J249</f>
        <v>다음 편: 왕궁 옥상에서</v>
      </c>
    </row>
    <row r="249" customFormat="false" ht="26.85" hidden="false" customHeight="false" outlineLevel="0" collapsed="false">
      <c r="A249" s="20" t="n">
        <v>248</v>
      </c>
      <c r="B249" s="20" t="s">
        <v>2409</v>
      </c>
      <c r="C249" s="20" t="s">
        <v>2410</v>
      </c>
      <c r="D249" s="20" t="s">
        <v>2411</v>
      </c>
      <c r="E249" s="21" t="s">
        <v>2412</v>
      </c>
      <c r="F249" s="22" t="s">
        <v>88</v>
      </c>
      <c r="G249" s="22" t="s">
        <v>2315</v>
      </c>
      <c r="H249" s="21" t="s">
        <v>2413</v>
      </c>
      <c r="I249" s="23" t="s">
        <v>91</v>
      </c>
      <c r="J249" s="24" t="s">
        <v>2414</v>
      </c>
      <c r="K249" s="24" t="s">
        <v>2415</v>
      </c>
      <c r="L249" s="24" t="s">
        <v>2416</v>
      </c>
      <c r="M249" s="24" t="s">
        <v>2417</v>
      </c>
      <c r="N249" s="24" t="s">
        <v>2418</v>
      </c>
      <c r="O249" s="24" t="s">
        <v>2419</v>
      </c>
      <c r="P249" s="25" t="s">
        <v>2420</v>
      </c>
      <c r="Q249" s="28" t="str">
        <f aca="false">"["&amp;안내!$C$5&amp;" "&amp;C249&amp;"] "&amp;J249&amp;" | "&amp;H249</f>
        <v>[1분 성경 #0248] 왕궁 옥상에서 | 삼하 11:1-27</v>
      </c>
      <c r="R249" s="23" t="n">
        <f aca="false">INT((A249-1)/안내!$C$9)+1</f>
        <v>50</v>
      </c>
      <c r="S249" s="26" t="n">
        <f aca="false">안내!$C$10+(R249-1)*7+MOD(A249-1,안내!$C$9)</f>
        <v>46736</v>
      </c>
      <c r="T249" s="23" t="s">
        <v>99</v>
      </c>
      <c r="U249" s="23" t="s">
        <v>99</v>
      </c>
      <c r="V249" s="23" t="s">
        <v>99</v>
      </c>
      <c r="W249" s="23" t="s">
        <v>99</v>
      </c>
      <c r="X249" s="28"/>
      <c r="Y249" s="28" t="str">
        <f aca="false">"다음 편: "&amp;J250</f>
        <v>다음 편: 당신이 그 사람이라</v>
      </c>
    </row>
    <row r="250" customFormat="false" ht="26.85" hidden="false" customHeight="false" outlineLevel="0" collapsed="false">
      <c r="A250" s="20" t="n">
        <v>249</v>
      </c>
      <c r="B250" s="20" t="s">
        <v>2421</v>
      </c>
      <c r="C250" s="20" t="s">
        <v>2422</v>
      </c>
      <c r="D250" s="20" t="s">
        <v>2411</v>
      </c>
      <c r="E250" s="21" t="s">
        <v>2412</v>
      </c>
      <c r="F250" s="22" t="s">
        <v>88</v>
      </c>
      <c r="G250" s="22" t="s">
        <v>2315</v>
      </c>
      <c r="H250" s="21" t="s">
        <v>2423</v>
      </c>
      <c r="I250" s="23" t="s">
        <v>91</v>
      </c>
      <c r="J250" s="24" t="s">
        <v>2424</v>
      </c>
      <c r="K250" s="24" t="s">
        <v>2425</v>
      </c>
      <c r="L250" s="24" t="s">
        <v>2426</v>
      </c>
      <c r="M250" s="24" t="s">
        <v>2427</v>
      </c>
      <c r="N250" s="24" t="s">
        <v>2428</v>
      </c>
      <c r="O250" s="24" t="s">
        <v>2379</v>
      </c>
      <c r="P250" s="25" t="s">
        <v>2429</v>
      </c>
      <c r="Q250" s="28" t="str">
        <f aca="false">"["&amp;안내!$C$5&amp;" "&amp;C250&amp;"] "&amp;J250&amp;" | "&amp;H250</f>
        <v>[1분 성경 #0249] 당신이 그 사람이라 | 삼하 12:1-25</v>
      </c>
      <c r="R250" s="23" t="n">
        <f aca="false">INT((A250-1)/안내!$C$9)+1</f>
        <v>50</v>
      </c>
      <c r="S250" s="26" t="n">
        <f aca="false">안내!$C$10+(R250-1)*7+MOD(A250-1,안내!$C$9)</f>
        <v>46737</v>
      </c>
      <c r="T250" s="23" t="s">
        <v>99</v>
      </c>
      <c r="U250" s="23" t="s">
        <v>99</v>
      </c>
      <c r="V250" s="23" t="s">
        <v>99</v>
      </c>
      <c r="W250" s="23" t="s">
        <v>99</v>
      </c>
      <c r="X250" s="28"/>
      <c r="Y250" s="28" t="str">
        <f aca="false">"다음 편: "&amp;J251</f>
        <v>다음 편: 무너진 가정</v>
      </c>
    </row>
    <row r="251" customFormat="false" ht="26.85" hidden="false" customHeight="false" outlineLevel="0" collapsed="false">
      <c r="A251" s="20" t="n">
        <v>250</v>
      </c>
      <c r="B251" s="20" t="s">
        <v>2430</v>
      </c>
      <c r="C251" s="20" t="s">
        <v>2431</v>
      </c>
      <c r="D251" s="20" t="s">
        <v>2411</v>
      </c>
      <c r="E251" s="21" t="s">
        <v>2412</v>
      </c>
      <c r="F251" s="22" t="s">
        <v>88</v>
      </c>
      <c r="G251" s="22" t="s">
        <v>2315</v>
      </c>
      <c r="H251" s="21" t="s">
        <v>2432</v>
      </c>
      <c r="I251" s="23" t="s">
        <v>91</v>
      </c>
      <c r="J251" s="24" t="s">
        <v>2433</v>
      </c>
      <c r="K251" s="24" t="s">
        <v>2434</v>
      </c>
      <c r="L251" s="24" t="s">
        <v>2435</v>
      </c>
      <c r="M251" s="24" t="s">
        <v>2436</v>
      </c>
      <c r="N251" s="24" t="s">
        <v>2437</v>
      </c>
      <c r="O251" s="24" t="s">
        <v>2379</v>
      </c>
      <c r="P251" s="25" t="s">
        <v>2438</v>
      </c>
      <c r="Q251" s="28" t="str">
        <f aca="false">"["&amp;안내!$C$5&amp;" "&amp;C251&amp;"] "&amp;J251&amp;" | "&amp;H251</f>
        <v>[1분 성경 #0250] 무너진 가정 | 삼하 13:1-39</v>
      </c>
      <c r="R251" s="23" t="n">
        <f aca="false">INT((A251-1)/안내!$C$9)+1</f>
        <v>50</v>
      </c>
      <c r="S251" s="26" t="n">
        <f aca="false">안내!$C$10+(R251-1)*7+MOD(A251-1,안내!$C$9)</f>
        <v>46738</v>
      </c>
      <c r="T251" s="23" t="s">
        <v>99</v>
      </c>
      <c r="U251" s="23" t="s">
        <v>99</v>
      </c>
      <c r="V251" s="23" t="s">
        <v>99</v>
      </c>
      <c r="W251" s="23" t="s">
        <v>99</v>
      </c>
      <c r="X251" s="28"/>
      <c r="Y251" s="28" t="str">
        <f aca="false">"다음 편: "&amp;J252</f>
        <v>다음 편: 돌아온 압살롬</v>
      </c>
    </row>
    <row r="252" customFormat="false" ht="26.85" hidden="false" customHeight="false" outlineLevel="0" collapsed="false">
      <c r="A252" s="20" t="n">
        <v>251</v>
      </c>
      <c r="B252" s="20" t="s">
        <v>2439</v>
      </c>
      <c r="C252" s="20" t="s">
        <v>2440</v>
      </c>
      <c r="D252" s="20" t="s">
        <v>2411</v>
      </c>
      <c r="E252" s="21" t="s">
        <v>2412</v>
      </c>
      <c r="F252" s="22" t="s">
        <v>88</v>
      </c>
      <c r="G252" s="22" t="s">
        <v>2315</v>
      </c>
      <c r="H252" s="21" t="s">
        <v>2441</v>
      </c>
      <c r="I252" s="23" t="s">
        <v>91</v>
      </c>
      <c r="J252" s="24" t="s">
        <v>2442</v>
      </c>
      <c r="K252" s="24" t="s">
        <v>2443</v>
      </c>
      <c r="L252" s="24" t="s">
        <v>2444</v>
      </c>
      <c r="M252" s="24" t="s">
        <v>2445</v>
      </c>
      <c r="N252" s="24" t="s">
        <v>2446</v>
      </c>
      <c r="O252" s="24" t="s">
        <v>2447</v>
      </c>
      <c r="P252" s="28"/>
      <c r="Q252" s="28" t="str">
        <f aca="false">"["&amp;안내!$C$5&amp;" "&amp;C252&amp;"] "&amp;J252&amp;" | "&amp;H252</f>
        <v>[1분 성경 #0251] 돌아온 압살롬 | 삼하 14:1-33</v>
      </c>
      <c r="R252" s="23" t="n">
        <f aca="false">INT((A252-1)/안내!$C$9)+1</f>
        <v>51</v>
      </c>
      <c r="S252" s="26" t="n">
        <f aca="false">안내!$C$10+(R252-1)*7+MOD(A252-1,안내!$C$9)</f>
        <v>46741</v>
      </c>
      <c r="T252" s="23" t="s">
        <v>99</v>
      </c>
      <c r="U252" s="23" t="s">
        <v>99</v>
      </c>
      <c r="V252" s="23" t="s">
        <v>99</v>
      </c>
      <c r="W252" s="23" t="s">
        <v>99</v>
      </c>
      <c r="X252" s="28"/>
      <c r="Y252" s="28" t="str">
        <f aca="false">"다음 편: "&amp;J253</f>
        <v>다음 편: 맨발로 울며 떠난 왕</v>
      </c>
    </row>
    <row r="253" customFormat="false" ht="25.35" hidden="false" customHeight="false" outlineLevel="0" collapsed="false">
      <c r="A253" s="20" t="n">
        <v>252</v>
      </c>
      <c r="B253" s="20" t="s">
        <v>2448</v>
      </c>
      <c r="C253" s="20" t="s">
        <v>2449</v>
      </c>
      <c r="D253" s="20" t="s">
        <v>2411</v>
      </c>
      <c r="E253" s="21" t="s">
        <v>2412</v>
      </c>
      <c r="F253" s="22" t="s">
        <v>88</v>
      </c>
      <c r="G253" s="22" t="s">
        <v>2315</v>
      </c>
      <c r="H253" s="21" t="s">
        <v>2450</v>
      </c>
      <c r="I253" s="23" t="s">
        <v>91</v>
      </c>
      <c r="J253" s="24" t="s">
        <v>2451</v>
      </c>
      <c r="K253" s="24" t="s">
        <v>2452</v>
      </c>
      <c r="L253" s="24" t="s">
        <v>2453</v>
      </c>
      <c r="M253" s="24" t="s">
        <v>2454</v>
      </c>
      <c r="N253" s="24" t="s">
        <v>2455</v>
      </c>
      <c r="O253" s="24" t="s">
        <v>2456</v>
      </c>
      <c r="P253" s="28"/>
      <c r="Q253" s="28" t="str">
        <f aca="false">"["&amp;안내!$C$5&amp;" "&amp;C253&amp;"] "&amp;J253&amp;" | "&amp;H253</f>
        <v>[1분 성경 #0252] 맨발로 울며 떠난 왕 | 삼하 15:1-37</v>
      </c>
      <c r="R253" s="23" t="n">
        <f aca="false">INT((A253-1)/안내!$C$9)+1</f>
        <v>51</v>
      </c>
      <c r="S253" s="26" t="n">
        <f aca="false">안내!$C$10+(R253-1)*7+MOD(A253-1,안내!$C$9)</f>
        <v>46742</v>
      </c>
      <c r="T253" s="23" t="s">
        <v>99</v>
      </c>
      <c r="U253" s="23" t="s">
        <v>99</v>
      </c>
      <c r="V253" s="23" t="s">
        <v>99</v>
      </c>
      <c r="W253" s="23" t="s">
        <v>99</v>
      </c>
      <c r="X253" s="28"/>
      <c r="Y253" s="28" t="str">
        <f aca="false">"다음 편: "&amp;J254</f>
        <v>다음 편: 저주를 참은 왕</v>
      </c>
    </row>
    <row r="254" customFormat="false" ht="26.85" hidden="false" customHeight="false" outlineLevel="0" collapsed="false">
      <c r="A254" s="20" t="n">
        <v>253</v>
      </c>
      <c r="B254" s="20" t="s">
        <v>2457</v>
      </c>
      <c r="C254" s="20" t="s">
        <v>2458</v>
      </c>
      <c r="D254" s="20" t="s">
        <v>2411</v>
      </c>
      <c r="E254" s="21" t="s">
        <v>2412</v>
      </c>
      <c r="F254" s="22" t="s">
        <v>88</v>
      </c>
      <c r="G254" s="22" t="s">
        <v>2315</v>
      </c>
      <c r="H254" s="21" t="s">
        <v>2459</v>
      </c>
      <c r="I254" s="23" t="s">
        <v>91</v>
      </c>
      <c r="J254" s="24" t="s">
        <v>2460</v>
      </c>
      <c r="K254" s="24" t="s">
        <v>2461</v>
      </c>
      <c r="L254" s="24" t="s">
        <v>2462</v>
      </c>
      <c r="M254" s="24" t="s">
        <v>2463</v>
      </c>
      <c r="N254" s="24" t="s">
        <v>2464</v>
      </c>
      <c r="O254" s="24" t="s">
        <v>2465</v>
      </c>
      <c r="P254" s="28"/>
      <c r="Q254" s="28" t="str">
        <f aca="false">"["&amp;안내!$C$5&amp;" "&amp;C254&amp;"] "&amp;J254&amp;" | "&amp;H254</f>
        <v>[1분 성경 #0253] 저주를 참은 왕 | 삼하 16:1-23</v>
      </c>
      <c r="R254" s="23" t="n">
        <f aca="false">INT((A254-1)/안내!$C$9)+1</f>
        <v>51</v>
      </c>
      <c r="S254" s="26" t="n">
        <f aca="false">안내!$C$10+(R254-1)*7+MOD(A254-1,안내!$C$9)</f>
        <v>46743</v>
      </c>
      <c r="T254" s="23" t="s">
        <v>99</v>
      </c>
      <c r="U254" s="23" t="s">
        <v>99</v>
      </c>
      <c r="V254" s="23" t="s">
        <v>99</v>
      </c>
      <c r="W254" s="23" t="s">
        <v>99</v>
      </c>
      <c r="X254" s="28"/>
      <c r="Y254" s="28" t="str">
        <f aca="false">"다음 편: "&amp;J255</f>
        <v>다음 편: 무너진 계략</v>
      </c>
    </row>
    <row r="255" customFormat="false" ht="15" hidden="false" customHeight="false" outlineLevel="0" collapsed="false">
      <c r="A255" s="20" t="n">
        <v>254</v>
      </c>
      <c r="B255" s="20" t="s">
        <v>2466</v>
      </c>
      <c r="C255" s="20" t="s">
        <v>2467</v>
      </c>
      <c r="D255" s="20" t="s">
        <v>2411</v>
      </c>
      <c r="E255" s="21" t="s">
        <v>2412</v>
      </c>
      <c r="F255" s="22" t="s">
        <v>88</v>
      </c>
      <c r="G255" s="22" t="s">
        <v>2315</v>
      </c>
      <c r="H255" s="21" t="s">
        <v>2468</v>
      </c>
      <c r="I255" s="23" t="s">
        <v>91</v>
      </c>
      <c r="J255" s="24" t="s">
        <v>2469</v>
      </c>
      <c r="K255" s="24" t="s">
        <v>2470</v>
      </c>
      <c r="L255" s="24" t="s">
        <v>2471</v>
      </c>
      <c r="M255" s="24" t="s">
        <v>2472</v>
      </c>
      <c r="N255" s="24" t="s">
        <v>2473</v>
      </c>
      <c r="O255" s="24" t="s">
        <v>2474</v>
      </c>
      <c r="P255" s="25" t="s">
        <v>2475</v>
      </c>
      <c r="Q255" s="28" t="str">
        <f aca="false">"["&amp;안내!$C$5&amp;" "&amp;C255&amp;"] "&amp;J255&amp;" | "&amp;H255</f>
        <v>[1분 성경 #0254] 무너진 계략 | 삼하 17:1-29</v>
      </c>
      <c r="R255" s="23" t="n">
        <f aca="false">INT((A255-1)/안내!$C$9)+1</f>
        <v>51</v>
      </c>
      <c r="S255" s="26" t="n">
        <f aca="false">안내!$C$10+(R255-1)*7+MOD(A255-1,안내!$C$9)</f>
        <v>46744</v>
      </c>
      <c r="T255" s="23" t="s">
        <v>99</v>
      </c>
      <c r="U255" s="23" t="s">
        <v>99</v>
      </c>
      <c r="V255" s="23" t="s">
        <v>99</v>
      </c>
      <c r="W255" s="23" t="s">
        <v>99</v>
      </c>
      <c r="X255" s="28"/>
      <c r="Y255" s="28" t="str">
        <f aca="false">"다음 편: "&amp;J256</f>
        <v>다음 편: 내 아들 압살롬아</v>
      </c>
    </row>
    <row r="256" customFormat="false" ht="26.85" hidden="false" customHeight="false" outlineLevel="0" collapsed="false">
      <c r="A256" s="20" t="n">
        <v>255</v>
      </c>
      <c r="B256" s="20" t="s">
        <v>2476</v>
      </c>
      <c r="C256" s="20" t="s">
        <v>2477</v>
      </c>
      <c r="D256" s="20" t="s">
        <v>2411</v>
      </c>
      <c r="E256" s="21" t="s">
        <v>2412</v>
      </c>
      <c r="F256" s="22" t="s">
        <v>88</v>
      </c>
      <c r="G256" s="22" t="s">
        <v>2315</v>
      </c>
      <c r="H256" s="21" t="s">
        <v>2478</v>
      </c>
      <c r="I256" s="23" t="s">
        <v>91</v>
      </c>
      <c r="J256" s="24" t="s">
        <v>2479</v>
      </c>
      <c r="K256" s="24" t="s">
        <v>2480</v>
      </c>
      <c r="L256" s="24" t="s">
        <v>2481</v>
      </c>
      <c r="M256" s="24" t="s">
        <v>2482</v>
      </c>
      <c r="N256" s="24" t="s">
        <v>2483</v>
      </c>
      <c r="O256" s="24" t="s">
        <v>2484</v>
      </c>
      <c r="P256" s="25" t="s">
        <v>2485</v>
      </c>
      <c r="Q256" s="28" t="str">
        <f aca="false">"["&amp;안내!$C$5&amp;" "&amp;C256&amp;"] "&amp;J256&amp;" | "&amp;H256</f>
        <v>[1분 성경 #0255] 내 아들 압살롬아 | 삼하 18:1-33</v>
      </c>
      <c r="R256" s="23" t="n">
        <f aca="false">INT((A256-1)/안내!$C$9)+1</f>
        <v>51</v>
      </c>
      <c r="S256" s="26" t="n">
        <f aca="false">안내!$C$10+(R256-1)*7+MOD(A256-1,안내!$C$9)</f>
        <v>46745</v>
      </c>
      <c r="T256" s="23" t="s">
        <v>99</v>
      </c>
      <c r="U256" s="23" t="s">
        <v>99</v>
      </c>
      <c r="V256" s="23" t="s">
        <v>99</v>
      </c>
      <c r="W256" s="23" t="s">
        <v>99</v>
      </c>
      <c r="X256" s="28"/>
      <c r="Y256" s="28" t="str">
        <f aca="false">"다음 편: "&amp;J257</f>
        <v>다음 편: 돌아온 왕, 흔들리는 나라</v>
      </c>
    </row>
    <row r="257" customFormat="false" ht="26.85" hidden="false" customHeight="false" outlineLevel="0" collapsed="false">
      <c r="A257" s="20" t="n">
        <v>256</v>
      </c>
      <c r="B257" s="20" t="s">
        <v>2486</v>
      </c>
      <c r="C257" s="20" t="s">
        <v>2487</v>
      </c>
      <c r="D257" s="20" t="s">
        <v>2411</v>
      </c>
      <c r="E257" s="21" t="s">
        <v>2412</v>
      </c>
      <c r="F257" s="22" t="s">
        <v>88</v>
      </c>
      <c r="G257" s="22" t="s">
        <v>2315</v>
      </c>
      <c r="H257" s="21" t="s">
        <v>2488</v>
      </c>
      <c r="I257" s="23" t="s">
        <v>91</v>
      </c>
      <c r="J257" s="24" t="s">
        <v>2489</v>
      </c>
      <c r="K257" s="24" t="s">
        <v>2490</v>
      </c>
      <c r="L257" s="24" t="s">
        <v>2491</v>
      </c>
      <c r="M257" s="24" t="s">
        <v>2492</v>
      </c>
      <c r="N257" s="24" t="s">
        <v>2493</v>
      </c>
      <c r="O257" s="24" t="s">
        <v>2494</v>
      </c>
      <c r="P257" s="28"/>
      <c r="Q257" s="28" t="str">
        <f aca="false">"["&amp;안내!$C$5&amp;" "&amp;C257&amp;"] "&amp;J257&amp;" | "&amp;H257</f>
        <v>[1분 성경 #0256] 돌아온 왕, 흔들리는 나라 | 삼하 19:1-20:26</v>
      </c>
      <c r="R257" s="23" t="n">
        <f aca="false">INT((A257-1)/안내!$C$9)+1</f>
        <v>52</v>
      </c>
      <c r="S257" s="26" t="n">
        <f aca="false">안내!$C$10+(R257-1)*7+MOD(A257-1,안내!$C$9)</f>
        <v>46748</v>
      </c>
      <c r="T257" s="23" t="s">
        <v>99</v>
      </c>
      <c r="U257" s="23" t="s">
        <v>99</v>
      </c>
      <c r="V257" s="23" t="s">
        <v>99</v>
      </c>
      <c r="W257" s="23" t="s">
        <v>99</v>
      </c>
      <c r="X257" s="28"/>
      <c r="Y257" s="28" t="str">
        <f aca="false">"다음 편: "&amp;J258</f>
        <v>다음 편: 다윗의 감사 노래</v>
      </c>
    </row>
    <row r="258" customFormat="false" ht="26.85" hidden="false" customHeight="false" outlineLevel="0" collapsed="false">
      <c r="A258" s="20" t="n">
        <v>257</v>
      </c>
      <c r="B258" s="20" t="s">
        <v>2495</v>
      </c>
      <c r="C258" s="20" t="s">
        <v>2496</v>
      </c>
      <c r="D258" s="20" t="s">
        <v>2411</v>
      </c>
      <c r="E258" s="21" t="s">
        <v>2412</v>
      </c>
      <c r="F258" s="22" t="s">
        <v>88</v>
      </c>
      <c r="G258" s="22" t="s">
        <v>2315</v>
      </c>
      <c r="H258" s="21" t="s">
        <v>2497</v>
      </c>
      <c r="I258" s="23" t="s">
        <v>91</v>
      </c>
      <c r="J258" s="24" t="s">
        <v>2498</v>
      </c>
      <c r="K258" s="24" t="s">
        <v>2499</v>
      </c>
      <c r="L258" s="24" t="s">
        <v>2500</v>
      </c>
      <c r="M258" s="24" t="s">
        <v>2501</v>
      </c>
      <c r="N258" s="24" t="s">
        <v>2502</v>
      </c>
      <c r="O258" s="24" t="s">
        <v>2447</v>
      </c>
      <c r="P258" s="27" t="s">
        <v>2503</v>
      </c>
      <c r="Q258" s="28" t="str">
        <f aca="false">"["&amp;안내!$C$5&amp;" "&amp;C258&amp;"] "&amp;J258&amp;" | "&amp;H258</f>
        <v>[1분 성경 #0257] 다윗의 감사 노래 | 삼하 21:1-22:51</v>
      </c>
      <c r="R258" s="23" t="n">
        <f aca="false">INT((A258-1)/안내!$C$9)+1</f>
        <v>52</v>
      </c>
      <c r="S258" s="26" t="n">
        <f aca="false">안내!$C$10+(R258-1)*7+MOD(A258-1,안내!$C$9)</f>
        <v>46749</v>
      </c>
      <c r="T258" s="23" t="s">
        <v>99</v>
      </c>
      <c r="U258" s="23" t="s">
        <v>99</v>
      </c>
      <c r="V258" s="23" t="s">
        <v>99</v>
      </c>
      <c r="W258" s="23" t="s">
        <v>99</v>
      </c>
      <c r="X258" s="28"/>
      <c r="Y258" s="28" t="str">
        <f aca="false">"다음 편: "&amp;J259</f>
        <v>다음 편: 값없이 드리지 않겠다</v>
      </c>
    </row>
    <row r="259" customFormat="false" ht="26.85" hidden="false" customHeight="false" outlineLevel="0" collapsed="false">
      <c r="A259" s="20" t="n">
        <v>258</v>
      </c>
      <c r="B259" s="20" t="s">
        <v>2504</v>
      </c>
      <c r="C259" s="20" t="s">
        <v>2505</v>
      </c>
      <c r="D259" s="20" t="s">
        <v>2411</v>
      </c>
      <c r="E259" s="21" t="s">
        <v>2412</v>
      </c>
      <c r="F259" s="22" t="s">
        <v>88</v>
      </c>
      <c r="G259" s="22" t="s">
        <v>2315</v>
      </c>
      <c r="H259" s="21" t="s">
        <v>2506</v>
      </c>
      <c r="I259" s="23" t="s">
        <v>91</v>
      </c>
      <c r="J259" s="24" t="s">
        <v>2507</v>
      </c>
      <c r="K259" s="24" t="s">
        <v>2508</v>
      </c>
      <c r="L259" s="24" t="s">
        <v>2509</v>
      </c>
      <c r="M259" s="24" t="s">
        <v>2510</v>
      </c>
      <c r="N259" s="24" t="s">
        <v>2511</v>
      </c>
      <c r="O259" s="24" t="s">
        <v>2512</v>
      </c>
      <c r="P259" s="25" t="s">
        <v>2513</v>
      </c>
      <c r="Q259" s="28" t="str">
        <f aca="false">"["&amp;안내!$C$5&amp;" "&amp;C259&amp;"] "&amp;J259&amp;" | "&amp;H259</f>
        <v>[1분 성경 #0258] 값없이 드리지 않겠다 | 삼하 23:1-24:25</v>
      </c>
      <c r="R259" s="23" t="n">
        <f aca="false">INT((A259-1)/안내!$C$9)+1</f>
        <v>52</v>
      </c>
      <c r="S259" s="26" t="n">
        <f aca="false">안내!$C$10+(R259-1)*7+MOD(A259-1,안내!$C$9)</f>
        <v>46750</v>
      </c>
      <c r="T259" s="23" t="s">
        <v>99</v>
      </c>
      <c r="U259" s="23" t="s">
        <v>99</v>
      </c>
      <c r="V259" s="23" t="s">
        <v>99</v>
      </c>
      <c r="W259" s="23" t="s">
        <v>99</v>
      </c>
      <c r="X259" s="28"/>
      <c r="Y259" s="28" t="str">
        <f aca="false">"다음 편: "&amp;J260</f>
        <v>다음 편: 누가 왕이 될까?</v>
      </c>
    </row>
    <row r="260" customFormat="false" ht="26.85" hidden="false" customHeight="false" outlineLevel="0" collapsed="false">
      <c r="A260" s="20" t="n">
        <v>259</v>
      </c>
      <c r="B260" s="20" t="s">
        <v>2514</v>
      </c>
      <c r="C260" s="20" t="s">
        <v>2515</v>
      </c>
      <c r="D260" s="20" t="s">
        <v>2516</v>
      </c>
      <c r="E260" s="21" t="s">
        <v>2517</v>
      </c>
      <c r="F260" s="22" t="s">
        <v>88</v>
      </c>
      <c r="G260" s="22" t="s">
        <v>2518</v>
      </c>
      <c r="H260" s="21" t="s">
        <v>2519</v>
      </c>
      <c r="I260" s="23" t="s">
        <v>91</v>
      </c>
      <c r="J260" s="24" t="s">
        <v>2520</v>
      </c>
      <c r="K260" s="24" t="s">
        <v>2521</v>
      </c>
      <c r="L260" s="24" t="s">
        <v>2522</v>
      </c>
      <c r="M260" s="24" t="s">
        <v>2523</v>
      </c>
      <c r="N260" s="24" t="s">
        <v>2524</v>
      </c>
      <c r="O260" s="24" t="s">
        <v>2525</v>
      </c>
      <c r="P260" s="28"/>
      <c r="Q260" s="28" t="str">
        <f aca="false">"["&amp;안내!$C$5&amp;" "&amp;C260&amp;"] "&amp;J260&amp;" | "&amp;H260</f>
        <v>[1분 성경 #0259] 누가 왕이 될까? | 왕상 1:1-53</v>
      </c>
      <c r="R260" s="23" t="n">
        <f aca="false">INT((A260-1)/안내!$C$9)+1</f>
        <v>52</v>
      </c>
      <c r="S260" s="26" t="n">
        <f aca="false">안내!$C$10+(R260-1)*7+MOD(A260-1,안내!$C$9)</f>
        <v>46751</v>
      </c>
      <c r="T260" s="23" t="s">
        <v>99</v>
      </c>
      <c r="U260" s="23" t="s">
        <v>99</v>
      </c>
      <c r="V260" s="23" t="s">
        <v>99</v>
      </c>
      <c r="W260" s="23" t="s">
        <v>99</v>
      </c>
      <c r="X260" s="28"/>
      <c r="Y260" s="28" t="str">
        <f aca="false">"다음 편: "&amp;J261</f>
        <v>다음 편: 다윗의 유언</v>
      </c>
    </row>
    <row r="261" customFormat="false" ht="26.85" hidden="false" customHeight="false" outlineLevel="0" collapsed="false">
      <c r="A261" s="20" t="n">
        <v>260</v>
      </c>
      <c r="B261" s="20" t="s">
        <v>2526</v>
      </c>
      <c r="C261" s="20" t="s">
        <v>2527</v>
      </c>
      <c r="D261" s="20" t="s">
        <v>2516</v>
      </c>
      <c r="E261" s="21" t="s">
        <v>2517</v>
      </c>
      <c r="F261" s="22" t="s">
        <v>88</v>
      </c>
      <c r="G261" s="22" t="s">
        <v>2518</v>
      </c>
      <c r="H261" s="21" t="s">
        <v>2528</v>
      </c>
      <c r="I261" s="23" t="s">
        <v>91</v>
      </c>
      <c r="J261" s="24" t="s">
        <v>2529</v>
      </c>
      <c r="K261" s="24" t="s">
        <v>2530</v>
      </c>
      <c r="L261" s="24" t="s">
        <v>2531</v>
      </c>
      <c r="M261" s="24" t="s">
        <v>2532</v>
      </c>
      <c r="N261" s="24" t="s">
        <v>2533</v>
      </c>
      <c r="O261" s="24" t="s">
        <v>2534</v>
      </c>
      <c r="P261" s="25" t="s">
        <v>709</v>
      </c>
      <c r="Q261" s="28" t="str">
        <f aca="false">"["&amp;안내!$C$5&amp;" "&amp;C261&amp;"] "&amp;J261&amp;" | "&amp;H261</f>
        <v>[1분 성경 #0260] 다윗의 유언 | 왕상 2:1-46</v>
      </c>
      <c r="R261" s="23" t="n">
        <f aca="false">INT((A261-1)/안내!$C$9)+1</f>
        <v>52</v>
      </c>
      <c r="S261" s="26" t="n">
        <f aca="false">안내!$C$10+(R261-1)*7+MOD(A261-1,안내!$C$9)</f>
        <v>46752</v>
      </c>
      <c r="T261" s="23" t="s">
        <v>99</v>
      </c>
      <c r="U261" s="23" t="s">
        <v>99</v>
      </c>
      <c r="V261" s="23" t="s">
        <v>99</v>
      </c>
      <c r="W261" s="23" t="s">
        <v>99</v>
      </c>
      <c r="X261" s="28"/>
      <c r="Y261" s="28" t="str">
        <f aca="false">"다음 편: "&amp;J262</f>
        <v>다음 편: 무엇을 줄까 너는 구하라</v>
      </c>
    </row>
    <row r="262" customFormat="false" ht="26.85" hidden="false" customHeight="false" outlineLevel="0" collapsed="false">
      <c r="A262" s="20" t="n">
        <v>261</v>
      </c>
      <c r="B262" s="20" t="s">
        <v>2535</v>
      </c>
      <c r="C262" s="20" t="s">
        <v>2536</v>
      </c>
      <c r="D262" s="20" t="s">
        <v>2516</v>
      </c>
      <c r="E262" s="21" t="s">
        <v>2517</v>
      </c>
      <c r="F262" s="22" t="s">
        <v>88</v>
      </c>
      <c r="G262" s="22" t="s">
        <v>2518</v>
      </c>
      <c r="H262" s="21" t="s">
        <v>2537</v>
      </c>
      <c r="I262" s="23" t="s">
        <v>91</v>
      </c>
      <c r="J262" s="24" t="s">
        <v>2538</v>
      </c>
      <c r="K262" s="24" t="s">
        <v>2539</v>
      </c>
      <c r="L262" s="24" t="s">
        <v>2540</v>
      </c>
      <c r="M262" s="24" t="s">
        <v>2541</v>
      </c>
      <c r="N262" s="24" t="s">
        <v>2542</v>
      </c>
      <c r="O262" s="24" t="s">
        <v>2543</v>
      </c>
      <c r="P262" s="28"/>
      <c r="Q262" s="28" t="str">
        <f aca="false">"["&amp;안내!$C$5&amp;" "&amp;C262&amp;"] "&amp;J262&amp;" | "&amp;H262</f>
        <v>[1분 성경 #0261] 무엇을 줄까 너는 구하라 | 왕상 3:1-15</v>
      </c>
      <c r="R262" s="23" t="n">
        <f aca="false">INT((A262-1)/안내!$C$9)+1</f>
        <v>53</v>
      </c>
      <c r="S262" s="26" t="n">
        <f aca="false">안내!$C$10+(R262-1)*7+MOD(A262-1,안내!$C$9)</f>
        <v>46755</v>
      </c>
      <c r="T262" s="23" t="s">
        <v>99</v>
      </c>
      <c r="U262" s="23" t="s">
        <v>99</v>
      </c>
      <c r="V262" s="23" t="s">
        <v>99</v>
      </c>
      <c r="W262" s="23" t="s">
        <v>99</v>
      </c>
      <c r="X262" s="28"/>
      <c r="Y262" s="28" t="str">
        <f aca="false">"다음 편: "&amp;J263</f>
        <v>다음 편: 두 엄마와 한 아기</v>
      </c>
    </row>
    <row r="263" customFormat="false" ht="26.85" hidden="false" customHeight="false" outlineLevel="0" collapsed="false">
      <c r="A263" s="20" t="n">
        <v>262</v>
      </c>
      <c r="B263" s="20" t="s">
        <v>2544</v>
      </c>
      <c r="C263" s="20" t="s">
        <v>2545</v>
      </c>
      <c r="D263" s="20" t="s">
        <v>2516</v>
      </c>
      <c r="E263" s="21" t="s">
        <v>2517</v>
      </c>
      <c r="F263" s="22" t="s">
        <v>88</v>
      </c>
      <c r="G263" s="22" t="s">
        <v>2518</v>
      </c>
      <c r="H263" s="21" t="s">
        <v>2546</v>
      </c>
      <c r="I263" s="23" t="s">
        <v>91</v>
      </c>
      <c r="J263" s="24" t="s">
        <v>2547</v>
      </c>
      <c r="K263" s="24" t="s">
        <v>2548</v>
      </c>
      <c r="L263" s="24" t="s">
        <v>2549</v>
      </c>
      <c r="M263" s="24" t="s">
        <v>2550</v>
      </c>
      <c r="N263" s="24" t="s">
        <v>2551</v>
      </c>
      <c r="O263" s="24" t="s">
        <v>2552</v>
      </c>
      <c r="P263" s="25" t="s">
        <v>2553</v>
      </c>
      <c r="Q263" s="28" t="str">
        <f aca="false">"["&amp;안내!$C$5&amp;" "&amp;C263&amp;"] "&amp;J263&amp;" | "&amp;H263</f>
        <v>[1분 성경 #0262] 두 엄마와 한 아기 | 왕상 3:16-28</v>
      </c>
      <c r="R263" s="23" t="n">
        <f aca="false">INT((A263-1)/안내!$C$9)+1</f>
        <v>53</v>
      </c>
      <c r="S263" s="26" t="n">
        <f aca="false">안내!$C$10+(R263-1)*7+MOD(A263-1,안내!$C$9)</f>
        <v>46756</v>
      </c>
      <c r="T263" s="23" t="s">
        <v>99</v>
      </c>
      <c r="U263" s="23" t="s">
        <v>99</v>
      </c>
      <c r="V263" s="23" t="s">
        <v>99</v>
      </c>
      <c r="W263" s="23" t="s">
        <v>99</v>
      </c>
      <c r="X263" s="28"/>
      <c r="Y263" s="28" t="str">
        <f aca="false">"다음 편: "&amp;J264</f>
        <v>다음 편: 세상에서 가장 지혜로운 왕</v>
      </c>
    </row>
    <row r="264" customFormat="false" ht="26.85" hidden="false" customHeight="false" outlineLevel="0" collapsed="false">
      <c r="A264" s="20" t="n">
        <v>263</v>
      </c>
      <c r="B264" s="20" t="s">
        <v>2554</v>
      </c>
      <c r="C264" s="20" t="s">
        <v>2555</v>
      </c>
      <c r="D264" s="20" t="s">
        <v>2516</v>
      </c>
      <c r="E264" s="21" t="s">
        <v>2517</v>
      </c>
      <c r="F264" s="22" t="s">
        <v>88</v>
      </c>
      <c r="G264" s="22" t="s">
        <v>2518</v>
      </c>
      <c r="H264" s="21" t="s">
        <v>2556</v>
      </c>
      <c r="I264" s="23" t="s">
        <v>1116</v>
      </c>
      <c r="J264" s="24" t="s">
        <v>2557</v>
      </c>
      <c r="K264" s="24" t="s">
        <v>2558</v>
      </c>
      <c r="L264" s="24" t="s">
        <v>2559</v>
      </c>
      <c r="M264" s="24" t="s">
        <v>2560</v>
      </c>
      <c r="N264" s="24" t="s">
        <v>2561</v>
      </c>
      <c r="O264" s="24" t="s">
        <v>2562</v>
      </c>
      <c r="P264" s="28"/>
      <c r="Q264" s="28" t="str">
        <f aca="false">"["&amp;안내!$C$5&amp;" "&amp;C264&amp;"] "&amp;J264&amp;" | "&amp;H264</f>
        <v>[1분 성경 #0263] 세상에서 가장 지혜로운 왕 | 왕상 4:1-34</v>
      </c>
      <c r="R264" s="23" t="n">
        <f aca="false">INT((A264-1)/안내!$C$9)+1</f>
        <v>53</v>
      </c>
      <c r="S264" s="26" t="n">
        <f aca="false">안내!$C$10+(R264-1)*7+MOD(A264-1,안내!$C$9)</f>
        <v>46757</v>
      </c>
      <c r="T264" s="23" t="s">
        <v>99</v>
      </c>
      <c r="U264" s="23" t="s">
        <v>99</v>
      </c>
      <c r="V264" s="23" t="s">
        <v>99</v>
      </c>
      <c r="W264" s="23" t="s">
        <v>99</v>
      </c>
      <c r="X264" s="28"/>
      <c r="Y264" s="28" t="str">
        <f aca="false">"다음 편: "&amp;J265</f>
        <v>다음 편: 성전을 짓다</v>
      </c>
    </row>
    <row r="265" customFormat="false" ht="26.85" hidden="false" customHeight="false" outlineLevel="0" collapsed="false">
      <c r="A265" s="20" t="n">
        <v>264</v>
      </c>
      <c r="B265" s="20" t="s">
        <v>2563</v>
      </c>
      <c r="C265" s="20" t="s">
        <v>2564</v>
      </c>
      <c r="D265" s="20" t="s">
        <v>2516</v>
      </c>
      <c r="E265" s="21" t="s">
        <v>2517</v>
      </c>
      <c r="F265" s="22" t="s">
        <v>88</v>
      </c>
      <c r="G265" s="22" t="s">
        <v>2518</v>
      </c>
      <c r="H265" s="21" t="s">
        <v>2565</v>
      </c>
      <c r="I265" s="23" t="s">
        <v>91</v>
      </c>
      <c r="J265" s="24" t="s">
        <v>2566</v>
      </c>
      <c r="K265" s="24" t="s">
        <v>2567</v>
      </c>
      <c r="L265" s="24" t="s">
        <v>2568</v>
      </c>
      <c r="M265" s="24" t="s">
        <v>2569</v>
      </c>
      <c r="N265" s="24" t="s">
        <v>2570</v>
      </c>
      <c r="O265" s="24" t="s">
        <v>2571</v>
      </c>
      <c r="P265" s="28"/>
      <c r="Q265" s="28" t="str">
        <f aca="false">"["&amp;안내!$C$5&amp;" "&amp;C265&amp;"] "&amp;J265&amp;" | "&amp;H265</f>
        <v>[1분 성경 #0264] 성전을 짓다 | 왕상 5:1-6:38</v>
      </c>
      <c r="R265" s="23" t="n">
        <f aca="false">INT((A265-1)/안내!$C$9)+1</f>
        <v>53</v>
      </c>
      <c r="S265" s="26" t="n">
        <f aca="false">안내!$C$10+(R265-1)*7+MOD(A265-1,안내!$C$9)</f>
        <v>46758</v>
      </c>
      <c r="T265" s="23" t="s">
        <v>99</v>
      </c>
      <c r="U265" s="23" t="s">
        <v>99</v>
      </c>
      <c r="V265" s="23" t="s">
        <v>99</v>
      </c>
      <c r="W265" s="23" t="s">
        <v>99</v>
      </c>
      <c r="X265" s="28"/>
      <c r="Y265" s="28" t="str">
        <f aca="false">"다음 편: "&amp;J266</f>
        <v>다음 편: 성전의 기구들</v>
      </c>
    </row>
    <row r="266" customFormat="false" ht="15" hidden="false" customHeight="false" outlineLevel="0" collapsed="false">
      <c r="A266" s="20" t="n">
        <v>265</v>
      </c>
      <c r="B266" s="20" t="s">
        <v>2572</v>
      </c>
      <c r="C266" s="20" t="s">
        <v>2573</v>
      </c>
      <c r="D266" s="20" t="s">
        <v>2516</v>
      </c>
      <c r="E266" s="21" t="s">
        <v>2517</v>
      </c>
      <c r="F266" s="22" t="s">
        <v>88</v>
      </c>
      <c r="G266" s="22" t="s">
        <v>2518</v>
      </c>
      <c r="H266" s="21" t="s">
        <v>2574</v>
      </c>
      <c r="I266" s="23" t="s">
        <v>1116</v>
      </c>
      <c r="J266" s="24" t="s">
        <v>2575</v>
      </c>
      <c r="K266" s="24" t="s">
        <v>2576</v>
      </c>
      <c r="L266" s="24" t="s">
        <v>2577</v>
      </c>
      <c r="M266" s="24" t="s">
        <v>2578</v>
      </c>
      <c r="N266" s="24" t="s">
        <v>2579</v>
      </c>
      <c r="O266" s="24" t="s">
        <v>2580</v>
      </c>
      <c r="P266" s="28"/>
      <c r="Q266" s="28" t="str">
        <f aca="false">"["&amp;안내!$C$5&amp;" "&amp;C266&amp;"] "&amp;J266&amp;" | "&amp;H266</f>
        <v>[1분 성경 #0265] 성전의 기구들 | 왕상 7:1-51</v>
      </c>
      <c r="R266" s="23" t="n">
        <f aca="false">INT((A266-1)/안내!$C$9)+1</f>
        <v>53</v>
      </c>
      <c r="S266" s="26" t="n">
        <f aca="false">안내!$C$10+(R266-1)*7+MOD(A266-1,안내!$C$9)</f>
        <v>46759</v>
      </c>
      <c r="T266" s="23" t="s">
        <v>99</v>
      </c>
      <c r="U266" s="23" t="s">
        <v>99</v>
      </c>
      <c r="V266" s="23" t="s">
        <v>99</v>
      </c>
      <c r="W266" s="23" t="s">
        <v>99</v>
      </c>
      <c r="X266" s="28"/>
      <c r="Y266" s="28" t="str">
        <f aca="false">"다음 편: "&amp;J267</f>
        <v>다음 편: 성전 봉헌 기도</v>
      </c>
    </row>
    <row r="267" customFormat="false" ht="15" hidden="false" customHeight="false" outlineLevel="0" collapsed="false">
      <c r="A267" s="20" t="n">
        <v>266</v>
      </c>
      <c r="B267" s="20" t="s">
        <v>2581</v>
      </c>
      <c r="C267" s="20" t="s">
        <v>2582</v>
      </c>
      <c r="D267" s="20" t="s">
        <v>2516</v>
      </c>
      <c r="E267" s="21" t="s">
        <v>2517</v>
      </c>
      <c r="F267" s="22" t="s">
        <v>88</v>
      </c>
      <c r="G267" s="22" t="s">
        <v>2518</v>
      </c>
      <c r="H267" s="21" t="s">
        <v>2583</v>
      </c>
      <c r="I267" s="23" t="s">
        <v>91</v>
      </c>
      <c r="J267" s="24" t="s">
        <v>2584</v>
      </c>
      <c r="K267" s="24" t="s">
        <v>2585</v>
      </c>
      <c r="L267" s="24" t="s">
        <v>2586</v>
      </c>
      <c r="M267" s="24" t="s">
        <v>2587</v>
      </c>
      <c r="N267" s="24" t="s">
        <v>2588</v>
      </c>
      <c r="O267" s="24" t="s">
        <v>2589</v>
      </c>
      <c r="P267" s="28"/>
      <c r="Q267" s="28" t="str">
        <f aca="false">"["&amp;안내!$C$5&amp;" "&amp;C267&amp;"] "&amp;J267&amp;" | "&amp;H267</f>
        <v>[1분 성경 #0266] 성전 봉헌 기도 | 왕상 8:1-66</v>
      </c>
      <c r="R267" s="23" t="n">
        <f aca="false">INT((A267-1)/안내!$C$9)+1</f>
        <v>54</v>
      </c>
      <c r="S267" s="26" t="n">
        <f aca="false">안내!$C$10+(R267-1)*7+MOD(A267-1,안내!$C$9)</f>
        <v>46762</v>
      </c>
      <c r="T267" s="23" t="s">
        <v>99</v>
      </c>
      <c r="U267" s="23" t="s">
        <v>99</v>
      </c>
      <c r="V267" s="23" t="s">
        <v>99</v>
      </c>
      <c r="W267" s="23" t="s">
        <v>99</v>
      </c>
      <c r="X267" s="28"/>
      <c r="Y267" s="28" t="str">
        <f aca="false">"다음 편: "&amp;J268</f>
        <v>다음 편: 스바 여왕의 방문</v>
      </c>
    </row>
    <row r="268" customFormat="false" ht="26.85" hidden="false" customHeight="false" outlineLevel="0" collapsed="false">
      <c r="A268" s="20" t="n">
        <v>267</v>
      </c>
      <c r="B268" s="20" t="s">
        <v>2590</v>
      </c>
      <c r="C268" s="20" t="s">
        <v>2591</v>
      </c>
      <c r="D268" s="20" t="s">
        <v>2516</v>
      </c>
      <c r="E268" s="21" t="s">
        <v>2517</v>
      </c>
      <c r="F268" s="22" t="s">
        <v>88</v>
      </c>
      <c r="G268" s="22" t="s">
        <v>2518</v>
      </c>
      <c r="H268" s="21" t="s">
        <v>2592</v>
      </c>
      <c r="I268" s="23" t="s">
        <v>91</v>
      </c>
      <c r="J268" s="24" t="s">
        <v>2593</v>
      </c>
      <c r="K268" s="24" t="s">
        <v>2594</v>
      </c>
      <c r="L268" s="24" t="s">
        <v>2595</v>
      </c>
      <c r="M268" s="24" t="s">
        <v>2596</v>
      </c>
      <c r="N268" s="24" t="s">
        <v>2597</v>
      </c>
      <c r="O268" s="24" t="s">
        <v>2598</v>
      </c>
      <c r="P268" s="28"/>
      <c r="Q268" s="28" t="str">
        <f aca="false">"["&amp;안내!$C$5&amp;" "&amp;C268&amp;"] "&amp;J268&amp;" | "&amp;H268</f>
        <v>[1분 성경 #0267] 스바 여왕의 방문 | 왕상 9:1-10:29</v>
      </c>
      <c r="R268" s="23" t="n">
        <f aca="false">INT((A268-1)/안내!$C$9)+1</f>
        <v>54</v>
      </c>
      <c r="S268" s="26" t="n">
        <f aca="false">안내!$C$10+(R268-1)*7+MOD(A268-1,안내!$C$9)</f>
        <v>46763</v>
      </c>
      <c r="T268" s="23" t="s">
        <v>99</v>
      </c>
      <c r="U268" s="23" t="s">
        <v>99</v>
      </c>
      <c r="V268" s="23" t="s">
        <v>99</v>
      </c>
      <c r="W268" s="23" t="s">
        <v>99</v>
      </c>
      <c r="X268" s="28"/>
      <c r="Y268" s="28" t="str">
        <f aca="false">"다음 편: "&amp;J269</f>
        <v>다음 편: 마음이 돌아서다</v>
      </c>
    </row>
    <row r="269" customFormat="false" ht="26.85" hidden="false" customHeight="false" outlineLevel="0" collapsed="false">
      <c r="A269" s="20" t="n">
        <v>268</v>
      </c>
      <c r="B269" s="20" t="s">
        <v>2599</v>
      </c>
      <c r="C269" s="20" t="s">
        <v>2600</v>
      </c>
      <c r="D269" s="20" t="s">
        <v>2516</v>
      </c>
      <c r="E269" s="21" t="s">
        <v>2517</v>
      </c>
      <c r="F269" s="22" t="s">
        <v>88</v>
      </c>
      <c r="G269" s="22" t="s">
        <v>2518</v>
      </c>
      <c r="H269" s="21" t="s">
        <v>2601</v>
      </c>
      <c r="I269" s="23" t="s">
        <v>91</v>
      </c>
      <c r="J269" s="24" t="s">
        <v>2602</v>
      </c>
      <c r="K269" s="24" t="s">
        <v>2603</v>
      </c>
      <c r="L269" s="24" t="s">
        <v>2604</v>
      </c>
      <c r="M269" s="24" t="s">
        <v>2605</v>
      </c>
      <c r="N269" s="24" t="s">
        <v>2606</v>
      </c>
      <c r="O269" s="24" t="s">
        <v>2607</v>
      </c>
      <c r="P269" s="25" t="s">
        <v>2608</v>
      </c>
      <c r="Q269" s="28" t="str">
        <f aca="false">"["&amp;안내!$C$5&amp;" "&amp;C269&amp;"] "&amp;J269&amp;" | "&amp;H269</f>
        <v>[1분 성경 #0268] 마음이 돌아서다 | 왕상 11:1-43</v>
      </c>
      <c r="R269" s="23" t="n">
        <f aca="false">INT((A269-1)/안내!$C$9)+1</f>
        <v>54</v>
      </c>
      <c r="S269" s="26" t="n">
        <f aca="false">안내!$C$10+(R269-1)*7+MOD(A269-1,안내!$C$9)</f>
        <v>46764</v>
      </c>
      <c r="T269" s="23" t="s">
        <v>99</v>
      </c>
      <c r="U269" s="23" t="s">
        <v>99</v>
      </c>
      <c r="V269" s="23" t="s">
        <v>99</v>
      </c>
      <c r="W269" s="23" t="s">
        <v>99</v>
      </c>
      <c r="X269" s="28"/>
      <c r="Y269" s="28" t="str">
        <f aca="false">"다음 편: "&amp;J270</f>
        <v>다음 편: 나라가 둘로 나뉘다</v>
      </c>
    </row>
    <row r="270" customFormat="false" ht="26.85" hidden="false" customHeight="false" outlineLevel="0" collapsed="false">
      <c r="A270" s="20" t="n">
        <v>269</v>
      </c>
      <c r="B270" s="20" t="s">
        <v>2609</v>
      </c>
      <c r="C270" s="20" t="s">
        <v>2610</v>
      </c>
      <c r="D270" s="20" t="s">
        <v>2611</v>
      </c>
      <c r="E270" s="21" t="s">
        <v>2612</v>
      </c>
      <c r="F270" s="22" t="s">
        <v>88</v>
      </c>
      <c r="G270" s="22" t="s">
        <v>2518</v>
      </c>
      <c r="H270" s="21" t="s">
        <v>2613</v>
      </c>
      <c r="I270" s="23" t="s">
        <v>91</v>
      </c>
      <c r="J270" s="24" t="s">
        <v>2614</v>
      </c>
      <c r="K270" s="24" t="s">
        <v>2615</v>
      </c>
      <c r="L270" s="24" t="s">
        <v>2616</v>
      </c>
      <c r="M270" s="24" t="s">
        <v>2617</v>
      </c>
      <c r="N270" s="24" t="s">
        <v>2618</v>
      </c>
      <c r="O270" s="24" t="s">
        <v>631</v>
      </c>
      <c r="P270" s="28"/>
      <c r="Q270" s="28" t="str">
        <f aca="false">"["&amp;안내!$C$5&amp;" "&amp;C270&amp;"] "&amp;J270&amp;" | "&amp;H270</f>
        <v>[1분 성경 #0269] 나라가 둘로 나뉘다 | 왕상 12:1-24</v>
      </c>
      <c r="R270" s="23" t="n">
        <f aca="false">INT((A270-1)/안내!$C$9)+1</f>
        <v>54</v>
      </c>
      <c r="S270" s="26" t="n">
        <f aca="false">안내!$C$10+(R270-1)*7+MOD(A270-1,안내!$C$9)</f>
        <v>46765</v>
      </c>
      <c r="T270" s="23" t="s">
        <v>99</v>
      </c>
      <c r="U270" s="23" t="s">
        <v>99</v>
      </c>
      <c r="V270" s="23" t="s">
        <v>99</v>
      </c>
      <c r="W270" s="23" t="s">
        <v>99</v>
      </c>
      <c r="X270" s="28"/>
      <c r="Y270" s="28" t="str">
        <f aca="false">"다음 편: "&amp;J271</f>
        <v>다음 편: 금송아지와 하나님의 사람</v>
      </c>
    </row>
    <row r="271" customFormat="false" ht="26.85" hidden="false" customHeight="false" outlineLevel="0" collapsed="false">
      <c r="A271" s="20" t="n">
        <v>270</v>
      </c>
      <c r="B271" s="20" t="s">
        <v>2619</v>
      </c>
      <c r="C271" s="20" t="s">
        <v>2620</v>
      </c>
      <c r="D271" s="20" t="s">
        <v>2611</v>
      </c>
      <c r="E271" s="21" t="s">
        <v>2612</v>
      </c>
      <c r="F271" s="22" t="s">
        <v>88</v>
      </c>
      <c r="G271" s="22" t="s">
        <v>2518</v>
      </c>
      <c r="H271" s="21" t="s">
        <v>2621</v>
      </c>
      <c r="I271" s="23" t="s">
        <v>91</v>
      </c>
      <c r="J271" s="24" t="s">
        <v>2622</v>
      </c>
      <c r="K271" s="24" t="s">
        <v>2623</v>
      </c>
      <c r="L271" s="24" t="s">
        <v>2624</v>
      </c>
      <c r="M271" s="24" t="s">
        <v>2625</v>
      </c>
      <c r="N271" s="24" t="s">
        <v>2626</v>
      </c>
      <c r="O271" s="24" t="s">
        <v>641</v>
      </c>
      <c r="P271" s="25" t="s">
        <v>2627</v>
      </c>
      <c r="Q271" s="28" t="str">
        <f aca="false">"["&amp;안내!$C$5&amp;" "&amp;C271&amp;"] "&amp;J271&amp;" | "&amp;H271</f>
        <v>[1분 성경 #0270] 금송아지와 하나님의 사람 | 왕상 12:25-13:34</v>
      </c>
      <c r="R271" s="23" t="n">
        <f aca="false">INT((A271-1)/안내!$C$9)+1</f>
        <v>54</v>
      </c>
      <c r="S271" s="26" t="n">
        <f aca="false">안내!$C$10+(R271-1)*7+MOD(A271-1,안내!$C$9)</f>
        <v>46766</v>
      </c>
      <c r="T271" s="23" t="s">
        <v>99</v>
      </c>
      <c r="U271" s="23" t="s">
        <v>99</v>
      </c>
      <c r="V271" s="23" t="s">
        <v>99</v>
      </c>
      <c r="W271" s="23" t="s">
        <v>99</v>
      </c>
      <c r="X271" s="28"/>
      <c r="Y271" s="28" t="str">
        <f aca="false">"다음 편: "&amp;J272</f>
        <v>다음 편: 변장한 왕비</v>
      </c>
    </row>
    <row r="272" customFormat="false" ht="26.85" hidden="false" customHeight="false" outlineLevel="0" collapsed="false">
      <c r="A272" s="20" t="n">
        <v>271</v>
      </c>
      <c r="B272" s="20" t="s">
        <v>2628</v>
      </c>
      <c r="C272" s="20" t="s">
        <v>2629</v>
      </c>
      <c r="D272" s="20" t="s">
        <v>2611</v>
      </c>
      <c r="E272" s="21" t="s">
        <v>2612</v>
      </c>
      <c r="F272" s="22" t="s">
        <v>88</v>
      </c>
      <c r="G272" s="22" t="s">
        <v>2518</v>
      </c>
      <c r="H272" s="21" t="s">
        <v>2630</v>
      </c>
      <c r="I272" s="23" t="s">
        <v>91</v>
      </c>
      <c r="J272" s="24" t="s">
        <v>2631</v>
      </c>
      <c r="K272" s="24" t="s">
        <v>2632</v>
      </c>
      <c r="L272" s="24" t="s">
        <v>2633</v>
      </c>
      <c r="M272" s="24" t="s">
        <v>2634</v>
      </c>
      <c r="N272" s="24" t="s">
        <v>2635</v>
      </c>
      <c r="O272" s="24" t="s">
        <v>2636</v>
      </c>
      <c r="P272" s="28"/>
      <c r="Q272" s="28" t="str">
        <f aca="false">"["&amp;안내!$C$5&amp;" "&amp;C272&amp;"] "&amp;J272&amp;" | "&amp;H272</f>
        <v>[1분 성경 #0271] 변장한 왕비 | 왕상 14:1-31</v>
      </c>
      <c r="R272" s="23" t="n">
        <f aca="false">INT((A272-1)/안내!$C$9)+1</f>
        <v>55</v>
      </c>
      <c r="S272" s="26" t="n">
        <f aca="false">안내!$C$10+(R272-1)*7+MOD(A272-1,안내!$C$9)</f>
        <v>46769</v>
      </c>
      <c r="T272" s="23" t="s">
        <v>99</v>
      </c>
      <c r="U272" s="23" t="s">
        <v>99</v>
      </c>
      <c r="V272" s="23" t="s">
        <v>99</v>
      </c>
      <c r="W272" s="23" t="s">
        <v>99</v>
      </c>
      <c r="X272" s="28"/>
      <c r="Y272" s="28" t="str">
        <f aca="false">"다음 편: "&amp;J273</f>
        <v>다음 편: 남과 북의 왕들</v>
      </c>
    </row>
    <row r="273" customFormat="false" ht="26.85" hidden="false" customHeight="false" outlineLevel="0" collapsed="false">
      <c r="A273" s="20" t="n">
        <v>272</v>
      </c>
      <c r="B273" s="20" t="s">
        <v>2637</v>
      </c>
      <c r="C273" s="20" t="s">
        <v>2638</v>
      </c>
      <c r="D273" s="20" t="s">
        <v>2611</v>
      </c>
      <c r="E273" s="21" t="s">
        <v>2612</v>
      </c>
      <c r="F273" s="22" t="s">
        <v>88</v>
      </c>
      <c r="G273" s="22" t="s">
        <v>2518</v>
      </c>
      <c r="H273" s="21" t="s">
        <v>2639</v>
      </c>
      <c r="I273" s="23" t="s">
        <v>1116</v>
      </c>
      <c r="J273" s="24" t="s">
        <v>2640</v>
      </c>
      <c r="K273" s="24" t="s">
        <v>2641</v>
      </c>
      <c r="L273" s="24" t="s">
        <v>2642</v>
      </c>
      <c r="M273" s="24" t="s">
        <v>2643</v>
      </c>
      <c r="N273" s="24" t="s">
        <v>2644</v>
      </c>
      <c r="O273" s="24" t="s">
        <v>2645</v>
      </c>
      <c r="P273" s="28"/>
      <c r="Q273" s="28" t="str">
        <f aca="false">"["&amp;안내!$C$5&amp;" "&amp;C273&amp;"] "&amp;J273&amp;" | "&amp;H273</f>
        <v>[1분 성경 #0272] 남과 북의 왕들 | 왕상 15:1-16:34</v>
      </c>
      <c r="R273" s="23" t="n">
        <f aca="false">INT((A273-1)/안내!$C$9)+1</f>
        <v>55</v>
      </c>
      <c r="S273" s="26" t="n">
        <f aca="false">안내!$C$10+(R273-1)*7+MOD(A273-1,안내!$C$9)</f>
        <v>46770</v>
      </c>
      <c r="T273" s="23" t="s">
        <v>99</v>
      </c>
      <c r="U273" s="23" t="s">
        <v>99</v>
      </c>
      <c r="V273" s="23" t="s">
        <v>99</v>
      </c>
      <c r="W273" s="23" t="s">
        <v>99</v>
      </c>
      <c r="X273" s="28"/>
      <c r="Y273" s="28" t="str">
        <f aca="false">"다음 편: "&amp;J274</f>
        <v>다음 편: 까마귀가 날라 준 음식</v>
      </c>
    </row>
    <row r="274" customFormat="false" ht="26.85" hidden="false" customHeight="false" outlineLevel="0" collapsed="false">
      <c r="A274" s="20" t="n">
        <v>273</v>
      </c>
      <c r="B274" s="20" t="s">
        <v>2646</v>
      </c>
      <c r="C274" s="20" t="s">
        <v>2647</v>
      </c>
      <c r="D274" s="20" t="s">
        <v>2611</v>
      </c>
      <c r="E274" s="21" t="s">
        <v>2612</v>
      </c>
      <c r="F274" s="22" t="s">
        <v>88</v>
      </c>
      <c r="G274" s="22" t="s">
        <v>2518</v>
      </c>
      <c r="H274" s="21" t="s">
        <v>2648</v>
      </c>
      <c r="I274" s="23" t="s">
        <v>91</v>
      </c>
      <c r="J274" s="24" t="s">
        <v>2649</v>
      </c>
      <c r="K274" s="24" t="s">
        <v>2650</v>
      </c>
      <c r="L274" s="24" t="s">
        <v>2651</v>
      </c>
      <c r="M274" s="24" t="s">
        <v>2652</v>
      </c>
      <c r="N274" s="24" t="s">
        <v>2653</v>
      </c>
      <c r="O274" s="24" t="s">
        <v>2654</v>
      </c>
      <c r="P274" s="28"/>
      <c r="Q274" s="28" t="str">
        <f aca="false">"["&amp;안내!$C$5&amp;" "&amp;C274&amp;"] "&amp;J274&amp;" | "&amp;H274</f>
        <v>[1분 성경 #0273] 까마귀가 날라 준 음식 | 왕상 17:1-7</v>
      </c>
      <c r="R274" s="23" t="n">
        <f aca="false">INT((A274-1)/안내!$C$9)+1</f>
        <v>55</v>
      </c>
      <c r="S274" s="26" t="n">
        <f aca="false">안내!$C$10+(R274-1)*7+MOD(A274-1,안내!$C$9)</f>
        <v>46771</v>
      </c>
      <c r="T274" s="23" t="s">
        <v>99</v>
      </c>
      <c r="U274" s="23" t="s">
        <v>99</v>
      </c>
      <c r="V274" s="23" t="s">
        <v>99</v>
      </c>
      <c r="W274" s="23" t="s">
        <v>99</v>
      </c>
      <c r="X274" s="28"/>
      <c r="Y274" s="28" t="str">
        <f aca="false">"다음 편: "&amp;J275</f>
        <v>다음 편: 과부의 마지막 밀가루</v>
      </c>
    </row>
    <row r="275" customFormat="false" ht="26.85" hidden="false" customHeight="false" outlineLevel="0" collapsed="false">
      <c r="A275" s="20" t="n">
        <v>274</v>
      </c>
      <c r="B275" s="20" t="s">
        <v>2655</v>
      </c>
      <c r="C275" s="20" t="s">
        <v>2656</v>
      </c>
      <c r="D275" s="20" t="s">
        <v>2611</v>
      </c>
      <c r="E275" s="21" t="s">
        <v>2612</v>
      </c>
      <c r="F275" s="22" t="s">
        <v>88</v>
      </c>
      <c r="G275" s="22" t="s">
        <v>2518</v>
      </c>
      <c r="H275" s="21" t="s">
        <v>2657</v>
      </c>
      <c r="I275" s="23" t="s">
        <v>91</v>
      </c>
      <c r="J275" s="24" t="s">
        <v>2658</v>
      </c>
      <c r="K275" s="24" t="s">
        <v>2659</v>
      </c>
      <c r="L275" s="24" t="s">
        <v>2660</v>
      </c>
      <c r="M275" s="24" t="s">
        <v>2661</v>
      </c>
      <c r="N275" s="24" t="s">
        <v>2662</v>
      </c>
      <c r="O275" s="24" t="s">
        <v>2663</v>
      </c>
      <c r="P275" s="28"/>
      <c r="Q275" s="28" t="str">
        <f aca="false">"["&amp;안내!$C$5&amp;" "&amp;C275&amp;"] "&amp;J275&amp;" | "&amp;H275</f>
        <v>[1분 성경 #0274] 과부의 마지막 밀가루 | 왕상 17:8-24</v>
      </c>
      <c r="R275" s="23" t="n">
        <f aca="false">INT((A275-1)/안내!$C$9)+1</f>
        <v>55</v>
      </c>
      <c r="S275" s="26" t="n">
        <f aca="false">안내!$C$10+(R275-1)*7+MOD(A275-1,안내!$C$9)</f>
        <v>46772</v>
      </c>
      <c r="T275" s="23" t="s">
        <v>99</v>
      </c>
      <c r="U275" s="23" t="s">
        <v>99</v>
      </c>
      <c r="V275" s="23" t="s">
        <v>99</v>
      </c>
      <c r="W275" s="23" t="s">
        <v>99</v>
      </c>
      <c r="X275" s="28"/>
      <c r="Y275" s="28" t="str">
        <f aca="false">"다음 편: "&amp;J276</f>
        <v>다음 편: 누가 참 하나님인가</v>
      </c>
    </row>
    <row r="276" customFormat="false" ht="26.85" hidden="false" customHeight="false" outlineLevel="0" collapsed="false">
      <c r="A276" s="20" t="n">
        <v>275</v>
      </c>
      <c r="B276" s="20" t="s">
        <v>2664</v>
      </c>
      <c r="C276" s="20" t="s">
        <v>2665</v>
      </c>
      <c r="D276" s="20" t="s">
        <v>2611</v>
      </c>
      <c r="E276" s="21" t="s">
        <v>2612</v>
      </c>
      <c r="F276" s="22" t="s">
        <v>88</v>
      </c>
      <c r="G276" s="22" t="s">
        <v>2518</v>
      </c>
      <c r="H276" s="21" t="s">
        <v>2666</v>
      </c>
      <c r="I276" s="23" t="s">
        <v>91</v>
      </c>
      <c r="J276" s="24" t="s">
        <v>2667</v>
      </c>
      <c r="K276" s="28" t="s">
        <v>2668</v>
      </c>
      <c r="L276" s="24" t="s">
        <v>2669</v>
      </c>
      <c r="M276" s="24" t="s">
        <v>2670</v>
      </c>
      <c r="N276" s="24" t="s">
        <v>2671</v>
      </c>
      <c r="O276" s="24" t="s">
        <v>2672</v>
      </c>
      <c r="P276" s="28"/>
      <c r="Q276" s="28" t="str">
        <f aca="false">"["&amp;안내!$C$5&amp;" "&amp;C276&amp;"] "&amp;J276&amp;" | "&amp;H276</f>
        <v>[1분 성경 #0275] 누가 참 하나님인가 | 왕상 18:1-24</v>
      </c>
      <c r="R276" s="23" t="n">
        <f aca="false">INT((A276-1)/안내!$C$9)+1</f>
        <v>55</v>
      </c>
      <c r="S276" s="26" t="n">
        <f aca="false">안내!$C$10+(R276-1)*7+MOD(A276-1,안내!$C$9)</f>
        <v>46773</v>
      </c>
      <c r="T276" s="23" t="s">
        <v>99</v>
      </c>
      <c r="U276" s="23" t="s">
        <v>99</v>
      </c>
      <c r="V276" s="23" t="s">
        <v>99</v>
      </c>
      <c r="W276" s="23" t="s">
        <v>99</v>
      </c>
      <c r="X276" s="28"/>
      <c r="Y276" s="28" t="str">
        <f aca="false">"다음 편: "&amp;J277</f>
        <v>다음 편: 하늘에서 내린 불</v>
      </c>
    </row>
    <row r="277" customFormat="false" ht="26.85" hidden="false" customHeight="false" outlineLevel="0" collapsed="false">
      <c r="A277" s="20" t="n">
        <v>276</v>
      </c>
      <c r="B277" s="20" t="s">
        <v>2673</v>
      </c>
      <c r="C277" s="20" t="s">
        <v>2674</v>
      </c>
      <c r="D277" s="20" t="s">
        <v>2611</v>
      </c>
      <c r="E277" s="21" t="s">
        <v>2612</v>
      </c>
      <c r="F277" s="22" t="s">
        <v>88</v>
      </c>
      <c r="G277" s="22" t="s">
        <v>2518</v>
      </c>
      <c r="H277" s="21" t="s">
        <v>2675</v>
      </c>
      <c r="I277" s="23" t="s">
        <v>91</v>
      </c>
      <c r="J277" s="24" t="s">
        <v>2676</v>
      </c>
      <c r="K277" s="24" t="s">
        <v>2677</v>
      </c>
      <c r="L277" s="24" t="s">
        <v>2678</v>
      </c>
      <c r="M277" s="24" t="s">
        <v>2679</v>
      </c>
      <c r="N277" s="24" t="s">
        <v>2680</v>
      </c>
      <c r="O277" s="24" t="s">
        <v>2681</v>
      </c>
      <c r="P277" s="25" t="s">
        <v>2682</v>
      </c>
      <c r="Q277" s="28" t="str">
        <f aca="false">"["&amp;안내!$C$5&amp;" "&amp;C277&amp;"] "&amp;J277&amp;" | "&amp;H277</f>
        <v>[1분 성경 #0276] 하늘에서 내린 불 | 왕상 18:25-40</v>
      </c>
      <c r="R277" s="23" t="n">
        <f aca="false">INT((A277-1)/안내!$C$9)+1</f>
        <v>56</v>
      </c>
      <c r="S277" s="26" t="n">
        <f aca="false">안내!$C$10+(R277-1)*7+MOD(A277-1,안내!$C$9)</f>
        <v>46776</v>
      </c>
      <c r="T277" s="23" t="s">
        <v>99</v>
      </c>
      <c r="U277" s="23" t="s">
        <v>99</v>
      </c>
      <c r="V277" s="23" t="s">
        <v>99</v>
      </c>
      <c r="W277" s="23" t="s">
        <v>99</v>
      </c>
      <c r="X277" s="28"/>
      <c r="Y277" s="28" t="str">
        <f aca="false">"다음 편: "&amp;J278</f>
        <v>다음 편: 로뎀나무 아래</v>
      </c>
    </row>
    <row r="278" customFormat="false" ht="26.85" hidden="false" customHeight="false" outlineLevel="0" collapsed="false">
      <c r="A278" s="20" t="n">
        <v>277</v>
      </c>
      <c r="B278" s="20" t="s">
        <v>2683</v>
      </c>
      <c r="C278" s="20" t="s">
        <v>2684</v>
      </c>
      <c r="D278" s="20" t="s">
        <v>2685</v>
      </c>
      <c r="E278" s="21" t="s">
        <v>2686</v>
      </c>
      <c r="F278" s="22" t="s">
        <v>88</v>
      </c>
      <c r="G278" s="22" t="s">
        <v>2518</v>
      </c>
      <c r="H278" s="21" t="s">
        <v>2687</v>
      </c>
      <c r="I278" s="23" t="s">
        <v>91</v>
      </c>
      <c r="J278" s="24" t="s">
        <v>2688</v>
      </c>
      <c r="K278" s="24" t="s">
        <v>2689</v>
      </c>
      <c r="L278" s="24" t="s">
        <v>2690</v>
      </c>
      <c r="M278" s="24" t="s">
        <v>2691</v>
      </c>
      <c r="N278" s="24" t="s">
        <v>2692</v>
      </c>
      <c r="O278" s="24" t="s">
        <v>2693</v>
      </c>
      <c r="P278" s="25" t="s">
        <v>2694</v>
      </c>
      <c r="Q278" s="28" t="str">
        <f aca="false">"["&amp;안내!$C$5&amp;" "&amp;C278&amp;"] "&amp;J278&amp;" | "&amp;H278</f>
        <v>[1분 성경 #0277] 로뎀나무 아래 | 왕상 18:41-19:8</v>
      </c>
      <c r="R278" s="23" t="n">
        <f aca="false">INT((A278-1)/안내!$C$9)+1</f>
        <v>56</v>
      </c>
      <c r="S278" s="26" t="n">
        <f aca="false">안내!$C$10+(R278-1)*7+MOD(A278-1,안내!$C$9)</f>
        <v>46777</v>
      </c>
      <c r="T278" s="23" t="s">
        <v>99</v>
      </c>
      <c r="U278" s="23" t="s">
        <v>99</v>
      </c>
      <c r="V278" s="23" t="s">
        <v>99</v>
      </c>
      <c r="W278" s="23" t="s">
        <v>99</v>
      </c>
      <c r="X278" s="28"/>
      <c r="Y278" s="28" t="str">
        <f aca="false">"다음 편: "&amp;J279</f>
        <v>다음 편: 세미한 소리</v>
      </c>
    </row>
    <row r="279" customFormat="false" ht="26.85" hidden="false" customHeight="false" outlineLevel="0" collapsed="false">
      <c r="A279" s="20" t="n">
        <v>278</v>
      </c>
      <c r="B279" s="20" t="s">
        <v>2695</v>
      </c>
      <c r="C279" s="20" t="s">
        <v>2696</v>
      </c>
      <c r="D279" s="20" t="s">
        <v>2685</v>
      </c>
      <c r="E279" s="21" t="s">
        <v>2686</v>
      </c>
      <c r="F279" s="22" t="s">
        <v>88</v>
      </c>
      <c r="G279" s="22" t="s">
        <v>2518</v>
      </c>
      <c r="H279" s="21" t="s">
        <v>2697</v>
      </c>
      <c r="I279" s="23" t="s">
        <v>91</v>
      </c>
      <c r="J279" s="24" t="s">
        <v>2698</v>
      </c>
      <c r="K279" s="24" t="s">
        <v>2699</v>
      </c>
      <c r="L279" s="24" t="s">
        <v>2700</v>
      </c>
      <c r="M279" s="24" t="s">
        <v>2701</v>
      </c>
      <c r="N279" s="24" t="s">
        <v>2702</v>
      </c>
      <c r="O279" s="24" t="s">
        <v>2703</v>
      </c>
      <c r="P279" s="28"/>
      <c r="Q279" s="28" t="str">
        <f aca="false">"["&amp;안내!$C$5&amp;" "&amp;C279&amp;"] "&amp;J279&amp;" | "&amp;H279</f>
        <v>[1분 성경 #0278] 세미한 소리 | 왕상 19:9-21</v>
      </c>
      <c r="R279" s="23" t="n">
        <f aca="false">INT((A279-1)/안내!$C$9)+1</f>
        <v>56</v>
      </c>
      <c r="S279" s="26" t="n">
        <f aca="false">안내!$C$10+(R279-1)*7+MOD(A279-1,안내!$C$9)</f>
        <v>46778</v>
      </c>
      <c r="T279" s="23" t="s">
        <v>99</v>
      </c>
      <c r="U279" s="23" t="s">
        <v>99</v>
      </c>
      <c r="V279" s="23" t="s">
        <v>99</v>
      </c>
      <c r="W279" s="23" t="s">
        <v>99</v>
      </c>
      <c r="X279" s="28"/>
      <c r="Y279" s="28" t="str">
        <f aca="false">"다음 편: "&amp;J280</f>
        <v>다음 편: 산의 신이냐 골짜기의 신이냐</v>
      </c>
    </row>
    <row r="280" customFormat="false" ht="26.85" hidden="false" customHeight="false" outlineLevel="0" collapsed="false">
      <c r="A280" s="20" t="n">
        <v>279</v>
      </c>
      <c r="B280" s="20" t="s">
        <v>2704</v>
      </c>
      <c r="C280" s="20" t="s">
        <v>2705</v>
      </c>
      <c r="D280" s="20" t="s">
        <v>2685</v>
      </c>
      <c r="E280" s="21" t="s">
        <v>2686</v>
      </c>
      <c r="F280" s="22" t="s">
        <v>88</v>
      </c>
      <c r="G280" s="22" t="s">
        <v>2518</v>
      </c>
      <c r="H280" s="21" t="s">
        <v>2706</v>
      </c>
      <c r="I280" s="23" t="s">
        <v>91</v>
      </c>
      <c r="J280" s="24" t="s">
        <v>2707</v>
      </c>
      <c r="K280" s="24" t="s">
        <v>2708</v>
      </c>
      <c r="L280" s="24" t="s">
        <v>2709</v>
      </c>
      <c r="M280" s="24" t="s">
        <v>2710</v>
      </c>
      <c r="N280" s="24" t="s">
        <v>2711</v>
      </c>
      <c r="O280" s="24" t="s">
        <v>2712</v>
      </c>
      <c r="P280" s="28"/>
      <c r="Q280" s="28" t="str">
        <f aca="false">"["&amp;안내!$C$5&amp;" "&amp;C280&amp;"] "&amp;J280&amp;" | "&amp;H280</f>
        <v>[1분 성경 #0279] 산의 신이냐 골짜기의 신이냐 | 왕상 20:1-43</v>
      </c>
      <c r="R280" s="23" t="n">
        <f aca="false">INT((A280-1)/안내!$C$9)+1</f>
        <v>56</v>
      </c>
      <c r="S280" s="26" t="n">
        <f aca="false">안내!$C$10+(R280-1)*7+MOD(A280-1,안내!$C$9)</f>
        <v>46779</v>
      </c>
      <c r="T280" s="23" t="s">
        <v>99</v>
      </c>
      <c r="U280" s="23" t="s">
        <v>99</v>
      </c>
      <c r="V280" s="23" t="s">
        <v>99</v>
      </c>
      <c r="W280" s="23" t="s">
        <v>99</v>
      </c>
      <c r="X280" s="28"/>
      <c r="Y280" s="28" t="str">
        <f aca="false">"다음 편: "&amp;J281</f>
        <v>다음 편: 나봇의 포도원</v>
      </c>
    </row>
    <row r="281" customFormat="false" ht="15" hidden="false" customHeight="false" outlineLevel="0" collapsed="false">
      <c r="A281" s="20" t="n">
        <v>280</v>
      </c>
      <c r="B281" s="20" t="s">
        <v>2713</v>
      </c>
      <c r="C281" s="20" t="s">
        <v>2714</v>
      </c>
      <c r="D281" s="20" t="s">
        <v>2685</v>
      </c>
      <c r="E281" s="21" t="s">
        <v>2686</v>
      </c>
      <c r="F281" s="22" t="s">
        <v>88</v>
      </c>
      <c r="G281" s="22" t="s">
        <v>2518</v>
      </c>
      <c r="H281" s="21" t="s">
        <v>2715</v>
      </c>
      <c r="I281" s="23" t="s">
        <v>91</v>
      </c>
      <c r="J281" s="24" t="s">
        <v>2716</v>
      </c>
      <c r="K281" s="24" t="s">
        <v>2717</v>
      </c>
      <c r="L281" s="24" t="s">
        <v>2718</v>
      </c>
      <c r="M281" s="24" t="s">
        <v>2719</v>
      </c>
      <c r="N281" s="24" t="s">
        <v>2720</v>
      </c>
      <c r="O281" s="24" t="s">
        <v>2721</v>
      </c>
      <c r="P281" s="25" t="s">
        <v>709</v>
      </c>
      <c r="Q281" s="28" t="str">
        <f aca="false">"["&amp;안내!$C$5&amp;" "&amp;C281&amp;"] "&amp;J281&amp;" | "&amp;H281</f>
        <v>[1분 성경 #0280] 나봇의 포도원 | 왕상 21:1-29</v>
      </c>
      <c r="R281" s="23" t="n">
        <f aca="false">INT((A281-1)/안내!$C$9)+1</f>
        <v>56</v>
      </c>
      <c r="S281" s="26" t="n">
        <f aca="false">안내!$C$10+(R281-1)*7+MOD(A281-1,안내!$C$9)</f>
        <v>46780</v>
      </c>
      <c r="T281" s="23" t="s">
        <v>99</v>
      </c>
      <c r="U281" s="23" t="s">
        <v>99</v>
      </c>
      <c r="V281" s="23" t="s">
        <v>99</v>
      </c>
      <c r="W281" s="23" t="s">
        <v>99</v>
      </c>
      <c r="X281" s="28"/>
      <c r="Y281" s="28" t="str">
        <f aca="false">"다음 편: "&amp;J282</f>
        <v>다음 편: 400 대 1</v>
      </c>
    </row>
    <row r="282" customFormat="false" ht="26.85" hidden="false" customHeight="false" outlineLevel="0" collapsed="false">
      <c r="A282" s="20" t="n">
        <v>281</v>
      </c>
      <c r="B282" s="20" t="s">
        <v>2722</v>
      </c>
      <c r="C282" s="20" t="s">
        <v>2723</v>
      </c>
      <c r="D282" s="20" t="s">
        <v>2685</v>
      </c>
      <c r="E282" s="21" t="s">
        <v>2686</v>
      </c>
      <c r="F282" s="22" t="s">
        <v>88</v>
      </c>
      <c r="G282" s="22" t="s">
        <v>2518</v>
      </c>
      <c r="H282" s="21" t="s">
        <v>2724</v>
      </c>
      <c r="I282" s="23" t="s">
        <v>91</v>
      </c>
      <c r="J282" s="28" t="s">
        <v>2725</v>
      </c>
      <c r="K282" s="24" t="s">
        <v>2726</v>
      </c>
      <c r="L282" s="24" t="s">
        <v>2727</v>
      </c>
      <c r="M282" s="24" t="s">
        <v>2728</v>
      </c>
      <c r="N282" s="24" t="s">
        <v>2729</v>
      </c>
      <c r="O282" s="24" t="s">
        <v>2730</v>
      </c>
      <c r="P282" s="25" t="s">
        <v>2731</v>
      </c>
      <c r="Q282" s="28" t="str">
        <f aca="false">"["&amp;안내!$C$5&amp;" "&amp;C282&amp;"] "&amp;J282&amp;" | "&amp;H282</f>
        <v>[1분 성경 #0281] 400 대 1 | 왕상 22:1-53</v>
      </c>
      <c r="R282" s="23" t="n">
        <f aca="false">INT((A282-1)/안내!$C$9)+1</f>
        <v>57</v>
      </c>
      <c r="S282" s="26" t="n">
        <f aca="false">안내!$C$10+(R282-1)*7+MOD(A282-1,안내!$C$9)</f>
        <v>46783</v>
      </c>
      <c r="T282" s="23" t="s">
        <v>99</v>
      </c>
      <c r="U282" s="23" t="s">
        <v>99</v>
      </c>
      <c r="V282" s="23" t="s">
        <v>99</v>
      </c>
      <c r="W282" s="23" t="s">
        <v>99</v>
      </c>
      <c r="X282" s="28"/>
      <c r="Y282" s="28" t="str">
        <f aca="false">"다음 편: "&amp;J283</f>
        <v>다음 편: 에그론의 신에게 묻다</v>
      </c>
    </row>
    <row r="283" customFormat="false" ht="26.85" hidden="false" customHeight="false" outlineLevel="0" collapsed="false">
      <c r="A283" s="20" t="n">
        <v>282</v>
      </c>
      <c r="B283" s="20" t="s">
        <v>2732</v>
      </c>
      <c r="C283" s="20" t="s">
        <v>2733</v>
      </c>
      <c r="D283" s="20" t="s">
        <v>2685</v>
      </c>
      <c r="E283" s="21" t="s">
        <v>2686</v>
      </c>
      <c r="F283" s="22" t="s">
        <v>88</v>
      </c>
      <c r="G283" s="22" t="s">
        <v>2734</v>
      </c>
      <c r="H283" s="21" t="s">
        <v>2735</v>
      </c>
      <c r="I283" s="23" t="s">
        <v>91</v>
      </c>
      <c r="J283" s="24" t="s">
        <v>2736</v>
      </c>
      <c r="K283" s="24" t="s">
        <v>2737</v>
      </c>
      <c r="L283" s="24" t="s">
        <v>2738</v>
      </c>
      <c r="M283" s="24" t="s">
        <v>2739</v>
      </c>
      <c r="N283" s="24" t="s">
        <v>2740</v>
      </c>
      <c r="O283" s="24" t="s">
        <v>2741</v>
      </c>
      <c r="P283" s="25" t="s">
        <v>2742</v>
      </c>
      <c r="Q283" s="28" t="str">
        <f aca="false">"["&amp;안내!$C$5&amp;" "&amp;C283&amp;"] "&amp;J283&amp;" | "&amp;H283</f>
        <v>[1분 성경 #0282] 에그론의 신에게 묻다 | 왕하 1:1-18</v>
      </c>
      <c r="R283" s="23" t="n">
        <f aca="false">INT((A283-1)/안내!$C$9)+1</f>
        <v>57</v>
      </c>
      <c r="S283" s="26" t="n">
        <f aca="false">안내!$C$10+(R283-1)*7+MOD(A283-1,안내!$C$9)</f>
        <v>46784</v>
      </c>
      <c r="T283" s="23" t="s">
        <v>99</v>
      </c>
      <c r="U283" s="23" t="s">
        <v>99</v>
      </c>
      <c r="V283" s="23" t="s">
        <v>99</v>
      </c>
      <c r="W283" s="23" t="s">
        <v>99</v>
      </c>
      <c r="X283" s="28"/>
      <c r="Y283" s="28" t="str">
        <f aca="false">"다음 편: "&amp;J284</f>
        <v>다음 편: 불병거와 회오리바람</v>
      </c>
    </row>
    <row r="284" customFormat="false" ht="25.35" hidden="false" customHeight="false" outlineLevel="0" collapsed="false">
      <c r="A284" s="20" t="n">
        <v>283</v>
      </c>
      <c r="B284" s="20" t="s">
        <v>2743</v>
      </c>
      <c r="C284" s="20" t="s">
        <v>2744</v>
      </c>
      <c r="D284" s="20" t="s">
        <v>2685</v>
      </c>
      <c r="E284" s="21" t="s">
        <v>2686</v>
      </c>
      <c r="F284" s="22" t="s">
        <v>88</v>
      </c>
      <c r="G284" s="22" t="s">
        <v>2734</v>
      </c>
      <c r="H284" s="21" t="s">
        <v>2745</v>
      </c>
      <c r="I284" s="23" t="s">
        <v>91</v>
      </c>
      <c r="J284" s="24" t="s">
        <v>2746</v>
      </c>
      <c r="K284" s="24" t="s">
        <v>2747</v>
      </c>
      <c r="L284" s="24" t="s">
        <v>2748</v>
      </c>
      <c r="M284" s="24" t="s">
        <v>2749</v>
      </c>
      <c r="N284" s="24" t="s">
        <v>2750</v>
      </c>
      <c r="O284" s="24" t="s">
        <v>2751</v>
      </c>
      <c r="P284" s="25" t="s">
        <v>2752</v>
      </c>
      <c r="Q284" s="28" t="str">
        <f aca="false">"["&amp;안내!$C$5&amp;" "&amp;C284&amp;"] "&amp;J284&amp;" | "&amp;H284</f>
        <v>[1분 성경 #0283] 불병거와 회오리바람 | 왕하 2:1-14</v>
      </c>
      <c r="R284" s="23" t="n">
        <f aca="false">INT((A284-1)/안내!$C$9)+1</f>
        <v>57</v>
      </c>
      <c r="S284" s="26" t="n">
        <f aca="false">안내!$C$10+(R284-1)*7+MOD(A284-1,안내!$C$9)</f>
        <v>46785</v>
      </c>
      <c r="T284" s="23" t="s">
        <v>99</v>
      </c>
      <c r="U284" s="23" t="s">
        <v>99</v>
      </c>
      <c r="V284" s="23" t="s">
        <v>99</v>
      </c>
      <c r="W284" s="23" t="s">
        <v>99</v>
      </c>
      <c r="X284" s="28"/>
      <c r="Y284" s="28" t="str">
        <f aca="false">"다음 편: "&amp;J285</f>
        <v>다음 편: 엘리사의 첫 기적</v>
      </c>
    </row>
    <row r="285" customFormat="false" ht="26.85" hidden="false" customHeight="false" outlineLevel="0" collapsed="false">
      <c r="A285" s="20" t="n">
        <v>284</v>
      </c>
      <c r="B285" s="20" t="s">
        <v>2753</v>
      </c>
      <c r="C285" s="20" t="s">
        <v>2754</v>
      </c>
      <c r="D285" s="20" t="s">
        <v>2685</v>
      </c>
      <c r="E285" s="21" t="s">
        <v>2686</v>
      </c>
      <c r="F285" s="22" t="s">
        <v>88</v>
      </c>
      <c r="G285" s="22" t="s">
        <v>2734</v>
      </c>
      <c r="H285" s="21" t="s">
        <v>2755</v>
      </c>
      <c r="I285" s="23" t="s">
        <v>91</v>
      </c>
      <c r="J285" s="24" t="s">
        <v>2756</v>
      </c>
      <c r="K285" s="24" t="s">
        <v>2757</v>
      </c>
      <c r="L285" s="24" t="s">
        <v>2758</v>
      </c>
      <c r="M285" s="24" t="s">
        <v>2759</v>
      </c>
      <c r="N285" s="24" t="s">
        <v>2760</v>
      </c>
      <c r="O285" s="24" t="s">
        <v>2761</v>
      </c>
      <c r="P285" s="25" t="s">
        <v>2762</v>
      </c>
      <c r="Q285" s="28" t="str">
        <f aca="false">"["&amp;안내!$C$5&amp;" "&amp;C285&amp;"] "&amp;J285&amp;" | "&amp;H285</f>
        <v>[1분 성경 #0284] 엘리사의 첫 기적 | 왕하 2:15-25</v>
      </c>
      <c r="R285" s="23" t="n">
        <f aca="false">INT((A285-1)/안내!$C$9)+1</f>
        <v>57</v>
      </c>
      <c r="S285" s="26" t="n">
        <f aca="false">안내!$C$10+(R285-1)*7+MOD(A285-1,안내!$C$9)</f>
        <v>46786</v>
      </c>
      <c r="T285" s="23" t="s">
        <v>99</v>
      </c>
      <c r="U285" s="23" t="s">
        <v>99</v>
      </c>
      <c r="V285" s="23" t="s">
        <v>99</v>
      </c>
      <c r="W285" s="23" t="s">
        <v>99</v>
      </c>
      <c r="X285" s="28"/>
      <c r="Y285" s="28" t="str">
        <f aca="false">"다음 편: "&amp;J286</f>
        <v>다음 편: 골짜기에 물이 가득</v>
      </c>
    </row>
    <row r="286" customFormat="false" ht="26.85" hidden="false" customHeight="false" outlineLevel="0" collapsed="false">
      <c r="A286" s="20" t="n">
        <v>285</v>
      </c>
      <c r="B286" s="20" t="s">
        <v>2763</v>
      </c>
      <c r="C286" s="20" t="s">
        <v>2764</v>
      </c>
      <c r="D286" s="20" t="s">
        <v>2765</v>
      </c>
      <c r="E286" s="21" t="s">
        <v>2766</v>
      </c>
      <c r="F286" s="22" t="s">
        <v>88</v>
      </c>
      <c r="G286" s="22" t="s">
        <v>2734</v>
      </c>
      <c r="H286" s="21" t="s">
        <v>2767</v>
      </c>
      <c r="I286" s="23" t="s">
        <v>91</v>
      </c>
      <c r="J286" s="24" t="s">
        <v>2768</v>
      </c>
      <c r="K286" s="24" t="s">
        <v>2769</v>
      </c>
      <c r="L286" s="24" t="s">
        <v>2770</v>
      </c>
      <c r="M286" s="24" t="s">
        <v>2771</v>
      </c>
      <c r="N286" s="24" t="s">
        <v>2772</v>
      </c>
      <c r="O286" s="24" t="s">
        <v>2773</v>
      </c>
      <c r="P286" s="27" t="s">
        <v>2774</v>
      </c>
      <c r="Q286" s="28" t="str">
        <f aca="false">"["&amp;안내!$C$5&amp;" "&amp;C286&amp;"] "&amp;J286&amp;" | "&amp;H286</f>
        <v>[1분 성경 #0285] 골짜기에 물이 가득 | 왕하 3:1-27</v>
      </c>
      <c r="R286" s="23" t="n">
        <f aca="false">INT((A286-1)/안내!$C$9)+1</f>
        <v>57</v>
      </c>
      <c r="S286" s="26" t="n">
        <f aca="false">안내!$C$10+(R286-1)*7+MOD(A286-1,안내!$C$9)</f>
        <v>46787</v>
      </c>
      <c r="T286" s="23" t="s">
        <v>99</v>
      </c>
      <c r="U286" s="23" t="s">
        <v>99</v>
      </c>
      <c r="V286" s="23" t="s">
        <v>99</v>
      </c>
      <c r="W286" s="23" t="s">
        <v>99</v>
      </c>
      <c r="X286" s="28"/>
      <c r="Y286" s="28" t="str">
        <f aca="false">"다음 편: "&amp;J287</f>
        <v>다음 편: 과부의 기름병</v>
      </c>
    </row>
    <row r="287" customFormat="false" ht="26.85" hidden="false" customHeight="false" outlineLevel="0" collapsed="false">
      <c r="A287" s="20" t="n">
        <v>286</v>
      </c>
      <c r="B287" s="20" t="s">
        <v>2775</v>
      </c>
      <c r="C287" s="20" t="s">
        <v>2776</v>
      </c>
      <c r="D287" s="20" t="s">
        <v>2765</v>
      </c>
      <c r="E287" s="21" t="s">
        <v>2766</v>
      </c>
      <c r="F287" s="22" t="s">
        <v>88</v>
      </c>
      <c r="G287" s="22" t="s">
        <v>2734</v>
      </c>
      <c r="H287" s="21" t="s">
        <v>2777</v>
      </c>
      <c r="I287" s="23" t="s">
        <v>91</v>
      </c>
      <c r="J287" s="24" t="s">
        <v>2778</v>
      </c>
      <c r="K287" s="24" t="s">
        <v>2779</v>
      </c>
      <c r="L287" s="24" t="s">
        <v>2780</v>
      </c>
      <c r="M287" s="24" t="s">
        <v>2781</v>
      </c>
      <c r="N287" s="24" t="s">
        <v>2782</v>
      </c>
      <c r="O287" s="24" t="s">
        <v>2783</v>
      </c>
      <c r="P287" s="28"/>
      <c r="Q287" s="28" t="str">
        <f aca="false">"["&amp;안내!$C$5&amp;" "&amp;C287&amp;"] "&amp;J287&amp;" | "&amp;H287</f>
        <v>[1분 성경 #0286] 과부의 기름병 | 왕하 4:1-7</v>
      </c>
      <c r="R287" s="23" t="n">
        <f aca="false">INT((A287-1)/안내!$C$9)+1</f>
        <v>58</v>
      </c>
      <c r="S287" s="26" t="n">
        <f aca="false">안내!$C$10+(R287-1)*7+MOD(A287-1,안내!$C$9)</f>
        <v>46790</v>
      </c>
      <c r="T287" s="23" t="s">
        <v>99</v>
      </c>
      <c r="U287" s="23" t="s">
        <v>99</v>
      </c>
      <c r="V287" s="23" t="s">
        <v>99</v>
      </c>
      <c r="W287" s="23" t="s">
        <v>99</v>
      </c>
      <c r="X287" s="28"/>
      <c r="Y287" s="28" t="str">
        <f aca="false">"다음 편: "&amp;J288</f>
        <v>다음 편: 수넴 여인의 아들</v>
      </c>
    </row>
    <row r="288" customFormat="false" ht="26.85" hidden="false" customHeight="false" outlineLevel="0" collapsed="false">
      <c r="A288" s="20" t="n">
        <v>287</v>
      </c>
      <c r="B288" s="20" t="s">
        <v>2784</v>
      </c>
      <c r="C288" s="20" t="s">
        <v>2785</v>
      </c>
      <c r="D288" s="20" t="s">
        <v>2765</v>
      </c>
      <c r="E288" s="21" t="s">
        <v>2766</v>
      </c>
      <c r="F288" s="22" t="s">
        <v>88</v>
      </c>
      <c r="G288" s="22" t="s">
        <v>2734</v>
      </c>
      <c r="H288" s="21" t="s">
        <v>2786</v>
      </c>
      <c r="I288" s="23" t="s">
        <v>91</v>
      </c>
      <c r="J288" s="24" t="s">
        <v>2787</v>
      </c>
      <c r="K288" s="24" t="s">
        <v>2788</v>
      </c>
      <c r="L288" s="24" t="s">
        <v>2789</v>
      </c>
      <c r="M288" s="24" t="s">
        <v>2790</v>
      </c>
      <c r="N288" s="24" t="s">
        <v>2791</v>
      </c>
      <c r="O288" s="24" t="s">
        <v>2792</v>
      </c>
      <c r="P288" s="28"/>
      <c r="Q288" s="28" t="str">
        <f aca="false">"["&amp;안내!$C$5&amp;" "&amp;C288&amp;"] "&amp;J288&amp;" | "&amp;H288</f>
        <v>[1분 성경 #0287] 수넴 여인의 아들 | 왕하 4:8-37</v>
      </c>
      <c r="R288" s="23" t="n">
        <f aca="false">INT((A288-1)/안내!$C$9)+1</f>
        <v>58</v>
      </c>
      <c r="S288" s="26" t="n">
        <f aca="false">안내!$C$10+(R288-1)*7+MOD(A288-1,안내!$C$9)</f>
        <v>46791</v>
      </c>
      <c r="T288" s="23" t="s">
        <v>99</v>
      </c>
      <c r="U288" s="23" t="s">
        <v>99</v>
      </c>
      <c r="V288" s="23" t="s">
        <v>99</v>
      </c>
      <c r="W288" s="23" t="s">
        <v>99</v>
      </c>
      <c r="X288" s="28"/>
      <c r="Y288" s="28" t="str">
        <f aca="false">"다음 편: "&amp;J289</f>
        <v>다음 편: 국 속의 독, 보리떡 20개</v>
      </c>
    </row>
    <row r="289" customFormat="false" ht="25.35" hidden="false" customHeight="false" outlineLevel="0" collapsed="false">
      <c r="A289" s="20" t="n">
        <v>288</v>
      </c>
      <c r="B289" s="20" t="s">
        <v>2793</v>
      </c>
      <c r="C289" s="20" t="s">
        <v>2794</v>
      </c>
      <c r="D289" s="20" t="s">
        <v>2765</v>
      </c>
      <c r="E289" s="21" t="s">
        <v>2766</v>
      </c>
      <c r="F289" s="22" t="s">
        <v>88</v>
      </c>
      <c r="G289" s="22" t="s">
        <v>2734</v>
      </c>
      <c r="H289" s="21" t="s">
        <v>2795</v>
      </c>
      <c r="I289" s="23" t="s">
        <v>91</v>
      </c>
      <c r="J289" s="24" t="s">
        <v>2796</v>
      </c>
      <c r="K289" s="24" t="s">
        <v>2797</v>
      </c>
      <c r="L289" s="24" t="s">
        <v>2798</v>
      </c>
      <c r="M289" s="24" t="s">
        <v>2799</v>
      </c>
      <c r="N289" s="24" t="s">
        <v>2800</v>
      </c>
      <c r="O289" s="24" t="s">
        <v>2145</v>
      </c>
      <c r="P289" s="25" t="s">
        <v>2801</v>
      </c>
      <c r="Q289" s="28" t="str">
        <f aca="false">"["&amp;안내!$C$5&amp;" "&amp;C289&amp;"] "&amp;J289&amp;" | "&amp;H289</f>
        <v>[1분 성경 #0288] 국 속의 독, 보리떡 20개 | 왕하 4:38-44</v>
      </c>
      <c r="R289" s="23" t="n">
        <f aca="false">INT((A289-1)/안내!$C$9)+1</f>
        <v>58</v>
      </c>
      <c r="S289" s="26" t="n">
        <f aca="false">안내!$C$10+(R289-1)*7+MOD(A289-1,안내!$C$9)</f>
        <v>46792</v>
      </c>
      <c r="T289" s="23" t="s">
        <v>99</v>
      </c>
      <c r="U289" s="23" t="s">
        <v>99</v>
      </c>
      <c r="V289" s="23" t="s">
        <v>99</v>
      </c>
      <c r="W289" s="23" t="s">
        <v>99</v>
      </c>
      <c r="X289" s="28"/>
      <c r="Y289" s="28" t="str">
        <f aca="false">"다음 편: "&amp;J290</f>
        <v>다음 편: 요단강에 일곱 번</v>
      </c>
    </row>
    <row r="290" customFormat="false" ht="15" hidden="false" customHeight="false" outlineLevel="0" collapsed="false">
      <c r="A290" s="20" t="n">
        <v>289</v>
      </c>
      <c r="B290" s="20" t="s">
        <v>2802</v>
      </c>
      <c r="C290" s="20" t="s">
        <v>2803</v>
      </c>
      <c r="D290" s="20" t="s">
        <v>2765</v>
      </c>
      <c r="E290" s="21" t="s">
        <v>2766</v>
      </c>
      <c r="F290" s="22" t="s">
        <v>88</v>
      </c>
      <c r="G290" s="22" t="s">
        <v>2734</v>
      </c>
      <c r="H290" s="21" t="s">
        <v>2804</v>
      </c>
      <c r="I290" s="23" t="s">
        <v>91</v>
      </c>
      <c r="J290" s="24" t="s">
        <v>2805</v>
      </c>
      <c r="K290" s="24" t="s">
        <v>2806</v>
      </c>
      <c r="L290" s="24" t="s">
        <v>2807</v>
      </c>
      <c r="M290" s="24" t="s">
        <v>2808</v>
      </c>
      <c r="N290" s="24" t="s">
        <v>2809</v>
      </c>
      <c r="O290" s="24" t="s">
        <v>2810</v>
      </c>
      <c r="P290" s="28"/>
      <c r="Q290" s="28" t="str">
        <f aca="false">"["&amp;안내!$C$5&amp;" "&amp;C290&amp;"] "&amp;J290&amp;" | "&amp;H290</f>
        <v>[1분 성경 #0289] 요단강에 일곱 번 | 왕하 5:1-19</v>
      </c>
      <c r="R290" s="23" t="n">
        <f aca="false">INT((A290-1)/안내!$C$9)+1</f>
        <v>58</v>
      </c>
      <c r="S290" s="26" t="n">
        <f aca="false">안내!$C$10+(R290-1)*7+MOD(A290-1,안내!$C$9)</f>
        <v>46793</v>
      </c>
      <c r="T290" s="23" t="s">
        <v>99</v>
      </c>
      <c r="U290" s="23" t="s">
        <v>99</v>
      </c>
      <c r="V290" s="23" t="s">
        <v>99</v>
      </c>
      <c r="W290" s="23" t="s">
        <v>99</v>
      </c>
      <c r="X290" s="28"/>
      <c r="Y290" s="28" t="str">
        <f aca="false">"다음 편: "&amp;J291</f>
        <v>다음 편: 게하시의 거짓말</v>
      </c>
    </row>
    <row r="291" customFormat="false" ht="15" hidden="false" customHeight="false" outlineLevel="0" collapsed="false">
      <c r="A291" s="20" t="n">
        <v>290</v>
      </c>
      <c r="B291" s="20" t="s">
        <v>2811</v>
      </c>
      <c r="C291" s="20" t="s">
        <v>2812</v>
      </c>
      <c r="D291" s="20" t="s">
        <v>2765</v>
      </c>
      <c r="E291" s="21" t="s">
        <v>2766</v>
      </c>
      <c r="F291" s="22" t="s">
        <v>88</v>
      </c>
      <c r="G291" s="22" t="s">
        <v>2734</v>
      </c>
      <c r="H291" s="21" t="s">
        <v>2813</v>
      </c>
      <c r="I291" s="23" t="s">
        <v>91</v>
      </c>
      <c r="J291" s="24" t="s">
        <v>2814</v>
      </c>
      <c r="K291" s="24" t="s">
        <v>2815</v>
      </c>
      <c r="L291" s="24" t="s">
        <v>2816</v>
      </c>
      <c r="M291" s="24" t="s">
        <v>2817</v>
      </c>
      <c r="N291" s="24" t="s">
        <v>2818</v>
      </c>
      <c r="O291" s="24" t="s">
        <v>2819</v>
      </c>
      <c r="P291" s="28"/>
      <c r="Q291" s="28" t="str">
        <f aca="false">"["&amp;안내!$C$5&amp;" "&amp;C291&amp;"] "&amp;J291&amp;" | "&amp;H291</f>
        <v>[1분 성경 #0290] 게하시의 거짓말 | 왕하 5:20-27</v>
      </c>
      <c r="R291" s="23" t="n">
        <f aca="false">INT((A291-1)/안내!$C$9)+1</f>
        <v>58</v>
      </c>
      <c r="S291" s="26" t="n">
        <f aca="false">안내!$C$10+(R291-1)*7+MOD(A291-1,안내!$C$9)</f>
        <v>46794</v>
      </c>
      <c r="T291" s="23" t="s">
        <v>99</v>
      </c>
      <c r="U291" s="23" t="s">
        <v>99</v>
      </c>
      <c r="V291" s="23" t="s">
        <v>99</v>
      </c>
      <c r="W291" s="23" t="s">
        <v>99</v>
      </c>
      <c r="X291" s="28"/>
      <c r="Y291" s="28" t="str">
        <f aca="false">"다음 편: "&amp;J292</f>
        <v>다음 편: 떠오른 도끼</v>
      </c>
    </row>
    <row r="292" customFormat="false" ht="15" hidden="false" customHeight="false" outlineLevel="0" collapsed="false">
      <c r="A292" s="20" t="n">
        <v>291</v>
      </c>
      <c r="B292" s="20" t="s">
        <v>2820</v>
      </c>
      <c r="C292" s="20" t="s">
        <v>2821</v>
      </c>
      <c r="D292" s="20" t="s">
        <v>2765</v>
      </c>
      <c r="E292" s="21" t="s">
        <v>2766</v>
      </c>
      <c r="F292" s="22" t="s">
        <v>88</v>
      </c>
      <c r="G292" s="22" t="s">
        <v>2734</v>
      </c>
      <c r="H292" s="21" t="s">
        <v>2822</v>
      </c>
      <c r="I292" s="23" t="s">
        <v>91</v>
      </c>
      <c r="J292" s="24" t="s">
        <v>2823</v>
      </c>
      <c r="K292" s="24" t="s">
        <v>2824</v>
      </c>
      <c r="L292" s="24" t="s">
        <v>2825</v>
      </c>
      <c r="M292" s="24" t="s">
        <v>2826</v>
      </c>
      <c r="N292" s="24" t="s">
        <v>2827</v>
      </c>
      <c r="O292" s="24" t="s">
        <v>2828</v>
      </c>
      <c r="P292" s="28"/>
      <c r="Q292" s="28" t="str">
        <f aca="false">"["&amp;안내!$C$5&amp;" "&amp;C292&amp;"] "&amp;J292&amp;" | "&amp;H292</f>
        <v>[1분 성경 #0291] 떠오른 도끼 | 왕하 6:1-7</v>
      </c>
      <c r="R292" s="23" t="n">
        <f aca="false">INT((A292-1)/안내!$C$9)+1</f>
        <v>59</v>
      </c>
      <c r="S292" s="26" t="n">
        <f aca="false">안내!$C$10+(R292-1)*7+MOD(A292-1,안내!$C$9)</f>
        <v>46797</v>
      </c>
      <c r="T292" s="23" t="s">
        <v>99</v>
      </c>
      <c r="U292" s="23" t="s">
        <v>99</v>
      </c>
      <c r="V292" s="23" t="s">
        <v>99</v>
      </c>
      <c r="W292" s="23" t="s">
        <v>99</v>
      </c>
      <c r="X292" s="28"/>
      <c r="Y292" s="28" t="str">
        <f aca="false">"다음 편: "&amp;J293</f>
        <v>다음 편: 불말과 불병거</v>
      </c>
    </row>
    <row r="293" customFormat="false" ht="15" hidden="false" customHeight="false" outlineLevel="0" collapsed="false">
      <c r="A293" s="20" t="n">
        <v>292</v>
      </c>
      <c r="B293" s="20" t="s">
        <v>2829</v>
      </c>
      <c r="C293" s="20" t="s">
        <v>2830</v>
      </c>
      <c r="D293" s="20" t="s">
        <v>2765</v>
      </c>
      <c r="E293" s="21" t="s">
        <v>2766</v>
      </c>
      <c r="F293" s="22" t="s">
        <v>88</v>
      </c>
      <c r="G293" s="22" t="s">
        <v>2734</v>
      </c>
      <c r="H293" s="21" t="s">
        <v>2831</v>
      </c>
      <c r="I293" s="23" t="s">
        <v>91</v>
      </c>
      <c r="J293" s="24" t="s">
        <v>2832</v>
      </c>
      <c r="K293" s="24" t="s">
        <v>2833</v>
      </c>
      <c r="L293" s="24" t="s">
        <v>2834</v>
      </c>
      <c r="M293" s="24" t="s">
        <v>2835</v>
      </c>
      <c r="N293" s="24" t="s">
        <v>2836</v>
      </c>
      <c r="O293" s="24" t="s">
        <v>2837</v>
      </c>
      <c r="P293" s="28"/>
      <c r="Q293" s="28" t="str">
        <f aca="false">"["&amp;안내!$C$5&amp;" "&amp;C293&amp;"] "&amp;J293&amp;" | "&amp;H293</f>
        <v>[1분 성경 #0292] 불말과 불병거 | 왕하 6:8-23</v>
      </c>
      <c r="R293" s="23" t="n">
        <f aca="false">INT((A293-1)/안내!$C$9)+1</f>
        <v>59</v>
      </c>
      <c r="S293" s="26" t="n">
        <f aca="false">안내!$C$10+(R293-1)*7+MOD(A293-1,안내!$C$9)</f>
        <v>46798</v>
      </c>
      <c r="T293" s="23" t="s">
        <v>99</v>
      </c>
      <c r="U293" s="23" t="s">
        <v>99</v>
      </c>
      <c r="V293" s="23" t="s">
        <v>99</v>
      </c>
      <c r="W293" s="23" t="s">
        <v>99</v>
      </c>
      <c r="X293" s="28"/>
      <c r="Y293" s="28" t="str">
        <f aca="false">"다음 편: "&amp;J294</f>
        <v>다음 편: 네 명의 나병환자</v>
      </c>
    </row>
    <row r="294" customFormat="false" ht="26.85" hidden="false" customHeight="false" outlineLevel="0" collapsed="false">
      <c r="A294" s="20" t="n">
        <v>293</v>
      </c>
      <c r="B294" s="20" t="s">
        <v>2838</v>
      </c>
      <c r="C294" s="20" t="s">
        <v>2839</v>
      </c>
      <c r="D294" s="20" t="s">
        <v>2765</v>
      </c>
      <c r="E294" s="21" t="s">
        <v>2766</v>
      </c>
      <c r="F294" s="22" t="s">
        <v>88</v>
      </c>
      <c r="G294" s="22" t="s">
        <v>2734</v>
      </c>
      <c r="H294" s="21" t="s">
        <v>2840</v>
      </c>
      <c r="I294" s="23" t="s">
        <v>91</v>
      </c>
      <c r="J294" s="24" t="s">
        <v>2841</v>
      </c>
      <c r="K294" s="24" t="s">
        <v>2842</v>
      </c>
      <c r="L294" s="24" t="s">
        <v>2843</v>
      </c>
      <c r="M294" s="24" t="s">
        <v>2844</v>
      </c>
      <c r="N294" s="24" t="s">
        <v>2845</v>
      </c>
      <c r="O294" s="24" t="s">
        <v>2846</v>
      </c>
      <c r="P294" s="27" t="s">
        <v>2847</v>
      </c>
      <c r="Q294" s="28" t="str">
        <f aca="false">"["&amp;안내!$C$5&amp;" "&amp;C294&amp;"] "&amp;J294&amp;" | "&amp;H294</f>
        <v>[1분 성경 #0293] 네 명의 나병환자 | 왕하 6:24-7:20</v>
      </c>
      <c r="R294" s="23" t="n">
        <f aca="false">INT((A294-1)/안내!$C$9)+1</f>
        <v>59</v>
      </c>
      <c r="S294" s="26" t="n">
        <f aca="false">안내!$C$10+(R294-1)*7+MOD(A294-1,안내!$C$9)</f>
        <v>46799</v>
      </c>
      <c r="T294" s="23" t="s">
        <v>99</v>
      </c>
      <c r="U294" s="23" t="s">
        <v>99</v>
      </c>
      <c r="V294" s="23" t="s">
        <v>99</v>
      </c>
      <c r="W294" s="23" t="s">
        <v>99</v>
      </c>
      <c r="X294" s="28"/>
      <c r="Y294" s="28" t="str">
        <f aca="false">"다음 편: "&amp;J295</f>
        <v>다음 편: 돌려받은 땅</v>
      </c>
    </row>
    <row r="295" customFormat="false" ht="26.85" hidden="false" customHeight="false" outlineLevel="0" collapsed="false">
      <c r="A295" s="20" t="n">
        <v>294</v>
      </c>
      <c r="B295" s="20" t="s">
        <v>2848</v>
      </c>
      <c r="C295" s="20" t="s">
        <v>2849</v>
      </c>
      <c r="D295" s="20" t="s">
        <v>2765</v>
      </c>
      <c r="E295" s="21" t="s">
        <v>2766</v>
      </c>
      <c r="F295" s="22" t="s">
        <v>88</v>
      </c>
      <c r="G295" s="22" t="s">
        <v>2734</v>
      </c>
      <c r="H295" s="21" t="s">
        <v>2850</v>
      </c>
      <c r="I295" s="23" t="s">
        <v>91</v>
      </c>
      <c r="J295" s="24" t="s">
        <v>2851</v>
      </c>
      <c r="K295" s="24" t="s">
        <v>2852</v>
      </c>
      <c r="L295" s="24" t="s">
        <v>2853</v>
      </c>
      <c r="M295" s="24" t="s">
        <v>2854</v>
      </c>
      <c r="N295" s="24" t="s">
        <v>2855</v>
      </c>
      <c r="O295" s="24" t="s">
        <v>2856</v>
      </c>
      <c r="P295" s="28"/>
      <c r="Q295" s="28" t="str">
        <f aca="false">"["&amp;안내!$C$5&amp;" "&amp;C295&amp;"] "&amp;J295&amp;" | "&amp;H295</f>
        <v>[1분 성경 #0294] 돌려받은 땅 | 왕하 8:1-29</v>
      </c>
      <c r="R295" s="23" t="n">
        <f aca="false">INT((A295-1)/안내!$C$9)+1</f>
        <v>59</v>
      </c>
      <c r="S295" s="26" t="n">
        <f aca="false">안내!$C$10+(R295-1)*7+MOD(A295-1,안내!$C$9)</f>
        <v>46800</v>
      </c>
      <c r="T295" s="23" t="s">
        <v>99</v>
      </c>
      <c r="U295" s="23" t="s">
        <v>99</v>
      </c>
      <c r="V295" s="23" t="s">
        <v>99</v>
      </c>
      <c r="W295" s="23" t="s">
        <v>99</v>
      </c>
      <c r="X295" s="28"/>
      <c r="Y295" s="28" t="str">
        <f aca="false">"다음 편: "&amp;J296</f>
        <v>다음 편: 예후의 질주</v>
      </c>
    </row>
    <row r="296" customFormat="false" ht="15" hidden="false" customHeight="false" outlineLevel="0" collapsed="false">
      <c r="A296" s="20" t="n">
        <v>295</v>
      </c>
      <c r="B296" s="20" t="s">
        <v>2857</v>
      </c>
      <c r="C296" s="20" t="s">
        <v>2858</v>
      </c>
      <c r="D296" s="20" t="s">
        <v>2859</v>
      </c>
      <c r="E296" s="21" t="s">
        <v>2860</v>
      </c>
      <c r="F296" s="22" t="s">
        <v>88</v>
      </c>
      <c r="G296" s="22" t="s">
        <v>2734</v>
      </c>
      <c r="H296" s="21" t="s">
        <v>2861</v>
      </c>
      <c r="I296" s="23" t="s">
        <v>91</v>
      </c>
      <c r="J296" s="24" t="s">
        <v>2862</v>
      </c>
      <c r="K296" s="24" t="s">
        <v>2863</v>
      </c>
      <c r="L296" s="24" t="s">
        <v>2864</v>
      </c>
      <c r="M296" s="24" t="s">
        <v>736</v>
      </c>
      <c r="N296" s="24" t="s">
        <v>2865</v>
      </c>
      <c r="O296" s="24" t="s">
        <v>2866</v>
      </c>
      <c r="P296" s="25" t="s">
        <v>2867</v>
      </c>
      <c r="Q296" s="28" t="str">
        <f aca="false">"["&amp;안내!$C$5&amp;" "&amp;C296&amp;"] "&amp;J296&amp;" | "&amp;H296</f>
        <v>[1분 성경 #0295] 예후의 질주 | 왕하 9:1-37</v>
      </c>
      <c r="R296" s="23" t="n">
        <f aca="false">INT((A296-1)/안내!$C$9)+1</f>
        <v>59</v>
      </c>
      <c r="S296" s="26" t="n">
        <f aca="false">안내!$C$10+(R296-1)*7+MOD(A296-1,안내!$C$9)</f>
        <v>46801</v>
      </c>
      <c r="T296" s="23" t="s">
        <v>99</v>
      </c>
      <c r="U296" s="23" t="s">
        <v>99</v>
      </c>
      <c r="V296" s="23" t="s">
        <v>99</v>
      </c>
      <c r="W296" s="23" t="s">
        <v>99</v>
      </c>
      <c r="X296" s="28"/>
      <c r="Y296" s="28" t="str">
        <f aca="false">"다음 편: "&amp;J297</f>
        <v>다음 편: 반쪽짜리 개혁</v>
      </c>
    </row>
    <row r="297" customFormat="false" ht="26.85" hidden="false" customHeight="false" outlineLevel="0" collapsed="false">
      <c r="A297" s="20" t="n">
        <v>296</v>
      </c>
      <c r="B297" s="20" t="s">
        <v>2868</v>
      </c>
      <c r="C297" s="20" t="s">
        <v>2869</v>
      </c>
      <c r="D297" s="20" t="s">
        <v>2859</v>
      </c>
      <c r="E297" s="21" t="s">
        <v>2860</v>
      </c>
      <c r="F297" s="22" t="s">
        <v>88</v>
      </c>
      <c r="G297" s="22" t="s">
        <v>2734</v>
      </c>
      <c r="H297" s="21" t="s">
        <v>2870</v>
      </c>
      <c r="I297" s="23" t="s">
        <v>91</v>
      </c>
      <c r="J297" s="24" t="s">
        <v>2871</v>
      </c>
      <c r="K297" s="24" t="s">
        <v>2872</v>
      </c>
      <c r="L297" s="24" t="s">
        <v>2873</v>
      </c>
      <c r="M297" s="24" t="s">
        <v>2874</v>
      </c>
      <c r="N297" s="24" t="s">
        <v>2875</v>
      </c>
      <c r="O297" s="24" t="s">
        <v>2876</v>
      </c>
      <c r="P297" s="25" t="s">
        <v>1908</v>
      </c>
      <c r="Q297" s="28" t="str">
        <f aca="false">"["&amp;안내!$C$5&amp;" "&amp;C297&amp;"] "&amp;J297&amp;" | "&amp;H297</f>
        <v>[1분 성경 #0296] 반쪽짜리 개혁 | 왕하 10:1-36</v>
      </c>
      <c r="R297" s="23" t="n">
        <f aca="false">INT((A297-1)/안내!$C$9)+1</f>
        <v>60</v>
      </c>
      <c r="S297" s="26" t="n">
        <f aca="false">안내!$C$10+(R297-1)*7+MOD(A297-1,안내!$C$9)</f>
        <v>46804</v>
      </c>
      <c r="T297" s="23" t="s">
        <v>99</v>
      </c>
      <c r="U297" s="23" t="s">
        <v>99</v>
      </c>
      <c r="V297" s="23" t="s">
        <v>99</v>
      </c>
      <c r="W297" s="23" t="s">
        <v>99</v>
      </c>
      <c r="X297" s="28"/>
      <c r="Y297" s="28" t="str">
        <f aca="false">"다음 편: "&amp;J298</f>
        <v>다음 편: 6년 동안 숨겨진 아기 왕</v>
      </c>
    </row>
    <row r="298" customFormat="false" ht="26.85" hidden="false" customHeight="false" outlineLevel="0" collapsed="false">
      <c r="A298" s="20" t="n">
        <v>297</v>
      </c>
      <c r="B298" s="20" t="s">
        <v>2877</v>
      </c>
      <c r="C298" s="20" t="s">
        <v>2878</v>
      </c>
      <c r="D298" s="20" t="s">
        <v>2859</v>
      </c>
      <c r="E298" s="21" t="s">
        <v>2860</v>
      </c>
      <c r="F298" s="22" t="s">
        <v>88</v>
      </c>
      <c r="G298" s="22" t="s">
        <v>2734</v>
      </c>
      <c r="H298" s="21" t="s">
        <v>2879</v>
      </c>
      <c r="I298" s="23" t="s">
        <v>91</v>
      </c>
      <c r="J298" s="28" t="s">
        <v>2880</v>
      </c>
      <c r="K298" s="24" t="s">
        <v>2881</v>
      </c>
      <c r="L298" s="24" t="s">
        <v>2882</v>
      </c>
      <c r="M298" s="24" t="s">
        <v>2883</v>
      </c>
      <c r="N298" s="24" t="s">
        <v>2884</v>
      </c>
      <c r="O298" s="24" t="s">
        <v>2885</v>
      </c>
      <c r="P298" s="28"/>
      <c r="Q298" s="28" t="str">
        <f aca="false">"["&amp;안내!$C$5&amp;" "&amp;C298&amp;"] "&amp;J298&amp;" | "&amp;H298</f>
        <v>[1분 성경 #0297] 6년 동안 숨겨진 아기 왕 | 왕하 11:1-21</v>
      </c>
      <c r="R298" s="23" t="n">
        <f aca="false">INT((A298-1)/안내!$C$9)+1</f>
        <v>60</v>
      </c>
      <c r="S298" s="26" t="n">
        <f aca="false">안내!$C$10+(R298-1)*7+MOD(A298-1,안내!$C$9)</f>
        <v>46805</v>
      </c>
      <c r="T298" s="23" t="s">
        <v>99</v>
      </c>
      <c r="U298" s="23" t="s">
        <v>99</v>
      </c>
      <c r="V298" s="23" t="s">
        <v>99</v>
      </c>
      <c r="W298" s="23" t="s">
        <v>99</v>
      </c>
      <c r="X298" s="28"/>
      <c r="Y298" s="28" t="str">
        <f aca="false">"다음 편: "&amp;J299</f>
        <v>다음 편: 성전을 수리하다</v>
      </c>
    </row>
    <row r="299" customFormat="false" ht="26.85" hidden="false" customHeight="false" outlineLevel="0" collapsed="false">
      <c r="A299" s="20" t="n">
        <v>298</v>
      </c>
      <c r="B299" s="20" t="s">
        <v>2886</v>
      </c>
      <c r="C299" s="20" t="s">
        <v>2887</v>
      </c>
      <c r="D299" s="20" t="s">
        <v>2859</v>
      </c>
      <c r="E299" s="21" t="s">
        <v>2860</v>
      </c>
      <c r="F299" s="22" t="s">
        <v>88</v>
      </c>
      <c r="G299" s="22" t="s">
        <v>2734</v>
      </c>
      <c r="H299" s="21" t="s">
        <v>2888</v>
      </c>
      <c r="I299" s="23" t="s">
        <v>91</v>
      </c>
      <c r="J299" s="24" t="s">
        <v>2889</v>
      </c>
      <c r="K299" s="24" t="s">
        <v>2890</v>
      </c>
      <c r="L299" s="24" t="s">
        <v>2891</v>
      </c>
      <c r="M299" s="24" t="s">
        <v>2892</v>
      </c>
      <c r="N299" s="24" t="s">
        <v>2893</v>
      </c>
      <c r="O299" s="24" t="s">
        <v>2894</v>
      </c>
      <c r="P299" s="28"/>
      <c r="Q299" s="28" t="str">
        <f aca="false">"["&amp;안내!$C$5&amp;" "&amp;C299&amp;"] "&amp;J299&amp;" | "&amp;H299</f>
        <v>[1분 성경 #0298] 성전을 수리하다 | 왕하 12:1-21</v>
      </c>
      <c r="R299" s="23" t="n">
        <f aca="false">INT((A299-1)/안내!$C$9)+1</f>
        <v>60</v>
      </c>
      <c r="S299" s="26" t="n">
        <f aca="false">안내!$C$10+(R299-1)*7+MOD(A299-1,안내!$C$9)</f>
        <v>46806</v>
      </c>
      <c r="T299" s="23" t="s">
        <v>99</v>
      </c>
      <c r="U299" s="23" t="s">
        <v>99</v>
      </c>
      <c r="V299" s="23" t="s">
        <v>99</v>
      </c>
      <c r="W299" s="23" t="s">
        <v>99</v>
      </c>
      <c r="X299" s="28"/>
      <c r="Y299" s="28" t="str">
        <f aca="false">"다음 편: "&amp;J300</f>
        <v>다음 편: 엘리사의 뼈</v>
      </c>
    </row>
    <row r="300" customFormat="false" ht="26.85" hidden="false" customHeight="false" outlineLevel="0" collapsed="false">
      <c r="A300" s="20" t="n">
        <v>299</v>
      </c>
      <c r="B300" s="20" t="s">
        <v>2895</v>
      </c>
      <c r="C300" s="20" t="s">
        <v>2896</v>
      </c>
      <c r="D300" s="20" t="s">
        <v>2859</v>
      </c>
      <c r="E300" s="21" t="s">
        <v>2860</v>
      </c>
      <c r="F300" s="22" t="s">
        <v>88</v>
      </c>
      <c r="G300" s="22" t="s">
        <v>2734</v>
      </c>
      <c r="H300" s="21" t="s">
        <v>2897</v>
      </c>
      <c r="I300" s="23" t="s">
        <v>91</v>
      </c>
      <c r="J300" s="24" t="s">
        <v>2898</v>
      </c>
      <c r="K300" s="24" t="s">
        <v>2899</v>
      </c>
      <c r="L300" s="24" t="s">
        <v>2900</v>
      </c>
      <c r="M300" s="24" t="s">
        <v>2901</v>
      </c>
      <c r="N300" s="24" t="s">
        <v>2902</v>
      </c>
      <c r="O300" s="24" t="s">
        <v>2903</v>
      </c>
      <c r="P300" s="25" t="s">
        <v>2904</v>
      </c>
      <c r="Q300" s="28" t="str">
        <f aca="false">"["&amp;안내!$C$5&amp;" "&amp;C300&amp;"] "&amp;J300&amp;" | "&amp;H300</f>
        <v>[1분 성경 #0299] 엘리사의 뼈 | 왕하 13:1-25</v>
      </c>
      <c r="R300" s="23" t="n">
        <f aca="false">INT((A300-1)/안내!$C$9)+1</f>
        <v>60</v>
      </c>
      <c r="S300" s="26" t="n">
        <f aca="false">안내!$C$10+(R300-1)*7+MOD(A300-1,안내!$C$9)</f>
        <v>46807</v>
      </c>
      <c r="T300" s="23" t="s">
        <v>99</v>
      </c>
      <c r="U300" s="23" t="s">
        <v>99</v>
      </c>
      <c r="V300" s="23" t="s">
        <v>99</v>
      </c>
      <c r="W300" s="23" t="s">
        <v>99</v>
      </c>
      <c r="X300" s="28"/>
      <c r="Y300" s="28" t="str">
        <f aca="false">"다음 편: "&amp;J301</f>
        <v>다음 편: 흔들리는 두 왕국</v>
      </c>
    </row>
    <row r="301" customFormat="false" ht="26.85" hidden="false" customHeight="false" outlineLevel="0" collapsed="false">
      <c r="A301" s="20" t="n">
        <v>300</v>
      </c>
      <c r="B301" s="20" t="s">
        <v>2905</v>
      </c>
      <c r="C301" s="20" t="s">
        <v>2906</v>
      </c>
      <c r="D301" s="20" t="s">
        <v>2859</v>
      </c>
      <c r="E301" s="21" t="s">
        <v>2860</v>
      </c>
      <c r="F301" s="22" t="s">
        <v>88</v>
      </c>
      <c r="G301" s="22" t="s">
        <v>2734</v>
      </c>
      <c r="H301" s="21" t="s">
        <v>2907</v>
      </c>
      <c r="I301" s="23" t="s">
        <v>1116</v>
      </c>
      <c r="J301" s="24" t="s">
        <v>2908</v>
      </c>
      <c r="K301" s="24" t="s">
        <v>2909</v>
      </c>
      <c r="L301" s="24" t="s">
        <v>2910</v>
      </c>
      <c r="M301" s="24" t="s">
        <v>2911</v>
      </c>
      <c r="N301" s="24" t="s">
        <v>2912</v>
      </c>
      <c r="O301" s="24" t="s">
        <v>2645</v>
      </c>
      <c r="P301" s="27" t="s">
        <v>2913</v>
      </c>
      <c r="Q301" s="28" t="str">
        <f aca="false">"["&amp;안내!$C$5&amp;" "&amp;C301&amp;"] "&amp;J301&amp;" | "&amp;H301</f>
        <v>[1분 성경 #0300] 흔들리는 두 왕국 | 왕하 14:1-16:20</v>
      </c>
      <c r="R301" s="23" t="n">
        <f aca="false">INT((A301-1)/안내!$C$9)+1</f>
        <v>60</v>
      </c>
      <c r="S301" s="26" t="n">
        <f aca="false">안내!$C$10+(R301-1)*7+MOD(A301-1,안내!$C$9)</f>
        <v>46808</v>
      </c>
      <c r="T301" s="23" t="s">
        <v>99</v>
      </c>
      <c r="U301" s="23" t="s">
        <v>99</v>
      </c>
      <c r="V301" s="23" t="s">
        <v>99</v>
      </c>
      <c r="W301" s="23" t="s">
        <v>99</v>
      </c>
      <c r="X301" s="28"/>
      <c r="Y301" s="28" t="str">
        <f aca="false">"다음 편: "&amp;J302</f>
        <v>다음 편: 북이스라엘의 멸망</v>
      </c>
    </row>
    <row r="302" customFormat="false" ht="26.85" hidden="false" customHeight="false" outlineLevel="0" collapsed="false">
      <c r="A302" s="20" t="n">
        <v>301</v>
      </c>
      <c r="B302" s="20" t="s">
        <v>2914</v>
      </c>
      <c r="C302" s="20" t="s">
        <v>2915</v>
      </c>
      <c r="D302" s="20" t="s">
        <v>2859</v>
      </c>
      <c r="E302" s="21" t="s">
        <v>2860</v>
      </c>
      <c r="F302" s="22" t="s">
        <v>88</v>
      </c>
      <c r="G302" s="22" t="s">
        <v>2734</v>
      </c>
      <c r="H302" s="21" t="s">
        <v>2916</v>
      </c>
      <c r="I302" s="23" t="s">
        <v>91</v>
      </c>
      <c r="J302" s="24" t="s">
        <v>2860</v>
      </c>
      <c r="K302" s="24" t="s">
        <v>2917</v>
      </c>
      <c r="L302" s="24" t="s">
        <v>2918</v>
      </c>
      <c r="M302" s="24" t="s">
        <v>2919</v>
      </c>
      <c r="N302" s="24" t="s">
        <v>2920</v>
      </c>
      <c r="O302" s="24" t="s">
        <v>2921</v>
      </c>
      <c r="P302" s="28"/>
      <c r="Q302" s="28" t="str">
        <f aca="false">"["&amp;안내!$C$5&amp;" "&amp;C302&amp;"] "&amp;J302&amp;" | "&amp;H302</f>
        <v>[1분 성경 #0301] 북이스라엘의 멸망 | 왕하 17:1-41</v>
      </c>
      <c r="R302" s="23" t="n">
        <f aca="false">INT((A302-1)/안내!$C$9)+1</f>
        <v>61</v>
      </c>
      <c r="S302" s="26" t="n">
        <f aca="false">안내!$C$10+(R302-1)*7+MOD(A302-1,안내!$C$9)</f>
        <v>46811</v>
      </c>
      <c r="T302" s="23" t="s">
        <v>99</v>
      </c>
      <c r="U302" s="23" t="s">
        <v>99</v>
      </c>
      <c r="V302" s="23" t="s">
        <v>99</v>
      </c>
      <c r="W302" s="23" t="s">
        <v>99</v>
      </c>
      <c r="X302" s="28"/>
      <c r="Y302" s="28" t="str">
        <f aca="false">"다음 편: "&amp;J303</f>
        <v>다음 편: 히스기야와 랍사게</v>
      </c>
    </row>
    <row r="303" customFormat="false" ht="26.85" hidden="false" customHeight="false" outlineLevel="0" collapsed="false">
      <c r="A303" s="20" t="n">
        <v>302</v>
      </c>
      <c r="B303" s="20" t="s">
        <v>2922</v>
      </c>
      <c r="C303" s="20" t="s">
        <v>2923</v>
      </c>
      <c r="D303" s="20" t="s">
        <v>2924</v>
      </c>
      <c r="E303" s="21" t="s">
        <v>2925</v>
      </c>
      <c r="F303" s="22" t="s">
        <v>88</v>
      </c>
      <c r="G303" s="22" t="s">
        <v>2734</v>
      </c>
      <c r="H303" s="21" t="s">
        <v>2926</v>
      </c>
      <c r="I303" s="23" t="s">
        <v>91</v>
      </c>
      <c r="J303" s="24" t="s">
        <v>2927</v>
      </c>
      <c r="K303" s="24" t="s">
        <v>2928</v>
      </c>
      <c r="L303" s="24" t="s">
        <v>2929</v>
      </c>
      <c r="M303" s="24" t="s">
        <v>2930</v>
      </c>
      <c r="N303" s="24" t="s">
        <v>2931</v>
      </c>
      <c r="O303" s="24" t="s">
        <v>2932</v>
      </c>
      <c r="P303" s="28"/>
      <c r="Q303" s="28" t="str">
        <f aca="false">"["&amp;안내!$C$5&amp;" "&amp;C303&amp;"] "&amp;J303&amp;" | "&amp;H303</f>
        <v>[1분 성경 #0302] 히스기야와 랍사게 | 왕하 18:1-37</v>
      </c>
      <c r="R303" s="23" t="n">
        <f aca="false">INT((A303-1)/안내!$C$9)+1</f>
        <v>61</v>
      </c>
      <c r="S303" s="26" t="n">
        <f aca="false">안내!$C$10+(R303-1)*7+MOD(A303-1,안내!$C$9)</f>
        <v>46812</v>
      </c>
      <c r="T303" s="23" t="s">
        <v>99</v>
      </c>
      <c r="U303" s="23" t="s">
        <v>99</v>
      </c>
      <c r="V303" s="23" t="s">
        <v>99</v>
      </c>
      <c r="W303" s="23" t="s">
        <v>99</v>
      </c>
      <c r="X303" s="28"/>
      <c r="Y303" s="28" t="str">
        <f aca="false">"다음 편: "&amp;J304</f>
        <v>다음 편: 편지를 펴 놓고 기도하다</v>
      </c>
    </row>
    <row r="304" customFormat="false" ht="26.85" hidden="false" customHeight="false" outlineLevel="0" collapsed="false">
      <c r="A304" s="20" t="n">
        <v>303</v>
      </c>
      <c r="B304" s="20" t="s">
        <v>2933</v>
      </c>
      <c r="C304" s="20" t="s">
        <v>2934</v>
      </c>
      <c r="D304" s="20" t="s">
        <v>2924</v>
      </c>
      <c r="E304" s="21" t="s">
        <v>2925</v>
      </c>
      <c r="F304" s="22" t="s">
        <v>88</v>
      </c>
      <c r="G304" s="22" t="s">
        <v>2734</v>
      </c>
      <c r="H304" s="21" t="s">
        <v>2935</v>
      </c>
      <c r="I304" s="23" t="s">
        <v>91</v>
      </c>
      <c r="J304" s="24" t="s">
        <v>2936</v>
      </c>
      <c r="K304" s="24" t="s">
        <v>2937</v>
      </c>
      <c r="L304" s="24" t="s">
        <v>2938</v>
      </c>
      <c r="M304" s="24" t="s">
        <v>2939</v>
      </c>
      <c r="N304" s="24" t="s">
        <v>2940</v>
      </c>
      <c r="O304" s="24" t="s">
        <v>2941</v>
      </c>
      <c r="P304" s="25" t="s">
        <v>2942</v>
      </c>
      <c r="Q304" s="28" t="str">
        <f aca="false">"["&amp;안내!$C$5&amp;" "&amp;C304&amp;"] "&amp;J304&amp;" | "&amp;H304</f>
        <v>[1분 성경 #0303] 편지를 펴 놓고 기도하다 | 왕하 19:1-37</v>
      </c>
      <c r="R304" s="23" t="n">
        <f aca="false">INT((A304-1)/안내!$C$9)+1</f>
        <v>61</v>
      </c>
      <c r="S304" s="26" t="n">
        <f aca="false">안내!$C$10+(R304-1)*7+MOD(A304-1,안내!$C$9)</f>
        <v>46813</v>
      </c>
      <c r="T304" s="23" t="s">
        <v>99</v>
      </c>
      <c r="U304" s="23" t="s">
        <v>99</v>
      </c>
      <c r="V304" s="23" t="s">
        <v>99</v>
      </c>
      <c r="W304" s="23" t="s">
        <v>99</v>
      </c>
      <c r="X304" s="28"/>
      <c r="Y304" s="28" t="str">
        <f aca="false">"다음 편: "&amp;J305</f>
        <v>다음 편: 생명 15년 연장</v>
      </c>
    </row>
    <row r="305" customFormat="false" ht="26.85" hidden="false" customHeight="false" outlineLevel="0" collapsed="false">
      <c r="A305" s="20" t="n">
        <v>304</v>
      </c>
      <c r="B305" s="20" t="s">
        <v>2943</v>
      </c>
      <c r="C305" s="20" t="s">
        <v>2944</v>
      </c>
      <c r="D305" s="20" t="s">
        <v>2924</v>
      </c>
      <c r="E305" s="21" t="s">
        <v>2925</v>
      </c>
      <c r="F305" s="22" t="s">
        <v>88</v>
      </c>
      <c r="G305" s="22" t="s">
        <v>2734</v>
      </c>
      <c r="H305" s="21" t="s">
        <v>2945</v>
      </c>
      <c r="I305" s="23" t="s">
        <v>91</v>
      </c>
      <c r="J305" s="24" t="s">
        <v>2946</v>
      </c>
      <c r="K305" s="24" t="s">
        <v>2947</v>
      </c>
      <c r="L305" s="24" t="s">
        <v>2948</v>
      </c>
      <c r="M305" s="24" t="s">
        <v>2949</v>
      </c>
      <c r="N305" s="24" t="s">
        <v>2950</v>
      </c>
      <c r="O305" s="24" t="s">
        <v>2951</v>
      </c>
      <c r="P305" s="28"/>
      <c r="Q305" s="28" t="str">
        <f aca="false">"["&amp;안내!$C$5&amp;" "&amp;C305&amp;"] "&amp;J305&amp;" | "&amp;H305</f>
        <v>[1분 성경 #0304] 생명 15년 연장 | 왕하 20:1-21</v>
      </c>
      <c r="R305" s="23" t="n">
        <f aca="false">INT((A305-1)/안내!$C$9)+1</f>
        <v>61</v>
      </c>
      <c r="S305" s="26" t="n">
        <f aca="false">안내!$C$10+(R305-1)*7+MOD(A305-1,안내!$C$9)</f>
        <v>46814</v>
      </c>
      <c r="T305" s="23" t="s">
        <v>99</v>
      </c>
      <c r="U305" s="23" t="s">
        <v>99</v>
      </c>
      <c r="V305" s="23" t="s">
        <v>99</v>
      </c>
      <c r="W305" s="23" t="s">
        <v>99</v>
      </c>
      <c r="X305" s="28"/>
      <c r="Y305" s="28" t="str">
        <f aca="false">"다음 편: "&amp;J306</f>
        <v>다음 편: 가장 악한 왕 므낫세</v>
      </c>
    </row>
    <row r="306" customFormat="false" ht="26.85" hidden="false" customHeight="false" outlineLevel="0" collapsed="false">
      <c r="A306" s="20" t="n">
        <v>305</v>
      </c>
      <c r="B306" s="20" t="s">
        <v>2952</v>
      </c>
      <c r="C306" s="20" t="s">
        <v>2953</v>
      </c>
      <c r="D306" s="20" t="s">
        <v>2924</v>
      </c>
      <c r="E306" s="21" t="s">
        <v>2925</v>
      </c>
      <c r="F306" s="22" t="s">
        <v>88</v>
      </c>
      <c r="G306" s="22" t="s">
        <v>2734</v>
      </c>
      <c r="H306" s="21" t="s">
        <v>2954</v>
      </c>
      <c r="I306" s="23" t="s">
        <v>91</v>
      </c>
      <c r="J306" s="24" t="s">
        <v>2955</v>
      </c>
      <c r="K306" s="28" t="s">
        <v>2956</v>
      </c>
      <c r="L306" s="24" t="s">
        <v>2957</v>
      </c>
      <c r="M306" s="24" t="s">
        <v>2958</v>
      </c>
      <c r="N306" s="24" t="s">
        <v>2959</v>
      </c>
      <c r="O306" s="24" t="s">
        <v>2447</v>
      </c>
      <c r="P306" s="27" t="s">
        <v>2960</v>
      </c>
      <c r="Q306" s="28" t="str">
        <f aca="false">"["&amp;안내!$C$5&amp;" "&amp;C306&amp;"] "&amp;J306&amp;" | "&amp;H306</f>
        <v>[1분 성경 #0305] 가장 악한 왕 므낫세 | 왕하 21:1-26</v>
      </c>
      <c r="R306" s="23" t="n">
        <f aca="false">INT((A306-1)/안내!$C$9)+1</f>
        <v>61</v>
      </c>
      <c r="S306" s="26" t="n">
        <f aca="false">안내!$C$10+(R306-1)*7+MOD(A306-1,안내!$C$9)</f>
        <v>46815</v>
      </c>
      <c r="T306" s="23" t="s">
        <v>99</v>
      </c>
      <c r="U306" s="23" t="s">
        <v>99</v>
      </c>
      <c r="V306" s="23" t="s">
        <v>99</v>
      </c>
      <c r="W306" s="23" t="s">
        <v>99</v>
      </c>
      <c r="X306" s="28"/>
      <c r="Y306" s="28" t="str">
        <f aca="false">"다음 편: "&amp;J307</f>
        <v>다음 편: 성전에서 발견된 책</v>
      </c>
    </row>
    <row r="307" customFormat="false" ht="25.35" hidden="false" customHeight="false" outlineLevel="0" collapsed="false">
      <c r="A307" s="20" t="n">
        <v>306</v>
      </c>
      <c r="B307" s="20" t="s">
        <v>2961</v>
      </c>
      <c r="C307" s="20" t="s">
        <v>2962</v>
      </c>
      <c r="D307" s="20" t="s">
        <v>2924</v>
      </c>
      <c r="E307" s="21" t="s">
        <v>2925</v>
      </c>
      <c r="F307" s="22" t="s">
        <v>88</v>
      </c>
      <c r="G307" s="22" t="s">
        <v>2734</v>
      </c>
      <c r="H307" s="21" t="s">
        <v>2963</v>
      </c>
      <c r="I307" s="23" t="s">
        <v>91</v>
      </c>
      <c r="J307" s="24" t="s">
        <v>2964</v>
      </c>
      <c r="K307" s="24" t="s">
        <v>2965</v>
      </c>
      <c r="L307" s="24" t="s">
        <v>2966</v>
      </c>
      <c r="M307" s="24" t="s">
        <v>2967</v>
      </c>
      <c r="N307" s="24" t="s">
        <v>2968</v>
      </c>
      <c r="O307" s="24" t="s">
        <v>2894</v>
      </c>
      <c r="P307" s="28"/>
      <c r="Q307" s="28" t="str">
        <f aca="false">"["&amp;안내!$C$5&amp;" "&amp;C307&amp;"] "&amp;J307&amp;" | "&amp;H307</f>
        <v>[1분 성경 #0306] 성전에서 발견된 책 | 왕하 22:1-20</v>
      </c>
      <c r="R307" s="23" t="n">
        <f aca="false">INT((A307-1)/안내!$C$9)+1</f>
        <v>62</v>
      </c>
      <c r="S307" s="26" t="n">
        <f aca="false">안내!$C$10+(R307-1)*7+MOD(A307-1,안내!$C$9)</f>
        <v>46818</v>
      </c>
      <c r="T307" s="23" t="s">
        <v>99</v>
      </c>
      <c r="U307" s="23" t="s">
        <v>99</v>
      </c>
      <c r="V307" s="23" t="s">
        <v>99</v>
      </c>
      <c r="W307" s="23" t="s">
        <v>99</v>
      </c>
      <c r="X307" s="28"/>
      <c r="Y307" s="28" t="str">
        <f aca="false">"다음 편: "&amp;J308</f>
        <v>다음 편: 요시야의 개혁</v>
      </c>
    </row>
    <row r="308" customFormat="false" ht="26.85" hidden="false" customHeight="false" outlineLevel="0" collapsed="false">
      <c r="A308" s="20" t="n">
        <v>307</v>
      </c>
      <c r="B308" s="20" t="s">
        <v>2969</v>
      </c>
      <c r="C308" s="20" t="s">
        <v>2970</v>
      </c>
      <c r="D308" s="20" t="s">
        <v>2924</v>
      </c>
      <c r="E308" s="21" t="s">
        <v>2925</v>
      </c>
      <c r="F308" s="22" t="s">
        <v>88</v>
      </c>
      <c r="G308" s="22" t="s">
        <v>2734</v>
      </c>
      <c r="H308" s="21" t="s">
        <v>2971</v>
      </c>
      <c r="I308" s="23" t="s">
        <v>91</v>
      </c>
      <c r="J308" s="24" t="s">
        <v>2972</v>
      </c>
      <c r="K308" s="24" t="s">
        <v>2973</v>
      </c>
      <c r="L308" s="24" t="s">
        <v>2974</v>
      </c>
      <c r="M308" s="24" t="s">
        <v>2975</v>
      </c>
      <c r="N308" s="24" t="s">
        <v>2976</v>
      </c>
      <c r="O308" s="24" t="s">
        <v>2977</v>
      </c>
      <c r="P308" s="28"/>
      <c r="Q308" s="28" t="str">
        <f aca="false">"["&amp;안내!$C$5&amp;" "&amp;C308&amp;"] "&amp;J308&amp;" | "&amp;H308</f>
        <v>[1분 성경 #0307] 요시야의 개혁 | 왕하 23:1-30</v>
      </c>
      <c r="R308" s="23" t="n">
        <f aca="false">INT((A308-1)/안내!$C$9)+1</f>
        <v>62</v>
      </c>
      <c r="S308" s="26" t="n">
        <f aca="false">안내!$C$10+(R308-1)*7+MOD(A308-1,안내!$C$9)</f>
        <v>46819</v>
      </c>
      <c r="T308" s="23" t="s">
        <v>99</v>
      </c>
      <c r="U308" s="23" t="s">
        <v>99</v>
      </c>
      <c r="V308" s="23" t="s">
        <v>99</v>
      </c>
      <c r="W308" s="23" t="s">
        <v>99</v>
      </c>
      <c r="X308" s="28"/>
      <c r="Y308" s="28" t="str">
        <f aca="false">"다음 편: "&amp;J309</f>
        <v>다음 편: 무너지는 유다</v>
      </c>
    </row>
    <row r="309" customFormat="false" ht="26.85" hidden="false" customHeight="false" outlineLevel="0" collapsed="false">
      <c r="A309" s="20" t="n">
        <v>308</v>
      </c>
      <c r="B309" s="20" t="s">
        <v>2978</v>
      </c>
      <c r="C309" s="20" t="s">
        <v>2979</v>
      </c>
      <c r="D309" s="20" t="s">
        <v>2924</v>
      </c>
      <c r="E309" s="21" t="s">
        <v>2925</v>
      </c>
      <c r="F309" s="22" t="s">
        <v>88</v>
      </c>
      <c r="G309" s="22" t="s">
        <v>2734</v>
      </c>
      <c r="H309" s="21" t="s">
        <v>2980</v>
      </c>
      <c r="I309" s="23" t="s">
        <v>91</v>
      </c>
      <c r="J309" s="24" t="s">
        <v>2981</v>
      </c>
      <c r="K309" s="24" t="s">
        <v>2982</v>
      </c>
      <c r="L309" s="24" t="s">
        <v>2983</v>
      </c>
      <c r="M309" s="24" t="s">
        <v>2984</v>
      </c>
      <c r="N309" s="24" t="s">
        <v>2985</v>
      </c>
      <c r="O309" s="24" t="s">
        <v>2986</v>
      </c>
      <c r="P309" s="28"/>
      <c r="Q309" s="28" t="str">
        <f aca="false">"["&amp;안내!$C$5&amp;" "&amp;C309&amp;"] "&amp;J309&amp;" | "&amp;H309</f>
        <v>[1분 성경 #0308] 무너지는 유다 | 왕하 23:31-24:20</v>
      </c>
      <c r="R309" s="23" t="n">
        <f aca="false">INT((A309-1)/안내!$C$9)+1</f>
        <v>62</v>
      </c>
      <c r="S309" s="26" t="n">
        <f aca="false">안내!$C$10+(R309-1)*7+MOD(A309-1,안내!$C$9)</f>
        <v>46820</v>
      </c>
      <c r="T309" s="23" t="s">
        <v>99</v>
      </c>
      <c r="U309" s="23" t="s">
        <v>99</v>
      </c>
      <c r="V309" s="23" t="s">
        <v>99</v>
      </c>
      <c r="W309" s="23" t="s">
        <v>99</v>
      </c>
      <c r="X309" s="28"/>
      <c r="Y309" s="28" t="str">
        <f aca="false">"다음 편: "&amp;J310</f>
        <v>다음 편: 예루살렘 함락과 작은 소망</v>
      </c>
    </row>
    <row r="310" customFormat="false" ht="26.85" hidden="false" customHeight="false" outlineLevel="0" collapsed="false">
      <c r="A310" s="20" t="n">
        <v>309</v>
      </c>
      <c r="B310" s="20" t="s">
        <v>2987</v>
      </c>
      <c r="C310" s="20" t="s">
        <v>2988</v>
      </c>
      <c r="D310" s="20" t="s">
        <v>2924</v>
      </c>
      <c r="E310" s="21" t="s">
        <v>2925</v>
      </c>
      <c r="F310" s="22" t="s">
        <v>88</v>
      </c>
      <c r="G310" s="22" t="s">
        <v>2734</v>
      </c>
      <c r="H310" s="21" t="s">
        <v>2989</v>
      </c>
      <c r="I310" s="23" t="s">
        <v>91</v>
      </c>
      <c r="J310" s="24" t="s">
        <v>2990</v>
      </c>
      <c r="K310" s="24" t="s">
        <v>2991</v>
      </c>
      <c r="L310" s="24" t="s">
        <v>2992</v>
      </c>
      <c r="M310" s="24" t="s">
        <v>2993</v>
      </c>
      <c r="N310" s="24" t="s">
        <v>2994</v>
      </c>
      <c r="O310" s="24" t="s">
        <v>2995</v>
      </c>
      <c r="P310" s="25" t="s">
        <v>2996</v>
      </c>
      <c r="Q310" s="28" t="str">
        <f aca="false">"["&amp;안내!$C$5&amp;" "&amp;C310&amp;"] "&amp;J310&amp;" | "&amp;H310</f>
        <v>[1분 성경 #0309] 예루살렘 함락과 작은 소망 | 왕하 25:1-30</v>
      </c>
      <c r="R310" s="23" t="n">
        <f aca="false">INT((A310-1)/안내!$C$9)+1</f>
        <v>62</v>
      </c>
      <c r="S310" s="26" t="n">
        <f aca="false">안내!$C$10+(R310-1)*7+MOD(A310-1,안내!$C$9)</f>
        <v>46821</v>
      </c>
      <c r="T310" s="23" t="s">
        <v>99</v>
      </c>
      <c r="U310" s="23" t="s">
        <v>99</v>
      </c>
      <c r="V310" s="23" t="s">
        <v>99</v>
      </c>
      <c r="W310" s="23" t="s">
        <v>99</v>
      </c>
      <c r="X310" s="28"/>
      <c r="Y310" s="28" t="str">
        <f aca="false">"다음 편: "&amp;J311</f>
        <v>다음 편: 아담부터 시작하는 족보</v>
      </c>
    </row>
    <row r="311" customFormat="false" ht="26.85" hidden="false" customHeight="false" outlineLevel="0" collapsed="false">
      <c r="A311" s="20" t="n">
        <v>310</v>
      </c>
      <c r="B311" s="20" t="s">
        <v>2997</v>
      </c>
      <c r="C311" s="20" t="s">
        <v>2998</v>
      </c>
      <c r="D311" s="20" t="s">
        <v>2999</v>
      </c>
      <c r="E311" s="21" t="s">
        <v>3000</v>
      </c>
      <c r="F311" s="22" t="s">
        <v>88</v>
      </c>
      <c r="G311" s="22" t="s">
        <v>3001</v>
      </c>
      <c r="H311" s="21" t="s">
        <v>3002</v>
      </c>
      <c r="I311" s="23" t="s">
        <v>1116</v>
      </c>
      <c r="J311" s="24" t="s">
        <v>3003</v>
      </c>
      <c r="K311" s="24" t="s">
        <v>3004</v>
      </c>
      <c r="L311" s="24" t="s">
        <v>3005</v>
      </c>
      <c r="M311" s="24" t="s">
        <v>3006</v>
      </c>
      <c r="N311" s="24" t="s">
        <v>3007</v>
      </c>
      <c r="O311" s="24" t="s">
        <v>223</v>
      </c>
      <c r="P311" s="28"/>
      <c r="Q311" s="28" t="str">
        <f aca="false">"["&amp;안내!$C$5&amp;" "&amp;C311&amp;"] "&amp;J311&amp;" | "&amp;H311</f>
        <v>[1분 성경 #0310] 아담부터 시작하는 족보 | 대상 1:1-9:44</v>
      </c>
      <c r="R311" s="23" t="n">
        <f aca="false">INT((A311-1)/안내!$C$9)+1</f>
        <v>62</v>
      </c>
      <c r="S311" s="26" t="n">
        <f aca="false">안내!$C$10+(R311-1)*7+MOD(A311-1,안내!$C$9)</f>
        <v>46822</v>
      </c>
      <c r="T311" s="23" t="s">
        <v>99</v>
      </c>
      <c r="U311" s="23" t="s">
        <v>99</v>
      </c>
      <c r="V311" s="23" t="s">
        <v>99</v>
      </c>
      <c r="W311" s="23" t="s">
        <v>99</v>
      </c>
      <c r="X311" s="28"/>
      <c r="Y311" s="28" t="str">
        <f aca="false">"다음 편: "&amp;J312</f>
        <v>다음 편: 야베스의 기도</v>
      </c>
    </row>
    <row r="312" customFormat="false" ht="26.85" hidden="false" customHeight="false" outlineLevel="0" collapsed="false">
      <c r="A312" s="20" t="n">
        <v>311</v>
      </c>
      <c r="B312" s="20" t="s">
        <v>3008</v>
      </c>
      <c r="C312" s="20" t="s">
        <v>3009</v>
      </c>
      <c r="D312" s="20" t="s">
        <v>2999</v>
      </c>
      <c r="E312" s="21" t="s">
        <v>3000</v>
      </c>
      <c r="F312" s="22" t="s">
        <v>88</v>
      </c>
      <c r="G312" s="22" t="s">
        <v>3001</v>
      </c>
      <c r="H312" s="21" t="s">
        <v>3010</v>
      </c>
      <c r="I312" s="23" t="s">
        <v>1116</v>
      </c>
      <c r="J312" s="24" t="s">
        <v>3011</v>
      </c>
      <c r="K312" s="24" t="s">
        <v>3012</v>
      </c>
      <c r="L312" s="24" t="s">
        <v>3013</v>
      </c>
      <c r="M312" s="24" t="s">
        <v>3014</v>
      </c>
      <c r="N312" s="24" t="s">
        <v>3015</v>
      </c>
      <c r="O312" s="24" t="s">
        <v>3016</v>
      </c>
      <c r="P312" s="25" t="s">
        <v>3017</v>
      </c>
      <c r="Q312" s="28" t="str">
        <f aca="false">"["&amp;안내!$C$5&amp;" "&amp;C312&amp;"] "&amp;J312&amp;" | "&amp;H312</f>
        <v>[1분 성경 #0311] 야베스의 기도 | 대상 4:9-10</v>
      </c>
      <c r="R312" s="23" t="n">
        <f aca="false">INT((A312-1)/안내!$C$9)+1</f>
        <v>63</v>
      </c>
      <c r="S312" s="26" t="n">
        <f aca="false">안내!$C$10+(R312-1)*7+MOD(A312-1,안내!$C$9)</f>
        <v>46825</v>
      </c>
      <c r="T312" s="23" t="s">
        <v>99</v>
      </c>
      <c r="U312" s="23" t="s">
        <v>99</v>
      </c>
      <c r="V312" s="23" t="s">
        <v>99</v>
      </c>
      <c r="W312" s="23" t="s">
        <v>99</v>
      </c>
      <c r="X312" s="28"/>
      <c r="Y312" s="28" t="str">
        <f aca="false">"다음 편: "&amp;J313</f>
        <v>다음 편: 다윗에게 모인 용사들</v>
      </c>
    </row>
    <row r="313" customFormat="false" ht="26.85" hidden="false" customHeight="false" outlineLevel="0" collapsed="false">
      <c r="A313" s="20" t="n">
        <v>312</v>
      </c>
      <c r="B313" s="20" t="s">
        <v>3018</v>
      </c>
      <c r="C313" s="20" t="s">
        <v>3019</v>
      </c>
      <c r="D313" s="20" t="s">
        <v>2999</v>
      </c>
      <c r="E313" s="21" t="s">
        <v>3000</v>
      </c>
      <c r="F313" s="22" t="s">
        <v>88</v>
      </c>
      <c r="G313" s="22" t="s">
        <v>3001</v>
      </c>
      <c r="H313" s="21" t="s">
        <v>3020</v>
      </c>
      <c r="I313" s="23" t="s">
        <v>1116</v>
      </c>
      <c r="J313" s="24" t="s">
        <v>3021</v>
      </c>
      <c r="K313" s="24" t="s">
        <v>3022</v>
      </c>
      <c r="L313" s="24" t="s">
        <v>3023</v>
      </c>
      <c r="M313" s="24" t="s">
        <v>3024</v>
      </c>
      <c r="N313" s="24" t="s">
        <v>3025</v>
      </c>
      <c r="O313" s="24" t="s">
        <v>3026</v>
      </c>
      <c r="P313" s="28"/>
      <c r="Q313" s="28" t="str">
        <f aca="false">"["&amp;안내!$C$5&amp;" "&amp;C313&amp;"] "&amp;J313&amp;" | "&amp;H313</f>
        <v>[1분 성경 #0312] 다윗에게 모인 용사들 | 대상 10:1-12:40</v>
      </c>
      <c r="R313" s="23" t="n">
        <f aca="false">INT((A313-1)/안내!$C$9)+1</f>
        <v>63</v>
      </c>
      <c r="S313" s="26" t="n">
        <f aca="false">안내!$C$10+(R313-1)*7+MOD(A313-1,안내!$C$9)</f>
        <v>46826</v>
      </c>
      <c r="T313" s="23" t="s">
        <v>99</v>
      </c>
      <c r="U313" s="23" t="s">
        <v>99</v>
      </c>
      <c r="V313" s="23" t="s">
        <v>99</v>
      </c>
      <c r="W313" s="23" t="s">
        <v>99</v>
      </c>
      <c r="X313" s="28"/>
      <c r="Y313" s="28" t="str">
        <f aca="false">"다음 편: "&amp;J314</f>
        <v>다음 편: 언약궤를 맞이하다</v>
      </c>
    </row>
    <row r="314" customFormat="false" ht="26.85" hidden="false" customHeight="false" outlineLevel="0" collapsed="false">
      <c r="A314" s="20" t="n">
        <v>313</v>
      </c>
      <c r="B314" s="20" t="s">
        <v>3027</v>
      </c>
      <c r="C314" s="20" t="s">
        <v>3028</v>
      </c>
      <c r="D314" s="20" t="s">
        <v>2999</v>
      </c>
      <c r="E314" s="21" t="s">
        <v>3000</v>
      </c>
      <c r="F314" s="22" t="s">
        <v>88</v>
      </c>
      <c r="G314" s="22" t="s">
        <v>3001</v>
      </c>
      <c r="H314" s="21" t="s">
        <v>3029</v>
      </c>
      <c r="I314" s="23" t="s">
        <v>1116</v>
      </c>
      <c r="J314" s="24" t="s">
        <v>3030</v>
      </c>
      <c r="K314" s="24" t="s">
        <v>3031</v>
      </c>
      <c r="L314" s="24" t="s">
        <v>3032</v>
      </c>
      <c r="M314" s="24" t="s">
        <v>3033</v>
      </c>
      <c r="N314" s="24" t="s">
        <v>3034</v>
      </c>
      <c r="O314" s="24" t="s">
        <v>3035</v>
      </c>
      <c r="P314" s="28"/>
      <c r="Q314" s="28" t="str">
        <f aca="false">"["&amp;안내!$C$5&amp;" "&amp;C314&amp;"] "&amp;J314&amp;" | "&amp;H314</f>
        <v>[1분 성경 #0313] 언약궤를 맞이하다 | 대상 13:1-16:43</v>
      </c>
      <c r="R314" s="23" t="n">
        <f aca="false">INT((A314-1)/안내!$C$9)+1</f>
        <v>63</v>
      </c>
      <c r="S314" s="26" t="n">
        <f aca="false">안내!$C$10+(R314-1)*7+MOD(A314-1,안내!$C$9)</f>
        <v>46827</v>
      </c>
      <c r="T314" s="23" t="s">
        <v>99</v>
      </c>
      <c r="U314" s="23" t="s">
        <v>99</v>
      </c>
      <c r="V314" s="23" t="s">
        <v>99</v>
      </c>
      <c r="W314" s="23" t="s">
        <v>99</v>
      </c>
      <c r="X314" s="28"/>
      <c r="Y314" s="28" t="str">
        <f aca="false">"다음 편: "&amp;J315</f>
        <v>다음 편: 오르난의 타작마당</v>
      </c>
    </row>
    <row r="315" customFormat="false" ht="26.85" hidden="false" customHeight="false" outlineLevel="0" collapsed="false">
      <c r="A315" s="20" t="n">
        <v>314</v>
      </c>
      <c r="B315" s="20" t="s">
        <v>3036</v>
      </c>
      <c r="C315" s="20" t="s">
        <v>3037</v>
      </c>
      <c r="D315" s="20" t="s">
        <v>2999</v>
      </c>
      <c r="E315" s="21" t="s">
        <v>3000</v>
      </c>
      <c r="F315" s="22" t="s">
        <v>88</v>
      </c>
      <c r="G315" s="22" t="s">
        <v>3001</v>
      </c>
      <c r="H315" s="21" t="s">
        <v>3038</v>
      </c>
      <c r="I315" s="23" t="s">
        <v>1116</v>
      </c>
      <c r="J315" s="24" t="s">
        <v>3039</v>
      </c>
      <c r="K315" s="24" t="s">
        <v>3040</v>
      </c>
      <c r="L315" s="24" t="s">
        <v>3041</v>
      </c>
      <c r="M315" s="24" t="s">
        <v>3042</v>
      </c>
      <c r="N315" s="24" t="s">
        <v>3043</v>
      </c>
      <c r="O315" s="24" t="s">
        <v>3044</v>
      </c>
      <c r="P315" s="25" t="s">
        <v>2513</v>
      </c>
      <c r="Q315" s="28" t="str">
        <f aca="false">"["&amp;안내!$C$5&amp;" "&amp;C315&amp;"] "&amp;J315&amp;" | "&amp;H315</f>
        <v>[1분 성경 #0314] 오르난의 타작마당 | 대상 17:1-21:30</v>
      </c>
      <c r="R315" s="23" t="n">
        <f aca="false">INT((A315-1)/안내!$C$9)+1</f>
        <v>63</v>
      </c>
      <c r="S315" s="26" t="n">
        <f aca="false">안내!$C$10+(R315-1)*7+MOD(A315-1,안내!$C$9)</f>
        <v>46828</v>
      </c>
      <c r="T315" s="23" t="s">
        <v>99</v>
      </c>
      <c r="U315" s="23" t="s">
        <v>99</v>
      </c>
      <c r="V315" s="23" t="s">
        <v>99</v>
      </c>
      <c r="W315" s="23" t="s">
        <v>99</v>
      </c>
      <c r="X315" s="28"/>
      <c r="Y315" s="28" t="str">
        <f aca="false">"다음 편: "&amp;J316</f>
        <v>다음 편: 성전을 준비하는 다윗</v>
      </c>
    </row>
    <row r="316" customFormat="false" ht="26.85" hidden="false" customHeight="false" outlineLevel="0" collapsed="false">
      <c r="A316" s="20" t="n">
        <v>315</v>
      </c>
      <c r="B316" s="20" t="s">
        <v>3045</v>
      </c>
      <c r="C316" s="20" t="s">
        <v>3046</v>
      </c>
      <c r="D316" s="20" t="s">
        <v>2999</v>
      </c>
      <c r="E316" s="21" t="s">
        <v>3000</v>
      </c>
      <c r="F316" s="22" t="s">
        <v>88</v>
      </c>
      <c r="G316" s="22" t="s">
        <v>3001</v>
      </c>
      <c r="H316" s="21" t="s">
        <v>3047</v>
      </c>
      <c r="I316" s="23" t="s">
        <v>1116</v>
      </c>
      <c r="J316" s="24" t="s">
        <v>3048</v>
      </c>
      <c r="K316" s="24" t="s">
        <v>3049</v>
      </c>
      <c r="L316" s="24" t="s">
        <v>3050</v>
      </c>
      <c r="M316" s="24" t="s">
        <v>3051</v>
      </c>
      <c r="N316" s="24" t="s">
        <v>3052</v>
      </c>
      <c r="O316" s="24" t="s">
        <v>3053</v>
      </c>
      <c r="P316" s="28"/>
      <c r="Q316" s="28" t="str">
        <f aca="false">"["&amp;안내!$C$5&amp;" "&amp;C316&amp;"] "&amp;J316&amp;" | "&amp;H316</f>
        <v>[1분 성경 #0315] 성전을 준비하는 다윗 | 대상 22:1-27:34</v>
      </c>
      <c r="R316" s="23" t="n">
        <f aca="false">INT((A316-1)/안내!$C$9)+1</f>
        <v>63</v>
      </c>
      <c r="S316" s="26" t="n">
        <f aca="false">안내!$C$10+(R316-1)*7+MOD(A316-1,안내!$C$9)</f>
        <v>46829</v>
      </c>
      <c r="T316" s="23" t="s">
        <v>99</v>
      </c>
      <c r="U316" s="23" t="s">
        <v>99</v>
      </c>
      <c r="V316" s="23" t="s">
        <v>99</v>
      </c>
      <c r="W316" s="23" t="s">
        <v>99</v>
      </c>
      <c r="X316" s="28"/>
      <c r="Y316" s="28" t="str">
        <f aca="false">"다음 편: "&amp;J317</f>
        <v>다음 편: 나라와 권세가 주께 있사오니</v>
      </c>
    </row>
    <row r="317" customFormat="false" ht="26.85" hidden="false" customHeight="false" outlineLevel="0" collapsed="false">
      <c r="A317" s="20" t="n">
        <v>316</v>
      </c>
      <c r="B317" s="20" t="s">
        <v>3054</v>
      </c>
      <c r="C317" s="20" t="s">
        <v>3055</v>
      </c>
      <c r="D317" s="20" t="s">
        <v>2999</v>
      </c>
      <c r="E317" s="21" t="s">
        <v>3000</v>
      </c>
      <c r="F317" s="22" t="s">
        <v>88</v>
      </c>
      <c r="G317" s="22" t="s">
        <v>3001</v>
      </c>
      <c r="H317" s="21" t="s">
        <v>3056</v>
      </c>
      <c r="I317" s="23" t="s">
        <v>1116</v>
      </c>
      <c r="J317" s="24" t="s">
        <v>3057</v>
      </c>
      <c r="K317" s="24" t="s">
        <v>3058</v>
      </c>
      <c r="L317" s="24" t="s">
        <v>3059</v>
      </c>
      <c r="M317" s="24" t="s">
        <v>3060</v>
      </c>
      <c r="N317" s="24" t="s">
        <v>3061</v>
      </c>
      <c r="O317" s="24" t="s">
        <v>3062</v>
      </c>
      <c r="P317" s="28"/>
      <c r="Q317" s="28" t="str">
        <f aca="false">"["&amp;안내!$C$5&amp;" "&amp;C317&amp;"] "&amp;J317&amp;" | "&amp;H317</f>
        <v>[1분 성경 #0316] 나라와 권세가 주께 있사오니 | 대상 28:1-29:30</v>
      </c>
      <c r="R317" s="23" t="n">
        <f aca="false">INT((A317-1)/안내!$C$9)+1</f>
        <v>64</v>
      </c>
      <c r="S317" s="26" t="n">
        <f aca="false">안내!$C$10+(R317-1)*7+MOD(A317-1,안내!$C$9)</f>
        <v>46832</v>
      </c>
      <c r="T317" s="23" t="s">
        <v>99</v>
      </c>
      <c r="U317" s="23" t="s">
        <v>99</v>
      </c>
      <c r="V317" s="23" t="s">
        <v>99</v>
      </c>
      <c r="W317" s="23" t="s">
        <v>99</v>
      </c>
      <c r="X317" s="28"/>
      <c r="Y317" s="28" t="str">
        <f aca="false">"다음 편: "&amp;J318</f>
        <v>다음 편: 내 백성이 스스로 낮추고</v>
      </c>
    </row>
    <row r="318" customFormat="false" ht="26.85" hidden="false" customHeight="false" outlineLevel="0" collapsed="false">
      <c r="A318" s="20" t="n">
        <v>317</v>
      </c>
      <c r="B318" s="20" t="s">
        <v>3063</v>
      </c>
      <c r="C318" s="20" t="s">
        <v>3064</v>
      </c>
      <c r="D318" s="20" t="s">
        <v>3065</v>
      </c>
      <c r="E318" s="21" t="s">
        <v>3066</v>
      </c>
      <c r="F318" s="22" t="s">
        <v>88</v>
      </c>
      <c r="G318" s="22" t="s">
        <v>3067</v>
      </c>
      <c r="H318" s="21" t="s">
        <v>3068</v>
      </c>
      <c r="I318" s="23" t="s">
        <v>1116</v>
      </c>
      <c r="J318" s="24" t="s">
        <v>3069</v>
      </c>
      <c r="K318" s="24" t="s">
        <v>3070</v>
      </c>
      <c r="L318" s="24" t="s">
        <v>3071</v>
      </c>
      <c r="M318" s="24" t="s">
        <v>3072</v>
      </c>
      <c r="N318" s="24" t="s">
        <v>2542</v>
      </c>
      <c r="O318" s="24" t="s">
        <v>3073</v>
      </c>
      <c r="P318" s="28"/>
      <c r="Q318" s="28" t="str">
        <f aca="false">"["&amp;안내!$C$5&amp;" "&amp;C318&amp;"] "&amp;J318&amp;" | "&amp;H318</f>
        <v>[1분 성경 #0317] 내 백성이 스스로 낮추고 | 대하 1:1-9:31</v>
      </c>
      <c r="R318" s="23" t="n">
        <f aca="false">INT((A318-1)/안내!$C$9)+1</f>
        <v>64</v>
      </c>
      <c r="S318" s="26" t="n">
        <f aca="false">안내!$C$10+(R318-1)*7+MOD(A318-1,안내!$C$9)</f>
        <v>46833</v>
      </c>
      <c r="T318" s="23" t="s">
        <v>99</v>
      </c>
      <c r="U318" s="23" t="s">
        <v>99</v>
      </c>
      <c r="V318" s="23" t="s">
        <v>99</v>
      </c>
      <c r="W318" s="23" t="s">
        <v>99</v>
      </c>
      <c r="X318" s="28"/>
      <c r="Y318" s="28" t="str">
        <f aca="false">"다음 편: "&amp;J319</f>
        <v>다음 편: 온 땅을 두루 살피시는 하나님</v>
      </c>
    </row>
    <row r="319" customFormat="false" ht="26.85" hidden="false" customHeight="false" outlineLevel="0" collapsed="false">
      <c r="A319" s="20" t="n">
        <v>318</v>
      </c>
      <c r="B319" s="20" t="s">
        <v>3074</v>
      </c>
      <c r="C319" s="20" t="s">
        <v>3075</v>
      </c>
      <c r="D319" s="20" t="s">
        <v>3065</v>
      </c>
      <c r="E319" s="21" t="s">
        <v>3066</v>
      </c>
      <c r="F319" s="22" t="s">
        <v>88</v>
      </c>
      <c r="G319" s="22" t="s">
        <v>3067</v>
      </c>
      <c r="H319" s="21" t="s">
        <v>3076</v>
      </c>
      <c r="I319" s="23" t="s">
        <v>1116</v>
      </c>
      <c r="J319" s="24" t="s">
        <v>3077</v>
      </c>
      <c r="K319" s="24" t="s">
        <v>3078</v>
      </c>
      <c r="L319" s="24" t="s">
        <v>3079</v>
      </c>
      <c r="M319" s="24" t="s">
        <v>3080</v>
      </c>
      <c r="N319" s="24" t="s">
        <v>3081</v>
      </c>
      <c r="O319" s="24" t="s">
        <v>2447</v>
      </c>
      <c r="P319" s="28"/>
      <c r="Q319" s="28" t="str">
        <f aca="false">"["&amp;안내!$C$5&amp;" "&amp;C319&amp;"] "&amp;J319&amp;" | "&amp;H319</f>
        <v>[1분 성경 #0318] 온 땅을 두루 살피시는 하나님 | 대하 10:1-19:11</v>
      </c>
      <c r="R319" s="23" t="n">
        <f aca="false">INT((A319-1)/안내!$C$9)+1</f>
        <v>64</v>
      </c>
      <c r="S319" s="26" t="n">
        <f aca="false">안내!$C$10+(R319-1)*7+MOD(A319-1,안내!$C$9)</f>
        <v>46834</v>
      </c>
      <c r="T319" s="23" t="s">
        <v>99</v>
      </c>
      <c r="U319" s="23" t="s">
        <v>99</v>
      </c>
      <c r="V319" s="23" t="s">
        <v>99</v>
      </c>
      <c r="W319" s="23" t="s">
        <v>99</v>
      </c>
      <c r="X319" s="28"/>
      <c r="Y319" s="28" t="str">
        <f aca="false">"다음 편: "&amp;J320</f>
        <v>다음 편: 찬양대가 앞장선 전쟁</v>
      </c>
    </row>
    <row r="320" customFormat="false" ht="26.85" hidden="false" customHeight="false" outlineLevel="0" collapsed="false">
      <c r="A320" s="20" t="n">
        <v>319</v>
      </c>
      <c r="B320" s="20" t="s">
        <v>3082</v>
      </c>
      <c r="C320" s="20" t="s">
        <v>3083</v>
      </c>
      <c r="D320" s="20" t="s">
        <v>3065</v>
      </c>
      <c r="E320" s="21" t="s">
        <v>3066</v>
      </c>
      <c r="F320" s="22" t="s">
        <v>88</v>
      </c>
      <c r="G320" s="22" t="s">
        <v>3067</v>
      </c>
      <c r="H320" s="21" t="s">
        <v>3084</v>
      </c>
      <c r="I320" s="23" t="s">
        <v>1116</v>
      </c>
      <c r="J320" s="24" t="s">
        <v>3085</v>
      </c>
      <c r="K320" s="24" t="s">
        <v>3086</v>
      </c>
      <c r="L320" s="24" t="s">
        <v>3087</v>
      </c>
      <c r="M320" s="24" t="s">
        <v>3088</v>
      </c>
      <c r="N320" s="24" t="s">
        <v>3089</v>
      </c>
      <c r="O320" s="24" t="s">
        <v>3090</v>
      </c>
      <c r="P320" s="28"/>
      <c r="Q320" s="28" t="str">
        <f aca="false">"["&amp;안내!$C$5&amp;" "&amp;C320&amp;"] "&amp;J320&amp;" | "&amp;H320</f>
        <v>[1분 성경 #0319] 찬양대가 앞장선 전쟁 | 대하 20:1-30</v>
      </c>
      <c r="R320" s="23" t="n">
        <f aca="false">INT((A320-1)/안내!$C$9)+1</f>
        <v>64</v>
      </c>
      <c r="S320" s="26" t="n">
        <f aca="false">안내!$C$10+(R320-1)*7+MOD(A320-1,안내!$C$9)</f>
        <v>46835</v>
      </c>
      <c r="T320" s="23" t="s">
        <v>99</v>
      </c>
      <c r="U320" s="23" t="s">
        <v>99</v>
      </c>
      <c r="V320" s="23" t="s">
        <v>99</v>
      </c>
      <c r="W320" s="23" t="s">
        <v>99</v>
      </c>
      <c r="X320" s="28"/>
      <c r="Y320" s="28" t="str">
        <f aca="false">"다음 편: "&amp;J321</f>
        <v>다음 편: 교만해진 왕들</v>
      </c>
    </row>
    <row r="321" customFormat="false" ht="26.85" hidden="false" customHeight="false" outlineLevel="0" collapsed="false">
      <c r="A321" s="20" t="n">
        <v>320</v>
      </c>
      <c r="B321" s="20" t="s">
        <v>3091</v>
      </c>
      <c r="C321" s="20" t="s">
        <v>3092</v>
      </c>
      <c r="D321" s="20" t="s">
        <v>3065</v>
      </c>
      <c r="E321" s="21" t="s">
        <v>3066</v>
      </c>
      <c r="F321" s="22" t="s">
        <v>88</v>
      </c>
      <c r="G321" s="22" t="s">
        <v>3067</v>
      </c>
      <c r="H321" s="21" t="s">
        <v>3093</v>
      </c>
      <c r="I321" s="23" t="s">
        <v>1116</v>
      </c>
      <c r="J321" s="24" t="s">
        <v>3094</v>
      </c>
      <c r="K321" s="24" t="s">
        <v>3095</v>
      </c>
      <c r="L321" s="24" t="s">
        <v>3096</v>
      </c>
      <c r="M321" s="24" t="s">
        <v>3097</v>
      </c>
      <c r="N321" s="24" t="s">
        <v>3098</v>
      </c>
      <c r="O321" s="24" t="s">
        <v>3099</v>
      </c>
      <c r="P321" s="28"/>
      <c r="Q321" s="28" t="str">
        <f aca="false">"["&amp;안내!$C$5&amp;" "&amp;C321&amp;"] "&amp;J321&amp;" | "&amp;H321</f>
        <v>[1분 성경 #0320] 교만해진 왕들 | 대하 20:31-28:27</v>
      </c>
      <c r="R321" s="23" t="n">
        <f aca="false">INT((A321-1)/안내!$C$9)+1</f>
        <v>64</v>
      </c>
      <c r="S321" s="26" t="n">
        <f aca="false">안내!$C$10+(R321-1)*7+MOD(A321-1,안내!$C$9)</f>
        <v>46836</v>
      </c>
      <c r="T321" s="23" t="s">
        <v>99</v>
      </c>
      <c r="U321" s="23" t="s">
        <v>99</v>
      </c>
      <c r="V321" s="23" t="s">
        <v>99</v>
      </c>
      <c r="W321" s="23" t="s">
        <v>99</v>
      </c>
      <c r="X321" s="28"/>
      <c r="Y321" s="28" t="str">
        <f aca="false">"다음 편: "&amp;J322</f>
        <v>다음 편: 히스기야의 유월절</v>
      </c>
    </row>
    <row r="322" customFormat="false" ht="26.85" hidden="false" customHeight="false" outlineLevel="0" collapsed="false">
      <c r="A322" s="20" t="n">
        <v>321</v>
      </c>
      <c r="B322" s="20" t="s">
        <v>3100</v>
      </c>
      <c r="C322" s="20" t="s">
        <v>3101</v>
      </c>
      <c r="D322" s="20" t="s">
        <v>3065</v>
      </c>
      <c r="E322" s="21" t="s">
        <v>3066</v>
      </c>
      <c r="F322" s="22" t="s">
        <v>88</v>
      </c>
      <c r="G322" s="22" t="s">
        <v>3067</v>
      </c>
      <c r="H322" s="21" t="s">
        <v>3102</v>
      </c>
      <c r="I322" s="23" t="s">
        <v>1116</v>
      </c>
      <c r="J322" s="24" t="s">
        <v>3103</v>
      </c>
      <c r="K322" s="24" t="s">
        <v>3104</v>
      </c>
      <c r="L322" s="24" t="s">
        <v>3105</v>
      </c>
      <c r="M322" s="24" t="s">
        <v>3106</v>
      </c>
      <c r="N322" s="24" t="s">
        <v>3107</v>
      </c>
      <c r="O322" s="24" t="s">
        <v>3108</v>
      </c>
      <c r="P322" s="28"/>
      <c r="Q322" s="28" t="str">
        <f aca="false">"["&amp;안내!$C$5&amp;" "&amp;C322&amp;"] "&amp;J322&amp;" | "&amp;H322</f>
        <v>[1분 성경 #0321] 히스기야의 유월절 | 대하 29:1-32:33</v>
      </c>
      <c r="R322" s="23" t="n">
        <f aca="false">INT((A322-1)/안내!$C$9)+1</f>
        <v>65</v>
      </c>
      <c r="S322" s="26" t="n">
        <f aca="false">안내!$C$10+(R322-1)*7+MOD(A322-1,안내!$C$9)</f>
        <v>46839</v>
      </c>
      <c r="T322" s="23" t="s">
        <v>99</v>
      </c>
      <c r="U322" s="23" t="s">
        <v>99</v>
      </c>
      <c r="V322" s="23" t="s">
        <v>99</v>
      </c>
      <c r="W322" s="23" t="s">
        <v>99</v>
      </c>
      <c r="X322" s="28"/>
      <c r="Y322" s="28" t="str">
        <f aca="false">"다음 편: "&amp;J323</f>
        <v>다음 편: 가장 악한 왕의 회개</v>
      </c>
    </row>
    <row r="323" customFormat="false" ht="26.85" hidden="false" customHeight="false" outlineLevel="0" collapsed="false">
      <c r="A323" s="20" t="n">
        <v>322</v>
      </c>
      <c r="B323" s="20" t="s">
        <v>3109</v>
      </c>
      <c r="C323" s="20" t="s">
        <v>3110</v>
      </c>
      <c r="D323" s="20" t="s">
        <v>3065</v>
      </c>
      <c r="E323" s="21" t="s">
        <v>3066</v>
      </c>
      <c r="F323" s="22" t="s">
        <v>88</v>
      </c>
      <c r="G323" s="22" t="s">
        <v>3067</v>
      </c>
      <c r="H323" s="21" t="s">
        <v>3111</v>
      </c>
      <c r="I323" s="23" t="s">
        <v>1116</v>
      </c>
      <c r="J323" s="24" t="s">
        <v>3112</v>
      </c>
      <c r="K323" s="24" t="s">
        <v>3113</v>
      </c>
      <c r="L323" s="24" t="s">
        <v>3114</v>
      </c>
      <c r="M323" s="24" t="s">
        <v>3115</v>
      </c>
      <c r="N323" s="24" t="s">
        <v>3116</v>
      </c>
      <c r="O323" s="24" t="s">
        <v>3117</v>
      </c>
      <c r="P323" s="28"/>
      <c r="Q323" s="28" t="str">
        <f aca="false">"["&amp;안내!$C$5&amp;" "&amp;C323&amp;"] "&amp;J323&amp;" | "&amp;H323</f>
        <v>[1분 성경 #0322] 가장 악한 왕의 회개 | 대하 33:1-20</v>
      </c>
      <c r="R323" s="23" t="n">
        <f aca="false">INT((A323-1)/안내!$C$9)+1</f>
        <v>65</v>
      </c>
      <c r="S323" s="26" t="n">
        <f aca="false">안내!$C$10+(R323-1)*7+MOD(A323-1,안내!$C$9)</f>
        <v>46840</v>
      </c>
      <c r="T323" s="23" t="s">
        <v>99</v>
      </c>
      <c r="U323" s="23" t="s">
        <v>99</v>
      </c>
      <c r="V323" s="23" t="s">
        <v>99</v>
      </c>
      <c r="W323" s="23" t="s">
        <v>99</v>
      </c>
      <c r="X323" s="28"/>
      <c r="Y323" s="28" t="str">
        <f aca="false">"다음 편: "&amp;J324</f>
        <v>다음 편: 어려서부터 하나님을 찾은 왕</v>
      </c>
    </row>
    <row r="324" customFormat="false" ht="26.85" hidden="false" customHeight="false" outlineLevel="0" collapsed="false">
      <c r="A324" s="20" t="n">
        <v>323</v>
      </c>
      <c r="B324" s="20" t="s">
        <v>3118</v>
      </c>
      <c r="C324" s="20" t="s">
        <v>3119</v>
      </c>
      <c r="D324" s="20" t="s">
        <v>3065</v>
      </c>
      <c r="E324" s="21" t="s">
        <v>3066</v>
      </c>
      <c r="F324" s="22" t="s">
        <v>88</v>
      </c>
      <c r="G324" s="22" t="s">
        <v>3067</v>
      </c>
      <c r="H324" s="21" t="s">
        <v>3120</v>
      </c>
      <c r="I324" s="23" t="s">
        <v>1116</v>
      </c>
      <c r="J324" s="24" t="s">
        <v>3121</v>
      </c>
      <c r="K324" s="28" t="s">
        <v>3122</v>
      </c>
      <c r="L324" s="24" t="s">
        <v>3123</v>
      </c>
      <c r="M324" s="24" t="s">
        <v>3124</v>
      </c>
      <c r="N324" s="24" t="s">
        <v>3125</v>
      </c>
      <c r="O324" s="24" t="s">
        <v>2447</v>
      </c>
      <c r="P324" s="28"/>
      <c r="Q324" s="28" t="str">
        <f aca="false">"["&amp;안내!$C$5&amp;" "&amp;C324&amp;"] "&amp;J324&amp;" | "&amp;H324</f>
        <v>[1분 성경 #0323] 어려서부터 하나님을 찾은 왕 | 대하 33:21-35:27</v>
      </c>
      <c r="R324" s="23" t="n">
        <f aca="false">INT((A324-1)/안내!$C$9)+1</f>
        <v>65</v>
      </c>
      <c r="S324" s="26" t="n">
        <f aca="false">안내!$C$10+(R324-1)*7+MOD(A324-1,안내!$C$9)</f>
        <v>46841</v>
      </c>
      <c r="T324" s="23" t="s">
        <v>99</v>
      </c>
      <c r="U324" s="23" t="s">
        <v>99</v>
      </c>
      <c r="V324" s="23" t="s">
        <v>99</v>
      </c>
      <c r="W324" s="23" t="s">
        <v>99</v>
      </c>
      <c r="X324" s="28"/>
      <c r="Y324" s="28" t="str">
        <f aca="false">"다음 편: "&amp;J325</f>
        <v>다음 편: 무너짐과 새로운 시작</v>
      </c>
    </row>
    <row r="325" customFormat="false" ht="26.85" hidden="false" customHeight="false" outlineLevel="0" collapsed="false">
      <c r="A325" s="20" t="n">
        <v>324</v>
      </c>
      <c r="B325" s="20" t="s">
        <v>3126</v>
      </c>
      <c r="C325" s="20" t="s">
        <v>3127</v>
      </c>
      <c r="D325" s="20" t="s">
        <v>3065</v>
      </c>
      <c r="E325" s="21" t="s">
        <v>3066</v>
      </c>
      <c r="F325" s="22" t="s">
        <v>88</v>
      </c>
      <c r="G325" s="22" t="s">
        <v>3067</v>
      </c>
      <c r="H325" s="21" t="s">
        <v>3128</v>
      </c>
      <c r="I325" s="23" t="s">
        <v>1116</v>
      </c>
      <c r="J325" s="24" t="s">
        <v>3129</v>
      </c>
      <c r="K325" s="28" t="s">
        <v>3130</v>
      </c>
      <c r="L325" s="24" t="s">
        <v>3131</v>
      </c>
      <c r="M325" s="24" t="s">
        <v>3132</v>
      </c>
      <c r="N325" s="24" t="s">
        <v>3133</v>
      </c>
      <c r="O325" s="24" t="s">
        <v>3134</v>
      </c>
      <c r="P325" s="28"/>
      <c r="Q325" s="28" t="str">
        <f aca="false">"["&amp;안내!$C$5&amp;" "&amp;C325&amp;"] "&amp;J325&amp;" | "&amp;H325</f>
        <v>[1분 성경 #0324] 무너짐과 새로운 시작 | 대하 36:1-23</v>
      </c>
      <c r="R325" s="23" t="n">
        <f aca="false">INT((A325-1)/안내!$C$9)+1</f>
        <v>65</v>
      </c>
      <c r="S325" s="26" t="n">
        <f aca="false">안내!$C$10+(R325-1)*7+MOD(A325-1,안내!$C$9)</f>
        <v>46842</v>
      </c>
      <c r="T325" s="23" t="s">
        <v>99</v>
      </c>
      <c r="U325" s="23" t="s">
        <v>99</v>
      </c>
      <c r="V325" s="23" t="s">
        <v>99</v>
      </c>
      <c r="W325" s="23" t="s">
        <v>99</v>
      </c>
      <c r="X325" s="28"/>
      <c r="Y325" s="28" t="str">
        <f aca="false">"다음 편: "&amp;J326</f>
        <v>다음 편: 고레스의 칙령</v>
      </c>
    </row>
    <row r="326" customFormat="false" ht="26.85" hidden="false" customHeight="false" outlineLevel="0" collapsed="false">
      <c r="A326" s="20" t="n">
        <v>325</v>
      </c>
      <c r="B326" s="20" t="s">
        <v>3135</v>
      </c>
      <c r="C326" s="20" t="s">
        <v>3136</v>
      </c>
      <c r="D326" s="20" t="s">
        <v>3137</v>
      </c>
      <c r="E326" s="21" t="s">
        <v>3138</v>
      </c>
      <c r="F326" s="22" t="s">
        <v>88</v>
      </c>
      <c r="G326" s="22" t="s">
        <v>3139</v>
      </c>
      <c r="H326" s="21" t="s">
        <v>3140</v>
      </c>
      <c r="I326" s="23" t="s">
        <v>91</v>
      </c>
      <c r="J326" s="24" t="s">
        <v>3141</v>
      </c>
      <c r="K326" s="24" t="s">
        <v>3142</v>
      </c>
      <c r="L326" s="24" t="s">
        <v>3143</v>
      </c>
      <c r="M326" s="24" t="s">
        <v>3144</v>
      </c>
      <c r="N326" s="24" t="s">
        <v>3145</v>
      </c>
      <c r="O326" s="24" t="s">
        <v>3146</v>
      </c>
      <c r="P326" s="28"/>
      <c r="Q326" s="28" t="str">
        <f aca="false">"["&amp;안내!$C$5&amp;" "&amp;C326&amp;"] "&amp;J326&amp;" | "&amp;H326</f>
        <v>[1분 성경 #0325] 고레스의 칙령 | 스 1:1-11</v>
      </c>
      <c r="R326" s="23" t="n">
        <f aca="false">INT((A326-1)/안내!$C$9)+1</f>
        <v>65</v>
      </c>
      <c r="S326" s="26" t="n">
        <f aca="false">안내!$C$10+(R326-1)*7+MOD(A326-1,안내!$C$9)</f>
        <v>46843</v>
      </c>
      <c r="T326" s="23" t="s">
        <v>99</v>
      </c>
      <c r="U326" s="23" t="s">
        <v>99</v>
      </c>
      <c r="V326" s="23" t="s">
        <v>99</v>
      </c>
      <c r="W326" s="23" t="s">
        <v>99</v>
      </c>
      <c r="X326" s="28"/>
      <c r="Y326" s="28" t="str">
        <f aca="false">"다음 편: "&amp;J327</f>
        <v>다음 편: 돌아온 사람들의 명단</v>
      </c>
    </row>
    <row r="327" customFormat="false" ht="26.85" hidden="false" customHeight="false" outlineLevel="0" collapsed="false">
      <c r="A327" s="20" t="n">
        <v>326</v>
      </c>
      <c r="B327" s="20" t="s">
        <v>3147</v>
      </c>
      <c r="C327" s="20" t="s">
        <v>3148</v>
      </c>
      <c r="D327" s="20" t="s">
        <v>3137</v>
      </c>
      <c r="E327" s="21" t="s">
        <v>3138</v>
      </c>
      <c r="F327" s="22" t="s">
        <v>88</v>
      </c>
      <c r="G327" s="22" t="s">
        <v>3139</v>
      </c>
      <c r="H327" s="21" t="s">
        <v>3149</v>
      </c>
      <c r="I327" s="23" t="s">
        <v>1116</v>
      </c>
      <c r="J327" s="24" t="s">
        <v>3150</v>
      </c>
      <c r="K327" s="24" t="s">
        <v>3151</v>
      </c>
      <c r="L327" s="24" t="s">
        <v>3152</v>
      </c>
      <c r="M327" s="24" t="s">
        <v>3153</v>
      </c>
      <c r="N327" s="24" t="s">
        <v>3154</v>
      </c>
      <c r="O327" s="24" t="s">
        <v>3155</v>
      </c>
      <c r="P327" s="28"/>
      <c r="Q327" s="28" t="str">
        <f aca="false">"["&amp;안내!$C$5&amp;" "&amp;C327&amp;"] "&amp;J327&amp;" | "&amp;H327</f>
        <v>[1분 성경 #0326] 돌아온 사람들의 명단 | 스 2:1-70</v>
      </c>
      <c r="R327" s="23" t="n">
        <f aca="false">INT((A327-1)/안내!$C$9)+1</f>
        <v>66</v>
      </c>
      <c r="S327" s="26" t="n">
        <f aca="false">안내!$C$10+(R327-1)*7+MOD(A327-1,안내!$C$9)</f>
        <v>46846</v>
      </c>
      <c r="T327" s="23" t="s">
        <v>99</v>
      </c>
      <c r="U327" s="23" t="s">
        <v>99</v>
      </c>
      <c r="V327" s="23" t="s">
        <v>99</v>
      </c>
      <c r="W327" s="23" t="s">
        <v>99</v>
      </c>
      <c r="X327" s="28"/>
      <c r="Y327" s="28" t="str">
        <f aca="false">"다음 편: "&amp;J328</f>
        <v>다음 편: 울음과 함성</v>
      </c>
    </row>
    <row r="328" customFormat="false" ht="26.85" hidden="false" customHeight="false" outlineLevel="0" collapsed="false">
      <c r="A328" s="20" t="n">
        <v>327</v>
      </c>
      <c r="B328" s="20" t="s">
        <v>3156</v>
      </c>
      <c r="C328" s="20" t="s">
        <v>3157</v>
      </c>
      <c r="D328" s="20" t="s">
        <v>3137</v>
      </c>
      <c r="E328" s="21" t="s">
        <v>3138</v>
      </c>
      <c r="F328" s="22" t="s">
        <v>88</v>
      </c>
      <c r="G328" s="22" t="s">
        <v>3139</v>
      </c>
      <c r="H328" s="21" t="s">
        <v>3158</v>
      </c>
      <c r="I328" s="23" t="s">
        <v>91</v>
      </c>
      <c r="J328" s="24" t="s">
        <v>3159</v>
      </c>
      <c r="K328" s="24" t="s">
        <v>3160</v>
      </c>
      <c r="L328" s="24" t="s">
        <v>3161</v>
      </c>
      <c r="M328" s="24" t="s">
        <v>3162</v>
      </c>
      <c r="N328" s="24" t="s">
        <v>3163</v>
      </c>
      <c r="O328" s="24" t="s">
        <v>3164</v>
      </c>
      <c r="P328" s="28"/>
      <c r="Q328" s="28" t="str">
        <f aca="false">"["&amp;안내!$C$5&amp;" "&amp;C328&amp;"] "&amp;J328&amp;" | "&amp;H328</f>
        <v>[1분 성경 #0327] 울음과 함성 | 스 3:1-13</v>
      </c>
      <c r="R328" s="23" t="n">
        <f aca="false">INT((A328-1)/안내!$C$9)+1</f>
        <v>66</v>
      </c>
      <c r="S328" s="26" t="n">
        <f aca="false">안내!$C$10+(R328-1)*7+MOD(A328-1,안내!$C$9)</f>
        <v>46847</v>
      </c>
      <c r="T328" s="23" t="s">
        <v>99</v>
      </c>
      <c r="U328" s="23" t="s">
        <v>99</v>
      </c>
      <c r="V328" s="23" t="s">
        <v>99</v>
      </c>
      <c r="W328" s="23" t="s">
        <v>99</v>
      </c>
      <c r="X328" s="28"/>
      <c r="Y328" s="28" t="str">
        <f aca="false">"다음 편: "&amp;J329</f>
        <v>다음 편: 멈춰 버린 공사</v>
      </c>
    </row>
    <row r="329" customFormat="false" ht="15" hidden="false" customHeight="false" outlineLevel="0" collapsed="false">
      <c r="A329" s="20" t="n">
        <v>328</v>
      </c>
      <c r="B329" s="20" t="s">
        <v>3165</v>
      </c>
      <c r="C329" s="20" t="s">
        <v>3166</v>
      </c>
      <c r="D329" s="20" t="s">
        <v>3137</v>
      </c>
      <c r="E329" s="21" t="s">
        <v>3138</v>
      </c>
      <c r="F329" s="22" t="s">
        <v>88</v>
      </c>
      <c r="G329" s="22" t="s">
        <v>3139</v>
      </c>
      <c r="H329" s="21" t="s">
        <v>3167</v>
      </c>
      <c r="I329" s="23" t="s">
        <v>91</v>
      </c>
      <c r="J329" s="24" t="s">
        <v>3168</v>
      </c>
      <c r="K329" s="24" t="s">
        <v>3169</v>
      </c>
      <c r="L329" s="24" t="s">
        <v>3170</v>
      </c>
      <c r="M329" s="24" t="s">
        <v>3171</v>
      </c>
      <c r="N329" s="24" t="s">
        <v>3172</v>
      </c>
      <c r="O329" s="24" t="s">
        <v>3173</v>
      </c>
      <c r="P329" s="28"/>
      <c r="Q329" s="28" t="str">
        <f aca="false">"["&amp;안내!$C$5&amp;" "&amp;C329&amp;"] "&amp;J329&amp;" | "&amp;H329</f>
        <v>[1분 성경 #0328] 멈춰 버린 공사 | 스 4:1-24</v>
      </c>
      <c r="R329" s="23" t="n">
        <f aca="false">INT((A329-1)/안내!$C$9)+1</f>
        <v>66</v>
      </c>
      <c r="S329" s="26" t="n">
        <f aca="false">안내!$C$10+(R329-1)*7+MOD(A329-1,안내!$C$9)</f>
        <v>46848</v>
      </c>
      <c r="T329" s="23" t="s">
        <v>99</v>
      </c>
      <c r="U329" s="23" t="s">
        <v>99</v>
      </c>
      <c r="V329" s="23" t="s">
        <v>99</v>
      </c>
      <c r="W329" s="23" t="s">
        <v>99</v>
      </c>
      <c r="X329" s="28"/>
      <c r="Y329" s="28" t="str">
        <f aca="false">"다음 편: "&amp;J330</f>
        <v>다음 편: 성전 완공</v>
      </c>
    </row>
    <row r="330" customFormat="false" ht="26.85" hidden="false" customHeight="false" outlineLevel="0" collapsed="false">
      <c r="A330" s="20" t="n">
        <v>329</v>
      </c>
      <c r="B330" s="20" t="s">
        <v>3174</v>
      </c>
      <c r="C330" s="20" t="s">
        <v>3175</v>
      </c>
      <c r="D330" s="20" t="s">
        <v>3137</v>
      </c>
      <c r="E330" s="21" t="s">
        <v>3138</v>
      </c>
      <c r="F330" s="22" t="s">
        <v>88</v>
      </c>
      <c r="G330" s="22" t="s">
        <v>3139</v>
      </c>
      <c r="H330" s="21" t="s">
        <v>3176</v>
      </c>
      <c r="I330" s="23" t="s">
        <v>91</v>
      </c>
      <c r="J330" s="24" t="s">
        <v>3177</v>
      </c>
      <c r="K330" s="24" t="s">
        <v>3178</v>
      </c>
      <c r="L330" s="24" t="s">
        <v>3179</v>
      </c>
      <c r="M330" s="24" t="s">
        <v>3180</v>
      </c>
      <c r="N330" s="24" t="s">
        <v>3181</v>
      </c>
      <c r="O330" s="24" t="s">
        <v>3182</v>
      </c>
      <c r="P330" s="28"/>
      <c r="Q330" s="28" t="str">
        <f aca="false">"["&amp;안내!$C$5&amp;" "&amp;C330&amp;"] "&amp;J330&amp;" | "&amp;H330</f>
        <v>[1분 성경 #0329] 성전 완공 | 스 5:1-6:22</v>
      </c>
      <c r="R330" s="23" t="n">
        <f aca="false">INT((A330-1)/안내!$C$9)+1</f>
        <v>66</v>
      </c>
      <c r="S330" s="26" t="n">
        <f aca="false">안내!$C$10+(R330-1)*7+MOD(A330-1,안내!$C$9)</f>
        <v>46849</v>
      </c>
      <c r="T330" s="23" t="s">
        <v>99</v>
      </c>
      <c r="U330" s="23" t="s">
        <v>99</v>
      </c>
      <c r="V330" s="23" t="s">
        <v>99</v>
      </c>
      <c r="W330" s="23" t="s">
        <v>99</v>
      </c>
      <c r="X330" s="28"/>
      <c r="Y330" s="28" t="str">
        <f aca="false">"다음 편: "&amp;J331</f>
        <v>다음 편: 말씀을 연구한 학자</v>
      </c>
    </row>
    <row r="331" customFormat="false" ht="26.85" hidden="false" customHeight="false" outlineLevel="0" collapsed="false">
      <c r="A331" s="20" t="n">
        <v>330</v>
      </c>
      <c r="B331" s="20" t="s">
        <v>3183</v>
      </c>
      <c r="C331" s="20" t="s">
        <v>3184</v>
      </c>
      <c r="D331" s="20" t="s">
        <v>3137</v>
      </c>
      <c r="E331" s="21" t="s">
        <v>3138</v>
      </c>
      <c r="F331" s="22" t="s">
        <v>88</v>
      </c>
      <c r="G331" s="22" t="s">
        <v>3139</v>
      </c>
      <c r="H331" s="21" t="s">
        <v>3185</v>
      </c>
      <c r="I331" s="23" t="s">
        <v>91</v>
      </c>
      <c r="J331" s="24" t="s">
        <v>3186</v>
      </c>
      <c r="K331" s="24" t="s">
        <v>3187</v>
      </c>
      <c r="L331" s="24" t="s">
        <v>3188</v>
      </c>
      <c r="M331" s="24" t="s">
        <v>3189</v>
      </c>
      <c r="N331" s="24" t="s">
        <v>3190</v>
      </c>
      <c r="O331" s="24" t="s">
        <v>3117</v>
      </c>
      <c r="P331" s="28"/>
      <c r="Q331" s="28" t="str">
        <f aca="false">"["&amp;안내!$C$5&amp;" "&amp;C331&amp;"] "&amp;J331&amp;" | "&amp;H331</f>
        <v>[1분 성경 #0330] 말씀을 연구한 학자 | 스 7:1-28</v>
      </c>
      <c r="R331" s="23" t="n">
        <f aca="false">INT((A331-1)/안내!$C$9)+1</f>
        <v>66</v>
      </c>
      <c r="S331" s="26" t="n">
        <f aca="false">안내!$C$10+(R331-1)*7+MOD(A331-1,안내!$C$9)</f>
        <v>46850</v>
      </c>
      <c r="T331" s="23" t="s">
        <v>99</v>
      </c>
      <c r="U331" s="23" t="s">
        <v>99</v>
      </c>
      <c r="V331" s="23" t="s">
        <v>99</v>
      </c>
      <c r="W331" s="23" t="s">
        <v>99</v>
      </c>
      <c r="X331" s="28"/>
      <c r="Y331" s="28" t="str">
        <f aca="false">"다음 편: "&amp;J332</f>
        <v>다음 편: 군대 대신 금식</v>
      </c>
    </row>
    <row r="332" customFormat="false" ht="26.85" hidden="false" customHeight="false" outlineLevel="0" collapsed="false">
      <c r="A332" s="20" t="n">
        <v>331</v>
      </c>
      <c r="B332" s="20" t="s">
        <v>3191</v>
      </c>
      <c r="C332" s="20" t="s">
        <v>3192</v>
      </c>
      <c r="D332" s="20" t="s">
        <v>3137</v>
      </c>
      <c r="E332" s="21" t="s">
        <v>3138</v>
      </c>
      <c r="F332" s="22" t="s">
        <v>88</v>
      </c>
      <c r="G332" s="22" t="s">
        <v>3139</v>
      </c>
      <c r="H332" s="21" t="s">
        <v>3193</v>
      </c>
      <c r="I332" s="23" t="s">
        <v>91</v>
      </c>
      <c r="J332" s="24" t="s">
        <v>3194</v>
      </c>
      <c r="K332" s="24" t="s">
        <v>3195</v>
      </c>
      <c r="L332" s="24" t="s">
        <v>3196</v>
      </c>
      <c r="M332" s="24" t="s">
        <v>3197</v>
      </c>
      <c r="N332" s="24" t="s">
        <v>3198</v>
      </c>
      <c r="O332" s="24" t="s">
        <v>3199</v>
      </c>
      <c r="P332" s="28"/>
      <c r="Q332" s="28" t="str">
        <f aca="false">"["&amp;안내!$C$5&amp;" "&amp;C332&amp;"] "&amp;J332&amp;" | "&amp;H332</f>
        <v>[1분 성경 #0331] 군대 대신 금식 | 스 8:1-36</v>
      </c>
      <c r="R332" s="23" t="n">
        <f aca="false">INT((A332-1)/안내!$C$9)+1</f>
        <v>67</v>
      </c>
      <c r="S332" s="26" t="n">
        <f aca="false">안내!$C$10+(R332-1)*7+MOD(A332-1,안내!$C$9)</f>
        <v>46853</v>
      </c>
      <c r="T332" s="23" t="s">
        <v>99</v>
      </c>
      <c r="U332" s="23" t="s">
        <v>99</v>
      </c>
      <c r="V332" s="23" t="s">
        <v>99</v>
      </c>
      <c r="W332" s="23" t="s">
        <v>99</v>
      </c>
      <c r="X332" s="28"/>
      <c r="Y332" s="28" t="str">
        <f aca="false">"다음 편: "&amp;J333</f>
        <v>다음 편: 에스라의 회개 기도</v>
      </c>
    </row>
    <row r="333" customFormat="false" ht="26.85" hidden="false" customHeight="false" outlineLevel="0" collapsed="false">
      <c r="A333" s="20" t="n">
        <v>332</v>
      </c>
      <c r="B333" s="20" t="s">
        <v>3200</v>
      </c>
      <c r="C333" s="20" t="s">
        <v>3201</v>
      </c>
      <c r="D333" s="20" t="s">
        <v>3137</v>
      </c>
      <c r="E333" s="21" t="s">
        <v>3138</v>
      </c>
      <c r="F333" s="22" t="s">
        <v>88</v>
      </c>
      <c r="G333" s="22" t="s">
        <v>3139</v>
      </c>
      <c r="H333" s="21" t="s">
        <v>3202</v>
      </c>
      <c r="I333" s="23" t="s">
        <v>91</v>
      </c>
      <c r="J333" s="24" t="s">
        <v>3203</v>
      </c>
      <c r="K333" s="24" t="s">
        <v>3204</v>
      </c>
      <c r="L333" s="24" t="s">
        <v>3205</v>
      </c>
      <c r="M333" s="24" t="s">
        <v>3206</v>
      </c>
      <c r="N333" s="24" t="s">
        <v>3207</v>
      </c>
      <c r="O333" s="24" t="s">
        <v>3208</v>
      </c>
      <c r="P333" s="25" t="s">
        <v>3209</v>
      </c>
      <c r="Q333" s="28" t="str">
        <f aca="false">"["&amp;안내!$C$5&amp;" "&amp;C333&amp;"] "&amp;J333&amp;" | "&amp;H333</f>
        <v>[1분 성경 #0332] 에스라의 회개 기도 | 스 9:1-10:44</v>
      </c>
      <c r="R333" s="23" t="n">
        <f aca="false">INT((A333-1)/안내!$C$9)+1</f>
        <v>67</v>
      </c>
      <c r="S333" s="26" t="n">
        <f aca="false">안내!$C$10+(R333-1)*7+MOD(A333-1,안내!$C$9)</f>
        <v>46854</v>
      </c>
      <c r="T333" s="23" t="s">
        <v>99</v>
      </c>
      <c r="U333" s="23" t="s">
        <v>99</v>
      </c>
      <c r="V333" s="23" t="s">
        <v>99</v>
      </c>
      <c r="W333" s="23" t="s">
        <v>99</v>
      </c>
      <c r="X333" s="28"/>
      <c r="Y333" s="28" t="str">
        <f aca="false">"다음 편: "&amp;J334</f>
        <v>다음 편: 무너진 성벽 소식</v>
      </c>
    </row>
    <row r="334" customFormat="false" ht="15" hidden="false" customHeight="false" outlineLevel="0" collapsed="false">
      <c r="A334" s="20" t="n">
        <v>333</v>
      </c>
      <c r="B334" s="20" t="s">
        <v>3210</v>
      </c>
      <c r="C334" s="20" t="s">
        <v>3211</v>
      </c>
      <c r="D334" s="20" t="s">
        <v>3212</v>
      </c>
      <c r="E334" s="21" t="s">
        <v>3213</v>
      </c>
      <c r="F334" s="22" t="s">
        <v>88</v>
      </c>
      <c r="G334" s="22" t="s">
        <v>3214</v>
      </c>
      <c r="H334" s="21" t="s">
        <v>3215</v>
      </c>
      <c r="I334" s="23" t="s">
        <v>91</v>
      </c>
      <c r="J334" s="24" t="s">
        <v>3216</v>
      </c>
      <c r="K334" s="24" t="s">
        <v>3217</v>
      </c>
      <c r="L334" s="24" t="s">
        <v>3218</v>
      </c>
      <c r="M334" s="24" t="s">
        <v>3219</v>
      </c>
      <c r="N334" s="24" t="s">
        <v>3220</v>
      </c>
      <c r="O334" s="24" t="s">
        <v>3221</v>
      </c>
      <c r="P334" s="28"/>
      <c r="Q334" s="28" t="str">
        <f aca="false">"["&amp;안내!$C$5&amp;" "&amp;C334&amp;"] "&amp;J334&amp;" | "&amp;H334</f>
        <v>[1분 성경 #0333] 무너진 성벽 소식 | 느 1:1-11</v>
      </c>
      <c r="R334" s="23" t="n">
        <f aca="false">INT((A334-1)/안내!$C$9)+1</f>
        <v>67</v>
      </c>
      <c r="S334" s="26" t="n">
        <f aca="false">안내!$C$10+(R334-1)*7+MOD(A334-1,안내!$C$9)</f>
        <v>46855</v>
      </c>
      <c r="T334" s="23" t="s">
        <v>99</v>
      </c>
      <c r="U334" s="23" t="s">
        <v>99</v>
      </c>
      <c r="V334" s="23" t="s">
        <v>99</v>
      </c>
      <c r="W334" s="23" t="s">
        <v>99</v>
      </c>
      <c r="X334" s="28"/>
      <c r="Y334" s="28" t="str">
        <f aca="false">"다음 편: "&amp;J335</f>
        <v>다음 편: 왕의 허락</v>
      </c>
    </row>
    <row r="335" customFormat="false" ht="26.85" hidden="false" customHeight="false" outlineLevel="0" collapsed="false">
      <c r="A335" s="20" t="n">
        <v>334</v>
      </c>
      <c r="B335" s="20" t="s">
        <v>3222</v>
      </c>
      <c r="C335" s="20" t="s">
        <v>3223</v>
      </c>
      <c r="D335" s="20" t="s">
        <v>3212</v>
      </c>
      <c r="E335" s="21" t="s">
        <v>3213</v>
      </c>
      <c r="F335" s="22" t="s">
        <v>88</v>
      </c>
      <c r="G335" s="22" t="s">
        <v>3214</v>
      </c>
      <c r="H335" s="21" t="s">
        <v>3224</v>
      </c>
      <c r="I335" s="23" t="s">
        <v>91</v>
      </c>
      <c r="J335" s="24" t="s">
        <v>3225</v>
      </c>
      <c r="K335" s="24" t="s">
        <v>3226</v>
      </c>
      <c r="L335" s="24" t="s">
        <v>3227</v>
      </c>
      <c r="M335" s="24" t="s">
        <v>3228</v>
      </c>
      <c r="N335" s="24" t="s">
        <v>3229</v>
      </c>
      <c r="O335" s="24" t="s">
        <v>3230</v>
      </c>
      <c r="P335" s="28"/>
      <c r="Q335" s="28" t="str">
        <f aca="false">"["&amp;안내!$C$5&amp;" "&amp;C335&amp;"] "&amp;J335&amp;" | "&amp;H335</f>
        <v>[1분 성경 #0334] 왕의 허락 | 느 2:1-20</v>
      </c>
      <c r="R335" s="23" t="n">
        <f aca="false">INT((A335-1)/안내!$C$9)+1</f>
        <v>67</v>
      </c>
      <c r="S335" s="26" t="n">
        <f aca="false">안내!$C$10+(R335-1)*7+MOD(A335-1,안내!$C$9)</f>
        <v>46856</v>
      </c>
      <c r="T335" s="23" t="s">
        <v>99</v>
      </c>
      <c r="U335" s="23" t="s">
        <v>99</v>
      </c>
      <c r="V335" s="23" t="s">
        <v>99</v>
      </c>
      <c r="W335" s="23" t="s">
        <v>99</v>
      </c>
      <c r="X335" s="28"/>
      <c r="Y335" s="28" t="str">
        <f aca="false">"다음 편: "&amp;J336</f>
        <v>다음 편: 각자 맡은 구간</v>
      </c>
    </row>
    <row r="336" customFormat="false" ht="26.85" hidden="false" customHeight="false" outlineLevel="0" collapsed="false">
      <c r="A336" s="20" t="n">
        <v>335</v>
      </c>
      <c r="B336" s="20" t="s">
        <v>3231</v>
      </c>
      <c r="C336" s="20" t="s">
        <v>3232</v>
      </c>
      <c r="D336" s="20" t="s">
        <v>3212</v>
      </c>
      <c r="E336" s="21" t="s">
        <v>3213</v>
      </c>
      <c r="F336" s="22" t="s">
        <v>88</v>
      </c>
      <c r="G336" s="22" t="s">
        <v>3214</v>
      </c>
      <c r="H336" s="21" t="s">
        <v>3233</v>
      </c>
      <c r="I336" s="23" t="s">
        <v>1116</v>
      </c>
      <c r="J336" s="24" t="s">
        <v>3234</v>
      </c>
      <c r="K336" s="24" t="s">
        <v>3235</v>
      </c>
      <c r="L336" s="24" t="s">
        <v>3236</v>
      </c>
      <c r="M336" s="24" t="s">
        <v>3237</v>
      </c>
      <c r="N336" s="24" t="s">
        <v>3238</v>
      </c>
      <c r="O336" s="24" t="s">
        <v>3239</v>
      </c>
      <c r="P336" s="28"/>
      <c r="Q336" s="28" t="str">
        <f aca="false">"["&amp;안내!$C$5&amp;" "&amp;C336&amp;"] "&amp;J336&amp;" | "&amp;H336</f>
        <v>[1분 성경 #0335] 각자 맡은 구간 | 느 3:1-32</v>
      </c>
      <c r="R336" s="23" t="n">
        <f aca="false">INT((A336-1)/안내!$C$9)+1</f>
        <v>67</v>
      </c>
      <c r="S336" s="26" t="n">
        <f aca="false">안내!$C$10+(R336-1)*7+MOD(A336-1,안내!$C$9)</f>
        <v>46857</v>
      </c>
      <c r="T336" s="23" t="s">
        <v>99</v>
      </c>
      <c r="U336" s="23" t="s">
        <v>99</v>
      </c>
      <c r="V336" s="23" t="s">
        <v>99</v>
      </c>
      <c r="W336" s="23" t="s">
        <v>99</v>
      </c>
      <c r="X336" s="28"/>
      <c r="Y336" s="28" t="str">
        <f aca="false">"다음 편: "&amp;J337</f>
        <v>다음 편: 한 손엔 연장, 한 손엔 무기</v>
      </c>
    </row>
    <row r="337" customFormat="false" ht="26.85" hidden="false" customHeight="false" outlineLevel="0" collapsed="false">
      <c r="A337" s="20" t="n">
        <v>336</v>
      </c>
      <c r="B337" s="20" t="s">
        <v>3240</v>
      </c>
      <c r="C337" s="20" t="s">
        <v>3241</v>
      </c>
      <c r="D337" s="20" t="s">
        <v>3212</v>
      </c>
      <c r="E337" s="21" t="s">
        <v>3213</v>
      </c>
      <c r="F337" s="22" t="s">
        <v>88</v>
      </c>
      <c r="G337" s="22" t="s">
        <v>3214</v>
      </c>
      <c r="H337" s="21" t="s">
        <v>3242</v>
      </c>
      <c r="I337" s="23" t="s">
        <v>91</v>
      </c>
      <c r="J337" s="24" t="s">
        <v>3243</v>
      </c>
      <c r="K337" s="24" t="s">
        <v>3244</v>
      </c>
      <c r="L337" s="24" t="s">
        <v>3245</v>
      </c>
      <c r="M337" s="24" t="s">
        <v>3246</v>
      </c>
      <c r="N337" s="24" t="s">
        <v>3247</v>
      </c>
      <c r="O337" s="24" t="s">
        <v>3248</v>
      </c>
      <c r="P337" s="28"/>
      <c r="Q337" s="28" t="str">
        <f aca="false">"["&amp;안내!$C$5&amp;" "&amp;C337&amp;"] "&amp;J337&amp;" | "&amp;H337</f>
        <v>[1분 성경 #0336] 한 손엔 연장, 한 손엔 무기 | 느 4:1-23</v>
      </c>
      <c r="R337" s="23" t="n">
        <f aca="false">INT((A337-1)/안내!$C$9)+1</f>
        <v>68</v>
      </c>
      <c r="S337" s="26" t="n">
        <f aca="false">안내!$C$10+(R337-1)*7+MOD(A337-1,안내!$C$9)</f>
        <v>46860</v>
      </c>
      <c r="T337" s="23" t="s">
        <v>99</v>
      </c>
      <c r="U337" s="23" t="s">
        <v>99</v>
      </c>
      <c r="V337" s="23" t="s">
        <v>99</v>
      </c>
      <c r="W337" s="23" t="s">
        <v>99</v>
      </c>
      <c r="X337" s="28"/>
      <c r="Y337" s="28" t="str">
        <f aca="false">"다음 편: "&amp;J338</f>
        <v>다음 편: 가난한 형제의 눈물</v>
      </c>
    </row>
    <row r="338" customFormat="false" ht="26.85" hidden="false" customHeight="false" outlineLevel="0" collapsed="false">
      <c r="A338" s="20" t="n">
        <v>337</v>
      </c>
      <c r="B338" s="20" t="s">
        <v>3249</v>
      </c>
      <c r="C338" s="20" t="s">
        <v>3250</v>
      </c>
      <c r="D338" s="20" t="s">
        <v>3212</v>
      </c>
      <c r="E338" s="21" t="s">
        <v>3213</v>
      </c>
      <c r="F338" s="22" t="s">
        <v>88</v>
      </c>
      <c r="G338" s="22" t="s">
        <v>3214</v>
      </c>
      <c r="H338" s="21" t="s">
        <v>3251</v>
      </c>
      <c r="I338" s="23" t="s">
        <v>91</v>
      </c>
      <c r="J338" s="24" t="s">
        <v>3252</v>
      </c>
      <c r="K338" s="24" t="s">
        <v>3253</v>
      </c>
      <c r="L338" s="24" t="s">
        <v>3254</v>
      </c>
      <c r="M338" s="24" t="s">
        <v>3255</v>
      </c>
      <c r="N338" s="24" t="s">
        <v>3256</v>
      </c>
      <c r="O338" s="24" t="s">
        <v>2447</v>
      </c>
      <c r="P338" s="28"/>
      <c r="Q338" s="28" t="str">
        <f aca="false">"["&amp;안내!$C$5&amp;" "&amp;C338&amp;"] "&amp;J338&amp;" | "&amp;H338</f>
        <v>[1분 성경 #0337] 가난한 형제의 눈물 | 느 5:1-19</v>
      </c>
      <c r="R338" s="23" t="n">
        <f aca="false">INT((A338-1)/안내!$C$9)+1</f>
        <v>68</v>
      </c>
      <c r="S338" s="26" t="n">
        <f aca="false">안내!$C$10+(R338-1)*7+MOD(A338-1,안내!$C$9)</f>
        <v>46861</v>
      </c>
      <c r="T338" s="23" t="s">
        <v>99</v>
      </c>
      <c r="U338" s="23" t="s">
        <v>99</v>
      </c>
      <c r="V338" s="23" t="s">
        <v>99</v>
      </c>
      <c r="W338" s="23" t="s">
        <v>99</v>
      </c>
      <c r="X338" s="28"/>
      <c r="Y338" s="28" t="str">
        <f aca="false">"다음 편: "&amp;J339</f>
        <v>다음 편: 52일 만의 완성</v>
      </c>
    </row>
    <row r="339" customFormat="false" ht="15" hidden="false" customHeight="false" outlineLevel="0" collapsed="false">
      <c r="A339" s="20" t="n">
        <v>338</v>
      </c>
      <c r="B339" s="20" t="s">
        <v>3257</v>
      </c>
      <c r="C339" s="20" t="s">
        <v>3258</v>
      </c>
      <c r="D339" s="20" t="s">
        <v>3212</v>
      </c>
      <c r="E339" s="21" t="s">
        <v>3213</v>
      </c>
      <c r="F339" s="22" t="s">
        <v>88</v>
      </c>
      <c r="G339" s="22" t="s">
        <v>3214</v>
      </c>
      <c r="H339" s="21" t="s">
        <v>3259</v>
      </c>
      <c r="I339" s="23" t="s">
        <v>91</v>
      </c>
      <c r="J339" s="28" t="s">
        <v>3260</v>
      </c>
      <c r="K339" s="24" t="s">
        <v>3261</v>
      </c>
      <c r="L339" s="24" t="s">
        <v>3262</v>
      </c>
      <c r="M339" s="24" t="s">
        <v>3263</v>
      </c>
      <c r="N339" s="24" t="s">
        <v>3264</v>
      </c>
      <c r="O339" s="24" t="s">
        <v>3265</v>
      </c>
      <c r="P339" s="28"/>
      <c r="Q339" s="28" t="str">
        <f aca="false">"["&amp;안내!$C$5&amp;" "&amp;C339&amp;"] "&amp;J339&amp;" | "&amp;H339</f>
        <v>[1분 성경 #0338] 52일 만의 완성 | 느 6:1-19</v>
      </c>
      <c r="R339" s="23" t="n">
        <f aca="false">INT((A339-1)/안내!$C$9)+1</f>
        <v>68</v>
      </c>
      <c r="S339" s="26" t="n">
        <f aca="false">안내!$C$10+(R339-1)*7+MOD(A339-1,안내!$C$9)</f>
        <v>46862</v>
      </c>
      <c r="T339" s="23" t="s">
        <v>99</v>
      </c>
      <c r="U339" s="23" t="s">
        <v>99</v>
      </c>
      <c r="V339" s="23" t="s">
        <v>99</v>
      </c>
      <c r="W339" s="23" t="s">
        <v>99</v>
      </c>
      <c r="X339" s="28"/>
      <c r="Y339" s="28" t="str">
        <f aca="false">"다음 편: "&amp;J340</f>
        <v>다음 편: 수문 앞의 말씀</v>
      </c>
    </row>
    <row r="340" customFormat="false" ht="26.85" hidden="false" customHeight="false" outlineLevel="0" collapsed="false">
      <c r="A340" s="20" t="n">
        <v>339</v>
      </c>
      <c r="B340" s="20" t="s">
        <v>3266</v>
      </c>
      <c r="C340" s="20" t="s">
        <v>3267</v>
      </c>
      <c r="D340" s="20" t="s">
        <v>3212</v>
      </c>
      <c r="E340" s="21" t="s">
        <v>3213</v>
      </c>
      <c r="F340" s="22" t="s">
        <v>88</v>
      </c>
      <c r="G340" s="22" t="s">
        <v>3214</v>
      </c>
      <c r="H340" s="21" t="s">
        <v>3268</v>
      </c>
      <c r="I340" s="23" t="s">
        <v>91</v>
      </c>
      <c r="J340" s="24" t="s">
        <v>3269</v>
      </c>
      <c r="K340" s="24" t="s">
        <v>3270</v>
      </c>
      <c r="L340" s="24" t="s">
        <v>3271</v>
      </c>
      <c r="M340" s="24" t="s">
        <v>3272</v>
      </c>
      <c r="N340" s="24" t="s">
        <v>3273</v>
      </c>
      <c r="O340" s="24" t="s">
        <v>3274</v>
      </c>
      <c r="P340" s="28"/>
      <c r="Q340" s="28" t="str">
        <f aca="false">"["&amp;안내!$C$5&amp;" "&amp;C340&amp;"] "&amp;J340&amp;" | "&amp;H340</f>
        <v>[1분 성경 #0339] 수문 앞의 말씀 | 느 7:1-8:18</v>
      </c>
      <c r="R340" s="23" t="n">
        <f aca="false">INT((A340-1)/안내!$C$9)+1</f>
        <v>68</v>
      </c>
      <c r="S340" s="26" t="n">
        <f aca="false">안내!$C$10+(R340-1)*7+MOD(A340-1,안내!$C$9)</f>
        <v>46863</v>
      </c>
      <c r="T340" s="23" t="s">
        <v>99</v>
      </c>
      <c r="U340" s="23" t="s">
        <v>99</v>
      </c>
      <c r="V340" s="23" t="s">
        <v>99</v>
      </c>
      <c r="W340" s="23" t="s">
        <v>99</v>
      </c>
      <c r="X340" s="28"/>
      <c r="Y340" s="28" t="str">
        <f aca="false">"다음 편: "&amp;J341</f>
        <v>다음 편: 역사를 돌아보는 기도</v>
      </c>
    </row>
    <row r="341" customFormat="false" ht="26.85" hidden="false" customHeight="false" outlineLevel="0" collapsed="false">
      <c r="A341" s="20" t="n">
        <v>340</v>
      </c>
      <c r="B341" s="20" t="s">
        <v>3275</v>
      </c>
      <c r="C341" s="20" t="s">
        <v>3276</v>
      </c>
      <c r="D341" s="20" t="s">
        <v>3212</v>
      </c>
      <c r="E341" s="21" t="s">
        <v>3213</v>
      </c>
      <c r="F341" s="22" t="s">
        <v>88</v>
      </c>
      <c r="G341" s="22" t="s">
        <v>3214</v>
      </c>
      <c r="H341" s="21" t="s">
        <v>3277</v>
      </c>
      <c r="I341" s="23" t="s">
        <v>1116</v>
      </c>
      <c r="J341" s="24" t="s">
        <v>3278</v>
      </c>
      <c r="K341" s="24" t="s">
        <v>3279</v>
      </c>
      <c r="L341" s="24" t="s">
        <v>3280</v>
      </c>
      <c r="M341" s="24" t="s">
        <v>3281</v>
      </c>
      <c r="N341" s="24" t="s">
        <v>3282</v>
      </c>
      <c r="O341" s="24" t="s">
        <v>3283</v>
      </c>
      <c r="P341" s="28"/>
      <c r="Q341" s="28" t="str">
        <f aca="false">"["&amp;안내!$C$5&amp;" "&amp;C341&amp;"] "&amp;J341&amp;" | "&amp;H341</f>
        <v>[1분 성경 #0340] 역사를 돌아보는 기도 | 느 9:1-10:39</v>
      </c>
      <c r="R341" s="23" t="n">
        <f aca="false">INT((A341-1)/안내!$C$9)+1</f>
        <v>68</v>
      </c>
      <c r="S341" s="26" t="n">
        <f aca="false">안내!$C$10+(R341-1)*7+MOD(A341-1,안내!$C$9)</f>
        <v>46864</v>
      </c>
      <c r="T341" s="23" t="s">
        <v>99</v>
      </c>
      <c r="U341" s="23" t="s">
        <v>99</v>
      </c>
      <c r="V341" s="23" t="s">
        <v>99</v>
      </c>
      <c r="W341" s="23" t="s">
        <v>99</v>
      </c>
      <c r="X341" s="28"/>
      <c r="Y341" s="28" t="str">
        <f aca="false">"다음 편: "&amp;J342</f>
        <v>다음 편: 봉헌의 기쁨과 다시 하는 개혁</v>
      </c>
    </row>
    <row r="342" customFormat="false" ht="26.85" hidden="false" customHeight="false" outlineLevel="0" collapsed="false">
      <c r="A342" s="20" t="n">
        <v>341</v>
      </c>
      <c r="B342" s="20" t="s">
        <v>3284</v>
      </c>
      <c r="C342" s="20" t="s">
        <v>3285</v>
      </c>
      <c r="D342" s="20" t="s">
        <v>3212</v>
      </c>
      <c r="E342" s="21" t="s">
        <v>3213</v>
      </c>
      <c r="F342" s="22" t="s">
        <v>88</v>
      </c>
      <c r="G342" s="22" t="s">
        <v>3214</v>
      </c>
      <c r="H342" s="21" t="s">
        <v>3286</v>
      </c>
      <c r="I342" s="23" t="s">
        <v>1116</v>
      </c>
      <c r="J342" s="24" t="s">
        <v>3287</v>
      </c>
      <c r="K342" s="24" t="s">
        <v>3288</v>
      </c>
      <c r="L342" s="24" t="s">
        <v>3289</v>
      </c>
      <c r="M342" s="24" t="s">
        <v>3290</v>
      </c>
      <c r="N342" s="24" t="s">
        <v>3291</v>
      </c>
      <c r="O342" s="24" t="s">
        <v>3292</v>
      </c>
      <c r="P342" s="28"/>
      <c r="Q342" s="28" t="str">
        <f aca="false">"["&amp;안내!$C$5&amp;" "&amp;C342&amp;"] "&amp;J342&amp;" | "&amp;H342</f>
        <v>[1분 성경 #0341] 봉헌의 기쁨과 다시 하는 개혁 | 느 11:1-13:31</v>
      </c>
      <c r="R342" s="23" t="n">
        <f aca="false">INT((A342-1)/안내!$C$9)+1</f>
        <v>69</v>
      </c>
      <c r="S342" s="26" t="n">
        <f aca="false">안내!$C$10+(R342-1)*7+MOD(A342-1,안내!$C$9)</f>
        <v>46867</v>
      </c>
      <c r="T342" s="23" t="s">
        <v>99</v>
      </c>
      <c r="U342" s="23" t="s">
        <v>99</v>
      </c>
      <c r="V342" s="23" t="s">
        <v>99</v>
      </c>
      <c r="W342" s="23" t="s">
        <v>99</v>
      </c>
      <c r="X342" s="28"/>
      <c r="Y342" s="28" t="str">
        <f aca="false">"다음 편: "&amp;J343</f>
        <v>다음 편: 거절한 왕비</v>
      </c>
    </row>
    <row r="343" customFormat="false" ht="26.85" hidden="false" customHeight="false" outlineLevel="0" collapsed="false">
      <c r="A343" s="20" t="n">
        <v>342</v>
      </c>
      <c r="B343" s="20" t="s">
        <v>3293</v>
      </c>
      <c r="C343" s="20" t="s">
        <v>3294</v>
      </c>
      <c r="D343" s="20" t="s">
        <v>3295</v>
      </c>
      <c r="E343" s="21" t="s">
        <v>3296</v>
      </c>
      <c r="F343" s="22" t="s">
        <v>88</v>
      </c>
      <c r="G343" s="22" t="s">
        <v>3297</v>
      </c>
      <c r="H343" s="21" t="s">
        <v>3298</v>
      </c>
      <c r="I343" s="23" t="s">
        <v>91</v>
      </c>
      <c r="J343" s="24" t="s">
        <v>3299</v>
      </c>
      <c r="K343" s="24" t="s">
        <v>3300</v>
      </c>
      <c r="L343" s="24" t="s">
        <v>3301</v>
      </c>
      <c r="M343" s="24" t="s">
        <v>3302</v>
      </c>
      <c r="N343" s="24" t="s">
        <v>3303</v>
      </c>
      <c r="O343" s="24" t="s">
        <v>3304</v>
      </c>
      <c r="P343" s="25" t="s">
        <v>3305</v>
      </c>
      <c r="Q343" s="28" t="str">
        <f aca="false">"["&amp;안내!$C$5&amp;" "&amp;C343&amp;"] "&amp;J343&amp;" | "&amp;H343</f>
        <v>[1분 성경 #0342] 거절한 왕비 | 에 1:1-22</v>
      </c>
      <c r="R343" s="23" t="n">
        <f aca="false">INT((A343-1)/안내!$C$9)+1</f>
        <v>69</v>
      </c>
      <c r="S343" s="26" t="n">
        <f aca="false">안내!$C$10+(R343-1)*7+MOD(A343-1,안내!$C$9)</f>
        <v>46868</v>
      </c>
      <c r="T343" s="23" t="s">
        <v>99</v>
      </c>
      <c r="U343" s="23" t="s">
        <v>99</v>
      </c>
      <c r="V343" s="23" t="s">
        <v>99</v>
      </c>
      <c r="W343" s="23" t="s">
        <v>99</v>
      </c>
      <c r="X343" s="28"/>
      <c r="Y343" s="28" t="str">
        <f aca="false">"다음 편: "&amp;J344</f>
        <v>다음 편: 새 왕비</v>
      </c>
    </row>
    <row r="344" customFormat="false" ht="15" hidden="false" customHeight="false" outlineLevel="0" collapsed="false">
      <c r="A344" s="20" t="n">
        <v>343</v>
      </c>
      <c r="B344" s="20" t="s">
        <v>3306</v>
      </c>
      <c r="C344" s="20" t="s">
        <v>3307</v>
      </c>
      <c r="D344" s="20" t="s">
        <v>3295</v>
      </c>
      <c r="E344" s="21" t="s">
        <v>3296</v>
      </c>
      <c r="F344" s="22" t="s">
        <v>88</v>
      </c>
      <c r="G344" s="22" t="s">
        <v>3297</v>
      </c>
      <c r="H344" s="21" t="s">
        <v>3308</v>
      </c>
      <c r="I344" s="23" t="s">
        <v>91</v>
      </c>
      <c r="J344" s="24" t="s">
        <v>3309</v>
      </c>
      <c r="K344" s="24" t="s">
        <v>3310</v>
      </c>
      <c r="L344" s="24" t="s">
        <v>3311</v>
      </c>
      <c r="M344" s="24" t="s">
        <v>3312</v>
      </c>
      <c r="N344" s="24" t="s">
        <v>3313</v>
      </c>
      <c r="O344" s="24" t="s">
        <v>3314</v>
      </c>
      <c r="P344" s="28"/>
      <c r="Q344" s="28" t="str">
        <f aca="false">"["&amp;안내!$C$5&amp;" "&amp;C344&amp;"] "&amp;J344&amp;" | "&amp;H344</f>
        <v>[1분 성경 #0343] 새 왕비 | 에 2:1-18</v>
      </c>
      <c r="R344" s="23" t="n">
        <f aca="false">INT((A344-1)/안내!$C$9)+1</f>
        <v>69</v>
      </c>
      <c r="S344" s="26" t="n">
        <f aca="false">안내!$C$10+(R344-1)*7+MOD(A344-1,안내!$C$9)</f>
        <v>46869</v>
      </c>
      <c r="T344" s="23" t="s">
        <v>99</v>
      </c>
      <c r="U344" s="23" t="s">
        <v>99</v>
      </c>
      <c r="V344" s="23" t="s">
        <v>99</v>
      </c>
      <c r="W344" s="23" t="s">
        <v>99</v>
      </c>
      <c r="X344" s="28"/>
      <c r="Y344" s="28" t="str">
        <f aca="false">"다음 편: "&amp;J345</f>
        <v>다음 편: 기록된 충성</v>
      </c>
    </row>
    <row r="345" customFormat="false" ht="26.85" hidden="false" customHeight="false" outlineLevel="0" collapsed="false">
      <c r="A345" s="20" t="n">
        <v>344</v>
      </c>
      <c r="B345" s="20" t="s">
        <v>3315</v>
      </c>
      <c r="C345" s="20" t="s">
        <v>3316</v>
      </c>
      <c r="D345" s="20" t="s">
        <v>3295</v>
      </c>
      <c r="E345" s="21" t="s">
        <v>3296</v>
      </c>
      <c r="F345" s="22" t="s">
        <v>88</v>
      </c>
      <c r="G345" s="22" t="s">
        <v>3297</v>
      </c>
      <c r="H345" s="21" t="s">
        <v>3317</v>
      </c>
      <c r="I345" s="23" t="s">
        <v>91</v>
      </c>
      <c r="J345" s="24" t="s">
        <v>3318</v>
      </c>
      <c r="K345" s="24" t="s">
        <v>3319</v>
      </c>
      <c r="L345" s="24" t="s">
        <v>3320</v>
      </c>
      <c r="M345" s="24" t="s">
        <v>3321</v>
      </c>
      <c r="N345" s="24" t="s">
        <v>3322</v>
      </c>
      <c r="O345" s="24" t="s">
        <v>3323</v>
      </c>
      <c r="P345" s="28"/>
      <c r="Q345" s="28" t="str">
        <f aca="false">"["&amp;안내!$C$5&amp;" "&amp;C345&amp;"] "&amp;J345&amp;" | "&amp;H345</f>
        <v>[1분 성경 #0344] 기록된 충성 | 에 2:19-23</v>
      </c>
      <c r="R345" s="23" t="n">
        <f aca="false">INT((A345-1)/안내!$C$9)+1</f>
        <v>69</v>
      </c>
      <c r="S345" s="26" t="n">
        <f aca="false">안내!$C$10+(R345-1)*7+MOD(A345-1,안내!$C$9)</f>
        <v>46870</v>
      </c>
      <c r="T345" s="23" t="s">
        <v>99</v>
      </c>
      <c r="U345" s="23" t="s">
        <v>99</v>
      </c>
      <c r="V345" s="23" t="s">
        <v>99</v>
      </c>
      <c r="W345" s="23" t="s">
        <v>99</v>
      </c>
      <c r="X345" s="28"/>
      <c r="Y345" s="28" t="str">
        <f aca="false">"다음 편: "&amp;J346</f>
        <v>다음 편: 하만의 음모</v>
      </c>
    </row>
    <row r="346" customFormat="false" ht="26.85" hidden="false" customHeight="false" outlineLevel="0" collapsed="false">
      <c r="A346" s="20" t="n">
        <v>345</v>
      </c>
      <c r="B346" s="20" t="s">
        <v>3324</v>
      </c>
      <c r="C346" s="20" t="s">
        <v>3325</v>
      </c>
      <c r="D346" s="20" t="s">
        <v>3295</v>
      </c>
      <c r="E346" s="21" t="s">
        <v>3296</v>
      </c>
      <c r="F346" s="22" t="s">
        <v>88</v>
      </c>
      <c r="G346" s="22" t="s">
        <v>3297</v>
      </c>
      <c r="H346" s="21" t="s">
        <v>3326</v>
      </c>
      <c r="I346" s="23" t="s">
        <v>91</v>
      </c>
      <c r="J346" s="24" t="s">
        <v>3327</v>
      </c>
      <c r="K346" s="24" t="s">
        <v>3328</v>
      </c>
      <c r="L346" s="24" t="s">
        <v>3329</v>
      </c>
      <c r="M346" s="24" t="s">
        <v>3330</v>
      </c>
      <c r="N346" s="24" t="s">
        <v>3331</v>
      </c>
      <c r="O346" s="24" t="s">
        <v>3332</v>
      </c>
      <c r="P346" s="28"/>
      <c r="Q346" s="28" t="str">
        <f aca="false">"["&amp;안내!$C$5&amp;" "&amp;C346&amp;"] "&amp;J346&amp;" | "&amp;H346</f>
        <v>[1분 성경 #0345] 하만의 음모 | 에 3:1-15</v>
      </c>
      <c r="R346" s="23" t="n">
        <f aca="false">INT((A346-1)/안내!$C$9)+1</f>
        <v>69</v>
      </c>
      <c r="S346" s="26" t="n">
        <f aca="false">안내!$C$10+(R346-1)*7+MOD(A346-1,안내!$C$9)</f>
        <v>46871</v>
      </c>
      <c r="T346" s="23" t="s">
        <v>99</v>
      </c>
      <c r="U346" s="23" t="s">
        <v>99</v>
      </c>
      <c r="V346" s="23" t="s">
        <v>99</v>
      </c>
      <c r="W346" s="23" t="s">
        <v>99</v>
      </c>
      <c r="X346" s="28"/>
      <c r="Y346" s="28" t="str">
        <f aca="false">"다음 편: "&amp;J347</f>
        <v>다음 편: 죽으면 죽으리라</v>
      </c>
    </row>
    <row r="347" customFormat="false" ht="26.85" hidden="false" customHeight="false" outlineLevel="0" collapsed="false">
      <c r="A347" s="20" t="n">
        <v>346</v>
      </c>
      <c r="B347" s="20" t="s">
        <v>3333</v>
      </c>
      <c r="C347" s="20" t="s">
        <v>3334</v>
      </c>
      <c r="D347" s="20" t="s">
        <v>3295</v>
      </c>
      <c r="E347" s="21" t="s">
        <v>3296</v>
      </c>
      <c r="F347" s="22" t="s">
        <v>88</v>
      </c>
      <c r="G347" s="22" t="s">
        <v>3297</v>
      </c>
      <c r="H347" s="21" t="s">
        <v>3335</v>
      </c>
      <c r="I347" s="23" t="s">
        <v>91</v>
      </c>
      <c r="J347" s="24" t="s">
        <v>3336</v>
      </c>
      <c r="K347" s="24" t="s">
        <v>3337</v>
      </c>
      <c r="L347" s="24" t="s">
        <v>3338</v>
      </c>
      <c r="M347" s="24" t="s">
        <v>3339</v>
      </c>
      <c r="N347" s="24" t="s">
        <v>3340</v>
      </c>
      <c r="O347" s="24" t="s">
        <v>3341</v>
      </c>
      <c r="P347" s="28"/>
      <c r="Q347" s="28" t="str">
        <f aca="false">"["&amp;안내!$C$5&amp;" "&amp;C347&amp;"] "&amp;J347&amp;" | "&amp;H347</f>
        <v>[1분 성경 #0346] 죽으면 죽으리라 | 에 4:1-17</v>
      </c>
      <c r="R347" s="23" t="n">
        <f aca="false">INT((A347-1)/안내!$C$9)+1</f>
        <v>70</v>
      </c>
      <c r="S347" s="26" t="n">
        <f aca="false">안내!$C$10+(R347-1)*7+MOD(A347-1,안내!$C$9)</f>
        <v>46874</v>
      </c>
      <c r="T347" s="23" t="s">
        <v>99</v>
      </c>
      <c r="U347" s="23" t="s">
        <v>99</v>
      </c>
      <c r="V347" s="23" t="s">
        <v>99</v>
      </c>
      <c r="W347" s="23" t="s">
        <v>99</v>
      </c>
      <c r="X347" s="28"/>
      <c r="Y347" s="28" t="str">
        <f aca="false">"다음 편: "&amp;J348</f>
        <v>다음 편: 왕 앞으로</v>
      </c>
    </row>
    <row r="348" customFormat="false" ht="15" hidden="false" customHeight="false" outlineLevel="0" collapsed="false">
      <c r="A348" s="20" t="n">
        <v>347</v>
      </c>
      <c r="B348" s="20" t="s">
        <v>3342</v>
      </c>
      <c r="C348" s="20" t="s">
        <v>3343</v>
      </c>
      <c r="D348" s="20" t="s">
        <v>3295</v>
      </c>
      <c r="E348" s="21" t="s">
        <v>3296</v>
      </c>
      <c r="F348" s="22" t="s">
        <v>88</v>
      </c>
      <c r="G348" s="22" t="s">
        <v>3297</v>
      </c>
      <c r="H348" s="21" t="s">
        <v>3344</v>
      </c>
      <c r="I348" s="23" t="s">
        <v>91</v>
      </c>
      <c r="J348" s="24" t="s">
        <v>3345</v>
      </c>
      <c r="K348" s="24" t="s">
        <v>3346</v>
      </c>
      <c r="L348" s="24" t="s">
        <v>3347</v>
      </c>
      <c r="M348" s="24" t="s">
        <v>3348</v>
      </c>
      <c r="N348" s="24" t="s">
        <v>3349</v>
      </c>
      <c r="O348" s="24" t="s">
        <v>3350</v>
      </c>
      <c r="P348" s="28"/>
      <c r="Q348" s="28" t="str">
        <f aca="false">"["&amp;안내!$C$5&amp;" "&amp;C348&amp;"] "&amp;J348&amp;" | "&amp;H348</f>
        <v>[1분 성경 #0347] 왕 앞으로 | 에 5:1-14</v>
      </c>
      <c r="R348" s="23" t="n">
        <f aca="false">INT((A348-1)/안내!$C$9)+1</f>
        <v>70</v>
      </c>
      <c r="S348" s="26" t="n">
        <f aca="false">안내!$C$10+(R348-1)*7+MOD(A348-1,안내!$C$9)</f>
        <v>46875</v>
      </c>
      <c r="T348" s="23" t="s">
        <v>99</v>
      </c>
      <c r="U348" s="23" t="s">
        <v>99</v>
      </c>
      <c r="V348" s="23" t="s">
        <v>99</v>
      </c>
      <c r="W348" s="23" t="s">
        <v>99</v>
      </c>
      <c r="X348" s="28"/>
      <c r="Y348" s="28" t="str">
        <f aca="false">"다음 편: "&amp;J349</f>
        <v>다음 편: 잠 못 이룬 왕</v>
      </c>
    </row>
    <row r="349" customFormat="false" ht="15" hidden="false" customHeight="false" outlineLevel="0" collapsed="false">
      <c r="A349" s="20" t="n">
        <v>348</v>
      </c>
      <c r="B349" s="20" t="s">
        <v>3351</v>
      </c>
      <c r="C349" s="20" t="s">
        <v>3352</v>
      </c>
      <c r="D349" s="20" t="s">
        <v>3295</v>
      </c>
      <c r="E349" s="21" t="s">
        <v>3296</v>
      </c>
      <c r="F349" s="22" t="s">
        <v>88</v>
      </c>
      <c r="G349" s="22" t="s">
        <v>3297</v>
      </c>
      <c r="H349" s="21" t="s">
        <v>3353</v>
      </c>
      <c r="I349" s="23" t="s">
        <v>91</v>
      </c>
      <c r="J349" s="24" t="s">
        <v>3354</v>
      </c>
      <c r="K349" s="24" t="s">
        <v>3355</v>
      </c>
      <c r="L349" s="24" t="s">
        <v>3356</v>
      </c>
      <c r="M349" s="24" t="s">
        <v>3357</v>
      </c>
      <c r="N349" s="24" t="s">
        <v>3358</v>
      </c>
      <c r="O349" s="24" t="s">
        <v>3359</v>
      </c>
      <c r="P349" s="28"/>
      <c r="Q349" s="28" t="str">
        <f aca="false">"["&amp;안내!$C$5&amp;" "&amp;C349&amp;"] "&amp;J349&amp;" | "&amp;H349</f>
        <v>[1분 성경 #0348] 잠 못 이룬 왕 | 에 6:1-14</v>
      </c>
      <c r="R349" s="23" t="n">
        <f aca="false">INT((A349-1)/안내!$C$9)+1</f>
        <v>70</v>
      </c>
      <c r="S349" s="26" t="n">
        <f aca="false">안내!$C$10+(R349-1)*7+MOD(A349-1,안내!$C$9)</f>
        <v>46876</v>
      </c>
      <c r="T349" s="23" t="s">
        <v>99</v>
      </c>
      <c r="U349" s="23" t="s">
        <v>99</v>
      </c>
      <c r="V349" s="23" t="s">
        <v>99</v>
      </c>
      <c r="W349" s="23" t="s">
        <v>99</v>
      </c>
      <c r="X349" s="28"/>
      <c r="Y349" s="28" t="str">
        <f aca="false">"다음 편: "&amp;J350</f>
        <v>다음 편: 뒤바뀐 운명</v>
      </c>
    </row>
    <row r="350" customFormat="false" ht="15" hidden="false" customHeight="false" outlineLevel="0" collapsed="false">
      <c r="A350" s="20" t="n">
        <v>349</v>
      </c>
      <c r="B350" s="20" t="s">
        <v>3360</v>
      </c>
      <c r="C350" s="20" t="s">
        <v>3361</v>
      </c>
      <c r="D350" s="20" t="s">
        <v>3295</v>
      </c>
      <c r="E350" s="21" t="s">
        <v>3296</v>
      </c>
      <c r="F350" s="22" t="s">
        <v>88</v>
      </c>
      <c r="G350" s="22" t="s">
        <v>3297</v>
      </c>
      <c r="H350" s="21" t="s">
        <v>3362</v>
      </c>
      <c r="I350" s="23" t="s">
        <v>91</v>
      </c>
      <c r="J350" s="24" t="s">
        <v>3363</v>
      </c>
      <c r="K350" s="24" t="s">
        <v>3364</v>
      </c>
      <c r="L350" s="24" t="s">
        <v>3365</v>
      </c>
      <c r="M350" s="24" t="s">
        <v>3366</v>
      </c>
      <c r="N350" s="24" t="s">
        <v>3349</v>
      </c>
      <c r="O350" s="24" t="s">
        <v>3367</v>
      </c>
      <c r="P350" s="25" t="s">
        <v>709</v>
      </c>
      <c r="Q350" s="28" t="str">
        <f aca="false">"["&amp;안내!$C$5&amp;" "&amp;C350&amp;"] "&amp;J350&amp;" | "&amp;H350</f>
        <v>[1분 성경 #0349] 뒤바뀐 운명 | 에 7:1-10</v>
      </c>
      <c r="R350" s="23" t="n">
        <f aca="false">INT((A350-1)/안내!$C$9)+1</f>
        <v>70</v>
      </c>
      <c r="S350" s="26" t="n">
        <f aca="false">안내!$C$10+(R350-1)*7+MOD(A350-1,안내!$C$9)</f>
        <v>46877</v>
      </c>
      <c r="T350" s="23" t="s">
        <v>99</v>
      </c>
      <c r="U350" s="23" t="s">
        <v>99</v>
      </c>
      <c r="V350" s="23" t="s">
        <v>99</v>
      </c>
      <c r="W350" s="23" t="s">
        <v>99</v>
      </c>
      <c r="X350" s="28"/>
      <c r="Y350" s="28" t="str">
        <f aca="false">"다음 편: "&amp;J351</f>
        <v>다음 편: 새로운 조서</v>
      </c>
    </row>
    <row r="351" customFormat="false" ht="15" hidden="false" customHeight="false" outlineLevel="0" collapsed="false">
      <c r="A351" s="20" t="n">
        <v>350</v>
      </c>
      <c r="B351" s="20" t="s">
        <v>3368</v>
      </c>
      <c r="C351" s="20" t="s">
        <v>3369</v>
      </c>
      <c r="D351" s="20" t="s">
        <v>3295</v>
      </c>
      <c r="E351" s="21" t="s">
        <v>3296</v>
      </c>
      <c r="F351" s="22" t="s">
        <v>88</v>
      </c>
      <c r="G351" s="22" t="s">
        <v>3297</v>
      </c>
      <c r="H351" s="21" t="s">
        <v>3370</v>
      </c>
      <c r="I351" s="23" t="s">
        <v>91</v>
      </c>
      <c r="J351" s="24" t="s">
        <v>3371</v>
      </c>
      <c r="K351" s="24" t="s">
        <v>3372</v>
      </c>
      <c r="L351" s="24" t="s">
        <v>3373</v>
      </c>
      <c r="M351" s="24" t="s">
        <v>3374</v>
      </c>
      <c r="N351" s="24" t="s">
        <v>3340</v>
      </c>
      <c r="O351" s="24" t="s">
        <v>3375</v>
      </c>
      <c r="P351" s="28"/>
      <c r="Q351" s="28" t="str">
        <f aca="false">"["&amp;안내!$C$5&amp;" "&amp;C351&amp;"] "&amp;J351&amp;" | "&amp;H351</f>
        <v>[1분 성경 #0350] 새로운 조서 | 에 8:1-17</v>
      </c>
      <c r="R351" s="23" t="n">
        <f aca="false">INT((A351-1)/안내!$C$9)+1</f>
        <v>70</v>
      </c>
      <c r="S351" s="26" t="n">
        <f aca="false">안내!$C$10+(R351-1)*7+MOD(A351-1,안내!$C$9)</f>
        <v>46878</v>
      </c>
      <c r="T351" s="23" t="s">
        <v>99</v>
      </c>
      <c r="U351" s="23" t="s">
        <v>99</v>
      </c>
      <c r="V351" s="23" t="s">
        <v>99</v>
      </c>
      <c r="W351" s="23" t="s">
        <v>99</v>
      </c>
      <c r="X351" s="28"/>
      <c r="Y351" s="28" t="str">
        <f aca="false">"다음 편: "&amp;J352</f>
        <v>다음 편: 부림절</v>
      </c>
    </row>
    <row r="352" customFormat="false" ht="26.85" hidden="false" customHeight="false" outlineLevel="0" collapsed="false">
      <c r="A352" s="20" t="n">
        <v>351</v>
      </c>
      <c r="B352" s="20" t="s">
        <v>3376</v>
      </c>
      <c r="C352" s="20" t="s">
        <v>3377</v>
      </c>
      <c r="D352" s="20" t="s">
        <v>3295</v>
      </c>
      <c r="E352" s="21" t="s">
        <v>3296</v>
      </c>
      <c r="F352" s="22" t="s">
        <v>88</v>
      </c>
      <c r="G352" s="22" t="s">
        <v>3297</v>
      </c>
      <c r="H352" s="21" t="s">
        <v>3378</v>
      </c>
      <c r="I352" s="23" t="s">
        <v>91</v>
      </c>
      <c r="J352" s="24" t="s">
        <v>3379</v>
      </c>
      <c r="K352" s="24" t="s">
        <v>3380</v>
      </c>
      <c r="L352" s="24" t="s">
        <v>3381</v>
      </c>
      <c r="M352" s="24" t="s">
        <v>3382</v>
      </c>
      <c r="N352" s="24" t="s">
        <v>3383</v>
      </c>
      <c r="O352" s="24" t="s">
        <v>3384</v>
      </c>
      <c r="P352" s="25" t="s">
        <v>3385</v>
      </c>
      <c r="Q352" s="28" t="str">
        <f aca="false">"["&amp;안내!$C$5&amp;" "&amp;C352&amp;"] "&amp;J352&amp;" | "&amp;H352</f>
        <v>[1분 성경 #0351] 부림절 | 에 9:1-10:3</v>
      </c>
      <c r="R352" s="23" t="n">
        <f aca="false">INT((A352-1)/안내!$C$9)+1</f>
        <v>71</v>
      </c>
      <c r="S352" s="26" t="n">
        <f aca="false">안내!$C$10+(R352-1)*7+MOD(A352-1,안내!$C$9)</f>
        <v>46881</v>
      </c>
      <c r="T352" s="23" t="s">
        <v>99</v>
      </c>
      <c r="U352" s="23" t="s">
        <v>99</v>
      </c>
      <c r="V352" s="23" t="s">
        <v>99</v>
      </c>
      <c r="W352" s="23" t="s">
        <v>99</v>
      </c>
      <c r="X352" s="28"/>
      <c r="Y352" s="28" t="str">
        <f aca="false">"다음 편: "&amp;J353</f>
        <v>다음 편: 하늘에서 오간 대화</v>
      </c>
    </row>
    <row r="353" customFormat="false" ht="26.85" hidden="false" customHeight="false" outlineLevel="0" collapsed="false">
      <c r="A353" s="20" t="n">
        <v>352</v>
      </c>
      <c r="B353" s="20" t="s">
        <v>3386</v>
      </c>
      <c r="C353" s="20" t="s">
        <v>3387</v>
      </c>
      <c r="D353" s="20" t="s">
        <v>3388</v>
      </c>
      <c r="E353" s="21" t="s">
        <v>3389</v>
      </c>
      <c r="F353" s="22" t="s">
        <v>88</v>
      </c>
      <c r="G353" s="22" t="s">
        <v>3390</v>
      </c>
      <c r="H353" s="21" t="s">
        <v>3391</v>
      </c>
      <c r="I353" s="23" t="s">
        <v>91</v>
      </c>
      <c r="J353" s="24" t="s">
        <v>3392</v>
      </c>
      <c r="K353" s="24" t="s">
        <v>3393</v>
      </c>
      <c r="L353" s="24" t="s">
        <v>3394</v>
      </c>
      <c r="M353" s="24" t="s">
        <v>3395</v>
      </c>
      <c r="N353" s="24" t="s">
        <v>3396</v>
      </c>
      <c r="O353" s="24" t="s">
        <v>3397</v>
      </c>
      <c r="P353" s="25" t="s">
        <v>3398</v>
      </c>
      <c r="Q353" s="28" t="str">
        <f aca="false">"["&amp;안내!$C$5&amp;" "&amp;C353&amp;"] "&amp;J353&amp;" | "&amp;H353</f>
        <v>[1분 성경 #0352] 하늘에서 오간 대화 | 욥 1:1-12</v>
      </c>
      <c r="R353" s="23" t="n">
        <f aca="false">INT((A353-1)/안내!$C$9)+1</f>
        <v>71</v>
      </c>
      <c r="S353" s="26" t="n">
        <f aca="false">안내!$C$10+(R353-1)*7+MOD(A353-1,안내!$C$9)</f>
        <v>46882</v>
      </c>
      <c r="T353" s="23" t="s">
        <v>99</v>
      </c>
      <c r="U353" s="23" t="s">
        <v>99</v>
      </c>
      <c r="V353" s="23" t="s">
        <v>99</v>
      </c>
      <c r="W353" s="23" t="s">
        <v>99</v>
      </c>
      <c r="X353" s="28"/>
      <c r="Y353" s="28" t="str">
        <f aca="false">"다음 편: "&amp;J354</f>
        <v>다음 편: 하루에 모든 것을 잃다</v>
      </c>
    </row>
    <row r="354" customFormat="false" ht="26.85" hidden="false" customHeight="false" outlineLevel="0" collapsed="false">
      <c r="A354" s="20" t="n">
        <v>353</v>
      </c>
      <c r="B354" s="20" t="s">
        <v>3399</v>
      </c>
      <c r="C354" s="20" t="s">
        <v>3400</v>
      </c>
      <c r="D354" s="20" t="s">
        <v>3388</v>
      </c>
      <c r="E354" s="21" t="s">
        <v>3389</v>
      </c>
      <c r="F354" s="22" t="s">
        <v>88</v>
      </c>
      <c r="G354" s="22" t="s">
        <v>3390</v>
      </c>
      <c r="H354" s="21" t="s">
        <v>3401</v>
      </c>
      <c r="I354" s="23" t="s">
        <v>91</v>
      </c>
      <c r="J354" s="24" t="s">
        <v>3402</v>
      </c>
      <c r="K354" s="24" t="s">
        <v>3403</v>
      </c>
      <c r="L354" s="24" t="s">
        <v>3404</v>
      </c>
      <c r="M354" s="24" t="s">
        <v>3405</v>
      </c>
      <c r="N354" s="24" t="s">
        <v>3406</v>
      </c>
      <c r="O354" s="24" t="s">
        <v>3407</v>
      </c>
      <c r="P354" s="25" t="s">
        <v>3408</v>
      </c>
      <c r="Q354" s="28" t="str">
        <f aca="false">"["&amp;안내!$C$5&amp;" "&amp;C354&amp;"] "&amp;J354&amp;" | "&amp;H354</f>
        <v>[1분 성경 #0353] 하루에 모든 것을 잃다 | 욥 1:13-22</v>
      </c>
      <c r="R354" s="23" t="n">
        <f aca="false">INT((A354-1)/안내!$C$9)+1</f>
        <v>71</v>
      </c>
      <c r="S354" s="26" t="n">
        <f aca="false">안내!$C$10+(R354-1)*7+MOD(A354-1,안내!$C$9)</f>
        <v>46883</v>
      </c>
      <c r="T354" s="23" t="s">
        <v>99</v>
      </c>
      <c r="U354" s="23" t="s">
        <v>99</v>
      </c>
      <c r="V354" s="23" t="s">
        <v>99</v>
      </c>
      <c r="W354" s="23" t="s">
        <v>99</v>
      </c>
      <c r="X354" s="28"/>
      <c r="Y354" s="28" t="str">
        <f aca="false">"다음 편: "&amp;J355</f>
        <v>다음 편: 재 위에 앉은 욥</v>
      </c>
    </row>
    <row r="355" customFormat="false" ht="26.85" hidden="false" customHeight="false" outlineLevel="0" collapsed="false">
      <c r="A355" s="20" t="n">
        <v>354</v>
      </c>
      <c r="B355" s="20" t="s">
        <v>3409</v>
      </c>
      <c r="C355" s="20" t="s">
        <v>3410</v>
      </c>
      <c r="D355" s="20" t="s">
        <v>3388</v>
      </c>
      <c r="E355" s="21" t="s">
        <v>3389</v>
      </c>
      <c r="F355" s="22" t="s">
        <v>88</v>
      </c>
      <c r="G355" s="22" t="s">
        <v>3390</v>
      </c>
      <c r="H355" s="21" t="s">
        <v>3411</v>
      </c>
      <c r="I355" s="23" t="s">
        <v>91</v>
      </c>
      <c r="J355" s="24" t="s">
        <v>3412</v>
      </c>
      <c r="K355" s="24" t="s">
        <v>3413</v>
      </c>
      <c r="L355" s="24" t="s">
        <v>3414</v>
      </c>
      <c r="M355" s="24" t="s">
        <v>3415</v>
      </c>
      <c r="N355" s="24" t="s">
        <v>3416</v>
      </c>
      <c r="O355" s="24" t="s">
        <v>3417</v>
      </c>
      <c r="P355" s="25" t="s">
        <v>3418</v>
      </c>
      <c r="Q355" s="28" t="str">
        <f aca="false">"["&amp;안내!$C$5&amp;" "&amp;C355&amp;"] "&amp;J355&amp;" | "&amp;H355</f>
        <v>[1분 성경 #0354] 재 위에 앉은 욥 | 욥 2:1-13</v>
      </c>
      <c r="R355" s="23" t="n">
        <f aca="false">INT((A355-1)/안내!$C$9)+1</f>
        <v>71</v>
      </c>
      <c r="S355" s="26" t="n">
        <f aca="false">안내!$C$10+(R355-1)*7+MOD(A355-1,안내!$C$9)</f>
        <v>46884</v>
      </c>
      <c r="T355" s="23" t="s">
        <v>99</v>
      </c>
      <c r="U355" s="23" t="s">
        <v>99</v>
      </c>
      <c r="V355" s="23" t="s">
        <v>99</v>
      </c>
      <c r="W355" s="23" t="s">
        <v>99</v>
      </c>
      <c r="X355" s="28"/>
      <c r="Y355" s="28" t="str">
        <f aca="false">"다음 편: "&amp;J356</f>
        <v>다음 편: 욥의 탄식</v>
      </c>
    </row>
    <row r="356" customFormat="false" ht="26.85" hidden="false" customHeight="false" outlineLevel="0" collapsed="false">
      <c r="A356" s="20" t="n">
        <v>355</v>
      </c>
      <c r="B356" s="20" t="s">
        <v>3419</v>
      </c>
      <c r="C356" s="20" t="s">
        <v>3420</v>
      </c>
      <c r="D356" s="20" t="s">
        <v>3388</v>
      </c>
      <c r="E356" s="21" t="s">
        <v>3389</v>
      </c>
      <c r="F356" s="22" t="s">
        <v>88</v>
      </c>
      <c r="G356" s="22" t="s">
        <v>3390</v>
      </c>
      <c r="H356" s="21" t="s">
        <v>3421</v>
      </c>
      <c r="I356" s="23" t="s">
        <v>1116</v>
      </c>
      <c r="J356" s="24" t="s">
        <v>3422</v>
      </c>
      <c r="K356" s="24" t="s">
        <v>3423</v>
      </c>
      <c r="L356" s="24" t="s">
        <v>3424</v>
      </c>
      <c r="M356" s="24" t="s">
        <v>3425</v>
      </c>
      <c r="N356" s="24" t="s">
        <v>3426</v>
      </c>
      <c r="O356" s="24" t="s">
        <v>3427</v>
      </c>
      <c r="P356" s="25" t="s">
        <v>3428</v>
      </c>
      <c r="Q356" s="28" t="str">
        <f aca="false">"["&amp;안내!$C$5&amp;" "&amp;C356&amp;"] "&amp;J356&amp;" | "&amp;H356</f>
        <v>[1분 성경 #0355] 욥의 탄식 | 욥 3:1-26</v>
      </c>
      <c r="R356" s="23" t="n">
        <f aca="false">INT((A356-1)/안내!$C$9)+1</f>
        <v>71</v>
      </c>
      <c r="S356" s="26" t="n">
        <f aca="false">안내!$C$10+(R356-1)*7+MOD(A356-1,안내!$C$9)</f>
        <v>46885</v>
      </c>
      <c r="T356" s="23" t="s">
        <v>99</v>
      </c>
      <c r="U356" s="23" t="s">
        <v>99</v>
      </c>
      <c r="V356" s="23" t="s">
        <v>99</v>
      </c>
      <c r="W356" s="23" t="s">
        <v>99</v>
      </c>
      <c r="X356" s="28"/>
      <c r="Y356" s="28" t="str">
        <f aca="false">"다음 편: "&amp;J357</f>
        <v>다음 편: 네가 죄를 지어서 그래</v>
      </c>
    </row>
    <row r="357" customFormat="false" ht="26.85" hidden="false" customHeight="false" outlineLevel="0" collapsed="false">
      <c r="A357" s="20" t="n">
        <v>356</v>
      </c>
      <c r="B357" s="20" t="s">
        <v>3429</v>
      </c>
      <c r="C357" s="20" t="s">
        <v>3430</v>
      </c>
      <c r="D357" s="20" t="s">
        <v>3388</v>
      </c>
      <c r="E357" s="21" t="s">
        <v>3389</v>
      </c>
      <c r="F357" s="22" t="s">
        <v>88</v>
      </c>
      <c r="G357" s="22" t="s">
        <v>3390</v>
      </c>
      <c r="H357" s="21" t="s">
        <v>3431</v>
      </c>
      <c r="I357" s="23" t="s">
        <v>1116</v>
      </c>
      <c r="J357" s="24" t="s">
        <v>3432</v>
      </c>
      <c r="K357" s="24" t="s">
        <v>3433</v>
      </c>
      <c r="L357" s="24" t="s">
        <v>3434</v>
      </c>
      <c r="M357" s="24" t="s">
        <v>3435</v>
      </c>
      <c r="N357" s="24" t="s">
        <v>3436</v>
      </c>
      <c r="O357" s="24" t="s">
        <v>3437</v>
      </c>
      <c r="P357" s="28"/>
      <c r="Q357" s="28" t="str">
        <f aca="false">"["&amp;안내!$C$5&amp;" "&amp;C357&amp;"] "&amp;J357&amp;" | "&amp;H357</f>
        <v>[1분 성경 #0356] 네가 죄를 지어서 그래 | 욥 4:1-14:22</v>
      </c>
      <c r="R357" s="23" t="n">
        <f aca="false">INT((A357-1)/안내!$C$9)+1</f>
        <v>72</v>
      </c>
      <c r="S357" s="26" t="n">
        <f aca="false">안내!$C$10+(R357-1)*7+MOD(A357-1,안내!$C$9)</f>
        <v>46888</v>
      </c>
      <c r="T357" s="23" t="s">
        <v>99</v>
      </c>
      <c r="U357" s="23" t="s">
        <v>99</v>
      </c>
      <c r="V357" s="23" t="s">
        <v>99</v>
      </c>
      <c r="W357" s="23" t="s">
        <v>99</v>
      </c>
      <c r="X357" s="28"/>
      <c r="Y357" s="28" t="str">
        <f aca="false">"다음 편: "&amp;J358</f>
        <v>다음 편: 나의 대속자가 살아 계시니</v>
      </c>
    </row>
    <row r="358" customFormat="false" ht="26.85" hidden="false" customHeight="false" outlineLevel="0" collapsed="false">
      <c r="A358" s="20" t="n">
        <v>357</v>
      </c>
      <c r="B358" s="20" t="s">
        <v>3438</v>
      </c>
      <c r="C358" s="20" t="s">
        <v>3439</v>
      </c>
      <c r="D358" s="20" t="s">
        <v>3388</v>
      </c>
      <c r="E358" s="21" t="s">
        <v>3389</v>
      </c>
      <c r="F358" s="22" t="s">
        <v>88</v>
      </c>
      <c r="G358" s="22" t="s">
        <v>3390</v>
      </c>
      <c r="H358" s="21" t="s">
        <v>3440</v>
      </c>
      <c r="I358" s="23" t="s">
        <v>1116</v>
      </c>
      <c r="J358" s="24" t="s">
        <v>3441</v>
      </c>
      <c r="K358" s="24" t="s">
        <v>3442</v>
      </c>
      <c r="L358" s="24" t="s">
        <v>3443</v>
      </c>
      <c r="M358" s="24" t="s">
        <v>3444</v>
      </c>
      <c r="N358" s="24" t="s">
        <v>3445</v>
      </c>
      <c r="O358" s="24" t="s">
        <v>3417</v>
      </c>
      <c r="P358" s="25" t="s">
        <v>3446</v>
      </c>
      <c r="Q358" s="28" t="str">
        <f aca="false">"["&amp;안내!$C$5&amp;" "&amp;C358&amp;"] "&amp;J358&amp;" | "&amp;H358</f>
        <v>[1분 성경 #0357] 나의 대속자가 살아 계시니 | 욥 15:1-21:34</v>
      </c>
      <c r="R358" s="23" t="n">
        <f aca="false">INT((A358-1)/안내!$C$9)+1</f>
        <v>72</v>
      </c>
      <c r="S358" s="26" t="n">
        <f aca="false">안내!$C$10+(R358-1)*7+MOD(A358-1,안내!$C$9)</f>
        <v>46889</v>
      </c>
      <c r="T358" s="23" t="s">
        <v>99</v>
      </c>
      <c r="U358" s="23" t="s">
        <v>99</v>
      </c>
      <c r="V358" s="23" t="s">
        <v>99</v>
      </c>
      <c r="W358" s="23" t="s">
        <v>99</v>
      </c>
      <c r="X358" s="28"/>
      <c r="Y358" s="28" t="str">
        <f aca="false">"다음 편: "&amp;J359</f>
        <v>다음 편: 정금같이 나오리라</v>
      </c>
    </row>
    <row r="359" customFormat="false" ht="26.85" hidden="false" customHeight="false" outlineLevel="0" collapsed="false">
      <c r="A359" s="20" t="n">
        <v>358</v>
      </c>
      <c r="B359" s="20" t="s">
        <v>3447</v>
      </c>
      <c r="C359" s="20" t="s">
        <v>3448</v>
      </c>
      <c r="D359" s="20" t="s">
        <v>3388</v>
      </c>
      <c r="E359" s="21" t="s">
        <v>3389</v>
      </c>
      <c r="F359" s="22" t="s">
        <v>88</v>
      </c>
      <c r="G359" s="22" t="s">
        <v>3390</v>
      </c>
      <c r="H359" s="21" t="s">
        <v>3449</v>
      </c>
      <c r="I359" s="23" t="s">
        <v>1116</v>
      </c>
      <c r="J359" s="24" t="s">
        <v>3450</v>
      </c>
      <c r="K359" s="24" t="s">
        <v>3451</v>
      </c>
      <c r="L359" s="24" t="s">
        <v>3452</v>
      </c>
      <c r="M359" s="24" t="s">
        <v>3453</v>
      </c>
      <c r="N359" s="24" t="s">
        <v>3445</v>
      </c>
      <c r="O359" s="24" t="s">
        <v>3417</v>
      </c>
      <c r="P359" s="28"/>
      <c r="Q359" s="28" t="str">
        <f aca="false">"["&amp;안내!$C$5&amp;" "&amp;C359&amp;"] "&amp;J359&amp;" | "&amp;H359</f>
        <v>[1분 성경 #0358] 정금같이 나오리라 | 욥 22:1-31:40</v>
      </c>
      <c r="R359" s="23" t="n">
        <f aca="false">INT((A359-1)/안내!$C$9)+1</f>
        <v>72</v>
      </c>
      <c r="S359" s="26" t="n">
        <f aca="false">안내!$C$10+(R359-1)*7+MOD(A359-1,안내!$C$9)</f>
        <v>46890</v>
      </c>
      <c r="T359" s="23" t="s">
        <v>99</v>
      </c>
      <c r="U359" s="23" t="s">
        <v>99</v>
      </c>
      <c r="V359" s="23" t="s">
        <v>99</v>
      </c>
      <c r="W359" s="23" t="s">
        <v>99</v>
      </c>
      <c r="X359" s="28"/>
      <c r="Y359" s="28" t="str">
        <f aca="false">"다음 편: "&amp;J360</f>
        <v>다음 편: 젊은 엘리후</v>
      </c>
    </row>
    <row r="360" customFormat="false" ht="26.85" hidden="false" customHeight="false" outlineLevel="0" collapsed="false">
      <c r="A360" s="20" t="n">
        <v>359</v>
      </c>
      <c r="B360" s="20" t="s">
        <v>3454</v>
      </c>
      <c r="C360" s="20" t="s">
        <v>3455</v>
      </c>
      <c r="D360" s="20" t="s">
        <v>3388</v>
      </c>
      <c r="E360" s="21" t="s">
        <v>3389</v>
      </c>
      <c r="F360" s="22" t="s">
        <v>88</v>
      </c>
      <c r="G360" s="22" t="s">
        <v>3390</v>
      </c>
      <c r="H360" s="21" t="s">
        <v>3456</v>
      </c>
      <c r="I360" s="23" t="s">
        <v>1116</v>
      </c>
      <c r="J360" s="24" t="s">
        <v>3457</v>
      </c>
      <c r="K360" s="24" t="s">
        <v>3458</v>
      </c>
      <c r="L360" s="24" t="s">
        <v>3459</v>
      </c>
      <c r="M360" s="24" t="s">
        <v>3460</v>
      </c>
      <c r="N360" s="24" t="s">
        <v>3461</v>
      </c>
      <c r="O360" s="24" t="s">
        <v>3462</v>
      </c>
      <c r="P360" s="28"/>
      <c r="Q360" s="28" t="str">
        <f aca="false">"["&amp;안내!$C$5&amp;" "&amp;C360&amp;"] "&amp;J360&amp;" | "&amp;H360</f>
        <v>[1분 성경 #0359] 젊은 엘리후 | 욥 32:1-37:24</v>
      </c>
      <c r="R360" s="23" t="n">
        <f aca="false">INT((A360-1)/안내!$C$9)+1</f>
        <v>72</v>
      </c>
      <c r="S360" s="26" t="n">
        <f aca="false">안내!$C$10+(R360-1)*7+MOD(A360-1,안내!$C$9)</f>
        <v>46891</v>
      </c>
      <c r="T360" s="23" t="s">
        <v>99</v>
      </c>
      <c r="U360" s="23" t="s">
        <v>99</v>
      </c>
      <c r="V360" s="23" t="s">
        <v>99</v>
      </c>
      <c r="W360" s="23" t="s">
        <v>99</v>
      </c>
      <c r="X360" s="28"/>
      <c r="Y360" s="28" t="str">
        <f aca="false">"다음 편: "&amp;J361</f>
        <v>다음 편: 폭풍 속의 음성</v>
      </c>
    </row>
    <row r="361" customFormat="false" ht="26.85" hidden="false" customHeight="false" outlineLevel="0" collapsed="false">
      <c r="A361" s="20" t="n">
        <v>360</v>
      </c>
      <c r="B361" s="20" t="s">
        <v>3463</v>
      </c>
      <c r="C361" s="20" t="s">
        <v>3464</v>
      </c>
      <c r="D361" s="20" t="s">
        <v>3388</v>
      </c>
      <c r="E361" s="21" t="s">
        <v>3389</v>
      </c>
      <c r="F361" s="22" t="s">
        <v>88</v>
      </c>
      <c r="G361" s="22" t="s">
        <v>3390</v>
      </c>
      <c r="H361" s="21" t="s">
        <v>3465</v>
      </c>
      <c r="I361" s="23" t="s">
        <v>91</v>
      </c>
      <c r="J361" s="24" t="s">
        <v>3466</v>
      </c>
      <c r="K361" s="24" t="s">
        <v>3467</v>
      </c>
      <c r="L361" s="24" t="s">
        <v>3468</v>
      </c>
      <c r="M361" s="24" t="s">
        <v>3469</v>
      </c>
      <c r="N361" s="24" t="s">
        <v>3470</v>
      </c>
      <c r="O361" s="24" t="s">
        <v>3471</v>
      </c>
      <c r="P361" s="25" t="s">
        <v>3472</v>
      </c>
      <c r="Q361" s="28" t="str">
        <f aca="false">"["&amp;안내!$C$5&amp;" "&amp;C361&amp;"] "&amp;J361&amp;" | "&amp;H361</f>
        <v>[1분 성경 #0360] 폭풍 속의 음성 | 욥 38:1-40:5</v>
      </c>
      <c r="R361" s="23" t="n">
        <f aca="false">INT((A361-1)/안내!$C$9)+1</f>
        <v>72</v>
      </c>
      <c r="S361" s="26" t="n">
        <f aca="false">안내!$C$10+(R361-1)*7+MOD(A361-1,안내!$C$9)</f>
        <v>46892</v>
      </c>
      <c r="T361" s="23" t="s">
        <v>99</v>
      </c>
      <c r="U361" s="23" t="s">
        <v>99</v>
      </c>
      <c r="V361" s="23" t="s">
        <v>99</v>
      </c>
      <c r="W361" s="23" t="s">
        <v>99</v>
      </c>
      <c r="X361" s="28"/>
      <c r="Y361" s="28" t="str">
        <f aca="false">"다음 편: "&amp;J362</f>
        <v>다음 편: 이제는 눈으로 주를 뵈옵나이다</v>
      </c>
    </row>
    <row r="362" customFormat="false" ht="26.85" hidden="false" customHeight="false" outlineLevel="0" collapsed="false">
      <c r="A362" s="20" t="n">
        <v>361</v>
      </c>
      <c r="B362" s="20" t="s">
        <v>3473</v>
      </c>
      <c r="C362" s="20" t="s">
        <v>3474</v>
      </c>
      <c r="D362" s="20" t="s">
        <v>3388</v>
      </c>
      <c r="E362" s="21" t="s">
        <v>3389</v>
      </c>
      <c r="F362" s="22" t="s">
        <v>88</v>
      </c>
      <c r="G362" s="22" t="s">
        <v>3390</v>
      </c>
      <c r="H362" s="21" t="s">
        <v>3475</v>
      </c>
      <c r="I362" s="23" t="s">
        <v>91</v>
      </c>
      <c r="J362" s="24" t="s">
        <v>3476</v>
      </c>
      <c r="K362" s="24" t="s">
        <v>3477</v>
      </c>
      <c r="L362" s="24" t="s">
        <v>3478</v>
      </c>
      <c r="M362" s="24" t="s">
        <v>3479</v>
      </c>
      <c r="N362" s="24" t="s">
        <v>3480</v>
      </c>
      <c r="O362" s="24" t="s">
        <v>3481</v>
      </c>
      <c r="P362" s="28"/>
      <c r="Q362" s="28" t="str">
        <f aca="false">"["&amp;안내!$C$5&amp;" "&amp;C362&amp;"] "&amp;J362&amp;" | "&amp;H362</f>
        <v>[1분 성경 #0361] 이제는 눈으로 주를 뵈옵나이다 | 욥 40:6-42:6</v>
      </c>
      <c r="R362" s="23" t="n">
        <f aca="false">INT((A362-1)/안내!$C$9)+1</f>
        <v>73</v>
      </c>
      <c r="S362" s="26" t="n">
        <f aca="false">안내!$C$10+(R362-1)*7+MOD(A362-1,안내!$C$9)</f>
        <v>46895</v>
      </c>
      <c r="T362" s="23" t="s">
        <v>99</v>
      </c>
      <c r="U362" s="23" t="s">
        <v>99</v>
      </c>
      <c r="V362" s="23" t="s">
        <v>99</v>
      </c>
      <c r="W362" s="23" t="s">
        <v>99</v>
      </c>
      <c r="X362" s="28"/>
      <c r="Y362" s="28" t="str">
        <f aca="false">"다음 편: "&amp;J363</f>
        <v>다음 편: 갑절의 회복</v>
      </c>
    </row>
    <row r="363" customFormat="false" ht="15" hidden="false" customHeight="false" outlineLevel="0" collapsed="false">
      <c r="A363" s="20" t="n">
        <v>362</v>
      </c>
      <c r="B363" s="20" t="s">
        <v>3482</v>
      </c>
      <c r="C363" s="20" t="s">
        <v>3483</v>
      </c>
      <c r="D363" s="20" t="s">
        <v>3388</v>
      </c>
      <c r="E363" s="21" t="s">
        <v>3389</v>
      </c>
      <c r="F363" s="22" t="s">
        <v>88</v>
      </c>
      <c r="G363" s="22" t="s">
        <v>3390</v>
      </c>
      <c r="H363" s="21" t="s">
        <v>3484</v>
      </c>
      <c r="I363" s="23" t="s">
        <v>91</v>
      </c>
      <c r="J363" s="24" t="s">
        <v>3485</v>
      </c>
      <c r="K363" s="24" t="s">
        <v>3486</v>
      </c>
      <c r="L363" s="24" t="s">
        <v>3487</v>
      </c>
      <c r="M363" s="24" t="s">
        <v>3488</v>
      </c>
      <c r="N363" s="24" t="s">
        <v>3489</v>
      </c>
      <c r="O363" s="24" t="s">
        <v>3490</v>
      </c>
      <c r="P363" s="27" t="s">
        <v>3491</v>
      </c>
      <c r="Q363" s="28" t="str">
        <f aca="false">"["&amp;안내!$C$5&amp;" "&amp;C363&amp;"] "&amp;J363&amp;" | "&amp;H363</f>
        <v>[1분 성경 #0362] 갑절의 회복 | 욥 42:7-17</v>
      </c>
      <c r="R363" s="23" t="n">
        <f aca="false">INT((A363-1)/안내!$C$9)+1</f>
        <v>73</v>
      </c>
      <c r="S363" s="26" t="n">
        <f aca="false">안내!$C$10+(R363-1)*7+MOD(A363-1,안내!$C$9)</f>
        <v>46896</v>
      </c>
      <c r="T363" s="23" t="s">
        <v>99</v>
      </c>
      <c r="U363" s="23" t="s">
        <v>99</v>
      </c>
      <c r="V363" s="23" t="s">
        <v>99</v>
      </c>
      <c r="W363" s="23" t="s">
        <v>99</v>
      </c>
      <c r="X363" s="28"/>
      <c r="Y363" s="28" t="str">
        <f aca="false">"다음 편: "&amp;J364</f>
        <v>다음 편: 복 있는 사람</v>
      </c>
    </row>
    <row r="364" customFormat="false" ht="26.85" hidden="false" customHeight="false" outlineLevel="0" collapsed="false">
      <c r="A364" s="20" t="n">
        <v>363</v>
      </c>
      <c r="B364" s="20" t="s">
        <v>3492</v>
      </c>
      <c r="C364" s="20" t="s">
        <v>3493</v>
      </c>
      <c r="D364" s="20" t="s">
        <v>3494</v>
      </c>
      <c r="E364" s="21" t="s">
        <v>3495</v>
      </c>
      <c r="F364" s="22" t="s">
        <v>88</v>
      </c>
      <c r="G364" s="22" t="s">
        <v>3496</v>
      </c>
      <c r="H364" s="21" t="s">
        <v>3497</v>
      </c>
      <c r="I364" s="23" t="s">
        <v>1116</v>
      </c>
      <c r="J364" s="24" t="s">
        <v>3498</v>
      </c>
      <c r="K364" s="24" t="s">
        <v>3499</v>
      </c>
      <c r="L364" s="24" t="s">
        <v>3500</v>
      </c>
      <c r="M364" s="24" t="s">
        <v>3501</v>
      </c>
      <c r="N364" s="24" t="s">
        <v>3502</v>
      </c>
      <c r="O364" s="24" t="s">
        <v>3503</v>
      </c>
      <c r="P364" s="28"/>
      <c r="Q364" s="28" t="str">
        <f aca="false">"["&amp;안내!$C$5&amp;" "&amp;C364&amp;"] "&amp;J364&amp;" | "&amp;H364</f>
        <v>[1분 성경 #0363] 복 있는 사람 | 시편 1편</v>
      </c>
      <c r="R364" s="23" t="n">
        <f aca="false">INT((A364-1)/안내!$C$9)+1</f>
        <v>73</v>
      </c>
      <c r="S364" s="26" t="n">
        <f aca="false">안내!$C$10+(R364-1)*7+MOD(A364-1,안내!$C$9)</f>
        <v>46897</v>
      </c>
      <c r="T364" s="23" t="s">
        <v>99</v>
      </c>
      <c r="U364" s="23" t="s">
        <v>99</v>
      </c>
      <c r="V364" s="23" t="s">
        <v>99</v>
      </c>
      <c r="W364" s="23" t="s">
        <v>99</v>
      </c>
      <c r="X364" s="28"/>
      <c r="Y364" s="28" t="str">
        <f aca="false">"다음 편: "&amp;J365</f>
        <v>다음 편: 하나님의 아들</v>
      </c>
    </row>
    <row r="365" customFormat="false" ht="26.85" hidden="false" customHeight="false" outlineLevel="0" collapsed="false">
      <c r="A365" s="20" t="n">
        <v>364</v>
      </c>
      <c r="B365" s="20" t="s">
        <v>3504</v>
      </c>
      <c r="C365" s="20" t="s">
        <v>3505</v>
      </c>
      <c r="D365" s="20" t="s">
        <v>3494</v>
      </c>
      <c r="E365" s="21" t="s">
        <v>3495</v>
      </c>
      <c r="F365" s="22" t="s">
        <v>88</v>
      </c>
      <c r="G365" s="22" t="s">
        <v>3496</v>
      </c>
      <c r="H365" s="21" t="s">
        <v>3506</v>
      </c>
      <c r="I365" s="23" t="s">
        <v>1116</v>
      </c>
      <c r="J365" s="24" t="s">
        <v>3507</v>
      </c>
      <c r="K365" s="24" t="s">
        <v>3508</v>
      </c>
      <c r="L365" s="24" t="s">
        <v>3509</v>
      </c>
      <c r="M365" s="24" t="s">
        <v>3510</v>
      </c>
      <c r="N365" s="24" t="s">
        <v>3511</v>
      </c>
      <c r="O365" s="24" t="s">
        <v>3512</v>
      </c>
      <c r="P365" s="25" t="s">
        <v>3513</v>
      </c>
      <c r="Q365" s="28" t="str">
        <f aca="false">"["&amp;안내!$C$5&amp;" "&amp;C365&amp;"] "&amp;J365&amp;" | "&amp;H365</f>
        <v>[1분 성경 #0364] 하나님의 아들 | 시편 2편</v>
      </c>
      <c r="R365" s="23" t="n">
        <f aca="false">INT((A365-1)/안내!$C$9)+1</f>
        <v>73</v>
      </c>
      <c r="S365" s="26" t="n">
        <f aca="false">안내!$C$10+(R365-1)*7+MOD(A365-1,안내!$C$9)</f>
        <v>46898</v>
      </c>
      <c r="T365" s="23" t="s">
        <v>99</v>
      </c>
      <c r="U365" s="23" t="s">
        <v>99</v>
      </c>
      <c r="V365" s="23" t="s">
        <v>99</v>
      </c>
      <c r="W365" s="23" t="s">
        <v>99</v>
      </c>
      <c r="X365" s="28"/>
      <c r="Y365" s="28" t="str">
        <f aca="false">"다음 편: "&amp;J366</f>
        <v>다음 편: 사람이 무엇이기에</v>
      </c>
    </row>
    <row r="366" customFormat="false" ht="26.85" hidden="false" customHeight="false" outlineLevel="0" collapsed="false">
      <c r="A366" s="20" t="n">
        <v>365</v>
      </c>
      <c r="B366" s="20" t="s">
        <v>3514</v>
      </c>
      <c r="C366" s="20" t="s">
        <v>3515</v>
      </c>
      <c r="D366" s="20" t="s">
        <v>3494</v>
      </c>
      <c r="E366" s="21" t="s">
        <v>3495</v>
      </c>
      <c r="F366" s="22" t="s">
        <v>88</v>
      </c>
      <c r="G366" s="22" t="s">
        <v>3496</v>
      </c>
      <c r="H366" s="21" t="s">
        <v>3516</v>
      </c>
      <c r="I366" s="23" t="s">
        <v>1116</v>
      </c>
      <c r="J366" s="24" t="s">
        <v>3517</v>
      </c>
      <c r="K366" s="24" t="s">
        <v>3518</v>
      </c>
      <c r="L366" s="24" t="s">
        <v>3519</v>
      </c>
      <c r="M366" s="24" t="s">
        <v>3520</v>
      </c>
      <c r="N366" s="24" t="s">
        <v>3521</v>
      </c>
      <c r="O366" s="24" t="s">
        <v>3522</v>
      </c>
      <c r="P366" s="28"/>
      <c r="Q366" s="28" t="str">
        <f aca="false">"["&amp;안내!$C$5&amp;" "&amp;C366&amp;"] "&amp;J366&amp;" | "&amp;H366</f>
        <v>[1분 성경 #0365] 사람이 무엇이기에 | 시편 8편</v>
      </c>
      <c r="R366" s="23" t="n">
        <f aca="false">INT((A366-1)/안내!$C$9)+1</f>
        <v>73</v>
      </c>
      <c r="S366" s="26" t="n">
        <f aca="false">안내!$C$10+(R366-1)*7+MOD(A366-1,안내!$C$9)</f>
        <v>46899</v>
      </c>
      <c r="T366" s="23" t="s">
        <v>99</v>
      </c>
      <c r="U366" s="23" t="s">
        <v>99</v>
      </c>
      <c r="V366" s="23" t="s">
        <v>99</v>
      </c>
      <c r="W366" s="23" t="s">
        <v>99</v>
      </c>
      <c r="X366" s="28"/>
      <c r="Y366" s="28" t="str">
        <f aca="false">"다음 편: "&amp;J367</f>
        <v>다음 편: 하늘이 말하고 있다</v>
      </c>
    </row>
    <row r="367" customFormat="false" ht="26.85" hidden="false" customHeight="false" outlineLevel="0" collapsed="false">
      <c r="A367" s="20" t="n">
        <v>366</v>
      </c>
      <c r="B367" s="20" t="s">
        <v>3523</v>
      </c>
      <c r="C367" s="20" t="s">
        <v>3524</v>
      </c>
      <c r="D367" s="20" t="s">
        <v>3494</v>
      </c>
      <c r="E367" s="21" t="s">
        <v>3495</v>
      </c>
      <c r="F367" s="22" t="s">
        <v>88</v>
      </c>
      <c r="G367" s="22" t="s">
        <v>3496</v>
      </c>
      <c r="H367" s="21" t="s">
        <v>3525</v>
      </c>
      <c r="I367" s="23" t="s">
        <v>1116</v>
      </c>
      <c r="J367" s="24" t="s">
        <v>3526</v>
      </c>
      <c r="K367" s="24" t="s">
        <v>3527</v>
      </c>
      <c r="L367" s="24" t="s">
        <v>3528</v>
      </c>
      <c r="M367" s="24" t="s">
        <v>3529</v>
      </c>
      <c r="N367" s="24" t="s">
        <v>3521</v>
      </c>
      <c r="O367" s="24" t="s">
        <v>3530</v>
      </c>
      <c r="P367" s="28"/>
      <c r="Q367" s="28" t="str">
        <f aca="false">"["&amp;안내!$C$5&amp;" "&amp;C367&amp;"] "&amp;J367&amp;" | "&amp;H367</f>
        <v>[1분 성경 #0366] 하늘이 말하고 있다 | 시편 19편</v>
      </c>
      <c r="R367" s="23" t="n">
        <f aca="false">INT((A367-1)/안내!$C$9)+1</f>
        <v>74</v>
      </c>
      <c r="S367" s="26" t="n">
        <f aca="false">안내!$C$10+(R367-1)*7+MOD(A367-1,안내!$C$9)</f>
        <v>46902</v>
      </c>
      <c r="T367" s="23" t="s">
        <v>99</v>
      </c>
      <c r="U367" s="23" t="s">
        <v>99</v>
      </c>
      <c r="V367" s="23" t="s">
        <v>99</v>
      </c>
      <c r="W367" s="23" t="s">
        <v>99</v>
      </c>
      <c r="X367" s="28"/>
      <c r="Y367" s="28" t="str">
        <f aca="false">"다음 편: "&amp;J368</f>
        <v>다음 편: 나의 하나님 어찌하여</v>
      </c>
    </row>
    <row r="368" customFormat="false" ht="26.85" hidden="false" customHeight="false" outlineLevel="0" collapsed="false">
      <c r="A368" s="20" t="n">
        <v>367</v>
      </c>
      <c r="B368" s="20" t="s">
        <v>3531</v>
      </c>
      <c r="C368" s="20" t="s">
        <v>3532</v>
      </c>
      <c r="D368" s="20" t="s">
        <v>3494</v>
      </c>
      <c r="E368" s="21" t="s">
        <v>3495</v>
      </c>
      <c r="F368" s="22" t="s">
        <v>88</v>
      </c>
      <c r="G368" s="22" t="s">
        <v>3496</v>
      </c>
      <c r="H368" s="21" t="s">
        <v>3533</v>
      </c>
      <c r="I368" s="23" t="s">
        <v>1116</v>
      </c>
      <c r="J368" s="24" t="s">
        <v>3534</v>
      </c>
      <c r="K368" s="24" t="s">
        <v>3535</v>
      </c>
      <c r="L368" s="24" t="s">
        <v>3536</v>
      </c>
      <c r="M368" s="24" t="s">
        <v>3537</v>
      </c>
      <c r="N368" s="24" t="s">
        <v>3538</v>
      </c>
      <c r="O368" s="24" t="s">
        <v>3539</v>
      </c>
      <c r="P368" s="25" t="s">
        <v>3540</v>
      </c>
      <c r="Q368" s="28" t="str">
        <f aca="false">"["&amp;안내!$C$5&amp;" "&amp;C368&amp;"] "&amp;J368&amp;" | "&amp;H368</f>
        <v>[1분 성경 #0367] 나의 하나님 어찌하여 | 시편 22편</v>
      </c>
      <c r="R368" s="23" t="n">
        <f aca="false">INT((A368-1)/안내!$C$9)+1</f>
        <v>74</v>
      </c>
      <c r="S368" s="26" t="n">
        <f aca="false">안내!$C$10+(R368-1)*7+MOD(A368-1,안내!$C$9)</f>
        <v>46903</v>
      </c>
      <c r="T368" s="23" t="s">
        <v>99</v>
      </c>
      <c r="U368" s="23" t="s">
        <v>99</v>
      </c>
      <c r="V368" s="23" t="s">
        <v>99</v>
      </c>
      <c r="W368" s="23" t="s">
        <v>99</v>
      </c>
      <c r="X368" s="28"/>
      <c r="Y368" s="28" t="str">
        <f aca="false">"다음 편: "&amp;J369</f>
        <v>다음 편: 여호와는 나의 목자</v>
      </c>
    </row>
    <row r="369" customFormat="false" ht="26.85" hidden="false" customHeight="false" outlineLevel="0" collapsed="false">
      <c r="A369" s="20" t="n">
        <v>368</v>
      </c>
      <c r="B369" s="20" t="s">
        <v>3541</v>
      </c>
      <c r="C369" s="20" t="s">
        <v>3542</v>
      </c>
      <c r="D369" s="20" t="s">
        <v>3494</v>
      </c>
      <c r="E369" s="21" t="s">
        <v>3495</v>
      </c>
      <c r="F369" s="22" t="s">
        <v>88</v>
      </c>
      <c r="G369" s="22" t="s">
        <v>3496</v>
      </c>
      <c r="H369" s="21" t="s">
        <v>3543</v>
      </c>
      <c r="I369" s="23" t="s">
        <v>1116</v>
      </c>
      <c r="J369" s="24" t="s">
        <v>3544</v>
      </c>
      <c r="K369" s="24" t="s">
        <v>3545</v>
      </c>
      <c r="L369" s="24" t="s">
        <v>3546</v>
      </c>
      <c r="M369" s="24" t="s">
        <v>3547</v>
      </c>
      <c r="N369" s="24" t="s">
        <v>3548</v>
      </c>
      <c r="O369" s="24" t="s">
        <v>3549</v>
      </c>
      <c r="P369" s="25" t="s">
        <v>3550</v>
      </c>
      <c r="Q369" s="28" t="str">
        <f aca="false">"["&amp;안내!$C$5&amp;" "&amp;C369&amp;"] "&amp;J369&amp;" | "&amp;H369</f>
        <v>[1분 성경 #0368] 여호와는 나의 목자 | 시편 23편</v>
      </c>
      <c r="R369" s="23" t="n">
        <f aca="false">INT((A369-1)/안내!$C$9)+1</f>
        <v>74</v>
      </c>
      <c r="S369" s="26" t="n">
        <f aca="false">안내!$C$10+(R369-1)*7+MOD(A369-1,안내!$C$9)</f>
        <v>46904</v>
      </c>
      <c r="T369" s="23" t="s">
        <v>99</v>
      </c>
      <c r="U369" s="23" t="s">
        <v>99</v>
      </c>
      <c r="V369" s="23" t="s">
        <v>99</v>
      </c>
      <c r="W369" s="23" t="s">
        <v>99</v>
      </c>
      <c r="X369" s="28"/>
      <c r="Y369" s="28" t="str">
        <f aca="false">"다음 편: "&amp;J370</f>
        <v>다음 편: 여호와는 나의 빛</v>
      </c>
    </row>
    <row r="370" customFormat="false" ht="26.85" hidden="false" customHeight="false" outlineLevel="0" collapsed="false">
      <c r="A370" s="20" t="n">
        <v>369</v>
      </c>
      <c r="B370" s="20" t="s">
        <v>3551</v>
      </c>
      <c r="C370" s="20" t="s">
        <v>3552</v>
      </c>
      <c r="D370" s="20" t="s">
        <v>3494</v>
      </c>
      <c r="E370" s="21" t="s">
        <v>3495</v>
      </c>
      <c r="F370" s="22" t="s">
        <v>88</v>
      </c>
      <c r="G370" s="22" t="s">
        <v>3496</v>
      </c>
      <c r="H370" s="21" t="s">
        <v>3553</v>
      </c>
      <c r="I370" s="23" t="s">
        <v>1116</v>
      </c>
      <c r="J370" s="24" t="s">
        <v>3554</v>
      </c>
      <c r="K370" s="24" t="s">
        <v>3555</v>
      </c>
      <c r="L370" s="24" t="s">
        <v>3556</v>
      </c>
      <c r="M370" s="24" t="s">
        <v>3557</v>
      </c>
      <c r="N370" s="24" t="s">
        <v>3521</v>
      </c>
      <c r="O370" s="24" t="s">
        <v>3558</v>
      </c>
      <c r="P370" s="28"/>
      <c r="Q370" s="28" t="str">
        <f aca="false">"["&amp;안내!$C$5&amp;" "&amp;C370&amp;"] "&amp;J370&amp;" | "&amp;H370</f>
        <v>[1분 성경 #0369] 여호와는 나의 빛 | 시편 27편</v>
      </c>
      <c r="R370" s="23" t="n">
        <f aca="false">INT((A370-1)/안내!$C$9)+1</f>
        <v>74</v>
      </c>
      <c r="S370" s="26" t="n">
        <f aca="false">안내!$C$10+(R370-1)*7+MOD(A370-1,안내!$C$9)</f>
        <v>46905</v>
      </c>
      <c r="T370" s="23" t="s">
        <v>99</v>
      </c>
      <c r="U370" s="23" t="s">
        <v>99</v>
      </c>
      <c r="V370" s="23" t="s">
        <v>99</v>
      </c>
      <c r="W370" s="23" t="s">
        <v>99</v>
      </c>
      <c r="X370" s="28"/>
      <c r="Y370" s="28" t="str">
        <f aca="false">"다음 편: "&amp;J371</f>
        <v>다음 편: 용서받은 사람의 기쁨</v>
      </c>
    </row>
    <row r="371" customFormat="false" ht="26.85" hidden="false" customHeight="false" outlineLevel="0" collapsed="false">
      <c r="A371" s="20" t="n">
        <v>370</v>
      </c>
      <c r="B371" s="20" t="s">
        <v>3559</v>
      </c>
      <c r="C371" s="20" t="s">
        <v>3560</v>
      </c>
      <c r="D371" s="20" t="s">
        <v>3494</v>
      </c>
      <c r="E371" s="21" t="s">
        <v>3495</v>
      </c>
      <c r="F371" s="22" t="s">
        <v>88</v>
      </c>
      <c r="G371" s="22" t="s">
        <v>3496</v>
      </c>
      <c r="H371" s="21" t="s">
        <v>3561</v>
      </c>
      <c r="I371" s="23" t="s">
        <v>1116</v>
      </c>
      <c r="J371" s="24" t="s">
        <v>3562</v>
      </c>
      <c r="K371" s="24" t="s">
        <v>3563</v>
      </c>
      <c r="L371" s="24" t="s">
        <v>3564</v>
      </c>
      <c r="M371" s="24" t="s">
        <v>3565</v>
      </c>
      <c r="N371" s="24" t="s">
        <v>3521</v>
      </c>
      <c r="O371" s="28"/>
      <c r="P371" s="25" t="s">
        <v>3566</v>
      </c>
      <c r="Q371" s="28" t="str">
        <f aca="false">"["&amp;안내!$C$5&amp;" "&amp;C371&amp;"] "&amp;J371&amp;" | "&amp;H371</f>
        <v>[1분 성경 #0370] 용서받은 사람의 기쁨 | 시편 32편</v>
      </c>
      <c r="R371" s="23" t="n">
        <f aca="false">INT((A371-1)/안내!$C$9)+1</f>
        <v>74</v>
      </c>
      <c r="S371" s="26" t="n">
        <f aca="false">안내!$C$10+(R371-1)*7+MOD(A371-1,안내!$C$9)</f>
        <v>46906</v>
      </c>
      <c r="T371" s="23" t="s">
        <v>99</v>
      </c>
      <c r="U371" s="23" t="s">
        <v>99</v>
      </c>
      <c r="V371" s="23" t="s">
        <v>99</v>
      </c>
      <c r="W371" s="23" t="s">
        <v>99</v>
      </c>
      <c r="X371" s="28"/>
      <c r="Y371" s="28" t="str">
        <f aca="false">"다음 편: "&amp;J372</f>
        <v>다음 편: 사슴이 시냇물을 찾듯</v>
      </c>
    </row>
    <row r="372" customFormat="false" ht="26.85" hidden="false" customHeight="false" outlineLevel="0" collapsed="false">
      <c r="A372" s="20" t="n">
        <v>371</v>
      </c>
      <c r="B372" s="20" t="s">
        <v>3567</v>
      </c>
      <c r="C372" s="20" t="s">
        <v>3568</v>
      </c>
      <c r="D372" s="20" t="s">
        <v>3569</v>
      </c>
      <c r="E372" s="21" t="s">
        <v>3570</v>
      </c>
      <c r="F372" s="22" t="s">
        <v>88</v>
      </c>
      <c r="G372" s="22" t="s">
        <v>3496</v>
      </c>
      <c r="H372" s="21" t="s">
        <v>3571</v>
      </c>
      <c r="I372" s="23" t="s">
        <v>1116</v>
      </c>
      <c r="J372" s="24" t="s">
        <v>3572</v>
      </c>
      <c r="K372" s="24" t="s">
        <v>3573</v>
      </c>
      <c r="L372" s="24" t="s">
        <v>3574</v>
      </c>
      <c r="M372" s="24" t="s">
        <v>3575</v>
      </c>
      <c r="N372" s="24" t="s">
        <v>3576</v>
      </c>
      <c r="O372" s="24" t="s">
        <v>3577</v>
      </c>
      <c r="P372" s="28"/>
      <c r="Q372" s="28" t="str">
        <f aca="false">"["&amp;안내!$C$5&amp;" "&amp;C372&amp;"] "&amp;J372&amp;" | "&amp;H372</f>
        <v>[1분 성경 #0371] 사슴이 시냇물을 찾듯 | 시편 42편</v>
      </c>
      <c r="R372" s="23" t="n">
        <f aca="false">INT((A372-1)/안내!$C$9)+1</f>
        <v>75</v>
      </c>
      <c r="S372" s="26" t="n">
        <f aca="false">안내!$C$10+(R372-1)*7+MOD(A372-1,안내!$C$9)</f>
        <v>46909</v>
      </c>
      <c r="T372" s="23" t="s">
        <v>99</v>
      </c>
      <c r="U372" s="23" t="s">
        <v>99</v>
      </c>
      <c r="V372" s="23" t="s">
        <v>99</v>
      </c>
      <c r="W372" s="23" t="s">
        <v>99</v>
      </c>
      <c r="X372" s="28"/>
      <c r="Y372" s="28" t="str">
        <f aca="false">"다음 편: "&amp;J373</f>
        <v>다음 편: 하나님은 우리의 피난처</v>
      </c>
    </row>
    <row r="373" customFormat="false" ht="26.85" hidden="false" customHeight="false" outlineLevel="0" collapsed="false">
      <c r="A373" s="20" t="n">
        <v>372</v>
      </c>
      <c r="B373" s="20" t="s">
        <v>3578</v>
      </c>
      <c r="C373" s="20" t="s">
        <v>3579</v>
      </c>
      <c r="D373" s="20" t="s">
        <v>3569</v>
      </c>
      <c r="E373" s="21" t="s">
        <v>3570</v>
      </c>
      <c r="F373" s="22" t="s">
        <v>88</v>
      </c>
      <c r="G373" s="22" t="s">
        <v>3496</v>
      </c>
      <c r="H373" s="21" t="s">
        <v>3580</v>
      </c>
      <c r="I373" s="23" t="s">
        <v>1116</v>
      </c>
      <c r="J373" s="24" t="s">
        <v>3581</v>
      </c>
      <c r="K373" s="24" t="s">
        <v>3582</v>
      </c>
      <c r="L373" s="24" t="s">
        <v>3583</v>
      </c>
      <c r="M373" s="24" t="s">
        <v>3584</v>
      </c>
      <c r="N373" s="24" t="s">
        <v>3576</v>
      </c>
      <c r="O373" s="24" t="s">
        <v>3585</v>
      </c>
      <c r="P373" s="28"/>
      <c r="Q373" s="28" t="str">
        <f aca="false">"["&amp;안내!$C$5&amp;" "&amp;C373&amp;"] "&amp;J373&amp;" | "&amp;H373</f>
        <v>[1분 성경 #0372] 하나님은 우리의 피난처 | 시편 46편</v>
      </c>
      <c r="R373" s="23" t="n">
        <f aca="false">INT((A373-1)/안내!$C$9)+1</f>
        <v>75</v>
      </c>
      <c r="S373" s="26" t="n">
        <f aca="false">안내!$C$10+(R373-1)*7+MOD(A373-1,안내!$C$9)</f>
        <v>46910</v>
      </c>
      <c r="T373" s="23" t="s">
        <v>99</v>
      </c>
      <c r="U373" s="23" t="s">
        <v>99</v>
      </c>
      <c r="V373" s="23" t="s">
        <v>99</v>
      </c>
      <c r="W373" s="23" t="s">
        <v>99</v>
      </c>
      <c r="X373" s="28"/>
      <c r="Y373" s="28" t="str">
        <f aca="false">"다음 편: "&amp;J374</f>
        <v>다음 편: 정한 마음을 창조하소서</v>
      </c>
    </row>
    <row r="374" customFormat="false" ht="26.85" hidden="false" customHeight="false" outlineLevel="0" collapsed="false">
      <c r="A374" s="20" t="n">
        <v>373</v>
      </c>
      <c r="B374" s="20" t="s">
        <v>3586</v>
      </c>
      <c r="C374" s="20" t="s">
        <v>3587</v>
      </c>
      <c r="D374" s="20" t="s">
        <v>3569</v>
      </c>
      <c r="E374" s="21" t="s">
        <v>3570</v>
      </c>
      <c r="F374" s="22" t="s">
        <v>88</v>
      </c>
      <c r="G374" s="22" t="s">
        <v>3496</v>
      </c>
      <c r="H374" s="21" t="s">
        <v>3588</v>
      </c>
      <c r="I374" s="23" t="s">
        <v>1116</v>
      </c>
      <c r="J374" s="24" t="s">
        <v>3589</v>
      </c>
      <c r="K374" s="24" t="s">
        <v>3590</v>
      </c>
      <c r="L374" s="24" t="s">
        <v>3591</v>
      </c>
      <c r="M374" s="24" t="s">
        <v>3592</v>
      </c>
      <c r="N374" s="24" t="s">
        <v>3521</v>
      </c>
      <c r="O374" s="24" t="s">
        <v>3593</v>
      </c>
      <c r="P374" s="28"/>
      <c r="Q374" s="28" t="str">
        <f aca="false">"["&amp;안내!$C$5&amp;" "&amp;C374&amp;"] "&amp;J374&amp;" | "&amp;H374</f>
        <v>[1분 성경 #0373] 정한 마음을 창조하소서 | 시편 51편</v>
      </c>
      <c r="R374" s="23" t="n">
        <f aca="false">INT((A374-1)/안내!$C$9)+1</f>
        <v>75</v>
      </c>
      <c r="S374" s="26" t="n">
        <f aca="false">안내!$C$10+(R374-1)*7+MOD(A374-1,안내!$C$9)</f>
        <v>46911</v>
      </c>
      <c r="T374" s="23" t="s">
        <v>99</v>
      </c>
      <c r="U374" s="23" t="s">
        <v>99</v>
      </c>
      <c r="V374" s="23" t="s">
        <v>99</v>
      </c>
      <c r="W374" s="23" t="s">
        <v>99</v>
      </c>
      <c r="X374" s="28"/>
      <c r="Y374" s="28" t="str">
        <f aca="false">"다음 편: "&amp;J375</f>
        <v>다음 편: 잠잠히 하나님만</v>
      </c>
    </row>
    <row r="375" customFormat="false" ht="26.85" hidden="false" customHeight="false" outlineLevel="0" collapsed="false">
      <c r="A375" s="20" t="n">
        <v>374</v>
      </c>
      <c r="B375" s="20" t="s">
        <v>3594</v>
      </c>
      <c r="C375" s="20" t="s">
        <v>3595</v>
      </c>
      <c r="D375" s="20" t="s">
        <v>3569</v>
      </c>
      <c r="E375" s="21" t="s">
        <v>3570</v>
      </c>
      <c r="F375" s="22" t="s">
        <v>88</v>
      </c>
      <c r="G375" s="22" t="s">
        <v>3496</v>
      </c>
      <c r="H375" s="21" t="s">
        <v>3596</v>
      </c>
      <c r="I375" s="23" t="s">
        <v>1116</v>
      </c>
      <c r="J375" s="24" t="s">
        <v>3597</v>
      </c>
      <c r="K375" s="24" t="s">
        <v>3598</v>
      </c>
      <c r="L375" s="24" t="s">
        <v>3599</v>
      </c>
      <c r="M375" s="24" t="s">
        <v>3600</v>
      </c>
      <c r="N375" s="24" t="s">
        <v>3521</v>
      </c>
      <c r="O375" s="24" t="s">
        <v>3601</v>
      </c>
      <c r="P375" s="28"/>
      <c r="Q375" s="28" t="str">
        <f aca="false">"["&amp;안내!$C$5&amp;" "&amp;C375&amp;"] "&amp;J375&amp;" | "&amp;H375</f>
        <v>[1분 성경 #0374] 잠잠히 하나님만 | 시편 62편</v>
      </c>
      <c r="R375" s="23" t="n">
        <f aca="false">INT((A375-1)/안내!$C$9)+1</f>
        <v>75</v>
      </c>
      <c r="S375" s="26" t="n">
        <f aca="false">안내!$C$10+(R375-1)*7+MOD(A375-1,안내!$C$9)</f>
        <v>46912</v>
      </c>
      <c r="T375" s="23" t="s">
        <v>99</v>
      </c>
      <c r="U375" s="23" t="s">
        <v>99</v>
      </c>
      <c r="V375" s="23" t="s">
        <v>99</v>
      </c>
      <c r="W375" s="23" t="s">
        <v>99</v>
      </c>
      <c r="X375" s="28"/>
      <c r="Y375" s="28" t="str">
        <f aca="false">"다음 편: "&amp;J376</f>
        <v>다음 편: 광야에서 부른 노래</v>
      </c>
    </row>
    <row r="376" customFormat="false" ht="26.85" hidden="false" customHeight="false" outlineLevel="0" collapsed="false">
      <c r="A376" s="20" t="n">
        <v>375</v>
      </c>
      <c r="B376" s="20" t="s">
        <v>3602</v>
      </c>
      <c r="C376" s="20" t="s">
        <v>3603</v>
      </c>
      <c r="D376" s="20" t="s">
        <v>3569</v>
      </c>
      <c r="E376" s="21" t="s">
        <v>3570</v>
      </c>
      <c r="F376" s="22" t="s">
        <v>88</v>
      </c>
      <c r="G376" s="22" t="s">
        <v>3496</v>
      </c>
      <c r="H376" s="21" t="s">
        <v>3604</v>
      </c>
      <c r="I376" s="23" t="s">
        <v>1116</v>
      </c>
      <c r="J376" s="24" t="s">
        <v>3605</v>
      </c>
      <c r="K376" s="24" t="s">
        <v>3606</v>
      </c>
      <c r="L376" s="24" t="s">
        <v>3607</v>
      </c>
      <c r="M376" s="24" t="s">
        <v>3608</v>
      </c>
      <c r="N376" s="24" t="s">
        <v>3521</v>
      </c>
      <c r="O376" s="24" t="s">
        <v>3609</v>
      </c>
      <c r="P376" s="28"/>
      <c r="Q376" s="28" t="str">
        <f aca="false">"["&amp;안내!$C$5&amp;" "&amp;C376&amp;"] "&amp;J376&amp;" | "&amp;H376</f>
        <v>[1분 성경 #0375] 광야에서 부른 노래 | 시편 63편</v>
      </c>
      <c r="R376" s="23" t="n">
        <f aca="false">INT((A376-1)/안내!$C$9)+1</f>
        <v>75</v>
      </c>
      <c r="S376" s="26" t="n">
        <f aca="false">안내!$C$10+(R376-1)*7+MOD(A376-1,안내!$C$9)</f>
        <v>46913</v>
      </c>
      <c r="T376" s="23" t="s">
        <v>99</v>
      </c>
      <c r="U376" s="23" t="s">
        <v>99</v>
      </c>
      <c r="V376" s="23" t="s">
        <v>99</v>
      </c>
      <c r="W376" s="23" t="s">
        <v>99</v>
      </c>
      <c r="X376" s="28"/>
      <c r="Y376" s="28" t="str">
        <f aca="false">"다음 편: "&amp;J377</f>
        <v>다음 편: 악인이 잘되는 것 같을 때</v>
      </c>
    </row>
    <row r="377" customFormat="false" ht="26.85" hidden="false" customHeight="false" outlineLevel="0" collapsed="false">
      <c r="A377" s="20" t="n">
        <v>376</v>
      </c>
      <c r="B377" s="20" t="s">
        <v>3610</v>
      </c>
      <c r="C377" s="20" t="s">
        <v>3611</v>
      </c>
      <c r="D377" s="20" t="s">
        <v>3569</v>
      </c>
      <c r="E377" s="21" t="s">
        <v>3570</v>
      </c>
      <c r="F377" s="22" t="s">
        <v>88</v>
      </c>
      <c r="G377" s="22" t="s">
        <v>3496</v>
      </c>
      <c r="H377" s="21" t="s">
        <v>3612</v>
      </c>
      <c r="I377" s="23" t="s">
        <v>1116</v>
      </c>
      <c r="J377" s="24" t="s">
        <v>3613</v>
      </c>
      <c r="K377" s="24" t="s">
        <v>3614</v>
      </c>
      <c r="L377" s="24" t="s">
        <v>3615</v>
      </c>
      <c r="M377" s="24" t="s">
        <v>3616</v>
      </c>
      <c r="N377" s="24" t="s">
        <v>3617</v>
      </c>
      <c r="O377" s="24" t="s">
        <v>1320</v>
      </c>
      <c r="P377" s="28"/>
      <c r="Q377" s="28" t="str">
        <f aca="false">"["&amp;안내!$C$5&amp;" "&amp;C377&amp;"] "&amp;J377&amp;" | "&amp;H377</f>
        <v>[1분 성경 #0376] 악인이 잘되는 것 같을 때 | 시편 73편</v>
      </c>
      <c r="R377" s="23" t="n">
        <f aca="false">INT((A377-1)/안내!$C$9)+1</f>
        <v>76</v>
      </c>
      <c r="S377" s="26" t="n">
        <f aca="false">안내!$C$10+(R377-1)*7+MOD(A377-1,안내!$C$9)</f>
        <v>46916</v>
      </c>
      <c r="T377" s="23" t="s">
        <v>99</v>
      </c>
      <c r="U377" s="23" t="s">
        <v>99</v>
      </c>
      <c r="V377" s="23" t="s">
        <v>99</v>
      </c>
      <c r="W377" s="23" t="s">
        <v>99</v>
      </c>
      <c r="X377" s="28"/>
      <c r="Y377" s="28" t="str">
        <f aca="false">"다음 편: "&amp;J378</f>
        <v>다음 편: 주의 집에서의 하루</v>
      </c>
    </row>
    <row r="378" customFormat="false" ht="26.85" hidden="false" customHeight="false" outlineLevel="0" collapsed="false">
      <c r="A378" s="20" t="n">
        <v>377</v>
      </c>
      <c r="B378" s="20" t="s">
        <v>3618</v>
      </c>
      <c r="C378" s="20" t="s">
        <v>3619</v>
      </c>
      <c r="D378" s="20" t="s">
        <v>3569</v>
      </c>
      <c r="E378" s="21" t="s">
        <v>3570</v>
      </c>
      <c r="F378" s="22" t="s">
        <v>88</v>
      </c>
      <c r="G378" s="22" t="s">
        <v>3496</v>
      </c>
      <c r="H378" s="21" t="s">
        <v>3620</v>
      </c>
      <c r="I378" s="23" t="s">
        <v>1116</v>
      </c>
      <c r="J378" s="24" t="s">
        <v>3621</v>
      </c>
      <c r="K378" s="24" t="s">
        <v>3622</v>
      </c>
      <c r="L378" s="24" t="s">
        <v>3623</v>
      </c>
      <c r="M378" s="24" t="s">
        <v>3624</v>
      </c>
      <c r="N378" s="24" t="s">
        <v>3576</v>
      </c>
      <c r="O378" s="24" t="s">
        <v>3625</v>
      </c>
      <c r="P378" s="28"/>
      <c r="Q378" s="28" t="str">
        <f aca="false">"["&amp;안내!$C$5&amp;" "&amp;C378&amp;"] "&amp;J378&amp;" | "&amp;H378</f>
        <v>[1분 성경 #0377] 주의 집에서의 하루 | 시편 84편</v>
      </c>
      <c r="R378" s="23" t="n">
        <f aca="false">INT((A378-1)/안내!$C$9)+1</f>
        <v>76</v>
      </c>
      <c r="S378" s="26" t="n">
        <f aca="false">안내!$C$10+(R378-1)*7+MOD(A378-1,안내!$C$9)</f>
        <v>46917</v>
      </c>
      <c r="T378" s="23" t="s">
        <v>99</v>
      </c>
      <c r="U378" s="23" t="s">
        <v>99</v>
      </c>
      <c r="V378" s="23" t="s">
        <v>99</v>
      </c>
      <c r="W378" s="23" t="s">
        <v>99</v>
      </c>
      <c r="X378" s="28"/>
      <c r="Y378" s="28" t="str">
        <f aca="false">"다음 편: "&amp;J379</f>
        <v>다음 편: 영원한 언약</v>
      </c>
    </row>
    <row r="379" customFormat="false" ht="26.85" hidden="false" customHeight="false" outlineLevel="0" collapsed="false">
      <c r="A379" s="20" t="n">
        <v>378</v>
      </c>
      <c r="B379" s="20" t="s">
        <v>3626</v>
      </c>
      <c r="C379" s="20" t="s">
        <v>3627</v>
      </c>
      <c r="D379" s="20" t="s">
        <v>3569</v>
      </c>
      <c r="E379" s="21" t="s">
        <v>3570</v>
      </c>
      <c r="F379" s="22" t="s">
        <v>88</v>
      </c>
      <c r="G379" s="22" t="s">
        <v>3496</v>
      </c>
      <c r="H379" s="21" t="s">
        <v>3628</v>
      </c>
      <c r="I379" s="23" t="s">
        <v>1116</v>
      </c>
      <c r="J379" s="24" t="s">
        <v>3629</v>
      </c>
      <c r="K379" s="24" t="s">
        <v>3630</v>
      </c>
      <c r="L379" s="24" t="s">
        <v>3631</v>
      </c>
      <c r="M379" s="24" t="s">
        <v>3632</v>
      </c>
      <c r="N379" s="24" t="s">
        <v>3633</v>
      </c>
      <c r="O379" s="24" t="s">
        <v>3634</v>
      </c>
      <c r="P379" s="25" t="s">
        <v>3635</v>
      </c>
      <c r="Q379" s="28" t="str">
        <f aca="false">"["&amp;안내!$C$5&amp;" "&amp;C379&amp;"] "&amp;J379&amp;" | "&amp;H379</f>
        <v>[1분 성경 #0378] 영원한 언약 | 시편 89편</v>
      </c>
      <c r="R379" s="23" t="n">
        <f aca="false">INT((A379-1)/안내!$C$9)+1</f>
        <v>76</v>
      </c>
      <c r="S379" s="26" t="n">
        <f aca="false">안내!$C$10+(R379-1)*7+MOD(A379-1,안내!$C$9)</f>
        <v>46918</v>
      </c>
      <c r="T379" s="23" t="s">
        <v>99</v>
      </c>
      <c r="U379" s="23" t="s">
        <v>99</v>
      </c>
      <c r="V379" s="23" t="s">
        <v>99</v>
      </c>
      <c r="W379" s="23" t="s">
        <v>99</v>
      </c>
      <c r="X379" s="28"/>
      <c r="Y379" s="28" t="str">
        <f aca="false">"다음 편: "&amp;J380</f>
        <v>다음 편: 우리의 날 계수함을 가르치소서</v>
      </c>
    </row>
    <row r="380" customFormat="false" ht="26.85" hidden="false" customHeight="false" outlineLevel="0" collapsed="false">
      <c r="A380" s="20" t="n">
        <v>379</v>
      </c>
      <c r="B380" s="20" t="s">
        <v>3636</v>
      </c>
      <c r="C380" s="20" t="s">
        <v>3637</v>
      </c>
      <c r="D380" s="20" t="s">
        <v>3638</v>
      </c>
      <c r="E380" s="21" t="s">
        <v>3639</v>
      </c>
      <c r="F380" s="22" t="s">
        <v>88</v>
      </c>
      <c r="G380" s="22" t="s">
        <v>3496</v>
      </c>
      <c r="H380" s="21" t="s">
        <v>3640</v>
      </c>
      <c r="I380" s="23" t="s">
        <v>1116</v>
      </c>
      <c r="J380" s="24" t="s">
        <v>3641</v>
      </c>
      <c r="K380" s="24" t="s">
        <v>3642</v>
      </c>
      <c r="L380" s="24" t="s">
        <v>3643</v>
      </c>
      <c r="M380" s="24" t="s">
        <v>3644</v>
      </c>
      <c r="N380" s="24" t="s">
        <v>1139</v>
      </c>
      <c r="O380" s="24" t="s">
        <v>3645</v>
      </c>
      <c r="P380" s="28"/>
      <c r="Q380" s="28" t="str">
        <f aca="false">"["&amp;안내!$C$5&amp;" "&amp;C380&amp;"] "&amp;J380&amp;" | "&amp;H380</f>
        <v>[1분 성경 #0379] 우리의 날 계수함을 가르치소서 | 시편 90편</v>
      </c>
      <c r="R380" s="23" t="n">
        <f aca="false">INT((A380-1)/안내!$C$9)+1</f>
        <v>76</v>
      </c>
      <c r="S380" s="26" t="n">
        <f aca="false">안내!$C$10+(R380-1)*7+MOD(A380-1,안내!$C$9)</f>
        <v>46919</v>
      </c>
      <c r="T380" s="23" t="s">
        <v>99</v>
      </c>
      <c r="U380" s="23" t="s">
        <v>99</v>
      </c>
      <c r="V380" s="23" t="s">
        <v>99</v>
      </c>
      <c r="W380" s="23" t="s">
        <v>99</v>
      </c>
      <c r="X380" s="28"/>
      <c r="Y380" s="28" t="str">
        <f aca="false">"다음 편: "&amp;J381</f>
        <v>다음 편: 전능자의 그늘 아래</v>
      </c>
    </row>
    <row r="381" customFormat="false" ht="26.85" hidden="false" customHeight="false" outlineLevel="0" collapsed="false">
      <c r="A381" s="20" t="n">
        <v>380</v>
      </c>
      <c r="B381" s="20" t="s">
        <v>3646</v>
      </c>
      <c r="C381" s="20" t="s">
        <v>3647</v>
      </c>
      <c r="D381" s="20" t="s">
        <v>3638</v>
      </c>
      <c r="E381" s="21" t="s">
        <v>3639</v>
      </c>
      <c r="F381" s="22" t="s">
        <v>88</v>
      </c>
      <c r="G381" s="22" t="s">
        <v>3496</v>
      </c>
      <c r="H381" s="21" t="s">
        <v>3648</v>
      </c>
      <c r="I381" s="23" t="s">
        <v>1116</v>
      </c>
      <c r="J381" s="24" t="s">
        <v>3649</v>
      </c>
      <c r="K381" s="24" t="s">
        <v>3650</v>
      </c>
      <c r="L381" s="24" t="s">
        <v>3651</v>
      </c>
      <c r="M381" s="24" t="s">
        <v>3652</v>
      </c>
      <c r="N381" s="24" t="s">
        <v>3653</v>
      </c>
      <c r="O381" s="24" t="s">
        <v>3654</v>
      </c>
      <c r="P381" s="25" t="s">
        <v>3655</v>
      </c>
      <c r="Q381" s="28" t="str">
        <f aca="false">"["&amp;안내!$C$5&amp;" "&amp;C381&amp;"] "&amp;J381&amp;" | "&amp;H381</f>
        <v>[1분 성경 #0380] 전능자의 그늘 아래 | 시편 91편</v>
      </c>
      <c r="R381" s="23" t="n">
        <f aca="false">INT((A381-1)/안내!$C$9)+1</f>
        <v>76</v>
      </c>
      <c r="S381" s="26" t="n">
        <f aca="false">안내!$C$10+(R381-1)*7+MOD(A381-1,안내!$C$9)</f>
        <v>46920</v>
      </c>
      <c r="T381" s="23" t="s">
        <v>99</v>
      </c>
      <c r="U381" s="23" t="s">
        <v>99</v>
      </c>
      <c r="V381" s="23" t="s">
        <v>99</v>
      </c>
      <c r="W381" s="23" t="s">
        <v>99</v>
      </c>
      <c r="X381" s="28"/>
      <c r="Y381" s="28" t="str">
        <f aca="false">"다음 편: "&amp;J382</f>
        <v>다음 편: 오라 우리가 경배하자</v>
      </c>
    </row>
    <row r="382" customFormat="false" ht="26.85" hidden="false" customHeight="false" outlineLevel="0" collapsed="false">
      <c r="A382" s="20" t="n">
        <v>381</v>
      </c>
      <c r="B382" s="20" t="s">
        <v>3656</v>
      </c>
      <c r="C382" s="20" t="s">
        <v>3657</v>
      </c>
      <c r="D382" s="20" t="s">
        <v>3638</v>
      </c>
      <c r="E382" s="21" t="s">
        <v>3639</v>
      </c>
      <c r="F382" s="22" t="s">
        <v>88</v>
      </c>
      <c r="G382" s="22" t="s">
        <v>3496</v>
      </c>
      <c r="H382" s="21" t="s">
        <v>3658</v>
      </c>
      <c r="I382" s="23" t="s">
        <v>1116</v>
      </c>
      <c r="J382" s="24" t="s">
        <v>3659</v>
      </c>
      <c r="K382" s="24" t="s">
        <v>3660</v>
      </c>
      <c r="L382" s="24" t="s">
        <v>3661</v>
      </c>
      <c r="M382" s="24" t="s">
        <v>3662</v>
      </c>
      <c r="N382" s="24" t="s">
        <v>3663</v>
      </c>
      <c r="O382" s="24" t="s">
        <v>3664</v>
      </c>
      <c r="P382" s="28"/>
      <c r="Q382" s="28" t="str">
        <f aca="false">"["&amp;안내!$C$5&amp;" "&amp;C382&amp;"] "&amp;J382&amp;" | "&amp;H382</f>
        <v>[1분 성경 #0381] 오라 우리가 경배하자 | 시편 95편</v>
      </c>
      <c r="R382" s="23" t="n">
        <f aca="false">INT((A382-1)/안내!$C$9)+1</f>
        <v>77</v>
      </c>
      <c r="S382" s="26" t="n">
        <f aca="false">안내!$C$10+(R382-1)*7+MOD(A382-1,안내!$C$9)</f>
        <v>46923</v>
      </c>
      <c r="T382" s="23" t="s">
        <v>99</v>
      </c>
      <c r="U382" s="23" t="s">
        <v>99</v>
      </c>
      <c r="V382" s="23" t="s">
        <v>99</v>
      </c>
      <c r="W382" s="23" t="s">
        <v>99</v>
      </c>
      <c r="X382" s="28"/>
      <c r="Y382" s="28" t="str">
        <f aca="false">"다음 편: "&amp;J383</f>
        <v>다음 편: 감사의 노래</v>
      </c>
    </row>
    <row r="383" customFormat="false" ht="15" hidden="false" customHeight="false" outlineLevel="0" collapsed="false">
      <c r="A383" s="20" t="n">
        <v>382</v>
      </c>
      <c r="B383" s="20" t="s">
        <v>3665</v>
      </c>
      <c r="C383" s="20" t="s">
        <v>3666</v>
      </c>
      <c r="D383" s="20" t="s">
        <v>3638</v>
      </c>
      <c r="E383" s="21" t="s">
        <v>3639</v>
      </c>
      <c r="F383" s="22" t="s">
        <v>88</v>
      </c>
      <c r="G383" s="22" t="s">
        <v>3496</v>
      </c>
      <c r="H383" s="21" t="s">
        <v>3667</v>
      </c>
      <c r="I383" s="23" t="s">
        <v>1116</v>
      </c>
      <c r="J383" s="24" t="s">
        <v>3668</v>
      </c>
      <c r="K383" s="24" t="s">
        <v>3669</v>
      </c>
      <c r="L383" s="24" t="s">
        <v>3670</v>
      </c>
      <c r="M383" s="24" t="s">
        <v>3671</v>
      </c>
      <c r="N383" s="24" t="s">
        <v>3663</v>
      </c>
      <c r="O383" s="24" t="s">
        <v>3672</v>
      </c>
      <c r="P383" s="28"/>
      <c r="Q383" s="28" t="str">
        <f aca="false">"["&amp;안내!$C$5&amp;" "&amp;C383&amp;"] "&amp;J383&amp;" | "&amp;H383</f>
        <v>[1분 성경 #0382] 감사의 노래 | 시편 100편</v>
      </c>
      <c r="R383" s="23" t="n">
        <f aca="false">INT((A383-1)/안내!$C$9)+1</f>
        <v>77</v>
      </c>
      <c r="S383" s="26" t="n">
        <f aca="false">안내!$C$10+(R383-1)*7+MOD(A383-1,안내!$C$9)</f>
        <v>46924</v>
      </c>
      <c r="T383" s="23" t="s">
        <v>99</v>
      </c>
      <c r="U383" s="23" t="s">
        <v>99</v>
      </c>
      <c r="V383" s="23" t="s">
        <v>99</v>
      </c>
      <c r="W383" s="23" t="s">
        <v>99</v>
      </c>
      <c r="X383" s="28"/>
      <c r="Y383" s="28" t="str">
        <f aca="false">"다음 편: "&amp;J384</f>
        <v>다음 편: 은택을 잊지 말라</v>
      </c>
    </row>
    <row r="384" customFormat="false" ht="15" hidden="false" customHeight="false" outlineLevel="0" collapsed="false">
      <c r="A384" s="20" t="n">
        <v>383</v>
      </c>
      <c r="B384" s="20" t="s">
        <v>3673</v>
      </c>
      <c r="C384" s="20" t="s">
        <v>3674</v>
      </c>
      <c r="D384" s="20" t="s">
        <v>3638</v>
      </c>
      <c r="E384" s="21" t="s">
        <v>3639</v>
      </c>
      <c r="F384" s="22" t="s">
        <v>88</v>
      </c>
      <c r="G384" s="22" t="s">
        <v>3496</v>
      </c>
      <c r="H384" s="21" t="s">
        <v>3675</v>
      </c>
      <c r="I384" s="23" t="s">
        <v>1116</v>
      </c>
      <c r="J384" s="24" t="s">
        <v>3676</v>
      </c>
      <c r="K384" s="24" t="s">
        <v>3677</v>
      </c>
      <c r="L384" s="24" t="s">
        <v>3678</v>
      </c>
      <c r="M384" s="24" t="s">
        <v>3679</v>
      </c>
      <c r="N384" s="24" t="s">
        <v>3521</v>
      </c>
      <c r="O384" s="28"/>
      <c r="P384" s="28"/>
      <c r="Q384" s="28" t="str">
        <f aca="false">"["&amp;안내!$C$5&amp;" "&amp;C384&amp;"] "&amp;J384&amp;" | "&amp;H384</f>
        <v>[1분 성경 #0383] 은택을 잊지 말라 | 시편 103편</v>
      </c>
      <c r="R384" s="23" t="n">
        <f aca="false">INT((A384-1)/안내!$C$9)+1</f>
        <v>77</v>
      </c>
      <c r="S384" s="26" t="n">
        <f aca="false">안내!$C$10+(R384-1)*7+MOD(A384-1,안내!$C$9)</f>
        <v>46925</v>
      </c>
      <c r="T384" s="23" t="s">
        <v>99</v>
      </c>
      <c r="U384" s="23" t="s">
        <v>99</v>
      </c>
      <c r="V384" s="23" t="s">
        <v>99</v>
      </c>
      <c r="W384" s="23" t="s">
        <v>99</v>
      </c>
      <c r="X384" s="28"/>
      <c r="Y384" s="28" t="str">
        <f aca="false">"다음 편: "&amp;J385</f>
        <v>다음 편: 창조를 노래하다</v>
      </c>
    </row>
    <row r="385" customFormat="false" ht="26.85" hidden="false" customHeight="false" outlineLevel="0" collapsed="false">
      <c r="A385" s="20" t="n">
        <v>384</v>
      </c>
      <c r="B385" s="20" t="s">
        <v>3680</v>
      </c>
      <c r="C385" s="20" t="s">
        <v>3681</v>
      </c>
      <c r="D385" s="20" t="s">
        <v>3638</v>
      </c>
      <c r="E385" s="21" t="s">
        <v>3639</v>
      </c>
      <c r="F385" s="22" t="s">
        <v>88</v>
      </c>
      <c r="G385" s="22" t="s">
        <v>3496</v>
      </c>
      <c r="H385" s="21" t="s">
        <v>3682</v>
      </c>
      <c r="I385" s="23" t="s">
        <v>1116</v>
      </c>
      <c r="J385" s="24" t="s">
        <v>3683</v>
      </c>
      <c r="K385" s="24" t="s">
        <v>3684</v>
      </c>
      <c r="L385" s="24" t="s">
        <v>3685</v>
      </c>
      <c r="M385" s="24" t="s">
        <v>3686</v>
      </c>
      <c r="N385" s="24" t="s">
        <v>3687</v>
      </c>
      <c r="O385" s="24" t="s">
        <v>3688</v>
      </c>
      <c r="P385" s="28"/>
      <c r="Q385" s="28" t="str">
        <f aca="false">"["&amp;안내!$C$5&amp;" "&amp;C385&amp;"] "&amp;J385&amp;" | "&amp;H385</f>
        <v>[1분 성경 #0384] 창조를 노래하다 | 시편 104편</v>
      </c>
      <c r="R385" s="23" t="n">
        <f aca="false">INT((A385-1)/안내!$C$9)+1</f>
        <v>77</v>
      </c>
      <c r="S385" s="26" t="n">
        <f aca="false">안내!$C$10+(R385-1)*7+MOD(A385-1,안내!$C$9)</f>
        <v>46926</v>
      </c>
      <c r="T385" s="23" t="s">
        <v>99</v>
      </c>
      <c r="U385" s="23" t="s">
        <v>99</v>
      </c>
      <c r="V385" s="23" t="s">
        <v>99</v>
      </c>
      <c r="W385" s="23" t="s">
        <v>99</v>
      </c>
      <c r="X385" s="28"/>
      <c r="Y385" s="28" t="str">
        <f aca="false">"다음 편: "&amp;J386</f>
        <v>다음 편: 그래도 구원하신 하나님</v>
      </c>
    </row>
    <row r="386" customFormat="false" ht="26.85" hidden="false" customHeight="false" outlineLevel="0" collapsed="false">
      <c r="A386" s="20" t="n">
        <v>385</v>
      </c>
      <c r="B386" s="20" t="s">
        <v>3689</v>
      </c>
      <c r="C386" s="20" t="s">
        <v>3690</v>
      </c>
      <c r="D386" s="20" t="s">
        <v>3638</v>
      </c>
      <c r="E386" s="21" t="s">
        <v>3639</v>
      </c>
      <c r="F386" s="22" t="s">
        <v>88</v>
      </c>
      <c r="G386" s="22" t="s">
        <v>3496</v>
      </c>
      <c r="H386" s="21" t="s">
        <v>3691</v>
      </c>
      <c r="I386" s="23" t="s">
        <v>1116</v>
      </c>
      <c r="J386" s="24" t="s">
        <v>3692</v>
      </c>
      <c r="K386" s="24" t="s">
        <v>3693</v>
      </c>
      <c r="L386" s="24" t="s">
        <v>3694</v>
      </c>
      <c r="M386" s="24" t="s">
        <v>3695</v>
      </c>
      <c r="N386" s="24" t="s">
        <v>3687</v>
      </c>
      <c r="O386" s="24" t="s">
        <v>3696</v>
      </c>
      <c r="P386" s="28"/>
      <c r="Q386" s="28" t="str">
        <f aca="false">"["&amp;안내!$C$5&amp;" "&amp;C386&amp;"] "&amp;J386&amp;" | "&amp;H386</f>
        <v>[1분 성경 #0385] 그래도 구원하신 하나님 | 시편 106편</v>
      </c>
      <c r="R386" s="23" t="n">
        <f aca="false">INT((A386-1)/안내!$C$9)+1</f>
        <v>77</v>
      </c>
      <c r="S386" s="26" t="n">
        <f aca="false">안내!$C$10+(R386-1)*7+MOD(A386-1,안내!$C$9)</f>
        <v>46927</v>
      </c>
      <c r="T386" s="23" t="s">
        <v>99</v>
      </c>
      <c r="U386" s="23" t="s">
        <v>99</v>
      </c>
      <c r="V386" s="23" t="s">
        <v>99</v>
      </c>
      <c r="W386" s="23" t="s">
        <v>99</v>
      </c>
      <c r="X386" s="28"/>
      <c r="Y386" s="28" t="str">
        <f aca="false">"다음 편: "&amp;J387</f>
        <v>다음 편: 내 우편에 앉으라</v>
      </c>
    </row>
    <row r="387" customFormat="false" ht="26.85" hidden="false" customHeight="false" outlineLevel="0" collapsed="false">
      <c r="A387" s="20" t="n">
        <v>386</v>
      </c>
      <c r="B387" s="20" t="s">
        <v>3697</v>
      </c>
      <c r="C387" s="20" t="s">
        <v>3698</v>
      </c>
      <c r="D387" s="20" t="s">
        <v>3699</v>
      </c>
      <c r="E387" s="21" t="s">
        <v>3700</v>
      </c>
      <c r="F387" s="22" t="s">
        <v>88</v>
      </c>
      <c r="G387" s="22" t="s">
        <v>3496</v>
      </c>
      <c r="H387" s="21" t="s">
        <v>3701</v>
      </c>
      <c r="I387" s="23" t="s">
        <v>1116</v>
      </c>
      <c r="J387" s="24" t="s">
        <v>3702</v>
      </c>
      <c r="K387" s="24" t="s">
        <v>3703</v>
      </c>
      <c r="L387" s="24" t="s">
        <v>3704</v>
      </c>
      <c r="M387" s="24" t="s">
        <v>3705</v>
      </c>
      <c r="N387" s="24" t="s">
        <v>3706</v>
      </c>
      <c r="O387" s="24" t="s">
        <v>3707</v>
      </c>
      <c r="P387" s="25" t="s">
        <v>3708</v>
      </c>
      <c r="Q387" s="28" t="str">
        <f aca="false">"["&amp;안내!$C$5&amp;" "&amp;C387&amp;"] "&amp;J387&amp;" | "&amp;H387</f>
        <v>[1분 성경 #0386] 내 우편에 앉으라 | 시편 110편</v>
      </c>
      <c r="R387" s="23" t="n">
        <f aca="false">INT((A387-1)/안내!$C$9)+1</f>
        <v>78</v>
      </c>
      <c r="S387" s="26" t="n">
        <f aca="false">안내!$C$10+(R387-1)*7+MOD(A387-1,안내!$C$9)</f>
        <v>46930</v>
      </c>
      <c r="T387" s="23" t="s">
        <v>99</v>
      </c>
      <c r="U387" s="23" t="s">
        <v>99</v>
      </c>
      <c r="V387" s="23" t="s">
        <v>99</v>
      </c>
      <c r="W387" s="23" t="s">
        <v>99</v>
      </c>
      <c r="X387" s="28"/>
      <c r="Y387" s="28" t="str">
        <f aca="false">"다음 편: "&amp;J388</f>
        <v>다음 편: 내 발에 등이요</v>
      </c>
    </row>
    <row r="388" customFormat="false" ht="26.85" hidden="false" customHeight="false" outlineLevel="0" collapsed="false">
      <c r="A388" s="20" t="n">
        <v>387</v>
      </c>
      <c r="B388" s="20" t="s">
        <v>3709</v>
      </c>
      <c r="C388" s="20" t="s">
        <v>3710</v>
      </c>
      <c r="D388" s="20" t="s">
        <v>3699</v>
      </c>
      <c r="E388" s="21" t="s">
        <v>3700</v>
      </c>
      <c r="F388" s="22" t="s">
        <v>88</v>
      </c>
      <c r="G388" s="22" t="s">
        <v>3496</v>
      </c>
      <c r="H388" s="21" t="s">
        <v>3711</v>
      </c>
      <c r="I388" s="23" t="s">
        <v>1116</v>
      </c>
      <c r="J388" s="24" t="s">
        <v>3712</v>
      </c>
      <c r="K388" s="24" t="s">
        <v>3713</v>
      </c>
      <c r="L388" s="24" t="s">
        <v>3714</v>
      </c>
      <c r="M388" s="24" t="s">
        <v>3715</v>
      </c>
      <c r="N388" s="24" t="s">
        <v>3687</v>
      </c>
      <c r="O388" s="24" t="s">
        <v>3716</v>
      </c>
      <c r="P388" s="28"/>
      <c r="Q388" s="28" t="str">
        <f aca="false">"["&amp;안내!$C$5&amp;" "&amp;C388&amp;"] "&amp;J388&amp;" | "&amp;H388</f>
        <v>[1분 성경 #0387] 내 발에 등이요 | 시편 119편</v>
      </c>
      <c r="R388" s="23" t="n">
        <f aca="false">INT((A388-1)/안내!$C$9)+1</f>
        <v>78</v>
      </c>
      <c r="S388" s="26" t="n">
        <f aca="false">안내!$C$10+(R388-1)*7+MOD(A388-1,안내!$C$9)</f>
        <v>46931</v>
      </c>
      <c r="T388" s="23" t="s">
        <v>99</v>
      </c>
      <c r="U388" s="23" t="s">
        <v>99</v>
      </c>
      <c r="V388" s="23" t="s">
        <v>99</v>
      </c>
      <c r="W388" s="23" t="s">
        <v>99</v>
      </c>
      <c r="X388" s="28"/>
      <c r="Y388" s="28" t="str">
        <f aca="false">"다음 편: "&amp;J389</f>
        <v>다음 편: 산을 향하여 눈을 들리라</v>
      </c>
    </row>
    <row r="389" customFormat="false" ht="26.85" hidden="false" customHeight="false" outlineLevel="0" collapsed="false">
      <c r="A389" s="20" t="n">
        <v>388</v>
      </c>
      <c r="B389" s="20" t="s">
        <v>3717</v>
      </c>
      <c r="C389" s="20" t="s">
        <v>3718</v>
      </c>
      <c r="D389" s="20" t="s">
        <v>3699</v>
      </c>
      <c r="E389" s="21" t="s">
        <v>3700</v>
      </c>
      <c r="F389" s="22" t="s">
        <v>88</v>
      </c>
      <c r="G389" s="22" t="s">
        <v>3496</v>
      </c>
      <c r="H389" s="21" t="s">
        <v>3719</v>
      </c>
      <c r="I389" s="23" t="s">
        <v>1116</v>
      </c>
      <c r="J389" s="24" t="s">
        <v>3720</v>
      </c>
      <c r="K389" s="24" t="s">
        <v>3721</v>
      </c>
      <c r="L389" s="24" t="s">
        <v>3722</v>
      </c>
      <c r="M389" s="24" t="s">
        <v>3723</v>
      </c>
      <c r="N389" s="24" t="s">
        <v>3724</v>
      </c>
      <c r="O389" s="24" t="s">
        <v>3725</v>
      </c>
      <c r="P389" s="28"/>
      <c r="Q389" s="28" t="str">
        <f aca="false">"["&amp;안내!$C$5&amp;" "&amp;C389&amp;"] "&amp;J389&amp;" | "&amp;H389</f>
        <v>[1분 성경 #0388] 산을 향하여 눈을 들리라 | 시편 121편</v>
      </c>
      <c r="R389" s="23" t="n">
        <f aca="false">INT((A389-1)/안내!$C$9)+1</f>
        <v>78</v>
      </c>
      <c r="S389" s="26" t="n">
        <f aca="false">안내!$C$10+(R389-1)*7+MOD(A389-1,안내!$C$9)</f>
        <v>46932</v>
      </c>
      <c r="T389" s="23" t="s">
        <v>99</v>
      </c>
      <c r="U389" s="23" t="s">
        <v>99</v>
      </c>
      <c r="V389" s="23" t="s">
        <v>99</v>
      </c>
      <c r="W389" s="23" t="s">
        <v>99</v>
      </c>
      <c r="X389" s="28"/>
      <c r="Y389" s="28" t="str">
        <f aca="false">"다음 편: "&amp;J390</f>
        <v>다음 편: 눈물로 씨를 뿌리는 자</v>
      </c>
    </row>
    <row r="390" customFormat="false" ht="26.85" hidden="false" customHeight="false" outlineLevel="0" collapsed="false">
      <c r="A390" s="20" t="n">
        <v>389</v>
      </c>
      <c r="B390" s="20" t="s">
        <v>3726</v>
      </c>
      <c r="C390" s="20" t="s">
        <v>3727</v>
      </c>
      <c r="D390" s="20" t="s">
        <v>3699</v>
      </c>
      <c r="E390" s="21" t="s">
        <v>3700</v>
      </c>
      <c r="F390" s="22" t="s">
        <v>88</v>
      </c>
      <c r="G390" s="22" t="s">
        <v>3496</v>
      </c>
      <c r="H390" s="21" t="s">
        <v>3728</v>
      </c>
      <c r="I390" s="23" t="s">
        <v>1116</v>
      </c>
      <c r="J390" s="24" t="s">
        <v>3729</v>
      </c>
      <c r="K390" s="24" t="s">
        <v>3730</v>
      </c>
      <c r="L390" s="24" t="s">
        <v>3731</v>
      </c>
      <c r="M390" s="24" t="s">
        <v>3732</v>
      </c>
      <c r="N390" s="24" t="s">
        <v>3733</v>
      </c>
      <c r="O390" s="24" t="s">
        <v>3734</v>
      </c>
      <c r="P390" s="28"/>
      <c r="Q390" s="28" t="str">
        <f aca="false">"["&amp;안내!$C$5&amp;" "&amp;C390&amp;"] "&amp;J390&amp;" | "&amp;H390</f>
        <v>[1분 성경 #0389] 눈물로 씨를 뿌리는 자 | 시편 126편</v>
      </c>
      <c r="R390" s="23" t="n">
        <f aca="false">INT((A390-1)/안내!$C$9)+1</f>
        <v>78</v>
      </c>
      <c r="S390" s="26" t="n">
        <f aca="false">안내!$C$10+(R390-1)*7+MOD(A390-1,안내!$C$9)</f>
        <v>46933</v>
      </c>
      <c r="T390" s="23" t="s">
        <v>99</v>
      </c>
      <c r="U390" s="23" t="s">
        <v>99</v>
      </c>
      <c r="V390" s="23" t="s">
        <v>99</v>
      </c>
      <c r="W390" s="23" t="s">
        <v>99</v>
      </c>
      <c r="X390" s="28"/>
      <c r="Y390" s="28" t="str">
        <f aca="false">"다음 편: "&amp;J391</f>
        <v>다음 편: 형제가 연합하여</v>
      </c>
    </row>
    <row r="391" customFormat="false" ht="26.85" hidden="false" customHeight="false" outlineLevel="0" collapsed="false">
      <c r="A391" s="20" t="n">
        <v>390</v>
      </c>
      <c r="B391" s="20" t="s">
        <v>3735</v>
      </c>
      <c r="C391" s="20" t="s">
        <v>3736</v>
      </c>
      <c r="D391" s="20" t="s">
        <v>3699</v>
      </c>
      <c r="E391" s="21" t="s">
        <v>3700</v>
      </c>
      <c r="F391" s="22" t="s">
        <v>88</v>
      </c>
      <c r="G391" s="22" t="s">
        <v>3496</v>
      </c>
      <c r="H391" s="21" t="s">
        <v>3737</v>
      </c>
      <c r="I391" s="23" t="s">
        <v>1116</v>
      </c>
      <c r="J391" s="24" t="s">
        <v>3738</v>
      </c>
      <c r="K391" s="24" t="s">
        <v>3739</v>
      </c>
      <c r="L391" s="24" t="s">
        <v>3740</v>
      </c>
      <c r="M391" s="24" t="s">
        <v>3741</v>
      </c>
      <c r="N391" s="24" t="s">
        <v>3742</v>
      </c>
      <c r="O391" s="24" t="s">
        <v>3743</v>
      </c>
      <c r="P391" s="28"/>
      <c r="Q391" s="28" t="str">
        <f aca="false">"["&amp;안내!$C$5&amp;" "&amp;C391&amp;"] "&amp;J391&amp;" | "&amp;H391</f>
        <v>[1분 성경 #0390] 형제가 연합하여 | 시편 133편</v>
      </c>
      <c r="R391" s="23" t="n">
        <f aca="false">INT((A391-1)/안내!$C$9)+1</f>
        <v>78</v>
      </c>
      <c r="S391" s="26" t="n">
        <f aca="false">안내!$C$10+(R391-1)*7+MOD(A391-1,안내!$C$9)</f>
        <v>46934</v>
      </c>
      <c r="T391" s="23" t="s">
        <v>99</v>
      </c>
      <c r="U391" s="23" t="s">
        <v>99</v>
      </c>
      <c r="V391" s="23" t="s">
        <v>99</v>
      </c>
      <c r="W391" s="23" t="s">
        <v>99</v>
      </c>
      <c r="X391" s="28"/>
      <c r="Y391" s="28" t="str">
        <f aca="false">"다음 편: "&amp;J392</f>
        <v>다음 편: 나를 아시는 하나님</v>
      </c>
    </row>
    <row r="392" customFormat="false" ht="26.85" hidden="false" customHeight="false" outlineLevel="0" collapsed="false">
      <c r="A392" s="20" t="n">
        <v>391</v>
      </c>
      <c r="B392" s="20" t="s">
        <v>3744</v>
      </c>
      <c r="C392" s="20" t="s">
        <v>3745</v>
      </c>
      <c r="D392" s="20" t="s">
        <v>3699</v>
      </c>
      <c r="E392" s="21" t="s">
        <v>3700</v>
      </c>
      <c r="F392" s="22" t="s">
        <v>88</v>
      </c>
      <c r="G392" s="22" t="s">
        <v>3496</v>
      </c>
      <c r="H392" s="21" t="s">
        <v>3746</v>
      </c>
      <c r="I392" s="23" t="s">
        <v>1116</v>
      </c>
      <c r="J392" s="24" t="s">
        <v>3747</v>
      </c>
      <c r="K392" s="24" t="s">
        <v>3748</v>
      </c>
      <c r="L392" s="24" t="s">
        <v>3749</v>
      </c>
      <c r="M392" s="24" t="s">
        <v>3750</v>
      </c>
      <c r="N392" s="24" t="s">
        <v>3521</v>
      </c>
      <c r="O392" s="24" t="s">
        <v>3751</v>
      </c>
      <c r="P392" s="28"/>
      <c r="Q392" s="28" t="str">
        <f aca="false">"["&amp;안내!$C$5&amp;" "&amp;C392&amp;"] "&amp;J392&amp;" | "&amp;H392</f>
        <v>[1분 성경 #0391] 나를 아시는 하나님 | 시편 139편</v>
      </c>
      <c r="R392" s="23" t="n">
        <f aca="false">INT((A392-1)/안내!$C$9)+1</f>
        <v>79</v>
      </c>
      <c r="S392" s="26" t="n">
        <f aca="false">안내!$C$10+(R392-1)*7+MOD(A392-1,안내!$C$9)</f>
        <v>46937</v>
      </c>
      <c r="T392" s="23" t="s">
        <v>99</v>
      </c>
      <c r="U392" s="23" t="s">
        <v>99</v>
      </c>
      <c r="V392" s="23" t="s">
        <v>99</v>
      </c>
      <c r="W392" s="23" t="s">
        <v>99</v>
      </c>
      <c r="X392" s="28"/>
      <c r="Y392" s="28" t="str">
        <f aca="false">"다음 편: "&amp;J393</f>
        <v>다음 편: 대대로 찬양하라</v>
      </c>
    </row>
    <row r="393" customFormat="false" ht="26.85" hidden="false" customHeight="false" outlineLevel="0" collapsed="false">
      <c r="A393" s="20" t="n">
        <v>392</v>
      </c>
      <c r="B393" s="20" t="s">
        <v>3752</v>
      </c>
      <c r="C393" s="20" t="s">
        <v>3753</v>
      </c>
      <c r="D393" s="20" t="s">
        <v>3699</v>
      </c>
      <c r="E393" s="21" t="s">
        <v>3700</v>
      </c>
      <c r="F393" s="22" t="s">
        <v>88</v>
      </c>
      <c r="G393" s="22" t="s">
        <v>3496</v>
      </c>
      <c r="H393" s="21" t="s">
        <v>3754</v>
      </c>
      <c r="I393" s="23" t="s">
        <v>1116</v>
      </c>
      <c r="J393" s="24" t="s">
        <v>3755</v>
      </c>
      <c r="K393" s="24" t="s">
        <v>3756</v>
      </c>
      <c r="L393" s="24" t="s">
        <v>3757</v>
      </c>
      <c r="M393" s="24" t="s">
        <v>3758</v>
      </c>
      <c r="N393" s="24" t="s">
        <v>3521</v>
      </c>
      <c r="O393" s="28"/>
      <c r="P393" s="28"/>
      <c r="Q393" s="28" t="str">
        <f aca="false">"["&amp;안내!$C$5&amp;" "&amp;C393&amp;"] "&amp;J393&amp;" | "&amp;H393</f>
        <v>[1분 성경 #0392] 대대로 찬양하라 | 시편 145편</v>
      </c>
      <c r="R393" s="23" t="n">
        <f aca="false">INT((A393-1)/안내!$C$9)+1</f>
        <v>79</v>
      </c>
      <c r="S393" s="26" t="n">
        <f aca="false">안내!$C$10+(R393-1)*7+MOD(A393-1,안내!$C$9)</f>
        <v>46938</v>
      </c>
      <c r="T393" s="23" t="s">
        <v>99</v>
      </c>
      <c r="U393" s="23" t="s">
        <v>99</v>
      </c>
      <c r="V393" s="23" t="s">
        <v>99</v>
      </c>
      <c r="W393" s="23" t="s">
        <v>99</v>
      </c>
      <c r="X393" s="28"/>
      <c r="Y393" s="28" t="str">
        <f aca="false">"다음 편: "&amp;J394</f>
        <v>다음 편: 호흡이 있는 자마다</v>
      </c>
    </row>
    <row r="394" customFormat="false" ht="26.85" hidden="false" customHeight="false" outlineLevel="0" collapsed="false">
      <c r="A394" s="20" t="n">
        <v>393</v>
      </c>
      <c r="B394" s="20" t="s">
        <v>3759</v>
      </c>
      <c r="C394" s="20" t="s">
        <v>3760</v>
      </c>
      <c r="D394" s="20" t="s">
        <v>3699</v>
      </c>
      <c r="E394" s="21" t="s">
        <v>3700</v>
      </c>
      <c r="F394" s="22" t="s">
        <v>88</v>
      </c>
      <c r="G394" s="22" t="s">
        <v>3496</v>
      </c>
      <c r="H394" s="21" t="s">
        <v>3761</v>
      </c>
      <c r="I394" s="23" t="s">
        <v>1116</v>
      </c>
      <c r="J394" s="24" t="s">
        <v>3762</v>
      </c>
      <c r="K394" s="24" t="s">
        <v>3763</v>
      </c>
      <c r="L394" s="24" t="s">
        <v>3764</v>
      </c>
      <c r="M394" s="24" t="s">
        <v>3765</v>
      </c>
      <c r="N394" s="24" t="s">
        <v>3766</v>
      </c>
      <c r="O394" s="24" t="s">
        <v>3767</v>
      </c>
      <c r="P394" s="28"/>
      <c r="Q394" s="28" t="str">
        <f aca="false">"["&amp;안내!$C$5&amp;" "&amp;C394&amp;"] "&amp;J394&amp;" | "&amp;H394</f>
        <v>[1분 성경 #0393] 호흡이 있는 자마다 | 시편 150편</v>
      </c>
      <c r="R394" s="23" t="n">
        <f aca="false">INT((A394-1)/안내!$C$9)+1</f>
        <v>79</v>
      </c>
      <c r="S394" s="26" t="n">
        <f aca="false">안내!$C$10+(R394-1)*7+MOD(A394-1,안내!$C$9)</f>
        <v>46939</v>
      </c>
      <c r="T394" s="23" t="s">
        <v>99</v>
      </c>
      <c r="U394" s="23" t="s">
        <v>99</v>
      </c>
      <c r="V394" s="23" t="s">
        <v>99</v>
      </c>
      <c r="W394" s="23" t="s">
        <v>99</v>
      </c>
      <c r="X394" s="28"/>
      <c r="Y394" s="28" t="str">
        <f aca="false">"다음 편: "&amp;J395</f>
        <v>다음 편: 지혜의 첫 걸음</v>
      </c>
    </row>
    <row r="395" customFormat="false" ht="26.85" hidden="false" customHeight="false" outlineLevel="0" collapsed="false">
      <c r="A395" s="20" t="n">
        <v>394</v>
      </c>
      <c r="B395" s="20" t="s">
        <v>3768</v>
      </c>
      <c r="C395" s="20" t="s">
        <v>3769</v>
      </c>
      <c r="D395" s="20" t="s">
        <v>3770</v>
      </c>
      <c r="E395" s="21" t="s">
        <v>3771</v>
      </c>
      <c r="F395" s="22" t="s">
        <v>88</v>
      </c>
      <c r="G395" s="22" t="s">
        <v>3772</v>
      </c>
      <c r="H395" s="21" t="s">
        <v>3773</v>
      </c>
      <c r="I395" s="23" t="s">
        <v>1116</v>
      </c>
      <c r="J395" s="24" t="s">
        <v>3774</v>
      </c>
      <c r="K395" s="24" t="s">
        <v>3775</v>
      </c>
      <c r="L395" s="24" t="s">
        <v>3776</v>
      </c>
      <c r="M395" s="24" t="s">
        <v>3777</v>
      </c>
      <c r="N395" s="24" t="s">
        <v>3778</v>
      </c>
      <c r="O395" s="24" t="s">
        <v>3779</v>
      </c>
      <c r="P395" s="28"/>
      <c r="Q395" s="28" t="str">
        <f aca="false">"["&amp;안내!$C$5&amp;" "&amp;C395&amp;"] "&amp;J395&amp;" | "&amp;H395</f>
        <v>[1분 성경 #0394] 지혜의 첫 걸음 | 잠 1:1-33</v>
      </c>
      <c r="R395" s="23" t="n">
        <f aca="false">INT((A395-1)/안내!$C$9)+1</f>
        <v>79</v>
      </c>
      <c r="S395" s="26" t="n">
        <f aca="false">안내!$C$10+(R395-1)*7+MOD(A395-1,안내!$C$9)</f>
        <v>46940</v>
      </c>
      <c r="T395" s="23" t="s">
        <v>99</v>
      </c>
      <c r="U395" s="23" t="s">
        <v>99</v>
      </c>
      <c r="V395" s="23" t="s">
        <v>99</v>
      </c>
      <c r="W395" s="23" t="s">
        <v>99</v>
      </c>
      <c r="X395" s="28"/>
      <c r="Y395" s="28" t="str">
        <f aca="false">"다음 편: "&amp;J396</f>
        <v>다음 편: 네 길을 인도하시리라</v>
      </c>
    </row>
    <row r="396" customFormat="false" ht="25.35" hidden="false" customHeight="false" outlineLevel="0" collapsed="false">
      <c r="A396" s="20" t="n">
        <v>395</v>
      </c>
      <c r="B396" s="20" t="s">
        <v>3780</v>
      </c>
      <c r="C396" s="20" t="s">
        <v>3781</v>
      </c>
      <c r="D396" s="20" t="s">
        <v>3770</v>
      </c>
      <c r="E396" s="21" t="s">
        <v>3771</v>
      </c>
      <c r="F396" s="22" t="s">
        <v>88</v>
      </c>
      <c r="G396" s="22" t="s">
        <v>3772</v>
      </c>
      <c r="H396" s="21" t="s">
        <v>3782</v>
      </c>
      <c r="I396" s="23" t="s">
        <v>1116</v>
      </c>
      <c r="J396" s="24" t="s">
        <v>3783</v>
      </c>
      <c r="K396" s="24" t="s">
        <v>3784</v>
      </c>
      <c r="L396" s="24" t="s">
        <v>3785</v>
      </c>
      <c r="M396" s="24" t="s">
        <v>3786</v>
      </c>
      <c r="N396" s="24" t="s">
        <v>3778</v>
      </c>
      <c r="O396" s="24" t="s">
        <v>3787</v>
      </c>
      <c r="P396" s="28"/>
      <c r="Q396" s="28" t="str">
        <f aca="false">"["&amp;안내!$C$5&amp;" "&amp;C396&amp;"] "&amp;J396&amp;" | "&amp;H396</f>
        <v>[1분 성경 #0395] 네 길을 인도하시리라 | 잠 2:1-4:27</v>
      </c>
      <c r="R396" s="23" t="n">
        <f aca="false">INT((A396-1)/안내!$C$9)+1</f>
        <v>79</v>
      </c>
      <c r="S396" s="26" t="n">
        <f aca="false">안내!$C$10+(R396-1)*7+MOD(A396-1,안내!$C$9)</f>
        <v>46941</v>
      </c>
      <c r="T396" s="23" t="s">
        <v>99</v>
      </c>
      <c r="U396" s="23" t="s">
        <v>99</v>
      </c>
      <c r="V396" s="23" t="s">
        <v>99</v>
      </c>
      <c r="W396" s="23" t="s">
        <v>99</v>
      </c>
      <c r="X396" s="28"/>
      <c r="Y396" s="28" t="str">
        <f aca="false">"다음 편: "&amp;J397</f>
        <v>다음 편: 개미에게 배우라</v>
      </c>
    </row>
    <row r="397" customFormat="false" ht="26.85" hidden="false" customHeight="false" outlineLevel="0" collapsed="false">
      <c r="A397" s="20" t="n">
        <v>396</v>
      </c>
      <c r="B397" s="20" t="s">
        <v>3788</v>
      </c>
      <c r="C397" s="20" t="s">
        <v>3789</v>
      </c>
      <c r="D397" s="20" t="s">
        <v>3770</v>
      </c>
      <c r="E397" s="21" t="s">
        <v>3771</v>
      </c>
      <c r="F397" s="22" t="s">
        <v>88</v>
      </c>
      <c r="G397" s="22" t="s">
        <v>3772</v>
      </c>
      <c r="H397" s="21" t="s">
        <v>3790</v>
      </c>
      <c r="I397" s="23" t="s">
        <v>1116</v>
      </c>
      <c r="J397" s="24" t="s">
        <v>3791</v>
      </c>
      <c r="K397" s="24" t="s">
        <v>3792</v>
      </c>
      <c r="L397" s="24" t="s">
        <v>3793</v>
      </c>
      <c r="M397" s="24" t="s">
        <v>3794</v>
      </c>
      <c r="N397" s="24" t="s">
        <v>3795</v>
      </c>
      <c r="O397" s="24" t="s">
        <v>3796</v>
      </c>
      <c r="P397" s="25" t="s">
        <v>3797</v>
      </c>
      <c r="Q397" s="28" t="str">
        <f aca="false">"["&amp;안내!$C$5&amp;" "&amp;C397&amp;"] "&amp;J397&amp;" | "&amp;H397</f>
        <v>[1분 성경 #0396] 개미에게 배우라 | 잠 5:1-7:27</v>
      </c>
      <c r="R397" s="23" t="n">
        <f aca="false">INT((A397-1)/안내!$C$9)+1</f>
        <v>80</v>
      </c>
      <c r="S397" s="26" t="n">
        <f aca="false">안내!$C$10+(R397-1)*7+MOD(A397-1,안내!$C$9)</f>
        <v>46944</v>
      </c>
      <c r="T397" s="23" t="s">
        <v>99</v>
      </c>
      <c r="U397" s="23" t="s">
        <v>99</v>
      </c>
      <c r="V397" s="23" t="s">
        <v>99</v>
      </c>
      <c r="W397" s="23" t="s">
        <v>99</v>
      </c>
      <c r="X397" s="28"/>
      <c r="Y397" s="28" t="str">
        <f aca="false">"다음 편: "&amp;J398</f>
        <v>다음 편: 지혜가 부른다</v>
      </c>
    </row>
    <row r="398" customFormat="false" ht="26.85" hidden="false" customHeight="false" outlineLevel="0" collapsed="false">
      <c r="A398" s="20" t="n">
        <v>397</v>
      </c>
      <c r="B398" s="20" t="s">
        <v>3798</v>
      </c>
      <c r="C398" s="20" t="s">
        <v>3799</v>
      </c>
      <c r="D398" s="20" t="s">
        <v>3770</v>
      </c>
      <c r="E398" s="21" t="s">
        <v>3771</v>
      </c>
      <c r="F398" s="22" t="s">
        <v>88</v>
      </c>
      <c r="G398" s="22" t="s">
        <v>3772</v>
      </c>
      <c r="H398" s="21" t="s">
        <v>3800</v>
      </c>
      <c r="I398" s="23" t="s">
        <v>1116</v>
      </c>
      <c r="J398" s="24" t="s">
        <v>3801</v>
      </c>
      <c r="K398" s="24" t="s">
        <v>3802</v>
      </c>
      <c r="L398" s="24" t="s">
        <v>3803</v>
      </c>
      <c r="M398" s="24" t="s">
        <v>3804</v>
      </c>
      <c r="N398" s="24" t="s">
        <v>3805</v>
      </c>
      <c r="O398" s="24" t="s">
        <v>3806</v>
      </c>
      <c r="P398" s="25" t="s">
        <v>3807</v>
      </c>
      <c r="Q398" s="28" t="str">
        <f aca="false">"["&amp;안내!$C$5&amp;" "&amp;C398&amp;"] "&amp;J398&amp;" | "&amp;H398</f>
        <v>[1분 성경 #0397] 지혜가 부른다 | 잠 8:1-9:18</v>
      </c>
      <c r="R398" s="23" t="n">
        <f aca="false">INT((A398-1)/안내!$C$9)+1</f>
        <v>80</v>
      </c>
      <c r="S398" s="26" t="n">
        <f aca="false">안내!$C$10+(R398-1)*7+MOD(A398-1,안내!$C$9)</f>
        <v>46945</v>
      </c>
      <c r="T398" s="23" t="s">
        <v>99</v>
      </c>
      <c r="U398" s="23" t="s">
        <v>99</v>
      </c>
      <c r="V398" s="23" t="s">
        <v>99</v>
      </c>
      <c r="W398" s="23" t="s">
        <v>99</v>
      </c>
      <c r="X398" s="28"/>
      <c r="Y398" s="28" t="str">
        <f aca="false">"다음 편: "&amp;J399</f>
        <v>다음 편: 말 한마디의 힘</v>
      </c>
    </row>
    <row r="399" customFormat="false" ht="15" hidden="false" customHeight="false" outlineLevel="0" collapsed="false">
      <c r="A399" s="20" t="n">
        <v>398</v>
      </c>
      <c r="B399" s="20" t="s">
        <v>3808</v>
      </c>
      <c r="C399" s="20" t="s">
        <v>3809</v>
      </c>
      <c r="D399" s="20" t="s">
        <v>3770</v>
      </c>
      <c r="E399" s="21" t="s">
        <v>3771</v>
      </c>
      <c r="F399" s="22" t="s">
        <v>88</v>
      </c>
      <c r="G399" s="22" t="s">
        <v>3772</v>
      </c>
      <c r="H399" s="21" t="s">
        <v>3810</v>
      </c>
      <c r="I399" s="23" t="s">
        <v>1116</v>
      </c>
      <c r="J399" s="24" t="s">
        <v>3811</v>
      </c>
      <c r="K399" s="24" t="s">
        <v>3812</v>
      </c>
      <c r="L399" s="24" t="s">
        <v>3813</v>
      </c>
      <c r="M399" s="24" t="s">
        <v>3814</v>
      </c>
      <c r="N399" s="24" t="s">
        <v>3815</v>
      </c>
      <c r="O399" s="24" t="s">
        <v>3816</v>
      </c>
      <c r="P399" s="28"/>
      <c r="Q399" s="28" t="str">
        <f aca="false">"["&amp;안내!$C$5&amp;" "&amp;C399&amp;"] "&amp;J399&amp;" | "&amp;H399</f>
        <v>[1분 성경 #0398] 말 한마디의 힘 | 잠 10:1-15:33</v>
      </c>
      <c r="R399" s="23" t="n">
        <f aca="false">INT((A399-1)/안내!$C$9)+1</f>
        <v>80</v>
      </c>
      <c r="S399" s="26" t="n">
        <f aca="false">안내!$C$10+(R399-1)*7+MOD(A399-1,안내!$C$9)</f>
        <v>46946</v>
      </c>
      <c r="T399" s="23" t="s">
        <v>99</v>
      </c>
      <c r="U399" s="23" t="s">
        <v>99</v>
      </c>
      <c r="V399" s="23" t="s">
        <v>99</v>
      </c>
      <c r="W399" s="23" t="s">
        <v>99</v>
      </c>
      <c r="X399" s="28"/>
      <c r="Y399" s="28" t="str">
        <f aca="false">"다음 편: "&amp;J400</f>
        <v>다음 편: 사람이 계획해도</v>
      </c>
    </row>
    <row r="400" customFormat="false" ht="26.85" hidden="false" customHeight="false" outlineLevel="0" collapsed="false">
      <c r="A400" s="20" t="n">
        <v>399</v>
      </c>
      <c r="B400" s="20" t="s">
        <v>3817</v>
      </c>
      <c r="C400" s="20" t="s">
        <v>3818</v>
      </c>
      <c r="D400" s="20" t="s">
        <v>3770</v>
      </c>
      <c r="E400" s="21" t="s">
        <v>3771</v>
      </c>
      <c r="F400" s="22" t="s">
        <v>88</v>
      </c>
      <c r="G400" s="22" t="s">
        <v>3772</v>
      </c>
      <c r="H400" s="21" t="s">
        <v>3819</v>
      </c>
      <c r="I400" s="23" t="s">
        <v>1116</v>
      </c>
      <c r="J400" s="24" t="s">
        <v>3820</v>
      </c>
      <c r="K400" s="24" t="s">
        <v>3821</v>
      </c>
      <c r="L400" s="24" t="s">
        <v>3822</v>
      </c>
      <c r="M400" s="24" t="s">
        <v>3823</v>
      </c>
      <c r="N400" s="24" t="s">
        <v>3815</v>
      </c>
      <c r="O400" s="24" t="s">
        <v>3824</v>
      </c>
      <c r="P400" s="28"/>
      <c r="Q400" s="28" t="str">
        <f aca="false">"["&amp;안내!$C$5&amp;" "&amp;C400&amp;"] "&amp;J400&amp;" | "&amp;H400</f>
        <v>[1분 성경 #0399] 사람이 계획해도 | 잠 16:1-22:16</v>
      </c>
      <c r="R400" s="23" t="n">
        <f aca="false">INT((A400-1)/안내!$C$9)+1</f>
        <v>80</v>
      </c>
      <c r="S400" s="26" t="n">
        <f aca="false">안내!$C$10+(R400-1)*7+MOD(A400-1,안내!$C$9)</f>
        <v>46947</v>
      </c>
      <c r="T400" s="23" t="s">
        <v>99</v>
      </c>
      <c r="U400" s="23" t="s">
        <v>99</v>
      </c>
      <c r="V400" s="23" t="s">
        <v>99</v>
      </c>
      <c r="W400" s="23" t="s">
        <v>99</v>
      </c>
      <c r="X400" s="28"/>
      <c r="Y400" s="28" t="str">
        <f aca="false">"다음 편: "&amp;J401</f>
        <v>다음 편: 일곱 번 넘어져도</v>
      </c>
    </row>
    <row r="401" customFormat="false" ht="26.85" hidden="false" customHeight="false" outlineLevel="0" collapsed="false">
      <c r="A401" s="20" t="n">
        <v>400</v>
      </c>
      <c r="B401" s="20" t="s">
        <v>3825</v>
      </c>
      <c r="C401" s="20" t="s">
        <v>3826</v>
      </c>
      <c r="D401" s="20" t="s">
        <v>3770</v>
      </c>
      <c r="E401" s="21" t="s">
        <v>3771</v>
      </c>
      <c r="F401" s="22" t="s">
        <v>88</v>
      </c>
      <c r="G401" s="22" t="s">
        <v>3772</v>
      </c>
      <c r="H401" s="21" t="s">
        <v>3827</v>
      </c>
      <c r="I401" s="23" t="s">
        <v>1116</v>
      </c>
      <c r="J401" s="24" t="s">
        <v>3828</v>
      </c>
      <c r="K401" s="24" t="s">
        <v>3829</v>
      </c>
      <c r="L401" s="24" t="s">
        <v>3830</v>
      </c>
      <c r="M401" s="24" t="s">
        <v>3831</v>
      </c>
      <c r="N401" s="24" t="s">
        <v>3832</v>
      </c>
      <c r="O401" s="24" t="s">
        <v>3833</v>
      </c>
      <c r="P401" s="28"/>
      <c r="Q401" s="28" t="str">
        <f aca="false">"["&amp;안내!$C$5&amp;" "&amp;C401&amp;"] "&amp;J401&amp;" | "&amp;H401</f>
        <v>[1분 성경 #0400] 일곱 번 넘어져도 | 잠 22:17-24:34</v>
      </c>
      <c r="R401" s="23" t="n">
        <f aca="false">INT((A401-1)/안내!$C$9)+1</f>
        <v>80</v>
      </c>
      <c r="S401" s="26" t="n">
        <f aca="false">안내!$C$10+(R401-1)*7+MOD(A401-1,안내!$C$9)</f>
        <v>46948</v>
      </c>
      <c r="T401" s="23" t="s">
        <v>99</v>
      </c>
      <c r="U401" s="23" t="s">
        <v>99</v>
      </c>
      <c r="V401" s="23" t="s">
        <v>99</v>
      </c>
      <c r="W401" s="23" t="s">
        <v>99</v>
      </c>
      <c r="X401" s="28"/>
      <c r="Y401" s="28" t="str">
        <f aca="false">"다음 편: "&amp;J402</f>
        <v>다음 편: 원수에게 빵을</v>
      </c>
    </row>
    <row r="402" customFormat="false" ht="26.85" hidden="false" customHeight="false" outlineLevel="0" collapsed="false">
      <c r="A402" s="20" t="n">
        <v>401</v>
      </c>
      <c r="B402" s="20" t="s">
        <v>3834</v>
      </c>
      <c r="C402" s="20" t="s">
        <v>3835</v>
      </c>
      <c r="D402" s="20" t="s">
        <v>3770</v>
      </c>
      <c r="E402" s="21" t="s">
        <v>3771</v>
      </c>
      <c r="F402" s="22" t="s">
        <v>88</v>
      </c>
      <c r="G402" s="22" t="s">
        <v>3772</v>
      </c>
      <c r="H402" s="21" t="s">
        <v>3836</v>
      </c>
      <c r="I402" s="23" t="s">
        <v>1116</v>
      </c>
      <c r="J402" s="24" t="s">
        <v>3837</v>
      </c>
      <c r="K402" s="24" t="s">
        <v>3838</v>
      </c>
      <c r="L402" s="24" t="s">
        <v>3839</v>
      </c>
      <c r="M402" s="24" t="s">
        <v>3840</v>
      </c>
      <c r="N402" s="24" t="s">
        <v>3815</v>
      </c>
      <c r="O402" s="24" t="s">
        <v>3841</v>
      </c>
      <c r="P402" s="25" t="s">
        <v>3842</v>
      </c>
      <c r="Q402" s="28" t="str">
        <f aca="false">"["&amp;안내!$C$5&amp;" "&amp;C402&amp;"] "&amp;J402&amp;" | "&amp;H402</f>
        <v>[1분 성경 #0401] 원수에게 빵을 | 잠 25:1-29:27</v>
      </c>
      <c r="R402" s="23" t="n">
        <f aca="false">INT((A402-1)/안내!$C$9)+1</f>
        <v>81</v>
      </c>
      <c r="S402" s="26" t="n">
        <f aca="false">안내!$C$10+(R402-1)*7+MOD(A402-1,안내!$C$9)</f>
        <v>46951</v>
      </c>
      <c r="T402" s="23" t="s">
        <v>99</v>
      </c>
      <c r="U402" s="23" t="s">
        <v>99</v>
      </c>
      <c r="V402" s="23" t="s">
        <v>99</v>
      </c>
      <c r="W402" s="23" t="s">
        <v>99</v>
      </c>
      <c r="X402" s="28"/>
      <c r="Y402" s="28" t="str">
        <f aca="false">"다음 편: "&amp;J403</f>
        <v>다음 편: 여호와를 경외하는 여자</v>
      </c>
    </row>
    <row r="403" customFormat="false" ht="26.85" hidden="false" customHeight="false" outlineLevel="0" collapsed="false">
      <c r="A403" s="20" t="n">
        <v>402</v>
      </c>
      <c r="B403" s="20" t="s">
        <v>3843</v>
      </c>
      <c r="C403" s="20" t="s">
        <v>3844</v>
      </c>
      <c r="D403" s="20" t="s">
        <v>3770</v>
      </c>
      <c r="E403" s="21" t="s">
        <v>3771</v>
      </c>
      <c r="F403" s="22" t="s">
        <v>88</v>
      </c>
      <c r="G403" s="22" t="s">
        <v>3772</v>
      </c>
      <c r="H403" s="21" t="s">
        <v>3845</v>
      </c>
      <c r="I403" s="23" t="s">
        <v>1116</v>
      </c>
      <c r="J403" s="24" t="s">
        <v>3846</v>
      </c>
      <c r="K403" s="24" t="s">
        <v>3847</v>
      </c>
      <c r="L403" s="24" t="s">
        <v>3848</v>
      </c>
      <c r="M403" s="24" t="s">
        <v>3849</v>
      </c>
      <c r="N403" s="24" t="s">
        <v>3850</v>
      </c>
      <c r="O403" s="24" t="s">
        <v>3851</v>
      </c>
      <c r="P403" s="28"/>
      <c r="Q403" s="28" t="str">
        <f aca="false">"["&amp;안내!$C$5&amp;" "&amp;C403&amp;"] "&amp;J403&amp;" | "&amp;H403</f>
        <v>[1분 성경 #0402] 여호와를 경외하는 여자 | 잠 30:1-31:31</v>
      </c>
      <c r="R403" s="23" t="n">
        <f aca="false">INT((A403-1)/안내!$C$9)+1</f>
        <v>81</v>
      </c>
      <c r="S403" s="26" t="n">
        <f aca="false">안내!$C$10+(R403-1)*7+MOD(A403-1,안내!$C$9)</f>
        <v>46952</v>
      </c>
      <c r="T403" s="23" t="s">
        <v>99</v>
      </c>
      <c r="U403" s="23" t="s">
        <v>99</v>
      </c>
      <c r="V403" s="23" t="s">
        <v>99</v>
      </c>
      <c r="W403" s="23" t="s">
        <v>99</v>
      </c>
      <c r="X403" s="28"/>
      <c r="Y403" s="28" t="str">
        <f aca="false">"다음 편: "&amp;J404</f>
        <v>다음 편: 헛되고 헛되다</v>
      </c>
    </row>
    <row r="404" customFormat="false" ht="26.85" hidden="false" customHeight="false" outlineLevel="0" collapsed="false">
      <c r="A404" s="20" t="n">
        <v>403</v>
      </c>
      <c r="B404" s="20" t="s">
        <v>3852</v>
      </c>
      <c r="C404" s="20" t="s">
        <v>3853</v>
      </c>
      <c r="D404" s="20" t="s">
        <v>3854</v>
      </c>
      <c r="E404" s="21" t="s">
        <v>3855</v>
      </c>
      <c r="F404" s="22" t="s">
        <v>88</v>
      </c>
      <c r="G404" s="22" t="s">
        <v>3856</v>
      </c>
      <c r="H404" s="21" t="s">
        <v>3857</v>
      </c>
      <c r="I404" s="23" t="s">
        <v>1116</v>
      </c>
      <c r="J404" s="24" t="s">
        <v>3858</v>
      </c>
      <c r="K404" s="24" t="s">
        <v>3859</v>
      </c>
      <c r="L404" s="24" t="s">
        <v>3860</v>
      </c>
      <c r="M404" s="24" t="s">
        <v>3861</v>
      </c>
      <c r="N404" s="24" t="s">
        <v>3862</v>
      </c>
      <c r="O404" s="24" t="s">
        <v>3863</v>
      </c>
      <c r="P404" s="28"/>
      <c r="Q404" s="28" t="str">
        <f aca="false">"["&amp;안내!$C$5&amp;" "&amp;C404&amp;"] "&amp;J404&amp;" | "&amp;H404</f>
        <v>[1분 성경 #0403] 헛되고 헛되다 | 전 1:1-2:26</v>
      </c>
      <c r="R404" s="23" t="n">
        <f aca="false">INT((A404-1)/안내!$C$9)+1</f>
        <v>81</v>
      </c>
      <c r="S404" s="26" t="n">
        <f aca="false">안내!$C$10+(R404-1)*7+MOD(A404-1,안내!$C$9)</f>
        <v>46953</v>
      </c>
      <c r="T404" s="23" t="s">
        <v>99</v>
      </c>
      <c r="U404" s="23" t="s">
        <v>99</v>
      </c>
      <c r="V404" s="23" t="s">
        <v>99</v>
      </c>
      <c r="W404" s="23" t="s">
        <v>99</v>
      </c>
      <c r="X404" s="28"/>
      <c r="Y404" s="28" t="str">
        <f aca="false">"다음 편: "&amp;J405</f>
        <v>다음 편: 모든 것에 때가 있다</v>
      </c>
    </row>
    <row r="405" customFormat="false" ht="26.85" hidden="false" customHeight="false" outlineLevel="0" collapsed="false">
      <c r="A405" s="20" t="n">
        <v>404</v>
      </c>
      <c r="B405" s="20" t="s">
        <v>3864</v>
      </c>
      <c r="C405" s="20" t="s">
        <v>3865</v>
      </c>
      <c r="D405" s="20" t="s">
        <v>3854</v>
      </c>
      <c r="E405" s="21" t="s">
        <v>3855</v>
      </c>
      <c r="F405" s="22" t="s">
        <v>88</v>
      </c>
      <c r="G405" s="22" t="s">
        <v>3856</v>
      </c>
      <c r="H405" s="21" t="s">
        <v>3866</v>
      </c>
      <c r="I405" s="23" t="s">
        <v>1116</v>
      </c>
      <c r="J405" s="24" t="s">
        <v>3867</v>
      </c>
      <c r="K405" s="24" t="s">
        <v>3868</v>
      </c>
      <c r="L405" s="24" t="s">
        <v>3869</v>
      </c>
      <c r="M405" s="24" t="s">
        <v>3870</v>
      </c>
      <c r="N405" s="24" t="s">
        <v>3871</v>
      </c>
      <c r="O405" s="24" t="s">
        <v>3872</v>
      </c>
      <c r="P405" s="28"/>
      <c r="Q405" s="28" t="str">
        <f aca="false">"["&amp;안내!$C$5&amp;" "&amp;C405&amp;"] "&amp;J405&amp;" | "&amp;H405</f>
        <v>[1분 성경 #0404] 모든 것에 때가 있다 | 전 3:1-22</v>
      </c>
      <c r="R405" s="23" t="n">
        <f aca="false">INT((A405-1)/안내!$C$9)+1</f>
        <v>81</v>
      </c>
      <c r="S405" s="26" t="n">
        <f aca="false">안내!$C$10+(R405-1)*7+MOD(A405-1,안내!$C$9)</f>
        <v>46954</v>
      </c>
      <c r="T405" s="23" t="s">
        <v>99</v>
      </c>
      <c r="U405" s="23" t="s">
        <v>99</v>
      </c>
      <c r="V405" s="23" t="s">
        <v>99</v>
      </c>
      <c r="W405" s="23" t="s">
        <v>99</v>
      </c>
      <c r="X405" s="28"/>
      <c r="Y405" s="28" t="str">
        <f aca="false">"다음 편: "&amp;J406</f>
        <v>다음 편: 세 겹 줄</v>
      </c>
    </row>
    <row r="406" customFormat="false" ht="26.85" hidden="false" customHeight="false" outlineLevel="0" collapsed="false">
      <c r="A406" s="20" t="n">
        <v>405</v>
      </c>
      <c r="B406" s="20" t="s">
        <v>3873</v>
      </c>
      <c r="C406" s="20" t="s">
        <v>3874</v>
      </c>
      <c r="D406" s="20" t="s">
        <v>3854</v>
      </c>
      <c r="E406" s="21" t="s">
        <v>3855</v>
      </c>
      <c r="F406" s="22" t="s">
        <v>88</v>
      </c>
      <c r="G406" s="22" t="s">
        <v>3856</v>
      </c>
      <c r="H406" s="21" t="s">
        <v>3875</v>
      </c>
      <c r="I406" s="23" t="s">
        <v>1116</v>
      </c>
      <c r="J406" s="24" t="s">
        <v>3876</v>
      </c>
      <c r="K406" s="24" t="s">
        <v>3877</v>
      </c>
      <c r="L406" s="24" t="s">
        <v>3878</v>
      </c>
      <c r="M406" s="24" t="s">
        <v>3879</v>
      </c>
      <c r="N406" s="24" t="s">
        <v>3871</v>
      </c>
      <c r="O406" s="24" t="s">
        <v>3880</v>
      </c>
      <c r="P406" s="28"/>
      <c r="Q406" s="28" t="str">
        <f aca="false">"["&amp;안내!$C$5&amp;" "&amp;C406&amp;"] "&amp;J406&amp;" | "&amp;H406</f>
        <v>[1분 성경 #0405] 세 겹 줄 | 전 4:1-6:12</v>
      </c>
      <c r="R406" s="23" t="n">
        <f aca="false">INT((A406-1)/안내!$C$9)+1</f>
        <v>81</v>
      </c>
      <c r="S406" s="26" t="n">
        <f aca="false">안내!$C$10+(R406-1)*7+MOD(A406-1,안내!$C$9)</f>
        <v>46955</v>
      </c>
      <c r="T406" s="23" t="s">
        <v>99</v>
      </c>
      <c r="U406" s="23" t="s">
        <v>99</v>
      </c>
      <c r="V406" s="23" t="s">
        <v>99</v>
      </c>
      <c r="W406" s="23" t="s">
        <v>99</v>
      </c>
      <c r="X406" s="28"/>
      <c r="Y406" s="28" t="str">
        <f aca="false">"다음 편: "&amp;J407</f>
        <v>다음 편: 형통한 날과 곤고한 날</v>
      </c>
    </row>
    <row r="407" customFormat="false" ht="25.35" hidden="false" customHeight="false" outlineLevel="0" collapsed="false">
      <c r="A407" s="20" t="n">
        <v>406</v>
      </c>
      <c r="B407" s="20" t="s">
        <v>3881</v>
      </c>
      <c r="C407" s="20" t="s">
        <v>3882</v>
      </c>
      <c r="D407" s="20" t="s">
        <v>3854</v>
      </c>
      <c r="E407" s="21" t="s">
        <v>3855</v>
      </c>
      <c r="F407" s="22" t="s">
        <v>88</v>
      </c>
      <c r="G407" s="22" t="s">
        <v>3856</v>
      </c>
      <c r="H407" s="21" t="s">
        <v>3883</v>
      </c>
      <c r="I407" s="23" t="s">
        <v>1116</v>
      </c>
      <c r="J407" s="24" t="s">
        <v>3884</v>
      </c>
      <c r="K407" s="24" t="s">
        <v>3885</v>
      </c>
      <c r="L407" s="24" t="s">
        <v>3886</v>
      </c>
      <c r="M407" s="24" t="s">
        <v>3887</v>
      </c>
      <c r="N407" s="24" t="s">
        <v>3871</v>
      </c>
      <c r="O407" s="24" t="s">
        <v>3888</v>
      </c>
      <c r="P407" s="28"/>
      <c r="Q407" s="28" t="str">
        <f aca="false">"["&amp;안내!$C$5&amp;" "&amp;C407&amp;"] "&amp;J407&amp;" | "&amp;H407</f>
        <v>[1분 성경 #0406] 형통한 날과 곤고한 날 | 전 7:1-11:6</v>
      </c>
      <c r="R407" s="23" t="n">
        <f aca="false">INT((A407-1)/안내!$C$9)+1</f>
        <v>82</v>
      </c>
      <c r="S407" s="26" t="n">
        <f aca="false">안내!$C$10+(R407-1)*7+MOD(A407-1,안내!$C$9)</f>
        <v>46958</v>
      </c>
      <c r="T407" s="23" t="s">
        <v>99</v>
      </c>
      <c r="U407" s="23" t="s">
        <v>99</v>
      </c>
      <c r="V407" s="23" t="s">
        <v>99</v>
      </c>
      <c r="W407" s="23" t="s">
        <v>99</v>
      </c>
      <c r="X407" s="28"/>
      <c r="Y407" s="28" t="str">
        <f aca="false">"다음 편: "&amp;J408</f>
        <v>다음 편: 청년의 때에</v>
      </c>
    </row>
    <row r="408" customFormat="false" ht="26.85" hidden="false" customHeight="false" outlineLevel="0" collapsed="false">
      <c r="A408" s="20" t="n">
        <v>407</v>
      </c>
      <c r="B408" s="20" t="s">
        <v>3889</v>
      </c>
      <c r="C408" s="20" t="s">
        <v>3890</v>
      </c>
      <c r="D408" s="20" t="s">
        <v>3854</v>
      </c>
      <c r="E408" s="21" t="s">
        <v>3855</v>
      </c>
      <c r="F408" s="22" t="s">
        <v>88</v>
      </c>
      <c r="G408" s="22" t="s">
        <v>3856</v>
      </c>
      <c r="H408" s="21" t="s">
        <v>3891</v>
      </c>
      <c r="I408" s="23" t="s">
        <v>1116</v>
      </c>
      <c r="J408" s="24" t="s">
        <v>3892</v>
      </c>
      <c r="K408" s="24" t="s">
        <v>3893</v>
      </c>
      <c r="L408" s="24" t="s">
        <v>3894</v>
      </c>
      <c r="M408" s="24" t="s">
        <v>3895</v>
      </c>
      <c r="N408" s="24" t="s">
        <v>3896</v>
      </c>
      <c r="O408" s="24" t="s">
        <v>3897</v>
      </c>
      <c r="P408" s="28"/>
      <c r="Q408" s="28" t="str">
        <f aca="false">"["&amp;안내!$C$5&amp;" "&amp;C408&amp;"] "&amp;J408&amp;" | "&amp;H408</f>
        <v>[1분 성경 #0407] 청년의 때에 | 전 11:7-12:14</v>
      </c>
      <c r="R408" s="23" t="n">
        <f aca="false">INT((A408-1)/안내!$C$9)+1</f>
        <v>82</v>
      </c>
      <c r="S408" s="26" t="n">
        <f aca="false">안내!$C$10+(R408-1)*7+MOD(A408-1,안내!$C$9)</f>
        <v>46959</v>
      </c>
      <c r="T408" s="23" t="s">
        <v>99</v>
      </c>
      <c r="U408" s="23" t="s">
        <v>99</v>
      </c>
      <c r="V408" s="23" t="s">
        <v>99</v>
      </c>
      <c r="W408" s="23" t="s">
        <v>99</v>
      </c>
      <c r="X408" s="28"/>
      <c r="Y408" s="28" t="str">
        <f aca="false">"다음 편: "&amp;J409</f>
        <v>다음 편: 사랑의 깃발</v>
      </c>
    </row>
    <row r="409" customFormat="false" ht="26.85" hidden="false" customHeight="false" outlineLevel="0" collapsed="false">
      <c r="A409" s="20" t="n">
        <v>408</v>
      </c>
      <c r="B409" s="20" t="s">
        <v>3898</v>
      </c>
      <c r="C409" s="20" t="s">
        <v>3899</v>
      </c>
      <c r="D409" s="20" t="s">
        <v>3854</v>
      </c>
      <c r="E409" s="21" t="s">
        <v>3855</v>
      </c>
      <c r="F409" s="22" t="s">
        <v>88</v>
      </c>
      <c r="G409" s="22" t="s">
        <v>3900</v>
      </c>
      <c r="H409" s="21" t="s">
        <v>3901</v>
      </c>
      <c r="I409" s="23" t="s">
        <v>1116</v>
      </c>
      <c r="J409" s="24" t="s">
        <v>3902</v>
      </c>
      <c r="K409" s="24" t="s">
        <v>3903</v>
      </c>
      <c r="L409" s="24" t="s">
        <v>3904</v>
      </c>
      <c r="M409" s="24" t="s">
        <v>3905</v>
      </c>
      <c r="N409" s="24" t="s">
        <v>3906</v>
      </c>
      <c r="O409" s="24" t="s">
        <v>3907</v>
      </c>
      <c r="P409" s="25" t="s">
        <v>3908</v>
      </c>
      <c r="Q409" s="28" t="str">
        <f aca="false">"["&amp;안내!$C$5&amp;" "&amp;C409&amp;"] "&amp;J409&amp;" | "&amp;H409</f>
        <v>[1분 성경 #0408] 사랑의 깃발 | 아 1:1-3:5</v>
      </c>
      <c r="R409" s="23" t="n">
        <f aca="false">INT((A409-1)/안내!$C$9)+1</f>
        <v>82</v>
      </c>
      <c r="S409" s="26" t="n">
        <f aca="false">안내!$C$10+(R409-1)*7+MOD(A409-1,안내!$C$9)</f>
        <v>46960</v>
      </c>
      <c r="T409" s="23" t="s">
        <v>99</v>
      </c>
      <c r="U409" s="23" t="s">
        <v>99</v>
      </c>
      <c r="V409" s="23" t="s">
        <v>99</v>
      </c>
      <c r="W409" s="23" t="s">
        <v>99</v>
      </c>
      <c r="X409" s="28"/>
      <c r="Y409" s="28" t="str">
        <f aca="false">"다음 편: "&amp;J410</f>
        <v>다음 편: 혼인날</v>
      </c>
    </row>
    <row r="410" customFormat="false" ht="26.85" hidden="false" customHeight="false" outlineLevel="0" collapsed="false">
      <c r="A410" s="20" t="n">
        <v>409</v>
      </c>
      <c r="B410" s="20" t="s">
        <v>3909</v>
      </c>
      <c r="C410" s="20" t="s">
        <v>3910</v>
      </c>
      <c r="D410" s="20" t="s">
        <v>3854</v>
      </c>
      <c r="E410" s="21" t="s">
        <v>3855</v>
      </c>
      <c r="F410" s="22" t="s">
        <v>88</v>
      </c>
      <c r="G410" s="22" t="s">
        <v>3900</v>
      </c>
      <c r="H410" s="21" t="s">
        <v>3911</v>
      </c>
      <c r="I410" s="23" t="s">
        <v>1116</v>
      </c>
      <c r="J410" s="24" t="s">
        <v>3912</v>
      </c>
      <c r="K410" s="24" t="s">
        <v>3913</v>
      </c>
      <c r="L410" s="24" t="s">
        <v>3914</v>
      </c>
      <c r="M410" s="24" t="s">
        <v>3915</v>
      </c>
      <c r="N410" s="24" t="s">
        <v>3906</v>
      </c>
      <c r="O410" s="24" t="s">
        <v>3916</v>
      </c>
      <c r="P410" s="25" t="s">
        <v>3917</v>
      </c>
      <c r="Q410" s="28" t="str">
        <f aca="false">"["&amp;안내!$C$5&amp;" "&amp;C410&amp;"] "&amp;J410&amp;" | "&amp;H410</f>
        <v>[1분 성경 #0409] 혼인날 | 아 3:6-5:1</v>
      </c>
      <c r="R410" s="23" t="n">
        <f aca="false">INT((A410-1)/안내!$C$9)+1</f>
        <v>82</v>
      </c>
      <c r="S410" s="26" t="n">
        <f aca="false">안내!$C$10+(R410-1)*7+MOD(A410-1,안내!$C$9)</f>
        <v>46961</v>
      </c>
      <c r="T410" s="23" t="s">
        <v>99</v>
      </c>
      <c r="U410" s="23" t="s">
        <v>99</v>
      </c>
      <c r="V410" s="23" t="s">
        <v>99</v>
      </c>
      <c r="W410" s="23" t="s">
        <v>99</v>
      </c>
      <c r="X410" s="28"/>
      <c r="Y410" s="28" t="str">
        <f aca="false">"다음 편: "&amp;J411</f>
        <v>다음 편: 사랑은 죽음같이 강하다</v>
      </c>
    </row>
    <row r="411" customFormat="false" ht="26.85" hidden="false" customHeight="false" outlineLevel="0" collapsed="false">
      <c r="A411" s="20" t="n">
        <v>410</v>
      </c>
      <c r="B411" s="20" t="s">
        <v>3918</v>
      </c>
      <c r="C411" s="20" t="s">
        <v>3919</v>
      </c>
      <c r="D411" s="20" t="s">
        <v>3854</v>
      </c>
      <c r="E411" s="21" t="s">
        <v>3855</v>
      </c>
      <c r="F411" s="22" t="s">
        <v>88</v>
      </c>
      <c r="G411" s="22" t="s">
        <v>3900</v>
      </c>
      <c r="H411" s="21" t="s">
        <v>3920</v>
      </c>
      <c r="I411" s="23" t="s">
        <v>1116</v>
      </c>
      <c r="J411" s="24" t="s">
        <v>3921</v>
      </c>
      <c r="K411" s="24" t="s">
        <v>3922</v>
      </c>
      <c r="L411" s="24" t="s">
        <v>3923</v>
      </c>
      <c r="M411" s="24" t="s">
        <v>3924</v>
      </c>
      <c r="N411" s="24" t="s">
        <v>3906</v>
      </c>
      <c r="O411" s="24" t="s">
        <v>3925</v>
      </c>
      <c r="P411" s="25" t="s">
        <v>3926</v>
      </c>
      <c r="Q411" s="28" t="str">
        <f aca="false">"["&amp;안내!$C$5&amp;" "&amp;C411&amp;"] "&amp;J411&amp;" | "&amp;H411</f>
        <v>[1분 성경 #0410] 사랑은 죽음같이 강하다 | 아 5:2-8:14</v>
      </c>
      <c r="R411" s="23" t="n">
        <f aca="false">INT((A411-1)/안내!$C$9)+1</f>
        <v>82</v>
      </c>
      <c r="S411" s="26" t="n">
        <f aca="false">안내!$C$10+(R411-1)*7+MOD(A411-1,안내!$C$9)</f>
        <v>46962</v>
      </c>
      <c r="T411" s="23" t="s">
        <v>99</v>
      </c>
      <c r="U411" s="23" t="s">
        <v>99</v>
      </c>
      <c r="V411" s="23" t="s">
        <v>99</v>
      </c>
      <c r="W411" s="23" t="s">
        <v>99</v>
      </c>
      <c r="X411" s="28"/>
      <c r="Y411" s="28" t="str">
        <f aca="false">"다음 편: "&amp;J412</f>
        <v>다음 편: 주홍 같은 죄도</v>
      </c>
    </row>
    <row r="412" customFormat="false" ht="26.85" hidden="false" customHeight="false" outlineLevel="0" collapsed="false">
      <c r="A412" s="20" t="n">
        <v>411</v>
      </c>
      <c r="B412" s="20" t="s">
        <v>3927</v>
      </c>
      <c r="C412" s="20" t="s">
        <v>3928</v>
      </c>
      <c r="D412" s="20" t="s">
        <v>3929</v>
      </c>
      <c r="E412" s="21" t="s">
        <v>3930</v>
      </c>
      <c r="F412" s="22" t="s">
        <v>88</v>
      </c>
      <c r="G412" s="22" t="s">
        <v>3931</v>
      </c>
      <c r="H412" s="21" t="s">
        <v>3932</v>
      </c>
      <c r="I412" s="23" t="s">
        <v>1116</v>
      </c>
      <c r="J412" s="24" t="s">
        <v>3933</v>
      </c>
      <c r="K412" s="24" t="s">
        <v>3934</v>
      </c>
      <c r="L412" s="24" t="s">
        <v>3935</v>
      </c>
      <c r="M412" s="24" t="s">
        <v>3936</v>
      </c>
      <c r="N412" s="24" t="s">
        <v>3937</v>
      </c>
      <c r="O412" s="24" t="s">
        <v>3938</v>
      </c>
      <c r="P412" s="28"/>
      <c r="Q412" s="28" t="str">
        <f aca="false">"["&amp;안내!$C$5&amp;" "&amp;C412&amp;"] "&amp;J412&amp;" | "&amp;H412</f>
        <v>[1분 성경 #0411] 주홍 같은 죄도 | 사 1:1-31</v>
      </c>
      <c r="R412" s="23" t="n">
        <f aca="false">INT((A412-1)/안내!$C$9)+1</f>
        <v>83</v>
      </c>
      <c r="S412" s="26" t="n">
        <f aca="false">안내!$C$10+(R412-1)*7+MOD(A412-1,안내!$C$9)</f>
        <v>46965</v>
      </c>
      <c r="T412" s="23" t="s">
        <v>99</v>
      </c>
      <c r="U412" s="23" t="s">
        <v>99</v>
      </c>
      <c r="V412" s="23" t="s">
        <v>99</v>
      </c>
      <c r="W412" s="23" t="s">
        <v>99</v>
      </c>
      <c r="X412" s="28"/>
      <c r="Y412" s="28" t="str">
        <f aca="false">"다음 편: "&amp;J413</f>
        <v>다음 편: 칼을 쳐서 보습으로</v>
      </c>
    </row>
    <row r="413" customFormat="false" ht="26.85" hidden="false" customHeight="false" outlineLevel="0" collapsed="false">
      <c r="A413" s="20" t="n">
        <v>412</v>
      </c>
      <c r="B413" s="20" t="s">
        <v>3939</v>
      </c>
      <c r="C413" s="20" t="s">
        <v>3940</v>
      </c>
      <c r="D413" s="20" t="s">
        <v>3929</v>
      </c>
      <c r="E413" s="21" t="s">
        <v>3930</v>
      </c>
      <c r="F413" s="22" t="s">
        <v>88</v>
      </c>
      <c r="G413" s="22" t="s">
        <v>3931</v>
      </c>
      <c r="H413" s="21" t="s">
        <v>3941</v>
      </c>
      <c r="I413" s="23" t="s">
        <v>1116</v>
      </c>
      <c r="J413" s="24" t="s">
        <v>3942</v>
      </c>
      <c r="K413" s="24" t="s">
        <v>3943</v>
      </c>
      <c r="L413" s="24" t="s">
        <v>3944</v>
      </c>
      <c r="M413" s="24" t="s">
        <v>3945</v>
      </c>
      <c r="N413" s="24" t="s">
        <v>3946</v>
      </c>
      <c r="O413" s="24" t="s">
        <v>3947</v>
      </c>
      <c r="P413" s="28"/>
      <c r="Q413" s="28" t="str">
        <f aca="false">"["&amp;안내!$C$5&amp;" "&amp;C413&amp;"] "&amp;J413&amp;" | "&amp;H413</f>
        <v>[1분 성경 #0412] 칼을 쳐서 보습으로 | 사 2:1-5:30</v>
      </c>
      <c r="R413" s="23" t="n">
        <f aca="false">INT((A413-1)/안내!$C$9)+1</f>
        <v>83</v>
      </c>
      <c r="S413" s="26" t="n">
        <f aca="false">안내!$C$10+(R413-1)*7+MOD(A413-1,안내!$C$9)</f>
        <v>46966</v>
      </c>
      <c r="T413" s="23" t="s">
        <v>99</v>
      </c>
      <c r="U413" s="23" t="s">
        <v>99</v>
      </c>
      <c r="V413" s="23" t="s">
        <v>99</v>
      </c>
      <c r="W413" s="23" t="s">
        <v>99</v>
      </c>
      <c r="X413" s="28"/>
      <c r="Y413" s="28" t="str">
        <f aca="false">"다음 편: "&amp;J414</f>
        <v>다음 편: 내가 여기 있나이다</v>
      </c>
    </row>
    <row r="414" customFormat="false" ht="26.85" hidden="false" customHeight="false" outlineLevel="0" collapsed="false">
      <c r="A414" s="20" t="n">
        <v>413</v>
      </c>
      <c r="B414" s="20" t="s">
        <v>3948</v>
      </c>
      <c r="C414" s="20" t="s">
        <v>3949</v>
      </c>
      <c r="D414" s="20" t="s">
        <v>3929</v>
      </c>
      <c r="E414" s="21" t="s">
        <v>3930</v>
      </c>
      <c r="F414" s="22" t="s">
        <v>88</v>
      </c>
      <c r="G414" s="22" t="s">
        <v>3931</v>
      </c>
      <c r="H414" s="21" t="s">
        <v>3950</v>
      </c>
      <c r="I414" s="23" t="s">
        <v>1116</v>
      </c>
      <c r="J414" s="24" t="s">
        <v>3951</v>
      </c>
      <c r="K414" s="24" t="s">
        <v>3952</v>
      </c>
      <c r="L414" s="24" t="s">
        <v>3953</v>
      </c>
      <c r="M414" s="24" t="s">
        <v>3954</v>
      </c>
      <c r="N414" s="24" t="s">
        <v>3955</v>
      </c>
      <c r="O414" s="24" t="s">
        <v>3956</v>
      </c>
      <c r="P414" s="25" t="s">
        <v>3957</v>
      </c>
      <c r="Q414" s="28" t="str">
        <f aca="false">"["&amp;안내!$C$5&amp;" "&amp;C414&amp;"] "&amp;J414&amp;" | "&amp;H414</f>
        <v>[1분 성경 #0413] 내가 여기 있나이다 | 사 6:1-13</v>
      </c>
      <c r="R414" s="23" t="n">
        <f aca="false">INT((A414-1)/안내!$C$9)+1</f>
        <v>83</v>
      </c>
      <c r="S414" s="26" t="n">
        <f aca="false">안내!$C$10+(R414-1)*7+MOD(A414-1,안내!$C$9)</f>
        <v>46967</v>
      </c>
      <c r="T414" s="23" t="s">
        <v>99</v>
      </c>
      <c r="U414" s="23" t="s">
        <v>99</v>
      </c>
      <c r="V414" s="23" t="s">
        <v>99</v>
      </c>
      <c r="W414" s="23" t="s">
        <v>99</v>
      </c>
      <c r="X414" s="28"/>
      <c r="Y414" s="28" t="str">
        <f aca="false">"다음 편: "&amp;J415</f>
        <v>다음 편: 임마누엘의 징조</v>
      </c>
    </row>
    <row r="415" customFormat="false" ht="26.85" hidden="false" customHeight="false" outlineLevel="0" collapsed="false">
      <c r="A415" s="20" t="n">
        <v>414</v>
      </c>
      <c r="B415" s="20" t="s">
        <v>3958</v>
      </c>
      <c r="C415" s="20" t="s">
        <v>3959</v>
      </c>
      <c r="D415" s="20" t="s">
        <v>3929</v>
      </c>
      <c r="E415" s="21" t="s">
        <v>3930</v>
      </c>
      <c r="F415" s="22" t="s">
        <v>88</v>
      </c>
      <c r="G415" s="22" t="s">
        <v>3931</v>
      </c>
      <c r="H415" s="21" t="s">
        <v>3960</v>
      </c>
      <c r="I415" s="23" t="s">
        <v>1116</v>
      </c>
      <c r="J415" s="24" t="s">
        <v>3961</v>
      </c>
      <c r="K415" s="24" t="s">
        <v>3962</v>
      </c>
      <c r="L415" s="24" t="s">
        <v>3963</v>
      </c>
      <c r="M415" s="24" t="s">
        <v>3964</v>
      </c>
      <c r="N415" s="24" t="s">
        <v>3965</v>
      </c>
      <c r="O415" s="24" t="s">
        <v>3966</v>
      </c>
      <c r="P415" s="25" t="s">
        <v>3967</v>
      </c>
      <c r="Q415" s="28" t="str">
        <f aca="false">"["&amp;안내!$C$5&amp;" "&amp;C415&amp;"] "&amp;J415&amp;" | "&amp;H415</f>
        <v>[1분 성경 #0414] 임마누엘의 징조 | 사 7:1-25</v>
      </c>
      <c r="R415" s="23" t="n">
        <f aca="false">INT((A415-1)/안내!$C$9)+1</f>
        <v>83</v>
      </c>
      <c r="S415" s="26" t="n">
        <f aca="false">안내!$C$10+(R415-1)*7+MOD(A415-1,안내!$C$9)</f>
        <v>46968</v>
      </c>
      <c r="T415" s="23" t="s">
        <v>99</v>
      </c>
      <c r="U415" s="23" t="s">
        <v>99</v>
      </c>
      <c r="V415" s="23" t="s">
        <v>99</v>
      </c>
      <c r="W415" s="23" t="s">
        <v>99</v>
      </c>
      <c r="X415" s="28"/>
      <c r="Y415" s="28" t="str">
        <f aca="false">"다음 편: "&amp;J416</f>
        <v>다음 편: 한 아기가 우리에게</v>
      </c>
    </row>
    <row r="416" customFormat="false" ht="26.85" hidden="false" customHeight="false" outlineLevel="0" collapsed="false">
      <c r="A416" s="20" t="n">
        <v>415</v>
      </c>
      <c r="B416" s="20" t="s">
        <v>3968</v>
      </c>
      <c r="C416" s="20" t="s">
        <v>3969</v>
      </c>
      <c r="D416" s="20" t="s">
        <v>3929</v>
      </c>
      <c r="E416" s="21" t="s">
        <v>3930</v>
      </c>
      <c r="F416" s="22" t="s">
        <v>88</v>
      </c>
      <c r="G416" s="22" t="s">
        <v>3931</v>
      </c>
      <c r="H416" s="21" t="s">
        <v>3970</v>
      </c>
      <c r="I416" s="23" t="s">
        <v>1116</v>
      </c>
      <c r="J416" s="24" t="s">
        <v>3971</v>
      </c>
      <c r="K416" s="24" t="s">
        <v>3972</v>
      </c>
      <c r="L416" s="24" t="s">
        <v>3973</v>
      </c>
      <c r="M416" s="24" t="s">
        <v>3974</v>
      </c>
      <c r="N416" s="24" t="s">
        <v>3931</v>
      </c>
      <c r="O416" s="24" t="s">
        <v>3975</v>
      </c>
      <c r="P416" s="25" t="s">
        <v>3976</v>
      </c>
      <c r="Q416" s="28" t="str">
        <f aca="false">"["&amp;안내!$C$5&amp;" "&amp;C416&amp;"] "&amp;J416&amp;" | "&amp;H416</f>
        <v>[1분 성경 #0415] 한 아기가 우리에게 | 사 8:1-9:7</v>
      </c>
      <c r="R416" s="23" t="n">
        <f aca="false">INT((A416-1)/안내!$C$9)+1</f>
        <v>83</v>
      </c>
      <c r="S416" s="26" t="n">
        <f aca="false">안내!$C$10+(R416-1)*7+MOD(A416-1,안내!$C$9)</f>
        <v>46969</v>
      </c>
      <c r="T416" s="23" t="s">
        <v>99</v>
      </c>
      <c r="U416" s="23" t="s">
        <v>99</v>
      </c>
      <c r="V416" s="23" t="s">
        <v>99</v>
      </c>
      <c r="W416" s="23" t="s">
        <v>99</v>
      </c>
      <c r="X416" s="28"/>
      <c r="Y416" s="28" t="str">
        <f aca="false">"다음 편: "&amp;J417</f>
        <v>다음 편: 하나님의 몽둥이</v>
      </c>
    </row>
    <row r="417" customFormat="false" ht="26.85" hidden="false" customHeight="false" outlineLevel="0" collapsed="false">
      <c r="A417" s="20" t="n">
        <v>416</v>
      </c>
      <c r="B417" s="20" t="s">
        <v>3977</v>
      </c>
      <c r="C417" s="20" t="s">
        <v>3978</v>
      </c>
      <c r="D417" s="20" t="s">
        <v>3929</v>
      </c>
      <c r="E417" s="21" t="s">
        <v>3930</v>
      </c>
      <c r="F417" s="22" t="s">
        <v>88</v>
      </c>
      <c r="G417" s="22" t="s">
        <v>3931</v>
      </c>
      <c r="H417" s="21" t="s">
        <v>3979</v>
      </c>
      <c r="I417" s="23" t="s">
        <v>1116</v>
      </c>
      <c r="J417" s="24" t="s">
        <v>3980</v>
      </c>
      <c r="K417" s="24" t="s">
        <v>3981</v>
      </c>
      <c r="L417" s="24" t="s">
        <v>3982</v>
      </c>
      <c r="M417" s="24" t="s">
        <v>3983</v>
      </c>
      <c r="N417" s="24" t="s">
        <v>3984</v>
      </c>
      <c r="O417" s="24" t="s">
        <v>3985</v>
      </c>
      <c r="P417" s="28"/>
      <c r="Q417" s="28" t="str">
        <f aca="false">"["&amp;안내!$C$5&amp;" "&amp;C417&amp;"] "&amp;J417&amp;" | "&amp;H417</f>
        <v>[1분 성경 #0416] 하나님의 몽둥이 | 사 9:8-10:34</v>
      </c>
      <c r="R417" s="23" t="n">
        <f aca="false">INT((A417-1)/안내!$C$9)+1</f>
        <v>84</v>
      </c>
      <c r="S417" s="26" t="n">
        <f aca="false">안내!$C$10+(R417-1)*7+MOD(A417-1,안내!$C$9)</f>
        <v>46972</v>
      </c>
      <c r="T417" s="23" t="s">
        <v>99</v>
      </c>
      <c r="U417" s="23" t="s">
        <v>99</v>
      </c>
      <c r="V417" s="23" t="s">
        <v>99</v>
      </c>
      <c r="W417" s="23" t="s">
        <v>99</v>
      </c>
      <c r="X417" s="28"/>
      <c r="Y417" s="28" t="str">
        <f aca="false">"다음 편: "&amp;J418</f>
        <v>다음 편: 이새의 줄기</v>
      </c>
    </row>
    <row r="418" customFormat="false" ht="26.85" hidden="false" customHeight="false" outlineLevel="0" collapsed="false">
      <c r="A418" s="20" t="n">
        <v>417</v>
      </c>
      <c r="B418" s="20" t="s">
        <v>3986</v>
      </c>
      <c r="C418" s="20" t="s">
        <v>3987</v>
      </c>
      <c r="D418" s="20" t="s">
        <v>3929</v>
      </c>
      <c r="E418" s="21" t="s">
        <v>3930</v>
      </c>
      <c r="F418" s="22" t="s">
        <v>88</v>
      </c>
      <c r="G418" s="22" t="s">
        <v>3931</v>
      </c>
      <c r="H418" s="21" t="s">
        <v>3988</v>
      </c>
      <c r="I418" s="23" t="s">
        <v>1116</v>
      </c>
      <c r="J418" s="24" t="s">
        <v>3989</v>
      </c>
      <c r="K418" s="24" t="s">
        <v>3990</v>
      </c>
      <c r="L418" s="24" t="s">
        <v>3991</v>
      </c>
      <c r="M418" s="24" t="s">
        <v>3992</v>
      </c>
      <c r="N418" s="24" t="s">
        <v>3993</v>
      </c>
      <c r="O418" s="24" t="s">
        <v>3994</v>
      </c>
      <c r="P418" s="28"/>
      <c r="Q418" s="28" t="str">
        <f aca="false">"["&amp;안내!$C$5&amp;" "&amp;C418&amp;"] "&amp;J418&amp;" | "&amp;H418</f>
        <v>[1분 성경 #0417] 이새의 줄기 | 사 11:1-16</v>
      </c>
      <c r="R418" s="23" t="n">
        <f aca="false">INT((A418-1)/안내!$C$9)+1</f>
        <v>84</v>
      </c>
      <c r="S418" s="26" t="n">
        <f aca="false">안내!$C$10+(R418-1)*7+MOD(A418-1,안내!$C$9)</f>
        <v>46973</v>
      </c>
      <c r="T418" s="23" t="s">
        <v>99</v>
      </c>
      <c r="U418" s="23" t="s">
        <v>99</v>
      </c>
      <c r="V418" s="23" t="s">
        <v>99</v>
      </c>
      <c r="W418" s="23" t="s">
        <v>99</v>
      </c>
      <c r="X418" s="28"/>
      <c r="Y418" s="28" t="str">
        <f aca="false">"다음 편: "&amp;J419</f>
        <v>다음 편: 구원의 우물</v>
      </c>
    </row>
    <row r="419" customFormat="false" ht="26.85" hidden="false" customHeight="false" outlineLevel="0" collapsed="false">
      <c r="A419" s="20" t="n">
        <v>418</v>
      </c>
      <c r="B419" s="20" t="s">
        <v>3995</v>
      </c>
      <c r="C419" s="20" t="s">
        <v>3996</v>
      </c>
      <c r="D419" s="20" t="s">
        <v>3929</v>
      </c>
      <c r="E419" s="21" t="s">
        <v>3930</v>
      </c>
      <c r="F419" s="22" t="s">
        <v>88</v>
      </c>
      <c r="G419" s="22" t="s">
        <v>3931</v>
      </c>
      <c r="H419" s="21" t="s">
        <v>3997</v>
      </c>
      <c r="I419" s="23" t="s">
        <v>1116</v>
      </c>
      <c r="J419" s="24" t="s">
        <v>3998</v>
      </c>
      <c r="K419" s="24" t="s">
        <v>3999</v>
      </c>
      <c r="L419" s="24" t="s">
        <v>4000</v>
      </c>
      <c r="M419" s="24" t="s">
        <v>4001</v>
      </c>
      <c r="N419" s="24" t="s">
        <v>4002</v>
      </c>
      <c r="O419" s="24" t="s">
        <v>4003</v>
      </c>
      <c r="P419" s="28"/>
      <c r="Q419" s="28" t="str">
        <f aca="false">"["&amp;안내!$C$5&amp;" "&amp;C419&amp;"] "&amp;J419&amp;" | "&amp;H419</f>
        <v>[1분 성경 #0418] 구원의 우물 | 사 12:1-6</v>
      </c>
      <c r="R419" s="23" t="n">
        <f aca="false">INT((A419-1)/안내!$C$9)+1</f>
        <v>84</v>
      </c>
      <c r="S419" s="26" t="n">
        <f aca="false">안내!$C$10+(R419-1)*7+MOD(A419-1,안내!$C$9)</f>
        <v>46974</v>
      </c>
      <c r="T419" s="23" t="s">
        <v>99</v>
      </c>
      <c r="U419" s="23" t="s">
        <v>99</v>
      </c>
      <c r="V419" s="23" t="s">
        <v>99</v>
      </c>
      <c r="W419" s="23" t="s">
        <v>99</v>
      </c>
      <c r="X419" s="28"/>
      <c r="Y419" s="28" t="str">
        <f aca="false">"다음 편: "&amp;J420</f>
        <v>다음 편: 열방을 향한 예언</v>
      </c>
    </row>
    <row r="420" customFormat="false" ht="26.85" hidden="false" customHeight="false" outlineLevel="0" collapsed="false">
      <c r="A420" s="20" t="n">
        <v>419</v>
      </c>
      <c r="B420" s="20" t="s">
        <v>4004</v>
      </c>
      <c r="C420" s="20" t="s">
        <v>4005</v>
      </c>
      <c r="D420" s="20" t="s">
        <v>4006</v>
      </c>
      <c r="E420" s="21" t="s">
        <v>4007</v>
      </c>
      <c r="F420" s="22" t="s">
        <v>88</v>
      </c>
      <c r="G420" s="22" t="s">
        <v>3931</v>
      </c>
      <c r="H420" s="21" t="s">
        <v>4008</v>
      </c>
      <c r="I420" s="23" t="s">
        <v>1116</v>
      </c>
      <c r="J420" s="24" t="s">
        <v>4009</v>
      </c>
      <c r="K420" s="24" t="s">
        <v>4010</v>
      </c>
      <c r="L420" s="24" t="s">
        <v>4011</v>
      </c>
      <c r="M420" s="24" t="s">
        <v>4012</v>
      </c>
      <c r="N420" s="24" t="s">
        <v>3931</v>
      </c>
      <c r="O420" s="24" t="s">
        <v>4013</v>
      </c>
      <c r="P420" s="27" t="s">
        <v>4014</v>
      </c>
      <c r="Q420" s="28" t="str">
        <f aca="false">"["&amp;안내!$C$5&amp;" "&amp;C420&amp;"] "&amp;J420&amp;" | "&amp;H420</f>
        <v>[1분 성경 #0419] 열방을 향한 예언 | 사 13:1-23:18</v>
      </c>
      <c r="R420" s="23" t="n">
        <f aca="false">INT((A420-1)/안내!$C$9)+1</f>
        <v>84</v>
      </c>
      <c r="S420" s="26" t="n">
        <f aca="false">안내!$C$10+(R420-1)*7+MOD(A420-1,안내!$C$9)</f>
        <v>46975</v>
      </c>
      <c r="T420" s="23" t="s">
        <v>99</v>
      </c>
      <c r="U420" s="23" t="s">
        <v>99</v>
      </c>
      <c r="V420" s="23" t="s">
        <v>99</v>
      </c>
      <c r="W420" s="23" t="s">
        <v>99</v>
      </c>
      <c r="X420" s="28"/>
      <c r="Y420" s="28" t="str">
        <f aca="false">"다음 편: "&amp;J421</f>
        <v>다음 편: 사망을 멸하시리라</v>
      </c>
    </row>
    <row r="421" customFormat="false" ht="26.85" hidden="false" customHeight="false" outlineLevel="0" collapsed="false">
      <c r="A421" s="20" t="n">
        <v>420</v>
      </c>
      <c r="B421" s="20" t="s">
        <v>4015</v>
      </c>
      <c r="C421" s="20" t="s">
        <v>4016</v>
      </c>
      <c r="D421" s="20" t="s">
        <v>4006</v>
      </c>
      <c r="E421" s="21" t="s">
        <v>4007</v>
      </c>
      <c r="F421" s="22" t="s">
        <v>88</v>
      </c>
      <c r="G421" s="22" t="s">
        <v>3931</v>
      </c>
      <c r="H421" s="21" t="s">
        <v>4017</v>
      </c>
      <c r="I421" s="23" t="s">
        <v>1116</v>
      </c>
      <c r="J421" s="24" t="s">
        <v>4018</v>
      </c>
      <c r="K421" s="24" t="s">
        <v>4019</v>
      </c>
      <c r="L421" s="24" t="s">
        <v>4020</v>
      </c>
      <c r="M421" s="24" t="s">
        <v>4021</v>
      </c>
      <c r="N421" s="24" t="s">
        <v>3931</v>
      </c>
      <c r="O421" s="24" t="s">
        <v>4022</v>
      </c>
      <c r="P421" s="25" t="s">
        <v>4023</v>
      </c>
      <c r="Q421" s="28" t="str">
        <f aca="false">"["&amp;안내!$C$5&amp;" "&amp;C421&amp;"] "&amp;J421&amp;" | "&amp;H421</f>
        <v>[1분 성경 #0420] 사망을 멸하시리라 | 사 24:1-27:13</v>
      </c>
      <c r="R421" s="23" t="n">
        <f aca="false">INT((A421-1)/안내!$C$9)+1</f>
        <v>84</v>
      </c>
      <c r="S421" s="26" t="n">
        <f aca="false">안내!$C$10+(R421-1)*7+MOD(A421-1,안내!$C$9)</f>
        <v>46976</v>
      </c>
      <c r="T421" s="23" t="s">
        <v>99</v>
      </c>
      <c r="U421" s="23" t="s">
        <v>99</v>
      </c>
      <c r="V421" s="23" t="s">
        <v>99</v>
      </c>
      <c r="W421" s="23" t="s">
        <v>99</v>
      </c>
      <c r="X421" s="28"/>
      <c r="Y421" s="28" t="str">
        <f aca="false">"다음 편: "&amp;J422</f>
        <v>다음 편: 시온의 기촛돌</v>
      </c>
    </row>
    <row r="422" customFormat="false" ht="26.85" hidden="false" customHeight="false" outlineLevel="0" collapsed="false">
      <c r="A422" s="20" t="n">
        <v>421</v>
      </c>
      <c r="B422" s="20" t="s">
        <v>4024</v>
      </c>
      <c r="C422" s="20" t="s">
        <v>4025</v>
      </c>
      <c r="D422" s="20" t="s">
        <v>4006</v>
      </c>
      <c r="E422" s="21" t="s">
        <v>4007</v>
      </c>
      <c r="F422" s="22" t="s">
        <v>88</v>
      </c>
      <c r="G422" s="22" t="s">
        <v>3931</v>
      </c>
      <c r="H422" s="21" t="s">
        <v>4026</v>
      </c>
      <c r="I422" s="23" t="s">
        <v>1116</v>
      </c>
      <c r="J422" s="24" t="s">
        <v>4027</v>
      </c>
      <c r="K422" s="24" t="s">
        <v>4028</v>
      </c>
      <c r="L422" s="24" t="s">
        <v>4029</v>
      </c>
      <c r="M422" s="24" t="s">
        <v>4030</v>
      </c>
      <c r="N422" s="24" t="s">
        <v>3931</v>
      </c>
      <c r="O422" s="24" t="s">
        <v>4031</v>
      </c>
      <c r="P422" s="25" t="s">
        <v>4032</v>
      </c>
      <c r="Q422" s="28" t="str">
        <f aca="false">"["&amp;안내!$C$5&amp;" "&amp;C422&amp;"] "&amp;J422&amp;" | "&amp;H422</f>
        <v>[1분 성경 #0421] 시온의 기촛돌 | 사 28:1-33:24</v>
      </c>
      <c r="R422" s="23" t="n">
        <f aca="false">INT((A422-1)/안내!$C$9)+1</f>
        <v>85</v>
      </c>
      <c r="S422" s="26" t="n">
        <f aca="false">안내!$C$10+(R422-1)*7+MOD(A422-1,안내!$C$9)</f>
        <v>46979</v>
      </c>
      <c r="T422" s="23" t="s">
        <v>99</v>
      </c>
      <c r="U422" s="23" t="s">
        <v>99</v>
      </c>
      <c r="V422" s="23" t="s">
        <v>99</v>
      </c>
      <c r="W422" s="23" t="s">
        <v>99</v>
      </c>
      <c r="X422" s="28"/>
      <c r="Y422" s="28" t="str">
        <f aca="false">"다음 편: "&amp;J423</f>
        <v>다음 편: 사막에 꽃이 핀다</v>
      </c>
    </row>
    <row r="423" customFormat="false" ht="26.85" hidden="false" customHeight="false" outlineLevel="0" collapsed="false">
      <c r="A423" s="20" t="n">
        <v>422</v>
      </c>
      <c r="B423" s="20" t="s">
        <v>4033</v>
      </c>
      <c r="C423" s="20" t="s">
        <v>4034</v>
      </c>
      <c r="D423" s="20" t="s">
        <v>4006</v>
      </c>
      <c r="E423" s="21" t="s">
        <v>4007</v>
      </c>
      <c r="F423" s="22" t="s">
        <v>88</v>
      </c>
      <c r="G423" s="22" t="s">
        <v>3931</v>
      </c>
      <c r="H423" s="21" t="s">
        <v>4035</v>
      </c>
      <c r="I423" s="23" t="s">
        <v>1116</v>
      </c>
      <c r="J423" s="24" t="s">
        <v>4036</v>
      </c>
      <c r="K423" s="24" t="s">
        <v>4037</v>
      </c>
      <c r="L423" s="24" t="s">
        <v>4038</v>
      </c>
      <c r="M423" s="24" t="s">
        <v>4039</v>
      </c>
      <c r="N423" s="24" t="s">
        <v>3931</v>
      </c>
      <c r="O423" s="24" t="s">
        <v>4040</v>
      </c>
      <c r="P423" s="25" t="s">
        <v>4041</v>
      </c>
      <c r="Q423" s="28" t="str">
        <f aca="false">"["&amp;안내!$C$5&amp;" "&amp;C423&amp;"] "&amp;J423&amp;" | "&amp;H423</f>
        <v>[1분 성경 #0422] 사막에 꽃이 핀다 | 사 34:1-35:10</v>
      </c>
      <c r="R423" s="23" t="n">
        <f aca="false">INT((A423-1)/안내!$C$9)+1</f>
        <v>85</v>
      </c>
      <c r="S423" s="26" t="n">
        <f aca="false">안내!$C$10+(R423-1)*7+MOD(A423-1,안내!$C$9)</f>
        <v>46980</v>
      </c>
      <c r="T423" s="23" t="s">
        <v>99</v>
      </c>
      <c r="U423" s="23" t="s">
        <v>99</v>
      </c>
      <c r="V423" s="23" t="s">
        <v>99</v>
      </c>
      <c r="W423" s="23" t="s">
        <v>99</v>
      </c>
      <c r="X423" s="28"/>
      <c r="Y423" s="28" t="str">
        <f aca="false">"다음 편: "&amp;J424</f>
        <v>다음 편: 산헤립 앞에서의 기도</v>
      </c>
    </row>
    <row r="424" customFormat="false" ht="26.85" hidden="false" customHeight="false" outlineLevel="0" collapsed="false">
      <c r="A424" s="20" t="n">
        <v>423</v>
      </c>
      <c r="B424" s="20" t="s">
        <v>4042</v>
      </c>
      <c r="C424" s="20" t="s">
        <v>4043</v>
      </c>
      <c r="D424" s="20" t="s">
        <v>4006</v>
      </c>
      <c r="E424" s="21" t="s">
        <v>4007</v>
      </c>
      <c r="F424" s="22" t="s">
        <v>88</v>
      </c>
      <c r="G424" s="22" t="s">
        <v>3931</v>
      </c>
      <c r="H424" s="21" t="s">
        <v>4044</v>
      </c>
      <c r="I424" s="23" t="s">
        <v>1116</v>
      </c>
      <c r="J424" s="24" t="s">
        <v>4045</v>
      </c>
      <c r="K424" s="24" t="s">
        <v>4046</v>
      </c>
      <c r="L424" s="24" t="s">
        <v>4047</v>
      </c>
      <c r="M424" s="24" t="s">
        <v>4048</v>
      </c>
      <c r="N424" s="24" t="s">
        <v>4049</v>
      </c>
      <c r="O424" s="24" t="s">
        <v>4050</v>
      </c>
      <c r="P424" s="28"/>
      <c r="Q424" s="28" t="str">
        <f aca="false">"["&amp;안내!$C$5&amp;" "&amp;C424&amp;"] "&amp;J424&amp;" | "&amp;H424</f>
        <v>[1분 성경 #0423] 산헤립 앞에서의 기도 | 사 36:1-37:38</v>
      </c>
      <c r="R424" s="23" t="n">
        <f aca="false">INT((A424-1)/안내!$C$9)+1</f>
        <v>85</v>
      </c>
      <c r="S424" s="26" t="n">
        <f aca="false">안내!$C$10+(R424-1)*7+MOD(A424-1,안내!$C$9)</f>
        <v>46981</v>
      </c>
      <c r="T424" s="23" t="s">
        <v>99</v>
      </c>
      <c r="U424" s="23" t="s">
        <v>99</v>
      </c>
      <c r="V424" s="23" t="s">
        <v>99</v>
      </c>
      <c r="W424" s="23" t="s">
        <v>99</v>
      </c>
      <c r="X424" s="28"/>
      <c r="Y424" s="28" t="str">
        <f aca="false">"다음 편: "&amp;J425</f>
        <v>다음 편: 병든 왕의 기도와 실수</v>
      </c>
    </row>
    <row r="425" customFormat="false" ht="26.85" hidden="false" customHeight="false" outlineLevel="0" collapsed="false">
      <c r="A425" s="20" t="n">
        <v>424</v>
      </c>
      <c r="B425" s="20" t="s">
        <v>4051</v>
      </c>
      <c r="C425" s="20" t="s">
        <v>4052</v>
      </c>
      <c r="D425" s="20" t="s">
        <v>4006</v>
      </c>
      <c r="E425" s="21" t="s">
        <v>4007</v>
      </c>
      <c r="F425" s="22" t="s">
        <v>88</v>
      </c>
      <c r="G425" s="22" t="s">
        <v>3931</v>
      </c>
      <c r="H425" s="21" t="s">
        <v>4053</v>
      </c>
      <c r="I425" s="23" t="s">
        <v>1116</v>
      </c>
      <c r="J425" s="24" t="s">
        <v>4054</v>
      </c>
      <c r="K425" s="24" t="s">
        <v>4055</v>
      </c>
      <c r="L425" s="24" t="s">
        <v>4056</v>
      </c>
      <c r="M425" s="24" t="s">
        <v>4057</v>
      </c>
      <c r="N425" s="24" t="s">
        <v>4058</v>
      </c>
      <c r="O425" s="24" t="s">
        <v>4059</v>
      </c>
      <c r="P425" s="28"/>
      <c r="Q425" s="28" t="str">
        <f aca="false">"["&amp;안내!$C$5&amp;" "&amp;C425&amp;"] "&amp;J425&amp;" | "&amp;H425</f>
        <v>[1분 성경 #0424] 병든 왕의 기도와 실수 | 사 38:1-39:8</v>
      </c>
      <c r="R425" s="23" t="n">
        <f aca="false">INT((A425-1)/안내!$C$9)+1</f>
        <v>85</v>
      </c>
      <c r="S425" s="26" t="n">
        <f aca="false">안내!$C$10+(R425-1)*7+MOD(A425-1,안내!$C$9)</f>
        <v>46982</v>
      </c>
      <c r="T425" s="23" t="s">
        <v>99</v>
      </c>
      <c r="U425" s="23" t="s">
        <v>99</v>
      </c>
      <c r="V425" s="23" t="s">
        <v>99</v>
      </c>
      <c r="W425" s="23" t="s">
        <v>99</v>
      </c>
      <c r="X425" s="28"/>
      <c r="Y425" s="28" t="str">
        <f aca="false">"다음 편: "&amp;J426</f>
        <v>다음 편: 위로하라 내 백성을</v>
      </c>
    </row>
    <row r="426" customFormat="false" ht="26.85" hidden="false" customHeight="false" outlineLevel="0" collapsed="false">
      <c r="A426" s="20" t="n">
        <v>425</v>
      </c>
      <c r="B426" s="20" t="s">
        <v>4060</v>
      </c>
      <c r="C426" s="20" t="s">
        <v>4061</v>
      </c>
      <c r="D426" s="20" t="s">
        <v>4006</v>
      </c>
      <c r="E426" s="21" t="s">
        <v>4007</v>
      </c>
      <c r="F426" s="22" t="s">
        <v>88</v>
      </c>
      <c r="G426" s="22" t="s">
        <v>3931</v>
      </c>
      <c r="H426" s="21" t="s">
        <v>4062</v>
      </c>
      <c r="I426" s="23" t="s">
        <v>1116</v>
      </c>
      <c r="J426" s="24" t="s">
        <v>4063</v>
      </c>
      <c r="K426" s="24" t="s">
        <v>4064</v>
      </c>
      <c r="L426" s="24" t="s">
        <v>4065</v>
      </c>
      <c r="M426" s="24" t="s">
        <v>4066</v>
      </c>
      <c r="N426" s="24" t="s">
        <v>3931</v>
      </c>
      <c r="O426" s="24" t="s">
        <v>4067</v>
      </c>
      <c r="P426" s="25" t="s">
        <v>4068</v>
      </c>
      <c r="Q426" s="28" t="str">
        <f aca="false">"["&amp;안내!$C$5&amp;" "&amp;C426&amp;"] "&amp;J426&amp;" | "&amp;H426</f>
        <v>[1분 성경 #0425] 위로하라 내 백성을 | 사 40:1-11</v>
      </c>
      <c r="R426" s="23" t="n">
        <f aca="false">INT((A426-1)/안내!$C$9)+1</f>
        <v>85</v>
      </c>
      <c r="S426" s="26" t="n">
        <f aca="false">안내!$C$10+(R426-1)*7+MOD(A426-1,안내!$C$9)</f>
        <v>46983</v>
      </c>
      <c r="T426" s="23" t="s">
        <v>99</v>
      </c>
      <c r="U426" s="23" t="s">
        <v>99</v>
      </c>
      <c r="V426" s="23" t="s">
        <v>99</v>
      </c>
      <c r="W426" s="23" t="s">
        <v>99</v>
      </c>
      <c r="X426" s="28"/>
      <c r="Y426" s="28" t="str">
        <f aca="false">"다음 편: "&amp;J427</f>
        <v>다음 편: 독수리 날개 치며</v>
      </c>
    </row>
    <row r="427" customFormat="false" ht="26.85" hidden="false" customHeight="false" outlineLevel="0" collapsed="false">
      <c r="A427" s="20" t="n">
        <v>426</v>
      </c>
      <c r="B427" s="20" t="s">
        <v>4069</v>
      </c>
      <c r="C427" s="20" t="s">
        <v>4070</v>
      </c>
      <c r="D427" s="20" t="s">
        <v>4006</v>
      </c>
      <c r="E427" s="21" t="s">
        <v>4007</v>
      </c>
      <c r="F427" s="22" t="s">
        <v>88</v>
      </c>
      <c r="G427" s="22" t="s">
        <v>3931</v>
      </c>
      <c r="H427" s="21" t="s">
        <v>4071</v>
      </c>
      <c r="I427" s="23" t="s">
        <v>1116</v>
      </c>
      <c r="J427" s="24" t="s">
        <v>4072</v>
      </c>
      <c r="K427" s="24" t="s">
        <v>4073</v>
      </c>
      <c r="L427" s="24" t="s">
        <v>4074</v>
      </c>
      <c r="M427" s="24" t="s">
        <v>4075</v>
      </c>
      <c r="N427" s="24" t="s">
        <v>3931</v>
      </c>
      <c r="O427" s="24" t="s">
        <v>4076</v>
      </c>
      <c r="P427" s="28"/>
      <c r="Q427" s="28" t="str">
        <f aca="false">"["&amp;안내!$C$5&amp;" "&amp;C427&amp;"] "&amp;J427&amp;" | "&amp;H427</f>
        <v>[1분 성경 #0426] 독수리 날개 치며 | 사 40:12-31</v>
      </c>
      <c r="R427" s="23" t="n">
        <f aca="false">INT((A427-1)/안내!$C$9)+1</f>
        <v>86</v>
      </c>
      <c r="S427" s="26" t="n">
        <f aca="false">안내!$C$10+(R427-1)*7+MOD(A427-1,안내!$C$9)</f>
        <v>46986</v>
      </c>
      <c r="T427" s="23" t="s">
        <v>99</v>
      </c>
      <c r="U427" s="23" t="s">
        <v>99</v>
      </c>
      <c r="V427" s="23" t="s">
        <v>99</v>
      </c>
      <c r="W427" s="23" t="s">
        <v>99</v>
      </c>
      <c r="X427" s="28"/>
      <c r="Y427" s="28" t="str">
        <f aca="false">"다음 편: "&amp;J428</f>
        <v>다음 편: 두려워하지 말라</v>
      </c>
    </row>
    <row r="428" customFormat="false" ht="26.85" hidden="false" customHeight="false" outlineLevel="0" collapsed="false">
      <c r="A428" s="20" t="n">
        <v>427</v>
      </c>
      <c r="B428" s="20" t="s">
        <v>4077</v>
      </c>
      <c r="C428" s="20" t="s">
        <v>4078</v>
      </c>
      <c r="D428" s="20" t="s">
        <v>4079</v>
      </c>
      <c r="E428" s="21" t="s">
        <v>4080</v>
      </c>
      <c r="F428" s="22" t="s">
        <v>88</v>
      </c>
      <c r="G428" s="22" t="s">
        <v>3931</v>
      </c>
      <c r="H428" s="21" t="s">
        <v>4081</v>
      </c>
      <c r="I428" s="23" t="s">
        <v>1116</v>
      </c>
      <c r="J428" s="24" t="s">
        <v>4082</v>
      </c>
      <c r="K428" s="24" t="s">
        <v>4083</v>
      </c>
      <c r="L428" s="24" t="s">
        <v>4084</v>
      </c>
      <c r="M428" s="24" t="s">
        <v>4085</v>
      </c>
      <c r="N428" s="24" t="s">
        <v>4086</v>
      </c>
      <c r="O428" s="24" t="s">
        <v>4087</v>
      </c>
      <c r="P428" s="28"/>
      <c r="Q428" s="28" t="str">
        <f aca="false">"["&amp;안내!$C$5&amp;" "&amp;C428&amp;"] "&amp;J428&amp;" | "&amp;H428</f>
        <v>[1분 성경 #0427] 두려워하지 말라 | 사 41:1-44:23</v>
      </c>
      <c r="R428" s="23" t="n">
        <f aca="false">INT((A428-1)/안내!$C$9)+1</f>
        <v>86</v>
      </c>
      <c r="S428" s="26" t="n">
        <f aca="false">안내!$C$10+(R428-1)*7+MOD(A428-1,안내!$C$9)</f>
        <v>46987</v>
      </c>
      <c r="T428" s="23" t="s">
        <v>99</v>
      </c>
      <c r="U428" s="23" t="s">
        <v>99</v>
      </c>
      <c r="V428" s="23" t="s">
        <v>99</v>
      </c>
      <c r="W428" s="23" t="s">
        <v>99</v>
      </c>
      <c r="X428" s="28"/>
      <c r="Y428" s="28" t="str">
        <f aca="false">"다음 편: "&amp;J429</f>
        <v>다음 편: 이름이 미리 불린 왕</v>
      </c>
    </row>
    <row r="429" customFormat="false" ht="26.85" hidden="false" customHeight="false" outlineLevel="0" collapsed="false">
      <c r="A429" s="20" t="n">
        <v>428</v>
      </c>
      <c r="B429" s="20" t="s">
        <v>4088</v>
      </c>
      <c r="C429" s="20" t="s">
        <v>4089</v>
      </c>
      <c r="D429" s="20" t="s">
        <v>4079</v>
      </c>
      <c r="E429" s="21" t="s">
        <v>4080</v>
      </c>
      <c r="F429" s="22" t="s">
        <v>88</v>
      </c>
      <c r="G429" s="22" t="s">
        <v>3931</v>
      </c>
      <c r="H429" s="21" t="s">
        <v>4090</v>
      </c>
      <c r="I429" s="23" t="s">
        <v>1116</v>
      </c>
      <c r="J429" s="24" t="s">
        <v>4091</v>
      </c>
      <c r="K429" s="28" t="s">
        <v>4092</v>
      </c>
      <c r="L429" s="24" t="s">
        <v>4093</v>
      </c>
      <c r="M429" s="24" t="s">
        <v>4094</v>
      </c>
      <c r="N429" s="24" t="s">
        <v>4095</v>
      </c>
      <c r="O429" s="24" t="s">
        <v>4096</v>
      </c>
      <c r="P429" s="28"/>
      <c r="Q429" s="28" t="str">
        <f aca="false">"["&amp;안내!$C$5&amp;" "&amp;C429&amp;"] "&amp;J429&amp;" | "&amp;H429</f>
        <v>[1분 성경 #0428] 이름이 미리 불린 왕 | 사 44:24-45:25</v>
      </c>
      <c r="R429" s="23" t="n">
        <f aca="false">INT((A429-1)/안내!$C$9)+1</f>
        <v>86</v>
      </c>
      <c r="S429" s="26" t="n">
        <f aca="false">안내!$C$10+(R429-1)*7+MOD(A429-1,안내!$C$9)</f>
        <v>46988</v>
      </c>
      <c r="T429" s="23" t="s">
        <v>99</v>
      </c>
      <c r="U429" s="23" t="s">
        <v>99</v>
      </c>
      <c r="V429" s="23" t="s">
        <v>99</v>
      </c>
      <c r="W429" s="23" t="s">
        <v>99</v>
      </c>
      <c r="X429" s="28"/>
      <c r="Y429" s="28" t="str">
        <f aca="false">"다음 편: "&amp;J430</f>
        <v>다음 편: 백발이 되기까지</v>
      </c>
    </row>
    <row r="430" customFormat="false" ht="26.85" hidden="false" customHeight="false" outlineLevel="0" collapsed="false">
      <c r="A430" s="20" t="n">
        <v>429</v>
      </c>
      <c r="B430" s="20" t="s">
        <v>4097</v>
      </c>
      <c r="C430" s="20" t="s">
        <v>4098</v>
      </c>
      <c r="D430" s="20" t="s">
        <v>4079</v>
      </c>
      <c r="E430" s="21" t="s">
        <v>4080</v>
      </c>
      <c r="F430" s="22" t="s">
        <v>88</v>
      </c>
      <c r="G430" s="22" t="s">
        <v>3931</v>
      </c>
      <c r="H430" s="21" t="s">
        <v>4099</v>
      </c>
      <c r="I430" s="23" t="s">
        <v>1116</v>
      </c>
      <c r="J430" s="24" t="s">
        <v>4100</v>
      </c>
      <c r="K430" s="24" t="s">
        <v>4101</v>
      </c>
      <c r="L430" s="24" t="s">
        <v>4102</v>
      </c>
      <c r="M430" s="24" t="s">
        <v>4103</v>
      </c>
      <c r="N430" s="24" t="s">
        <v>3931</v>
      </c>
      <c r="O430" s="24" t="s">
        <v>4104</v>
      </c>
      <c r="P430" s="28"/>
      <c r="Q430" s="28" t="str">
        <f aca="false">"["&amp;안내!$C$5&amp;" "&amp;C430&amp;"] "&amp;J430&amp;" | "&amp;H430</f>
        <v>[1분 성경 #0429] 백발이 되기까지 | 사 46:1-48:22</v>
      </c>
      <c r="R430" s="23" t="n">
        <f aca="false">INT((A430-1)/안내!$C$9)+1</f>
        <v>86</v>
      </c>
      <c r="S430" s="26" t="n">
        <f aca="false">안내!$C$10+(R430-1)*7+MOD(A430-1,안내!$C$9)</f>
        <v>46989</v>
      </c>
      <c r="T430" s="23" t="s">
        <v>99</v>
      </c>
      <c r="U430" s="23" t="s">
        <v>99</v>
      </c>
      <c r="V430" s="23" t="s">
        <v>99</v>
      </c>
      <c r="W430" s="23" t="s">
        <v>99</v>
      </c>
      <c r="X430" s="28"/>
      <c r="Y430" s="28" t="str">
        <f aca="false">"다음 편: "&amp;J431</f>
        <v>다음 편: 이방의 빛</v>
      </c>
    </row>
    <row r="431" customFormat="false" ht="26.85" hidden="false" customHeight="false" outlineLevel="0" collapsed="false">
      <c r="A431" s="20" t="n">
        <v>430</v>
      </c>
      <c r="B431" s="20" t="s">
        <v>4105</v>
      </c>
      <c r="C431" s="20" t="s">
        <v>4106</v>
      </c>
      <c r="D431" s="20" t="s">
        <v>4079</v>
      </c>
      <c r="E431" s="21" t="s">
        <v>4080</v>
      </c>
      <c r="F431" s="22" t="s">
        <v>88</v>
      </c>
      <c r="G431" s="22" t="s">
        <v>3931</v>
      </c>
      <c r="H431" s="21" t="s">
        <v>4107</v>
      </c>
      <c r="I431" s="23" t="s">
        <v>1116</v>
      </c>
      <c r="J431" s="24" t="s">
        <v>4108</v>
      </c>
      <c r="K431" s="24" t="s">
        <v>4109</v>
      </c>
      <c r="L431" s="24" t="s">
        <v>4110</v>
      </c>
      <c r="M431" s="24" t="s">
        <v>4111</v>
      </c>
      <c r="N431" s="24" t="s">
        <v>4112</v>
      </c>
      <c r="O431" s="24" t="s">
        <v>4113</v>
      </c>
      <c r="P431" s="25" t="s">
        <v>4114</v>
      </c>
      <c r="Q431" s="28" t="str">
        <f aca="false">"["&amp;안내!$C$5&amp;" "&amp;C431&amp;"] "&amp;J431&amp;" | "&amp;H431</f>
        <v>[1분 성경 #0430] 이방의 빛 | 사 49:1-50:11</v>
      </c>
      <c r="R431" s="23" t="n">
        <f aca="false">INT((A431-1)/안내!$C$9)+1</f>
        <v>86</v>
      </c>
      <c r="S431" s="26" t="n">
        <f aca="false">안내!$C$10+(R431-1)*7+MOD(A431-1,안내!$C$9)</f>
        <v>46990</v>
      </c>
      <c r="T431" s="23" t="s">
        <v>99</v>
      </c>
      <c r="U431" s="23" t="s">
        <v>99</v>
      </c>
      <c r="V431" s="23" t="s">
        <v>99</v>
      </c>
      <c r="W431" s="23" t="s">
        <v>99</v>
      </c>
      <c r="X431" s="28"/>
      <c r="Y431" s="28" t="str">
        <f aca="false">"다음 편: "&amp;J432</f>
        <v>다음 편: 좋은 소식을 전하는 발</v>
      </c>
    </row>
    <row r="432" customFormat="false" ht="26.85" hidden="false" customHeight="false" outlineLevel="0" collapsed="false">
      <c r="A432" s="20" t="n">
        <v>431</v>
      </c>
      <c r="B432" s="20" t="s">
        <v>4115</v>
      </c>
      <c r="C432" s="20" t="s">
        <v>4116</v>
      </c>
      <c r="D432" s="20" t="s">
        <v>4079</v>
      </c>
      <c r="E432" s="21" t="s">
        <v>4080</v>
      </c>
      <c r="F432" s="22" t="s">
        <v>88</v>
      </c>
      <c r="G432" s="22" t="s">
        <v>3931</v>
      </c>
      <c r="H432" s="21" t="s">
        <v>4117</v>
      </c>
      <c r="I432" s="23" t="s">
        <v>1116</v>
      </c>
      <c r="J432" s="24" t="s">
        <v>4118</v>
      </c>
      <c r="K432" s="24" t="s">
        <v>4119</v>
      </c>
      <c r="L432" s="24" t="s">
        <v>4120</v>
      </c>
      <c r="M432" s="24" t="s">
        <v>4121</v>
      </c>
      <c r="N432" s="24" t="s">
        <v>4122</v>
      </c>
      <c r="O432" s="24" t="s">
        <v>4123</v>
      </c>
      <c r="P432" s="25" t="s">
        <v>4124</v>
      </c>
      <c r="Q432" s="28" t="str">
        <f aca="false">"["&amp;안내!$C$5&amp;" "&amp;C432&amp;"] "&amp;J432&amp;" | "&amp;H432</f>
        <v>[1분 성경 #0431] 좋은 소식을 전하는 발 | 사 51:1-52:12</v>
      </c>
      <c r="R432" s="23" t="n">
        <f aca="false">INT((A432-1)/안내!$C$9)+1</f>
        <v>87</v>
      </c>
      <c r="S432" s="26" t="n">
        <f aca="false">안내!$C$10+(R432-1)*7+MOD(A432-1,안내!$C$9)</f>
        <v>46993</v>
      </c>
      <c r="T432" s="23" t="s">
        <v>99</v>
      </c>
      <c r="U432" s="23" t="s">
        <v>99</v>
      </c>
      <c r="V432" s="23" t="s">
        <v>99</v>
      </c>
      <c r="W432" s="23" t="s">
        <v>99</v>
      </c>
      <c r="X432" s="28"/>
      <c r="Y432" s="28" t="str">
        <f aca="false">"다음 편: "&amp;J433</f>
        <v>다음 편: 그가 찔림은</v>
      </c>
    </row>
    <row r="433" customFormat="false" ht="26.85" hidden="false" customHeight="false" outlineLevel="0" collapsed="false">
      <c r="A433" s="20" t="n">
        <v>432</v>
      </c>
      <c r="B433" s="20" t="s">
        <v>4125</v>
      </c>
      <c r="C433" s="20" t="s">
        <v>4126</v>
      </c>
      <c r="D433" s="20" t="s">
        <v>4079</v>
      </c>
      <c r="E433" s="21" t="s">
        <v>4080</v>
      </c>
      <c r="F433" s="22" t="s">
        <v>88</v>
      </c>
      <c r="G433" s="22" t="s">
        <v>3931</v>
      </c>
      <c r="H433" s="21" t="s">
        <v>4127</v>
      </c>
      <c r="I433" s="23" t="s">
        <v>1116</v>
      </c>
      <c r="J433" s="24" t="s">
        <v>4128</v>
      </c>
      <c r="K433" s="28" t="s">
        <v>4129</v>
      </c>
      <c r="L433" s="24" t="s">
        <v>4130</v>
      </c>
      <c r="M433" s="24" t="s">
        <v>4131</v>
      </c>
      <c r="N433" s="24" t="s">
        <v>4132</v>
      </c>
      <c r="O433" s="24" t="s">
        <v>4133</v>
      </c>
      <c r="P433" s="25" t="s">
        <v>4134</v>
      </c>
      <c r="Q433" s="28" t="str">
        <f aca="false">"["&amp;안내!$C$5&amp;" "&amp;C433&amp;"] "&amp;J433&amp;" | "&amp;H433</f>
        <v>[1분 성경 #0432] 그가 찔림은 | 사 52:13-53:12</v>
      </c>
      <c r="R433" s="23" t="n">
        <f aca="false">INT((A433-1)/안내!$C$9)+1</f>
        <v>87</v>
      </c>
      <c r="S433" s="26" t="n">
        <f aca="false">안내!$C$10+(R433-1)*7+MOD(A433-1,안내!$C$9)</f>
        <v>46994</v>
      </c>
      <c r="T433" s="23" t="s">
        <v>99</v>
      </c>
      <c r="U433" s="23" t="s">
        <v>99</v>
      </c>
      <c r="V433" s="23" t="s">
        <v>99</v>
      </c>
      <c r="W433" s="23" t="s">
        <v>99</v>
      </c>
      <c r="X433" s="28"/>
      <c r="Y433" s="28" t="str">
        <f aca="false">"다음 편: "&amp;J434</f>
        <v>다음 편: 값없이 와서 사라</v>
      </c>
    </row>
    <row r="434" customFormat="false" ht="26.85" hidden="false" customHeight="false" outlineLevel="0" collapsed="false">
      <c r="A434" s="20" t="n">
        <v>433</v>
      </c>
      <c r="B434" s="20" t="s">
        <v>4135</v>
      </c>
      <c r="C434" s="20" t="s">
        <v>4136</v>
      </c>
      <c r="D434" s="20" t="s">
        <v>4079</v>
      </c>
      <c r="E434" s="21" t="s">
        <v>4080</v>
      </c>
      <c r="F434" s="22" t="s">
        <v>88</v>
      </c>
      <c r="G434" s="22" t="s">
        <v>3931</v>
      </c>
      <c r="H434" s="21" t="s">
        <v>4137</v>
      </c>
      <c r="I434" s="23" t="s">
        <v>1116</v>
      </c>
      <c r="J434" s="24" t="s">
        <v>4138</v>
      </c>
      <c r="K434" s="24" t="s">
        <v>4139</v>
      </c>
      <c r="L434" s="24" t="s">
        <v>4140</v>
      </c>
      <c r="M434" s="24" t="s">
        <v>4141</v>
      </c>
      <c r="N434" s="24" t="s">
        <v>4142</v>
      </c>
      <c r="O434" s="24" t="s">
        <v>4143</v>
      </c>
      <c r="P434" s="28"/>
      <c r="Q434" s="28" t="str">
        <f aca="false">"["&amp;안내!$C$5&amp;" "&amp;C434&amp;"] "&amp;J434&amp;" | "&amp;H434</f>
        <v>[1분 성경 #0433] 값없이 와서 사라 | 사 54:1-55:13</v>
      </c>
      <c r="R434" s="23" t="n">
        <f aca="false">INT((A434-1)/안내!$C$9)+1</f>
        <v>87</v>
      </c>
      <c r="S434" s="26" t="n">
        <f aca="false">안내!$C$10+(R434-1)*7+MOD(A434-1,안내!$C$9)</f>
        <v>46995</v>
      </c>
      <c r="T434" s="23" t="s">
        <v>99</v>
      </c>
      <c r="U434" s="23" t="s">
        <v>99</v>
      </c>
      <c r="V434" s="23" t="s">
        <v>99</v>
      </c>
      <c r="W434" s="23" t="s">
        <v>99</v>
      </c>
      <c r="X434" s="28"/>
      <c r="Y434" s="28" t="str">
        <f aca="false">"다음 편: "&amp;J435</f>
        <v>다음 편: 참된 금식</v>
      </c>
    </row>
    <row r="435" customFormat="false" ht="26.85" hidden="false" customHeight="false" outlineLevel="0" collapsed="false">
      <c r="A435" s="20" t="n">
        <v>434</v>
      </c>
      <c r="B435" s="20" t="s">
        <v>4144</v>
      </c>
      <c r="C435" s="20" t="s">
        <v>4145</v>
      </c>
      <c r="D435" s="20" t="s">
        <v>4079</v>
      </c>
      <c r="E435" s="21" t="s">
        <v>4080</v>
      </c>
      <c r="F435" s="22" t="s">
        <v>88</v>
      </c>
      <c r="G435" s="22" t="s">
        <v>3931</v>
      </c>
      <c r="H435" s="21" t="s">
        <v>4146</v>
      </c>
      <c r="I435" s="23" t="s">
        <v>1116</v>
      </c>
      <c r="J435" s="24" t="s">
        <v>4147</v>
      </c>
      <c r="K435" s="24" t="s">
        <v>4148</v>
      </c>
      <c r="L435" s="24" t="s">
        <v>4149</v>
      </c>
      <c r="M435" s="24" t="s">
        <v>4150</v>
      </c>
      <c r="N435" s="24" t="s">
        <v>3946</v>
      </c>
      <c r="O435" s="24" t="s">
        <v>4151</v>
      </c>
      <c r="P435" s="28"/>
      <c r="Q435" s="28" t="str">
        <f aca="false">"["&amp;안내!$C$5&amp;" "&amp;C435&amp;"] "&amp;J435&amp;" | "&amp;H435</f>
        <v>[1분 성경 #0434] 참된 금식 | 사 56:1-59:21</v>
      </c>
      <c r="R435" s="23" t="n">
        <f aca="false">INT((A435-1)/안내!$C$9)+1</f>
        <v>87</v>
      </c>
      <c r="S435" s="26" t="n">
        <f aca="false">안내!$C$10+(R435-1)*7+MOD(A435-1,안내!$C$9)</f>
        <v>46996</v>
      </c>
      <c r="T435" s="23" t="s">
        <v>99</v>
      </c>
      <c r="U435" s="23" t="s">
        <v>99</v>
      </c>
      <c r="V435" s="23" t="s">
        <v>99</v>
      </c>
      <c r="W435" s="23" t="s">
        <v>99</v>
      </c>
      <c r="X435" s="28"/>
      <c r="Y435" s="28" t="str">
        <f aca="false">"다음 편: "&amp;J436</f>
        <v>다음 편: 일어나 빛을 발하라</v>
      </c>
    </row>
    <row r="436" customFormat="false" ht="26.85" hidden="false" customHeight="false" outlineLevel="0" collapsed="false">
      <c r="A436" s="20" t="n">
        <v>435</v>
      </c>
      <c r="B436" s="20" t="s">
        <v>4152</v>
      </c>
      <c r="C436" s="20" t="s">
        <v>4153</v>
      </c>
      <c r="D436" s="20" t="s">
        <v>4079</v>
      </c>
      <c r="E436" s="21" t="s">
        <v>4080</v>
      </c>
      <c r="F436" s="22" t="s">
        <v>88</v>
      </c>
      <c r="G436" s="22" t="s">
        <v>3931</v>
      </c>
      <c r="H436" s="21" t="s">
        <v>4154</v>
      </c>
      <c r="I436" s="23" t="s">
        <v>1116</v>
      </c>
      <c r="J436" s="24" t="s">
        <v>4155</v>
      </c>
      <c r="K436" s="24" t="s">
        <v>4156</v>
      </c>
      <c r="L436" s="24" t="s">
        <v>4157</v>
      </c>
      <c r="M436" s="24" t="s">
        <v>4158</v>
      </c>
      <c r="N436" s="24" t="s">
        <v>3931</v>
      </c>
      <c r="O436" s="24" t="s">
        <v>4159</v>
      </c>
      <c r="P436" s="27" t="s">
        <v>4160</v>
      </c>
      <c r="Q436" s="28" t="str">
        <f aca="false">"["&amp;안내!$C$5&amp;" "&amp;C436&amp;"] "&amp;J436&amp;" | "&amp;H436</f>
        <v>[1분 성경 #0435] 일어나 빛을 발하라 | 사 60:1-62:12</v>
      </c>
      <c r="R436" s="23" t="n">
        <f aca="false">INT((A436-1)/안내!$C$9)+1</f>
        <v>87</v>
      </c>
      <c r="S436" s="26" t="n">
        <f aca="false">안내!$C$10+(R436-1)*7+MOD(A436-1,안내!$C$9)</f>
        <v>46997</v>
      </c>
      <c r="T436" s="23" t="s">
        <v>99</v>
      </c>
      <c r="U436" s="23" t="s">
        <v>99</v>
      </c>
      <c r="V436" s="23" t="s">
        <v>99</v>
      </c>
      <c r="W436" s="23" t="s">
        <v>99</v>
      </c>
      <c r="X436" s="28"/>
      <c r="Y436" s="28" t="str">
        <f aca="false">"다음 편: "&amp;J437</f>
        <v>다음 편: 새 하늘과 새 땅</v>
      </c>
    </row>
    <row r="437" customFormat="false" ht="26.85" hidden="false" customHeight="false" outlineLevel="0" collapsed="false">
      <c r="A437" s="20" t="n">
        <v>436</v>
      </c>
      <c r="B437" s="20" t="s">
        <v>4161</v>
      </c>
      <c r="C437" s="20" t="s">
        <v>4162</v>
      </c>
      <c r="D437" s="20" t="s">
        <v>4079</v>
      </c>
      <c r="E437" s="21" t="s">
        <v>4080</v>
      </c>
      <c r="F437" s="22" t="s">
        <v>88</v>
      </c>
      <c r="G437" s="22" t="s">
        <v>3931</v>
      </c>
      <c r="H437" s="21" t="s">
        <v>4163</v>
      </c>
      <c r="I437" s="23" t="s">
        <v>1116</v>
      </c>
      <c r="J437" s="24" t="s">
        <v>4164</v>
      </c>
      <c r="K437" s="24" t="s">
        <v>4165</v>
      </c>
      <c r="L437" s="24" t="s">
        <v>4166</v>
      </c>
      <c r="M437" s="24" t="s">
        <v>4167</v>
      </c>
      <c r="N437" s="24" t="s">
        <v>3931</v>
      </c>
      <c r="O437" s="24" t="s">
        <v>4164</v>
      </c>
      <c r="P437" s="25" t="s">
        <v>4168</v>
      </c>
      <c r="Q437" s="28" t="str">
        <f aca="false">"["&amp;안내!$C$5&amp;" "&amp;C437&amp;"] "&amp;J437&amp;" | "&amp;H437</f>
        <v>[1분 성경 #0436] 새 하늘과 새 땅 | 사 63:1-66:24</v>
      </c>
      <c r="R437" s="23" t="n">
        <f aca="false">INT((A437-1)/안내!$C$9)+1</f>
        <v>88</v>
      </c>
      <c r="S437" s="26" t="n">
        <f aca="false">안내!$C$10+(R437-1)*7+MOD(A437-1,안내!$C$9)</f>
        <v>47000</v>
      </c>
      <c r="T437" s="23" t="s">
        <v>99</v>
      </c>
      <c r="U437" s="23" t="s">
        <v>99</v>
      </c>
      <c r="V437" s="23" t="s">
        <v>99</v>
      </c>
      <c r="W437" s="23" t="s">
        <v>99</v>
      </c>
      <c r="X437" s="28"/>
      <c r="Y437" s="28" t="str">
        <f aca="false">"다음 편: "&amp;J438</f>
        <v>다음 편: 나는 아이라</v>
      </c>
    </row>
    <row r="438" customFormat="false" ht="26.85" hidden="false" customHeight="false" outlineLevel="0" collapsed="false">
      <c r="A438" s="20" t="n">
        <v>437</v>
      </c>
      <c r="B438" s="20" t="s">
        <v>4169</v>
      </c>
      <c r="C438" s="20" t="s">
        <v>4170</v>
      </c>
      <c r="D438" s="20" t="s">
        <v>4171</v>
      </c>
      <c r="E438" s="21" t="s">
        <v>4172</v>
      </c>
      <c r="F438" s="22" t="s">
        <v>88</v>
      </c>
      <c r="G438" s="22" t="s">
        <v>4173</v>
      </c>
      <c r="H438" s="21" t="s">
        <v>4174</v>
      </c>
      <c r="I438" s="23" t="s">
        <v>1116</v>
      </c>
      <c r="J438" s="24" t="s">
        <v>4175</v>
      </c>
      <c r="K438" s="24" t="s">
        <v>4176</v>
      </c>
      <c r="L438" s="24" t="s">
        <v>4177</v>
      </c>
      <c r="M438" s="24" t="s">
        <v>4178</v>
      </c>
      <c r="N438" s="24" t="s">
        <v>4179</v>
      </c>
      <c r="O438" s="24" t="s">
        <v>4180</v>
      </c>
      <c r="P438" s="28"/>
      <c r="Q438" s="28" t="str">
        <f aca="false">"["&amp;안내!$C$5&amp;" "&amp;C438&amp;"] "&amp;J438&amp;" | "&amp;H438</f>
        <v>[1분 성경 #0437] 나는 아이라 | 렘 1:1-19</v>
      </c>
      <c r="R438" s="23" t="n">
        <f aca="false">INT((A438-1)/안내!$C$9)+1</f>
        <v>88</v>
      </c>
      <c r="S438" s="26" t="n">
        <f aca="false">안내!$C$10+(R438-1)*7+MOD(A438-1,안내!$C$9)</f>
        <v>47001</v>
      </c>
      <c r="T438" s="23" t="s">
        <v>99</v>
      </c>
      <c r="U438" s="23" t="s">
        <v>99</v>
      </c>
      <c r="V438" s="23" t="s">
        <v>99</v>
      </c>
      <c r="W438" s="23" t="s">
        <v>99</v>
      </c>
      <c r="X438" s="28"/>
      <c r="Y438" s="28" t="str">
        <f aca="false">"다음 편: "&amp;J439</f>
        <v>다음 편: 터진 웅덩이</v>
      </c>
    </row>
    <row r="439" customFormat="false" ht="26.85" hidden="false" customHeight="false" outlineLevel="0" collapsed="false">
      <c r="A439" s="20" t="n">
        <v>438</v>
      </c>
      <c r="B439" s="20" t="s">
        <v>4181</v>
      </c>
      <c r="C439" s="20" t="s">
        <v>4182</v>
      </c>
      <c r="D439" s="20" t="s">
        <v>4171</v>
      </c>
      <c r="E439" s="21" t="s">
        <v>4172</v>
      </c>
      <c r="F439" s="22" t="s">
        <v>88</v>
      </c>
      <c r="G439" s="22" t="s">
        <v>4173</v>
      </c>
      <c r="H439" s="21" t="s">
        <v>4183</v>
      </c>
      <c r="I439" s="23" t="s">
        <v>1116</v>
      </c>
      <c r="J439" s="24" t="s">
        <v>4184</v>
      </c>
      <c r="K439" s="24" t="s">
        <v>4185</v>
      </c>
      <c r="L439" s="24" t="s">
        <v>4186</v>
      </c>
      <c r="M439" s="24" t="s">
        <v>4187</v>
      </c>
      <c r="N439" s="24" t="s">
        <v>4173</v>
      </c>
      <c r="O439" s="24" t="s">
        <v>4188</v>
      </c>
      <c r="P439" s="28"/>
      <c r="Q439" s="28" t="str">
        <f aca="false">"["&amp;안내!$C$5&amp;" "&amp;C439&amp;"] "&amp;J439&amp;" | "&amp;H439</f>
        <v>[1분 성경 #0438] 터진 웅덩이 | 렘 2:1-6:30</v>
      </c>
      <c r="R439" s="23" t="n">
        <f aca="false">INT((A439-1)/안내!$C$9)+1</f>
        <v>88</v>
      </c>
      <c r="S439" s="26" t="n">
        <f aca="false">안내!$C$10+(R439-1)*7+MOD(A439-1,안내!$C$9)</f>
        <v>47002</v>
      </c>
      <c r="T439" s="23" t="s">
        <v>99</v>
      </c>
      <c r="U439" s="23" t="s">
        <v>99</v>
      </c>
      <c r="V439" s="23" t="s">
        <v>99</v>
      </c>
      <c r="W439" s="23" t="s">
        <v>99</v>
      </c>
      <c r="X439" s="28"/>
      <c r="Y439" s="28" t="str">
        <f aca="false">"다음 편: "&amp;J440</f>
        <v>다음 편: 성전 문 앞의 설교</v>
      </c>
    </row>
    <row r="440" customFormat="false" ht="26.85" hidden="false" customHeight="false" outlineLevel="0" collapsed="false">
      <c r="A440" s="20" t="n">
        <v>439</v>
      </c>
      <c r="B440" s="20" t="s">
        <v>4189</v>
      </c>
      <c r="C440" s="20" t="s">
        <v>4190</v>
      </c>
      <c r="D440" s="20" t="s">
        <v>4171</v>
      </c>
      <c r="E440" s="21" t="s">
        <v>4172</v>
      </c>
      <c r="F440" s="22" t="s">
        <v>88</v>
      </c>
      <c r="G440" s="22" t="s">
        <v>4173</v>
      </c>
      <c r="H440" s="21" t="s">
        <v>4191</v>
      </c>
      <c r="I440" s="23" t="s">
        <v>1116</v>
      </c>
      <c r="J440" s="24" t="s">
        <v>4192</v>
      </c>
      <c r="K440" s="24" t="s">
        <v>4193</v>
      </c>
      <c r="L440" s="24" t="s">
        <v>4194</v>
      </c>
      <c r="M440" s="24" t="s">
        <v>4195</v>
      </c>
      <c r="N440" s="24" t="s">
        <v>4196</v>
      </c>
      <c r="O440" s="24" t="s">
        <v>3672</v>
      </c>
      <c r="P440" s="28"/>
      <c r="Q440" s="28" t="str">
        <f aca="false">"["&amp;안내!$C$5&amp;" "&amp;C440&amp;"] "&amp;J440&amp;" | "&amp;H440</f>
        <v>[1분 성경 #0439] 성전 문 앞의 설교 | 렘 7:1-8:3</v>
      </c>
      <c r="R440" s="23" t="n">
        <f aca="false">INT((A440-1)/안내!$C$9)+1</f>
        <v>88</v>
      </c>
      <c r="S440" s="26" t="n">
        <f aca="false">안내!$C$10+(R440-1)*7+MOD(A440-1,안내!$C$9)</f>
        <v>47003</v>
      </c>
      <c r="T440" s="23" t="s">
        <v>99</v>
      </c>
      <c r="U440" s="23" t="s">
        <v>99</v>
      </c>
      <c r="V440" s="23" t="s">
        <v>99</v>
      </c>
      <c r="W440" s="23" t="s">
        <v>99</v>
      </c>
      <c r="X440" s="28"/>
      <c r="Y440" s="28" t="str">
        <f aca="false">"다음 편: "&amp;J441</f>
        <v>다음 편: 길르앗에는 유향이 없는가</v>
      </c>
    </row>
    <row r="441" customFormat="false" ht="26.85" hidden="false" customHeight="false" outlineLevel="0" collapsed="false">
      <c r="A441" s="20" t="n">
        <v>440</v>
      </c>
      <c r="B441" s="20" t="s">
        <v>4197</v>
      </c>
      <c r="C441" s="20" t="s">
        <v>4198</v>
      </c>
      <c r="D441" s="20" t="s">
        <v>4171</v>
      </c>
      <c r="E441" s="21" t="s">
        <v>4172</v>
      </c>
      <c r="F441" s="22" t="s">
        <v>88</v>
      </c>
      <c r="G441" s="22" t="s">
        <v>4173</v>
      </c>
      <c r="H441" s="21" t="s">
        <v>4199</v>
      </c>
      <c r="I441" s="23" t="s">
        <v>1116</v>
      </c>
      <c r="J441" s="24" t="s">
        <v>4200</v>
      </c>
      <c r="K441" s="24" t="s">
        <v>4201</v>
      </c>
      <c r="L441" s="24" t="s">
        <v>4202</v>
      </c>
      <c r="M441" s="24" t="s">
        <v>4203</v>
      </c>
      <c r="N441" s="24" t="s">
        <v>4173</v>
      </c>
      <c r="O441" s="24" t="s">
        <v>4204</v>
      </c>
      <c r="P441" s="28"/>
      <c r="Q441" s="28" t="str">
        <f aca="false">"["&amp;안내!$C$5&amp;" "&amp;C441&amp;"] "&amp;J441&amp;" | "&amp;H441</f>
        <v>[1분 성경 #0440] 길르앗에는 유향이 없는가 | 렘 8:4-10:25</v>
      </c>
      <c r="R441" s="23" t="n">
        <f aca="false">INT((A441-1)/안내!$C$9)+1</f>
        <v>88</v>
      </c>
      <c r="S441" s="26" t="n">
        <f aca="false">안내!$C$10+(R441-1)*7+MOD(A441-1,안내!$C$9)</f>
        <v>47004</v>
      </c>
      <c r="T441" s="23" t="s">
        <v>99</v>
      </c>
      <c r="U441" s="23" t="s">
        <v>99</v>
      </c>
      <c r="V441" s="23" t="s">
        <v>99</v>
      </c>
      <c r="W441" s="23" t="s">
        <v>99</v>
      </c>
      <c r="X441" s="28"/>
      <c r="Y441" s="28" t="str">
        <f aca="false">"다음 편: "&amp;J442</f>
        <v>다음 편: 고향 사람들의 음모</v>
      </c>
    </row>
    <row r="442" customFormat="false" ht="25.35" hidden="false" customHeight="false" outlineLevel="0" collapsed="false">
      <c r="A442" s="20" t="n">
        <v>441</v>
      </c>
      <c r="B442" s="20" t="s">
        <v>4205</v>
      </c>
      <c r="C442" s="20" t="s">
        <v>4206</v>
      </c>
      <c r="D442" s="20" t="s">
        <v>4171</v>
      </c>
      <c r="E442" s="21" t="s">
        <v>4172</v>
      </c>
      <c r="F442" s="22" t="s">
        <v>88</v>
      </c>
      <c r="G442" s="22" t="s">
        <v>4173</v>
      </c>
      <c r="H442" s="21" t="s">
        <v>4207</v>
      </c>
      <c r="I442" s="23" t="s">
        <v>1116</v>
      </c>
      <c r="J442" s="24" t="s">
        <v>4208</v>
      </c>
      <c r="K442" s="24" t="s">
        <v>4209</v>
      </c>
      <c r="L442" s="24" t="s">
        <v>4210</v>
      </c>
      <c r="M442" s="24" t="s">
        <v>4211</v>
      </c>
      <c r="N442" s="24" t="s">
        <v>4212</v>
      </c>
      <c r="O442" s="24" t="s">
        <v>4213</v>
      </c>
      <c r="P442" s="28"/>
      <c r="Q442" s="28" t="str">
        <f aca="false">"["&amp;안내!$C$5&amp;" "&amp;C442&amp;"] "&amp;J442&amp;" | "&amp;H442</f>
        <v>[1분 성경 #0441] 고향 사람들의 음모 | 렘 11:1-12:17</v>
      </c>
      <c r="R442" s="23" t="n">
        <f aca="false">INT((A442-1)/안내!$C$9)+1</f>
        <v>89</v>
      </c>
      <c r="S442" s="26" t="n">
        <f aca="false">안내!$C$10+(R442-1)*7+MOD(A442-1,안내!$C$9)</f>
        <v>47007</v>
      </c>
      <c r="T442" s="23" t="s">
        <v>99</v>
      </c>
      <c r="U442" s="23" t="s">
        <v>99</v>
      </c>
      <c r="V442" s="23" t="s">
        <v>99</v>
      </c>
      <c r="W442" s="23" t="s">
        <v>99</v>
      </c>
      <c r="X442" s="28"/>
      <c r="Y442" s="28" t="str">
        <f aca="false">"다음 편: "&amp;J443</f>
        <v>다음 편: 썩은 띠</v>
      </c>
    </row>
    <row r="443" customFormat="false" ht="26.85" hidden="false" customHeight="false" outlineLevel="0" collapsed="false">
      <c r="A443" s="20" t="n">
        <v>442</v>
      </c>
      <c r="B443" s="20" t="s">
        <v>4214</v>
      </c>
      <c r="C443" s="20" t="s">
        <v>4215</v>
      </c>
      <c r="D443" s="20" t="s">
        <v>4171</v>
      </c>
      <c r="E443" s="21" t="s">
        <v>4172</v>
      </c>
      <c r="F443" s="22" t="s">
        <v>88</v>
      </c>
      <c r="G443" s="22" t="s">
        <v>4173</v>
      </c>
      <c r="H443" s="21" t="s">
        <v>4216</v>
      </c>
      <c r="I443" s="23" t="s">
        <v>1116</v>
      </c>
      <c r="J443" s="24" t="s">
        <v>4217</v>
      </c>
      <c r="K443" s="24" t="s">
        <v>4218</v>
      </c>
      <c r="L443" s="24" t="s">
        <v>4219</v>
      </c>
      <c r="M443" s="24" t="s">
        <v>4220</v>
      </c>
      <c r="N443" s="24" t="s">
        <v>4173</v>
      </c>
      <c r="O443" s="24" t="s">
        <v>4221</v>
      </c>
      <c r="P443" s="28"/>
      <c r="Q443" s="28" t="str">
        <f aca="false">"["&amp;안내!$C$5&amp;" "&amp;C443&amp;"] "&amp;J443&amp;" | "&amp;H443</f>
        <v>[1분 성경 #0442] 썩은 띠 | 렘 13:1-27</v>
      </c>
      <c r="R443" s="23" t="n">
        <f aca="false">INT((A443-1)/안내!$C$9)+1</f>
        <v>89</v>
      </c>
      <c r="S443" s="26" t="n">
        <f aca="false">안내!$C$10+(R443-1)*7+MOD(A443-1,안내!$C$9)</f>
        <v>47008</v>
      </c>
      <c r="T443" s="23" t="s">
        <v>99</v>
      </c>
      <c r="U443" s="23" t="s">
        <v>99</v>
      </c>
      <c r="V443" s="23" t="s">
        <v>99</v>
      </c>
      <c r="W443" s="23" t="s">
        <v>99</v>
      </c>
      <c r="X443" s="28"/>
      <c r="Y443" s="28" t="str">
        <f aca="false">"다음 편: "&amp;J444</f>
        <v>다음 편: 만물보다 거짓된 마음</v>
      </c>
    </row>
    <row r="444" customFormat="false" ht="25.35" hidden="false" customHeight="false" outlineLevel="0" collapsed="false">
      <c r="A444" s="20" t="n">
        <v>443</v>
      </c>
      <c r="B444" s="20" t="s">
        <v>4222</v>
      </c>
      <c r="C444" s="20" t="s">
        <v>4223</v>
      </c>
      <c r="D444" s="20" t="s">
        <v>4171</v>
      </c>
      <c r="E444" s="21" t="s">
        <v>4172</v>
      </c>
      <c r="F444" s="22" t="s">
        <v>88</v>
      </c>
      <c r="G444" s="22" t="s">
        <v>4173</v>
      </c>
      <c r="H444" s="21" t="s">
        <v>4224</v>
      </c>
      <c r="I444" s="23" t="s">
        <v>1116</v>
      </c>
      <c r="J444" s="24" t="s">
        <v>4225</v>
      </c>
      <c r="K444" s="24" t="s">
        <v>4226</v>
      </c>
      <c r="L444" s="24" t="s">
        <v>4227</v>
      </c>
      <c r="M444" s="24" t="s">
        <v>4228</v>
      </c>
      <c r="N444" s="24" t="s">
        <v>4173</v>
      </c>
      <c r="O444" s="24" t="s">
        <v>4229</v>
      </c>
      <c r="P444" s="28"/>
      <c r="Q444" s="28" t="str">
        <f aca="false">"["&amp;안내!$C$5&amp;" "&amp;C444&amp;"] "&amp;J444&amp;" | "&amp;H444</f>
        <v>[1분 성경 #0443] 만물보다 거짓된 마음 | 렘 14:1-17:27</v>
      </c>
      <c r="R444" s="23" t="n">
        <f aca="false">INT((A444-1)/안내!$C$9)+1</f>
        <v>89</v>
      </c>
      <c r="S444" s="26" t="n">
        <f aca="false">안내!$C$10+(R444-1)*7+MOD(A444-1,안내!$C$9)</f>
        <v>47009</v>
      </c>
      <c r="T444" s="23" t="s">
        <v>99</v>
      </c>
      <c r="U444" s="23" t="s">
        <v>99</v>
      </c>
      <c r="V444" s="23" t="s">
        <v>99</v>
      </c>
      <c r="W444" s="23" t="s">
        <v>99</v>
      </c>
      <c r="X444" s="28"/>
      <c r="Y444" s="28" t="str">
        <f aca="false">"다음 편: "&amp;J445</f>
        <v>다음 편: 토기장이의 집</v>
      </c>
    </row>
    <row r="445" customFormat="false" ht="15" hidden="false" customHeight="false" outlineLevel="0" collapsed="false">
      <c r="A445" s="20" t="n">
        <v>444</v>
      </c>
      <c r="B445" s="20" t="s">
        <v>4230</v>
      </c>
      <c r="C445" s="20" t="s">
        <v>4231</v>
      </c>
      <c r="D445" s="20" t="s">
        <v>4171</v>
      </c>
      <c r="E445" s="21" t="s">
        <v>4172</v>
      </c>
      <c r="F445" s="22" t="s">
        <v>88</v>
      </c>
      <c r="G445" s="22" t="s">
        <v>4173</v>
      </c>
      <c r="H445" s="21" t="s">
        <v>4232</v>
      </c>
      <c r="I445" s="23" t="s">
        <v>1116</v>
      </c>
      <c r="J445" s="24" t="s">
        <v>4233</v>
      </c>
      <c r="K445" s="24" t="s">
        <v>4234</v>
      </c>
      <c r="L445" s="24" t="s">
        <v>4235</v>
      </c>
      <c r="M445" s="24" t="s">
        <v>4236</v>
      </c>
      <c r="N445" s="24" t="s">
        <v>4237</v>
      </c>
      <c r="O445" s="24" t="s">
        <v>4238</v>
      </c>
      <c r="P445" s="28"/>
      <c r="Q445" s="28" t="str">
        <f aca="false">"["&amp;안내!$C$5&amp;" "&amp;C445&amp;"] "&amp;J445&amp;" | "&amp;H445</f>
        <v>[1분 성경 #0444] 토기장이의 집 | 렘 18:1-23</v>
      </c>
      <c r="R445" s="23" t="n">
        <f aca="false">INT((A445-1)/안내!$C$9)+1</f>
        <v>89</v>
      </c>
      <c r="S445" s="26" t="n">
        <f aca="false">안내!$C$10+(R445-1)*7+MOD(A445-1,안내!$C$9)</f>
        <v>47010</v>
      </c>
      <c r="T445" s="23" t="s">
        <v>99</v>
      </c>
      <c r="U445" s="23" t="s">
        <v>99</v>
      </c>
      <c r="V445" s="23" t="s">
        <v>99</v>
      </c>
      <c r="W445" s="23" t="s">
        <v>99</v>
      </c>
      <c r="X445" s="28"/>
      <c r="Y445" s="28" t="str">
        <f aca="false">"다음 편: "&amp;J446</f>
        <v>다음 편: 뼈 속의 불</v>
      </c>
    </row>
    <row r="446" customFormat="false" ht="26.85" hidden="false" customHeight="false" outlineLevel="0" collapsed="false">
      <c r="A446" s="20" t="n">
        <v>445</v>
      </c>
      <c r="B446" s="20" t="s">
        <v>4239</v>
      </c>
      <c r="C446" s="20" t="s">
        <v>4240</v>
      </c>
      <c r="D446" s="20" t="s">
        <v>4171</v>
      </c>
      <c r="E446" s="21" t="s">
        <v>4172</v>
      </c>
      <c r="F446" s="22" t="s">
        <v>88</v>
      </c>
      <c r="G446" s="22" t="s">
        <v>4173</v>
      </c>
      <c r="H446" s="21" t="s">
        <v>4241</v>
      </c>
      <c r="I446" s="23" t="s">
        <v>1116</v>
      </c>
      <c r="J446" s="24" t="s">
        <v>4242</v>
      </c>
      <c r="K446" s="24" t="s">
        <v>4243</v>
      </c>
      <c r="L446" s="24" t="s">
        <v>4244</v>
      </c>
      <c r="M446" s="24" t="s">
        <v>4245</v>
      </c>
      <c r="N446" s="24" t="s">
        <v>4246</v>
      </c>
      <c r="O446" s="24" t="s">
        <v>4247</v>
      </c>
      <c r="P446" s="28"/>
      <c r="Q446" s="28" t="str">
        <f aca="false">"["&amp;안내!$C$5&amp;" "&amp;C446&amp;"] "&amp;J446&amp;" | "&amp;H446</f>
        <v>[1분 성경 #0445] 뼈 속의 불 | 렘 19:1-20:18</v>
      </c>
      <c r="R446" s="23" t="n">
        <f aca="false">INT((A446-1)/안내!$C$9)+1</f>
        <v>89</v>
      </c>
      <c r="S446" s="26" t="n">
        <f aca="false">안내!$C$10+(R446-1)*7+MOD(A446-1,안내!$C$9)</f>
        <v>47011</v>
      </c>
      <c r="T446" s="23" t="s">
        <v>99</v>
      </c>
      <c r="U446" s="23" t="s">
        <v>99</v>
      </c>
      <c r="V446" s="23" t="s">
        <v>99</v>
      </c>
      <c r="W446" s="23" t="s">
        <v>99</v>
      </c>
      <c r="X446" s="28"/>
      <c r="Y446" s="28" t="str">
        <f aca="false">"다음 편: "&amp;J447</f>
        <v>다음 편: 70년의 예언과 의로운 가지</v>
      </c>
    </row>
    <row r="447" customFormat="false" ht="26.85" hidden="false" customHeight="false" outlineLevel="0" collapsed="false">
      <c r="A447" s="20" t="n">
        <v>446</v>
      </c>
      <c r="B447" s="20" t="s">
        <v>4248</v>
      </c>
      <c r="C447" s="20" t="s">
        <v>4249</v>
      </c>
      <c r="D447" s="20" t="s">
        <v>4171</v>
      </c>
      <c r="E447" s="21" t="s">
        <v>4172</v>
      </c>
      <c r="F447" s="22" t="s">
        <v>88</v>
      </c>
      <c r="G447" s="22" t="s">
        <v>4173</v>
      </c>
      <c r="H447" s="21" t="s">
        <v>4250</v>
      </c>
      <c r="I447" s="23" t="s">
        <v>1116</v>
      </c>
      <c r="J447" s="28" t="s">
        <v>4251</v>
      </c>
      <c r="K447" s="24" t="s">
        <v>4252</v>
      </c>
      <c r="L447" s="24" t="s">
        <v>4253</v>
      </c>
      <c r="M447" s="24" t="s">
        <v>4254</v>
      </c>
      <c r="N447" s="24" t="s">
        <v>4173</v>
      </c>
      <c r="O447" s="24" t="s">
        <v>4255</v>
      </c>
      <c r="P447" s="27" t="s">
        <v>4256</v>
      </c>
      <c r="Q447" s="28" t="str">
        <f aca="false">"["&amp;안내!$C$5&amp;" "&amp;C447&amp;"] "&amp;J447&amp;" | "&amp;H447</f>
        <v>[1분 성경 #0446] 70년의 예언과 의로운 가지 | 렘 21:1-25:38</v>
      </c>
      <c r="R447" s="23" t="n">
        <f aca="false">INT((A447-1)/안내!$C$9)+1</f>
        <v>90</v>
      </c>
      <c r="S447" s="26" t="n">
        <f aca="false">안내!$C$10+(R447-1)*7+MOD(A447-1,안내!$C$9)</f>
        <v>47014</v>
      </c>
      <c r="T447" s="23" t="s">
        <v>99</v>
      </c>
      <c r="U447" s="23" t="s">
        <v>99</v>
      </c>
      <c r="V447" s="23" t="s">
        <v>99</v>
      </c>
      <c r="W447" s="23" t="s">
        <v>99</v>
      </c>
      <c r="X447" s="28"/>
      <c r="Y447" s="28" t="str">
        <f aca="false">"다음 편: "&amp;J448</f>
        <v>다음 편: 죽음의 위기</v>
      </c>
    </row>
    <row r="448" customFormat="false" ht="26.85" hidden="false" customHeight="false" outlineLevel="0" collapsed="false">
      <c r="A448" s="20" t="n">
        <v>447</v>
      </c>
      <c r="B448" s="20" t="s">
        <v>4257</v>
      </c>
      <c r="C448" s="20" t="s">
        <v>4258</v>
      </c>
      <c r="D448" s="20" t="s">
        <v>4259</v>
      </c>
      <c r="E448" s="21" t="s">
        <v>4260</v>
      </c>
      <c r="F448" s="22" t="s">
        <v>88</v>
      </c>
      <c r="G448" s="22" t="s">
        <v>4173</v>
      </c>
      <c r="H448" s="21" t="s">
        <v>4261</v>
      </c>
      <c r="I448" s="23" t="s">
        <v>1116</v>
      </c>
      <c r="J448" s="24" t="s">
        <v>4262</v>
      </c>
      <c r="K448" s="24" t="s">
        <v>4263</v>
      </c>
      <c r="L448" s="24" t="s">
        <v>4264</v>
      </c>
      <c r="M448" s="24" t="s">
        <v>4265</v>
      </c>
      <c r="N448" s="24" t="s">
        <v>4266</v>
      </c>
      <c r="O448" s="24" t="s">
        <v>2580</v>
      </c>
      <c r="P448" s="28"/>
      <c r="Q448" s="28" t="str">
        <f aca="false">"["&amp;안내!$C$5&amp;" "&amp;C448&amp;"] "&amp;J448&amp;" | "&amp;H448</f>
        <v>[1분 성경 #0447] 죽음의 위기 | 렘 26:1-24</v>
      </c>
      <c r="R448" s="23" t="n">
        <f aca="false">INT((A448-1)/안내!$C$9)+1</f>
        <v>90</v>
      </c>
      <c r="S448" s="26" t="n">
        <f aca="false">안내!$C$10+(R448-1)*7+MOD(A448-1,안내!$C$9)</f>
        <v>47015</v>
      </c>
      <c r="T448" s="23" t="s">
        <v>99</v>
      </c>
      <c r="U448" s="23" t="s">
        <v>99</v>
      </c>
      <c r="V448" s="23" t="s">
        <v>99</v>
      </c>
      <c r="W448" s="23" t="s">
        <v>99</v>
      </c>
      <c r="X448" s="28"/>
      <c r="Y448" s="28" t="str">
        <f aca="false">"다음 편: "&amp;J449</f>
        <v>다음 편: 멍에를 멘 선지자</v>
      </c>
    </row>
    <row r="449" customFormat="false" ht="26.85" hidden="false" customHeight="false" outlineLevel="0" collapsed="false">
      <c r="A449" s="20" t="n">
        <v>448</v>
      </c>
      <c r="B449" s="20" t="s">
        <v>4267</v>
      </c>
      <c r="C449" s="20" t="s">
        <v>4268</v>
      </c>
      <c r="D449" s="20" t="s">
        <v>4259</v>
      </c>
      <c r="E449" s="21" t="s">
        <v>4260</v>
      </c>
      <c r="F449" s="22" t="s">
        <v>88</v>
      </c>
      <c r="G449" s="22" t="s">
        <v>4173</v>
      </c>
      <c r="H449" s="21" t="s">
        <v>4269</v>
      </c>
      <c r="I449" s="23" t="s">
        <v>1116</v>
      </c>
      <c r="J449" s="24" t="s">
        <v>4270</v>
      </c>
      <c r="K449" s="24" t="s">
        <v>4271</v>
      </c>
      <c r="L449" s="24" t="s">
        <v>4272</v>
      </c>
      <c r="M449" s="24" t="s">
        <v>4273</v>
      </c>
      <c r="N449" s="24" t="s">
        <v>4274</v>
      </c>
      <c r="O449" s="24" t="s">
        <v>4275</v>
      </c>
      <c r="P449" s="28"/>
      <c r="Q449" s="28" t="str">
        <f aca="false">"["&amp;안내!$C$5&amp;" "&amp;C449&amp;"] "&amp;J449&amp;" | "&amp;H449</f>
        <v>[1분 성경 #0448] 멍에를 멘 선지자 | 렘 27:1-28:17</v>
      </c>
      <c r="R449" s="23" t="n">
        <f aca="false">INT((A449-1)/안내!$C$9)+1</f>
        <v>90</v>
      </c>
      <c r="S449" s="26" t="n">
        <f aca="false">안내!$C$10+(R449-1)*7+MOD(A449-1,안내!$C$9)</f>
        <v>47016</v>
      </c>
      <c r="T449" s="23" t="s">
        <v>99</v>
      </c>
      <c r="U449" s="23" t="s">
        <v>99</v>
      </c>
      <c r="V449" s="23" t="s">
        <v>99</v>
      </c>
      <c r="W449" s="23" t="s">
        <v>99</v>
      </c>
      <c r="X449" s="28"/>
      <c r="Y449" s="28" t="str">
        <f aca="false">"다음 편: "&amp;J450</f>
        <v>다음 편: 포로들에게 보낸 편지</v>
      </c>
    </row>
    <row r="450" customFormat="false" ht="26.85" hidden="false" customHeight="false" outlineLevel="0" collapsed="false">
      <c r="A450" s="20" t="n">
        <v>449</v>
      </c>
      <c r="B450" s="20" t="s">
        <v>4276</v>
      </c>
      <c r="C450" s="20" t="s">
        <v>4277</v>
      </c>
      <c r="D450" s="20" t="s">
        <v>4259</v>
      </c>
      <c r="E450" s="21" t="s">
        <v>4260</v>
      </c>
      <c r="F450" s="22" t="s">
        <v>88</v>
      </c>
      <c r="G450" s="22" t="s">
        <v>4173</v>
      </c>
      <c r="H450" s="21" t="s">
        <v>4278</v>
      </c>
      <c r="I450" s="23" t="s">
        <v>1116</v>
      </c>
      <c r="J450" s="24" t="s">
        <v>4279</v>
      </c>
      <c r="K450" s="24" t="s">
        <v>4280</v>
      </c>
      <c r="L450" s="24" t="s">
        <v>4281</v>
      </c>
      <c r="M450" s="24" t="s">
        <v>4282</v>
      </c>
      <c r="N450" s="24" t="s">
        <v>4283</v>
      </c>
      <c r="O450" s="24" t="s">
        <v>4284</v>
      </c>
      <c r="P450" s="27" t="s">
        <v>4285</v>
      </c>
      <c r="Q450" s="28" t="str">
        <f aca="false">"["&amp;안내!$C$5&amp;" "&amp;C450&amp;"] "&amp;J450&amp;" | "&amp;H450</f>
        <v>[1분 성경 #0449] 포로들에게 보낸 편지 | 렘 29:1-32</v>
      </c>
      <c r="R450" s="23" t="n">
        <f aca="false">INT((A450-1)/안내!$C$9)+1</f>
        <v>90</v>
      </c>
      <c r="S450" s="26" t="n">
        <f aca="false">안내!$C$10+(R450-1)*7+MOD(A450-1,안내!$C$9)</f>
        <v>47017</v>
      </c>
      <c r="T450" s="23" t="s">
        <v>99</v>
      </c>
      <c r="U450" s="23" t="s">
        <v>99</v>
      </c>
      <c r="V450" s="23" t="s">
        <v>99</v>
      </c>
      <c r="W450" s="23" t="s">
        <v>99</v>
      </c>
      <c r="X450" s="28"/>
      <c r="Y450" s="28" t="str">
        <f aca="false">"다음 편: "&amp;J451</f>
        <v>다음 편: 새 언약</v>
      </c>
    </row>
    <row r="451" customFormat="false" ht="26.85" hidden="false" customHeight="false" outlineLevel="0" collapsed="false">
      <c r="A451" s="20" t="n">
        <v>450</v>
      </c>
      <c r="B451" s="20" t="s">
        <v>4286</v>
      </c>
      <c r="C451" s="20" t="s">
        <v>4287</v>
      </c>
      <c r="D451" s="20" t="s">
        <v>4259</v>
      </c>
      <c r="E451" s="21" t="s">
        <v>4260</v>
      </c>
      <c r="F451" s="22" t="s">
        <v>88</v>
      </c>
      <c r="G451" s="22" t="s">
        <v>4173</v>
      </c>
      <c r="H451" s="21" t="s">
        <v>4288</v>
      </c>
      <c r="I451" s="23" t="s">
        <v>1116</v>
      </c>
      <c r="J451" s="24" t="s">
        <v>4289</v>
      </c>
      <c r="K451" s="24" t="s">
        <v>4290</v>
      </c>
      <c r="L451" s="24" t="s">
        <v>4291</v>
      </c>
      <c r="M451" s="24" t="s">
        <v>4292</v>
      </c>
      <c r="N451" s="24" t="s">
        <v>4173</v>
      </c>
      <c r="O451" s="24" t="s">
        <v>4293</v>
      </c>
      <c r="P451" s="25" t="s">
        <v>4294</v>
      </c>
      <c r="Q451" s="28" t="str">
        <f aca="false">"["&amp;안내!$C$5&amp;" "&amp;C451&amp;"] "&amp;J451&amp;" | "&amp;H451</f>
        <v>[1분 성경 #0450] 새 언약 | 렘 30:1-31:40</v>
      </c>
      <c r="R451" s="23" t="n">
        <f aca="false">INT((A451-1)/안내!$C$9)+1</f>
        <v>90</v>
      </c>
      <c r="S451" s="26" t="n">
        <f aca="false">안내!$C$10+(R451-1)*7+MOD(A451-1,안내!$C$9)</f>
        <v>47018</v>
      </c>
      <c r="T451" s="23" t="s">
        <v>99</v>
      </c>
      <c r="U451" s="23" t="s">
        <v>99</v>
      </c>
      <c r="V451" s="23" t="s">
        <v>99</v>
      </c>
      <c r="W451" s="23" t="s">
        <v>99</v>
      </c>
      <c r="X451" s="28"/>
      <c r="Y451" s="28" t="str">
        <f aca="false">"다음 편: "&amp;J452</f>
        <v>다음 편: 무너지는 나라에서 밭을 사다</v>
      </c>
    </row>
    <row r="452" customFormat="false" ht="26.85" hidden="false" customHeight="false" outlineLevel="0" collapsed="false">
      <c r="A452" s="20" t="n">
        <v>451</v>
      </c>
      <c r="B452" s="20" t="s">
        <v>4295</v>
      </c>
      <c r="C452" s="20" t="s">
        <v>4296</v>
      </c>
      <c r="D452" s="20" t="s">
        <v>4259</v>
      </c>
      <c r="E452" s="21" t="s">
        <v>4260</v>
      </c>
      <c r="F452" s="22" t="s">
        <v>88</v>
      </c>
      <c r="G452" s="22" t="s">
        <v>4173</v>
      </c>
      <c r="H452" s="21" t="s">
        <v>4297</v>
      </c>
      <c r="I452" s="23" t="s">
        <v>1116</v>
      </c>
      <c r="J452" s="24" t="s">
        <v>4298</v>
      </c>
      <c r="K452" s="24" t="s">
        <v>4299</v>
      </c>
      <c r="L452" s="24" t="s">
        <v>4300</v>
      </c>
      <c r="M452" s="24" t="s">
        <v>4301</v>
      </c>
      <c r="N452" s="24" t="s">
        <v>4302</v>
      </c>
      <c r="O452" s="24" t="s">
        <v>4303</v>
      </c>
      <c r="P452" s="28"/>
      <c r="Q452" s="28" t="str">
        <f aca="false">"["&amp;안내!$C$5&amp;" "&amp;C452&amp;"] "&amp;J452&amp;" | "&amp;H452</f>
        <v>[1분 성경 #0451] 무너지는 나라에서 밭을 사다 | 렘 32:1-44</v>
      </c>
      <c r="R452" s="23" t="n">
        <f aca="false">INT((A452-1)/안내!$C$9)+1</f>
        <v>91</v>
      </c>
      <c r="S452" s="26" t="n">
        <f aca="false">안내!$C$10+(R452-1)*7+MOD(A452-1,안내!$C$9)</f>
        <v>47021</v>
      </c>
      <c r="T452" s="23" t="s">
        <v>99</v>
      </c>
      <c r="U452" s="23" t="s">
        <v>99</v>
      </c>
      <c r="V452" s="23" t="s">
        <v>99</v>
      </c>
      <c r="W452" s="23" t="s">
        <v>99</v>
      </c>
      <c r="X452" s="28"/>
      <c r="Y452" s="28" t="str">
        <f aca="false">"다음 편: "&amp;J453</f>
        <v>다음 편: 부르짖으라</v>
      </c>
    </row>
    <row r="453" customFormat="false" ht="26.85" hidden="false" customHeight="false" outlineLevel="0" collapsed="false">
      <c r="A453" s="20" t="n">
        <v>452</v>
      </c>
      <c r="B453" s="20" t="s">
        <v>4304</v>
      </c>
      <c r="C453" s="20" t="s">
        <v>4305</v>
      </c>
      <c r="D453" s="20" t="s">
        <v>4259</v>
      </c>
      <c r="E453" s="21" t="s">
        <v>4260</v>
      </c>
      <c r="F453" s="22" t="s">
        <v>88</v>
      </c>
      <c r="G453" s="22" t="s">
        <v>4173</v>
      </c>
      <c r="H453" s="21" t="s">
        <v>4306</v>
      </c>
      <c r="I453" s="23" t="s">
        <v>1116</v>
      </c>
      <c r="J453" s="24" t="s">
        <v>4307</v>
      </c>
      <c r="K453" s="24" t="s">
        <v>4308</v>
      </c>
      <c r="L453" s="24" t="s">
        <v>4309</v>
      </c>
      <c r="M453" s="24" t="s">
        <v>4310</v>
      </c>
      <c r="N453" s="24" t="s">
        <v>4173</v>
      </c>
      <c r="O453" s="24" t="s">
        <v>4311</v>
      </c>
      <c r="P453" s="25" t="s">
        <v>4312</v>
      </c>
      <c r="Q453" s="28" t="str">
        <f aca="false">"["&amp;안내!$C$5&amp;" "&amp;C453&amp;"] "&amp;J453&amp;" | "&amp;H453</f>
        <v>[1분 성경 #0452] 부르짖으라 | 렘 33:1-26</v>
      </c>
      <c r="R453" s="23" t="n">
        <f aca="false">INT((A453-1)/안내!$C$9)+1</f>
        <v>91</v>
      </c>
      <c r="S453" s="26" t="n">
        <f aca="false">안내!$C$10+(R453-1)*7+MOD(A453-1,안내!$C$9)</f>
        <v>47022</v>
      </c>
      <c r="T453" s="23" t="s">
        <v>99</v>
      </c>
      <c r="U453" s="23" t="s">
        <v>99</v>
      </c>
      <c r="V453" s="23" t="s">
        <v>99</v>
      </c>
      <c r="W453" s="23" t="s">
        <v>99</v>
      </c>
      <c r="X453" s="28"/>
      <c r="Y453" s="28" t="str">
        <f aca="false">"다음 편: "&amp;J454</f>
        <v>다음 편: 불태운 두루마리</v>
      </c>
    </row>
    <row r="454" customFormat="false" ht="26.85" hidden="false" customHeight="false" outlineLevel="0" collapsed="false">
      <c r="A454" s="20" t="n">
        <v>453</v>
      </c>
      <c r="B454" s="20" t="s">
        <v>4313</v>
      </c>
      <c r="C454" s="20" t="s">
        <v>4314</v>
      </c>
      <c r="D454" s="20" t="s">
        <v>4259</v>
      </c>
      <c r="E454" s="21" t="s">
        <v>4260</v>
      </c>
      <c r="F454" s="22" t="s">
        <v>88</v>
      </c>
      <c r="G454" s="22" t="s">
        <v>4173</v>
      </c>
      <c r="H454" s="21" t="s">
        <v>4315</v>
      </c>
      <c r="I454" s="23" t="s">
        <v>1116</v>
      </c>
      <c r="J454" s="24" t="s">
        <v>4316</v>
      </c>
      <c r="K454" s="24" t="s">
        <v>4317</v>
      </c>
      <c r="L454" s="24" t="s">
        <v>4318</v>
      </c>
      <c r="M454" s="24" t="s">
        <v>4319</v>
      </c>
      <c r="N454" s="24" t="s">
        <v>4320</v>
      </c>
      <c r="O454" s="24" t="s">
        <v>4321</v>
      </c>
      <c r="P454" s="28"/>
      <c r="Q454" s="28" t="str">
        <f aca="false">"["&amp;안내!$C$5&amp;" "&amp;C454&amp;"] "&amp;J454&amp;" | "&amp;H454</f>
        <v>[1분 성경 #0453] 불태운 두루마리 | 렘 34:1-36:32</v>
      </c>
      <c r="R454" s="23" t="n">
        <f aca="false">INT((A454-1)/안내!$C$9)+1</f>
        <v>91</v>
      </c>
      <c r="S454" s="26" t="n">
        <f aca="false">안내!$C$10+(R454-1)*7+MOD(A454-1,안내!$C$9)</f>
        <v>47023</v>
      </c>
      <c r="T454" s="23" t="s">
        <v>99</v>
      </c>
      <c r="U454" s="23" t="s">
        <v>99</v>
      </c>
      <c r="V454" s="23" t="s">
        <v>99</v>
      </c>
      <c r="W454" s="23" t="s">
        <v>99</v>
      </c>
      <c r="X454" s="28"/>
      <c r="Y454" s="28" t="str">
        <f aca="false">"다음 편: "&amp;J455</f>
        <v>다음 편: 진흙 구덩이</v>
      </c>
    </row>
    <row r="455" customFormat="false" ht="26.85" hidden="false" customHeight="false" outlineLevel="0" collapsed="false">
      <c r="A455" s="20" t="n">
        <v>454</v>
      </c>
      <c r="B455" s="20" t="s">
        <v>4322</v>
      </c>
      <c r="C455" s="20" t="s">
        <v>4323</v>
      </c>
      <c r="D455" s="20" t="s">
        <v>4259</v>
      </c>
      <c r="E455" s="21" t="s">
        <v>4260</v>
      </c>
      <c r="F455" s="22" t="s">
        <v>88</v>
      </c>
      <c r="G455" s="22" t="s">
        <v>4173</v>
      </c>
      <c r="H455" s="21" t="s">
        <v>4324</v>
      </c>
      <c r="I455" s="23" t="s">
        <v>1116</v>
      </c>
      <c r="J455" s="24" t="s">
        <v>4325</v>
      </c>
      <c r="K455" s="24" t="s">
        <v>4326</v>
      </c>
      <c r="L455" s="24" t="s">
        <v>4327</v>
      </c>
      <c r="M455" s="24" t="s">
        <v>4328</v>
      </c>
      <c r="N455" s="24" t="s">
        <v>4329</v>
      </c>
      <c r="O455" s="24" t="s">
        <v>4330</v>
      </c>
      <c r="P455" s="28"/>
      <c r="Q455" s="28" t="str">
        <f aca="false">"["&amp;안내!$C$5&amp;" "&amp;C455&amp;"] "&amp;J455&amp;" | "&amp;H455</f>
        <v>[1분 성경 #0454] 진흙 구덩이 | 렘 37:1-38:28</v>
      </c>
      <c r="R455" s="23" t="n">
        <f aca="false">INT((A455-1)/안내!$C$9)+1</f>
        <v>91</v>
      </c>
      <c r="S455" s="26" t="n">
        <f aca="false">안내!$C$10+(R455-1)*7+MOD(A455-1,안내!$C$9)</f>
        <v>47024</v>
      </c>
      <c r="T455" s="23" t="s">
        <v>99</v>
      </c>
      <c r="U455" s="23" t="s">
        <v>99</v>
      </c>
      <c r="V455" s="23" t="s">
        <v>99</v>
      </c>
      <c r="W455" s="23" t="s">
        <v>99</v>
      </c>
      <c r="X455" s="28"/>
      <c r="Y455" s="28" t="str">
        <f aca="false">"다음 편: "&amp;J456</f>
        <v>다음 편: 예루살렘 함락</v>
      </c>
    </row>
    <row r="456" customFormat="false" ht="26.85" hidden="false" customHeight="false" outlineLevel="0" collapsed="false">
      <c r="A456" s="20" t="n">
        <v>455</v>
      </c>
      <c r="B456" s="20" t="s">
        <v>4331</v>
      </c>
      <c r="C456" s="20" t="s">
        <v>4332</v>
      </c>
      <c r="D456" s="20" t="s">
        <v>4259</v>
      </c>
      <c r="E456" s="21" t="s">
        <v>4260</v>
      </c>
      <c r="F456" s="22" t="s">
        <v>88</v>
      </c>
      <c r="G456" s="22" t="s">
        <v>4173</v>
      </c>
      <c r="H456" s="21" t="s">
        <v>4333</v>
      </c>
      <c r="I456" s="23" t="s">
        <v>1116</v>
      </c>
      <c r="J456" s="24" t="s">
        <v>4334</v>
      </c>
      <c r="K456" s="24" t="s">
        <v>4335</v>
      </c>
      <c r="L456" s="24" t="s">
        <v>4336</v>
      </c>
      <c r="M456" s="24" t="s">
        <v>4337</v>
      </c>
      <c r="N456" s="24" t="s">
        <v>4338</v>
      </c>
      <c r="O456" s="24" t="s">
        <v>4339</v>
      </c>
      <c r="P456" s="25" t="s">
        <v>4340</v>
      </c>
      <c r="Q456" s="28" t="str">
        <f aca="false">"["&amp;안내!$C$5&amp;" "&amp;C456&amp;"] "&amp;J456&amp;" | "&amp;H456</f>
        <v>[1분 성경 #0455] 예루살렘 함락 | 렘 39:1-41:18</v>
      </c>
      <c r="R456" s="23" t="n">
        <f aca="false">INT((A456-1)/안내!$C$9)+1</f>
        <v>91</v>
      </c>
      <c r="S456" s="26" t="n">
        <f aca="false">안내!$C$10+(R456-1)*7+MOD(A456-1,안내!$C$9)</f>
        <v>47025</v>
      </c>
      <c r="T456" s="23" t="s">
        <v>99</v>
      </c>
      <c r="U456" s="23" t="s">
        <v>99</v>
      </c>
      <c r="V456" s="23" t="s">
        <v>99</v>
      </c>
      <c r="W456" s="23" t="s">
        <v>99</v>
      </c>
      <c r="X456" s="28"/>
      <c r="Y456" s="28" t="str">
        <f aca="false">"다음 편: "&amp;J457</f>
        <v>다음 편: 애굽으로 간 남은 자들</v>
      </c>
    </row>
    <row r="457" customFormat="false" ht="26.85" hidden="false" customHeight="false" outlineLevel="0" collapsed="false">
      <c r="A457" s="20" t="n">
        <v>456</v>
      </c>
      <c r="B457" s="20" t="s">
        <v>4341</v>
      </c>
      <c r="C457" s="20" t="s">
        <v>4342</v>
      </c>
      <c r="D457" s="20" t="s">
        <v>4259</v>
      </c>
      <c r="E457" s="21" t="s">
        <v>4260</v>
      </c>
      <c r="F457" s="22" t="s">
        <v>88</v>
      </c>
      <c r="G457" s="22" t="s">
        <v>4173</v>
      </c>
      <c r="H457" s="21" t="s">
        <v>4343</v>
      </c>
      <c r="I457" s="23" t="s">
        <v>1116</v>
      </c>
      <c r="J457" s="24" t="s">
        <v>4344</v>
      </c>
      <c r="K457" s="24" t="s">
        <v>4345</v>
      </c>
      <c r="L457" s="24" t="s">
        <v>4346</v>
      </c>
      <c r="M457" s="24" t="s">
        <v>4347</v>
      </c>
      <c r="N457" s="24" t="s">
        <v>4348</v>
      </c>
      <c r="O457" s="24" t="s">
        <v>4349</v>
      </c>
      <c r="P457" s="28"/>
      <c r="Q457" s="28" t="str">
        <f aca="false">"["&amp;안내!$C$5&amp;" "&amp;C457&amp;"] "&amp;J457&amp;" | "&amp;H457</f>
        <v>[1분 성경 #0456] 애굽으로 간 남은 자들 | 렘 42:1-52:34</v>
      </c>
      <c r="R457" s="23" t="n">
        <f aca="false">INT((A457-1)/안내!$C$9)+1</f>
        <v>92</v>
      </c>
      <c r="S457" s="26" t="n">
        <f aca="false">안내!$C$10+(R457-1)*7+MOD(A457-1,안내!$C$9)</f>
        <v>47028</v>
      </c>
      <c r="T457" s="23" t="s">
        <v>99</v>
      </c>
      <c r="U457" s="23" t="s">
        <v>99</v>
      </c>
      <c r="V457" s="23" t="s">
        <v>99</v>
      </c>
      <c r="W457" s="23" t="s">
        <v>99</v>
      </c>
      <c r="X457" s="28"/>
      <c r="Y457" s="28" t="str">
        <f aca="false">"다음 편: "&amp;J458</f>
        <v>다음 편: 슬프다 이 성이여</v>
      </c>
    </row>
    <row r="458" customFormat="false" ht="26.85" hidden="false" customHeight="false" outlineLevel="0" collapsed="false">
      <c r="A458" s="20" t="n">
        <v>457</v>
      </c>
      <c r="B458" s="20" t="s">
        <v>4350</v>
      </c>
      <c r="C458" s="20" t="s">
        <v>4351</v>
      </c>
      <c r="D458" s="20" t="s">
        <v>4259</v>
      </c>
      <c r="E458" s="21" t="s">
        <v>4260</v>
      </c>
      <c r="F458" s="22" t="s">
        <v>88</v>
      </c>
      <c r="G458" s="22" t="s">
        <v>4352</v>
      </c>
      <c r="H458" s="21" t="s">
        <v>4353</v>
      </c>
      <c r="I458" s="23" t="s">
        <v>1116</v>
      </c>
      <c r="J458" s="24" t="s">
        <v>4354</v>
      </c>
      <c r="K458" s="24" t="s">
        <v>4355</v>
      </c>
      <c r="L458" s="24" t="s">
        <v>4356</v>
      </c>
      <c r="M458" s="24" t="s">
        <v>4357</v>
      </c>
      <c r="N458" s="24" t="s">
        <v>4358</v>
      </c>
      <c r="O458" s="24" t="s">
        <v>4359</v>
      </c>
      <c r="P458" s="28"/>
      <c r="Q458" s="28" t="str">
        <f aca="false">"["&amp;안내!$C$5&amp;" "&amp;C458&amp;"] "&amp;J458&amp;" | "&amp;H458</f>
        <v>[1분 성경 #0457] 슬프다 이 성이여 | 애 1:1-2:22</v>
      </c>
      <c r="R458" s="23" t="n">
        <f aca="false">INT((A458-1)/안내!$C$9)+1</f>
        <v>92</v>
      </c>
      <c r="S458" s="26" t="n">
        <f aca="false">안내!$C$10+(R458-1)*7+MOD(A458-1,안내!$C$9)</f>
        <v>47029</v>
      </c>
      <c r="T458" s="23" t="s">
        <v>99</v>
      </c>
      <c r="U458" s="23" t="s">
        <v>99</v>
      </c>
      <c r="V458" s="23" t="s">
        <v>99</v>
      </c>
      <c r="W458" s="23" t="s">
        <v>99</v>
      </c>
      <c r="X458" s="28"/>
      <c r="Y458" s="28" t="str">
        <f aca="false">"다음 편: "&amp;J459</f>
        <v>다음 편: 아침마다 새로우니</v>
      </c>
    </row>
    <row r="459" customFormat="false" ht="26.85" hidden="false" customHeight="false" outlineLevel="0" collapsed="false">
      <c r="A459" s="20" t="n">
        <v>458</v>
      </c>
      <c r="B459" s="20" t="s">
        <v>4360</v>
      </c>
      <c r="C459" s="20" t="s">
        <v>4361</v>
      </c>
      <c r="D459" s="20" t="s">
        <v>4259</v>
      </c>
      <c r="E459" s="21" t="s">
        <v>4260</v>
      </c>
      <c r="F459" s="22" t="s">
        <v>88</v>
      </c>
      <c r="G459" s="22" t="s">
        <v>4352</v>
      </c>
      <c r="H459" s="21" t="s">
        <v>4362</v>
      </c>
      <c r="I459" s="23" t="s">
        <v>1116</v>
      </c>
      <c r="J459" s="24" t="s">
        <v>4363</v>
      </c>
      <c r="K459" s="24" t="s">
        <v>4364</v>
      </c>
      <c r="L459" s="24" t="s">
        <v>4365</v>
      </c>
      <c r="M459" s="24" t="s">
        <v>4366</v>
      </c>
      <c r="N459" s="24" t="s">
        <v>4358</v>
      </c>
      <c r="O459" s="24" t="s">
        <v>4367</v>
      </c>
      <c r="P459" s="28"/>
      <c r="Q459" s="28" t="str">
        <f aca="false">"["&amp;안내!$C$5&amp;" "&amp;C459&amp;"] "&amp;J459&amp;" | "&amp;H459</f>
        <v>[1분 성경 #0458] 아침마다 새로우니 | 애 3:1-66</v>
      </c>
      <c r="R459" s="23" t="n">
        <f aca="false">INT((A459-1)/안내!$C$9)+1</f>
        <v>92</v>
      </c>
      <c r="S459" s="26" t="n">
        <f aca="false">안내!$C$10+(R459-1)*7+MOD(A459-1,안내!$C$9)</f>
        <v>47030</v>
      </c>
      <c r="T459" s="23" t="s">
        <v>99</v>
      </c>
      <c r="U459" s="23" t="s">
        <v>99</v>
      </c>
      <c r="V459" s="23" t="s">
        <v>99</v>
      </c>
      <c r="W459" s="23" t="s">
        <v>99</v>
      </c>
      <c r="X459" s="28"/>
      <c r="Y459" s="28" t="str">
        <f aca="false">"다음 편: "&amp;J460</f>
        <v>다음 편: 우리를 돌이키소서</v>
      </c>
    </row>
    <row r="460" customFormat="false" ht="26.85" hidden="false" customHeight="false" outlineLevel="0" collapsed="false">
      <c r="A460" s="20" t="n">
        <v>459</v>
      </c>
      <c r="B460" s="20" t="s">
        <v>4368</v>
      </c>
      <c r="C460" s="20" t="s">
        <v>4369</v>
      </c>
      <c r="D460" s="20" t="s">
        <v>4259</v>
      </c>
      <c r="E460" s="21" t="s">
        <v>4260</v>
      </c>
      <c r="F460" s="22" t="s">
        <v>88</v>
      </c>
      <c r="G460" s="22" t="s">
        <v>4352</v>
      </c>
      <c r="H460" s="21" t="s">
        <v>4370</v>
      </c>
      <c r="I460" s="23" t="s">
        <v>1116</v>
      </c>
      <c r="J460" s="24" t="s">
        <v>4371</v>
      </c>
      <c r="K460" s="24" t="s">
        <v>4372</v>
      </c>
      <c r="L460" s="24" t="s">
        <v>4373</v>
      </c>
      <c r="M460" s="24" t="s">
        <v>4374</v>
      </c>
      <c r="N460" s="24" t="s">
        <v>4358</v>
      </c>
      <c r="O460" s="24" t="s">
        <v>4375</v>
      </c>
      <c r="P460" s="27" t="s">
        <v>4376</v>
      </c>
      <c r="Q460" s="28" t="str">
        <f aca="false">"["&amp;안내!$C$5&amp;" "&amp;C460&amp;"] "&amp;J460&amp;" | "&amp;H460</f>
        <v>[1분 성경 #0459] 우리를 돌이키소서 | 애 4:1-5:22</v>
      </c>
      <c r="R460" s="23" t="n">
        <f aca="false">INT((A460-1)/안내!$C$9)+1</f>
        <v>92</v>
      </c>
      <c r="S460" s="26" t="n">
        <f aca="false">안내!$C$10+(R460-1)*7+MOD(A460-1,안내!$C$9)</f>
        <v>47031</v>
      </c>
      <c r="T460" s="23" t="s">
        <v>99</v>
      </c>
      <c r="U460" s="23" t="s">
        <v>99</v>
      </c>
      <c r="V460" s="23" t="s">
        <v>99</v>
      </c>
      <c r="W460" s="23" t="s">
        <v>99</v>
      </c>
      <c r="X460" s="28"/>
      <c r="Y460" s="28" t="str">
        <f aca="false">"다음 편: "&amp;J461</f>
        <v>다음 편: 그발 강가의 환상</v>
      </c>
    </row>
    <row r="461" customFormat="false" ht="26.85" hidden="false" customHeight="false" outlineLevel="0" collapsed="false">
      <c r="A461" s="20" t="n">
        <v>460</v>
      </c>
      <c r="B461" s="20" t="s">
        <v>4377</v>
      </c>
      <c r="C461" s="20" t="s">
        <v>4378</v>
      </c>
      <c r="D461" s="20" t="s">
        <v>4379</v>
      </c>
      <c r="E461" s="21" t="s">
        <v>4380</v>
      </c>
      <c r="F461" s="22" t="s">
        <v>88</v>
      </c>
      <c r="G461" s="22" t="s">
        <v>4381</v>
      </c>
      <c r="H461" s="21" t="s">
        <v>4382</v>
      </c>
      <c r="I461" s="23" t="s">
        <v>1116</v>
      </c>
      <c r="J461" s="24" t="s">
        <v>4383</v>
      </c>
      <c r="K461" s="24" t="s">
        <v>4384</v>
      </c>
      <c r="L461" s="24" t="s">
        <v>4385</v>
      </c>
      <c r="M461" s="24" t="s">
        <v>4386</v>
      </c>
      <c r="N461" s="24" t="s">
        <v>4387</v>
      </c>
      <c r="O461" s="24" t="s">
        <v>4388</v>
      </c>
      <c r="P461" s="25" t="s">
        <v>4389</v>
      </c>
      <c r="Q461" s="28" t="str">
        <f aca="false">"["&amp;안내!$C$5&amp;" "&amp;C461&amp;"] "&amp;J461&amp;" | "&amp;H461</f>
        <v>[1분 성경 #0460] 그발 강가의 환상 | 겔 1:1-28</v>
      </c>
      <c r="R461" s="23" t="n">
        <f aca="false">INT((A461-1)/안내!$C$9)+1</f>
        <v>92</v>
      </c>
      <c r="S461" s="26" t="n">
        <f aca="false">안내!$C$10+(R461-1)*7+MOD(A461-1,안내!$C$9)</f>
        <v>47032</v>
      </c>
      <c r="T461" s="23" t="s">
        <v>99</v>
      </c>
      <c r="U461" s="23" t="s">
        <v>99</v>
      </c>
      <c r="V461" s="23" t="s">
        <v>99</v>
      </c>
      <c r="W461" s="23" t="s">
        <v>99</v>
      </c>
      <c r="X461" s="28"/>
      <c r="Y461" s="28" t="str">
        <f aca="false">"다음 편: "&amp;J462</f>
        <v>다음 편: 두루마리를 먹다</v>
      </c>
    </row>
    <row r="462" customFormat="false" ht="26.85" hidden="false" customHeight="false" outlineLevel="0" collapsed="false">
      <c r="A462" s="20" t="n">
        <v>461</v>
      </c>
      <c r="B462" s="20" t="s">
        <v>4390</v>
      </c>
      <c r="C462" s="20" t="s">
        <v>4391</v>
      </c>
      <c r="D462" s="20" t="s">
        <v>4379</v>
      </c>
      <c r="E462" s="21" t="s">
        <v>4380</v>
      </c>
      <c r="F462" s="22" t="s">
        <v>88</v>
      </c>
      <c r="G462" s="22" t="s">
        <v>4381</v>
      </c>
      <c r="H462" s="21" t="s">
        <v>4392</v>
      </c>
      <c r="I462" s="23" t="s">
        <v>1116</v>
      </c>
      <c r="J462" s="24" t="s">
        <v>4393</v>
      </c>
      <c r="K462" s="24" t="s">
        <v>4394</v>
      </c>
      <c r="L462" s="24" t="s">
        <v>4395</v>
      </c>
      <c r="M462" s="24" t="s">
        <v>4396</v>
      </c>
      <c r="N462" s="24" t="s">
        <v>4397</v>
      </c>
      <c r="O462" s="24" t="s">
        <v>4398</v>
      </c>
      <c r="P462" s="28"/>
      <c r="Q462" s="28" t="str">
        <f aca="false">"["&amp;안내!$C$5&amp;" "&amp;C462&amp;"] "&amp;J462&amp;" | "&amp;H462</f>
        <v>[1분 성경 #0461] 두루마리를 먹다 | 겔 2:1-3:27</v>
      </c>
      <c r="R462" s="23" t="n">
        <f aca="false">INT((A462-1)/안내!$C$9)+1</f>
        <v>93</v>
      </c>
      <c r="S462" s="26" t="n">
        <f aca="false">안내!$C$10+(R462-1)*7+MOD(A462-1,안내!$C$9)</f>
        <v>47035</v>
      </c>
      <c r="T462" s="23" t="s">
        <v>99</v>
      </c>
      <c r="U462" s="23" t="s">
        <v>99</v>
      </c>
      <c r="V462" s="23" t="s">
        <v>99</v>
      </c>
      <c r="W462" s="23" t="s">
        <v>99</v>
      </c>
      <c r="X462" s="28"/>
      <c r="Y462" s="28" t="str">
        <f aca="false">"다음 편: "&amp;J463</f>
        <v>다음 편: 390일 동안 누운 선지자</v>
      </c>
    </row>
    <row r="463" customFormat="false" ht="26.85" hidden="false" customHeight="false" outlineLevel="0" collapsed="false">
      <c r="A463" s="20" t="n">
        <v>462</v>
      </c>
      <c r="B463" s="20" t="s">
        <v>4399</v>
      </c>
      <c r="C463" s="20" t="s">
        <v>4400</v>
      </c>
      <c r="D463" s="20" t="s">
        <v>4379</v>
      </c>
      <c r="E463" s="21" t="s">
        <v>4380</v>
      </c>
      <c r="F463" s="22" t="s">
        <v>88</v>
      </c>
      <c r="G463" s="22" t="s">
        <v>4381</v>
      </c>
      <c r="H463" s="21" t="s">
        <v>4401</v>
      </c>
      <c r="I463" s="23" t="s">
        <v>1116</v>
      </c>
      <c r="J463" s="28" t="s">
        <v>4402</v>
      </c>
      <c r="K463" s="24" t="s">
        <v>4403</v>
      </c>
      <c r="L463" s="24" t="s">
        <v>4404</v>
      </c>
      <c r="M463" s="24" t="s">
        <v>4405</v>
      </c>
      <c r="N463" s="24" t="s">
        <v>4381</v>
      </c>
      <c r="O463" s="24" t="s">
        <v>4406</v>
      </c>
      <c r="P463" s="28"/>
      <c r="Q463" s="28" t="str">
        <f aca="false">"["&amp;안내!$C$5&amp;" "&amp;C463&amp;"] "&amp;J463&amp;" | "&amp;H463</f>
        <v>[1분 성경 #0462] 390일 동안 누운 선지자 | 겔 4:1-7:27</v>
      </c>
      <c r="R463" s="23" t="n">
        <f aca="false">INT((A463-1)/안내!$C$9)+1</f>
        <v>93</v>
      </c>
      <c r="S463" s="26" t="n">
        <f aca="false">안내!$C$10+(R463-1)*7+MOD(A463-1,안내!$C$9)</f>
        <v>47036</v>
      </c>
      <c r="T463" s="23" t="s">
        <v>99</v>
      </c>
      <c r="U463" s="23" t="s">
        <v>99</v>
      </c>
      <c r="V463" s="23" t="s">
        <v>99</v>
      </c>
      <c r="W463" s="23" t="s">
        <v>99</v>
      </c>
      <c r="X463" s="28"/>
      <c r="Y463" s="28" t="str">
        <f aca="false">"다음 편: "&amp;J464</f>
        <v>다음 편: 성전을 떠나는 영광</v>
      </c>
    </row>
    <row r="464" customFormat="false" ht="26.85" hidden="false" customHeight="false" outlineLevel="0" collapsed="false">
      <c r="A464" s="20" t="n">
        <v>463</v>
      </c>
      <c r="B464" s="20" t="s">
        <v>4407</v>
      </c>
      <c r="C464" s="20" t="s">
        <v>4408</v>
      </c>
      <c r="D464" s="20" t="s">
        <v>4379</v>
      </c>
      <c r="E464" s="21" t="s">
        <v>4380</v>
      </c>
      <c r="F464" s="22" t="s">
        <v>88</v>
      </c>
      <c r="G464" s="22" t="s">
        <v>4381</v>
      </c>
      <c r="H464" s="21" t="s">
        <v>4409</v>
      </c>
      <c r="I464" s="23" t="s">
        <v>1116</v>
      </c>
      <c r="J464" s="24" t="s">
        <v>4410</v>
      </c>
      <c r="K464" s="24" t="s">
        <v>4411</v>
      </c>
      <c r="L464" s="24" t="s">
        <v>4412</v>
      </c>
      <c r="M464" s="24" t="s">
        <v>4413</v>
      </c>
      <c r="N464" s="24" t="s">
        <v>4414</v>
      </c>
      <c r="O464" s="24" t="s">
        <v>4415</v>
      </c>
      <c r="P464" s="25" t="s">
        <v>4416</v>
      </c>
      <c r="Q464" s="28" t="str">
        <f aca="false">"["&amp;안내!$C$5&amp;" "&amp;C464&amp;"] "&amp;J464&amp;" | "&amp;H464</f>
        <v>[1분 성경 #0463] 성전을 떠나는 영광 | 겔 8:1-11:25</v>
      </c>
      <c r="R464" s="23" t="n">
        <f aca="false">INT((A464-1)/안내!$C$9)+1</f>
        <v>93</v>
      </c>
      <c r="S464" s="26" t="n">
        <f aca="false">안내!$C$10+(R464-1)*7+MOD(A464-1,안내!$C$9)</f>
        <v>47037</v>
      </c>
      <c r="T464" s="23" t="s">
        <v>99</v>
      </c>
      <c r="U464" s="23" t="s">
        <v>99</v>
      </c>
      <c r="V464" s="23" t="s">
        <v>99</v>
      </c>
      <c r="W464" s="23" t="s">
        <v>99</v>
      </c>
      <c r="X464" s="28"/>
      <c r="Y464" s="28" t="str">
        <f aca="false">"다음 편: "&amp;J465</f>
        <v>다음 편: 낮은 나무를 높이시는 하나님</v>
      </c>
    </row>
    <row r="465" customFormat="false" ht="26.85" hidden="false" customHeight="false" outlineLevel="0" collapsed="false">
      <c r="A465" s="20" t="n">
        <v>464</v>
      </c>
      <c r="B465" s="20" t="s">
        <v>4417</v>
      </c>
      <c r="C465" s="20" t="s">
        <v>4418</v>
      </c>
      <c r="D465" s="20" t="s">
        <v>4379</v>
      </c>
      <c r="E465" s="21" t="s">
        <v>4380</v>
      </c>
      <c r="F465" s="22" t="s">
        <v>88</v>
      </c>
      <c r="G465" s="22" t="s">
        <v>4381</v>
      </c>
      <c r="H465" s="21" t="s">
        <v>4419</v>
      </c>
      <c r="I465" s="23" t="s">
        <v>1116</v>
      </c>
      <c r="J465" s="24" t="s">
        <v>4420</v>
      </c>
      <c r="K465" s="24" t="s">
        <v>4421</v>
      </c>
      <c r="L465" s="24" t="s">
        <v>4422</v>
      </c>
      <c r="M465" s="24" t="s">
        <v>4423</v>
      </c>
      <c r="N465" s="24" t="s">
        <v>4381</v>
      </c>
      <c r="O465" s="24" t="s">
        <v>4424</v>
      </c>
      <c r="P465" s="28"/>
      <c r="Q465" s="28" t="str">
        <f aca="false">"["&amp;안내!$C$5&amp;" "&amp;C465&amp;"] "&amp;J465&amp;" | "&amp;H465</f>
        <v>[1분 성경 #0464] 낮은 나무를 높이시는 하나님 | 겔 12:1-17:24</v>
      </c>
      <c r="R465" s="23" t="n">
        <f aca="false">INT((A465-1)/안내!$C$9)+1</f>
        <v>93</v>
      </c>
      <c r="S465" s="26" t="n">
        <f aca="false">안내!$C$10+(R465-1)*7+MOD(A465-1,안내!$C$9)</f>
        <v>47038</v>
      </c>
      <c r="T465" s="23" t="s">
        <v>99</v>
      </c>
      <c r="U465" s="23" t="s">
        <v>99</v>
      </c>
      <c r="V465" s="23" t="s">
        <v>99</v>
      </c>
      <c r="W465" s="23" t="s">
        <v>99</v>
      </c>
      <c r="X465" s="28"/>
      <c r="Y465" s="28" t="str">
        <f aca="false">"다음 편: "&amp;J466</f>
        <v>다음 편: 각자의 책임</v>
      </c>
    </row>
    <row r="466" customFormat="false" ht="26.85" hidden="false" customHeight="false" outlineLevel="0" collapsed="false">
      <c r="A466" s="20" t="n">
        <v>465</v>
      </c>
      <c r="B466" s="20" t="s">
        <v>4425</v>
      </c>
      <c r="C466" s="20" t="s">
        <v>4426</v>
      </c>
      <c r="D466" s="20" t="s">
        <v>4379</v>
      </c>
      <c r="E466" s="21" t="s">
        <v>4380</v>
      </c>
      <c r="F466" s="22" t="s">
        <v>88</v>
      </c>
      <c r="G466" s="22" t="s">
        <v>4381</v>
      </c>
      <c r="H466" s="21" t="s">
        <v>4427</v>
      </c>
      <c r="I466" s="23" t="s">
        <v>1116</v>
      </c>
      <c r="J466" s="24" t="s">
        <v>4428</v>
      </c>
      <c r="K466" s="24" t="s">
        <v>4429</v>
      </c>
      <c r="L466" s="24" t="s">
        <v>4430</v>
      </c>
      <c r="M466" s="24" t="s">
        <v>4431</v>
      </c>
      <c r="N466" s="24" t="s">
        <v>4381</v>
      </c>
      <c r="O466" s="24" t="s">
        <v>3925</v>
      </c>
      <c r="P466" s="28"/>
      <c r="Q466" s="28" t="str">
        <f aca="false">"["&amp;안내!$C$5&amp;" "&amp;C466&amp;"] "&amp;J466&amp;" | "&amp;H466</f>
        <v>[1분 성경 #0465] 각자의 책임 | 겔 18:1-32</v>
      </c>
      <c r="R466" s="23" t="n">
        <f aca="false">INT((A466-1)/안내!$C$9)+1</f>
        <v>93</v>
      </c>
      <c r="S466" s="26" t="n">
        <f aca="false">안내!$C$10+(R466-1)*7+MOD(A466-1,안내!$C$9)</f>
        <v>47039</v>
      </c>
      <c r="T466" s="23" t="s">
        <v>99</v>
      </c>
      <c r="U466" s="23" t="s">
        <v>99</v>
      </c>
      <c r="V466" s="23" t="s">
        <v>99</v>
      </c>
      <c r="W466" s="23" t="s">
        <v>99</v>
      </c>
      <c r="X466" s="28"/>
      <c r="Y466" s="28" t="str">
        <f aca="false">"다음 편: "&amp;J467</f>
        <v>다음 편: 아내를 잃은 선지자</v>
      </c>
    </row>
    <row r="467" customFormat="false" ht="25.35" hidden="false" customHeight="false" outlineLevel="0" collapsed="false">
      <c r="A467" s="20" t="n">
        <v>466</v>
      </c>
      <c r="B467" s="20" t="s">
        <v>4432</v>
      </c>
      <c r="C467" s="20" t="s">
        <v>4433</v>
      </c>
      <c r="D467" s="20" t="s">
        <v>4379</v>
      </c>
      <c r="E467" s="21" t="s">
        <v>4380</v>
      </c>
      <c r="F467" s="22" t="s">
        <v>88</v>
      </c>
      <c r="G467" s="22" t="s">
        <v>4381</v>
      </c>
      <c r="H467" s="21" t="s">
        <v>4434</v>
      </c>
      <c r="I467" s="23" t="s">
        <v>1116</v>
      </c>
      <c r="J467" s="24" t="s">
        <v>4435</v>
      </c>
      <c r="K467" s="24" t="s">
        <v>4436</v>
      </c>
      <c r="L467" s="24" t="s">
        <v>4437</v>
      </c>
      <c r="M467" s="24" t="s">
        <v>4438</v>
      </c>
      <c r="N467" s="24" t="s">
        <v>4381</v>
      </c>
      <c r="O467" s="24" t="s">
        <v>4439</v>
      </c>
      <c r="P467" s="28"/>
      <c r="Q467" s="28" t="str">
        <f aca="false">"["&amp;안내!$C$5&amp;" "&amp;C467&amp;"] "&amp;J467&amp;" | "&amp;H467</f>
        <v>[1분 성경 #0466] 아내를 잃은 선지자 | 겔 19:1-24:27</v>
      </c>
      <c r="R467" s="23" t="n">
        <f aca="false">INT((A467-1)/안내!$C$9)+1</f>
        <v>94</v>
      </c>
      <c r="S467" s="26" t="n">
        <f aca="false">안내!$C$10+(R467-1)*7+MOD(A467-1,안내!$C$9)</f>
        <v>47042</v>
      </c>
      <c r="T467" s="23" t="s">
        <v>99</v>
      </c>
      <c r="U467" s="23" t="s">
        <v>99</v>
      </c>
      <c r="V467" s="23" t="s">
        <v>99</v>
      </c>
      <c r="W467" s="23" t="s">
        <v>99</v>
      </c>
      <c r="X467" s="28"/>
      <c r="Y467" s="28" t="str">
        <f aca="false">"다음 편: "&amp;J468</f>
        <v>다음 편: 열방을 향한 심판</v>
      </c>
    </row>
    <row r="468" customFormat="false" ht="26.85" hidden="false" customHeight="false" outlineLevel="0" collapsed="false">
      <c r="A468" s="20" t="n">
        <v>467</v>
      </c>
      <c r="B468" s="20" t="s">
        <v>4440</v>
      </c>
      <c r="C468" s="20" t="s">
        <v>4441</v>
      </c>
      <c r="D468" s="20" t="s">
        <v>4379</v>
      </c>
      <c r="E468" s="21" t="s">
        <v>4380</v>
      </c>
      <c r="F468" s="22" t="s">
        <v>88</v>
      </c>
      <c r="G468" s="22" t="s">
        <v>4381</v>
      </c>
      <c r="H468" s="21" t="s">
        <v>4442</v>
      </c>
      <c r="I468" s="23" t="s">
        <v>1116</v>
      </c>
      <c r="J468" s="24" t="s">
        <v>4443</v>
      </c>
      <c r="K468" s="24" t="s">
        <v>4444</v>
      </c>
      <c r="L468" s="24" t="s">
        <v>4445</v>
      </c>
      <c r="M468" s="24" t="s">
        <v>4446</v>
      </c>
      <c r="N468" s="24" t="s">
        <v>4381</v>
      </c>
      <c r="O468" s="24" t="s">
        <v>4447</v>
      </c>
      <c r="P468" s="27" t="s">
        <v>4448</v>
      </c>
      <c r="Q468" s="28" t="str">
        <f aca="false">"["&amp;안내!$C$5&amp;" "&amp;C468&amp;"] "&amp;J468&amp;" | "&amp;H468</f>
        <v>[1분 성경 #0467] 열방을 향한 심판 | 겔 25:1-32:32</v>
      </c>
      <c r="R468" s="23" t="n">
        <f aca="false">INT((A468-1)/안내!$C$9)+1</f>
        <v>94</v>
      </c>
      <c r="S468" s="26" t="n">
        <f aca="false">안내!$C$10+(R468-1)*7+MOD(A468-1,안내!$C$9)</f>
        <v>47043</v>
      </c>
      <c r="T468" s="23" t="s">
        <v>99</v>
      </c>
      <c r="U468" s="23" t="s">
        <v>99</v>
      </c>
      <c r="V468" s="23" t="s">
        <v>99</v>
      </c>
      <c r="W468" s="23" t="s">
        <v>99</v>
      </c>
      <c r="X468" s="28"/>
      <c r="Y468" s="28" t="str">
        <f aca="false">"다음 편: "&amp;J469</f>
        <v>다음 편: 파수꾼의 책임</v>
      </c>
    </row>
    <row r="469" customFormat="false" ht="26.85" hidden="false" customHeight="false" outlineLevel="0" collapsed="false">
      <c r="A469" s="20" t="n">
        <v>468</v>
      </c>
      <c r="B469" s="20" t="s">
        <v>4449</v>
      </c>
      <c r="C469" s="20" t="s">
        <v>4450</v>
      </c>
      <c r="D469" s="20" t="s">
        <v>4379</v>
      </c>
      <c r="E469" s="21" t="s">
        <v>4380</v>
      </c>
      <c r="F469" s="22" t="s">
        <v>88</v>
      </c>
      <c r="G469" s="22" t="s">
        <v>4381</v>
      </c>
      <c r="H469" s="21" t="s">
        <v>4451</v>
      </c>
      <c r="I469" s="23" t="s">
        <v>1116</v>
      </c>
      <c r="J469" s="24" t="s">
        <v>4452</v>
      </c>
      <c r="K469" s="24" t="s">
        <v>4453</v>
      </c>
      <c r="L469" s="24" t="s">
        <v>4454</v>
      </c>
      <c r="M469" s="24" t="s">
        <v>4455</v>
      </c>
      <c r="N469" s="24" t="s">
        <v>4381</v>
      </c>
      <c r="O469" s="24" t="s">
        <v>4456</v>
      </c>
      <c r="P469" s="28"/>
      <c r="Q469" s="28" t="str">
        <f aca="false">"["&amp;안내!$C$5&amp;" "&amp;C469&amp;"] "&amp;J469&amp;" | "&amp;H469</f>
        <v>[1분 성경 #0468] 파수꾼의 책임 | 겔 33:1-33</v>
      </c>
      <c r="R469" s="23" t="n">
        <f aca="false">INT((A469-1)/안내!$C$9)+1</f>
        <v>94</v>
      </c>
      <c r="S469" s="26" t="n">
        <f aca="false">안내!$C$10+(R469-1)*7+MOD(A469-1,안내!$C$9)</f>
        <v>47044</v>
      </c>
      <c r="T469" s="23" t="s">
        <v>99</v>
      </c>
      <c r="U469" s="23" t="s">
        <v>99</v>
      </c>
      <c r="V469" s="23" t="s">
        <v>99</v>
      </c>
      <c r="W469" s="23" t="s">
        <v>99</v>
      </c>
      <c r="X469" s="28"/>
      <c r="Y469" s="28" t="str">
        <f aca="false">"다음 편: "&amp;J470</f>
        <v>다음 편: 참 목자</v>
      </c>
    </row>
    <row r="470" customFormat="false" ht="26.85" hidden="false" customHeight="false" outlineLevel="0" collapsed="false">
      <c r="A470" s="20" t="n">
        <v>469</v>
      </c>
      <c r="B470" s="20" t="s">
        <v>4457</v>
      </c>
      <c r="C470" s="20" t="s">
        <v>4458</v>
      </c>
      <c r="D470" s="20" t="s">
        <v>4379</v>
      </c>
      <c r="E470" s="21" t="s">
        <v>4380</v>
      </c>
      <c r="F470" s="22" t="s">
        <v>88</v>
      </c>
      <c r="G470" s="22" t="s">
        <v>4381</v>
      </c>
      <c r="H470" s="21" t="s">
        <v>4459</v>
      </c>
      <c r="I470" s="23" t="s">
        <v>1116</v>
      </c>
      <c r="J470" s="24" t="s">
        <v>4460</v>
      </c>
      <c r="K470" s="24" t="s">
        <v>4461</v>
      </c>
      <c r="L470" s="24" t="s">
        <v>4462</v>
      </c>
      <c r="M470" s="24" t="s">
        <v>4463</v>
      </c>
      <c r="N470" s="24" t="s">
        <v>4381</v>
      </c>
      <c r="O470" s="24" t="s">
        <v>4464</v>
      </c>
      <c r="P470" s="25" t="s">
        <v>4465</v>
      </c>
      <c r="Q470" s="28" t="str">
        <f aca="false">"["&amp;안내!$C$5&amp;" "&amp;C470&amp;"] "&amp;J470&amp;" | "&amp;H470</f>
        <v>[1분 성경 #0469] 참 목자 | 겔 34:1-35:15</v>
      </c>
      <c r="R470" s="23" t="n">
        <f aca="false">INT((A470-1)/안내!$C$9)+1</f>
        <v>94</v>
      </c>
      <c r="S470" s="26" t="n">
        <f aca="false">안내!$C$10+(R470-1)*7+MOD(A470-1,안내!$C$9)</f>
        <v>47045</v>
      </c>
      <c r="T470" s="23" t="s">
        <v>99</v>
      </c>
      <c r="U470" s="23" t="s">
        <v>99</v>
      </c>
      <c r="V470" s="23" t="s">
        <v>99</v>
      </c>
      <c r="W470" s="23" t="s">
        <v>99</v>
      </c>
      <c r="X470" s="28"/>
      <c r="Y470" s="28" t="str">
        <f aca="false">"다음 편: "&amp;J471</f>
        <v>다음 편: 새 마음</v>
      </c>
    </row>
    <row r="471" customFormat="false" ht="15" hidden="false" customHeight="false" outlineLevel="0" collapsed="false">
      <c r="A471" s="20" t="n">
        <v>470</v>
      </c>
      <c r="B471" s="20" t="s">
        <v>4466</v>
      </c>
      <c r="C471" s="20" t="s">
        <v>4467</v>
      </c>
      <c r="D471" s="20" t="s">
        <v>4379</v>
      </c>
      <c r="E471" s="21" t="s">
        <v>4380</v>
      </c>
      <c r="F471" s="22" t="s">
        <v>88</v>
      </c>
      <c r="G471" s="22" t="s">
        <v>4381</v>
      </c>
      <c r="H471" s="21" t="s">
        <v>4468</v>
      </c>
      <c r="I471" s="23" t="s">
        <v>1116</v>
      </c>
      <c r="J471" s="24" t="s">
        <v>4469</v>
      </c>
      <c r="K471" s="24" t="s">
        <v>4470</v>
      </c>
      <c r="L471" s="24" t="s">
        <v>4471</v>
      </c>
      <c r="M471" s="24" t="s">
        <v>4472</v>
      </c>
      <c r="N471" s="24" t="s">
        <v>4381</v>
      </c>
      <c r="O471" s="24" t="s">
        <v>4473</v>
      </c>
      <c r="P471" s="25" t="s">
        <v>4474</v>
      </c>
      <c r="Q471" s="28" t="str">
        <f aca="false">"["&amp;안내!$C$5&amp;" "&amp;C471&amp;"] "&amp;J471&amp;" | "&amp;H471</f>
        <v>[1분 성경 #0470] 새 마음 | 겔 36:1-38</v>
      </c>
      <c r="R471" s="23" t="n">
        <f aca="false">INT((A471-1)/안내!$C$9)+1</f>
        <v>94</v>
      </c>
      <c r="S471" s="26" t="n">
        <f aca="false">안내!$C$10+(R471-1)*7+MOD(A471-1,안내!$C$9)</f>
        <v>47046</v>
      </c>
      <c r="T471" s="23" t="s">
        <v>99</v>
      </c>
      <c r="U471" s="23" t="s">
        <v>99</v>
      </c>
      <c r="V471" s="23" t="s">
        <v>99</v>
      </c>
      <c r="W471" s="23" t="s">
        <v>99</v>
      </c>
      <c r="X471" s="28"/>
      <c r="Y471" s="28" t="str">
        <f aca="false">"다음 편: "&amp;J472</f>
        <v>다음 편: 마른 뼈 골짜기</v>
      </c>
    </row>
    <row r="472" customFormat="false" ht="15" hidden="false" customHeight="false" outlineLevel="0" collapsed="false">
      <c r="A472" s="20" t="n">
        <v>471</v>
      </c>
      <c r="B472" s="20" t="s">
        <v>4475</v>
      </c>
      <c r="C472" s="20" t="s">
        <v>4476</v>
      </c>
      <c r="D472" s="20" t="s">
        <v>4379</v>
      </c>
      <c r="E472" s="21" t="s">
        <v>4380</v>
      </c>
      <c r="F472" s="22" t="s">
        <v>88</v>
      </c>
      <c r="G472" s="22" t="s">
        <v>4381</v>
      </c>
      <c r="H472" s="21" t="s">
        <v>4477</v>
      </c>
      <c r="I472" s="23" t="s">
        <v>1116</v>
      </c>
      <c r="J472" s="24" t="s">
        <v>4478</v>
      </c>
      <c r="K472" s="24" t="s">
        <v>4479</v>
      </c>
      <c r="L472" s="24" t="s">
        <v>4480</v>
      </c>
      <c r="M472" s="24" t="s">
        <v>4481</v>
      </c>
      <c r="N472" s="24" t="s">
        <v>4397</v>
      </c>
      <c r="O472" s="24" t="s">
        <v>4482</v>
      </c>
      <c r="P472" s="25" t="s">
        <v>4483</v>
      </c>
      <c r="Q472" s="28" t="str">
        <f aca="false">"["&amp;안내!$C$5&amp;" "&amp;C472&amp;"] "&amp;J472&amp;" | "&amp;H472</f>
        <v>[1분 성경 #0471] 마른 뼈 골짜기 | 겔 37:1-14</v>
      </c>
      <c r="R472" s="23" t="n">
        <f aca="false">INT((A472-1)/안내!$C$9)+1</f>
        <v>95</v>
      </c>
      <c r="S472" s="26" t="n">
        <f aca="false">안내!$C$10+(R472-1)*7+MOD(A472-1,안내!$C$9)</f>
        <v>47049</v>
      </c>
      <c r="T472" s="23" t="s">
        <v>99</v>
      </c>
      <c r="U472" s="23" t="s">
        <v>99</v>
      </c>
      <c r="V472" s="23" t="s">
        <v>99</v>
      </c>
      <c r="W472" s="23" t="s">
        <v>99</v>
      </c>
      <c r="X472" s="28"/>
      <c r="Y472" s="28" t="str">
        <f aca="false">"다음 편: "&amp;J473</f>
        <v>다음 편: 두 막대기와 곡</v>
      </c>
    </row>
    <row r="473" customFormat="false" ht="26.85" hidden="false" customHeight="false" outlineLevel="0" collapsed="false">
      <c r="A473" s="20" t="n">
        <v>472</v>
      </c>
      <c r="B473" s="20" t="s">
        <v>4484</v>
      </c>
      <c r="C473" s="20" t="s">
        <v>4485</v>
      </c>
      <c r="D473" s="20" t="s">
        <v>4379</v>
      </c>
      <c r="E473" s="21" t="s">
        <v>4380</v>
      </c>
      <c r="F473" s="22" t="s">
        <v>88</v>
      </c>
      <c r="G473" s="22" t="s">
        <v>4381</v>
      </c>
      <c r="H473" s="21" t="s">
        <v>4486</v>
      </c>
      <c r="I473" s="23" t="s">
        <v>1116</v>
      </c>
      <c r="J473" s="24" t="s">
        <v>4487</v>
      </c>
      <c r="K473" s="24" t="s">
        <v>4488</v>
      </c>
      <c r="L473" s="24" t="s">
        <v>4489</v>
      </c>
      <c r="M473" s="24" t="s">
        <v>4490</v>
      </c>
      <c r="N473" s="24" t="s">
        <v>4381</v>
      </c>
      <c r="O473" s="24" t="s">
        <v>4491</v>
      </c>
      <c r="P473" s="25" t="s">
        <v>4492</v>
      </c>
      <c r="Q473" s="28" t="str">
        <f aca="false">"["&amp;안내!$C$5&amp;" "&amp;C473&amp;"] "&amp;J473&amp;" | "&amp;H473</f>
        <v>[1분 성경 #0472] 두 막대기와 곡 | 겔 37:15-39:29</v>
      </c>
      <c r="R473" s="23" t="n">
        <f aca="false">INT((A473-1)/안내!$C$9)+1</f>
        <v>95</v>
      </c>
      <c r="S473" s="26" t="n">
        <f aca="false">안내!$C$10+(R473-1)*7+MOD(A473-1,안내!$C$9)</f>
        <v>47050</v>
      </c>
      <c r="T473" s="23" t="s">
        <v>99</v>
      </c>
      <c r="U473" s="23" t="s">
        <v>99</v>
      </c>
      <c r="V473" s="23" t="s">
        <v>99</v>
      </c>
      <c r="W473" s="23" t="s">
        <v>99</v>
      </c>
      <c r="X473" s="28"/>
      <c r="Y473" s="28" t="str">
        <f aca="false">"다음 편: "&amp;J474</f>
        <v>다음 편: 생명수 강</v>
      </c>
    </row>
    <row r="474" customFormat="false" ht="26.85" hidden="false" customHeight="false" outlineLevel="0" collapsed="false">
      <c r="A474" s="20" t="n">
        <v>473</v>
      </c>
      <c r="B474" s="20" t="s">
        <v>4493</v>
      </c>
      <c r="C474" s="20" t="s">
        <v>4494</v>
      </c>
      <c r="D474" s="20" t="s">
        <v>4379</v>
      </c>
      <c r="E474" s="21" t="s">
        <v>4380</v>
      </c>
      <c r="F474" s="22" t="s">
        <v>88</v>
      </c>
      <c r="G474" s="22" t="s">
        <v>4381</v>
      </c>
      <c r="H474" s="21" t="s">
        <v>4495</v>
      </c>
      <c r="I474" s="23" t="s">
        <v>1116</v>
      </c>
      <c r="J474" s="24" t="s">
        <v>4496</v>
      </c>
      <c r="K474" s="24" t="s">
        <v>4497</v>
      </c>
      <c r="L474" s="24" t="s">
        <v>4498</v>
      </c>
      <c r="M474" s="24" t="s">
        <v>4499</v>
      </c>
      <c r="N474" s="24" t="s">
        <v>4500</v>
      </c>
      <c r="O474" s="24" t="s">
        <v>4501</v>
      </c>
      <c r="P474" s="25" t="s">
        <v>4502</v>
      </c>
      <c r="Q474" s="28" t="str">
        <f aca="false">"["&amp;안내!$C$5&amp;" "&amp;C474&amp;"] "&amp;J474&amp;" | "&amp;H474</f>
        <v>[1분 성경 #0473] 생명수 강 | 겔 40:1-48:35</v>
      </c>
      <c r="R474" s="23" t="n">
        <f aca="false">INT((A474-1)/안내!$C$9)+1</f>
        <v>95</v>
      </c>
      <c r="S474" s="26" t="n">
        <f aca="false">안내!$C$10+(R474-1)*7+MOD(A474-1,안내!$C$9)</f>
        <v>47051</v>
      </c>
      <c r="T474" s="23" t="s">
        <v>99</v>
      </c>
      <c r="U474" s="23" t="s">
        <v>99</v>
      </c>
      <c r="V474" s="23" t="s">
        <v>99</v>
      </c>
      <c r="W474" s="23" t="s">
        <v>99</v>
      </c>
      <c r="X474" s="28"/>
      <c r="Y474" s="28" t="str">
        <f aca="false">"다음 편: "&amp;J475</f>
        <v>다음 편: 뜻을 정한 다니엘</v>
      </c>
    </row>
    <row r="475" customFormat="false" ht="26.85" hidden="false" customHeight="false" outlineLevel="0" collapsed="false">
      <c r="A475" s="20" t="n">
        <v>474</v>
      </c>
      <c r="B475" s="20" t="s">
        <v>4503</v>
      </c>
      <c r="C475" s="20" t="s">
        <v>4504</v>
      </c>
      <c r="D475" s="20" t="s">
        <v>4505</v>
      </c>
      <c r="E475" s="21" t="s">
        <v>4506</v>
      </c>
      <c r="F475" s="22" t="s">
        <v>88</v>
      </c>
      <c r="G475" s="22" t="s">
        <v>4507</v>
      </c>
      <c r="H475" s="21" t="s">
        <v>4508</v>
      </c>
      <c r="I475" s="23" t="s">
        <v>91</v>
      </c>
      <c r="J475" s="24" t="s">
        <v>4509</v>
      </c>
      <c r="K475" s="24" t="s">
        <v>4510</v>
      </c>
      <c r="L475" s="24" t="s">
        <v>4511</v>
      </c>
      <c r="M475" s="24" t="s">
        <v>4512</v>
      </c>
      <c r="N475" s="24" t="s">
        <v>4513</v>
      </c>
      <c r="O475" s="24" t="s">
        <v>4514</v>
      </c>
      <c r="P475" s="28"/>
      <c r="Q475" s="28" t="str">
        <f aca="false">"["&amp;안내!$C$5&amp;" "&amp;C475&amp;"] "&amp;J475&amp;" | "&amp;H475</f>
        <v>[1분 성경 #0474] 뜻을 정한 다니엘 | 단 1:1-21</v>
      </c>
      <c r="R475" s="23" t="n">
        <f aca="false">INT((A475-1)/안내!$C$9)+1</f>
        <v>95</v>
      </c>
      <c r="S475" s="26" t="n">
        <f aca="false">안내!$C$10+(R475-1)*7+MOD(A475-1,안내!$C$9)</f>
        <v>47052</v>
      </c>
      <c r="T475" s="23" t="s">
        <v>99</v>
      </c>
      <c r="U475" s="23" t="s">
        <v>99</v>
      </c>
      <c r="V475" s="23" t="s">
        <v>99</v>
      </c>
      <c r="W475" s="23" t="s">
        <v>99</v>
      </c>
      <c r="X475" s="28"/>
      <c r="Y475" s="28" t="str">
        <f aca="false">"다음 편: "&amp;J476</f>
        <v>다음 편: 아무도 풀 수 없는 꿈</v>
      </c>
    </row>
    <row r="476" customFormat="false" ht="26.85" hidden="false" customHeight="false" outlineLevel="0" collapsed="false">
      <c r="A476" s="20" t="n">
        <v>475</v>
      </c>
      <c r="B476" s="20" t="s">
        <v>4515</v>
      </c>
      <c r="C476" s="20" t="s">
        <v>4516</v>
      </c>
      <c r="D476" s="20" t="s">
        <v>4505</v>
      </c>
      <c r="E476" s="21" t="s">
        <v>4506</v>
      </c>
      <c r="F476" s="22" t="s">
        <v>88</v>
      </c>
      <c r="G476" s="22" t="s">
        <v>4507</v>
      </c>
      <c r="H476" s="21" t="s">
        <v>4517</v>
      </c>
      <c r="I476" s="23" t="s">
        <v>91</v>
      </c>
      <c r="J476" s="24" t="s">
        <v>4518</v>
      </c>
      <c r="K476" s="24" t="s">
        <v>4519</v>
      </c>
      <c r="L476" s="24" t="s">
        <v>4520</v>
      </c>
      <c r="M476" s="24" t="s">
        <v>4521</v>
      </c>
      <c r="N476" s="24" t="s">
        <v>4522</v>
      </c>
      <c r="O476" s="24" t="s">
        <v>4514</v>
      </c>
      <c r="P476" s="28"/>
      <c r="Q476" s="28" t="str">
        <f aca="false">"["&amp;안내!$C$5&amp;" "&amp;C476&amp;"] "&amp;J476&amp;" | "&amp;H476</f>
        <v>[1분 성경 #0475] 아무도 풀 수 없는 꿈 | 단 2:1-30</v>
      </c>
      <c r="R476" s="23" t="n">
        <f aca="false">INT((A476-1)/안내!$C$9)+1</f>
        <v>95</v>
      </c>
      <c r="S476" s="26" t="n">
        <f aca="false">안내!$C$10+(R476-1)*7+MOD(A476-1,안내!$C$9)</f>
        <v>47053</v>
      </c>
      <c r="T476" s="23" t="s">
        <v>99</v>
      </c>
      <c r="U476" s="23" t="s">
        <v>99</v>
      </c>
      <c r="V476" s="23" t="s">
        <v>99</v>
      </c>
      <c r="W476" s="23" t="s">
        <v>99</v>
      </c>
      <c r="X476" s="28"/>
      <c r="Y476" s="28" t="str">
        <f aca="false">"다음 편: "&amp;J477</f>
        <v>다음 편: 거대한 신상과 뜨인 돌</v>
      </c>
    </row>
    <row r="477" customFormat="false" ht="26.85" hidden="false" customHeight="false" outlineLevel="0" collapsed="false">
      <c r="A477" s="20" t="n">
        <v>476</v>
      </c>
      <c r="B477" s="20" t="s">
        <v>4523</v>
      </c>
      <c r="C477" s="20" t="s">
        <v>4524</v>
      </c>
      <c r="D477" s="20" t="s">
        <v>4505</v>
      </c>
      <c r="E477" s="21" t="s">
        <v>4506</v>
      </c>
      <c r="F477" s="22" t="s">
        <v>88</v>
      </c>
      <c r="G477" s="22" t="s">
        <v>4507</v>
      </c>
      <c r="H477" s="21" t="s">
        <v>4525</v>
      </c>
      <c r="I477" s="23" t="s">
        <v>91</v>
      </c>
      <c r="J477" s="24" t="s">
        <v>4526</v>
      </c>
      <c r="K477" s="24" t="s">
        <v>4527</v>
      </c>
      <c r="L477" s="24" t="s">
        <v>4528</v>
      </c>
      <c r="M477" s="24" t="s">
        <v>4529</v>
      </c>
      <c r="N477" s="24" t="s">
        <v>4522</v>
      </c>
      <c r="O477" s="24" t="s">
        <v>4530</v>
      </c>
      <c r="P477" s="25" t="s">
        <v>4531</v>
      </c>
      <c r="Q477" s="28" t="str">
        <f aca="false">"["&amp;안내!$C$5&amp;" "&amp;C477&amp;"] "&amp;J477&amp;" | "&amp;H477</f>
        <v>[1분 성경 #0476] 거대한 신상과 뜨인 돌 | 단 2:31-49</v>
      </c>
      <c r="R477" s="23" t="n">
        <f aca="false">INT((A477-1)/안내!$C$9)+1</f>
        <v>96</v>
      </c>
      <c r="S477" s="26" t="n">
        <f aca="false">안내!$C$10+(R477-1)*7+MOD(A477-1,안내!$C$9)</f>
        <v>47056</v>
      </c>
      <c r="T477" s="23" t="s">
        <v>99</v>
      </c>
      <c r="U477" s="23" t="s">
        <v>99</v>
      </c>
      <c r="V477" s="23" t="s">
        <v>99</v>
      </c>
      <c r="W477" s="23" t="s">
        <v>99</v>
      </c>
      <c r="X477" s="28"/>
      <c r="Y477" s="28" t="str">
        <f aca="false">"다음 편: "&amp;J478</f>
        <v>다음 편: 그리 아니하실지라도</v>
      </c>
    </row>
    <row r="478" customFormat="false" ht="26.85" hidden="false" customHeight="false" outlineLevel="0" collapsed="false">
      <c r="A478" s="20" t="n">
        <v>477</v>
      </c>
      <c r="B478" s="20" t="s">
        <v>4532</v>
      </c>
      <c r="C478" s="20" t="s">
        <v>4533</v>
      </c>
      <c r="D478" s="20" t="s">
        <v>4505</v>
      </c>
      <c r="E478" s="21" t="s">
        <v>4506</v>
      </c>
      <c r="F478" s="22" t="s">
        <v>88</v>
      </c>
      <c r="G478" s="22" t="s">
        <v>4507</v>
      </c>
      <c r="H478" s="21" t="s">
        <v>4534</v>
      </c>
      <c r="I478" s="23" t="s">
        <v>91</v>
      </c>
      <c r="J478" s="24" t="s">
        <v>4535</v>
      </c>
      <c r="K478" s="24" t="s">
        <v>4536</v>
      </c>
      <c r="L478" s="24" t="s">
        <v>4537</v>
      </c>
      <c r="M478" s="24" t="s">
        <v>4538</v>
      </c>
      <c r="N478" s="24" t="s">
        <v>4539</v>
      </c>
      <c r="O478" s="24" t="s">
        <v>4540</v>
      </c>
      <c r="P478" s="28"/>
      <c r="Q478" s="28" t="str">
        <f aca="false">"["&amp;안내!$C$5&amp;" "&amp;C478&amp;"] "&amp;J478&amp;" | "&amp;H478</f>
        <v>[1분 성경 #0477] 그리 아니하실지라도 | 단 3:1-18</v>
      </c>
      <c r="R478" s="23" t="n">
        <f aca="false">INT((A478-1)/안내!$C$9)+1</f>
        <v>96</v>
      </c>
      <c r="S478" s="26" t="n">
        <f aca="false">안내!$C$10+(R478-1)*7+MOD(A478-1,안내!$C$9)</f>
        <v>47057</v>
      </c>
      <c r="T478" s="23" t="s">
        <v>99</v>
      </c>
      <c r="U478" s="23" t="s">
        <v>99</v>
      </c>
      <c r="V478" s="23" t="s">
        <v>99</v>
      </c>
      <c r="W478" s="23" t="s">
        <v>99</v>
      </c>
      <c r="X478" s="28"/>
      <c r="Y478" s="28" t="str">
        <f aca="false">"다음 편: "&amp;J479</f>
        <v>다음 편: 풀무불 속 네 번째 사람</v>
      </c>
    </row>
    <row r="479" customFormat="false" ht="26.85" hidden="false" customHeight="false" outlineLevel="0" collapsed="false">
      <c r="A479" s="20" t="n">
        <v>478</v>
      </c>
      <c r="B479" s="20" t="s">
        <v>4541</v>
      </c>
      <c r="C479" s="20" t="s">
        <v>4542</v>
      </c>
      <c r="D479" s="20" t="s">
        <v>4505</v>
      </c>
      <c r="E479" s="21" t="s">
        <v>4506</v>
      </c>
      <c r="F479" s="22" t="s">
        <v>88</v>
      </c>
      <c r="G479" s="22" t="s">
        <v>4507</v>
      </c>
      <c r="H479" s="21" t="s">
        <v>4543</v>
      </c>
      <c r="I479" s="23" t="s">
        <v>91</v>
      </c>
      <c r="J479" s="24" t="s">
        <v>4544</v>
      </c>
      <c r="K479" s="24" t="s">
        <v>4545</v>
      </c>
      <c r="L479" s="24" t="s">
        <v>4546</v>
      </c>
      <c r="M479" s="24" t="s">
        <v>4547</v>
      </c>
      <c r="N479" s="24" t="s">
        <v>4548</v>
      </c>
      <c r="O479" s="24" t="s">
        <v>4549</v>
      </c>
      <c r="P479" s="25" t="s">
        <v>4550</v>
      </c>
      <c r="Q479" s="28" t="str">
        <f aca="false">"["&amp;안내!$C$5&amp;" "&amp;C479&amp;"] "&amp;J479&amp;" | "&amp;H479</f>
        <v>[1분 성경 #0478] 풀무불 속 네 번째 사람 | 단 3:19-30</v>
      </c>
      <c r="R479" s="23" t="n">
        <f aca="false">INT((A479-1)/안내!$C$9)+1</f>
        <v>96</v>
      </c>
      <c r="S479" s="26" t="n">
        <f aca="false">안내!$C$10+(R479-1)*7+MOD(A479-1,안내!$C$9)</f>
        <v>47058</v>
      </c>
      <c r="T479" s="23" t="s">
        <v>99</v>
      </c>
      <c r="U479" s="23" t="s">
        <v>99</v>
      </c>
      <c r="V479" s="23" t="s">
        <v>99</v>
      </c>
      <c r="W479" s="23" t="s">
        <v>99</v>
      </c>
      <c r="X479" s="28"/>
      <c r="Y479" s="28" t="str">
        <f aca="false">"다음 편: "&amp;J480</f>
        <v>다음 편: 짐승처럼 된 왕</v>
      </c>
    </row>
    <row r="480" customFormat="false" ht="26.85" hidden="false" customHeight="false" outlineLevel="0" collapsed="false">
      <c r="A480" s="20" t="n">
        <v>479</v>
      </c>
      <c r="B480" s="20" t="s">
        <v>4551</v>
      </c>
      <c r="C480" s="20" t="s">
        <v>4552</v>
      </c>
      <c r="D480" s="20" t="s">
        <v>4505</v>
      </c>
      <c r="E480" s="21" t="s">
        <v>4506</v>
      </c>
      <c r="F480" s="22" t="s">
        <v>88</v>
      </c>
      <c r="G480" s="22" t="s">
        <v>4507</v>
      </c>
      <c r="H480" s="21" t="s">
        <v>4553</v>
      </c>
      <c r="I480" s="23" t="s">
        <v>91</v>
      </c>
      <c r="J480" s="24" t="s">
        <v>4554</v>
      </c>
      <c r="K480" s="24" t="s">
        <v>4555</v>
      </c>
      <c r="L480" s="24" t="s">
        <v>4556</v>
      </c>
      <c r="M480" s="24" t="s">
        <v>4557</v>
      </c>
      <c r="N480" s="24" t="s">
        <v>4522</v>
      </c>
      <c r="O480" s="24" t="s">
        <v>4558</v>
      </c>
      <c r="P480" s="28"/>
      <c r="Q480" s="28" t="str">
        <f aca="false">"["&amp;안내!$C$5&amp;" "&amp;C480&amp;"] "&amp;J480&amp;" | "&amp;H480</f>
        <v>[1분 성경 #0479] 짐승처럼 된 왕 | 단 4:1-37</v>
      </c>
      <c r="R480" s="23" t="n">
        <f aca="false">INT((A480-1)/안내!$C$9)+1</f>
        <v>96</v>
      </c>
      <c r="S480" s="26" t="n">
        <f aca="false">안내!$C$10+(R480-1)*7+MOD(A480-1,안내!$C$9)</f>
        <v>47059</v>
      </c>
      <c r="T480" s="23" t="s">
        <v>99</v>
      </c>
      <c r="U480" s="23" t="s">
        <v>99</v>
      </c>
      <c r="V480" s="23" t="s">
        <v>99</v>
      </c>
      <c r="W480" s="23" t="s">
        <v>99</v>
      </c>
      <c r="X480" s="28"/>
      <c r="Y480" s="28" t="str">
        <f aca="false">"다음 편: "&amp;J481</f>
        <v>다음 편: 벽에 나타난 손가락</v>
      </c>
    </row>
    <row r="481" customFormat="false" ht="26.85" hidden="false" customHeight="false" outlineLevel="0" collapsed="false">
      <c r="A481" s="20" t="n">
        <v>480</v>
      </c>
      <c r="B481" s="20" t="s">
        <v>4559</v>
      </c>
      <c r="C481" s="20" t="s">
        <v>4560</v>
      </c>
      <c r="D481" s="20" t="s">
        <v>4505</v>
      </c>
      <c r="E481" s="21" t="s">
        <v>4506</v>
      </c>
      <c r="F481" s="22" t="s">
        <v>88</v>
      </c>
      <c r="G481" s="22" t="s">
        <v>4507</v>
      </c>
      <c r="H481" s="21" t="s">
        <v>4561</v>
      </c>
      <c r="I481" s="23" t="s">
        <v>91</v>
      </c>
      <c r="J481" s="24" t="s">
        <v>4562</v>
      </c>
      <c r="K481" s="24" t="s">
        <v>4563</v>
      </c>
      <c r="L481" s="24" t="s">
        <v>4564</v>
      </c>
      <c r="M481" s="24" t="s">
        <v>4565</v>
      </c>
      <c r="N481" s="24" t="s">
        <v>4566</v>
      </c>
      <c r="O481" s="24" t="s">
        <v>4567</v>
      </c>
      <c r="P481" s="28"/>
      <c r="Q481" s="28" t="str">
        <f aca="false">"["&amp;안내!$C$5&amp;" "&amp;C481&amp;"] "&amp;J481&amp;" | "&amp;H481</f>
        <v>[1분 성경 #0480] 벽에 나타난 손가락 | 단 5:1-31</v>
      </c>
      <c r="R481" s="23" t="n">
        <f aca="false">INT((A481-1)/안내!$C$9)+1</f>
        <v>96</v>
      </c>
      <c r="S481" s="26" t="n">
        <f aca="false">안내!$C$10+(R481-1)*7+MOD(A481-1,안내!$C$9)</f>
        <v>47060</v>
      </c>
      <c r="T481" s="23" t="s">
        <v>99</v>
      </c>
      <c r="U481" s="23" t="s">
        <v>99</v>
      </c>
      <c r="V481" s="23" t="s">
        <v>99</v>
      </c>
      <c r="W481" s="23" t="s">
        <v>99</v>
      </c>
      <c r="X481" s="28"/>
      <c r="Y481" s="28" t="str">
        <f aca="false">"다음 편: "&amp;J482</f>
        <v>다음 편: 하루 세 번 기도</v>
      </c>
    </row>
    <row r="482" customFormat="false" ht="15" hidden="false" customHeight="false" outlineLevel="0" collapsed="false">
      <c r="A482" s="20" t="n">
        <v>481</v>
      </c>
      <c r="B482" s="20" t="s">
        <v>4568</v>
      </c>
      <c r="C482" s="20" t="s">
        <v>4569</v>
      </c>
      <c r="D482" s="20" t="s">
        <v>4505</v>
      </c>
      <c r="E482" s="21" t="s">
        <v>4506</v>
      </c>
      <c r="F482" s="22" t="s">
        <v>88</v>
      </c>
      <c r="G482" s="22" t="s">
        <v>4507</v>
      </c>
      <c r="H482" s="21" t="s">
        <v>4570</v>
      </c>
      <c r="I482" s="23" t="s">
        <v>91</v>
      </c>
      <c r="J482" s="24" t="s">
        <v>4571</v>
      </c>
      <c r="K482" s="24" t="s">
        <v>4572</v>
      </c>
      <c r="L482" s="24" t="s">
        <v>4573</v>
      </c>
      <c r="M482" s="24" t="s">
        <v>4574</v>
      </c>
      <c r="N482" s="24" t="s">
        <v>4575</v>
      </c>
      <c r="O482" s="24" t="s">
        <v>4576</v>
      </c>
      <c r="P482" s="28"/>
      <c r="Q482" s="28" t="str">
        <f aca="false">"["&amp;안내!$C$5&amp;" "&amp;C482&amp;"] "&amp;J482&amp;" | "&amp;H482</f>
        <v>[1분 성경 #0481] 하루 세 번 기도 | 단 6:1-15</v>
      </c>
      <c r="R482" s="23" t="n">
        <f aca="false">INT((A482-1)/안내!$C$9)+1</f>
        <v>97</v>
      </c>
      <c r="S482" s="26" t="n">
        <f aca="false">안내!$C$10+(R482-1)*7+MOD(A482-1,안내!$C$9)</f>
        <v>47063</v>
      </c>
      <c r="T482" s="23" t="s">
        <v>99</v>
      </c>
      <c r="U482" s="23" t="s">
        <v>99</v>
      </c>
      <c r="V482" s="23" t="s">
        <v>99</v>
      </c>
      <c r="W482" s="23" t="s">
        <v>99</v>
      </c>
      <c r="X482" s="28"/>
      <c r="Y482" s="28" t="str">
        <f aca="false">"다음 편: "&amp;J483</f>
        <v>다음 편: 사자 굴</v>
      </c>
    </row>
    <row r="483" customFormat="false" ht="26.85" hidden="false" customHeight="false" outlineLevel="0" collapsed="false">
      <c r="A483" s="20" t="n">
        <v>482</v>
      </c>
      <c r="B483" s="20" t="s">
        <v>4577</v>
      </c>
      <c r="C483" s="20" t="s">
        <v>4578</v>
      </c>
      <c r="D483" s="20" t="s">
        <v>4505</v>
      </c>
      <c r="E483" s="21" t="s">
        <v>4506</v>
      </c>
      <c r="F483" s="22" t="s">
        <v>88</v>
      </c>
      <c r="G483" s="22" t="s">
        <v>4507</v>
      </c>
      <c r="H483" s="21" t="s">
        <v>4579</v>
      </c>
      <c r="I483" s="23" t="s">
        <v>91</v>
      </c>
      <c r="J483" s="24" t="s">
        <v>4580</v>
      </c>
      <c r="K483" s="24" t="s">
        <v>4581</v>
      </c>
      <c r="L483" s="24" t="s">
        <v>4582</v>
      </c>
      <c r="M483" s="24" t="s">
        <v>4583</v>
      </c>
      <c r="N483" s="24" t="s">
        <v>4584</v>
      </c>
      <c r="O483" s="24" t="s">
        <v>4580</v>
      </c>
      <c r="P483" s="25" t="s">
        <v>4585</v>
      </c>
      <c r="Q483" s="28" t="str">
        <f aca="false">"["&amp;안내!$C$5&amp;" "&amp;C483&amp;"] "&amp;J483&amp;" | "&amp;H483</f>
        <v>[1분 성경 #0482] 사자 굴 | 단 6:16-28</v>
      </c>
      <c r="R483" s="23" t="n">
        <f aca="false">INT((A483-1)/안내!$C$9)+1</f>
        <v>97</v>
      </c>
      <c r="S483" s="26" t="n">
        <f aca="false">안내!$C$10+(R483-1)*7+MOD(A483-1,안내!$C$9)</f>
        <v>47064</v>
      </c>
      <c r="T483" s="23" t="s">
        <v>99</v>
      </c>
      <c r="U483" s="23" t="s">
        <v>99</v>
      </c>
      <c r="V483" s="23" t="s">
        <v>99</v>
      </c>
      <c r="W483" s="23" t="s">
        <v>99</v>
      </c>
      <c r="X483" s="28"/>
      <c r="Y483" s="28" t="str">
        <f aca="false">"다음 편: "&amp;J484</f>
        <v>다음 편: 네 짐승과 인자 같은 이</v>
      </c>
    </row>
    <row r="484" customFormat="false" ht="39.55" hidden="false" customHeight="false" outlineLevel="0" collapsed="false">
      <c r="A484" s="20" t="n">
        <v>483</v>
      </c>
      <c r="B484" s="20" t="s">
        <v>4586</v>
      </c>
      <c r="C484" s="20" t="s">
        <v>4587</v>
      </c>
      <c r="D484" s="20" t="s">
        <v>4505</v>
      </c>
      <c r="E484" s="21" t="s">
        <v>4506</v>
      </c>
      <c r="F484" s="22" t="s">
        <v>88</v>
      </c>
      <c r="G484" s="22" t="s">
        <v>4507</v>
      </c>
      <c r="H484" s="21" t="s">
        <v>4588</v>
      </c>
      <c r="I484" s="23" t="s">
        <v>1116</v>
      </c>
      <c r="J484" s="24" t="s">
        <v>4589</v>
      </c>
      <c r="K484" s="24" t="s">
        <v>4590</v>
      </c>
      <c r="L484" s="24" t="s">
        <v>4591</v>
      </c>
      <c r="M484" s="24" t="s">
        <v>4592</v>
      </c>
      <c r="N484" s="24" t="s">
        <v>4593</v>
      </c>
      <c r="O484" s="24" t="s">
        <v>4594</v>
      </c>
      <c r="P484" s="25" t="s">
        <v>4595</v>
      </c>
      <c r="Q484" s="28" t="str">
        <f aca="false">"["&amp;안내!$C$5&amp;" "&amp;C484&amp;"] "&amp;J484&amp;" | "&amp;H484</f>
        <v>[1분 성경 #0483] 네 짐승과 인자 같은 이 | 단 7:1-28</v>
      </c>
      <c r="R484" s="23" t="n">
        <f aca="false">INT((A484-1)/안내!$C$9)+1</f>
        <v>97</v>
      </c>
      <c r="S484" s="26" t="n">
        <f aca="false">안내!$C$10+(R484-1)*7+MOD(A484-1,안내!$C$9)</f>
        <v>47065</v>
      </c>
      <c r="T484" s="23" t="s">
        <v>99</v>
      </c>
      <c r="U484" s="23" t="s">
        <v>99</v>
      </c>
      <c r="V484" s="23" t="s">
        <v>99</v>
      </c>
      <c r="W484" s="23" t="s">
        <v>99</v>
      </c>
      <c r="X484" s="28"/>
      <c r="Y484" s="28" t="str">
        <f aca="false">"다음 편: "&amp;J485</f>
        <v>다음 편: 숫양과 숫염소</v>
      </c>
    </row>
    <row r="485" customFormat="false" ht="26.85" hidden="false" customHeight="false" outlineLevel="0" collapsed="false">
      <c r="A485" s="20" t="n">
        <v>484</v>
      </c>
      <c r="B485" s="20" t="s">
        <v>4596</v>
      </c>
      <c r="C485" s="20" t="s">
        <v>4597</v>
      </c>
      <c r="D485" s="20" t="s">
        <v>4505</v>
      </c>
      <c r="E485" s="21" t="s">
        <v>4506</v>
      </c>
      <c r="F485" s="22" t="s">
        <v>88</v>
      </c>
      <c r="G485" s="22" t="s">
        <v>4507</v>
      </c>
      <c r="H485" s="21" t="s">
        <v>4598</v>
      </c>
      <c r="I485" s="23" t="s">
        <v>1116</v>
      </c>
      <c r="J485" s="24" t="s">
        <v>4599</v>
      </c>
      <c r="K485" s="24" t="s">
        <v>4600</v>
      </c>
      <c r="L485" s="24" t="s">
        <v>4601</v>
      </c>
      <c r="M485" s="24" t="s">
        <v>4602</v>
      </c>
      <c r="N485" s="24" t="s">
        <v>4603</v>
      </c>
      <c r="O485" s="24" t="s">
        <v>4604</v>
      </c>
      <c r="P485" s="25" t="s">
        <v>4605</v>
      </c>
      <c r="Q485" s="28" t="str">
        <f aca="false">"["&amp;안내!$C$5&amp;" "&amp;C485&amp;"] "&amp;J485&amp;" | "&amp;H485</f>
        <v>[1분 성경 #0484] 숫양과 숫염소 | 단 8:1-27</v>
      </c>
      <c r="R485" s="23" t="n">
        <f aca="false">INT((A485-1)/안내!$C$9)+1</f>
        <v>97</v>
      </c>
      <c r="S485" s="26" t="n">
        <f aca="false">안내!$C$10+(R485-1)*7+MOD(A485-1,안내!$C$9)</f>
        <v>47066</v>
      </c>
      <c r="T485" s="23" t="s">
        <v>99</v>
      </c>
      <c r="U485" s="23" t="s">
        <v>99</v>
      </c>
      <c r="V485" s="23" t="s">
        <v>99</v>
      </c>
      <c r="W485" s="23" t="s">
        <v>99</v>
      </c>
      <c r="X485" s="28"/>
      <c r="Y485" s="28" t="str">
        <f aca="false">"다음 편: "&amp;J486</f>
        <v>다음 편: 다니엘의 회개 기도</v>
      </c>
    </row>
    <row r="486" customFormat="false" ht="26.85" hidden="false" customHeight="false" outlineLevel="0" collapsed="false">
      <c r="A486" s="20" t="n">
        <v>485</v>
      </c>
      <c r="B486" s="20" t="s">
        <v>4606</v>
      </c>
      <c r="C486" s="20" t="s">
        <v>4607</v>
      </c>
      <c r="D486" s="20" t="s">
        <v>4505</v>
      </c>
      <c r="E486" s="21" t="s">
        <v>4506</v>
      </c>
      <c r="F486" s="22" t="s">
        <v>88</v>
      </c>
      <c r="G486" s="22" t="s">
        <v>4507</v>
      </c>
      <c r="H486" s="21" t="s">
        <v>4608</v>
      </c>
      <c r="I486" s="23" t="s">
        <v>91</v>
      </c>
      <c r="J486" s="24" t="s">
        <v>4609</v>
      </c>
      <c r="K486" s="24" t="s">
        <v>4610</v>
      </c>
      <c r="L486" s="24" t="s">
        <v>4611</v>
      </c>
      <c r="M486" s="24" t="s">
        <v>4612</v>
      </c>
      <c r="N486" s="24" t="s">
        <v>4603</v>
      </c>
      <c r="O486" s="24" t="s">
        <v>4613</v>
      </c>
      <c r="P486" s="27" t="s">
        <v>4614</v>
      </c>
      <c r="Q486" s="28" t="str">
        <f aca="false">"["&amp;안내!$C$5&amp;" "&amp;C486&amp;"] "&amp;J486&amp;" | "&amp;H486</f>
        <v>[1분 성경 #0485] 다니엘의 회개 기도 | 단 9:1-27</v>
      </c>
      <c r="R486" s="23" t="n">
        <f aca="false">INT((A486-1)/안내!$C$9)+1</f>
        <v>97</v>
      </c>
      <c r="S486" s="26" t="n">
        <f aca="false">안내!$C$10+(R486-1)*7+MOD(A486-1,안내!$C$9)</f>
        <v>47067</v>
      </c>
      <c r="T486" s="23" t="s">
        <v>99</v>
      </c>
      <c r="U486" s="23" t="s">
        <v>99</v>
      </c>
      <c r="V486" s="23" t="s">
        <v>99</v>
      </c>
      <c r="W486" s="23" t="s">
        <v>99</v>
      </c>
      <c r="X486" s="28"/>
      <c r="Y486" s="28" t="str">
        <f aca="false">"다음 편: "&amp;J487</f>
        <v>다음 편: 별처럼 빛나리라</v>
      </c>
    </row>
    <row r="487" customFormat="false" ht="26.85" hidden="false" customHeight="false" outlineLevel="0" collapsed="false">
      <c r="A487" s="20" t="n">
        <v>486</v>
      </c>
      <c r="B487" s="20" t="s">
        <v>4615</v>
      </c>
      <c r="C487" s="20" t="s">
        <v>4616</v>
      </c>
      <c r="D487" s="20" t="s">
        <v>4505</v>
      </c>
      <c r="E487" s="21" t="s">
        <v>4506</v>
      </c>
      <c r="F487" s="22" t="s">
        <v>88</v>
      </c>
      <c r="G487" s="22" t="s">
        <v>4507</v>
      </c>
      <c r="H487" s="21" t="s">
        <v>4617</v>
      </c>
      <c r="I487" s="23" t="s">
        <v>1116</v>
      </c>
      <c r="J487" s="24" t="s">
        <v>4618</v>
      </c>
      <c r="K487" s="24" t="s">
        <v>4619</v>
      </c>
      <c r="L487" s="24" t="s">
        <v>4620</v>
      </c>
      <c r="M487" s="24" t="s">
        <v>4621</v>
      </c>
      <c r="N487" s="24" t="s">
        <v>4622</v>
      </c>
      <c r="O487" s="24" t="s">
        <v>4623</v>
      </c>
      <c r="P487" s="25" t="s">
        <v>4624</v>
      </c>
      <c r="Q487" s="28" t="str">
        <f aca="false">"["&amp;안내!$C$5&amp;" "&amp;C487&amp;"] "&amp;J487&amp;" | "&amp;H487</f>
        <v>[1분 성경 #0486] 별처럼 빛나리라 | 단 10:1-12:13</v>
      </c>
      <c r="R487" s="23" t="n">
        <f aca="false">INT((A487-1)/안내!$C$9)+1</f>
        <v>98</v>
      </c>
      <c r="S487" s="26" t="n">
        <f aca="false">안내!$C$10+(R487-1)*7+MOD(A487-1,안내!$C$9)</f>
        <v>47070</v>
      </c>
      <c r="T487" s="23" t="s">
        <v>99</v>
      </c>
      <c r="U487" s="23" t="s">
        <v>99</v>
      </c>
      <c r="V487" s="23" t="s">
        <v>99</v>
      </c>
      <c r="W487" s="23" t="s">
        <v>99</v>
      </c>
      <c r="X487" s="28"/>
      <c r="Y487" s="28" t="str">
        <f aca="false">"다음 편: "&amp;J488</f>
        <v>다음 편: 돌아오지 않는 아내</v>
      </c>
    </row>
    <row r="488" customFormat="false" ht="26.85" hidden="false" customHeight="false" outlineLevel="0" collapsed="false">
      <c r="A488" s="20" t="n">
        <v>487</v>
      </c>
      <c r="B488" s="20" t="s">
        <v>4625</v>
      </c>
      <c r="C488" s="20" t="s">
        <v>4626</v>
      </c>
      <c r="D488" s="20" t="s">
        <v>4627</v>
      </c>
      <c r="E488" s="21" t="s">
        <v>4628</v>
      </c>
      <c r="F488" s="22" t="s">
        <v>88</v>
      </c>
      <c r="G488" s="22" t="s">
        <v>4629</v>
      </c>
      <c r="H488" s="21" t="s">
        <v>4630</v>
      </c>
      <c r="I488" s="23" t="s">
        <v>1116</v>
      </c>
      <c r="J488" s="24" t="s">
        <v>4631</v>
      </c>
      <c r="K488" s="24" t="s">
        <v>4632</v>
      </c>
      <c r="L488" s="24" t="s">
        <v>4633</v>
      </c>
      <c r="M488" s="24" t="s">
        <v>4634</v>
      </c>
      <c r="N488" s="24" t="s">
        <v>4635</v>
      </c>
      <c r="O488" s="24" t="s">
        <v>4636</v>
      </c>
      <c r="P488" s="25" t="s">
        <v>4637</v>
      </c>
      <c r="Q488" s="28" t="str">
        <f aca="false">"["&amp;안내!$C$5&amp;" "&amp;C488&amp;"] "&amp;J488&amp;" | "&amp;H488</f>
        <v>[1분 성경 #0487] 돌아오지 않는 아내 | 호 1:1-2:23</v>
      </c>
      <c r="R488" s="23" t="n">
        <f aca="false">INT((A488-1)/안내!$C$9)+1</f>
        <v>98</v>
      </c>
      <c r="S488" s="26" t="n">
        <f aca="false">안내!$C$10+(R488-1)*7+MOD(A488-1,안내!$C$9)</f>
        <v>47071</v>
      </c>
      <c r="T488" s="23" t="s">
        <v>99</v>
      </c>
      <c r="U488" s="23" t="s">
        <v>99</v>
      </c>
      <c r="V488" s="23" t="s">
        <v>99</v>
      </c>
      <c r="W488" s="23" t="s">
        <v>99</v>
      </c>
      <c r="X488" s="28"/>
      <c r="Y488" s="28" t="str">
        <f aca="false">"다음 편: "&amp;J489</f>
        <v>다음 편: 다시 사 오다</v>
      </c>
    </row>
    <row r="489" customFormat="false" ht="26.85" hidden="false" customHeight="false" outlineLevel="0" collapsed="false">
      <c r="A489" s="20" t="n">
        <v>488</v>
      </c>
      <c r="B489" s="20" t="s">
        <v>4638</v>
      </c>
      <c r="C489" s="20" t="s">
        <v>4639</v>
      </c>
      <c r="D489" s="20" t="s">
        <v>4627</v>
      </c>
      <c r="E489" s="21" t="s">
        <v>4628</v>
      </c>
      <c r="F489" s="22" t="s">
        <v>88</v>
      </c>
      <c r="G489" s="22" t="s">
        <v>4629</v>
      </c>
      <c r="H489" s="21" t="s">
        <v>4640</v>
      </c>
      <c r="I489" s="23" t="s">
        <v>1116</v>
      </c>
      <c r="J489" s="24" t="s">
        <v>4641</v>
      </c>
      <c r="K489" s="24" t="s">
        <v>4642</v>
      </c>
      <c r="L489" s="24" t="s">
        <v>4643</v>
      </c>
      <c r="M489" s="24" t="s">
        <v>4644</v>
      </c>
      <c r="N489" s="24" t="s">
        <v>4635</v>
      </c>
      <c r="O489" s="24" t="s">
        <v>4645</v>
      </c>
      <c r="P489" s="28"/>
      <c r="Q489" s="28" t="str">
        <f aca="false">"["&amp;안내!$C$5&amp;" "&amp;C489&amp;"] "&amp;J489&amp;" | "&amp;H489</f>
        <v>[1분 성경 #0488] 다시 사 오다 | 호 3:1-5</v>
      </c>
      <c r="R489" s="23" t="n">
        <f aca="false">INT((A489-1)/안내!$C$9)+1</f>
        <v>98</v>
      </c>
      <c r="S489" s="26" t="n">
        <f aca="false">안내!$C$10+(R489-1)*7+MOD(A489-1,안내!$C$9)</f>
        <v>47072</v>
      </c>
      <c r="T489" s="23" t="s">
        <v>99</v>
      </c>
      <c r="U489" s="23" t="s">
        <v>99</v>
      </c>
      <c r="V489" s="23" t="s">
        <v>99</v>
      </c>
      <c r="W489" s="23" t="s">
        <v>99</v>
      </c>
      <c r="X489" s="28"/>
      <c r="Y489" s="28" t="str">
        <f aca="false">"다음 편: "&amp;J490</f>
        <v>다음 편: 여호와를 알자</v>
      </c>
    </row>
    <row r="490" customFormat="false" ht="26.85" hidden="false" customHeight="false" outlineLevel="0" collapsed="false">
      <c r="A490" s="20" t="n">
        <v>489</v>
      </c>
      <c r="B490" s="20" t="s">
        <v>4646</v>
      </c>
      <c r="C490" s="20" t="s">
        <v>4647</v>
      </c>
      <c r="D490" s="20" t="s">
        <v>4627</v>
      </c>
      <c r="E490" s="21" t="s">
        <v>4628</v>
      </c>
      <c r="F490" s="22" t="s">
        <v>88</v>
      </c>
      <c r="G490" s="22" t="s">
        <v>4629</v>
      </c>
      <c r="H490" s="21" t="s">
        <v>4648</v>
      </c>
      <c r="I490" s="23" t="s">
        <v>1116</v>
      </c>
      <c r="J490" s="24" t="s">
        <v>4649</v>
      </c>
      <c r="K490" s="24" t="s">
        <v>4650</v>
      </c>
      <c r="L490" s="24" t="s">
        <v>4651</v>
      </c>
      <c r="M490" s="24" t="s">
        <v>4652</v>
      </c>
      <c r="N490" s="24" t="s">
        <v>4629</v>
      </c>
      <c r="O490" s="24" t="s">
        <v>4653</v>
      </c>
      <c r="P490" s="28"/>
      <c r="Q490" s="28" t="str">
        <f aca="false">"["&amp;안내!$C$5&amp;" "&amp;C490&amp;"] "&amp;J490&amp;" | "&amp;H490</f>
        <v>[1분 성경 #0489] 여호와를 알자 | 호 4:1-10:15</v>
      </c>
      <c r="R490" s="23" t="n">
        <f aca="false">INT((A490-1)/안내!$C$9)+1</f>
        <v>98</v>
      </c>
      <c r="S490" s="26" t="n">
        <f aca="false">안내!$C$10+(R490-1)*7+MOD(A490-1,안내!$C$9)</f>
        <v>47073</v>
      </c>
      <c r="T490" s="23" t="s">
        <v>99</v>
      </c>
      <c r="U490" s="23" t="s">
        <v>99</v>
      </c>
      <c r="V490" s="23" t="s">
        <v>99</v>
      </c>
      <c r="W490" s="23" t="s">
        <v>99</v>
      </c>
      <c r="X490" s="28"/>
      <c r="Y490" s="28" t="str">
        <f aca="false">"다음 편: "&amp;J491</f>
        <v>다음 편: 내가 어찌 너를 놓겠느냐</v>
      </c>
    </row>
    <row r="491" customFormat="false" ht="26.85" hidden="false" customHeight="false" outlineLevel="0" collapsed="false">
      <c r="A491" s="20" t="n">
        <v>490</v>
      </c>
      <c r="B491" s="20" t="s">
        <v>4654</v>
      </c>
      <c r="C491" s="20" t="s">
        <v>4655</v>
      </c>
      <c r="D491" s="20" t="s">
        <v>4627</v>
      </c>
      <c r="E491" s="21" t="s">
        <v>4628</v>
      </c>
      <c r="F491" s="22" t="s">
        <v>88</v>
      </c>
      <c r="G491" s="22" t="s">
        <v>4629</v>
      </c>
      <c r="H491" s="21" t="s">
        <v>4656</v>
      </c>
      <c r="I491" s="23" t="s">
        <v>1116</v>
      </c>
      <c r="J491" s="24" t="s">
        <v>4657</v>
      </c>
      <c r="K491" s="24" t="s">
        <v>4658</v>
      </c>
      <c r="L491" s="24" t="s">
        <v>4659</v>
      </c>
      <c r="M491" s="24" t="s">
        <v>4660</v>
      </c>
      <c r="N491" s="24" t="s">
        <v>4629</v>
      </c>
      <c r="O491" s="24" t="s">
        <v>4661</v>
      </c>
      <c r="P491" s="28"/>
      <c r="Q491" s="28" t="str">
        <f aca="false">"["&amp;안내!$C$5&amp;" "&amp;C491&amp;"] "&amp;J491&amp;" | "&amp;H491</f>
        <v>[1분 성경 #0490] 내가 어찌 너를 놓겠느냐 | 호 11:1-14:9</v>
      </c>
      <c r="R491" s="23" t="n">
        <f aca="false">INT((A491-1)/안내!$C$9)+1</f>
        <v>98</v>
      </c>
      <c r="S491" s="26" t="n">
        <f aca="false">안내!$C$10+(R491-1)*7+MOD(A491-1,안내!$C$9)</f>
        <v>47074</v>
      </c>
      <c r="T491" s="23" t="s">
        <v>99</v>
      </c>
      <c r="U491" s="23" t="s">
        <v>99</v>
      </c>
      <c r="V491" s="23" t="s">
        <v>99</v>
      </c>
      <c r="W491" s="23" t="s">
        <v>99</v>
      </c>
      <c r="X491" s="28"/>
      <c r="Y491" s="28" t="str">
        <f aca="false">"다음 편: "&amp;J492</f>
        <v>다음 편: 메뚜기 군대</v>
      </c>
    </row>
    <row r="492" customFormat="false" ht="26.85" hidden="false" customHeight="false" outlineLevel="0" collapsed="false">
      <c r="A492" s="20" t="n">
        <v>491</v>
      </c>
      <c r="B492" s="20" t="s">
        <v>4662</v>
      </c>
      <c r="C492" s="20" t="s">
        <v>4663</v>
      </c>
      <c r="D492" s="20" t="s">
        <v>4627</v>
      </c>
      <c r="E492" s="21" t="s">
        <v>4628</v>
      </c>
      <c r="F492" s="22" t="s">
        <v>88</v>
      </c>
      <c r="G492" s="22" t="s">
        <v>4664</v>
      </c>
      <c r="H492" s="21" t="s">
        <v>4665</v>
      </c>
      <c r="I492" s="23" t="s">
        <v>1116</v>
      </c>
      <c r="J492" s="24" t="s">
        <v>4666</v>
      </c>
      <c r="K492" s="24" t="s">
        <v>4667</v>
      </c>
      <c r="L492" s="24" t="s">
        <v>4668</v>
      </c>
      <c r="M492" s="24" t="s">
        <v>4669</v>
      </c>
      <c r="N492" s="24" t="s">
        <v>4664</v>
      </c>
      <c r="O492" s="24" t="s">
        <v>4670</v>
      </c>
      <c r="P492" s="28"/>
      <c r="Q492" s="28" t="str">
        <f aca="false">"["&amp;안내!$C$5&amp;" "&amp;C492&amp;"] "&amp;J492&amp;" | "&amp;H492</f>
        <v>[1분 성경 #0491] 메뚜기 군대 | 욜 1:1-2:17</v>
      </c>
      <c r="R492" s="23" t="n">
        <f aca="false">INT((A492-1)/안내!$C$9)+1</f>
        <v>99</v>
      </c>
      <c r="S492" s="26" t="n">
        <f aca="false">안내!$C$10+(R492-1)*7+MOD(A492-1,안내!$C$9)</f>
        <v>47077</v>
      </c>
      <c r="T492" s="23" t="s">
        <v>99</v>
      </c>
      <c r="U492" s="23" t="s">
        <v>99</v>
      </c>
      <c r="V492" s="23" t="s">
        <v>99</v>
      </c>
      <c r="W492" s="23" t="s">
        <v>99</v>
      </c>
      <c r="X492" s="28"/>
      <c r="Y492" s="28" t="str">
        <f aca="false">"다음 편: "&amp;J493</f>
        <v>다음 편: 내 영을 부어 주리라</v>
      </c>
    </row>
    <row r="493" customFormat="false" ht="26.85" hidden="false" customHeight="false" outlineLevel="0" collapsed="false">
      <c r="A493" s="20" t="n">
        <v>492</v>
      </c>
      <c r="B493" s="20" t="s">
        <v>4671</v>
      </c>
      <c r="C493" s="20" t="s">
        <v>4672</v>
      </c>
      <c r="D493" s="20" t="s">
        <v>4627</v>
      </c>
      <c r="E493" s="21" t="s">
        <v>4628</v>
      </c>
      <c r="F493" s="22" t="s">
        <v>88</v>
      </c>
      <c r="G493" s="22" t="s">
        <v>4664</v>
      </c>
      <c r="H493" s="21" t="s">
        <v>4673</v>
      </c>
      <c r="I493" s="23" t="s">
        <v>1116</v>
      </c>
      <c r="J493" s="24" t="s">
        <v>4674</v>
      </c>
      <c r="K493" s="24" t="s">
        <v>4675</v>
      </c>
      <c r="L493" s="24" t="s">
        <v>4676</v>
      </c>
      <c r="M493" s="24" t="s">
        <v>4677</v>
      </c>
      <c r="N493" s="24" t="s">
        <v>4664</v>
      </c>
      <c r="O493" s="24" t="s">
        <v>4678</v>
      </c>
      <c r="P493" s="25" t="s">
        <v>4679</v>
      </c>
      <c r="Q493" s="28" t="str">
        <f aca="false">"["&amp;안내!$C$5&amp;" "&amp;C493&amp;"] "&amp;J493&amp;" | "&amp;H493</f>
        <v>[1분 성경 #0492] 내 영을 부어 주리라 | 욜 2:18-32</v>
      </c>
      <c r="R493" s="23" t="n">
        <f aca="false">INT((A493-1)/안내!$C$9)+1</f>
        <v>99</v>
      </c>
      <c r="S493" s="26" t="n">
        <f aca="false">안내!$C$10+(R493-1)*7+MOD(A493-1,안내!$C$9)</f>
        <v>47078</v>
      </c>
      <c r="T493" s="23" t="s">
        <v>99</v>
      </c>
      <c r="U493" s="23" t="s">
        <v>99</v>
      </c>
      <c r="V493" s="23" t="s">
        <v>99</v>
      </c>
      <c r="W493" s="23" t="s">
        <v>99</v>
      </c>
      <c r="X493" s="28"/>
      <c r="Y493" s="28" t="str">
        <f aca="false">"다음 편: "&amp;J494</f>
        <v>다음 편: 판결의 골짜기</v>
      </c>
    </row>
    <row r="494" customFormat="false" ht="26.85" hidden="false" customHeight="false" outlineLevel="0" collapsed="false">
      <c r="A494" s="20" t="n">
        <v>493</v>
      </c>
      <c r="B494" s="20" t="s">
        <v>4680</v>
      </c>
      <c r="C494" s="20" t="s">
        <v>4681</v>
      </c>
      <c r="D494" s="20" t="s">
        <v>4627</v>
      </c>
      <c r="E494" s="21" t="s">
        <v>4628</v>
      </c>
      <c r="F494" s="22" t="s">
        <v>88</v>
      </c>
      <c r="G494" s="22" t="s">
        <v>4664</v>
      </c>
      <c r="H494" s="21" t="s">
        <v>4682</v>
      </c>
      <c r="I494" s="23" t="s">
        <v>1116</v>
      </c>
      <c r="J494" s="24" t="s">
        <v>4683</v>
      </c>
      <c r="K494" s="24" t="s">
        <v>4684</v>
      </c>
      <c r="L494" s="24" t="s">
        <v>4685</v>
      </c>
      <c r="M494" s="24" t="s">
        <v>4686</v>
      </c>
      <c r="N494" s="24" t="s">
        <v>4664</v>
      </c>
      <c r="O494" s="24" t="s">
        <v>4687</v>
      </c>
      <c r="P494" s="28"/>
      <c r="Q494" s="28" t="str">
        <f aca="false">"["&amp;안내!$C$5&amp;" "&amp;C494&amp;"] "&amp;J494&amp;" | "&amp;H494</f>
        <v>[1분 성경 #0493] 판결의 골짜기 | 욜 3:1-21</v>
      </c>
      <c r="R494" s="23" t="n">
        <f aca="false">INT((A494-1)/안내!$C$9)+1</f>
        <v>99</v>
      </c>
      <c r="S494" s="26" t="n">
        <f aca="false">안내!$C$10+(R494-1)*7+MOD(A494-1,안내!$C$9)</f>
        <v>47079</v>
      </c>
      <c r="T494" s="23" t="s">
        <v>99</v>
      </c>
      <c r="U494" s="23" t="s">
        <v>99</v>
      </c>
      <c r="V494" s="23" t="s">
        <v>99</v>
      </c>
      <c r="W494" s="23" t="s">
        <v>99</v>
      </c>
      <c r="X494" s="28"/>
      <c r="Y494" s="28" t="str">
        <f aca="false">"다음 편: "&amp;J495</f>
        <v>다음 편: 사자가 부르짖을 때</v>
      </c>
    </row>
    <row r="495" customFormat="false" ht="26.85" hidden="false" customHeight="false" outlineLevel="0" collapsed="false">
      <c r="A495" s="20" t="n">
        <v>494</v>
      </c>
      <c r="B495" s="20" t="s">
        <v>4688</v>
      </c>
      <c r="C495" s="20" t="s">
        <v>4689</v>
      </c>
      <c r="D495" s="20" t="s">
        <v>4627</v>
      </c>
      <c r="E495" s="21" t="s">
        <v>4628</v>
      </c>
      <c r="F495" s="22" t="s">
        <v>88</v>
      </c>
      <c r="G495" s="22" t="s">
        <v>4690</v>
      </c>
      <c r="H495" s="21" t="s">
        <v>4691</v>
      </c>
      <c r="I495" s="23" t="s">
        <v>1116</v>
      </c>
      <c r="J495" s="24" t="s">
        <v>4692</v>
      </c>
      <c r="K495" s="24" t="s">
        <v>4693</v>
      </c>
      <c r="L495" s="24" t="s">
        <v>4694</v>
      </c>
      <c r="M495" s="24" t="s">
        <v>4695</v>
      </c>
      <c r="N495" s="24" t="s">
        <v>4690</v>
      </c>
      <c r="O495" s="24" t="s">
        <v>4696</v>
      </c>
      <c r="P495" s="28"/>
      <c r="Q495" s="28" t="str">
        <f aca="false">"["&amp;안내!$C$5&amp;" "&amp;C495&amp;"] "&amp;J495&amp;" | "&amp;H495</f>
        <v>[1분 성경 #0494] 사자가 부르짖을 때 | 암 1:1-2:16</v>
      </c>
      <c r="R495" s="23" t="n">
        <f aca="false">INT((A495-1)/안내!$C$9)+1</f>
        <v>99</v>
      </c>
      <c r="S495" s="26" t="n">
        <f aca="false">안내!$C$10+(R495-1)*7+MOD(A495-1,안내!$C$9)</f>
        <v>47080</v>
      </c>
      <c r="T495" s="23" t="s">
        <v>99</v>
      </c>
      <c r="U495" s="23" t="s">
        <v>99</v>
      </c>
      <c r="V495" s="23" t="s">
        <v>99</v>
      </c>
      <c r="W495" s="23" t="s">
        <v>99</v>
      </c>
      <c r="X495" s="28"/>
      <c r="Y495" s="28" t="str">
        <f aca="false">"다음 편: "&amp;J496</f>
        <v>다음 편: 정의를 물같이</v>
      </c>
    </row>
    <row r="496" customFormat="false" ht="26.85" hidden="false" customHeight="false" outlineLevel="0" collapsed="false">
      <c r="A496" s="20" t="n">
        <v>495</v>
      </c>
      <c r="B496" s="20" t="s">
        <v>4697</v>
      </c>
      <c r="C496" s="20" t="s">
        <v>4698</v>
      </c>
      <c r="D496" s="20" t="s">
        <v>4627</v>
      </c>
      <c r="E496" s="21" t="s">
        <v>4628</v>
      </c>
      <c r="F496" s="22" t="s">
        <v>88</v>
      </c>
      <c r="G496" s="22" t="s">
        <v>4690</v>
      </c>
      <c r="H496" s="21" t="s">
        <v>4699</v>
      </c>
      <c r="I496" s="23" t="s">
        <v>1116</v>
      </c>
      <c r="J496" s="24" t="s">
        <v>4700</v>
      </c>
      <c r="K496" s="24" t="s">
        <v>4701</v>
      </c>
      <c r="L496" s="24" t="s">
        <v>4702</v>
      </c>
      <c r="M496" s="24" t="s">
        <v>4703</v>
      </c>
      <c r="N496" s="24" t="s">
        <v>4690</v>
      </c>
      <c r="O496" s="24" t="s">
        <v>4704</v>
      </c>
      <c r="P496" s="28"/>
      <c r="Q496" s="28" t="str">
        <f aca="false">"["&amp;안내!$C$5&amp;" "&amp;C496&amp;"] "&amp;J496&amp;" | "&amp;H496</f>
        <v>[1분 성경 #0495] 정의를 물같이 | 암 3:1-6:14</v>
      </c>
      <c r="R496" s="23" t="n">
        <f aca="false">INT((A496-1)/안내!$C$9)+1</f>
        <v>99</v>
      </c>
      <c r="S496" s="26" t="n">
        <f aca="false">안내!$C$10+(R496-1)*7+MOD(A496-1,안내!$C$9)</f>
        <v>47081</v>
      </c>
      <c r="T496" s="23" t="s">
        <v>99</v>
      </c>
      <c r="U496" s="23" t="s">
        <v>99</v>
      </c>
      <c r="V496" s="23" t="s">
        <v>99</v>
      </c>
      <c r="W496" s="23" t="s">
        <v>99</v>
      </c>
      <c r="X496" s="28"/>
      <c r="Y496" s="28" t="str">
        <f aca="false">"다음 편: "&amp;J497</f>
        <v>다음 편: 다림줄</v>
      </c>
    </row>
    <row r="497" customFormat="false" ht="26.85" hidden="false" customHeight="false" outlineLevel="0" collapsed="false">
      <c r="A497" s="20" t="n">
        <v>496</v>
      </c>
      <c r="B497" s="20" t="s">
        <v>4705</v>
      </c>
      <c r="C497" s="20" t="s">
        <v>4706</v>
      </c>
      <c r="D497" s="20" t="s">
        <v>4627</v>
      </c>
      <c r="E497" s="21" t="s">
        <v>4628</v>
      </c>
      <c r="F497" s="22" t="s">
        <v>88</v>
      </c>
      <c r="G497" s="22" t="s">
        <v>4690</v>
      </c>
      <c r="H497" s="21" t="s">
        <v>4707</v>
      </c>
      <c r="I497" s="23" t="s">
        <v>1116</v>
      </c>
      <c r="J497" s="24" t="s">
        <v>4708</v>
      </c>
      <c r="K497" s="24" t="s">
        <v>4709</v>
      </c>
      <c r="L497" s="24" t="s">
        <v>4710</v>
      </c>
      <c r="M497" s="24" t="s">
        <v>4711</v>
      </c>
      <c r="N497" s="24" t="s">
        <v>4712</v>
      </c>
      <c r="O497" s="24" t="s">
        <v>4713</v>
      </c>
      <c r="P497" s="28"/>
      <c r="Q497" s="28" t="str">
        <f aca="false">"["&amp;안내!$C$5&amp;" "&amp;C497&amp;"] "&amp;J497&amp;" | "&amp;H497</f>
        <v>[1분 성경 #0496] 다림줄 | 암 7:1-17</v>
      </c>
      <c r="R497" s="23" t="n">
        <f aca="false">INT((A497-1)/안내!$C$9)+1</f>
        <v>100</v>
      </c>
      <c r="S497" s="26" t="n">
        <f aca="false">안내!$C$10+(R497-1)*7+MOD(A497-1,안내!$C$9)</f>
        <v>47084</v>
      </c>
      <c r="T497" s="23" t="s">
        <v>99</v>
      </c>
      <c r="U497" s="23" t="s">
        <v>99</v>
      </c>
      <c r="V497" s="23" t="s">
        <v>99</v>
      </c>
      <c r="W497" s="23" t="s">
        <v>99</v>
      </c>
      <c r="X497" s="28"/>
      <c r="Y497" s="28" t="str">
        <f aca="false">"다음 편: "&amp;J498</f>
        <v>다음 편: 말씀의 기근</v>
      </c>
    </row>
    <row r="498" customFormat="false" ht="26.85" hidden="false" customHeight="false" outlineLevel="0" collapsed="false">
      <c r="A498" s="20" t="n">
        <v>497</v>
      </c>
      <c r="B498" s="20" t="s">
        <v>4714</v>
      </c>
      <c r="C498" s="20" t="s">
        <v>4715</v>
      </c>
      <c r="D498" s="20" t="s">
        <v>4627</v>
      </c>
      <c r="E498" s="21" t="s">
        <v>4628</v>
      </c>
      <c r="F498" s="22" t="s">
        <v>88</v>
      </c>
      <c r="G498" s="22" t="s">
        <v>4690</v>
      </c>
      <c r="H498" s="21" t="s">
        <v>4716</v>
      </c>
      <c r="I498" s="23" t="s">
        <v>1116</v>
      </c>
      <c r="J498" s="24" t="s">
        <v>4717</v>
      </c>
      <c r="K498" s="24" t="s">
        <v>4718</v>
      </c>
      <c r="L498" s="24" t="s">
        <v>4719</v>
      </c>
      <c r="M498" s="24" t="s">
        <v>4720</v>
      </c>
      <c r="N498" s="24" t="s">
        <v>4690</v>
      </c>
      <c r="O498" s="24" t="s">
        <v>4721</v>
      </c>
      <c r="P498" s="28"/>
      <c r="Q498" s="28" t="str">
        <f aca="false">"["&amp;안내!$C$5&amp;" "&amp;C498&amp;"] "&amp;J498&amp;" | "&amp;H498</f>
        <v>[1분 성경 #0497] 말씀의 기근 | 암 8:1-9:15</v>
      </c>
      <c r="R498" s="23" t="n">
        <f aca="false">INT((A498-1)/안내!$C$9)+1</f>
        <v>100</v>
      </c>
      <c r="S498" s="26" t="n">
        <f aca="false">안내!$C$10+(R498-1)*7+MOD(A498-1,안내!$C$9)</f>
        <v>47085</v>
      </c>
      <c r="T498" s="23" t="s">
        <v>99</v>
      </c>
      <c r="U498" s="23" t="s">
        <v>99</v>
      </c>
      <c r="V498" s="23" t="s">
        <v>99</v>
      </c>
      <c r="W498" s="23" t="s">
        <v>99</v>
      </c>
      <c r="X498" s="28"/>
      <c r="Y498" s="28" t="str">
        <f aca="false">"다음 편: "&amp;J499</f>
        <v>다음 편: 독수리처럼 높아도</v>
      </c>
    </row>
    <row r="499" customFormat="false" ht="26.85" hidden="false" customHeight="false" outlineLevel="0" collapsed="false">
      <c r="A499" s="20" t="n">
        <v>498</v>
      </c>
      <c r="B499" s="20" t="s">
        <v>4722</v>
      </c>
      <c r="C499" s="20" t="s">
        <v>4723</v>
      </c>
      <c r="D499" s="20" t="s">
        <v>4724</v>
      </c>
      <c r="E499" s="21" t="s">
        <v>4725</v>
      </c>
      <c r="F499" s="22" t="s">
        <v>88</v>
      </c>
      <c r="G499" s="22" t="s">
        <v>4726</v>
      </c>
      <c r="H499" s="21" t="s">
        <v>4727</v>
      </c>
      <c r="I499" s="23" t="s">
        <v>1116</v>
      </c>
      <c r="J499" s="24" t="s">
        <v>4728</v>
      </c>
      <c r="K499" s="24" t="s">
        <v>4729</v>
      </c>
      <c r="L499" s="24" t="s">
        <v>4730</v>
      </c>
      <c r="M499" s="24" t="s">
        <v>4731</v>
      </c>
      <c r="N499" s="24" t="s">
        <v>4726</v>
      </c>
      <c r="O499" s="24" t="s">
        <v>4732</v>
      </c>
      <c r="P499" s="28"/>
      <c r="Q499" s="28" t="str">
        <f aca="false">"["&amp;안내!$C$5&amp;" "&amp;C499&amp;"] "&amp;J499&amp;" | "&amp;H499</f>
        <v>[1분 성경 #0498] 독수리처럼 높아도 | 옵 1:1-21</v>
      </c>
      <c r="R499" s="23" t="n">
        <f aca="false">INT((A499-1)/안내!$C$9)+1</f>
        <v>100</v>
      </c>
      <c r="S499" s="26" t="n">
        <f aca="false">안내!$C$10+(R499-1)*7+MOD(A499-1,안내!$C$9)</f>
        <v>47086</v>
      </c>
      <c r="T499" s="23" t="s">
        <v>99</v>
      </c>
      <c r="U499" s="23" t="s">
        <v>99</v>
      </c>
      <c r="V499" s="23" t="s">
        <v>99</v>
      </c>
      <c r="W499" s="23" t="s">
        <v>99</v>
      </c>
      <c r="X499" s="28"/>
      <c r="Y499" s="28" t="str">
        <f aca="false">"다음 편: "&amp;J500</f>
        <v>다음 편: 반대로 간 선지자</v>
      </c>
    </row>
    <row r="500" customFormat="false" ht="26.85" hidden="false" customHeight="false" outlineLevel="0" collapsed="false">
      <c r="A500" s="20" t="n">
        <v>499</v>
      </c>
      <c r="B500" s="20" t="s">
        <v>4733</v>
      </c>
      <c r="C500" s="20" t="s">
        <v>4734</v>
      </c>
      <c r="D500" s="20" t="s">
        <v>4724</v>
      </c>
      <c r="E500" s="21" t="s">
        <v>4725</v>
      </c>
      <c r="F500" s="22" t="s">
        <v>88</v>
      </c>
      <c r="G500" s="22" t="s">
        <v>4735</v>
      </c>
      <c r="H500" s="21" t="s">
        <v>4736</v>
      </c>
      <c r="I500" s="23" t="s">
        <v>91</v>
      </c>
      <c r="J500" s="24" t="s">
        <v>4737</v>
      </c>
      <c r="K500" s="24" t="s">
        <v>4738</v>
      </c>
      <c r="L500" s="24" t="s">
        <v>4739</v>
      </c>
      <c r="M500" s="24" t="s">
        <v>4740</v>
      </c>
      <c r="N500" s="24" t="s">
        <v>4735</v>
      </c>
      <c r="O500" s="24" t="s">
        <v>4741</v>
      </c>
      <c r="P500" s="28"/>
      <c r="Q500" s="28" t="str">
        <f aca="false">"["&amp;안내!$C$5&amp;" "&amp;C500&amp;"] "&amp;J500&amp;" | "&amp;H500</f>
        <v>[1분 성경 #0499] 반대로 간 선지자 | 욘 1:1-3</v>
      </c>
      <c r="R500" s="23" t="n">
        <f aca="false">INT((A500-1)/안내!$C$9)+1</f>
        <v>100</v>
      </c>
      <c r="S500" s="26" t="n">
        <f aca="false">안내!$C$10+(R500-1)*7+MOD(A500-1,안내!$C$9)</f>
        <v>47087</v>
      </c>
      <c r="T500" s="23" t="s">
        <v>99</v>
      </c>
      <c r="U500" s="23" t="s">
        <v>99</v>
      </c>
      <c r="V500" s="23" t="s">
        <v>99</v>
      </c>
      <c r="W500" s="23" t="s">
        <v>99</v>
      </c>
      <c r="X500" s="28"/>
      <c r="Y500" s="28" t="str">
        <f aca="false">"다음 편: "&amp;J501</f>
        <v>다음 편: 폭풍과 큰 물고기</v>
      </c>
    </row>
    <row r="501" customFormat="false" ht="26.85" hidden="false" customHeight="false" outlineLevel="0" collapsed="false">
      <c r="A501" s="20" t="n">
        <v>500</v>
      </c>
      <c r="B501" s="20" t="s">
        <v>4742</v>
      </c>
      <c r="C501" s="20" t="s">
        <v>4743</v>
      </c>
      <c r="D501" s="20" t="s">
        <v>4724</v>
      </c>
      <c r="E501" s="21" t="s">
        <v>4725</v>
      </c>
      <c r="F501" s="22" t="s">
        <v>88</v>
      </c>
      <c r="G501" s="22" t="s">
        <v>4735</v>
      </c>
      <c r="H501" s="21" t="s">
        <v>4744</v>
      </c>
      <c r="I501" s="23" t="s">
        <v>91</v>
      </c>
      <c r="J501" s="24" t="s">
        <v>4745</v>
      </c>
      <c r="K501" s="24" t="s">
        <v>4746</v>
      </c>
      <c r="L501" s="24" t="s">
        <v>4747</v>
      </c>
      <c r="M501" s="24" t="s">
        <v>4748</v>
      </c>
      <c r="N501" s="24" t="s">
        <v>4749</v>
      </c>
      <c r="O501" s="24" t="s">
        <v>4750</v>
      </c>
      <c r="P501" s="28"/>
      <c r="Q501" s="28" t="str">
        <f aca="false">"["&amp;안내!$C$5&amp;" "&amp;C501&amp;"] "&amp;J501&amp;" | "&amp;H501</f>
        <v>[1분 성경 #0500] 폭풍과 큰 물고기 | 욘 1:4-17</v>
      </c>
      <c r="R501" s="23" t="n">
        <f aca="false">INT((A501-1)/안내!$C$9)+1</f>
        <v>100</v>
      </c>
      <c r="S501" s="26" t="n">
        <f aca="false">안내!$C$10+(R501-1)*7+MOD(A501-1,안내!$C$9)</f>
        <v>47088</v>
      </c>
      <c r="T501" s="23" t="s">
        <v>99</v>
      </c>
      <c r="U501" s="23" t="s">
        <v>99</v>
      </c>
      <c r="V501" s="23" t="s">
        <v>99</v>
      </c>
      <c r="W501" s="23" t="s">
        <v>99</v>
      </c>
      <c r="X501" s="28"/>
      <c r="Y501" s="28" t="str">
        <f aca="false">"다음 편: "&amp;J502</f>
        <v>다음 편: 물고기 배 속의 기도</v>
      </c>
    </row>
    <row r="502" customFormat="false" ht="26.85" hidden="false" customHeight="false" outlineLevel="0" collapsed="false">
      <c r="A502" s="20" t="n">
        <v>501</v>
      </c>
      <c r="B502" s="20" t="s">
        <v>4751</v>
      </c>
      <c r="C502" s="20" t="s">
        <v>4752</v>
      </c>
      <c r="D502" s="20" t="s">
        <v>4724</v>
      </c>
      <c r="E502" s="21" t="s">
        <v>4725</v>
      </c>
      <c r="F502" s="22" t="s">
        <v>88</v>
      </c>
      <c r="G502" s="22" t="s">
        <v>4735</v>
      </c>
      <c r="H502" s="21" t="s">
        <v>4753</v>
      </c>
      <c r="I502" s="23" t="s">
        <v>91</v>
      </c>
      <c r="J502" s="24" t="s">
        <v>4754</v>
      </c>
      <c r="K502" s="24" t="s">
        <v>4755</v>
      </c>
      <c r="L502" s="24" t="s">
        <v>4756</v>
      </c>
      <c r="M502" s="24" t="s">
        <v>4757</v>
      </c>
      <c r="N502" s="24" t="s">
        <v>4735</v>
      </c>
      <c r="O502" s="24" t="s">
        <v>4758</v>
      </c>
      <c r="P502" s="25" t="s">
        <v>4759</v>
      </c>
      <c r="Q502" s="28" t="str">
        <f aca="false">"["&amp;안내!$C$5&amp;" "&amp;C502&amp;"] "&amp;J502&amp;" | "&amp;H502</f>
        <v>[1분 성경 #0501] 물고기 배 속의 기도 | 욘 2:1-10</v>
      </c>
      <c r="R502" s="23" t="n">
        <f aca="false">INT((A502-1)/안내!$C$9)+1</f>
        <v>101</v>
      </c>
      <c r="S502" s="26" t="n">
        <f aca="false">안내!$C$10+(R502-1)*7+MOD(A502-1,안내!$C$9)</f>
        <v>47091</v>
      </c>
      <c r="T502" s="23" t="s">
        <v>99</v>
      </c>
      <c r="U502" s="23" t="s">
        <v>99</v>
      </c>
      <c r="V502" s="23" t="s">
        <v>99</v>
      </c>
      <c r="W502" s="23" t="s">
        <v>99</v>
      </c>
      <c r="X502" s="28"/>
      <c r="Y502" s="28" t="str">
        <f aca="false">"다음 편: "&amp;J503</f>
        <v>다음 편: 니느웨의 회개</v>
      </c>
    </row>
    <row r="503" customFormat="false" ht="26.85" hidden="false" customHeight="false" outlineLevel="0" collapsed="false">
      <c r="A503" s="20" t="n">
        <v>502</v>
      </c>
      <c r="B503" s="20" t="s">
        <v>4760</v>
      </c>
      <c r="C503" s="20" t="s">
        <v>4761</v>
      </c>
      <c r="D503" s="20" t="s">
        <v>4724</v>
      </c>
      <c r="E503" s="21" t="s">
        <v>4725</v>
      </c>
      <c r="F503" s="22" t="s">
        <v>88</v>
      </c>
      <c r="G503" s="22" t="s">
        <v>4735</v>
      </c>
      <c r="H503" s="21" t="s">
        <v>4762</v>
      </c>
      <c r="I503" s="23" t="s">
        <v>91</v>
      </c>
      <c r="J503" s="24" t="s">
        <v>4763</v>
      </c>
      <c r="K503" s="28" t="s">
        <v>4764</v>
      </c>
      <c r="L503" s="24" t="s">
        <v>4765</v>
      </c>
      <c r="M503" s="24" t="s">
        <v>4766</v>
      </c>
      <c r="N503" s="24" t="s">
        <v>4767</v>
      </c>
      <c r="O503" s="24" t="s">
        <v>4768</v>
      </c>
      <c r="P503" s="25" t="s">
        <v>4769</v>
      </c>
      <c r="Q503" s="28" t="str">
        <f aca="false">"["&amp;안내!$C$5&amp;" "&amp;C503&amp;"] "&amp;J503&amp;" | "&amp;H503</f>
        <v>[1분 성경 #0502] 니느웨의 회개 | 욘 3:1-10</v>
      </c>
      <c r="R503" s="23" t="n">
        <f aca="false">INT((A503-1)/안내!$C$9)+1</f>
        <v>101</v>
      </c>
      <c r="S503" s="26" t="n">
        <f aca="false">안내!$C$10+(R503-1)*7+MOD(A503-1,안내!$C$9)</f>
        <v>47092</v>
      </c>
      <c r="T503" s="23" t="s">
        <v>99</v>
      </c>
      <c r="U503" s="23" t="s">
        <v>99</v>
      </c>
      <c r="V503" s="23" t="s">
        <v>99</v>
      </c>
      <c r="W503" s="23" t="s">
        <v>99</v>
      </c>
      <c r="X503" s="28"/>
      <c r="Y503" s="28" t="str">
        <f aca="false">"다음 편: "&amp;J504</f>
        <v>다음 편: 박넝쿨</v>
      </c>
    </row>
    <row r="504" customFormat="false" ht="26.85" hidden="false" customHeight="false" outlineLevel="0" collapsed="false">
      <c r="A504" s="20" t="n">
        <v>503</v>
      </c>
      <c r="B504" s="20" t="s">
        <v>4770</v>
      </c>
      <c r="C504" s="20" t="s">
        <v>4771</v>
      </c>
      <c r="D504" s="20" t="s">
        <v>4724</v>
      </c>
      <c r="E504" s="21" t="s">
        <v>4725</v>
      </c>
      <c r="F504" s="22" t="s">
        <v>88</v>
      </c>
      <c r="G504" s="22" t="s">
        <v>4735</v>
      </c>
      <c r="H504" s="21" t="s">
        <v>4772</v>
      </c>
      <c r="I504" s="23" t="s">
        <v>91</v>
      </c>
      <c r="J504" s="24" t="s">
        <v>4773</v>
      </c>
      <c r="K504" s="24" t="s">
        <v>4774</v>
      </c>
      <c r="L504" s="24" t="s">
        <v>4775</v>
      </c>
      <c r="M504" s="24" t="s">
        <v>4776</v>
      </c>
      <c r="N504" s="24" t="s">
        <v>4777</v>
      </c>
      <c r="O504" s="24" t="s">
        <v>4778</v>
      </c>
      <c r="P504" s="28"/>
      <c r="Q504" s="28" t="str">
        <f aca="false">"["&amp;안내!$C$5&amp;" "&amp;C504&amp;"] "&amp;J504&amp;" | "&amp;H504</f>
        <v>[1분 성경 #0503] 박넝쿨 | 욘 4:1-11</v>
      </c>
      <c r="R504" s="23" t="n">
        <f aca="false">INT((A504-1)/안내!$C$9)+1</f>
        <v>101</v>
      </c>
      <c r="S504" s="26" t="n">
        <f aca="false">안내!$C$10+(R504-1)*7+MOD(A504-1,안내!$C$9)</f>
        <v>47093</v>
      </c>
      <c r="T504" s="23" t="s">
        <v>99</v>
      </c>
      <c r="U504" s="23" t="s">
        <v>99</v>
      </c>
      <c r="V504" s="23" t="s">
        <v>99</v>
      </c>
      <c r="W504" s="23" t="s">
        <v>99</v>
      </c>
      <c r="X504" s="28"/>
      <c r="Y504" s="28" t="str">
        <f aca="false">"다음 편: "&amp;J505</f>
        <v>다음 편: 권력자들을 향한 외침</v>
      </c>
    </row>
    <row r="505" customFormat="false" ht="26.85" hidden="false" customHeight="false" outlineLevel="0" collapsed="false">
      <c r="A505" s="20" t="n">
        <v>504</v>
      </c>
      <c r="B505" s="20" t="s">
        <v>4779</v>
      </c>
      <c r="C505" s="20" t="s">
        <v>4780</v>
      </c>
      <c r="D505" s="20" t="s">
        <v>4724</v>
      </c>
      <c r="E505" s="21" t="s">
        <v>4725</v>
      </c>
      <c r="F505" s="22" t="s">
        <v>88</v>
      </c>
      <c r="G505" s="22" t="s">
        <v>4781</v>
      </c>
      <c r="H505" s="21" t="s">
        <v>4782</v>
      </c>
      <c r="I505" s="23" t="s">
        <v>1116</v>
      </c>
      <c r="J505" s="24" t="s">
        <v>4783</v>
      </c>
      <c r="K505" s="24" t="s">
        <v>4784</v>
      </c>
      <c r="L505" s="24" t="s">
        <v>4785</v>
      </c>
      <c r="M505" s="24" t="s">
        <v>4786</v>
      </c>
      <c r="N505" s="24" t="s">
        <v>4781</v>
      </c>
      <c r="O505" s="24" t="s">
        <v>4787</v>
      </c>
      <c r="P505" s="28"/>
      <c r="Q505" s="28" t="str">
        <f aca="false">"["&amp;안내!$C$5&amp;" "&amp;C505&amp;"] "&amp;J505&amp;" | "&amp;H505</f>
        <v>[1분 성경 #0504] 권력자들을 향한 외침 | 미 1:1-3:12</v>
      </c>
      <c r="R505" s="23" t="n">
        <f aca="false">INT((A505-1)/안내!$C$9)+1</f>
        <v>101</v>
      </c>
      <c r="S505" s="26" t="n">
        <f aca="false">안내!$C$10+(R505-1)*7+MOD(A505-1,안내!$C$9)</f>
        <v>47094</v>
      </c>
      <c r="T505" s="23" t="s">
        <v>99</v>
      </c>
      <c r="U505" s="23" t="s">
        <v>99</v>
      </c>
      <c r="V505" s="23" t="s">
        <v>99</v>
      </c>
      <c r="W505" s="23" t="s">
        <v>99</v>
      </c>
      <c r="X505" s="28"/>
      <c r="Y505" s="28" t="str">
        <f aca="false">"다음 편: "&amp;J506</f>
        <v>다음 편: 베들레헴 에브라다</v>
      </c>
    </row>
    <row r="506" customFormat="false" ht="26.85" hidden="false" customHeight="false" outlineLevel="0" collapsed="false">
      <c r="A506" s="20" t="n">
        <v>505</v>
      </c>
      <c r="B506" s="20" t="s">
        <v>4788</v>
      </c>
      <c r="C506" s="20" t="s">
        <v>4789</v>
      </c>
      <c r="D506" s="20" t="s">
        <v>4724</v>
      </c>
      <c r="E506" s="21" t="s">
        <v>4725</v>
      </c>
      <c r="F506" s="22" t="s">
        <v>88</v>
      </c>
      <c r="G506" s="22" t="s">
        <v>4781</v>
      </c>
      <c r="H506" s="21" t="s">
        <v>4790</v>
      </c>
      <c r="I506" s="23" t="s">
        <v>1116</v>
      </c>
      <c r="J506" s="24" t="s">
        <v>4791</v>
      </c>
      <c r="K506" s="28" t="s">
        <v>4792</v>
      </c>
      <c r="L506" s="24" t="s">
        <v>4793</v>
      </c>
      <c r="M506" s="24" t="s">
        <v>4794</v>
      </c>
      <c r="N506" s="24" t="s">
        <v>4781</v>
      </c>
      <c r="O506" s="24" t="s">
        <v>2052</v>
      </c>
      <c r="P506" s="25" t="s">
        <v>4795</v>
      </c>
      <c r="Q506" s="28" t="str">
        <f aca="false">"["&amp;안내!$C$5&amp;" "&amp;C506&amp;"] "&amp;J506&amp;" | "&amp;H506</f>
        <v>[1분 성경 #0505] 베들레헴 에브라다 | 미 4:1-5:15</v>
      </c>
      <c r="R506" s="23" t="n">
        <f aca="false">INT((A506-1)/안내!$C$9)+1</f>
        <v>101</v>
      </c>
      <c r="S506" s="26" t="n">
        <f aca="false">안내!$C$10+(R506-1)*7+MOD(A506-1,안내!$C$9)</f>
        <v>47095</v>
      </c>
      <c r="T506" s="23" t="s">
        <v>99</v>
      </c>
      <c r="U506" s="23" t="s">
        <v>99</v>
      </c>
      <c r="V506" s="23" t="s">
        <v>99</v>
      </c>
      <c r="W506" s="23" t="s">
        <v>99</v>
      </c>
      <c r="X506" s="28"/>
      <c r="Y506" s="28" t="str">
        <f aca="false">"다음 편: "&amp;J507</f>
        <v>다음 편: 오직 정의와 인자</v>
      </c>
    </row>
    <row r="507" customFormat="false" ht="26.85" hidden="false" customHeight="false" outlineLevel="0" collapsed="false">
      <c r="A507" s="20" t="n">
        <v>506</v>
      </c>
      <c r="B507" s="20" t="s">
        <v>4796</v>
      </c>
      <c r="C507" s="20" t="s">
        <v>4797</v>
      </c>
      <c r="D507" s="20" t="s">
        <v>4724</v>
      </c>
      <c r="E507" s="21" t="s">
        <v>4725</v>
      </c>
      <c r="F507" s="22" t="s">
        <v>88</v>
      </c>
      <c r="G507" s="22" t="s">
        <v>4781</v>
      </c>
      <c r="H507" s="21" t="s">
        <v>4798</v>
      </c>
      <c r="I507" s="23" t="s">
        <v>1116</v>
      </c>
      <c r="J507" s="24" t="s">
        <v>4799</v>
      </c>
      <c r="K507" s="24" t="s">
        <v>4800</v>
      </c>
      <c r="L507" s="24" t="s">
        <v>4801</v>
      </c>
      <c r="M507" s="24" t="s">
        <v>4802</v>
      </c>
      <c r="N507" s="24" t="s">
        <v>4781</v>
      </c>
      <c r="O507" s="24" t="s">
        <v>4803</v>
      </c>
      <c r="P507" s="27" t="s">
        <v>4804</v>
      </c>
      <c r="Q507" s="28" t="str">
        <f aca="false">"["&amp;안내!$C$5&amp;" "&amp;C507&amp;"] "&amp;J507&amp;" | "&amp;H507</f>
        <v>[1분 성경 #0506] 오직 정의와 인자 | 미 6:1-7:20</v>
      </c>
      <c r="R507" s="23" t="n">
        <f aca="false">INT((A507-1)/안내!$C$9)+1</f>
        <v>102</v>
      </c>
      <c r="S507" s="26" t="n">
        <f aca="false">안내!$C$10+(R507-1)*7+MOD(A507-1,안내!$C$9)</f>
        <v>47098</v>
      </c>
      <c r="T507" s="23" t="s">
        <v>99</v>
      </c>
      <c r="U507" s="23" t="s">
        <v>99</v>
      </c>
      <c r="V507" s="23" t="s">
        <v>99</v>
      </c>
      <c r="W507" s="23" t="s">
        <v>99</v>
      </c>
      <c r="X507" s="28"/>
      <c r="Y507" s="28" t="str">
        <f aca="false">"다음 편: "&amp;J508</f>
        <v>다음 편: 니느웨의 멸망</v>
      </c>
    </row>
    <row r="508" customFormat="false" ht="26.85" hidden="false" customHeight="false" outlineLevel="0" collapsed="false">
      <c r="A508" s="20" t="n">
        <v>507</v>
      </c>
      <c r="B508" s="20" t="s">
        <v>4805</v>
      </c>
      <c r="C508" s="20" t="s">
        <v>4806</v>
      </c>
      <c r="D508" s="20" t="s">
        <v>4724</v>
      </c>
      <c r="E508" s="21" t="s">
        <v>4725</v>
      </c>
      <c r="F508" s="22" t="s">
        <v>88</v>
      </c>
      <c r="G508" s="22" t="s">
        <v>4807</v>
      </c>
      <c r="H508" s="21" t="s">
        <v>4808</v>
      </c>
      <c r="I508" s="23" t="s">
        <v>1116</v>
      </c>
      <c r="J508" s="24" t="s">
        <v>4809</v>
      </c>
      <c r="K508" s="24" t="s">
        <v>4810</v>
      </c>
      <c r="L508" s="24" t="s">
        <v>4811</v>
      </c>
      <c r="M508" s="24" t="s">
        <v>4812</v>
      </c>
      <c r="N508" s="24" t="s">
        <v>4807</v>
      </c>
      <c r="O508" s="24" t="s">
        <v>4813</v>
      </c>
      <c r="P508" s="25" t="s">
        <v>4814</v>
      </c>
      <c r="Q508" s="28" t="str">
        <f aca="false">"["&amp;안내!$C$5&amp;" "&amp;C508&amp;"] "&amp;J508&amp;" | "&amp;H508</f>
        <v>[1분 성경 #0507] 니느웨의 멸망 | 나 1:1-3:19</v>
      </c>
      <c r="R508" s="23" t="n">
        <f aca="false">INT((A508-1)/안내!$C$9)+1</f>
        <v>102</v>
      </c>
      <c r="S508" s="26" t="n">
        <f aca="false">안내!$C$10+(R508-1)*7+MOD(A508-1,안내!$C$9)</f>
        <v>47099</v>
      </c>
      <c r="T508" s="23" t="s">
        <v>99</v>
      </c>
      <c r="U508" s="23" t="s">
        <v>99</v>
      </c>
      <c r="V508" s="23" t="s">
        <v>99</v>
      </c>
      <c r="W508" s="23" t="s">
        <v>99</v>
      </c>
      <c r="X508" s="28"/>
      <c r="Y508" s="28" t="str">
        <f aca="false">"다음 편: "&amp;J509</f>
        <v>다음 편: 어찌하여</v>
      </c>
    </row>
    <row r="509" customFormat="false" ht="26.85" hidden="false" customHeight="false" outlineLevel="0" collapsed="false">
      <c r="A509" s="20" t="n">
        <v>508</v>
      </c>
      <c r="B509" s="20" t="s">
        <v>4815</v>
      </c>
      <c r="C509" s="20" t="s">
        <v>4816</v>
      </c>
      <c r="D509" s="20" t="s">
        <v>4817</v>
      </c>
      <c r="E509" s="21" t="s">
        <v>4818</v>
      </c>
      <c r="F509" s="22" t="s">
        <v>88</v>
      </c>
      <c r="G509" s="22" t="s">
        <v>4819</v>
      </c>
      <c r="H509" s="21" t="s">
        <v>4820</v>
      </c>
      <c r="I509" s="23" t="s">
        <v>1116</v>
      </c>
      <c r="J509" s="24" t="s">
        <v>4821</v>
      </c>
      <c r="K509" s="24" t="s">
        <v>4822</v>
      </c>
      <c r="L509" s="24" t="s">
        <v>4823</v>
      </c>
      <c r="M509" s="24" t="s">
        <v>4824</v>
      </c>
      <c r="N509" s="24" t="s">
        <v>4819</v>
      </c>
      <c r="O509" s="24" t="s">
        <v>4825</v>
      </c>
      <c r="P509" s="28"/>
      <c r="Q509" s="28" t="str">
        <f aca="false">"["&amp;안내!$C$5&amp;" "&amp;C509&amp;"] "&amp;J509&amp;" | "&amp;H509</f>
        <v>[1분 성경 #0508] 어찌하여 | 합 1:1-2:1</v>
      </c>
      <c r="R509" s="23" t="n">
        <f aca="false">INT((A509-1)/안내!$C$9)+1</f>
        <v>102</v>
      </c>
      <c r="S509" s="26" t="n">
        <f aca="false">안내!$C$10+(R509-1)*7+MOD(A509-1,안내!$C$9)</f>
        <v>47100</v>
      </c>
      <c r="T509" s="23" t="s">
        <v>99</v>
      </c>
      <c r="U509" s="23" t="s">
        <v>99</v>
      </c>
      <c r="V509" s="23" t="s">
        <v>99</v>
      </c>
      <c r="W509" s="23" t="s">
        <v>99</v>
      </c>
      <c r="X509" s="28"/>
      <c r="Y509" s="28" t="str">
        <f aca="false">"다음 편: "&amp;J510</f>
        <v>다음 편: 의인은 믿음으로</v>
      </c>
    </row>
    <row r="510" customFormat="false" ht="26.85" hidden="false" customHeight="false" outlineLevel="0" collapsed="false">
      <c r="A510" s="20" t="n">
        <v>509</v>
      </c>
      <c r="B510" s="20" t="s">
        <v>4826</v>
      </c>
      <c r="C510" s="20" t="s">
        <v>4827</v>
      </c>
      <c r="D510" s="20" t="s">
        <v>4817</v>
      </c>
      <c r="E510" s="21" t="s">
        <v>4818</v>
      </c>
      <c r="F510" s="22" t="s">
        <v>88</v>
      </c>
      <c r="G510" s="22" t="s">
        <v>4819</v>
      </c>
      <c r="H510" s="21" t="s">
        <v>4828</v>
      </c>
      <c r="I510" s="23" t="s">
        <v>1116</v>
      </c>
      <c r="J510" s="24" t="s">
        <v>4829</v>
      </c>
      <c r="K510" s="24" t="s">
        <v>4830</v>
      </c>
      <c r="L510" s="24" t="s">
        <v>4831</v>
      </c>
      <c r="M510" s="24" t="s">
        <v>4832</v>
      </c>
      <c r="N510" s="24" t="s">
        <v>4819</v>
      </c>
      <c r="O510" s="24" t="s">
        <v>4833</v>
      </c>
      <c r="P510" s="25" t="s">
        <v>4834</v>
      </c>
      <c r="Q510" s="28" t="str">
        <f aca="false">"["&amp;안내!$C$5&amp;" "&amp;C510&amp;"] "&amp;J510&amp;" | "&amp;H510</f>
        <v>[1분 성경 #0509] 의인은 믿음으로 | 합 2:2-20</v>
      </c>
      <c r="R510" s="23" t="n">
        <f aca="false">INT((A510-1)/안내!$C$9)+1</f>
        <v>102</v>
      </c>
      <c r="S510" s="26" t="n">
        <f aca="false">안내!$C$10+(R510-1)*7+MOD(A510-1,안내!$C$9)</f>
        <v>47101</v>
      </c>
      <c r="T510" s="23" t="s">
        <v>99</v>
      </c>
      <c r="U510" s="23" t="s">
        <v>99</v>
      </c>
      <c r="V510" s="23" t="s">
        <v>99</v>
      </c>
      <c r="W510" s="23" t="s">
        <v>99</v>
      </c>
      <c r="X510" s="28"/>
      <c r="Y510" s="28" t="str">
        <f aca="false">"다음 편: "&amp;J511</f>
        <v>다음 편: 무화과나무 잎이 없어도</v>
      </c>
    </row>
    <row r="511" customFormat="false" ht="26.85" hidden="false" customHeight="false" outlineLevel="0" collapsed="false">
      <c r="A511" s="20" t="n">
        <v>510</v>
      </c>
      <c r="B511" s="20" t="s">
        <v>4835</v>
      </c>
      <c r="C511" s="20" t="s">
        <v>4836</v>
      </c>
      <c r="D511" s="20" t="s">
        <v>4817</v>
      </c>
      <c r="E511" s="21" t="s">
        <v>4818</v>
      </c>
      <c r="F511" s="22" t="s">
        <v>88</v>
      </c>
      <c r="G511" s="22" t="s">
        <v>4819</v>
      </c>
      <c r="H511" s="21" t="s">
        <v>4837</v>
      </c>
      <c r="I511" s="23" t="s">
        <v>1116</v>
      </c>
      <c r="J511" s="24" t="s">
        <v>4838</v>
      </c>
      <c r="K511" s="24" t="s">
        <v>4839</v>
      </c>
      <c r="L511" s="24" t="s">
        <v>4840</v>
      </c>
      <c r="M511" s="24" t="s">
        <v>4841</v>
      </c>
      <c r="N511" s="24" t="s">
        <v>4819</v>
      </c>
      <c r="O511" s="24" t="s">
        <v>4842</v>
      </c>
      <c r="P511" s="28"/>
      <c r="Q511" s="28" t="str">
        <f aca="false">"["&amp;안내!$C$5&amp;" "&amp;C511&amp;"] "&amp;J511&amp;" | "&amp;H511</f>
        <v>[1분 성경 #0510] 무화과나무 잎이 없어도 | 합 3:1-19</v>
      </c>
      <c r="R511" s="23" t="n">
        <f aca="false">INT((A511-1)/안내!$C$9)+1</f>
        <v>102</v>
      </c>
      <c r="S511" s="26" t="n">
        <f aca="false">안내!$C$10+(R511-1)*7+MOD(A511-1,안내!$C$9)</f>
        <v>47102</v>
      </c>
      <c r="T511" s="23" t="s">
        <v>99</v>
      </c>
      <c r="U511" s="23" t="s">
        <v>99</v>
      </c>
      <c r="V511" s="23" t="s">
        <v>99</v>
      </c>
      <c r="W511" s="23" t="s">
        <v>99</v>
      </c>
      <c r="X511" s="28"/>
      <c r="Y511" s="28" t="str">
        <f aca="false">"다음 편: "&amp;J512</f>
        <v>다음 편: 여호와의 날</v>
      </c>
    </row>
    <row r="512" customFormat="false" ht="26.85" hidden="false" customHeight="false" outlineLevel="0" collapsed="false">
      <c r="A512" s="20" t="n">
        <v>511</v>
      </c>
      <c r="B512" s="20" t="s">
        <v>4843</v>
      </c>
      <c r="C512" s="20" t="s">
        <v>4844</v>
      </c>
      <c r="D512" s="20" t="s">
        <v>4817</v>
      </c>
      <c r="E512" s="21" t="s">
        <v>4818</v>
      </c>
      <c r="F512" s="22" t="s">
        <v>88</v>
      </c>
      <c r="G512" s="22" t="s">
        <v>4845</v>
      </c>
      <c r="H512" s="21" t="s">
        <v>4846</v>
      </c>
      <c r="I512" s="23" t="s">
        <v>1116</v>
      </c>
      <c r="J512" s="24" t="s">
        <v>4847</v>
      </c>
      <c r="K512" s="24" t="s">
        <v>4848</v>
      </c>
      <c r="L512" s="24" t="s">
        <v>4849</v>
      </c>
      <c r="M512" s="24" t="s">
        <v>4850</v>
      </c>
      <c r="N512" s="24" t="s">
        <v>4845</v>
      </c>
      <c r="O512" s="24" t="s">
        <v>2447</v>
      </c>
      <c r="P512" s="25" t="s">
        <v>4851</v>
      </c>
      <c r="Q512" s="28" t="str">
        <f aca="false">"["&amp;안내!$C$5&amp;" "&amp;C512&amp;"] "&amp;J512&amp;" | "&amp;H512</f>
        <v>[1분 성경 #0511] 여호와의 날 | 습 1:1-2:15</v>
      </c>
      <c r="R512" s="23" t="n">
        <f aca="false">INT((A512-1)/안내!$C$9)+1</f>
        <v>103</v>
      </c>
      <c r="S512" s="26" t="n">
        <f aca="false">안내!$C$10+(R512-1)*7+MOD(A512-1,안내!$C$9)</f>
        <v>47105</v>
      </c>
      <c r="T512" s="23" t="s">
        <v>99</v>
      </c>
      <c r="U512" s="23" t="s">
        <v>99</v>
      </c>
      <c r="V512" s="23" t="s">
        <v>99</v>
      </c>
      <c r="W512" s="23" t="s">
        <v>99</v>
      </c>
      <c r="X512" s="28"/>
      <c r="Y512" s="28" t="str">
        <f aca="false">"다음 편: "&amp;J513</f>
        <v>다음 편: 너로 말미암아 기뻐하시리라</v>
      </c>
    </row>
    <row r="513" customFormat="false" ht="26.85" hidden="false" customHeight="false" outlineLevel="0" collapsed="false">
      <c r="A513" s="20" t="n">
        <v>512</v>
      </c>
      <c r="B513" s="20" t="s">
        <v>4852</v>
      </c>
      <c r="C513" s="20" t="s">
        <v>4853</v>
      </c>
      <c r="D513" s="20" t="s">
        <v>4817</v>
      </c>
      <c r="E513" s="21" t="s">
        <v>4818</v>
      </c>
      <c r="F513" s="22" t="s">
        <v>88</v>
      </c>
      <c r="G513" s="22" t="s">
        <v>4845</v>
      </c>
      <c r="H513" s="21" t="s">
        <v>4854</v>
      </c>
      <c r="I513" s="23" t="s">
        <v>1116</v>
      </c>
      <c r="J513" s="24" t="s">
        <v>4855</v>
      </c>
      <c r="K513" s="24" t="s">
        <v>4856</v>
      </c>
      <c r="L513" s="24" t="s">
        <v>4857</v>
      </c>
      <c r="M513" s="24" t="s">
        <v>4858</v>
      </c>
      <c r="N513" s="24" t="s">
        <v>4845</v>
      </c>
      <c r="O513" s="24" t="s">
        <v>4859</v>
      </c>
      <c r="P513" s="28"/>
      <c r="Q513" s="28" t="str">
        <f aca="false">"["&amp;안내!$C$5&amp;" "&amp;C513&amp;"] "&amp;J513&amp;" | "&amp;H513</f>
        <v>[1분 성경 #0512] 너로 말미암아 기뻐하시리라 | 습 3:1-20</v>
      </c>
      <c r="R513" s="23" t="n">
        <f aca="false">INT((A513-1)/안내!$C$9)+1</f>
        <v>103</v>
      </c>
      <c r="S513" s="26" t="n">
        <f aca="false">안내!$C$10+(R513-1)*7+MOD(A513-1,안내!$C$9)</f>
        <v>47106</v>
      </c>
      <c r="T513" s="23" t="s">
        <v>99</v>
      </c>
      <c r="U513" s="23" t="s">
        <v>99</v>
      </c>
      <c r="V513" s="23" t="s">
        <v>99</v>
      </c>
      <c r="W513" s="23" t="s">
        <v>99</v>
      </c>
      <c r="X513" s="28"/>
      <c r="Y513" s="28" t="str">
        <f aca="false">"다음 편: "&amp;J514</f>
        <v>다음 편: 너희 집은 판벽한 집</v>
      </c>
    </row>
    <row r="514" customFormat="false" ht="26.85" hidden="false" customHeight="false" outlineLevel="0" collapsed="false">
      <c r="A514" s="20" t="n">
        <v>513</v>
      </c>
      <c r="B514" s="20" t="s">
        <v>4860</v>
      </c>
      <c r="C514" s="20" t="s">
        <v>4861</v>
      </c>
      <c r="D514" s="20" t="s">
        <v>4817</v>
      </c>
      <c r="E514" s="21" t="s">
        <v>4818</v>
      </c>
      <c r="F514" s="22" t="s">
        <v>88</v>
      </c>
      <c r="G514" s="22" t="s">
        <v>4862</v>
      </c>
      <c r="H514" s="21" t="s">
        <v>4863</v>
      </c>
      <c r="I514" s="23" t="s">
        <v>1116</v>
      </c>
      <c r="J514" s="24" t="s">
        <v>4864</v>
      </c>
      <c r="K514" s="24" t="s">
        <v>4865</v>
      </c>
      <c r="L514" s="24" t="s">
        <v>4866</v>
      </c>
      <c r="M514" s="24" t="s">
        <v>4867</v>
      </c>
      <c r="N514" s="24" t="s">
        <v>4868</v>
      </c>
      <c r="O514" s="24" t="s">
        <v>4869</v>
      </c>
      <c r="P514" s="28"/>
      <c r="Q514" s="28" t="str">
        <f aca="false">"["&amp;안내!$C$5&amp;" "&amp;C514&amp;"] "&amp;J514&amp;" | "&amp;H514</f>
        <v>[1분 성경 #0513] 너희 집은 판벽한 집 | 학 1:1-15</v>
      </c>
      <c r="R514" s="23" t="n">
        <f aca="false">INT((A514-1)/안내!$C$9)+1</f>
        <v>103</v>
      </c>
      <c r="S514" s="26" t="n">
        <f aca="false">안내!$C$10+(R514-1)*7+MOD(A514-1,안내!$C$9)</f>
        <v>47107</v>
      </c>
      <c r="T514" s="23" t="s">
        <v>99</v>
      </c>
      <c r="U514" s="23" t="s">
        <v>99</v>
      </c>
      <c r="V514" s="23" t="s">
        <v>99</v>
      </c>
      <c r="W514" s="23" t="s">
        <v>99</v>
      </c>
      <c r="X514" s="28"/>
      <c r="Y514" s="28" t="str">
        <f aca="false">"다음 편: "&amp;J515</f>
        <v>다음 편: 나중 영광이 더 크리라</v>
      </c>
    </row>
    <row r="515" customFormat="false" ht="26.85" hidden="false" customHeight="false" outlineLevel="0" collapsed="false">
      <c r="A515" s="20" t="n">
        <v>514</v>
      </c>
      <c r="B515" s="20" t="s">
        <v>4870</v>
      </c>
      <c r="C515" s="20" t="s">
        <v>4871</v>
      </c>
      <c r="D515" s="20" t="s">
        <v>4817</v>
      </c>
      <c r="E515" s="21" t="s">
        <v>4818</v>
      </c>
      <c r="F515" s="22" t="s">
        <v>88</v>
      </c>
      <c r="G515" s="22" t="s">
        <v>4862</v>
      </c>
      <c r="H515" s="21" t="s">
        <v>4872</v>
      </c>
      <c r="I515" s="23" t="s">
        <v>1116</v>
      </c>
      <c r="J515" s="24" t="s">
        <v>4873</v>
      </c>
      <c r="K515" s="24" t="s">
        <v>4874</v>
      </c>
      <c r="L515" s="24" t="s">
        <v>4875</v>
      </c>
      <c r="M515" s="24" t="s">
        <v>4876</v>
      </c>
      <c r="N515" s="24" t="s">
        <v>4877</v>
      </c>
      <c r="O515" s="24" t="s">
        <v>4878</v>
      </c>
      <c r="P515" s="28"/>
      <c r="Q515" s="28" t="str">
        <f aca="false">"["&amp;안내!$C$5&amp;" "&amp;C515&amp;"] "&amp;J515&amp;" | "&amp;H515</f>
        <v>[1분 성경 #0514] 나중 영광이 더 크리라 | 학 2:1-23</v>
      </c>
      <c r="R515" s="23" t="n">
        <f aca="false">INT((A515-1)/안내!$C$9)+1</f>
        <v>103</v>
      </c>
      <c r="S515" s="26" t="n">
        <f aca="false">안내!$C$10+(R515-1)*7+MOD(A515-1,안내!$C$9)</f>
        <v>47108</v>
      </c>
      <c r="T515" s="23" t="s">
        <v>99</v>
      </c>
      <c r="U515" s="23" t="s">
        <v>99</v>
      </c>
      <c r="V515" s="23" t="s">
        <v>99</v>
      </c>
      <c r="W515" s="23" t="s">
        <v>99</v>
      </c>
      <c r="X515" s="28"/>
      <c r="Y515" s="28" t="str">
        <f aca="false">"다음 편: "&amp;J516</f>
        <v>다음 편: 힘으로 되지 아니하며</v>
      </c>
    </row>
    <row r="516" customFormat="false" ht="26.85" hidden="false" customHeight="false" outlineLevel="0" collapsed="false">
      <c r="A516" s="20" t="n">
        <v>515</v>
      </c>
      <c r="B516" s="20" t="s">
        <v>4879</v>
      </c>
      <c r="C516" s="20" t="s">
        <v>4880</v>
      </c>
      <c r="D516" s="20" t="s">
        <v>4817</v>
      </c>
      <c r="E516" s="21" t="s">
        <v>4818</v>
      </c>
      <c r="F516" s="22" t="s">
        <v>88</v>
      </c>
      <c r="G516" s="22" t="s">
        <v>4881</v>
      </c>
      <c r="H516" s="21" t="s">
        <v>4882</v>
      </c>
      <c r="I516" s="23" t="s">
        <v>1116</v>
      </c>
      <c r="J516" s="24" t="s">
        <v>4883</v>
      </c>
      <c r="K516" s="24" t="s">
        <v>4884</v>
      </c>
      <c r="L516" s="24" t="s">
        <v>4885</v>
      </c>
      <c r="M516" s="24" t="s">
        <v>4886</v>
      </c>
      <c r="N516" s="24" t="s">
        <v>4887</v>
      </c>
      <c r="O516" s="24" t="s">
        <v>4888</v>
      </c>
      <c r="P516" s="25" t="s">
        <v>4889</v>
      </c>
      <c r="Q516" s="28" t="str">
        <f aca="false">"["&amp;안내!$C$5&amp;" "&amp;C516&amp;"] "&amp;J516&amp;" | "&amp;H516</f>
        <v>[1분 성경 #0515] 힘으로 되지 아니하며 | 슥 1:1-6:15</v>
      </c>
      <c r="R516" s="23" t="n">
        <f aca="false">INT((A516-1)/안내!$C$9)+1</f>
        <v>103</v>
      </c>
      <c r="S516" s="26" t="n">
        <f aca="false">안내!$C$10+(R516-1)*7+MOD(A516-1,안내!$C$9)</f>
        <v>47109</v>
      </c>
      <c r="T516" s="23" t="s">
        <v>99</v>
      </c>
      <c r="U516" s="23" t="s">
        <v>99</v>
      </c>
      <c r="V516" s="23" t="s">
        <v>99</v>
      </c>
      <c r="W516" s="23" t="s">
        <v>99</v>
      </c>
      <c r="X516" s="28"/>
      <c r="Y516" s="28" t="str">
        <f aca="false">"다음 편: "&amp;J517</f>
        <v>다음 편: 금식보다 중요한 것</v>
      </c>
    </row>
    <row r="517" customFormat="false" ht="26.85" hidden="false" customHeight="false" outlineLevel="0" collapsed="false">
      <c r="A517" s="20" t="n">
        <v>516</v>
      </c>
      <c r="B517" s="20" t="s">
        <v>4890</v>
      </c>
      <c r="C517" s="20" t="s">
        <v>4891</v>
      </c>
      <c r="D517" s="20" t="s">
        <v>4817</v>
      </c>
      <c r="E517" s="21" t="s">
        <v>4818</v>
      </c>
      <c r="F517" s="22" t="s">
        <v>88</v>
      </c>
      <c r="G517" s="22" t="s">
        <v>4881</v>
      </c>
      <c r="H517" s="21" t="s">
        <v>4892</v>
      </c>
      <c r="I517" s="23" t="s">
        <v>1116</v>
      </c>
      <c r="J517" s="24" t="s">
        <v>4893</v>
      </c>
      <c r="K517" s="24" t="s">
        <v>4894</v>
      </c>
      <c r="L517" s="24" t="s">
        <v>4895</v>
      </c>
      <c r="M517" s="24" t="s">
        <v>4896</v>
      </c>
      <c r="N517" s="24" t="s">
        <v>4897</v>
      </c>
      <c r="O517" s="24" t="s">
        <v>4898</v>
      </c>
      <c r="P517" s="28"/>
      <c r="Q517" s="28" t="str">
        <f aca="false">"["&amp;안내!$C$5&amp;" "&amp;C517&amp;"] "&amp;J517&amp;" | "&amp;H517</f>
        <v>[1분 성경 #0516] 금식보다 중요한 것 | 슥 7:1-8:23</v>
      </c>
      <c r="R517" s="23" t="n">
        <f aca="false">INT((A517-1)/안내!$C$9)+1</f>
        <v>104</v>
      </c>
      <c r="S517" s="26" t="n">
        <f aca="false">안내!$C$10+(R517-1)*7+MOD(A517-1,안내!$C$9)</f>
        <v>47112</v>
      </c>
      <c r="T517" s="23" t="s">
        <v>99</v>
      </c>
      <c r="U517" s="23" t="s">
        <v>99</v>
      </c>
      <c r="V517" s="23" t="s">
        <v>99</v>
      </c>
      <c r="W517" s="23" t="s">
        <v>99</v>
      </c>
      <c r="X517" s="28"/>
      <c r="Y517" s="28" t="str">
        <f aca="false">"다음 편: "&amp;J518</f>
        <v>다음 편: 나귀 타고 오시는 왕</v>
      </c>
    </row>
    <row r="518" customFormat="false" ht="26.85" hidden="false" customHeight="false" outlineLevel="0" collapsed="false">
      <c r="A518" s="20" t="n">
        <v>517</v>
      </c>
      <c r="B518" s="20" t="s">
        <v>4899</v>
      </c>
      <c r="C518" s="20" t="s">
        <v>4900</v>
      </c>
      <c r="D518" s="20" t="s">
        <v>4817</v>
      </c>
      <c r="E518" s="21" t="s">
        <v>4818</v>
      </c>
      <c r="F518" s="22" t="s">
        <v>88</v>
      </c>
      <c r="G518" s="22" t="s">
        <v>4881</v>
      </c>
      <c r="H518" s="21" t="s">
        <v>4901</v>
      </c>
      <c r="I518" s="23" t="s">
        <v>1116</v>
      </c>
      <c r="J518" s="24" t="s">
        <v>4902</v>
      </c>
      <c r="K518" s="24" t="s">
        <v>4903</v>
      </c>
      <c r="L518" s="24" t="s">
        <v>4904</v>
      </c>
      <c r="M518" s="24" t="s">
        <v>4905</v>
      </c>
      <c r="N518" s="24" t="s">
        <v>4881</v>
      </c>
      <c r="O518" s="24" t="s">
        <v>4906</v>
      </c>
      <c r="P518" s="25" t="s">
        <v>4907</v>
      </c>
      <c r="Q518" s="28" t="str">
        <f aca="false">"["&amp;안내!$C$5&amp;" "&amp;C518&amp;"] "&amp;J518&amp;" | "&amp;H518</f>
        <v>[1분 성경 #0517] 나귀 타고 오시는 왕 | 슥 9:1-11:17</v>
      </c>
      <c r="R518" s="23" t="n">
        <f aca="false">INT((A518-1)/안내!$C$9)+1</f>
        <v>104</v>
      </c>
      <c r="S518" s="26" t="n">
        <f aca="false">안내!$C$10+(R518-1)*7+MOD(A518-1,안내!$C$9)</f>
        <v>47113</v>
      </c>
      <c r="T518" s="23" t="s">
        <v>99</v>
      </c>
      <c r="U518" s="23" t="s">
        <v>99</v>
      </c>
      <c r="V518" s="23" t="s">
        <v>99</v>
      </c>
      <c r="W518" s="23" t="s">
        <v>99</v>
      </c>
      <c r="X518" s="28"/>
      <c r="Y518" s="28" t="str">
        <f aca="false">"다음 편: "&amp;J519</f>
        <v>다음 편: 그 찌른 바를 바라보고</v>
      </c>
    </row>
    <row r="519" customFormat="false" ht="26.85" hidden="false" customHeight="false" outlineLevel="0" collapsed="false">
      <c r="A519" s="20" t="n">
        <v>518</v>
      </c>
      <c r="B519" s="20" t="s">
        <v>4908</v>
      </c>
      <c r="C519" s="20" t="s">
        <v>4909</v>
      </c>
      <c r="D519" s="20" t="s">
        <v>4817</v>
      </c>
      <c r="E519" s="21" t="s">
        <v>4818</v>
      </c>
      <c r="F519" s="22" t="s">
        <v>88</v>
      </c>
      <c r="G519" s="22" t="s">
        <v>4881</v>
      </c>
      <c r="H519" s="21" t="s">
        <v>4910</v>
      </c>
      <c r="I519" s="23" t="s">
        <v>1116</v>
      </c>
      <c r="J519" s="24" t="s">
        <v>4911</v>
      </c>
      <c r="K519" s="24" t="s">
        <v>4912</v>
      </c>
      <c r="L519" s="24" t="s">
        <v>4913</v>
      </c>
      <c r="M519" s="24" t="s">
        <v>4914</v>
      </c>
      <c r="N519" s="24" t="s">
        <v>4881</v>
      </c>
      <c r="O519" s="24" t="s">
        <v>4915</v>
      </c>
      <c r="P519" s="25" t="s">
        <v>4916</v>
      </c>
      <c r="Q519" s="28" t="str">
        <f aca="false">"["&amp;안내!$C$5&amp;" "&amp;C519&amp;"] "&amp;J519&amp;" | "&amp;H519</f>
        <v>[1분 성경 #0518] 그 찌른 바를 바라보고 | 슥 12:1-14:21</v>
      </c>
      <c r="R519" s="23" t="n">
        <f aca="false">INT((A519-1)/안내!$C$9)+1</f>
        <v>104</v>
      </c>
      <c r="S519" s="26" t="n">
        <f aca="false">안내!$C$10+(R519-1)*7+MOD(A519-1,안내!$C$9)</f>
        <v>47114</v>
      </c>
      <c r="T519" s="23" t="s">
        <v>99</v>
      </c>
      <c r="U519" s="23" t="s">
        <v>99</v>
      </c>
      <c r="V519" s="23" t="s">
        <v>99</v>
      </c>
      <c r="W519" s="23" t="s">
        <v>99</v>
      </c>
      <c r="X519" s="28"/>
      <c r="Y519" s="28" t="str">
        <f aca="false">"다음 편: "&amp;J520</f>
        <v>다음 편: 내가 너희를 사랑하였노라</v>
      </c>
    </row>
    <row r="520" customFormat="false" ht="26.85" hidden="false" customHeight="false" outlineLevel="0" collapsed="false">
      <c r="A520" s="20" t="n">
        <v>519</v>
      </c>
      <c r="B520" s="20" t="s">
        <v>4917</v>
      </c>
      <c r="C520" s="20" t="s">
        <v>4918</v>
      </c>
      <c r="D520" s="20" t="s">
        <v>4817</v>
      </c>
      <c r="E520" s="21" t="s">
        <v>4818</v>
      </c>
      <c r="F520" s="22" t="s">
        <v>88</v>
      </c>
      <c r="G520" s="22" t="s">
        <v>4919</v>
      </c>
      <c r="H520" s="21" t="s">
        <v>4920</v>
      </c>
      <c r="I520" s="23" t="s">
        <v>1116</v>
      </c>
      <c r="J520" s="24" t="s">
        <v>4921</v>
      </c>
      <c r="K520" s="24" t="s">
        <v>4922</v>
      </c>
      <c r="L520" s="24" t="s">
        <v>4923</v>
      </c>
      <c r="M520" s="24" t="s">
        <v>4924</v>
      </c>
      <c r="N520" s="24" t="s">
        <v>4925</v>
      </c>
      <c r="O520" s="24" t="s">
        <v>4926</v>
      </c>
      <c r="P520" s="28"/>
      <c r="Q520" s="28" t="str">
        <f aca="false">"["&amp;안내!$C$5&amp;" "&amp;C520&amp;"] "&amp;J520&amp;" | "&amp;H520</f>
        <v>[1분 성경 #0519] 내가 너희를 사랑하였노라 | 말 1:1-2:17</v>
      </c>
      <c r="R520" s="23" t="n">
        <f aca="false">INT((A520-1)/안내!$C$9)+1</f>
        <v>104</v>
      </c>
      <c r="S520" s="26" t="n">
        <f aca="false">안내!$C$10+(R520-1)*7+MOD(A520-1,안내!$C$9)</f>
        <v>47115</v>
      </c>
      <c r="T520" s="23" t="s">
        <v>99</v>
      </c>
      <c r="U520" s="23" t="s">
        <v>99</v>
      </c>
      <c r="V520" s="23" t="s">
        <v>99</v>
      </c>
      <c r="W520" s="23" t="s">
        <v>99</v>
      </c>
      <c r="X520" s="28"/>
      <c r="Y520" s="28" t="str">
        <f aca="false">"다음 편: "&amp;J521</f>
        <v>다음 편: 기념책</v>
      </c>
    </row>
    <row r="521" customFormat="false" ht="26.85" hidden="false" customHeight="false" outlineLevel="0" collapsed="false">
      <c r="A521" s="20" t="n">
        <v>520</v>
      </c>
      <c r="B521" s="20" t="s">
        <v>4927</v>
      </c>
      <c r="C521" s="20" t="s">
        <v>4928</v>
      </c>
      <c r="D521" s="20" t="s">
        <v>4817</v>
      </c>
      <c r="E521" s="21" t="s">
        <v>4818</v>
      </c>
      <c r="F521" s="22" t="s">
        <v>88</v>
      </c>
      <c r="G521" s="22" t="s">
        <v>4919</v>
      </c>
      <c r="H521" s="21" t="s">
        <v>4929</v>
      </c>
      <c r="I521" s="23" t="s">
        <v>1116</v>
      </c>
      <c r="J521" s="24" t="s">
        <v>4930</v>
      </c>
      <c r="K521" s="24" t="s">
        <v>4931</v>
      </c>
      <c r="L521" s="24" t="s">
        <v>4932</v>
      </c>
      <c r="M521" s="24" t="s">
        <v>4933</v>
      </c>
      <c r="N521" s="24" t="s">
        <v>4934</v>
      </c>
      <c r="O521" s="24" t="s">
        <v>4935</v>
      </c>
      <c r="P521" s="27" t="s">
        <v>4936</v>
      </c>
      <c r="Q521" s="28" t="str">
        <f aca="false">"["&amp;안내!$C$5&amp;" "&amp;C521&amp;"] "&amp;J521&amp;" | "&amp;H521</f>
        <v>[1분 성경 #0520] 기념책 | 말 3:1-18</v>
      </c>
      <c r="R521" s="23" t="n">
        <f aca="false">INT((A521-1)/안내!$C$9)+1</f>
        <v>104</v>
      </c>
      <c r="S521" s="26" t="n">
        <f aca="false">안내!$C$10+(R521-1)*7+MOD(A521-1,안내!$C$9)</f>
        <v>47116</v>
      </c>
      <c r="T521" s="23" t="s">
        <v>99</v>
      </c>
      <c r="U521" s="23" t="s">
        <v>99</v>
      </c>
      <c r="V521" s="23" t="s">
        <v>99</v>
      </c>
      <c r="W521" s="23" t="s">
        <v>99</v>
      </c>
      <c r="X521" s="28"/>
      <c r="Y521" s="28" t="str">
        <f aca="false">"다음 편: "&amp;J522</f>
        <v>다음 편: 의로운 해가 떠오르리라</v>
      </c>
    </row>
    <row r="522" customFormat="false" ht="26.85" hidden="false" customHeight="false" outlineLevel="0" collapsed="false">
      <c r="A522" s="20" t="n">
        <v>521</v>
      </c>
      <c r="B522" s="20" t="s">
        <v>4937</v>
      </c>
      <c r="C522" s="20" t="s">
        <v>4938</v>
      </c>
      <c r="D522" s="20" t="s">
        <v>4817</v>
      </c>
      <c r="E522" s="21" t="s">
        <v>4818</v>
      </c>
      <c r="F522" s="22" t="s">
        <v>88</v>
      </c>
      <c r="G522" s="22" t="s">
        <v>4919</v>
      </c>
      <c r="H522" s="21" t="s">
        <v>4939</v>
      </c>
      <c r="I522" s="23" t="s">
        <v>1116</v>
      </c>
      <c r="J522" s="24" t="s">
        <v>4940</v>
      </c>
      <c r="K522" s="24" t="s">
        <v>4941</v>
      </c>
      <c r="L522" s="24" t="s">
        <v>4942</v>
      </c>
      <c r="M522" s="24" t="s">
        <v>4943</v>
      </c>
      <c r="N522" s="24" t="s">
        <v>4919</v>
      </c>
      <c r="O522" s="24" t="s">
        <v>4944</v>
      </c>
      <c r="P522" s="25" t="s">
        <v>4945</v>
      </c>
      <c r="Q522" s="28" t="str">
        <f aca="false">"["&amp;안내!$C$5&amp;" "&amp;C522&amp;"] "&amp;J522&amp;" | "&amp;H522</f>
        <v>[1분 성경 #0521] 의로운 해가 떠오르리라 | 말 4:1-6</v>
      </c>
      <c r="R522" s="23" t="n">
        <f aca="false">INT((A522-1)/안내!$C$9)+1</f>
        <v>105</v>
      </c>
      <c r="S522" s="26" t="n">
        <f aca="false">안내!$C$10+(R522-1)*7+MOD(A522-1,안내!$C$9)</f>
        <v>47119</v>
      </c>
      <c r="T522" s="23" t="s">
        <v>99</v>
      </c>
      <c r="U522" s="23" t="s">
        <v>99</v>
      </c>
      <c r="V522" s="23" t="s">
        <v>99</v>
      </c>
      <c r="W522" s="23" t="s">
        <v>99</v>
      </c>
      <c r="X522" s="28"/>
      <c r="Y522" s="28" t="str">
        <f aca="false">"다음 편: "&amp;J523</f>
        <v>다음 편: 예수님의 족보</v>
      </c>
    </row>
    <row r="523" customFormat="false" ht="26.85" hidden="false" customHeight="false" outlineLevel="0" collapsed="false">
      <c r="A523" s="23" t="n">
        <v>522</v>
      </c>
      <c r="B523" s="29" t="s">
        <v>4946</v>
      </c>
      <c r="C523" s="29" t="s">
        <v>4947</v>
      </c>
      <c r="D523" s="29" t="s">
        <v>4948</v>
      </c>
      <c r="E523" s="24" t="s">
        <v>4949</v>
      </c>
      <c r="F523" s="23" t="s">
        <v>4950</v>
      </c>
      <c r="G523" s="23" t="s">
        <v>4951</v>
      </c>
      <c r="H523" s="24" t="s">
        <v>4952</v>
      </c>
      <c r="I523" s="23" t="s">
        <v>91</v>
      </c>
      <c r="J523" s="24" t="s">
        <v>4953</v>
      </c>
      <c r="K523" s="24" t="s">
        <v>4954</v>
      </c>
      <c r="L523" s="24" t="s">
        <v>4955</v>
      </c>
      <c r="M523" s="24" t="s">
        <v>4956</v>
      </c>
      <c r="N523" s="24" t="s">
        <v>4957</v>
      </c>
      <c r="O523" s="24" t="s">
        <v>223</v>
      </c>
      <c r="P523" s="28"/>
      <c r="Q523" s="28" t="str">
        <f aca="false">"["&amp;안내!$C$5&amp;" "&amp;C523&amp;"] "&amp;J523&amp;" | "&amp;H523</f>
        <v>[1분 성경 #0522] 예수님의 족보 | 마 1:1-17</v>
      </c>
      <c r="R523" s="29" t="n">
        <f aca="false">INT((A523-1)/안내!$C$9)+1</f>
        <v>105</v>
      </c>
      <c r="S523" s="26" t="n">
        <f aca="false">안내!$C$10+(R523-1)*7+MOD(A523-1,안내!$C$9)</f>
        <v>47120</v>
      </c>
      <c r="T523" s="23" t="s">
        <v>99</v>
      </c>
      <c r="U523" s="23" t="s">
        <v>99</v>
      </c>
      <c r="V523" s="23" t="s">
        <v>99</v>
      </c>
      <c r="W523" s="23" t="s">
        <v>99</v>
      </c>
      <c r="X523" s="28"/>
      <c r="Y523" s="28" t="str">
        <f aca="false">"다음 편: "&amp;J524</f>
        <v>다음 편: 요셉의 꿈</v>
      </c>
    </row>
    <row r="524" customFormat="false" ht="26.85" hidden="false" customHeight="false" outlineLevel="0" collapsed="false">
      <c r="A524" s="29" t="n">
        <v>523</v>
      </c>
      <c r="B524" s="29" t="s">
        <v>4958</v>
      </c>
      <c r="C524" s="29" t="s">
        <v>4959</v>
      </c>
      <c r="D524" s="29" t="s">
        <v>4948</v>
      </c>
      <c r="E524" s="24" t="s">
        <v>4949</v>
      </c>
      <c r="F524" s="23" t="s">
        <v>4950</v>
      </c>
      <c r="G524" s="23" t="s">
        <v>4951</v>
      </c>
      <c r="H524" s="24" t="s">
        <v>4960</v>
      </c>
      <c r="I524" s="23" t="s">
        <v>91</v>
      </c>
      <c r="J524" s="24" t="s">
        <v>4961</v>
      </c>
      <c r="K524" s="24" t="s">
        <v>4962</v>
      </c>
      <c r="L524" s="24" t="s">
        <v>4963</v>
      </c>
      <c r="M524" s="24" t="s">
        <v>4964</v>
      </c>
      <c r="N524" s="24" t="s">
        <v>4965</v>
      </c>
      <c r="O524" s="24" t="s">
        <v>4966</v>
      </c>
      <c r="P524" s="25" t="s">
        <v>4967</v>
      </c>
      <c r="Q524" s="28" t="str">
        <f aca="false">"["&amp;안내!$C$5&amp;" "&amp;C524&amp;"] "&amp;J524&amp;" | "&amp;H524</f>
        <v>[1분 성경 #0523] 요셉의 꿈 | 마 1:18-25</v>
      </c>
      <c r="R524" s="29" t="n">
        <f aca="false">INT((A524-1)/안내!$C$9)+1</f>
        <v>105</v>
      </c>
      <c r="S524" s="26" t="n">
        <f aca="false">안내!$C$10+(R524-1)*7+MOD(A524-1,안내!$C$9)</f>
        <v>47121</v>
      </c>
      <c r="T524" s="23" t="s">
        <v>99</v>
      </c>
      <c r="U524" s="23" t="s">
        <v>99</v>
      </c>
      <c r="V524" s="23" t="s">
        <v>99</v>
      </c>
      <c r="W524" s="23" t="s">
        <v>99</v>
      </c>
      <c r="X524" s="28"/>
      <c r="Y524" s="28" t="str">
        <f aca="false">"다음 편: "&amp;J525</f>
        <v>다음 편: 별을 따라온 사람들</v>
      </c>
    </row>
    <row r="525" customFormat="false" ht="26.85" hidden="false" customHeight="false" outlineLevel="0" collapsed="false">
      <c r="A525" s="29" t="n">
        <v>524</v>
      </c>
      <c r="B525" s="29" t="s">
        <v>4968</v>
      </c>
      <c r="C525" s="29" t="s">
        <v>4969</v>
      </c>
      <c r="D525" s="29" t="s">
        <v>4948</v>
      </c>
      <c r="E525" s="24" t="s">
        <v>4949</v>
      </c>
      <c r="F525" s="23" t="s">
        <v>4950</v>
      </c>
      <c r="G525" s="23" t="s">
        <v>4951</v>
      </c>
      <c r="H525" s="24" t="s">
        <v>4970</v>
      </c>
      <c r="I525" s="23" t="s">
        <v>91</v>
      </c>
      <c r="J525" s="24" t="s">
        <v>4971</v>
      </c>
      <c r="K525" s="24" t="s">
        <v>4972</v>
      </c>
      <c r="L525" s="24" t="s">
        <v>4973</v>
      </c>
      <c r="M525" s="24" t="s">
        <v>4974</v>
      </c>
      <c r="N525" s="24" t="s">
        <v>4975</v>
      </c>
      <c r="O525" s="24" t="s">
        <v>4976</v>
      </c>
      <c r="P525" s="25" t="s">
        <v>4977</v>
      </c>
      <c r="Q525" s="28" t="str">
        <f aca="false">"["&amp;안내!$C$5&amp;" "&amp;C525&amp;"] "&amp;J525&amp;" | "&amp;H525</f>
        <v>[1분 성경 #0524] 별을 따라온 사람들 | 마 2:1-12</v>
      </c>
      <c r="R525" s="29" t="n">
        <f aca="false">INT((A525-1)/안내!$C$9)+1</f>
        <v>105</v>
      </c>
      <c r="S525" s="26" t="n">
        <f aca="false">안내!$C$10+(R525-1)*7+MOD(A525-1,안내!$C$9)</f>
        <v>47122</v>
      </c>
      <c r="T525" s="23" t="s">
        <v>99</v>
      </c>
      <c r="U525" s="23" t="s">
        <v>99</v>
      </c>
      <c r="V525" s="23" t="s">
        <v>99</v>
      </c>
      <c r="W525" s="23" t="s">
        <v>99</v>
      </c>
      <c r="X525" s="28"/>
      <c r="Y525" s="28" t="str">
        <f aca="false">"다음 편: "&amp;J526</f>
        <v>다음 편: 애굽으로 피하다</v>
      </c>
    </row>
    <row r="526" customFormat="false" ht="26.85" hidden="false" customHeight="false" outlineLevel="0" collapsed="false">
      <c r="A526" s="29" t="n">
        <v>525</v>
      </c>
      <c r="B526" s="29" t="s">
        <v>4978</v>
      </c>
      <c r="C526" s="29" t="s">
        <v>4979</v>
      </c>
      <c r="D526" s="29" t="s">
        <v>4948</v>
      </c>
      <c r="E526" s="24" t="s">
        <v>4949</v>
      </c>
      <c r="F526" s="23" t="s">
        <v>4950</v>
      </c>
      <c r="G526" s="23" t="s">
        <v>4951</v>
      </c>
      <c r="H526" s="24" t="s">
        <v>4980</v>
      </c>
      <c r="I526" s="23" t="s">
        <v>91</v>
      </c>
      <c r="J526" s="24" t="s">
        <v>4981</v>
      </c>
      <c r="K526" s="24" t="s">
        <v>4982</v>
      </c>
      <c r="L526" s="24" t="s">
        <v>4983</v>
      </c>
      <c r="M526" s="24" t="s">
        <v>4984</v>
      </c>
      <c r="N526" s="24" t="s">
        <v>4985</v>
      </c>
      <c r="O526" s="24" t="s">
        <v>4986</v>
      </c>
      <c r="P526" s="25" t="s">
        <v>4987</v>
      </c>
      <c r="Q526" s="28" t="str">
        <f aca="false">"["&amp;안내!$C$5&amp;" "&amp;C526&amp;"] "&amp;J526&amp;" | "&amp;H526</f>
        <v>[1분 성경 #0525] 애굽으로 피하다 | 마 2:13-23</v>
      </c>
      <c r="R526" s="29" t="n">
        <f aca="false">INT((A526-1)/안내!$C$9)+1</f>
        <v>105</v>
      </c>
      <c r="S526" s="26" t="n">
        <f aca="false">안내!$C$10+(R526-1)*7+MOD(A526-1,안내!$C$9)</f>
        <v>47123</v>
      </c>
      <c r="T526" s="23" t="s">
        <v>99</v>
      </c>
      <c r="U526" s="23" t="s">
        <v>99</v>
      </c>
      <c r="V526" s="23" t="s">
        <v>99</v>
      </c>
      <c r="W526" s="23" t="s">
        <v>99</v>
      </c>
      <c r="X526" s="28"/>
      <c r="Y526" s="28" t="str">
        <f aca="false">"다음 편: "&amp;J527</f>
        <v>다음 편: 광야의 외침</v>
      </c>
    </row>
    <row r="527" customFormat="false" ht="15" hidden="false" customHeight="false" outlineLevel="0" collapsed="false">
      <c r="A527" s="29" t="n">
        <v>526</v>
      </c>
      <c r="B527" s="29" t="s">
        <v>4988</v>
      </c>
      <c r="C527" s="29" t="s">
        <v>4989</v>
      </c>
      <c r="D527" s="29" t="s">
        <v>4948</v>
      </c>
      <c r="E527" s="24" t="s">
        <v>4949</v>
      </c>
      <c r="F527" s="23" t="s">
        <v>4950</v>
      </c>
      <c r="G527" s="23" t="s">
        <v>4951</v>
      </c>
      <c r="H527" s="24" t="s">
        <v>4990</v>
      </c>
      <c r="I527" s="23" t="s">
        <v>91</v>
      </c>
      <c r="J527" s="24" t="s">
        <v>4991</v>
      </c>
      <c r="K527" s="24" t="s">
        <v>4992</v>
      </c>
      <c r="L527" s="24" t="s">
        <v>4993</v>
      </c>
      <c r="M527" s="24" t="s">
        <v>4994</v>
      </c>
      <c r="N527" s="24" t="s">
        <v>4995</v>
      </c>
      <c r="O527" s="24" t="s">
        <v>4996</v>
      </c>
      <c r="P527" s="28"/>
      <c r="Q527" s="28" t="str">
        <f aca="false">"["&amp;안내!$C$5&amp;" "&amp;C527&amp;"] "&amp;J527&amp;" | "&amp;H527</f>
        <v>[1분 성경 #0526] 광야의 외침 | 마 3:1-12</v>
      </c>
      <c r="R527" s="29" t="n">
        <f aca="false">INT((A527-1)/안내!$C$9)+1</f>
        <v>106</v>
      </c>
      <c r="S527" s="26" t="n">
        <f aca="false">안내!$C$10+(R527-1)*7+MOD(A527-1,안내!$C$9)</f>
        <v>47126</v>
      </c>
      <c r="T527" s="23" t="s">
        <v>99</v>
      </c>
      <c r="U527" s="23" t="s">
        <v>99</v>
      </c>
      <c r="V527" s="23" t="s">
        <v>99</v>
      </c>
      <c r="W527" s="23" t="s">
        <v>99</v>
      </c>
      <c r="X527" s="28"/>
      <c r="Y527" s="28" t="str">
        <f aca="false">"다음 편: "&amp;J528</f>
        <v>다음 편: 하늘이 열리다</v>
      </c>
    </row>
    <row r="528" customFormat="false" ht="26.85" hidden="false" customHeight="false" outlineLevel="0" collapsed="false">
      <c r="A528" s="29" t="n">
        <v>527</v>
      </c>
      <c r="B528" s="29" t="s">
        <v>4997</v>
      </c>
      <c r="C528" s="29" t="s">
        <v>4998</v>
      </c>
      <c r="D528" s="29" t="s">
        <v>4948</v>
      </c>
      <c r="E528" s="24" t="s">
        <v>4949</v>
      </c>
      <c r="F528" s="23" t="s">
        <v>4950</v>
      </c>
      <c r="G528" s="23" t="s">
        <v>4951</v>
      </c>
      <c r="H528" s="24" t="s">
        <v>4999</v>
      </c>
      <c r="I528" s="23" t="s">
        <v>91</v>
      </c>
      <c r="J528" s="24" t="s">
        <v>5000</v>
      </c>
      <c r="K528" s="24" t="s">
        <v>5001</v>
      </c>
      <c r="L528" s="24" t="s">
        <v>5002</v>
      </c>
      <c r="M528" s="24" t="s">
        <v>5003</v>
      </c>
      <c r="N528" s="24" t="s">
        <v>5004</v>
      </c>
      <c r="O528" s="24" t="s">
        <v>5005</v>
      </c>
      <c r="P528" s="25" t="s">
        <v>5006</v>
      </c>
      <c r="Q528" s="28" t="str">
        <f aca="false">"["&amp;안내!$C$5&amp;" "&amp;C528&amp;"] "&amp;J528&amp;" | "&amp;H528</f>
        <v>[1분 성경 #0527] 하늘이 열리다 | 마 3:13-17</v>
      </c>
      <c r="R528" s="29" t="n">
        <f aca="false">INT((A528-1)/안내!$C$9)+1</f>
        <v>106</v>
      </c>
      <c r="S528" s="26" t="n">
        <f aca="false">안내!$C$10+(R528-1)*7+MOD(A528-1,안내!$C$9)</f>
        <v>47127</v>
      </c>
      <c r="T528" s="23" t="s">
        <v>99</v>
      </c>
      <c r="U528" s="23" t="s">
        <v>99</v>
      </c>
      <c r="V528" s="23" t="s">
        <v>99</v>
      </c>
      <c r="W528" s="23" t="s">
        <v>99</v>
      </c>
      <c r="X528" s="28"/>
      <c r="Y528" s="28" t="str">
        <f aca="false">"다음 편: "&amp;J529</f>
        <v>다음 편: 광야의 시험</v>
      </c>
    </row>
    <row r="529" customFormat="false" ht="26.85" hidden="false" customHeight="false" outlineLevel="0" collapsed="false">
      <c r="A529" s="29" t="n">
        <v>528</v>
      </c>
      <c r="B529" s="29" t="s">
        <v>5007</v>
      </c>
      <c r="C529" s="29" t="s">
        <v>5008</v>
      </c>
      <c r="D529" s="29" t="s">
        <v>4948</v>
      </c>
      <c r="E529" s="24" t="s">
        <v>4949</v>
      </c>
      <c r="F529" s="23" t="s">
        <v>4950</v>
      </c>
      <c r="G529" s="23" t="s">
        <v>4951</v>
      </c>
      <c r="H529" s="24" t="s">
        <v>5009</v>
      </c>
      <c r="I529" s="23" t="s">
        <v>91</v>
      </c>
      <c r="J529" s="24" t="s">
        <v>5010</v>
      </c>
      <c r="K529" s="28" t="s">
        <v>5011</v>
      </c>
      <c r="L529" s="24" t="s">
        <v>5012</v>
      </c>
      <c r="M529" s="24" t="s">
        <v>5013</v>
      </c>
      <c r="N529" s="24" t="s">
        <v>5014</v>
      </c>
      <c r="O529" s="24" t="s">
        <v>5015</v>
      </c>
      <c r="P529" s="25" t="s">
        <v>5016</v>
      </c>
      <c r="Q529" s="28" t="str">
        <f aca="false">"["&amp;안내!$C$5&amp;" "&amp;C529&amp;"] "&amp;J529&amp;" | "&amp;H529</f>
        <v>[1분 성경 #0528] 광야의 시험 | 마 4:1-11</v>
      </c>
      <c r="R529" s="29" t="n">
        <f aca="false">INT((A529-1)/안내!$C$9)+1</f>
        <v>106</v>
      </c>
      <c r="S529" s="26" t="n">
        <f aca="false">안내!$C$10+(R529-1)*7+MOD(A529-1,안내!$C$9)</f>
        <v>47128</v>
      </c>
      <c r="T529" s="23" t="s">
        <v>99</v>
      </c>
      <c r="U529" s="23" t="s">
        <v>99</v>
      </c>
      <c r="V529" s="23" t="s">
        <v>99</v>
      </c>
      <c r="W529" s="23" t="s">
        <v>99</v>
      </c>
      <c r="X529" s="28"/>
      <c r="Y529" s="28" t="str">
        <f aca="false">"다음 편: "&amp;J530</f>
        <v>다음 편: 사람을 낚는 어부</v>
      </c>
    </row>
    <row r="530" customFormat="false" ht="26.85" hidden="false" customHeight="false" outlineLevel="0" collapsed="false">
      <c r="A530" s="29" t="n">
        <v>529</v>
      </c>
      <c r="B530" s="29" t="s">
        <v>5017</v>
      </c>
      <c r="C530" s="29" t="s">
        <v>5018</v>
      </c>
      <c r="D530" s="29" t="s">
        <v>4948</v>
      </c>
      <c r="E530" s="24" t="s">
        <v>4949</v>
      </c>
      <c r="F530" s="23" t="s">
        <v>4950</v>
      </c>
      <c r="G530" s="23" t="s">
        <v>4951</v>
      </c>
      <c r="H530" s="24" t="s">
        <v>5019</v>
      </c>
      <c r="I530" s="23" t="s">
        <v>91</v>
      </c>
      <c r="J530" s="24" t="s">
        <v>5020</v>
      </c>
      <c r="K530" s="24" t="s">
        <v>5021</v>
      </c>
      <c r="L530" s="24" t="s">
        <v>5022</v>
      </c>
      <c r="M530" s="24" t="s">
        <v>5023</v>
      </c>
      <c r="N530" s="24" t="s">
        <v>5024</v>
      </c>
      <c r="O530" s="24" t="s">
        <v>5025</v>
      </c>
      <c r="P530" s="28"/>
      <c r="Q530" s="28" t="str">
        <f aca="false">"["&amp;안내!$C$5&amp;" "&amp;C530&amp;"] "&amp;J530&amp;" | "&amp;H530</f>
        <v>[1분 성경 #0529] 사람을 낚는 어부 | 마 4:12-25</v>
      </c>
      <c r="R530" s="29" t="n">
        <f aca="false">INT((A530-1)/안내!$C$9)+1</f>
        <v>106</v>
      </c>
      <c r="S530" s="26" t="n">
        <f aca="false">안내!$C$10+(R530-1)*7+MOD(A530-1,안내!$C$9)</f>
        <v>47129</v>
      </c>
      <c r="T530" s="23" t="s">
        <v>99</v>
      </c>
      <c r="U530" s="23" t="s">
        <v>99</v>
      </c>
      <c r="V530" s="23" t="s">
        <v>99</v>
      </c>
      <c r="W530" s="23" t="s">
        <v>99</v>
      </c>
      <c r="X530" s="28"/>
      <c r="Y530" s="28" t="str">
        <f aca="false">"다음 편: "&amp;J531</f>
        <v>다음 편: 팔복</v>
      </c>
    </row>
    <row r="531" customFormat="false" ht="15" hidden="false" customHeight="false" outlineLevel="0" collapsed="false">
      <c r="A531" s="29" t="n">
        <v>530</v>
      </c>
      <c r="B531" s="29" t="s">
        <v>5026</v>
      </c>
      <c r="C531" s="29" t="s">
        <v>5027</v>
      </c>
      <c r="D531" s="29" t="s">
        <v>5028</v>
      </c>
      <c r="E531" s="24" t="s">
        <v>5029</v>
      </c>
      <c r="F531" s="23" t="s">
        <v>4950</v>
      </c>
      <c r="G531" s="23" t="s">
        <v>4951</v>
      </c>
      <c r="H531" s="24" t="s">
        <v>5030</v>
      </c>
      <c r="I531" s="23" t="s">
        <v>1116</v>
      </c>
      <c r="J531" s="24" t="s">
        <v>5031</v>
      </c>
      <c r="K531" s="24" t="s">
        <v>5032</v>
      </c>
      <c r="L531" s="24" t="s">
        <v>5033</v>
      </c>
      <c r="M531" s="24" t="s">
        <v>5034</v>
      </c>
      <c r="N531" s="24" t="s">
        <v>5035</v>
      </c>
      <c r="O531" s="24" t="s">
        <v>5036</v>
      </c>
      <c r="P531" s="28"/>
      <c r="Q531" s="28" t="str">
        <f aca="false">"["&amp;안내!$C$5&amp;" "&amp;C531&amp;"] "&amp;J531&amp;" | "&amp;H531</f>
        <v>[1분 성경 #0530] 팔복 | 마 5:1-12</v>
      </c>
      <c r="R531" s="29" t="n">
        <f aca="false">INT((A531-1)/안내!$C$9)+1</f>
        <v>106</v>
      </c>
      <c r="S531" s="26" t="n">
        <f aca="false">안내!$C$10+(R531-1)*7+MOD(A531-1,안내!$C$9)</f>
        <v>47130</v>
      </c>
      <c r="T531" s="23" t="s">
        <v>99</v>
      </c>
      <c r="U531" s="23" t="s">
        <v>99</v>
      </c>
      <c r="V531" s="23" t="s">
        <v>99</v>
      </c>
      <c r="W531" s="23" t="s">
        <v>99</v>
      </c>
      <c r="X531" s="28"/>
      <c r="Y531" s="28" t="str">
        <f aca="false">"다음 편: "&amp;J532</f>
        <v>다음 편: 소금과 빛</v>
      </c>
    </row>
    <row r="532" customFormat="false" ht="15" hidden="false" customHeight="false" outlineLevel="0" collapsed="false">
      <c r="A532" s="29" t="n">
        <v>531</v>
      </c>
      <c r="B532" s="29" t="s">
        <v>5037</v>
      </c>
      <c r="C532" s="29" t="s">
        <v>5038</v>
      </c>
      <c r="D532" s="29" t="s">
        <v>5028</v>
      </c>
      <c r="E532" s="24" t="s">
        <v>5029</v>
      </c>
      <c r="F532" s="23" t="s">
        <v>4950</v>
      </c>
      <c r="G532" s="23" t="s">
        <v>4951</v>
      </c>
      <c r="H532" s="24" t="s">
        <v>5039</v>
      </c>
      <c r="I532" s="23" t="s">
        <v>1116</v>
      </c>
      <c r="J532" s="24" t="s">
        <v>5040</v>
      </c>
      <c r="K532" s="24" t="s">
        <v>5041</v>
      </c>
      <c r="L532" s="24" t="s">
        <v>5042</v>
      </c>
      <c r="M532" s="24" t="s">
        <v>5043</v>
      </c>
      <c r="N532" s="24" t="s">
        <v>5044</v>
      </c>
      <c r="O532" s="24" t="s">
        <v>5045</v>
      </c>
      <c r="P532" s="28"/>
      <c r="Q532" s="28" t="str">
        <f aca="false">"["&amp;안내!$C$5&amp;" "&amp;C532&amp;"] "&amp;J532&amp;" | "&amp;H532</f>
        <v>[1분 성경 #0531] 소금과 빛 | 마 5:13-16</v>
      </c>
      <c r="R532" s="29" t="n">
        <f aca="false">INT((A532-1)/안내!$C$9)+1</f>
        <v>107</v>
      </c>
      <c r="S532" s="26" t="n">
        <f aca="false">안내!$C$10+(R532-1)*7+MOD(A532-1,안내!$C$9)</f>
        <v>47133</v>
      </c>
      <c r="T532" s="23" t="s">
        <v>99</v>
      </c>
      <c r="U532" s="23" t="s">
        <v>99</v>
      </c>
      <c r="V532" s="23" t="s">
        <v>99</v>
      </c>
      <c r="W532" s="23" t="s">
        <v>99</v>
      </c>
      <c r="X532" s="28"/>
      <c r="Y532" s="28" t="str">
        <f aca="false">"다음 편: "&amp;J533</f>
        <v>다음 편: 율법을 완전하게</v>
      </c>
    </row>
    <row r="533" customFormat="false" ht="15" hidden="false" customHeight="false" outlineLevel="0" collapsed="false">
      <c r="A533" s="29" t="n">
        <v>532</v>
      </c>
      <c r="B533" s="29" t="s">
        <v>5046</v>
      </c>
      <c r="C533" s="29" t="s">
        <v>5047</v>
      </c>
      <c r="D533" s="29" t="s">
        <v>5028</v>
      </c>
      <c r="E533" s="24" t="s">
        <v>5029</v>
      </c>
      <c r="F533" s="23" t="s">
        <v>4950</v>
      </c>
      <c r="G533" s="23" t="s">
        <v>4951</v>
      </c>
      <c r="H533" s="24" t="s">
        <v>5048</v>
      </c>
      <c r="I533" s="23" t="s">
        <v>1116</v>
      </c>
      <c r="J533" s="24" t="s">
        <v>5049</v>
      </c>
      <c r="K533" s="24" t="s">
        <v>5050</v>
      </c>
      <c r="L533" s="24" t="s">
        <v>5051</v>
      </c>
      <c r="M533" s="24" t="s">
        <v>5052</v>
      </c>
      <c r="N533" s="24" t="s">
        <v>5044</v>
      </c>
      <c r="O533" s="24" t="s">
        <v>5036</v>
      </c>
      <c r="P533" s="28"/>
      <c r="Q533" s="28" t="str">
        <f aca="false">"["&amp;안내!$C$5&amp;" "&amp;C533&amp;"] "&amp;J533&amp;" | "&amp;H533</f>
        <v>[1분 성경 #0532] 율법을 완전하게 | 마 5:17-26</v>
      </c>
      <c r="R533" s="29" t="n">
        <f aca="false">INT((A533-1)/안내!$C$9)+1</f>
        <v>107</v>
      </c>
      <c r="S533" s="26" t="n">
        <f aca="false">안내!$C$10+(R533-1)*7+MOD(A533-1,안내!$C$9)</f>
        <v>47134</v>
      </c>
      <c r="T533" s="23" t="s">
        <v>99</v>
      </c>
      <c r="U533" s="23" t="s">
        <v>99</v>
      </c>
      <c r="V533" s="23" t="s">
        <v>99</v>
      </c>
      <c r="W533" s="23" t="s">
        <v>99</v>
      </c>
      <c r="X533" s="28"/>
      <c r="Y533" s="28" t="str">
        <f aca="false">"다음 편: "&amp;J534</f>
        <v>다음 편: 원수를 사랑하라</v>
      </c>
    </row>
    <row r="534" customFormat="false" ht="26.85" hidden="false" customHeight="false" outlineLevel="0" collapsed="false">
      <c r="A534" s="29" t="n">
        <v>533</v>
      </c>
      <c r="B534" s="29" t="s">
        <v>5053</v>
      </c>
      <c r="C534" s="29" t="s">
        <v>5054</v>
      </c>
      <c r="D534" s="29" t="s">
        <v>5028</v>
      </c>
      <c r="E534" s="24" t="s">
        <v>5029</v>
      </c>
      <c r="F534" s="23" t="s">
        <v>4950</v>
      </c>
      <c r="G534" s="23" t="s">
        <v>4951</v>
      </c>
      <c r="H534" s="24" t="s">
        <v>5055</v>
      </c>
      <c r="I534" s="23" t="s">
        <v>1116</v>
      </c>
      <c r="J534" s="24" t="s">
        <v>5056</v>
      </c>
      <c r="K534" s="24" t="s">
        <v>5057</v>
      </c>
      <c r="L534" s="24" t="s">
        <v>5058</v>
      </c>
      <c r="M534" s="24" t="s">
        <v>5059</v>
      </c>
      <c r="N534" s="24" t="s">
        <v>5044</v>
      </c>
      <c r="O534" s="24" t="s">
        <v>5036</v>
      </c>
      <c r="P534" s="28"/>
      <c r="Q534" s="28" t="str">
        <f aca="false">"["&amp;안내!$C$5&amp;" "&amp;C534&amp;"] "&amp;J534&amp;" | "&amp;H534</f>
        <v>[1분 성경 #0533] 원수를 사랑하라 | 마 5:27-48</v>
      </c>
      <c r="R534" s="29" t="n">
        <f aca="false">INT((A534-1)/안내!$C$9)+1</f>
        <v>107</v>
      </c>
      <c r="S534" s="26" t="n">
        <f aca="false">안내!$C$10+(R534-1)*7+MOD(A534-1,안내!$C$9)</f>
        <v>47135</v>
      </c>
      <c r="T534" s="23" t="s">
        <v>99</v>
      </c>
      <c r="U534" s="23" t="s">
        <v>99</v>
      </c>
      <c r="V534" s="23" t="s">
        <v>99</v>
      </c>
      <c r="W534" s="23" t="s">
        <v>99</v>
      </c>
      <c r="X534" s="28"/>
      <c r="Y534" s="28" t="str">
        <f aca="false">"다음 편: "&amp;J535</f>
        <v>다음 편: 주기도문</v>
      </c>
    </row>
    <row r="535" customFormat="false" ht="15" hidden="false" customHeight="false" outlineLevel="0" collapsed="false">
      <c r="A535" s="29" t="n">
        <v>534</v>
      </c>
      <c r="B535" s="29" t="s">
        <v>5060</v>
      </c>
      <c r="C535" s="29" t="s">
        <v>5061</v>
      </c>
      <c r="D535" s="29" t="s">
        <v>5028</v>
      </c>
      <c r="E535" s="24" t="s">
        <v>5029</v>
      </c>
      <c r="F535" s="23" t="s">
        <v>4950</v>
      </c>
      <c r="G535" s="23" t="s">
        <v>4951</v>
      </c>
      <c r="H535" s="24" t="s">
        <v>5062</v>
      </c>
      <c r="I535" s="23" t="s">
        <v>1116</v>
      </c>
      <c r="J535" s="24" t="s">
        <v>5063</v>
      </c>
      <c r="K535" s="24" t="s">
        <v>5064</v>
      </c>
      <c r="L535" s="24" t="s">
        <v>5065</v>
      </c>
      <c r="M535" s="24" t="s">
        <v>5066</v>
      </c>
      <c r="N535" s="24" t="s">
        <v>5067</v>
      </c>
      <c r="O535" s="24" t="s">
        <v>5068</v>
      </c>
      <c r="P535" s="28"/>
      <c r="Q535" s="28" t="str">
        <f aca="false">"["&amp;안내!$C$5&amp;" "&amp;C535&amp;"] "&amp;J535&amp;" | "&amp;H535</f>
        <v>[1분 성경 #0534] 주기도문 | 마 6:1-15</v>
      </c>
      <c r="R535" s="29" t="n">
        <f aca="false">INT((A535-1)/안내!$C$9)+1</f>
        <v>107</v>
      </c>
      <c r="S535" s="26" t="n">
        <f aca="false">안내!$C$10+(R535-1)*7+MOD(A535-1,안내!$C$9)</f>
        <v>47136</v>
      </c>
      <c r="T535" s="23" t="s">
        <v>99</v>
      </c>
      <c r="U535" s="23" t="s">
        <v>99</v>
      </c>
      <c r="V535" s="23" t="s">
        <v>99</v>
      </c>
      <c r="W535" s="23" t="s">
        <v>99</v>
      </c>
      <c r="X535" s="28"/>
      <c r="Y535" s="28" t="str">
        <f aca="false">"다음 편: "&amp;J536</f>
        <v>다음 편: 먼저 그의 나라를</v>
      </c>
    </row>
    <row r="536" customFormat="false" ht="26.85" hidden="false" customHeight="false" outlineLevel="0" collapsed="false">
      <c r="A536" s="29" t="n">
        <v>535</v>
      </c>
      <c r="B536" s="29" t="s">
        <v>5069</v>
      </c>
      <c r="C536" s="29" t="s">
        <v>5070</v>
      </c>
      <c r="D536" s="29" t="s">
        <v>5028</v>
      </c>
      <c r="E536" s="24" t="s">
        <v>5029</v>
      </c>
      <c r="F536" s="23" t="s">
        <v>4950</v>
      </c>
      <c r="G536" s="23" t="s">
        <v>4951</v>
      </c>
      <c r="H536" s="24" t="s">
        <v>5071</v>
      </c>
      <c r="I536" s="23" t="s">
        <v>1116</v>
      </c>
      <c r="J536" s="24" t="s">
        <v>5072</v>
      </c>
      <c r="K536" s="24" t="s">
        <v>5073</v>
      </c>
      <c r="L536" s="24" t="s">
        <v>5074</v>
      </c>
      <c r="M536" s="24" t="s">
        <v>5075</v>
      </c>
      <c r="N536" s="24" t="s">
        <v>5044</v>
      </c>
      <c r="O536" s="24" t="s">
        <v>5076</v>
      </c>
      <c r="P536" s="28"/>
      <c r="Q536" s="28" t="str">
        <f aca="false">"["&amp;안내!$C$5&amp;" "&amp;C536&amp;"] "&amp;J536&amp;" | "&amp;H536</f>
        <v>[1분 성경 #0535] 먼저 그의 나라를 | 마 6:16-34</v>
      </c>
      <c r="R536" s="29" t="n">
        <f aca="false">INT((A536-1)/안내!$C$9)+1</f>
        <v>107</v>
      </c>
      <c r="S536" s="26" t="n">
        <f aca="false">안내!$C$10+(R536-1)*7+MOD(A536-1,안내!$C$9)</f>
        <v>47137</v>
      </c>
      <c r="T536" s="23" t="s">
        <v>99</v>
      </c>
      <c r="U536" s="23" t="s">
        <v>99</v>
      </c>
      <c r="V536" s="23" t="s">
        <v>99</v>
      </c>
      <c r="W536" s="23" t="s">
        <v>99</v>
      </c>
      <c r="X536" s="28"/>
      <c r="Y536" s="28" t="str">
        <f aca="false">"다음 편: "&amp;J537</f>
        <v>다음 편: 구하라 찾으라 두드리라</v>
      </c>
    </row>
    <row r="537" customFormat="false" ht="25.35" hidden="false" customHeight="false" outlineLevel="0" collapsed="false">
      <c r="A537" s="29" t="n">
        <v>536</v>
      </c>
      <c r="B537" s="29" t="s">
        <v>5077</v>
      </c>
      <c r="C537" s="29" t="s">
        <v>5078</v>
      </c>
      <c r="D537" s="29" t="s">
        <v>5028</v>
      </c>
      <c r="E537" s="24" t="s">
        <v>5029</v>
      </c>
      <c r="F537" s="23" t="s">
        <v>4950</v>
      </c>
      <c r="G537" s="23" t="s">
        <v>4951</v>
      </c>
      <c r="H537" s="24" t="s">
        <v>5079</v>
      </c>
      <c r="I537" s="23" t="s">
        <v>1116</v>
      </c>
      <c r="J537" s="24" t="s">
        <v>5080</v>
      </c>
      <c r="K537" s="24" t="s">
        <v>5081</v>
      </c>
      <c r="L537" s="24" t="s">
        <v>5082</v>
      </c>
      <c r="M537" s="24" t="s">
        <v>5083</v>
      </c>
      <c r="N537" s="24" t="s">
        <v>5044</v>
      </c>
      <c r="O537" s="24" t="s">
        <v>5084</v>
      </c>
      <c r="P537" s="28"/>
      <c r="Q537" s="28" t="str">
        <f aca="false">"["&amp;안내!$C$5&amp;" "&amp;C537&amp;"] "&amp;J537&amp;" | "&amp;H537</f>
        <v>[1분 성경 #0536] 구하라 찾으라 두드리라 | 마 7:1-12</v>
      </c>
      <c r="R537" s="29" t="n">
        <f aca="false">INT((A537-1)/안내!$C$9)+1</f>
        <v>108</v>
      </c>
      <c r="S537" s="26" t="n">
        <f aca="false">안내!$C$10+(R537-1)*7+MOD(A537-1,안내!$C$9)</f>
        <v>47140</v>
      </c>
      <c r="T537" s="23" t="s">
        <v>99</v>
      </c>
      <c r="U537" s="23" t="s">
        <v>99</v>
      </c>
      <c r="V537" s="23" t="s">
        <v>99</v>
      </c>
      <c r="W537" s="23" t="s">
        <v>99</v>
      </c>
      <c r="X537" s="28"/>
      <c r="Y537" s="28" t="str">
        <f aca="false">"다음 편: "&amp;J538</f>
        <v>다음 편: 반석 위의 집</v>
      </c>
    </row>
    <row r="538" customFormat="false" ht="26.85" hidden="false" customHeight="false" outlineLevel="0" collapsed="false">
      <c r="A538" s="29" t="n">
        <v>537</v>
      </c>
      <c r="B538" s="29" t="s">
        <v>5085</v>
      </c>
      <c r="C538" s="29" t="s">
        <v>5086</v>
      </c>
      <c r="D538" s="29" t="s">
        <v>5028</v>
      </c>
      <c r="E538" s="24" t="s">
        <v>5029</v>
      </c>
      <c r="F538" s="23" t="s">
        <v>4950</v>
      </c>
      <c r="G538" s="23" t="s">
        <v>4951</v>
      </c>
      <c r="H538" s="24" t="s">
        <v>5087</v>
      </c>
      <c r="I538" s="23" t="s">
        <v>1116</v>
      </c>
      <c r="J538" s="24" t="s">
        <v>5088</v>
      </c>
      <c r="K538" s="24" t="s">
        <v>5089</v>
      </c>
      <c r="L538" s="24" t="s">
        <v>5090</v>
      </c>
      <c r="M538" s="24" t="s">
        <v>5091</v>
      </c>
      <c r="N538" s="24" t="s">
        <v>5044</v>
      </c>
      <c r="O538" s="24" t="s">
        <v>5092</v>
      </c>
      <c r="P538" s="28"/>
      <c r="Q538" s="28" t="str">
        <f aca="false">"["&amp;안내!$C$5&amp;" "&amp;C538&amp;"] "&amp;J538&amp;" | "&amp;H538</f>
        <v>[1분 성경 #0537] 반석 위의 집 | 마 7:13-29</v>
      </c>
      <c r="R538" s="29" t="n">
        <f aca="false">INT((A538-1)/안내!$C$9)+1</f>
        <v>108</v>
      </c>
      <c r="S538" s="26" t="n">
        <f aca="false">안내!$C$10+(R538-1)*7+MOD(A538-1,안내!$C$9)</f>
        <v>47141</v>
      </c>
      <c r="T538" s="23" t="s">
        <v>99</v>
      </c>
      <c r="U538" s="23" t="s">
        <v>99</v>
      </c>
      <c r="V538" s="23" t="s">
        <v>99</v>
      </c>
      <c r="W538" s="23" t="s">
        <v>99</v>
      </c>
      <c r="X538" s="28"/>
      <c r="Y538" s="28" t="str">
        <f aca="false">"다음 편: "&amp;J539</f>
        <v>다음 편: 원하시면 깨끗하게</v>
      </c>
    </row>
    <row r="539" customFormat="false" ht="26.85" hidden="false" customHeight="false" outlineLevel="0" collapsed="false">
      <c r="A539" s="29" t="n">
        <v>538</v>
      </c>
      <c r="B539" s="29" t="s">
        <v>5093</v>
      </c>
      <c r="C539" s="29" t="s">
        <v>5094</v>
      </c>
      <c r="D539" s="29" t="s">
        <v>5095</v>
      </c>
      <c r="E539" s="24" t="s">
        <v>5096</v>
      </c>
      <c r="F539" s="23" t="s">
        <v>4950</v>
      </c>
      <c r="G539" s="23" t="s">
        <v>4951</v>
      </c>
      <c r="H539" s="24" t="s">
        <v>5097</v>
      </c>
      <c r="I539" s="23" t="s">
        <v>91</v>
      </c>
      <c r="J539" s="24" t="s">
        <v>5098</v>
      </c>
      <c r="K539" s="24" t="s">
        <v>5099</v>
      </c>
      <c r="L539" s="24" t="s">
        <v>5100</v>
      </c>
      <c r="M539" s="24" t="s">
        <v>5101</v>
      </c>
      <c r="N539" s="24" t="s">
        <v>5102</v>
      </c>
      <c r="O539" s="24" t="s">
        <v>5103</v>
      </c>
      <c r="P539" s="28"/>
      <c r="Q539" s="28" t="str">
        <f aca="false">"["&amp;안내!$C$5&amp;" "&amp;C539&amp;"] "&amp;J539&amp;" | "&amp;H539</f>
        <v>[1분 성경 #0538] 원하시면 깨끗하게 | 마 8:1-17</v>
      </c>
      <c r="R539" s="29" t="n">
        <f aca="false">INT((A539-1)/안내!$C$9)+1</f>
        <v>108</v>
      </c>
      <c r="S539" s="26" t="n">
        <f aca="false">안내!$C$10+(R539-1)*7+MOD(A539-1,안내!$C$9)</f>
        <v>47142</v>
      </c>
      <c r="T539" s="23" t="s">
        <v>99</v>
      </c>
      <c r="U539" s="23" t="s">
        <v>99</v>
      </c>
      <c r="V539" s="23" t="s">
        <v>99</v>
      </c>
      <c r="W539" s="23" t="s">
        <v>99</v>
      </c>
      <c r="X539" s="28"/>
      <c r="Y539" s="28" t="str">
        <f aca="false">"다음 편: "&amp;J540</f>
        <v>다음 편: 바람과 바다도 순종하다</v>
      </c>
    </row>
    <row r="540" customFormat="false" ht="26.85" hidden="false" customHeight="false" outlineLevel="0" collapsed="false">
      <c r="A540" s="29" t="n">
        <v>539</v>
      </c>
      <c r="B540" s="29" t="s">
        <v>5104</v>
      </c>
      <c r="C540" s="29" t="s">
        <v>5105</v>
      </c>
      <c r="D540" s="29" t="s">
        <v>5095</v>
      </c>
      <c r="E540" s="24" t="s">
        <v>5096</v>
      </c>
      <c r="F540" s="23" t="s">
        <v>4950</v>
      </c>
      <c r="G540" s="23" t="s">
        <v>4951</v>
      </c>
      <c r="H540" s="24" t="s">
        <v>5106</v>
      </c>
      <c r="I540" s="23" t="s">
        <v>91</v>
      </c>
      <c r="J540" s="24" t="s">
        <v>5107</v>
      </c>
      <c r="K540" s="24" t="s">
        <v>5108</v>
      </c>
      <c r="L540" s="24" t="s">
        <v>5109</v>
      </c>
      <c r="M540" s="24" t="s">
        <v>5110</v>
      </c>
      <c r="N540" s="24" t="s">
        <v>5067</v>
      </c>
      <c r="O540" s="24" t="s">
        <v>5111</v>
      </c>
      <c r="P540" s="28"/>
      <c r="Q540" s="28" t="str">
        <f aca="false">"["&amp;안내!$C$5&amp;" "&amp;C540&amp;"] "&amp;J540&amp;" | "&amp;H540</f>
        <v>[1분 성경 #0539] 바람과 바다도 순종하다 | 마 8:18-27</v>
      </c>
      <c r="R540" s="29" t="n">
        <f aca="false">INT((A540-1)/안내!$C$9)+1</f>
        <v>108</v>
      </c>
      <c r="S540" s="26" t="n">
        <f aca="false">안내!$C$10+(R540-1)*7+MOD(A540-1,안내!$C$9)</f>
        <v>47143</v>
      </c>
      <c r="T540" s="23" t="s">
        <v>99</v>
      </c>
      <c r="U540" s="23" t="s">
        <v>99</v>
      </c>
      <c r="V540" s="23" t="s">
        <v>99</v>
      </c>
      <c r="W540" s="23" t="s">
        <v>99</v>
      </c>
      <c r="X540" s="28"/>
      <c r="Y540" s="28" t="str">
        <f aca="false">"다음 편: "&amp;J541</f>
        <v>다음 편: 죄를 사하는 권세</v>
      </c>
    </row>
    <row r="541" customFormat="false" ht="26.85" hidden="false" customHeight="false" outlineLevel="0" collapsed="false">
      <c r="A541" s="29" t="n">
        <v>540</v>
      </c>
      <c r="B541" s="29" t="s">
        <v>5112</v>
      </c>
      <c r="C541" s="29" t="s">
        <v>5113</v>
      </c>
      <c r="D541" s="29" t="s">
        <v>5095</v>
      </c>
      <c r="E541" s="24" t="s">
        <v>5096</v>
      </c>
      <c r="F541" s="23" t="s">
        <v>4950</v>
      </c>
      <c r="G541" s="23" t="s">
        <v>4951</v>
      </c>
      <c r="H541" s="24" t="s">
        <v>5114</v>
      </c>
      <c r="I541" s="23" t="s">
        <v>91</v>
      </c>
      <c r="J541" s="24" t="s">
        <v>5115</v>
      </c>
      <c r="K541" s="24" t="s">
        <v>5116</v>
      </c>
      <c r="L541" s="24" t="s">
        <v>5117</v>
      </c>
      <c r="M541" s="24" t="s">
        <v>5118</v>
      </c>
      <c r="N541" s="24" t="s">
        <v>5119</v>
      </c>
      <c r="O541" s="24" t="s">
        <v>5120</v>
      </c>
      <c r="P541" s="25" t="s">
        <v>5121</v>
      </c>
      <c r="Q541" s="28" t="str">
        <f aca="false">"["&amp;안내!$C$5&amp;" "&amp;C541&amp;"] "&amp;J541&amp;" | "&amp;H541</f>
        <v>[1분 성경 #0540] 죄를 사하는 권세 | 마 8:28-9:8</v>
      </c>
      <c r="R541" s="29" t="n">
        <f aca="false">INT((A541-1)/안내!$C$9)+1</f>
        <v>108</v>
      </c>
      <c r="S541" s="26" t="n">
        <f aca="false">안내!$C$10+(R541-1)*7+MOD(A541-1,안내!$C$9)</f>
        <v>47144</v>
      </c>
      <c r="T541" s="23" t="s">
        <v>99</v>
      </c>
      <c r="U541" s="23" t="s">
        <v>99</v>
      </c>
      <c r="V541" s="23" t="s">
        <v>99</v>
      </c>
      <c r="W541" s="23" t="s">
        <v>99</v>
      </c>
      <c r="X541" s="28"/>
      <c r="Y541" s="28" t="str">
        <f aca="false">"다음 편: "&amp;J542</f>
        <v>다음 편: 세리 마태를 부르시다</v>
      </c>
    </row>
    <row r="542" customFormat="false" ht="26.85" hidden="false" customHeight="false" outlineLevel="0" collapsed="false">
      <c r="A542" s="29" t="n">
        <v>541</v>
      </c>
      <c r="B542" s="29" t="s">
        <v>5122</v>
      </c>
      <c r="C542" s="29" t="s">
        <v>5123</v>
      </c>
      <c r="D542" s="29" t="s">
        <v>5095</v>
      </c>
      <c r="E542" s="24" t="s">
        <v>5096</v>
      </c>
      <c r="F542" s="23" t="s">
        <v>4950</v>
      </c>
      <c r="G542" s="23" t="s">
        <v>4951</v>
      </c>
      <c r="H542" s="24" t="s">
        <v>5124</v>
      </c>
      <c r="I542" s="23" t="s">
        <v>91</v>
      </c>
      <c r="J542" s="24" t="s">
        <v>5125</v>
      </c>
      <c r="K542" s="24" t="s">
        <v>5126</v>
      </c>
      <c r="L542" s="24" t="s">
        <v>5127</v>
      </c>
      <c r="M542" s="24" t="s">
        <v>5128</v>
      </c>
      <c r="N542" s="24" t="s">
        <v>5129</v>
      </c>
      <c r="O542" s="24" t="s">
        <v>5130</v>
      </c>
      <c r="P542" s="28"/>
      <c r="Q542" s="28" t="str">
        <f aca="false">"["&amp;안내!$C$5&amp;" "&amp;C542&amp;"] "&amp;J542&amp;" | "&amp;H542</f>
        <v>[1분 성경 #0541] 세리 마태를 부르시다 | 마 9:9-17</v>
      </c>
      <c r="R542" s="29" t="n">
        <f aca="false">INT((A542-1)/안내!$C$9)+1</f>
        <v>109</v>
      </c>
      <c r="S542" s="26" t="n">
        <f aca="false">안내!$C$10+(R542-1)*7+MOD(A542-1,안내!$C$9)</f>
        <v>47147</v>
      </c>
      <c r="T542" s="23" t="s">
        <v>99</v>
      </c>
      <c r="U542" s="23" t="s">
        <v>99</v>
      </c>
      <c r="V542" s="23" t="s">
        <v>99</v>
      </c>
      <c r="W542" s="23" t="s">
        <v>99</v>
      </c>
      <c r="X542" s="28"/>
      <c r="Y542" s="28" t="str">
        <f aca="false">"다음 편: "&amp;J543</f>
        <v>다음 편: 옷자락만 만져도</v>
      </c>
    </row>
    <row r="543" customFormat="false" ht="26.85" hidden="false" customHeight="false" outlineLevel="0" collapsed="false">
      <c r="A543" s="29" t="n">
        <v>542</v>
      </c>
      <c r="B543" s="29" t="s">
        <v>5131</v>
      </c>
      <c r="C543" s="29" t="s">
        <v>5132</v>
      </c>
      <c r="D543" s="29" t="s">
        <v>5095</v>
      </c>
      <c r="E543" s="24" t="s">
        <v>5096</v>
      </c>
      <c r="F543" s="23" t="s">
        <v>4950</v>
      </c>
      <c r="G543" s="23" t="s">
        <v>4951</v>
      </c>
      <c r="H543" s="24" t="s">
        <v>5133</v>
      </c>
      <c r="I543" s="23" t="s">
        <v>91</v>
      </c>
      <c r="J543" s="24" t="s">
        <v>5134</v>
      </c>
      <c r="K543" s="28" t="s">
        <v>5135</v>
      </c>
      <c r="L543" s="24" t="s">
        <v>5136</v>
      </c>
      <c r="M543" s="24" t="s">
        <v>5137</v>
      </c>
      <c r="N543" s="24" t="s">
        <v>5138</v>
      </c>
      <c r="O543" s="24" t="s">
        <v>5139</v>
      </c>
      <c r="P543" s="28"/>
      <c r="Q543" s="28" t="str">
        <f aca="false">"["&amp;안내!$C$5&amp;" "&amp;C543&amp;"] "&amp;J543&amp;" | "&amp;H543</f>
        <v>[1분 성경 #0542] 옷자락만 만져도 | 마 9:18-34</v>
      </c>
      <c r="R543" s="29" t="n">
        <f aca="false">INT((A543-1)/안내!$C$9)+1</f>
        <v>109</v>
      </c>
      <c r="S543" s="26" t="n">
        <f aca="false">안내!$C$10+(R543-1)*7+MOD(A543-1,안내!$C$9)</f>
        <v>47148</v>
      </c>
      <c r="T543" s="23" t="s">
        <v>99</v>
      </c>
      <c r="U543" s="23" t="s">
        <v>99</v>
      </c>
      <c r="V543" s="23" t="s">
        <v>99</v>
      </c>
      <c r="W543" s="23" t="s">
        <v>99</v>
      </c>
      <c r="X543" s="28"/>
      <c r="Y543" s="28" t="str">
        <f aca="false">"다음 편: "&amp;J544</f>
        <v>다음 편: 열두 제자를 보내시다</v>
      </c>
    </row>
    <row r="544" customFormat="false" ht="26.85" hidden="false" customHeight="false" outlineLevel="0" collapsed="false">
      <c r="A544" s="29" t="n">
        <v>543</v>
      </c>
      <c r="B544" s="29" t="s">
        <v>5140</v>
      </c>
      <c r="C544" s="29" t="s">
        <v>5141</v>
      </c>
      <c r="D544" s="29" t="s">
        <v>5095</v>
      </c>
      <c r="E544" s="24" t="s">
        <v>5096</v>
      </c>
      <c r="F544" s="23" t="s">
        <v>4950</v>
      </c>
      <c r="G544" s="23" t="s">
        <v>4951</v>
      </c>
      <c r="H544" s="24" t="s">
        <v>5142</v>
      </c>
      <c r="I544" s="23" t="s">
        <v>91</v>
      </c>
      <c r="J544" s="24" t="s">
        <v>5143</v>
      </c>
      <c r="K544" s="24" t="s">
        <v>5144</v>
      </c>
      <c r="L544" s="24" t="s">
        <v>5145</v>
      </c>
      <c r="M544" s="24" t="s">
        <v>5146</v>
      </c>
      <c r="N544" s="24" t="s">
        <v>5147</v>
      </c>
      <c r="O544" s="24" t="s">
        <v>5148</v>
      </c>
      <c r="P544" s="28"/>
      <c r="Q544" s="28" t="str">
        <f aca="false">"["&amp;안내!$C$5&amp;" "&amp;C544&amp;"] "&amp;J544&amp;" | "&amp;H544</f>
        <v>[1분 성경 #0543] 열두 제자를 보내시다 | 마 9:35-10:42</v>
      </c>
      <c r="R544" s="29" t="n">
        <f aca="false">INT((A544-1)/안내!$C$9)+1</f>
        <v>109</v>
      </c>
      <c r="S544" s="26" t="n">
        <f aca="false">안내!$C$10+(R544-1)*7+MOD(A544-1,안내!$C$9)</f>
        <v>47149</v>
      </c>
      <c r="T544" s="23" t="s">
        <v>99</v>
      </c>
      <c r="U544" s="23" t="s">
        <v>99</v>
      </c>
      <c r="V544" s="23" t="s">
        <v>99</v>
      </c>
      <c r="W544" s="23" t="s">
        <v>99</v>
      </c>
      <c r="X544" s="28"/>
      <c r="Y544" s="28" t="str">
        <f aca="false">"다음 편: "&amp;J545</f>
        <v>다음 편: 수고하고 무거운 짐 진 자들아</v>
      </c>
    </row>
    <row r="545" customFormat="false" ht="26.85" hidden="false" customHeight="false" outlineLevel="0" collapsed="false">
      <c r="A545" s="29" t="n">
        <v>544</v>
      </c>
      <c r="B545" s="29" t="s">
        <v>5149</v>
      </c>
      <c r="C545" s="29" t="s">
        <v>5150</v>
      </c>
      <c r="D545" s="29" t="s">
        <v>5095</v>
      </c>
      <c r="E545" s="24" t="s">
        <v>5096</v>
      </c>
      <c r="F545" s="23" t="s">
        <v>4950</v>
      </c>
      <c r="G545" s="23" t="s">
        <v>4951</v>
      </c>
      <c r="H545" s="24" t="s">
        <v>5151</v>
      </c>
      <c r="I545" s="23" t="s">
        <v>91</v>
      </c>
      <c r="J545" s="24" t="s">
        <v>5152</v>
      </c>
      <c r="K545" s="24" t="s">
        <v>5153</v>
      </c>
      <c r="L545" s="24" t="s">
        <v>5154</v>
      </c>
      <c r="M545" s="24" t="s">
        <v>5155</v>
      </c>
      <c r="N545" s="24" t="s">
        <v>5156</v>
      </c>
      <c r="O545" s="24" t="s">
        <v>5157</v>
      </c>
      <c r="P545" s="28"/>
      <c r="Q545" s="28" t="str">
        <f aca="false">"["&amp;안내!$C$5&amp;" "&amp;C545&amp;"] "&amp;J545&amp;" | "&amp;H545</f>
        <v>[1분 성경 #0544] 수고하고 무거운 짐 진 자들아 | 마 11:1-30</v>
      </c>
      <c r="R545" s="29" t="n">
        <f aca="false">INT((A545-1)/안내!$C$9)+1</f>
        <v>109</v>
      </c>
      <c r="S545" s="26" t="n">
        <f aca="false">안내!$C$10+(R545-1)*7+MOD(A545-1,안내!$C$9)</f>
        <v>47150</v>
      </c>
      <c r="T545" s="23" t="s">
        <v>99</v>
      </c>
      <c r="U545" s="23" t="s">
        <v>99</v>
      </c>
      <c r="V545" s="23" t="s">
        <v>99</v>
      </c>
      <c r="W545" s="23" t="s">
        <v>99</v>
      </c>
      <c r="X545" s="28"/>
      <c r="Y545" s="28" t="str">
        <f aca="false">"다음 편: "&amp;J546</f>
        <v>다음 편: 안식일의 주인</v>
      </c>
    </row>
    <row r="546" customFormat="false" ht="26.85" hidden="false" customHeight="false" outlineLevel="0" collapsed="false">
      <c r="A546" s="29" t="n">
        <v>545</v>
      </c>
      <c r="B546" s="29" t="s">
        <v>5158</v>
      </c>
      <c r="C546" s="29" t="s">
        <v>5159</v>
      </c>
      <c r="D546" s="29" t="s">
        <v>5095</v>
      </c>
      <c r="E546" s="24" t="s">
        <v>5096</v>
      </c>
      <c r="F546" s="23" t="s">
        <v>4950</v>
      </c>
      <c r="G546" s="23" t="s">
        <v>4951</v>
      </c>
      <c r="H546" s="24" t="s">
        <v>5160</v>
      </c>
      <c r="I546" s="23" t="s">
        <v>1116</v>
      </c>
      <c r="J546" s="24" t="s">
        <v>5161</v>
      </c>
      <c r="K546" s="24" t="s">
        <v>5162</v>
      </c>
      <c r="L546" s="24" t="s">
        <v>5163</v>
      </c>
      <c r="M546" s="24" t="s">
        <v>5164</v>
      </c>
      <c r="N546" s="24" t="s">
        <v>5165</v>
      </c>
      <c r="O546" s="24" t="s">
        <v>5166</v>
      </c>
      <c r="P546" s="25" t="s">
        <v>5167</v>
      </c>
      <c r="Q546" s="28" t="str">
        <f aca="false">"["&amp;안내!$C$5&amp;" "&amp;C546&amp;"] "&amp;J546&amp;" | "&amp;H546</f>
        <v>[1분 성경 #0545] 안식일의 주인 | 마 12:1-50</v>
      </c>
      <c r="R546" s="29" t="n">
        <f aca="false">INT((A546-1)/안내!$C$9)+1</f>
        <v>109</v>
      </c>
      <c r="S546" s="26" t="n">
        <f aca="false">안내!$C$10+(R546-1)*7+MOD(A546-1,안내!$C$9)</f>
        <v>47151</v>
      </c>
      <c r="T546" s="23" t="s">
        <v>99</v>
      </c>
      <c r="U546" s="23" t="s">
        <v>99</v>
      </c>
      <c r="V546" s="23" t="s">
        <v>99</v>
      </c>
      <c r="W546" s="23" t="s">
        <v>99</v>
      </c>
      <c r="X546" s="28"/>
      <c r="Y546" s="28" t="str">
        <f aca="false">"다음 편: "&amp;J547</f>
        <v>다음 편: 씨 뿌리는 비유</v>
      </c>
    </row>
    <row r="547" customFormat="false" ht="26.85" hidden="false" customHeight="false" outlineLevel="0" collapsed="false">
      <c r="A547" s="29" t="n">
        <v>546</v>
      </c>
      <c r="B547" s="29" t="s">
        <v>5168</v>
      </c>
      <c r="C547" s="29" t="s">
        <v>5169</v>
      </c>
      <c r="D547" s="29" t="s">
        <v>5095</v>
      </c>
      <c r="E547" s="24" t="s">
        <v>5096</v>
      </c>
      <c r="F547" s="23" t="s">
        <v>4950</v>
      </c>
      <c r="G547" s="23" t="s">
        <v>4951</v>
      </c>
      <c r="H547" s="24" t="s">
        <v>5170</v>
      </c>
      <c r="I547" s="23" t="s">
        <v>91</v>
      </c>
      <c r="J547" s="24" t="s">
        <v>5171</v>
      </c>
      <c r="K547" s="24" t="s">
        <v>5172</v>
      </c>
      <c r="L547" s="24" t="s">
        <v>5173</v>
      </c>
      <c r="M547" s="24" t="s">
        <v>5174</v>
      </c>
      <c r="N547" s="24" t="s">
        <v>5175</v>
      </c>
      <c r="O547" s="24" t="s">
        <v>5176</v>
      </c>
      <c r="P547" s="25" t="s">
        <v>5177</v>
      </c>
      <c r="Q547" s="28" t="str">
        <f aca="false">"["&amp;안내!$C$5&amp;" "&amp;C547&amp;"] "&amp;J547&amp;" | "&amp;H547</f>
        <v>[1분 성경 #0546] 씨 뿌리는 비유 | 마 13:1-23</v>
      </c>
      <c r="R547" s="29" t="n">
        <f aca="false">INT((A547-1)/안내!$C$9)+1</f>
        <v>110</v>
      </c>
      <c r="S547" s="26" t="n">
        <f aca="false">안내!$C$10+(R547-1)*7+MOD(A547-1,안내!$C$9)</f>
        <v>47154</v>
      </c>
      <c r="T547" s="23" t="s">
        <v>99</v>
      </c>
      <c r="U547" s="23" t="s">
        <v>99</v>
      </c>
      <c r="V547" s="23" t="s">
        <v>99</v>
      </c>
      <c r="W547" s="23" t="s">
        <v>99</v>
      </c>
      <c r="X547" s="28"/>
      <c r="Y547" s="28" t="str">
        <f aca="false">"다음 편: "&amp;J548</f>
        <v>다음 편: 천국은 마치</v>
      </c>
    </row>
    <row r="548" customFormat="false" ht="26.85" hidden="false" customHeight="false" outlineLevel="0" collapsed="false">
      <c r="A548" s="29" t="n">
        <v>547</v>
      </c>
      <c r="B548" s="29" t="s">
        <v>5178</v>
      </c>
      <c r="C548" s="29" t="s">
        <v>5179</v>
      </c>
      <c r="D548" s="29" t="s">
        <v>5095</v>
      </c>
      <c r="E548" s="24" t="s">
        <v>5096</v>
      </c>
      <c r="F548" s="23" t="s">
        <v>4950</v>
      </c>
      <c r="G548" s="23" t="s">
        <v>4951</v>
      </c>
      <c r="H548" s="24" t="s">
        <v>5180</v>
      </c>
      <c r="I548" s="23" t="s">
        <v>1116</v>
      </c>
      <c r="J548" s="24" t="s">
        <v>5181</v>
      </c>
      <c r="K548" s="24" t="s">
        <v>5182</v>
      </c>
      <c r="L548" s="24" t="s">
        <v>5183</v>
      </c>
      <c r="M548" s="24" t="s">
        <v>5184</v>
      </c>
      <c r="N548" s="24" t="s">
        <v>5067</v>
      </c>
      <c r="O548" s="24" t="s">
        <v>5185</v>
      </c>
      <c r="P548" s="25" t="s">
        <v>5186</v>
      </c>
      <c r="Q548" s="28" t="str">
        <f aca="false">"["&amp;안내!$C$5&amp;" "&amp;C548&amp;"] "&amp;J548&amp;" | "&amp;H548</f>
        <v>[1분 성경 #0547] 천국은 마치 | 마 13:24-52</v>
      </c>
      <c r="R548" s="29" t="n">
        <f aca="false">INT((A548-1)/안내!$C$9)+1</f>
        <v>110</v>
      </c>
      <c r="S548" s="26" t="n">
        <f aca="false">안내!$C$10+(R548-1)*7+MOD(A548-1,안내!$C$9)</f>
        <v>47155</v>
      </c>
      <c r="T548" s="23" t="s">
        <v>99</v>
      </c>
      <c r="U548" s="23" t="s">
        <v>99</v>
      </c>
      <c r="V548" s="23" t="s">
        <v>99</v>
      </c>
      <c r="W548" s="23" t="s">
        <v>99</v>
      </c>
      <c r="X548" s="28"/>
      <c r="Y548" s="28" t="str">
        <f aca="false">"다음 편: "&amp;J549</f>
        <v>다음 편: 세례 요한의 죽음</v>
      </c>
    </row>
    <row r="549" customFormat="false" ht="15" hidden="false" customHeight="false" outlineLevel="0" collapsed="false">
      <c r="A549" s="29" t="n">
        <v>548</v>
      </c>
      <c r="B549" s="29" t="s">
        <v>5187</v>
      </c>
      <c r="C549" s="29" t="s">
        <v>5188</v>
      </c>
      <c r="D549" s="29" t="s">
        <v>5189</v>
      </c>
      <c r="E549" s="24" t="s">
        <v>5190</v>
      </c>
      <c r="F549" s="23" t="s">
        <v>4950</v>
      </c>
      <c r="G549" s="23" t="s">
        <v>4951</v>
      </c>
      <c r="H549" s="24" t="s">
        <v>5191</v>
      </c>
      <c r="I549" s="23" t="s">
        <v>91</v>
      </c>
      <c r="J549" s="24" t="s">
        <v>5192</v>
      </c>
      <c r="K549" s="24" t="s">
        <v>5193</v>
      </c>
      <c r="L549" s="24" t="s">
        <v>5194</v>
      </c>
      <c r="M549" s="24" t="s">
        <v>5195</v>
      </c>
      <c r="N549" s="24" t="s">
        <v>5196</v>
      </c>
      <c r="O549" s="24" t="s">
        <v>5197</v>
      </c>
      <c r="P549" s="25" t="s">
        <v>5198</v>
      </c>
      <c r="Q549" s="28" t="str">
        <f aca="false">"["&amp;안내!$C$5&amp;" "&amp;C549&amp;"] "&amp;J549&amp;" | "&amp;H549</f>
        <v>[1분 성경 #0548] 세례 요한의 죽음 | 마 14:1-12</v>
      </c>
      <c r="R549" s="29" t="n">
        <f aca="false">INT((A549-1)/안내!$C$9)+1</f>
        <v>110</v>
      </c>
      <c r="S549" s="26" t="n">
        <f aca="false">안내!$C$10+(R549-1)*7+MOD(A549-1,안내!$C$9)</f>
        <v>47156</v>
      </c>
      <c r="T549" s="23" t="s">
        <v>99</v>
      </c>
      <c r="U549" s="23" t="s">
        <v>99</v>
      </c>
      <c r="V549" s="23" t="s">
        <v>99</v>
      </c>
      <c r="W549" s="23" t="s">
        <v>99</v>
      </c>
      <c r="X549" s="28"/>
      <c r="Y549" s="28" t="str">
        <f aca="false">"다음 편: "&amp;J550</f>
        <v>다음 편: 오병이어</v>
      </c>
    </row>
    <row r="550" customFormat="false" ht="26.85" hidden="false" customHeight="false" outlineLevel="0" collapsed="false">
      <c r="A550" s="29" t="n">
        <v>549</v>
      </c>
      <c r="B550" s="29" t="s">
        <v>5199</v>
      </c>
      <c r="C550" s="29" t="s">
        <v>5200</v>
      </c>
      <c r="D550" s="29" t="s">
        <v>5189</v>
      </c>
      <c r="E550" s="24" t="s">
        <v>5190</v>
      </c>
      <c r="F550" s="23" t="s">
        <v>4950</v>
      </c>
      <c r="G550" s="23" t="s">
        <v>4951</v>
      </c>
      <c r="H550" s="24" t="s">
        <v>5201</v>
      </c>
      <c r="I550" s="23" t="s">
        <v>91</v>
      </c>
      <c r="J550" s="24" t="s">
        <v>5202</v>
      </c>
      <c r="K550" s="24" t="s">
        <v>5203</v>
      </c>
      <c r="L550" s="24" t="s">
        <v>5204</v>
      </c>
      <c r="M550" s="24" t="s">
        <v>5205</v>
      </c>
      <c r="N550" s="24" t="s">
        <v>5035</v>
      </c>
      <c r="O550" s="24" t="s">
        <v>5206</v>
      </c>
      <c r="P550" s="28"/>
      <c r="Q550" s="28" t="str">
        <f aca="false">"["&amp;안내!$C$5&amp;" "&amp;C550&amp;"] "&amp;J550&amp;" | "&amp;H550</f>
        <v>[1분 성경 #0549] 오병이어 | 마 14:13-21</v>
      </c>
      <c r="R550" s="29" t="n">
        <f aca="false">INT((A550-1)/안내!$C$9)+1</f>
        <v>110</v>
      </c>
      <c r="S550" s="26" t="n">
        <f aca="false">안내!$C$10+(R550-1)*7+MOD(A550-1,안내!$C$9)</f>
        <v>47157</v>
      </c>
      <c r="T550" s="23" t="s">
        <v>99</v>
      </c>
      <c r="U550" s="23" t="s">
        <v>99</v>
      </c>
      <c r="V550" s="23" t="s">
        <v>99</v>
      </c>
      <c r="W550" s="23" t="s">
        <v>99</v>
      </c>
      <c r="X550" s="28"/>
      <c r="Y550" s="28" t="str">
        <f aca="false">"다음 편: "&amp;J551</f>
        <v>다음 편: 물 위를 걷다</v>
      </c>
    </row>
    <row r="551" customFormat="false" ht="26.85" hidden="false" customHeight="false" outlineLevel="0" collapsed="false">
      <c r="A551" s="29" t="n">
        <v>550</v>
      </c>
      <c r="B551" s="29" t="s">
        <v>5207</v>
      </c>
      <c r="C551" s="29" t="s">
        <v>5208</v>
      </c>
      <c r="D551" s="29" t="s">
        <v>5189</v>
      </c>
      <c r="E551" s="24" t="s">
        <v>5190</v>
      </c>
      <c r="F551" s="23" t="s">
        <v>4950</v>
      </c>
      <c r="G551" s="23" t="s">
        <v>4951</v>
      </c>
      <c r="H551" s="24" t="s">
        <v>5209</v>
      </c>
      <c r="I551" s="23" t="s">
        <v>91</v>
      </c>
      <c r="J551" s="24" t="s">
        <v>5210</v>
      </c>
      <c r="K551" s="24" t="s">
        <v>5211</v>
      </c>
      <c r="L551" s="24" t="s">
        <v>5212</v>
      </c>
      <c r="M551" s="24" t="s">
        <v>5213</v>
      </c>
      <c r="N551" s="24" t="s">
        <v>5214</v>
      </c>
      <c r="O551" s="24" t="s">
        <v>5215</v>
      </c>
      <c r="P551" s="28"/>
      <c r="Q551" s="28" t="str">
        <f aca="false">"["&amp;안내!$C$5&amp;" "&amp;C551&amp;"] "&amp;J551&amp;" | "&amp;H551</f>
        <v>[1분 성경 #0550] 물 위를 걷다 | 마 14:22-36</v>
      </c>
      <c r="R551" s="29" t="n">
        <f aca="false">INT((A551-1)/안내!$C$9)+1</f>
        <v>110</v>
      </c>
      <c r="S551" s="26" t="n">
        <f aca="false">안내!$C$10+(R551-1)*7+MOD(A551-1,안내!$C$9)</f>
        <v>47158</v>
      </c>
      <c r="T551" s="23" t="s">
        <v>99</v>
      </c>
      <c r="U551" s="23" t="s">
        <v>99</v>
      </c>
      <c r="V551" s="23" t="s">
        <v>99</v>
      </c>
      <c r="W551" s="23" t="s">
        <v>99</v>
      </c>
      <c r="X551" s="28"/>
      <c r="Y551" s="28" t="str">
        <f aca="false">"다음 편: "&amp;J552</f>
        <v>다음 편: 가나안 여인의 믿음</v>
      </c>
    </row>
    <row r="552" customFormat="false" ht="26.85" hidden="false" customHeight="false" outlineLevel="0" collapsed="false">
      <c r="A552" s="29" t="n">
        <v>551</v>
      </c>
      <c r="B552" s="29" t="s">
        <v>5216</v>
      </c>
      <c r="C552" s="29" t="s">
        <v>5217</v>
      </c>
      <c r="D552" s="29" t="s">
        <v>5189</v>
      </c>
      <c r="E552" s="24" t="s">
        <v>5190</v>
      </c>
      <c r="F552" s="23" t="s">
        <v>4950</v>
      </c>
      <c r="G552" s="23" t="s">
        <v>4951</v>
      </c>
      <c r="H552" s="24" t="s">
        <v>5218</v>
      </c>
      <c r="I552" s="23" t="s">
        <v>91</v>
      </c>
      <c r="J552" s="24" t="s">
        <v>5219</v>
      </c>
      <c r="K552" s="24" t="s">
        <v>5220</v>
      </c>
      <c r="L552" s="24" t="s">
        <v>5221</v>
      </c>
      <c r="M552" s="24" t="s">
        <v>5222</v>
      </c>
      <c r="N552" s="24" t="s">
        <v>5223</v>
      </c>
      <c r="O552" s="24" t="s">
        <v>5224</v>
      </c>
      <c r="P552" s="28"/>
      <c r="Q552" s="28" t="str">
        <f aca="false">"["&amp;안내!$C$5&amp;" "&amp;C552&amp;"] "&amp;J552&amp;" | "&amp;H552</f>
        <v>[1분 성경 #0551] 가나안 여인의 믿음 | 마 15:1-28</v>
      </c>
      <c r="R552" s="29" t="n">
        <f aca="false">INT((A552-1)/안내!$C$9)+1</f>
        <v>111</v>
      </c>
      <c r="S552" s="26" t="n">
        <f aca="false">안내!$C$10+(R552-1)*7+MOD(A552-1,안내!$C$9)</f>
        <v>47161</v>
      </c>
      <c r="T552" s="23" t="s">
        <v>99</v>
      </c>
      <c r="U552" s="23" t="s">
        <v>99</v>
      </c>
      <c r="V552" s="23" t="s">
        <v>99</v>
      </c>
      <c r="W552" s="23" t="s">
        <v>99</v>
      </c>
      <c r="X552" s="28"/>
      <c r="Y552" s="28" t="str">
        <f aca="false">"다음 편: "&amp;J553</f>
        <v>다음 편: 칠병이어와 바리새인의 누룩</v>
      </c>
    </row>
    <row r="553" customFormat="false" ht="26.85" hidden="false" customHeight="false" outlineLevel="0" collapsed="false">
      <c r="A553" s="29" t="n">
        <v>552</v>
      </c>
      <c r="B553" s="29" t="s">
        <v>5225</v>
      </c>
      <c r="C553" s="29" t="s">
        <v>5226</v>
      </c>
      <c r="D553" s="29" t="s">
        <v>5189</v>
      </c>
      <c r="E553" s="24" t="s">
        <v>5190</v>
      </c>
      <c r="F553" s="23" t="s">
        <v>4950</v>
      </c>
      <c r="G553" s="23" t="s">
        <v>4951</v>
      </c>
      <c r="H553" s="24" t="s">
        <v>5227</v>
      </c>
      <c r="I553" s="23" t="s">
        <v>91</v>
      </c>
      <c r="J553" s="24" t="s">
        <v>5228</v>
      </c>
      <c r="K553" s="24" t="s">
        <v>5229</v>
      </c>
      <c r="L553" s="24" t="s">
        <v>5230</v>
      </c>
      <c r="M553" s="24" t="s">
        <v>5231</v>
      </c>
      <c r="N553" s="24" t="s">
        <v>5232</v>
      </c>
      <c r="O553" s="24" t="s">
        <v>5233</v>
      </c>
      <c r="P553" s="28"/>
      <c r="Q553" s="28" t="str">
        <f aca="false">"["&amp;안내!$C$5&amp;" "&amp;C553&amp;"] "&amp;J553&amp;" | "&amp;H553</f>
        <v>[1분 성경 #0552] 칠병이어와 바리새인의 누룩 | 마 15:29-16:12</v>
      </c>
      <c r="R553" s="29" t="n">
        <f aca="false">INT((A553-1)/안내!$C$9)+1</f>
        <v>111</v>
      </c>
      <c r="S553" s="26" t="n">
        <f aca="false">안내!$C$10+(R553-1)*7+MOD(A553-1,안내!$C$9)</f>
        <v>47162</v>
      </c>
      <c r="T553" s="23" t="s">
        <v>99</v>
      </c>
      <c r="U553" s="23" t="s">
        <v>99</v>
      </c>
      <c r="V553" s="23" t="s">
        <v>99</v>
      </c>
      <c r="W553" s="23" t="s">
        <v>99</v>
      </c>
      <c r="X553" s="28"/>
      <c r="Y553" s="28" t="str">
        <f aca="false">"다음 편: "&amp;J554</f>
        <v>다음 편: 너는 그리스도시요</v>
      </c>
    </row>
    <row r="554" customFormat="false" ht="26.85" hidden="false" customHeight="false" outlineLevel="0" collapsed="false">
      <c r="A554" s="29" t="n">
        <v>553</v>
      </c>
      <c r="B554" s="29" t="s">
        <v>5234</v>
      </c>
      <c r="C554" s="29" t="s">
        <v>5235</v>
      </c>
      <c r="D554" s="29" t="s">
        <v>5189</v>
      </c>
      <c r="E554" s="24" t="s">
        <v>5190</v>
      </c>
      <c r="F554" s="23" t="s">
        <v>4950</v>
      </c>
      <c r="G554" s="23" t="s">
        <v>4951</v>
      </c>
      <c r="H554" s="24" t="s">
        <v>5236</v>
      </c>
      <c r="I554" s="23" t="s">
        <v>91</v>
      </c>
      <c r="J554" s="24" t="s">
        <v>5237</v>
      </c>
      <c r="K554" s="24" t="s">
        <v>5238</v>
      </c>
      <c r="L554" s="24" t="s">
        <v>5239</v>
      </c>
      <c r="M554" s="24" t="s">
        <v>5240</v>
      </c>
      <c r="N554" s="24" t="s">
        <v>5214</v>
      </c>
      <c r="O554" s="24" t="s">
        <v>5241</v>
      </c>
      <c r="P554" s="27" t="s">
        <v>5242</v>
      </c>
      <c r="Q554" s="28" t="str">
        <f aca="false">"["&amp;안내!$C$5&amp;" "&amp;C554&amp;"] "&amp;J554&amp;" | "&amp;H554</f>
        <v>[1분 성경 #0553] 너는 그리스도시요 | 마 16:13-28</v>
      </c>
      <c r="R554" s="29" t="n">
        <f aca="false">INT((A554-1)/안내!$C$9)+1</f>
        <v>111</v>
      </c>
      <c r="S554" s="26" t="n">
        <f aca="false">안내!$C$10+(R554-1)*7+MOD(A554-1,안내!$C$9)</f>
        <v>47163</v>
      </c>
      <c r="T554" s="23" t="s">
        <v>99</v>
      </c>
      <c r="U554" s="23" t="s">
        <v>99</v>
      </c>
      <c r="V554" s="23" t="s">
        <v>99</v>
      </c>
      <c r="W554" s="23" t="s">
        <v>99</v>
      </c>
      <c r="X554" s="28"/>
      <c r="Y554" s="28" t="str">
        <f aca="false">"다음 편: "&amp;J555</f>
        <v>다음 편: 변화산</v>
      </c>
    </row>
    <row r="555" customFormat="false" ht="26.85" hidden="false" customHeight="false" outlineLevel="0" collapsed="false">
      <c r="A555" s="29" t="n">
        <v>554</v>
      </c>
      <c r="B555" s="29" t="s">
        <v>5243</v>
      </c>
      <c r="C555" s="29" t="s">
        <v>5244</v>
      </c>
      <c r="D555" s="29" t="s">
        <v>5189</v>
      </c>
      <c r="E555" s="24" t="s">
        <v>5190</v>
      </c>
      <c r="F555" s="23" t="s">
        <v>4950</v>
      </c>
      <c r="G555" s="23" t="s">
        <v>4951</v>
      </c>
      <c r="H555" s="24" t="s">
        <v>5245</v>
      </c>
      <c r="I555" s="23" t="s">
        <v>91</v>
      </c>
      <c r="J555" s="24" t="s">
        <v>5246</v>
      </c>
      <c r="K555" s="24" t="s">
        <v>5247</v>
      </c>
      <c r="L555" s="24" t="s">
        <v>5248</v>
      </c>
      <c r="M555" s="24" t="s">
        <v>5249</v>
      </c>
      <c r="N555" s="24" t="s">
        <v>5250</v>
      </c>
      <c r="O555" s="24" t="s">
        <v>5251</v>
      </c>
      <c r="P555" s="28"/>
      <c r="Q555" s="28" t="str">
        <f aca="false">"["&amp;안내!$C$5&amp;" "&amp;C555&amp;"] "&amp;J555&amp;" | "&amp;H555</f>
        <v>[1분 성경 #0554] 변화산 | 마 17:1-13</v>
      </c>
      <c r="R555" s="29" t="n">
        <f aca="false">INT((A555-1)/안내!$C$9)+1</f>
        <v>111</v>
      </c>
      <c r="S555" s="26" t="n">
        <f aca="false">안내!$C$10+(R555-1)*7+MOD(A555-1,안내!$C$9)</f>
        <v>47164</v>
      </c>
      <c r="T555" s="23" t="s">
        <v>99</v>
      </c>
      <c r="U555" s="23" t="s">
        <v>99</v>
      </c>
      <c r="V555" s="23" t="s">
        <v>99</v>
      </c>
      <c r="W555" s="23" t="s">
        <v>99</v>
      </c>
      <c r="X555" s="28"/>
      <c r="Y555" s="28" t="str">
        <f aca="false">"다음 편: "&amp;J556</f>
        <v>다음 편: 겨자씨만 한 믿음</v>
      </c>
    </row>
    <row r="556" customFormat="false" ht="26.85" hidden="false" customHeight="false" outlineLevel="0" collapsed="false">
      <c r="A556" s="29" t="n">
        <v>555</v>
      </c>
      <c r="B556" s="29" t="s">
        <v>5252</v>
      </c>
      <c r="C556" s="29" t="s">
        <v>5253</v>
      </c>
      <c r="D556" s="29" t="s">
        <v>5189</v>
      </c>
      <c r="E556" s="24" t="s">
        <v>5190</v>
      </c>
      <c r="F556" s="23" t="s">
        <v>4950</v>
      </c>
      <c r="G556" s="23" t="s">
        <v>4951</v>
      </c>
      <c r="H556" s="24" t="s">
        <v>5254</v>
      </c>
      <c r="I556" s="23" t="s">
        <v>91</v>
      </c>
      <c r="J556" s="24" t="s">
        <v>5255</v>
      </c>
      <c r="K556" s="24" t="s">
        <v>5256</v>
      </c>
      <c r="L556" s="24" t="s">
        <v>5257</v>
      </c>
      <c r="M556" s="24" t="s">
        <v>5258</v>
      </c>
      <c r="N556" s="24" t="s">
        <v>5259</v>
      </c>
      <c r="O556" s="24" t="s">
        <v>5260</v>
      </c>
      <c r="P556" s="28"/>
      <c r="Q556" s="28" t="str">
        <f aca="false">"["&amp;안내!$C$5&amp;" "&amp;C556&amp;"] "&amp;J556&amp;" | "&amp;H556</f>
        <v>[1분 성경 #0555] 겨자씨만 한 믿음 | 마 17:14-27</v>
      </c>
      <c r="R556" s="29" t="n">
        <f aca="false">INT((A556-1)/안내!$C$9)+1</f>
        <v>111</v>
      </c>
      <c r="S556" s="26" t="n">
        <f aca="false">안내!$C$10+(R556-1)*7+MOD(A556-1,안내!$C$9)</f>
        <v>47165</v>
      </c>
      <c r="T556" s="23" t="s">
        <v>99</v>
      </c>
      <c r="U556" s="23" t="s">
        <v>99</v>
      </c>
      <c r="V556" s="23" t="s">
        <v>99</v>
      </c>
      <c r="W556" s="23" t="s">
        <v>99</v>
      </c>
      <c r="X556" s="28"/>
      <c r="Y556" s="28" t="str">
        <f aca="false">"다음 편: "&amp;J557</f>
        <v>다음 편: 일흔 번씩 일곱 번</v>
      </c>
    </row>
    <row r="557" customFormat="false" ht="15" hidden="false" customHeight="false" outlineLevel="0" collapsed="false">
      <c r="A557" s="29" t="n">
        <v>556</v>
      </c>
      <c r="B557" s="29" t="s">
        <v>5261</v>
      </c>
      <c r="C557" s="29" t="s">
        <v>5262</v>
      </c>
      <c r="D557" s="29" t="s">
        <v>5189</v>
      </c>
      <c r="E557" s="24" t="s">
        <v>5190</v>
      </c>
      <c r="F557" s="23" t="s">
        <v>4950</v>
      </c>
      <c r="G557" s="23" t="s">
        <v>4951</v>
      </c>
      <c r="H557" s="24" t="s">
        <v>5263</v>
      </c>
      <c r="I557" s="23" t="s">
        <v>91</v>
      </c>
      <c r="J557" s="24" t="s">
        <v>5264</v>
      </c>
      <c r="K557" s="24" t="s">
        <v>5265</v>
      </c>
      <c r="L557" s="24" t="s">
        <v>5266</v>
      </c>
      <c r="M557" s="24" t="s">
        <v>5267</v>
      </c>
      <c r="N557" s="24" t="s">
        <v>5268</v>
      </c>
      <c r="O557" s="24" t="s">
        <v>5269</v>
      </c>
      <c r="P557" s="28"/>
      <c r="Q557" s="28" t="str">
        <f aca="false">"["&amp;안내!$C$5&amp;" "&amp;C557&amp;"] "&amp;J557&amp;" | "&amp;H557</f>
        <v>[1분 성경 #0556] 일흔 번씩 일곱 번 | 마 18:1-35</v>
      </c>
      <c r="R557" s="29" t="n">
        <f aca="false">INT((A557-1)/안내!$C$9)+1</f>
        <v>112</v>
      </c>
      <c r="S557" s="26" t="n">
        <f aca="false">안내!$C$10+(R557-1)*7+MOD(A557-1,안내!$C$9)</f>
        <v>47168</v>
      </c>
      <c r="T557" s="23" t="s">
        <v>99</v>
      </c>
      <c r="U557" s="23" t="s">
        <v>99</v>
      </c>
      <c r="V557" s="23" t="s">
        <v>99</v>
      </c>
      <c r="W557" s="23" t="s">
        <v>99</v>
      </c>
      <c r="X557" s="28"/>
      <c r="Y557" s="28" t="str">
        <f aca="false">"다음 편: "&amp;J558</f>
        <v>다음 편: 부자 청년</v>
      </c>
    </row>
    <row r="558" customFormat="false" ht="26.85" hidden="false" customHeight="false" outlineLevel="0" collapsed="false">
      <c r="A558" s="29" t="n">
        <v>557</v>
      </c>
      <c r="B558" s="29" t="s">
        <v>5270</v>
      </c>
      <c r="C558" s="29" t="s">
        <v>5271</v>
      </c>
      <c r="D558" s="29" t="s">
        <v>5189</v>
      </c>
      <c r="E558" s="24" t="s">
        <v>5190</v>
      </c>
      <c r="F558" s="23" t="s">
        <v>4950</v>
      </c>
      <c r="G558" s="23" t="s">
        <v>4951</v>
      </c>
      <c r="H558" s="24" t="s">
        <v>5272</v>
      </c>
      <c r="I558" s="23" t="s">
        <v>91</v>
      </c>
      <c r="J558" s="24" t="s">
        <v>5273</v>
      </c>
      <c r="K558" s="24" t="s">
        <v>5274</v>
      </c>
      <c r="L558" s="24" t="s">
        <v>5275</v>
      </c>
      <c r="M558" s="24" t="s">
        <v>5276</v>
      </c>
      <c r="N558" s="24" t="s">
        <v>5277</v>
      </c>
      <c r="O558" s="24" t="s">
        <v>5278</v>
      </c>
      <c r="P558" s="28"/>
      <c r="Q558" s="28" t="str">
        <f aca="false">"["&amp;안내!$C$5&amp;" "&amp;C558&amp;"] "&amp;J558&amp;" | "&amp;H558</f>
        <v>[1분 성경 #0557] 부자 청년 | 마 19:1-30</v>
      </c>
      <c r="R558" s="29" t="n">
        <f aca="false">INT((A558-1)/안내!$C$9)+1</f>
        <v>112</v>
      </c>
      <c r="S558" s="26" t="n">
        <f aca="false">안내!$C$10+(R558-1)*7+MOD(A558-1,안내!$C$9)</f>
        <v>47169</v>
      </c>
      <c r="T558" s="23" t="s">
        <v>99</v>
      </c>
      <c r="U558" s="23" t="s">
        <v>99</v>
      </c>
      <c r="V558" s="23" t="s">
        <v>99</v>
      </c>
      <c r="W558" s="23" t="s">
        <v>99</v>
      </c>
      <c r="X558" s="28"/>
      <c r="Y558" s="28" t="str">
        <f aca="false">"다음 편: "&amp;J559</f>
        <v>다음 편: 섬기러 오신 예수님</v>
      </c>
    </row>
    <row r="559" customFormat="false" ht="39.55" hidden="false" customHeight="false" outlineLevel="0" collapsed="false">
      <c r="A559" s="29" t="n">
        <v>558</v>
      </c>
      <c r="B559" s="29" t="s">
        <v>5279</v>
      </c>
      <c r="C559" s="29" t="s">
        <v>5280</v>
      </c>
      <c r="D559" s="29" t="s">
        <v>5189</v>
      </c>
      <c r="E559" s="24" t="s">
        <v>5190</v>
      </c>
      <c r="F559" s="23" t="s">
        <v>4950</v>
      </c>
      <c r="G559" s="23" t="s">
        <v>4951</v>
      </c>
      <c r="H559" s="24" t="s">
        <v>5281</v>
      </c>
      <c r="I559" s="23" t="s">
        <v>91</v>
      </c>
      <c r="J559" s="24" t="s">
        <v>5282</v>
      </c>
      <c r="K559" s="24" t="s">
        <v>5283</v>
      </c>
      <c r="L559" s="24" t="s">
        <v>5284</v>
      </c>
      <c r="M559" s="24" t="s">
        <v>5285</v>
      </c>
      <c r="N559" s="24" t="s">
        <v>5286</v>
      </c>
      <c r="O559" s="24" t="s">
        <v>5287</v>
      </c>
      <c r="P559" s="28"/>
      <c r="Q559" s="28" t="str">
        <f aca="false">"["&amp;안내!$C$5&amp;" "&amp;C559&amp;"] "&amp;J559&amp;" | "&amp;H559</f>
        <v>[1분 성경 #0558] 섬기러 오신 예수님 | 마 20:1-34</v>
      </c>
      <c r="R559" s="29" t="n">
        <f aca="false">INT((A559-1)/안내!$C$9)+1</f>
        <v>112</v>
      </c>
      <c r="S559" s="26" t="n">
        <f aca="false">안내!$C$10+(R559-1)*7+MOD(A559-1,안내!$C$9)</f>
        <v>47170</v>
      </c>
      <c r="T559" s="23" t="s">
        <v>99</v>
      </c>
      <c r="U559" s="23" t="s">
        <v>99</v>
      </c>
      <c r="V559" s="23" t="s">
        <v>99</v>
      </c>
      <c r="W559" s="23" t="s">
        <v>99</v>
      </c>
      <c r="X559" s="28"/>
      <c r="Y559" s="28" t="str">
        <f aca="false">"다음 편: "&amp;J560</f>
        <v>다음 편: 호산나</v>
      </c>
    </row>
    <row r="560" customFormat="false" ht="26.85" hidden="false" customHeight="false" outlineLevel="0" collapsed="false">
      <c r="A560" s="29" t="n">
        <v>559</v>
      </c>
      <c r="B560" s="29" t="s">
        <v>5288</v>
      </c>
      <c r="C560" s="29" t="s">
        <v>5289</v>
      </c>
      <c r="D560" s="29" t="s">
        <v>5290</v>
      </c>
      <c r="E560" s="24" t="s">
        <v>5291</v>
      </c>
      <c r="F560" s="23" t="s">
        <v>4950</v>
      </c>
      <c r="G560" s="23" t="s">
        <v>4951</v>
      </c>
      <c r="H560" s="24" t="s">
        <v>5292</v>
      </c>
      <c r="I560" s="23" t="s">
        <v>91</v>
      </c>
      <c r="J560" s="24" t="s">
        <v>5293</v>
      </c>
      <c r="K560" s="24" t="s">
        <v>5294</v>
      </c>
      <c r="L560" s="24" t="s">
        <v>5295</v>
      </c>
      <c r="M560" s="24" t="s">
        <v>5296</v>
      </c>
      <c r="N560" s="24" t="s">
        <v>5035</v>
      </c>
      <c r="O560" s="24" t="s">
        <v>5297</v>
      </c>
      <c r="P560" s="28"/>
      <c r="Q560" s="28" t="str">
        <f aca="false">"["&amp;안내!$C$5&amp;" "&amp;C560&amp;"] "&amp;J560&amp;" | "&amp;H560</f>
        <v>[1분 성경 #0559] 호산나 | 마 21:1-17</v>
      </c>
      <c r="R560" s="29" t="n">
        <f aca="false">INT((A560-1)/안내!$C$9)+1</f>
        <v>112</v>
      </c>
      <c r="S560" s="26" t="n">
        <f aca="false">안내!$C$10+(R560-1)*7+MOD(A560-1,안내!$C$9)</f>
        <v>47171</v>
      </c>
      <c r="T560" s="23" t="s">
        <v>99</v>
      </c>
      <c r="U560" s="23" t="s">
        <v>99</v>
      </c>
      <c r="V560" s="23" t="s">
        <v>99</v>
      </c>
      <c r="W560" s="23" t="s">
        <v>99</v>
      </c>
      <c r="X560" s="28"/>
      <c r="Y560" s="28" t="str">
        <f aca="false">"다음 편: "&amp;J561</f>
        <v>다음 편: 버린 돌이 머릿돌이 되다</v>
      </c>
    </row>
    <row r="561" customFormat="false" ht="26.85" hidden="false" customHeight="false" outlineLevel="0" collapsed="false">
      <c r="A561" s="29" t="n">
        <v>560</v>
      </c>
      <c r="B561" s="29" t="s">
        <v>5298</v>
      </c>
      <c r="C561" s="29" t="s">
        <v>5299</v>
      </c>
      <c r="D561" s="29" t="s">
        <v>5290</v>
      </c>
      <c r="E561" s="24" t="s">
        <v>5291</v>
      </c>
      <c r="F561" s="23" t="s">
        <v>4950</v>
      </c>
      <c r="G561" s="23" t="s">
        <v>4951</v>
      </c>
      <c r="H561" s="24" t="s">
        <v>5300</v>
      </c>
      <c r="I561" s="23" t="s">
        <v>91</v>
      </c>
      <c r="J561" s="24" t="s">
        <v>5301</v>
      </c>
      <c r="K561" s="24" t="s">
        <v>5302</v>
      </c>
      <c r="L561" s="24" t="s">
        <v>5303</v>
      </c>
      <c r="M561" s="24" t="s">
        <v>5304</v>
      </c>
      <c r="N561" s="24" t="s">
        <v>5305</v>
      </c>
      <c r="O561" s="24" t="s">
        <v>2580</v>
      </c>
      <c r="P561" s="28"/>
      <c r="Q561" s="28" t="str">
        <f aca="false">"["&amp;안내!$C$5&amp;" "&amp;C561&amp;"] "&amp;J561&amp;" | "&amp;H561</f>
        <v>[1분 성경 #0560] 버린 돌이 머릿돌이 되다 | 마 21:18-46</v>
      </c>
      <c r="R561" s="29" t="n">
        <f aca="false">INT((A561-1)/안내!$C$9)+1</f>
        <v>112</v>
      </c>
      <c r="S561" s="26" t="n">
        <f aca="false">안내!$C$10+(R561-1)*7+MOD(A561-1,안내!$C$9)</f>
        <v>47172</v>
      </c>
      <c r="T561" s="23" t="s">
        <v>99</v>
      </c>
      <c r="U561" s="23" t="s">
        <v>99</v>
      </c>
      <c r="V561" s="23" t="s">
        <v>99</v>
      </c>
      <c r="W561" s="23" t="s">
        <v>99</v>
      </c>
      <c r="X561" s="28"/>
      <c r="Y561" s="28" t="str">
        <f aca="false">"다음 편: "&amp;J562</f>
        <v>다음 편: 가장 큰 계명</v>
      </c>
    </row>
    <row r="562" customFormat="false" ht="26.85" hidden="false" customHeight="false" outlineLevel="0" collapsed="false">
      <c r="A562" s="29" t="n">
        <v>561</v>
      </c>
      <c r="B562" s="29" t="s">
        <v>5306</v>
      </c>
      <c r="C562" s="29" t="s">
        <v>5307</v>
      </c>
      <c r="D562" s="29" t="s">
        <v>5290</v>
      </c>
      <c r="E562" s="24" t="s">
        <v>5291</v>
      </c>
      <c r="F562" s="23" t="s">
        <v>4950</v>
      </c>
      <c r="G562" s="23" t="s">
        <v>4951</v>
      </c>
      <c r="H562" s="24" t="s">
        <v>5308</v>
      </c>
      <c r="I562" s="23" t="s">
        <v>91</v>
      </c>
      <c r="J562" s="24" t="s">
        <v>5309</v>
      </c>
      <c r="K562" s="24" t="s">
        <v>5310</v>
      </c>
      <c r="L562" s="24" t="s">
        <v>5311</v>
      </c>
      <c r="M562" s="24" t="s">
        <v>5312</v>
      </c>
      <c r="N562" s="24" t="s">
        <v>5313</v>
      </c>
      <c r="O562" s="24" t="s">
        <v>2580</v>
      </c>
      <c r="P562" s="28"/>
      <c r="Q562" s="28" t="str">
        <f aca="false">"["&amp;안내!$C$5&amp;" "&amp;C562&amp;"] "&amp;J562&amp;" | "&amp;H562</f>
        <v>[1분 성경 #0561] 가장 큰 계명 | 마 22:1-46</v>
      </c>
      <c r="R562" s="29" t="n">
        <f aca="false">INT((A562-1)/안내!$C$9)+1</f>
        <v>113</v>
      </c>
      <c r="S562" s="26" t="n">
        <f aca="false">안내!$C$10+(R562-1)*7+MOD(A562-1,안내!$C$9)</f>
        <v>47175</v>
      </c>
      <c r="T562" s="23" t="s">
        <v>99</v>
      </c>
      <c r="U562" s="23" t="s">
        <v>99</v>
      </c>
      <c r="V562" s="23" t="s">
        <v>99</v>
      </c>
      <c r="W562" s="23" t="s">
        <v>99</v>
      </c>
      <c r="X562" s="28"/>
      <c r="Y562" s="28" t="str">
        <f aca="false">"다음 편: "&amp;J563</f>
        <v>다음 편: 암탉이 병아리를 모음같이</v>
      </c>
    </row>
    <row r="563" customFormat="false" ht="26.85" hidden="false" customHeight="false" outlineLevel="0" collapsed="false">
      <c r="A563" s="29" t="n">
        <v>562</v>
      </c>
      <c r="B563" s="29" t="s">
        <v>5314</v>
      </c>
      <c r="C563" s="29" t="s">
        <v>5315</v>
      </c>
      <c r="D563" s="29" t="s">
        <v>5290</v>
      </c>
      <c r="E563" s="24" t="s">
        <v>5291</v>
      </c>
      <c r="F563" s="23" t="s">
        <v>4950</v>
      </c>
      <c r="G563" s="23" t="s">
        <v>4951</v>
      </c>
      <c r="H563" s="24" t="s">
        <v>5316</v>
      </c>
      <c r="I563" s="23" t="s">
        <v>91</v>
      </c>
      <c r="J563" s="24" t="s">
        <v>5317</v>
      </c>
      <c r="K563" s="24" t="s">
        <v>5318</v>
      </c>
      <c r="L563" s="24" t="s">
        <v>5319</v>
      </c>
      <c r="M563" s="24" t="s">
        <v>5320</v>
      </c>
      <c r="N563" s="24" t="s">
        <v>5321</v>
      </c>
      <c r="O563" s="24" t="s">
        <v>5322</v>
      </c>
      <c r="P563" s="28"/>
      <c r="Q563" s="28" t="str">
        <f aca="false">"["&amp;안내!$C$5&amp;" "&amp;C563&amp;"] "&amp;J563&amp;" | "&amp;H563</f>
        <v>[1분 성경 #0562] 암탉이 병아리를 모음같이 | 마 23:1-39</v>
      </c>
      <c r="R563" s="29" t="n">
        <f aca="false">INT((A563-1)/안내!$C$9)+1</f>
        <v>113</v>
      </c>
      <c r="S563" s="26" t="n">
        <f aca="false">안내!$C$10+(R563-1)*7+MOD(A563-1,안내!$C$9)</f>
        <v>47176</v>
      </c>
      <c r="T563" s="23" t="s">
        <v>99</v>
      </c>
      <c r="U563" s="23" t="s">
        <v>99</v>
      </c>
      <c r="V563" s="23" t="s">
        <v>99</v>
      </c>
      <c r="W563" s="23" t="s">
        <v>99</v>
      </c>
      <c r="X563" s="28"/>
      <c r="Y563" s="28" t="str">
        <f aca="false">"다음 편: "&amp;J564</f>
        <v>다음 편: 마지막 때의 징조</v>
      </c>
    </row>
    <row r="564" customFormat="false" ht="26.85" hidden="false" customHeight="false" outlineLevel="0" collapsed="false">
      <c r="A564" s="29" t="n">
        <v>563</v>
      </c>
      <c r="B564" s="29" t="s">
        <v>5323</v>
      </c>
      <c r="C564" s="29" t="s">
        <v>5324</v>
      </c>
      <c r="D564" s="29" t="s">
        <v>5290</v>
      </c>
      <c r="E564" s="24" t="s">
        <v>5291</v>
      </c>
      <c r="F564" s="23" t="s">
        <v>4950</v>
      </c>
      <c r="G564" s="23" t="s">
        <v>4951</v>
      </c>
      <c r="H564" s="24" t="s">
        <v>5325</v>
      </c>
      <c r="I564" s="23" t="s">
        <v>91</v>
      </c>
      <c r="J564" s="24" t="s">
        <v>5326</v>
      </c>
      <c r="K564" s="24" t="s">
        <v>5327</v>
      </c>
      <c r="L564" s="24" t="s">
        <v>5328</v>
      </c>
      <c r="M564" s="24" t="s">
        <v>5329</v>
      </c>
      <c r="N564" s="24" t="s">
        <v>5067</v>
      </c>
      <c r="O564" s="24" t="s">
        <v>5330</v>
      </c>
      <c r="P564" s="25" t="s">
        <v>5331</v>
      </c>
      <c r="Q564" s="28" t="str">
        <f aca="false">"["&amp;안내!$C$5&amp;" "&amp;C564&amp;"] "&amp;J564&amp;" | "&amp;H564</f>
        <v>[1분 성경 #0563] 마지막 때의 징조 | 마 24:1-31</v>
      </c>
      <c r="R564" s="29" t="n">
        <f aca="false">INT((A564-1)/안내!$C$9)+1</f>
        <v>113</v>
      </c>
      <c r="S564" s="26" t="n">
        <f aca="false">안내!$C$10+(R564-1)*7+MOD(A564-1,안내!$C$9)</f>
        <v>47177</v>
      </c>
      <c r="T564" s="23" t="s">
        <v>99</v>
      </c>
      <c r="U564" s="23" t="s">
        <v>99</v>
      </c>
      <c r="V564" s="23" t="s">
        <v>99</v>
      </c>
      <c r="W564" s="23" t="s">
        <v>99</v>
      </c>
      <c r="X564" s="28"/>
      <c r="Y564" s="28" t="str">
        <f aca="false">"다음 편: "&amp;J565</f>
        <v>다음 편: 그날과 그때는</v>
      </c>
    </row>
    <row r="565" customFormat="false" ht="15" hidden="false" customHeight="false" outlineLevel="0" collapsed="false">
      <c r="A565" s="29" t="n">
        <v>564</v>
      </c>
      <c r="B565" s="29" t="s">
        <v>5332</v>
      </c>
      <c r="C565" s="29" t="s">
        <v>5333</v>
      </c>
      <c r="D565" s="29" t="s">
        <v>5290</v>
      </c>
      <c r="E565" s="24" t="s">
        <v>5291</v>
      </c>
      <c r="F565" s="23" t="s">
        <v>4950</v>
      </c>
      <c r="G565" s="23" t="s">
        <v>4951</v>
      </c>
      <c r="H565" s="24" t="s">
        <v>5334</v>
      </c>
      <c r="I565" s="23" t="s">
        <v>91</v>
      </c>
      <c r="J565" s="24" t="s">
        <v>5335</v>
      </c>
      <c r="K565" s="24" t="s">
        <v>5336</v>
      </c>
      <c r="L565" s="24" t="s">
        <v>5337</v>
      </c>
      <c r="M565" s="24" t="s">
        <v>5338</v>
      </c>
      <c r="N565" s="24" t="s">
        <v>5067</v>
      </c>
      <c r="O565" s="24" t="s">
        <v>5339</v>
      </c>
      <c r="P565" s="25" t="s">
        <v>5340</v>
      </c>
      <c r="Q565" s="28" t="str">
        <f aca="false">"["&amp;안내!$C$5&amp;" "&amp;C565&amp;"] "&amp;J565&amp;" | "&amp;H565</f>
        <v>[1분 성경 #0564] 그날과 그때는 | 마 24:32-51</v>
      </c>
      <c r="R565" s="29" t="n">
        <f aca="false">INT((A565-1)/안내!$C$9)+1</f>
        <v>113</v>
      </c>
      <c r="S565" s="26" t="n">
        <f aca="false">안내!$C$10+(R565-1)*7+MOD(A565-1,안내!$C$9)</f>
        <v>47178</v>
      </c>
      <c r="T565" s="23" t="s">
        <v>99</v>
      </c>
      <c r="U565" s="23" t="s">
        <v>99</v>
      </c>
      <c r="V565" s="23" t="s">
        <v>99</v>
      </c>
      <c r="W565" s="23" t="s">
        <v>99</v>
      </c>
      <c r="X565" s="28"/>
      <c r="Y565" s="28" t="str">
        <f aca="false">"다음 편: "&amp;J566</f>
        <v>다음 편: 열 처녀</v>
      </c>
    </row>
    <row r="566" customFormat="false" ht="26.85" hidden="false" customHeight="false" outlineLevel="0" collapsed="false">
      <c r="A566" s="29" t="n">
        <v>565</v>
      </c>
      <c r="B566" s="29" t="s">
        <v>5341</v>
      </c>
      <c r="C566" s="29" t="s">
        <v>5342</v>
      </c>
      <c r="D566" s="29" t="s">
        <v>5290</v>
      </c>
      <c r="E566" s="24" t="s">
        <v>5291</v>
      </c>
      <c r="F566" s="23" t="s">
        <v>4950</v>
      </c>
      <c r="G566" s="23" t="s">
        <v>4951</v>
      </c>
      <c r="H566" s="24" t="s">
        <v>5343</v>
      </c>
      <c r="I566" s="23" t="s">
        <v>91</v>
      </c>
      <c r="J566" s="24" t="s">
        <v>5344</v>
      </c>
      <c r="K566" s="24" t="s">
        <v>5345</v>
      </c>
      <c r="L566" s="24" t="s">
        <v>5346</v>
      </c>
      <c r="M566" s="24" t="s">
        <v>5347</v>
      </c>
      <c r="N566" s="24" t="s">
        <v>5348</v>
      </c>
      <c r="O566" s="24" t="s">
        <v>5349</v>
      </c>
      <c r="P566" s="25" t="s">
        <v>5350</v>
      </c>
      <c r="Q566" s="28" t="str">
        <f aca="false">"["&amp;안내!$C$5&amp;" "&amp;C566&amp;"] "&amp;J566&amp;" | "&amp;H566</f>
        <v>[1분 성경 #0565] 열 처녀 | 마 25:1-13</v>
      </c>
      <c r="R566" s="29" t="n">
        <f aca="false">INT((A566-1)/안내!$C$9)+1</f>
        <v>113</v>
      </c>
      <c r="S566" s="26" t="n">
        <f aca="false">안내!$C$10+(R566-1)*7+MOD(A566-1,안내!$C$9)</f>
        <v>47179</v>
      </c>
      <c r="T566" s="23" t="s">
        <v>99</v>
      </c>
      <c r="U566" s="23" t="s">
        <v>99</v>
      </c>
      <c r="V566" s="23" t="s">
        <v>99</v>
      </c>
      <c r="W566" s="23" t="s">
        <v>99</v>
      </c>
      <c r="X566" s="28"/>
      <c r="Y566" s="28" t="str">
        <f aca="false">"다음 편: "&amp;J567</f>
        <v>다음 편: 달란트 비유</v>
      </c>
    </row>
    <row r="567" customFormat="false" ht="26.85" hidden="false" customHeight="false" outlineLevel="0" collapsed="false">
      <c r="A567" s="29" t="n">
        <v>566</v>
      </c>
      <c r="B567" s="29" t="s">
        <v>5351</v>
      </c>
      <c r="C567" s="29" t="s">
        <v>5352</v>
      </c>
      <c r="D567" s="29" t="s">
        <v>5290</v>
      </c>
      <c r="E567" s="24" t="s">
        <v>5291</v>
      </c>
      <c r="F567" s="23" t="s">
        <v>4950</v>
      </c>
      <c r="G567" s="23" t="s">
        <v>4951</v>
      </c>
      <c r="H567" s="24" t="s">
        <v>5353</v>
      </c>
      <c r="I567" s="23" t="s">
        <v>91</v>
      </c>
      <c r="J567" s="24" t="s">
        <v>5354</v>
      </c>
      <c r="K567" s="24" t="s">
        <v>5355</v>
      </c>
      <c r="L567" s="24" t="s">
        <v>5356</v>
      </c>
      <c r="M567" s="24" t="s">
        <v>5357</v>
      </c>
      <c r="N567" s="24" t="s">
        <v>5358</v>
      </c>
      <c r="O567" s="24" t="s">
        <v>5359</v>
      </c>
      <c r="P567" s="28"/>
      <c r="Q567" s="28" t="str">
        <f aca="false">"["&amp;안내!$C$5&amp;" "&amp;C567&amp;"] "&amp;J567&amp;" | "&amp;H567</f>
        <v>[1분 성경 #0566] 달란트 비유 | 마 25:14-30</v>
      </c>
      <c r="R567" s="29" t="n">
        <f aca="false">INT((A567-1)/안내!$C$9)+1</f>
        <v>114</v>
      </c>
      <c r="S567" s="26" t="n">
        <f aca="false">안내!$C$10+(R567-1)*7+MOD(A567-1,안내!$C$9)</f>
        <v>47182</v>
      </c>
      <c r="T567" s="23" t="s">
        <v>99</v>
      </c>
      <c r="U567" s="23" t="s">
        <v>99</v>
      </c>
      <c r="V567" s="23" t="s">
        <v>99</v>
      </c>
      <c r="W567" s="23" t="s">
        <v>99</v>
      </c>
      <c r="X567" s="28"/>
      <c r="Y567" s="28" t="str">
        <f aca="false">"다음 편: "&amp;J568</f>
        <v>다음 편: 양과 염소</v>
      </c>
    </row>
    <row r="568" customFormat="false" ht="15" hidden="false" customHeight="false" outlineLevel="0" collapsed="false">
      <c r="A568" s="29" t="n">
        <v>567</v>
      </c>
      <c r="B568" s="29" t="s">
        <v>5360</v>
      </c>
      <c r="C568" s="29" t="s">
        <v>5361</v>
      </c>
      <c r="D568" s="29" t="s">
        <v>5290</v>
      </c>
      <c r="E568" s="24" t="s">
        <v>5291</v>
      </c>
      <c r="F568" s="23" t="s">
        <v>4950</v>
      </c>
      <c r="G568" s="23" t="s">
        <v>4951</v>
      </c>
      <c r="H568" s="24" t="s">
        <v>5362</v>
      </c>
      <c r="I568" s="23" t="s">
        <v>91</v>
      </c>
      <c r="J568" s="24" t="s">
        <v>5363</v>
      </c>
      <c r="K568" s="24" t="s">
        <v>5364</v>
      </c>
      <c r="L568" s="24" t="s">
        <v>5365</v>
      </c>
      <c r="M568" s="24" t="s">
        <v>5366</v>
      </c>
      <c r="N568" s="24" t="s">
        <v>5367</v>
      </c>
      <c r="O568" s="24" t="s">
        <v>5368</v>
      </c>
      <c r="P568" s="25" t="s">
        <v>5369</v>
      </c>
      <c r="Q568" s="28" t="str">
        <f aca="false">"["&amp;안내!$C$5&amp;" "&amp;C568&amp;"] "&amp;J568&amp;" | "&amp;H568</f>
        <v>[1분 성경 #0567] 양과 염소 | 마 25:31-46</v>
      </c>
      <c r="R568" s="29" t="n">
        <f aca="false">INT((A568-1)/안내!$C$9)+1</f>
        <v>114</v>
      </c>
      <c r="S568" s="26" t="n">
        <f aca="false">안내!$C$10+(R568-1)*7+MOD(A568-1,안내!$C$9)</f>
        <v>47183</v>
      </c>
      <c r="T568" s="23" t="s">
        <v>99</v>
      </c>
      <c r="U568" s="23" t="s">
        <v>99</v>
      </c>
      <c r="V568" s="23" t="s">
        <v>99</v>
      </c>
      <c r="W568" s="23" t="s">
        <v>99</v>
      </c>
      <c r="X568" s="28"/>
      <c r="Y568" s="28" t="str">
        <f aca="false">"다음 편: "&amp;J569</f>
        <v>다음 편: 향유 옥합</v>
      </c>
    </row>
    <row r="569" customFormat="false" ht="26.85" hidden="false" customHeight="false" outlineLevel="0" collapsed="false">
      <c r="A569" s="29" t="n">
        <v>568</v>
      </c>
      <c r="B569" s="29" t="s">
        <v>5370</v>
      </c>
      <c r="C569" s="29" t="s">
        <v>5371</v>
      </c>
      <c r="D569" s="29" t="s">
        <v>5372</v>
      </c>
      <c r="E569" s="24" t="s">
        <v>5373</v>
      </c>
      <c r="F569" s="23" t="s">
        <v>4950</v>
      </c>
      <c r="G569" s="23" t="s">
        <v>4951</v>
      </c>
      <c r="H569" s="24" t="s">
        <v>5374</v>
      </c>
      <c r="I569" s="23" t="s">
        <v>91</v>
      </c>
      <c r="J569" s="24" t="s">
        <v>5375</v>
      </c>
      <c r="K569" s="28" t="s">
        <v>5376</v>
      </c>
      <c r="L569" s="24" t="s">
        <v>5377</v>
      </c>
      <c r="M569" s="24" t="s">
        <v>5378</v>
      </c>
      <c r="N569" s="24" t="s">
        <v>5379</v>
      </c>
      <c r="O569" s="24" t="s">
        <v>5380</v>
      </c>
      <c r="P569" s="28"/>
      <c r="Q569" s="28" t="str">
        <f aca="false">"["&amp;안내!$C$5&amp;" "&amp;C569&amp;"] "&amp;J569&amp;" | "&amp;H569</f>
        <v>[1분 성경 #0568] 향유 옥합 | 마 26:1-16</v>
      </c>
      <c r="R569" s="29" t="n">
        <f aca="false">INT((A569-1)/안내!$C$9)+1</f>
        <v>114</v>
      </c>
      <c r="S569" s="26" t="n">
        <f aca="false">안내!$C$10+(R569-1)*7+MOD(A569-1,안내!$C$9)</f>
        <v>47184</v>
      </c>
      <c r="T569" s="23" t="s">
        <v>99</v>
      </c>
      <c r="U569" s="23" t="s">
        <v>99</v>
      </c>
      <c r="V569" s="23" t="s">
        <v>99</v>
      </c>
      <c r="W569" s="23" t="s">
        <v>99</v>
      </c>
      <c r="X569" s="28"/>
      <c r="Y569" s="28" t="str">
        <f aca="false">"다음 편: "&amp;J570</f>
        <v>다음 편: 최후의 만찬</v>
      </c>
    </row>
    <row r="570" customFormat="false" ht="26.85" hidden="false" customHeight="false" outlineLevel="0" collapsed="false">
      <c r="A570" s="29" t="n">
        <v>569</v>
      </c>
      <c r="B570" s="29" t="s">
        <v>5381</v>
      </c>
      <c r="C570" s="29" t="s">
        <v>5382</v>
      </c>
      <c r="D570" s="29" t="s">
        <v>5372</v>
      </c>
      <c r="E570" s="24" t="s">
        <v>5373</v>
      </c>
      <c r="F570" s="23" t="s">
        <v>4950</v>
      </c>
      <c r="G570" s="23" t="s">
        <v>4951</v>
      </c>
      <c r="H570" s="24" t="s">
        <v>5383</v>
      </c>
      <c r="I570" s="23" t="s">
        <v>91</v>
      </c>
      <c r="J570" s="24" t="s">
        <v>5384</v>
      </c>
      <c r="K570" s="24" t="s">
        <v>5385</v>
      </c>
      <c r="L570" s="24" t="s">
        <v>5386</v>
      </c>
      <c r="M570" s="24" t="s">
        <v>5387</v>
      </c>
      <c r="N570" s="24" t="s">
        <v>5147</v>
      </c>
      <c r="O570" s="24" t="s">
        <v>5388</v>
      </c>
      <c r="P570" s="25" t="s">
        <v>5389</v>
      </c>
      <c r="Q570" s="28" t="str">
        <f aca="false">"["&amp;안내!$C$5&amp;" "&amp;C570&amp;"] "&amp;J570&amp;" | "&amp;H570</f>
        <v>[1분 성경 #0569] 최후의 만찬 | 마 26:17-30</v>
      </c>
      <c r="R570" s="29" t="n">
        <f aca="false">INT((A570-1)/안내!$C$9)+1</f>
        <v>114</v>
      </c>
      <c r="S570" s="26" t="n">
        <f aca="false">안내!$C$10+(R570-1)*7+MOD(A570-1,안내!$C$9)</f>
        <v>47185</v>
      </c>
      <c r="T570" s="23" t="s">
        <v>99</v>
      </c>
      <c r="U570" s="23" t="s">
        <v>99</v>
      </c>
      <c r="V570" s="23" t="s">
        <v>99</v>
      </c>
      <c r="W570" s="23" t="s">
        <v>99</v>
      </c>
      <c r="X570" s="28"/>
      <c r="Y570" s="28" t="str">
        <f aca="false">"다음 편: "&amp;J571</f>
        <v>다음 편: 겟세마네</v>
      </c>
    </row>
    <row r="571" customFormat="false" ht="26.85" hidden="false" customHeight="false" outlineLevel="0" collapsed="false">
      <c r="A571" s="29" t="n">
        <v>570</v>
      </c>
      <c r="B571" s="29" t="s">
        <v>5390</v>
      </c>
      <c r="C571" s="29" t="s">
        <v>5391</v>
      </c>
      <c r="D571" s="29" t="s">
        <v>5372</v>
      </c>
      <c r="E571" s="24" t="s">
        <v>5373</v>
      </c>
      <c r="F571" s="23" t="s">
        <v>4950</v>
      </c>
      <c r="G571" s="23" t="s">
        <v>4951</v>
      </c>
      <c r="H571" s="24" t="s">
        <v>5392</v>
      </c>
      <c r="I571" s="23" t="s">
        <v>91</v>
      </c>
      <c r="J571" s="24" t="s">
        <v>5393</v>
      </c>
      <c r="K571" s="24" t="s">
        <v>5394</v>
      </c>
      <c r="L571" s="24" t="s">
        <v>5395</v>
      </c>
      <c r="M571" s="24" t="s">
        <v>5396</v>
      </c>
      <c r="N571" s="24" t="s">
        <v>5397</v>
      </c>
      <c r="O571" s="24" t="s">
        <v>5398</v>
      </c>
      <c r="P571" s="28"/>
      <c r="Q571" s="28" t="str">
        <f aca="false">"["&amp;안내!$C$5&amp;" "&amp;C571&amp;"] "&amp;J571&amp;" | "&amp;H571</f>
        <v>[1분 성경 #0570] 겟세마네 | 마 26:31-56</v>
      </c>
      <c r="R571" s="29" t="n">
        <f aca="false">INT((A571-1)/안내!$C$9)+1</f>
        <v>114</v>
      </c>
      <c r="S571" s="26" t="n">
        <f aca="false">안내!$C$10+(R571-1)*7+MOD(A571-1,안내!$C$9)</f>
        <v>47186</v>
      </c>
      <c r="T571" s="23" t="s">
        <v>99</v>
      </c>
      <c r="U571" s="23" t="s">
        <v>99</v>
      </c>
      <c r="V571" s="23" t="s">
        <v>99</v>
      </c>
      <c r="W571" s="23" t="s">
        <v>99</v>
      </c>
      <c r="X571" s="28"/>
      <c r="Y571" s="28" t="str">
        <f aca="false">"다음 편: "&amp;J572</f>
        <v>다음 편: 닭이 울기 전에</v>
      </c>
    </row>
    <row r="572" customFormat="false" ht="26.85" hidden="false" customHeight="false" outlineLevel="0" collapsed="false">
      <c r="A572" s="29" t="n">
        <v>571</v>
      </c>
      <c r="B572" s="29" t="s">
        <v>5399</v>
      </c>
      <c r="C572" s="29" t="s">
        <v>5400</v>
      </c>
      <c r="D572" s="29" t="s">
        <v>5372</v>
      </c>
      <c r="E572" s="24" t="s">
        <v>5373</v>
      </c>
      <c r="F572" s="23" t="s">
        <v>4950</v>
      </c>
      <c r="G572" s="23" t="s">
        <v>4951</v>
      </c>
      <c r="H572" s="24" t="s">
        <v>5401</v>
      </c>
      <c r="I572" s="23" t="s">
        <v>91</v>
      </c>
      <c r="J572" s="24" t="s">
        <v>5402</v>
      </c>
      <c r="K572" s="24" t="s">
        <v>5403</v>
      </c>
      <c r="L572" s="24" t="s">
        <v>5404</v>
      </c>
      <c r="M572" s="24" t="s">
        <v>5405</v>
      </c>
      <c r="N572" s="24" t="s">
        <v>5406</v>
      </c>
      <c r="O572" s="24" t="s">
        <v>5407</v>
      </c>
      <c r="P572" s="28"/>
      <c r="Q572" s="28" t="str">
        <f aca="false">"["&amp;안내!$C$5&amp;" "&amp;C572&amp;"] "&amp;J572&amp;" | "&amp;H572</f>
        <v>[1분 성경 #0571] 닭이 울기 전에 | 마 26:57-75</v>
      </c>
      <c r="R572" s="29" t="n">
        <f aca="false">INT((A572-1)/안내!$C$9)+1</f>
        <v>115</v>
      </c>
      <c r="S572" s="26" t="n">
        <f aca="false">안내!$C$10+(R572-1)*7+MOD(A572-1,안내!$C$9)</f>
        <v>47189</v>
      </c>
      <c r="T572" s="23" t="s">
        <v>99</v>
      </c>
      <c r="U572" s="23" t="s">
        <v>99</v>
      </c>
      <c r="V572" s="23" t="s">
        <v>99</v>
      </c>
      <c r="W572" s="23" t="s">
        <v>99</v>
      </c>
      <c r="X572" s="28"/>
      <c r="Y572" s="28" t="str">
        <f aca="false">"다음 편: "&amp;J573</f>
        <v>다음 편: 빌라도의 재판</v>
      </c>
    </row>
    <row r="573" customFormat="false" ht="26.85" hidden="false" customHeight="false" outlineLevel="0" collapsed="false">
      <c r="A573" s="29" t="n">
        <v>572</v>
      </c>
      <c r="B573" s="29" t="s">
        <v>5408</v>
      </c>
      <c r="C573" s="29" t="s">
        <v>5409</v>
      </c>
      <c r="D573" s="29" t="s">
        <v>5372</v>
      </c>
      <c r="E573" s="24" t="s">
        <v>5373</v>
      </c>
      <c r="F573" s="23" t="s">
        <v>4950</v>
      </c>
      <c r="G573" s="23" t="s">
        <v>4951</v>
      </c>
      <c r="H573" s="24" t="s">
        <v>5410</v>
      </c>
      <c r="I573" s="23" t="s">
        <v>91</v>
      </c>
      <c r="J573" s="24" t="s">
        <v>5411</v>
      </c>
      <c r="K573" s="24" t="s">
        <v>5412</v>
      </c>
      <c r="L573" s="24" t="s">
        <v>5413</v>
      </c>
      <c r="M573" s="24" t="s">
        <v>5414</v>
      </c>
      <c r="N573" s="24" t="s">
        <v>5415</v>
      </c>
      <c r="O573" s="24" t="s">
        <v>5416</v>
      </c>
      <c r="P573" s="25" t="s">
        <v>5417</v>
      </c>
      <c r="Q573" s="28" t="str">
        <f aca="false">"["&amp;안내!$C$5&amp;" "&amp;C573&amp;"] "&amp;J573&amp;" | "&amp;H573</f>
        <v>[1분 성경 #0572] 빌라도의 재판 | 마 27:1-26</v>
      </c>
      <c r="R573" s="29" t="n">
        <f aca="false">INT((A573-1)/안내!$C$9)+1</f>
        <v>115</v>
      </c>
      <c r="S573" s="26" t="n">
        <f aca="false">안내!$C$10+(R573-1)*7+MOD(A573-1,안내!$C$9)</f>
        <v>47190</v>
      </c>
      <c r="T573" s="23" t="s">
        <v>99</v>
      </c>
      <c r="U573" s="23" t="s">
        <v>99</v>
      </c>
      <c r="V573" s="23" t="s">
        <v>99</v>
      </c>
      <c r="W573" s="23" t="s">
        <v>99</v>
      </c>
      <c r="X573" s="28"/>
      <c r="Y573" s="28" t="str">
        <f aca="false">"다음 편: "&amp;J574</f>
        <v>다음 편: 십자가</v>
      </c>
    </row>
    <row r="574" customFormat="false" ht="26.85" hidden="false" customHeight="false" outlineLevel="0" collapsed="false">
      <c r="A574" s="29" t="n">
        <v>573</v>
      </c>
      <c r="B574" s="29" t="s">
        <v>5418</v>
      </c>
      <c r="C574" s="29" t="s">
        <v>5419</v>
      </c>
      <c r="D574" s="29" t="s">
        <v>5372</v>
      </c>
      <c r="E574" s="24" t="s">
        <v>5373</v>
      </c>
      <c r="F574" s="23" t="s">
        <v>4950</v>
      </c>
      <c r="G574" s="23" t="s">
        <v>4951</v>
      </c>
      <c r="H574" s="24" t="s">
        <v>5420</v>
      </c>
      <c r="I574" s="23" t="s">
        <v>91</v>
      </c>
      <c r="J574" s="24" t="s">
        <v>5421</v>
      </c>
      <c r="K574" s="24" t="s">
        <v>5422</v>
      </c>
      <c r="L574" s="24" t="s">
        <v>5423</v>
      </c>
      <c r="M574" s="24" t="s">
        <v>5424</v>
      </c>
      <c r="N574" s="24" t="s">
        <v>5425</v>
      </c>
      <c r="O574" s="24" t="s">
        <v>5426</v>
      </c>
      <c r="P574" s="25" t="s">
        <v>5427</v>
      </c>
      <c r="Q574" s="28" t="str">
        <f aca="false">"["&amp;안내!$C$5&amp;" "&amp;C574&amp;"] "&amp;J574&amp;" | "&amp;H574</f>
        <v>[1분 성경 #0573] 십자가 | 마 27:27-56</v>
      </c>
      <c r="R574" s="29" t="n">
        <f aca="false">INT((A574-1)/안내!$C$9)+1</f>
        <v>115</v>
      </c>
      <c r="S574" s="26" t="n">
        <f aca="false">안내!$C$10+(R574-1)*7+MOD(A574-1,안내!$C$9)</f>
        <v>47191</v>
      </c>
      <c r="T574" s="23" t="s">
        <v>99</v>
      </c>
      <c r="U574" s="23" t="s">
        <v>99</v>
      </c>
      <c r="V574" s="23" t="s">
        <v>99</v>
      </c>
      <c r="W574" s="23" t="s">
        <v>99</v>
      </c>
      <c r="X574" s="28"/>
      <c r="Y574" s="28" t="str">
        <f aca="false">"다음 편: "&amp;J575</f>
        <v>다음 편: 무덤과 경비병</v>
      </c>
    </row>
    <row r="575" customFormat="false" ht="26.85" hidden="false" customHeight="false" outlineLevel="0" collapsed="false">
      <c r="A575" s="29" t="n">
        <v>574</v>
      </c>
      <c r="B575" s="29" t="s">
        <v>5428</v>
      </c>
      <c r="C575" s="29" t="s">
        <v>5429</v>
      </c>
      <c r="D575" s="29" t="s">
        <v>5372</v>
      </c>
      <c r="E575" s="24" t="s">
        <v>5373</v>
      </c>
      <c r="F575" s="23" t="s">
        <v>4950</v>
      </c>
      <c r="G575" s="23" t="s">
        <v>4951</v>
      </c>
      <c r="H575" s="24" t="s">
        <v>5430</v>
      </c>
      <c r="I575" s="23" t="s">
        <v>91</v>
      </c>
      <c r="J575" s="24" t="s">
        <v>5431</v>
      </c>
      <c r="K575" s="24" t="s">
        <v>5432</v>
      </c>
      <c r="L575" s="24" t="s">
        <v>5433</v>
      </c>
      <c r="M575" s="24" t="s">
        <v>5434</v>
      </c>
      <c r="N575" s="24" t="s">
        <v>5435</v>
      </c>
      <c r="O575" s="24" t="s">
        <v>5436</v>
      </c>
      <c r="P575" s="28"/>
      <c r="Q575" s="28" t="str">
        <f aca="false">"["&amp;안내!$C$5&amp;" "&amp;C575&amp;"] "&amp;J575&amp;" | "&amp;H575</f>
        <v>[1분 성경 #0574] 무덤과 경비병 | 마 27:57-66</v>
      </c>
      <c r="R575" s="29" t="n">
        <f aca="false">INT((A575-1)/안내!$C$9)+1</f>
        <v>115</v>
      </c>
      <c r="S575" s="26" t="n">
        <f aca="false">안내!$C$10+(R575-1)*7+MOD(A575-1,안내!$C$9)</f>
        <v>47192</v>
      </c>
      <c r="T575" s="23" t="s">
        <v>99</v>
      </c>
      <c r="U575" s="23" t="s">
        <v>99</v>
      </c>
      <c r="V575" s="23" t="s">
        <v>99</v>
      </c>
      <c r="W575" s="23" t="s">
        <v>99</v>
      </c>
      <c r="X575" s="28"/>
      <c r="Y575" s="28" t="str">
        <f aca="false">"다음 편: "&amp;J576</f>
        <v>다음 편: 부활</v>
      </c>
    </row>
    <row r="576" customFormat="false" ht="26.85" hidden="false" customHeight="false" outlineLevel="0" collapsed="false">
      <c r="A576" s="29" t="n">
        <v>575</v>
      </c>
      <c r="B576" s="29" t="s">
        <v>5437</v>
      </c>
      <c r="C576" s="29" t="s">
        <v>5438</v>
      </c>
      <c r="D576" s="29" t="s">
        <v>5372</v>
      </c>
      <c r="E576" s="24" t="s">
        <v>5373</v>
      </c>
      <c r="F576" s="23" t="s">
        <v>4950</v>
      </c>
      <c r="G576" s="23" t="s">
        <v>4951</v>
      </c>
      <c r="H576" s="24" t="s">
        <v>5439</v>
      </c>
      <c r="I576" s="23" t="s">
        <v>91</v>
      </c>
      <c r="J576" s="24" t="s">
        <v>5440</v>
      </c>
      <c r="K576" s="24" t="s">
        <v>5441</v>
      </c>
      <c r="L576" s="24" t="s">
        <v>5442</v>
      </c>
      <c r="M576" s="24" t="s">
        <v>5443</v>
      </c>
      <c r="N576" s="24" t="s">
        <v>5444</v>
      </c>
      <c r="O576" s="24" t="s">
        <v>5445</v>
      </c>
      <c r="P576" s="28"/>
      <c r="Q576" s="28" t="str">
        <f aca="false">"["&amp;안내!$C$5&amp;" "&amp;C576&amp;"] "&amp;J576&amp;" | "&amp;H576</f>
        <v>[1분 성경 #0575] 부활 | 마 28:1-15</v>
      </c>
      <c r="R576" s="29" t="n">
        <f aca="false">INT((A576-1)/안내!$C$9)+1</f>
        <v>115</v>
      </c>
      <c r="S576" s="26" t="n">
        <f aca="false">안내!$C$10+(R576-1)*7+MOD(A576-1,안내!$C$9)</f>
        <v>47193</v>
      </c>
      <c r="T576" s="23" t="s">
        <v>99</v>
      </c>
      <c r="U576" s="23" t="s">
        <v>99</v>
      </c>
      <c r="V576" s="23" t="s">
        <v>99</v>
      </c>
      <c r="W576" s="23" t="s">
        <v>99</v>
      </c>
      <c r="X576" s="28"/>
      <c r="Y576" s="28" t="str">
        <f aca="false">"다음 편: "&amp;J577</f>
        <v>다음 편: 가서 제자로 삼으라</v>
      </c>
    </row>
    <row r="577" customFormat="false" ht="26.85" hidden="false" customHeight="false" outlineLevel="0" collapsed="false">
      <c r="A577" s="29" t="n">
        <v>576</v>
      </c>
      <c r="B577" s="29" t="s">
        <v>5446</v>
      </c>
      <c r="C577" s="29" t="s">
        <v>5447</v>
      </c>
      <c r="D577" s="29" t="s">
        <v>5372</v>
      </c>
      <c r="E577" s="24" t="s">
        <v>5373</v>
      </c>
      <c r="F577" s="23" t="s">
        <v>4950</v>
      </c>
      <c r="G577" s="23" t="s">
        <v>4951</v>
      </c>
      <c r="H577" s="24" t="s">
        <v>5448</v>
      </c>
      <c r="I577" s="23" t="s">
        <v>91</v>
      </c>
      <c r="J577" s="24" t="s">
        <v>5449</v>
      </c>
      <c r="K577" s="24" t="s">
        <v>5450</v>
      </c>
      <c r="L577" s="24" t="s">
        <v>5451</v>
      </c>
      <c r="M577" s="24" t="s">
        <v>5452</v>
      </c>
      <c r="N577" s="24" t="s">
        <v>5453</v>
      </c>
      <c r="O577" s="24" t="s">
        <v>5233</v>
      </c>
      <c r="P577" s="28"/>
      <c r="Q577" s="28" t="str">
        <f aca="false">"["&amp;안내!$C$5&amp;" "&amp;C577&amp;"] "&amp;J577&amp;" | "&amp;H577</f>
        <v>[1분 성경 #0576] 가서 제자로 삼으라 | 마 28:16-20</v>
      </c>
      <c r="R577" s="29" t="n">
        <f aca="false">INT((A577-1)/안내!$C$9)+1</f>
        <v>116</v>
      </c>
      <c r="S577" s="26" t="n">
        <f aca="false">안내!$C$10+(R577-1)*7+MOD(A577-1,안내!$C$9)</f>
        <v>47196</v>
      </c>
      <c r="T577" s="23" t="s">
        <v>99</v>
      </c>
      <c r="U577" s="23" t="s">
        <v>99</v>
      </c>
      <c r="V577" s="23" t="s">
        <v>99</v>
      </c>
      <c r="W577" s="23" t="s">
        <v>99</v>
      </c>
      <c r="X577" s="28"/>
      <c r="Y577" s="28" t="str">
        <f aca="false">"다음 편: "&amp;J578</f>
        <v>다음 편: 복음의 시작</v>
      </c>
    </row>
    <row r="578" customFormat="false" ht="26.85" hidden="false" customHeight="false" outlineLevel="0" collapsed="false">
      <c r="A578" s="29" t="n">
        <v>577</v>
      </c>
      <c r="B578" s="29" t="s">
        <v>5454</v>
      </c>
      <c r="C578" s="29" t="s">
        <v>5455</v>
      </c>
      <c r="D578" s="29" t="s">
        <v>5456</v>
      </c>
      <c r="E578" s="24" t="s">
        <v>5457</v>
      </c>
      <c r="F578" s="23" t="s">
        <v>4950</v>
      </c>
      <c r="G578" s="23" t="s">
        <v>5458</v>
      </c>
      <c r="H578" s="24" t="s">
        <v>5459</v>
      </c>
      <c r="I578" s="23" t="s">
        <v>91</v>
      </c>
      <c r="J578" s="24" t="s">
        <v>5460</v>
      </c>
      <c r="K578" s="24" t="s">
        <v>5461</v>
      </c>
      <c r="L578" s="24" t="s">
        <v>5462</v>
      </c>
      <c r="M578" s="24" t="s">
        <v>5463</v>
      </c>
      <c r="N578" s="24" t="s">
        <v>5464</v>
      </c>
      <c r="O578" s="24" t="s">
        <v>5465</v>
      </c>
      <c r="P578" s="28"/>
      <c r="Q578" s="28" t="str">
        <f aca="false">"["&amp;안내!$C$5&amp;" "&amp;C578&amp;"] "&amp;J578&amp;" | "&amp;H578</f>
        <v>[1분 성경 #0577] 복음의 시작 | 막 1:1-15</v>
      </c>
      <c r="R578" s="29" t="n">
        <f aca="false">INT((A578-1)/안내!$C$9)+1</f>
        <v>116</v>
      </c>
      <c r="S578" s="26" t="n">
        <f aca="false">안내!$C$10+(R578-1)*7+MOD(A578-1,안내!$C$9)</f>
        <v>47197</v>
      </c>
      <c r="T578" s="23" t="s">
        <v>99</v>
      </c>
      <c r="U578" s="23" t="s">
        <v>99</v>
      </c>
      <c r="V578" s="23" t="s">
        <v>99</v>
      </c>
      <c r="W578" s="23" t="s">
        <v>99</v>
      </c>
      <c r="X578" s="28"/>
      <c r="Y578" s="28" t="str">
        <f aca="false">"다음 편: "&amp;J579</f>
        <v>다음 편: 가버나움의 하루</v>
      </c>
    </row>
    <row r="579" customFormat="false" ht="26.85" hidden="false" customHeight="false" outlineLevel="0" collapsed="false">
      <c r="A579" s="29" t="n">
        <v>578</v>
      </c>
      <c r="B579" s="29" t="s">
        <v>5466</v>
      </c>
      <c r="C579" s="29" t="s">
        <v>5467</v>
      </c>
      <c r="D579" s="29" t="s">
        <v>5456</v>
      </c>
      <c r="E579" s="24" t="s">
        <v>5457</v>
      </c>
      <c r="F579" s="23" t="s">
        <v>4950</v>
      </c>
      <c r="G579" s="23" t="s">
        <v>5458</v>
      </c>
      <c r="H579" s="24" t="s">
        <v>5468</v>
      </c>
      <c r="I579" s="23" t="s">
        <v>91</v>
      </c>
      <c r="J579" s="24" t="s">
        <v>5469</v>
      </c>
      <c r="K579" s="24" t="s">
        <v>5470</v>
      </c>
      <c r="L579" s="24" t="s">
        <v>5471</v>
      </c>
      <c r="M579" s="24" t="s">
        <v>5472</v>
      </c>
      <c r="N579" s="24" t="s">
        <v>5473</v>
      </c>
      <c r="O579" s="24" t="s">
        <v>5474</v>
      </c>
      <c r="P579" s="28"/>
      <c r="Q579" s="28" t="str">
        <f aca="false">"["&amp;안내!$C$5&amp;" "&amp;C579&amp;"] "&amp;J579&amp;" | "&amp;H579</f>
        <v>[1분 성경 #0578] 가버나움의 하루 | 막 1:21-45</v>
      </c>
      <c r="R579" s="29" t="n">
        <f aca="false">INT((A579-1)/안내!$C$9)+1</f>
        <v>116</v>
      </c>
      <c r="S579" s="26" t="n">
        <f aca="false">안내!$C$10+(R579-1)*7+MOD(A579-1,안내!$C$9)</f>
        <v>47198</v>
      </c>
      <c r="T579" s="23" t="s">
        <v>99</v>
      </c>
      <c r="U579" s="23" t="s">
        <v>99</v>
      </c>
      <c r="V579" s="23" t="s">
        <v>99</v>
      </c>
      <c r="W579" s="23" t="s">
        <v>99</v>
      </c>
      <c r="X579" s="28"/>
      <c r="Y579" s="28" t="str">
        <f aca="false">"다음 편: "&amp;J580</f>
        <v>다음 편: 지붕을 뚫은 친구들</v>
      </c>
    </row>
    <row r="580" customFormat="false" ht="26.85" hidden="false" customHeight="false" outlineLevel="0" collapsed="false">
      <c r="A580" s="29" t="n">
        <v>579</v>
      </c>
      <c r="B580" s="29" t="s">
        <v>5475</v>
      </c>
      <c r="C580" s="29" t="s">
        <v>5476</v>
      </c>
      <c r="D580" s="29" t="s">
        <v>5456</v>
      </c>
      <c r="E580" s="24" t="s">
        <v>5457</v>
      </c>
      <c r="F580" s="23" t="s">
        <v>4950</v>
      </c>
      <c r="G580" s="23" t="s">
        <v>5458</v>
      </c>
      <c r="H580" s="24" t="s">
        <v>5477</v>
      </c>
      <c r="I580" s="23" t="s">
        <v>91</v>
      </c>
      <c r="J580" s="24" t="s">
        <v>5478</v>
      </c>
      <c r="K580" s="24" t="s">
        <v>5479</v>
      </c>
      <c r="L580" s="24" t="s">
        <v>5480</v>
      </c>
      <c r="M580" s="24" t="s">
        <v>5481</v>
      </c>
      <c r="N580" s="24" t="s">
        <v>5482</v>
      </c>
      <c r="O580" s="24" t="s">
        <v>5483</v>
      </c>
      <c r="P580" s="28"/>
      <c r="Q580" s="28" t="str">
        <f aca="false">"["&amp;안내!$C$5&amp;" "&amp;C580&amp;"] "&amp;J580&amp;" | "&amp;H580</f>
        <v>[1분 성경 #0579] 지붕을 뚫은 친구들 | 막 2:1-12</v>
      </c>
      <c r="R580" s="29" t="n">
        <f aca="false">INT((A580-1)/안내!$C$9)+1</f>
        <v>116</v>
      </c>
      <c r="S580" s="26" t="n">
        <f aca="false">안내!$C$10+(R580-1)*7+MOD(A580-1,안내!$C$9)</f>
        <v>47199</v>
      </c>
      <c r="T580" s="23" t="s">
        <v>99</v>
      </c>
      <c r="U580" s="23" t="s">
        <v>99</v>
      </c>
      <c r="V580" s="23" t="s">
        <v>99</v>
      </c>
      <c r="W580" s="23" t="s">
        <v>99</v>
      </c>
      <c r="X580" s="28"/>
      <c r="Y580" s="28" t="str">
        <f aca="false">"다음 편: "&amp;J581</f>
        <v>다음 편: 돌아가서 전하라</v>
      </c>
    </row>
    <row r="581" customFormat="false" ht="26.85" hidden="false" customHeight="false" outlineLevel="0" collapsed="false">
      <c r="A581" s="29" t="n">
        <v>580</v>
      </c>
      <c r="B581" s="29" t="s">
        <v>5484</v>
      </c>
      <c r="C581" s="29" t="s">
        <v>5485</v>
      </c>
      <c r="D581" s="29" t="s">
        <v>5456</v>
      </c>
      <c r="E581" s="24" t="s">
        <v>5457</v>
      </c>
      <c r="F581" s="23" t="s">
        <v>4950</v>
      </c>
      <c r="G581" s="23" t="s">
        <v>5458</v>
      </c>
      <c r="H581" s="24" t="s">
        <v>5486</v>
      </c>
      <c r="I581" s="23" t="s">
        <v>91</v>
      </c>
      <c r="J581" s="24" t="s">
        <v>5487</v>
      </c>
      <c r="K581" s="24" t="s">
        <v>5488</v>
      </c>
      <c r="L581" s="24" t="s">
        <v>5489</v>
      </c>
      <c r="M581" s="24" t="s">
        <v>5490</v>
      </c>
      <c r="N581" s="24" t="s">
        <v>5491</v>
      </c>
      <c r="O581" s="24" t="s">
        <v>5492</v>
      </c>
      <c r="P581" s="25" t="s">
        <v>5121</v>
      </c>
      <c r="Q581" s="28" t="str">
        <f aca="false">"["&amp;안내!$C$5&amp;" "&amp;C581&amp;"] "&amp;J581&amp;" | "&amp;H581</f>
        <v>[1분 성경 #0580] 돌아가서 전하라 | 막 4:35-5:20</v>
      </c>
      <c r="R581" s="29" t="n">
        <f aca="false">INT((A581-1)/안내!$C$9)+1</f>
        <v>116</v>
      </c>
      <c r="S581" s="26" t="n">
        <f aca="false">안내!$C$10+(R581-1)*7+MOD(A581-1,안내!$C$9)</f>
        <v>47200</v>
      </c>
      <c r="T581" s="23" t="s">
        <v>99</v>
      </c>
      <c r="U581" s="23" t="s">
        <v>99</v>
      </c>
      <c r="V581" s="23" t="s">
        <v>99</v>
      </c>
      <c r="W581" s="23" t="s">
        <v>99</v>
      </c>
      <c r="X581" s="28"/>
      <c r="Y581" s="28" t="str">
        <f aca="false">"다음 편: "&amp;J582</f>
        <v>다음 편: 달리다굼</v>
      </c>
    </row>
    <row r="582" customFormat="false" ht="26.85" hidden="false" customHeight="false" outlineLevel="0" collapsed="false">
      <c r="A582" s="29" t="n">
        <v>581</v>
      </c>
      <c r="B582" s="29" t="s">
        <v>5493</v>
      </c>
      <c r="C582" s="29" t="s">
        <v>5494</v>
      </c>
      <c r="D582" s="29" t="s">
        <v>5456</v>
      </c>
      <c r="E582" s="24" t="s">
        <v>5457</v>
      </c>
      <c r="F582" s="23" t="s">
        <v>4950</v>
      </c>
      <c r="G582" s="23" t="s">
        <v>5458</v>
      </c>
      <c r="H582" s="24" t="s">
        <v>5495</v>
      </c>
      <c r="I582" s="23" t="s">
        <v>91</v>
      </c>
      <c r="J582" s="24" t="s">
        <v>5496</v>
      </c>
      <c r="K582" s="24" t="s">
        <v>5497</v>
      </c>
      <c r="L582" s="24" t="s">
        <v>5498</v>
      </c>
      <c r="M582" s="24" t="s">
        <v>5499</v>
      </c>
      <c r="N582" s="24" t="s">
        <v>5500</v>
      </c>
      <c r="O582" s="24" t="s">
        <v>5501</v>
      </c>
      <c r="P582" s="28"/>
      <c r="Q582" s="28" t="str">
        <f aca="false">"["&amp;안내!$C$5&amp;" "&amp;C582&amp;"] "&amp;J582&amp;" | "&amp;H582</f>
        <v>[1분 성경 #0581] 달리다굼 | 막 5:21-43</v>
      </c>
      <c r="R582" s="29" t="n">
        <f aca="false">INT((A582-1)/안내!$C$9)+1</f>
        <v>117</v>
      </c>
      <c r="S582" s="26" t="n">
        <f aca="false">안내!$C$10+(R582-1)*7+MOD(A582-1,안내!$C$9)</f>
        <v>47203</v>
      </c>
      <c r="T582" s="23" t="s">
        <v>99</v>
      </c>
      <c r="U582" s="23" t="s">
        <v>99</v>
      </c>
      <c r="V582" s="23" t="s">
        <v>99</v>
      </c>
      <c r="W582" s="23" t="s">
        <v>99</v>
      </c>
      <c r="X582" s="28"/>
      <c r="Y582" s="28" t="str">
        <f aca="false">"다음 편: "&amp;J583</f>
        <v>다음 편: 에바다</v>
      </c>
    </row>
    <row r="583" customFormat="false" ht="26.85" hidden="false" customHeight="false" outlineLevel="0" collapsed="false">
      <c r="A583" s="29" t="n">
        <v>582</v>
      </c>
      <c r="B583" s="29" t="s">
        <v>5502</v>
      </c>
      <c r="C583" s="29" t="s">
        <v>5503</v>
      </c>
      <c r="D583" s="29" t="s">
        <v>5456</v>
      </c>
      <c r="E583" s="24" t="s">
        <v>5457</v>
      </c>
      <c r="F583" s="23" t="s">
        <v>4950</v>
      </c>
      <c r="G583" s="23" t="s">
        <v>5458</v>
      </c>
      <c r="H583" s="24" t="s">
        <v>5504</v>
      </c>
      <c r="I583" s="23" t="s">
        <v>91</v>
      </c>
      <c r="J583" s="24" t="s">
        <v>5505</v>
      </c>
      <c r="K583" s="24" t="s">
        <v>5506</v>
      </c>
      <c r="L583" s="24" t="s">
        <v>5507</v>
      </c>
      <c r="M583" s="24" t="s">
        <v>5508</v>
      </c>
      <c r="N583" s="24" t="s">
        <v>5509</v>
      </c>
      <c r="O583" s="24" t="s">
        <v>5510</v>
      </c>
      <c r="P583" s="28"/>
      <c r="Q583" s="28" t="str">
        <f aca="false">"["&amp;안내!$C$5&amp;" "&amp;C583&amp;"] "&amp;J583&amp;" | "&amp;H583</f>
        <v>[1분 성경 #0582] 에바다 | 막 7:24-37</v>
      </c>
      <c r="R583" s="29" t="n">
        <f aca="false">INT((A583-1)/안내!$C$9)+1</f>
        <v>117</v>
      </c>
      <c r="S583" s="26" t="n">
        <f aca="false">안내!$C$10+(R583-1)*7+MOD(A583-1,안내!$C$9)</f>
        <v>47204</v>
      </c>
      <c r="T583" s="23" t="s">
        <v>99</v>
      </c>
      <c r="U583" s="23" t="s">
        <v>99</v>
      </c>
      <c r="V583" s="23" t="s">
        <v>99</v>
      </c>
      <c r="W583" s="23" t="s">
        <v>99</v>
      </c>
      <c r="X583" s="28"/>
      <c r="Y583" s="28" t="str">
        <f aca="false">"다음 편: "&amp;J584</f>
        <v>다음 편: 두 번 만져 주신 맹인</v>
      </c>
    </row>
    <row r="584" customFormat="false" ht="26.85" hidden="false" customHeight="false" outlineLevel="0" collapsed="false">
      <c r="A584" s="29" t="n">
        <v>583</v>
      </c>
      <c r="B584" s="29" t="s">
        <v>5511</v>
      </c>
      <c r="C584" s="29" t="s">
        <v>5512</v>
      </c>
      <c r="D584" s="29" t="s">
        <v>5456</v>
      </c>
      <c r="E584" s="24" t="s">
        <v>5457</v>
      </c>
      <c r="F584" s="23" t="s">
        <v>4950</v>
      </c>
      <c r="G584" s="23" t="s">
        <v>5458</v>
      </c>
      <c r="H584" s="24" t="s">
        <v>5513</v>
      </c>
      <c r="I584" s="23" t="s">
        <v>91</v>
      </c>
      <c r="J584" s="24" t="s">
        <v>5514</v>
      </c>
      <c r="K584" s="24" t="s">
        <v>5515</v>
      </c>
      <c r="L584" s="24" t="s">
        <v>5516</v>
      </c>
      <c r="M584" s="24" t="s">
        <v>5517</v>
      </c>
      <c r="N584" s="24" t="s">
        <v>5518</v>
      </c>
      <c r="O584" s="24" t="s">
        <v>5519</v>
      </c>
      <c r="P584" s="28"/>
      <c r="Q584" s="28" t="str">
        <f aca="false">"["&amp;안내!$C$5&amp;" "&amp;C584&amp;"] "&amp;J584&amp;" | "&amp;H584</f>
        <v>[1분 성경 #0583] 두 번 만져 주신 맹인 | 막 8:22-26</v>
      </c>
      <c r="R584" s="29" t="n">
        <f aca="false">INT((A584-1)/안내!$C$9)+1</f>
        <v>117</v>
      </c>
      <c r="S584" s="26" t="n">
        <f aca="false">안내!$C$10+(R584-1)*7+MOD(A584-1,안내!$C$9)</f>
        <v>47205</v>
      </c>
      <c r="T584" s="23" t="s">
        <v>99</v>
      </c>
      <c r="U584" s="23" t="s">
        <v>99</v>
      </c>
      <c r="V584" s="23" t="s">
        <v>99</v>
      </c>
      <c r="W584" s="23" t="s">
        <v>99</v>
      </c>
      <c r="X584" s="28"/>
      <c r="Y584" s="28" t="str">
        <f aca="false">"다음 편: "&amp;J585</f>
        <v>다음 편: 믿음 없는 나를 도와주소서</v>
      </c>
    </row>
    <row r="585" customFormat="false" ht="26.85" hidden="false" customHeight="false" outlineLevel="0" collapsed="false">
      <c r="A585" s="29" t="n">
        <v>584</v>
      </c>
      <c r="B585" s="29" t="s">
        <v>5520</v>
      </c>
      <c r="C585" s="29" t="s">
        <v>5521</v>
      </c>
      <c r="D585" s="29" t="s">
        <v>5456</v>
      </c>
      <c r="E585" s="24" t="s">
        <v>5457</v>
      </c>
      <c r="F585" s="23" t="s">
        <v>4950</v>
      </c>
      <c r="G585" s="23" t="s">
        <v>5458</v>
      </c>
      <c r="H585" s="24" t="s">
        <v>5522</v>
      </c>
      <c r="I585" s="23" t="s">
        <v>91</v>
      </c>
      <c r="J585" s="24" t="s">
        <v>5523</v>
      </c>
      <c r="K585" s="24" t="s">
        <v>5524</v>
      </c>
      <c r="L585" s="24" t="s">
        <v>5525</v>
      </c>
      <c r="M585" s="24" t="s">
        <v>5526</v>
      </c>
      <c r="N585" s="24" t="s">
        <v>5527</v>
      </c>
      <c r="O585" s="24" t="s">
        <v>5528</v>
      </c>
      <c r="P585" s="28"/>
      <c r="Q585" s="28" t="str">
        <f aca="false">"["&amp;안내!$C$5&amp;" "&amp;C585&amp;"] "&amp;J585&amp;" | "&amp;H585</f>
        <v>[1분 성경 #0584] 믿음 없는 나를 도와주소서 | 막 9:14-29</v>
      </c>
      <c r="R585" s="29" t="n">
        <f aca="false">INT((A585-1)/안내!$C$9)+1</f>
        <v>117</v>
      </c>
      <c r="S585" s="26" t="n">
        <f aca="false">안내!$C$10+(R585-1)*7+MOD(A585-1,안내!$C$9)</f>
        <v>47206</v>
      </c>
      <c r="T585" s="23" t="s">
        <v>99</v>
      </c>
      <c r="U585" s="23" t="s">
        <v>99</v>
      </c>
      <c r="V585" s="23" t="s">
        <v>99</v>
      </c>
      <c r="W585" s="23" t="s">
        <v>99</v>
      </c>
      <c r="X585" s="28"/>
      <c r="Y585" s="28" t="str">
        <f aca="false">"다음 편: "&amp;J586</f>
        <v>다음 편: 어린아이를 안으시다</v>
      </c>
    </row>
    <row r="586" customFormat="false" ht="26.85" hidden="false" customHeight="false" outlineLevel="0" collapsed="false">
      <c r="A586" s="29" t="n">
        <v>585</v>
      </c>
      <c r="B586" s="29" t="s">
        <v>5529</v>
      </c>
      <c r="C586" s="29" t="s">
        <v>5530</v>
      </c>
      <c r="D586" s="29" t="s">
        <v>5456</v>
      </c>
      <c r="E586" s="24" t="s">
        <v>5457</v>
      </c>
      <c r="F586" s="23" t="s">
        <v>4950</v>
      </c>
      <c r="G586" s="23" t="s">
        <v>5458</v>
      </c>
      <c r="H586" s="24" t="s">
        <v>5531</v>
      </c>
      <c r="I586" s="23" t="s">
        <v>91</v>
      </c>
      <c r="J586" s="24" t="s">
        <v>5532</v>
      </c>
      <c r="K586" s="24" t="s">
        <v>5533</v>
      </c>
      <c r="L586" s="24" t="s">
        <v>5534</v>
      </c>
      <c r="M586" s="24" t="s">
        <v>5535</v>
      </c>
      <c r="N586" s="24" t="s">
        <v>5536</v>
      </c>
      <c r="O586" s="24" t="s">
        <v>5537</v>
      </c>
      <c r="P586" s="25" t="s">
        <v>5538</v>
      </c>
      <c r="Q586" s="28" t="str">
        <f aca="false">"["&amp;안내!$C$5&amp;" "&amp;C586&amp;"] "&amp;J586&amp;" | "&amp;H586</f>
        <v>[1분 성경 #0585] 어린아이를 안으시다 | 막 10:13-16</v>
      </c>
      <c r="R586" s="29" t="n">
        <f aca="false">INT((A586-1)/안내!$C$9)+1</f>
        <v>117</v>
      </c>
      <c r="S586" s="26" t="n">
        <f aca="false">안내!$C$10+(R586-1)*7+MOD(A586-1,안내!$C$9)</f>
        <v>47207</v>
      </c>
      <c r="T586" s="23" t="s">
        <v>99</v>
      </c>
      <c r="U586" s="23" t="s">
        <v>99</v>
      </c>
      <c r="V586" s="23" t="s">
        <v>99</v>
      </c>
      <c r="W586" s="23" t="s">
        <v>99</v>
      </c>
      <c r="X586" s="28"/>
      <c r="Y586" s="28" t="str">
        <f aca="false">"다음 편: "&amp;J587</f>
        <v>다음 편: 바디매오</v>
      </c>
    </row>
    <row r="587" customFormat="false" ht="15" hidden="false" customHeight="false" outlineLevel="0" collapsed="false">
      <c r="A587" s="29" t="n">
        <v>586</v>
      </c>
      <c r="B587" s="29" t="s">
        <v>5539</v>
      </c>
      <c r="C587" s="29" t="s">
        <v>5540</v>
      </c>
      <c r="D587" s="29" t="s">
        <v>5456</v>
      </c>
      <c r="E587" s="24" t="s">
        <v>5457</v>
      </c>
      <c r="F587" s="23" t="s">
        <v>4950</v>
      </c>
      <c r="G587" s="23" t="s">
        <v>5458</v>
      </c>
      <c r="H587" s="24" t="s">
        <v>5541</v>
      </c>
      <c r="I587" s="23" t="s">
        <v>91</v>
      </c>
      <c r="J587" s="24" t="s">
        <v>5542</v>
      </c>
      <c r="K587" s="24" t="s">
        <v>5543</v>
      </c>
      <c r="L587" s="24" t="s">
        <v>5544</v>
      </c>
      <c r="M587" s="24" t="s">
        <v>5545</v>
      </c>
      <c r="N587" s="24" t="s">
        <v>5546</v>
      </c>
      <c r="O587" s="24" t="s">
        <v>5547</v>
      </c>
      <c r="P587" s="28"/>
      <c r="Q587" s="28" t="str">
        <f aca="false">"["&amp;안내!$C$5&amp;" "&amp;C587&amp;"] "&amp;J587&amp;" | "&amp;H587</f>
        <v>[1분 성경 #0586] 바디매오 | 막 10:46-52</v>
      </c>
      <c r="R587" s="29" t="n">
        <f aca="false">INT((A587-1)/안내!$C$9)+1</f>
        <v>118</v>
      </c>
      <c r="S587" s="26" t="n">
        <f aca="false">안내!$C$10+(R587-1)*7+MOD(A587-1,안내!$C$9)</f>
        <v>47210</v>
      </c>
      <c r="T587" s="23" t="s">
        <v>99</v>
      </c>
      <c r="U587" s="23" t="s">
        <v>99</v>
      </c>
      <c r="V587" s="23" t="s">
        <v>99</v>
      </c>
      <c r="W587" s="23" t="s">
        <v>99</v>
      </c>
      <c r="X587" s="28"/>
      <c r="Y587" s="28" t="str">
        <f aca="false">"다음 편: "&amp;J588</f>
        <v>다음 편: 과부의 두 렙돈</v>
      </c>
    </row>
    <row r="588" customFormat="false" ht="15" hidden="false" customHeight="false" outlineLevel="0" collapsed="false">
      <c r="A588" s="29" t="n">
        <v>587</v>
      </c>
      <c r="B588" s="29" t="s">
        <v>5548</v>
      </c>
      <c r="C588" s="29" t="s">
        <v>5549</v>
      </c>
      <c r="D588" s="29" t="s">
        <v>5456</v>
      </c>
      <c r="E588" s="24" t="s">
        <v>5457</v>
      </c>
      <c r="F588" s="23" t="s">
        <v>4950</v>
      </c>
      <c r="G588" s="23" t="s">
        <v>5458</v>
      </c>
      <c r="H588" s="24" t="s">
        <v>5550</v>
      </c>
      <c r="I588" s="23" t="s">
        <v>91</v>
      </c>
      <c r="J588" s="24" t="s">
        <v>5551</v>
      </c>
      <c r="K588" s="24" t="s">
        <v>5552</v>
      </c>
      <c r="L588" s="24" t="s">
        <v>5553</v>
      </c>
      <c r="M588" s="24" t="s">
        <v>5554</v>
      </c>
      <c r="N588" s="24" t="s">
        <v>5555</v>
      </c>
      <c r="O588" s="24" t="s">
        <v>5556</v>
      </c>
      <c r="P588" s="25" t="s">
        <v>1210</v>
      </c>
      <c r="Q588" s="28" t="str">
        <f aca="false">"["&amp;안내!$C$5&amp;" "&amp;C588&amp;"] "&amp;J588&amp;" | "&amp;H588</f>
        <v>[1분 성경 #0587] 과부의 두 렙돈 | 막 12:41-44</v>
      </c>
      <c r="R588" s="29" t="n">
        <f aca="false">INT((A588-1)/안내!$C$9)+1</f>
        <v>118</v>
      </c>
      <c r="S588" s="26" t="n">
        <f aca="false">안내!$C$10+(R588-1)*7+MOD(A588-1,안내!$C$9)</f>
        <v>47211</v>
      </c>
      <c r="T588" s="23" t="s">
        <v>99</v>
      </c>
      <c r="U588" s="23" t="s">
        <v>99</v>
      </c>
      <c r="V588" s="23" t="s">
        <v>99</v>
      </c>
      <c r="W588" s="23" t="s">
        <v>99</v>
      </c>
      <c r="X588" s="28"/>
      <c r="Y588" s="28" t="str">
        <f aca="false">"다음 편: "&amp;J589</f>
        <v>다음 편: 온 천하에 다니며</v>
      </c>
    </row>
    <row r="589" customFormat="false" ht="26.85" hidden="false" customHeight="false" outlineLevel="0" collapsed="false">
      <c r="A589" s="29" t="n">
        <v>588</v>
      </c>
      <c r="B589" s="29" t="s">
        <v>5557</v>
      </c>
      <c r="C589" s="29" t="s">
        <v>5558</v>
      </c>
      <c r="D589" s="29" t="s">
        <v>5456</v>
      </c>
      <c r="E589" s="24" t="s">
        <v>5457</v>
      </c>
      <c r="F589" s="23" t="s">
        <v>4950</v>
      </c>
      <c r="G589" s="23" t="s">
        <v>5458</v>
      </c>
      <c r="H589" s="24" t="s">
        <v>5559</v>
      </c>
      <c r="I589" s="23" t="s">
        <v>91</v>
      </c>
      <c r="J589" s="24" t="s">
        <v>5560</v>
      </c>
      <c r="K589" s="24" t="s">
        <v>5561</v>
      </c>
      <c r="L589" s="24" t="s">
        <v>5562</v>
      </c>
      <c r="M589" s="24" t="s">
        <v>5563</v>
      </c>
      <c r="N589" s="24" t="s">
        <v>5564</v>
      </c>
      <c r="O589" s="24" t="s">
        <v>5565</v>
      </c>
      <c r="P589" s="27" t="s">
        <v>5566</v>
      </c>
      <c r="Q589" s="28" t="str">
        <f aca="false">"["&amp;안내!$C$5&amp;" "&amp;C589&amp;"] "&amp;J589&amp;" | "&amp;H589</f>
        <v>[1분 성경 #0588] 온 천하에 다니며 | 막 16:1-20</v>
      </c>
      <c r="R589" s="29" t="n">
        <f aca="false">INT((A589-1)/안내!$C$9)+1</f>
        <v>118</v>
      </c>
      <c r="S589" s="26" t="n">
        <f aca="false">안내!$C$10+(R589-1)*7+MOD(A589-1,안내!$C$9)</f>
        <v>47212</v>
      </c>
      <c r="T589" s="23" t="s">
        <v>99</v>
      </c>
      <c r="U589" s="23" t="s">
        <v>99</v>
      </c>
      <c r="V589" s="23" t="s">
        <v>99</v>
      </c>
      <c r="W589" s="23" t="s">
        <v>99</v>
      </c>
      <c r="X589" s="28"/>
      <c r="Y589" s="28" t="str">
        <f aca="false">"다음 편: "&amp;J590</f>
        <v>다음 편: 성전에 나타난 천사</v>
      </c>
    </row>
    <row r="590" customFormat="false" ht="15" hidden="false" customHeight="false" outlineLevel="0" collapsed="false">
      <c r="A590" s="29" t="n">
        <v>589</v>
      </c>
      <c r="B590" s="29" t="s">
        <v>5567</v>
      </c>
      <c r="C590" s="29" t="s">
        <v>5568</v>
      </c>
      <c r="D590" s="29" t="s">
        <v>5569</v>
      </c>
      <c r="E590" s="24" t="s">
        <v>5570</v>
      </c>
      <c r="F590" s="23" t="s">
        <v>4950</v>
      </c>
      <c r="G590" s="23" t="s">
        <v>5571</v>
      </c>
      <c r="H590" s="24" t="s">
        <v>5572</v>
      </c>
      <c r="I590" s="23" t="s">
        <v>91</v>
      </c>
      <c r="J590" s="24" t="s">
        <v>5573</v>
      </c>
      <c r="K590" s="24" t="s">
        <v>5574</v>
      </c>
      <c r="L590" s="24" t="s">
        <v>5575</v>
      </c>
      <c r="M590" s="24" t="s">
        <v>5576</v>
      </c>
      <c r="N590" s="24" t="s">
        <v>5577</v>
      </c>
      <c r="O590" s="24" t="s">
        <v>3099</v>
      </c>
      <c r="P590" s="25" t="s">
        <v>5578</v>
      </c>
      <c r="Q590" s="28" t="str">
        <f aca="false">"["&amp;안내!$C$5&amp;" "&amp;C590&amp;"] "&amp;J590&amp;" | "&amp;H590</f>
        <v>[1분 성경 #0589] 성전에 나타난 천사 | 눅 1:1-25</v>
      </c>
      <c r="R590" s="29" t="n">
        <f aca="false">INT((A590-1)/안내!$C$9)+1</f>
        <v>118</v>
      </c>
      <c r="S590" s="26" t="n">
        <f aca="false">안내!$C$10+(R590-1)*7+MOD(A590-1,안내!$C$9)</f>
        <v>47213</v>
      </c>
      <c r="T590" s="23" t="s">
        <v>99</v>
      </c>
      <c r="U590" s="23" t="s">
        <v>99</v>
      </c>
      <c r="V590" s="23" t="s">
        <v>99</v>
      </c>
      <c r="W590" s="23" t="s">
        <v>99</v>
      </c>
      <c r="X590" s="28"/>
      <c r="Y590" s="28" t="str">
        <f aca="false">"다음 편: "&amp;J591</f>
        <v>다음 편: 수태고지</v>
      </c>
    </row>
    <row r="591" customFormat="false" ht="26.85" hidden="false" customHeight="false" outlineLevel="0" collapsed="false">
      <c r="A591" s="29" t="n">
        <v>590</v>
      </c>
      <c r="B591" s="29" t="s">
        <v>5579</v>
      </c>
      <c r="C591" s="29" t="s">
        <v>5580</v>
      </c>
      <c r="D591" s="29" t="s">
        <v>5569</v>
      </c>
      <c r="E591" s="24" t="s">
        <v>5570</v>
      </c>
      <c r="F591" s="23" t="s">
        <v>4950</v>
      </c>
      <c r="G591" s="23" t="s">
        <v>5571</v>
      </c>
      <c r="H591" s="24" t="s">
        <v>5581</v>
      </c>
      <c r="I591" s="23" t="s">
        <v>91</v>
      </c>
      <c r="J591" s="24" t="s">
        <v>5582</v>
      </c>
      <c r="K591" s="24" t="s">
        <v>5583</v>
      </c>
      <c r="L591" s="24" t="s">
        <v>5584</v>
      </c>
      <c r="M591" s="24" t="s">
        <v>5585</v>
      </c>
      <c r="N591" s="24" t="s">
        <v>5586</v>
      </c>
      <c r="O591" s="24" t="s">
        <v>5587</v>
      </c>
      <c r="P591" s="25" t="s">
        <v>5588</v>
      </c>
      <c r="Q591" s="28" t="str">
        <f aca="false">"["&amp;안내!$C$5&amp;" "&amp;C591&amp;"] "&amp;J591&amp;" | "&amp;H591</f>
        <v>[1분 성경 #0590] 수태고지 | 눅 1:26-38</v>
      </c>
      <c r="R591" s="29" t="n">
        <f aca="false">INT((A591-1)/안내!$C$9)+1</f>
        <v>118</v>
      </c>
      <c r="S591" s="26" t="n">
        <f aca="false">안내!$C$10+(R591-1)*7+MOD(A591-1,안내!$C$9)</f>
        <v>47214</v>
      </c>
      <c r="T591" s="23" t="s">
        <v>99</v>
      </c>
      <c r="U591" s="23" t="s">
        <v>99</v>
      </c>
      <c r="V591" s="23" t="s">
        <v>99</v>
      </c>
      <c r="W591" s="23" t="s">
        <v>99</v>
      </c>
      <c r="X591" s="28"/>
      <c r="Y591" s="28" t="str">
        <f aca="false">"다음 편: "&amp;J592</f>
        <v>다음 편: 마리아의 찬가</v>
      </c>
    </row>
    <row r="592" customFormat="false" ht="26.85" hidden="false" customHeight="false" outlineLevel="0" collapsed="false">
      <c r="A592" s="29" t="n">
        <v>591</v>
      </c>
      <c r="B592" s="29" t="s">
        <v>5589</v>
      </c>
      <c r="C592" s="29" t="s">
        <v>5590</v>
      </c>
      <c r="D592" s="29" t="s">
        <v>5569</v>
      </c>
      <c r="E592" s="24" t="s">
        <v>5570</v>
      </c>
      <c r="F592" s="23" t="s">
        <v>4950</v>
      </c>
      <c r="G592" s="23" t="s">
        <v>5571</v>
      </c>
      <c r="H592" s="24" t="s">
        <v>5591</v>
      </c>
      <c r="I592" s="23" t="s">
        <v>91</v>
      </c>
      <c r="J592" s="24" t="s">
        <v>5592</v>
      </c>
      <c r="K592" s="24" t="s">
        <v>5593</v>
      </c>
      <c r="L592" s="24" t="s">
        <v>5594</v>
      </c>
      <c r="M592" s="24" t="s">
        <v>5595</v>
      </c>
      <c r="N592" s="24" t="s">
        <v>5596</v>
      </c>
      <c r="O592" s="24" t="s">
        <v>5597</v>
      </c>
      <c r="P592" s="28"/>
      <c r="Q592" s="28" t="str">
        <f aca="false">"["&amp;안내!$C$5&amp;" "&amp;C592&amp;"] "&amp;J592&amp;" | "&amp;H592</f>
        <v>[1분 성경 #0591] 마리아의 찬가 | 눅 1:39-56</v>
      </c>
      <c r="R592" s="29" t="n">
        <f aca="false">INT((A592-1)/안내!$C$9)+1</f>
        <v>119</v>
      </c>
      <c r="S592" s="26" t="n">
        <f aca="false">안내!$C$10+(R592-1)*7+MOD(A592-1,안내!$C$9)</f>
        <v>47217</v>
      </c>
      <c r="T592" s="23" t="s">
        <v>99</v>
      </c>
      <c r="U592" s="23" t="s">
        <v>99</v>
      </c>
      <c r="V592" s="23" t="s">
        <v>99</v>
      </c>
      <c r="W592" s="23" t="s">
        <v>99</v>
      </c>
      <c r="X592" s="28"/>
      <c r="Y592" s="28" t="str">
        <f aca="false">"다음 편: "&amp;J593</f>
        <v>다음 편: 그의 이름은 요한</v>
      </c>
    </row>
    <row r="593" customFormat="false" ht="26.85" hidden="false" customHeight="false" outlineLevel="0" collapsed="false">
      <c r="A593" s="29" t="n">
        <v>592</v>
      </c>
      <c r="B593" s="29" t="s">
        <v>5598</v>
      </c>
      <c r="C593" s="29" t="s">
        <v>5599</v>
      </c>
      <c r="D593" s="29" t="s">
        <v>5569</v>
      </c>
      <c r="E593" s="24" t="s">
        <v>5570</v>
      </c>
      <c r="F593" s="23" t="s">
        <v>4950</v>
      </c>
      <c r="G593" s="23" t="s">
        <v>5571</v>
      </c>
      <c r="H593" s="24" t="s">
        <v>5600</v>
      </c>
      <c r="I593" s="23" t="s">
        <v>91</v>
      </c>
      <c r="J593" s="24" t="s">
        <v>5601</v>
      </c>
      <c r="K593" s="24" t="s">
        <v>5602</v>
      </c>
      <c r="L593" s="24" t="s">
        <v>5603</v>
      </c>
      <c r="M593" s="24" t="s">
        <v>5604</v>
      </c>
      <c r="N593" s="24" t="s">
        <v>5605</v>
      </c>
      <c r="O593" s="24" t="s">
        <v>5606</v>
      </c>
      <c r="P593" s="28"/>
      <c r="Q593" s="28" t="str">
        <f aca="false">"["&amp;안내!$C$5&amp;" "&amp;C593&amp;"] "&amp;J593&amp;" | "&amp;H593</f>
        <v>[1분 성경 #0592] 그의 이름은 요한 | 눅 1:57-80</v>
      </c>
      <c r="R593" s="29" t="n">
        <f aca="false">INT((A593-1)/안내!$C$9)+1</f>
        <v>119</v>
      </c>
      <c r="S593" s="26" t="n">
        <f aca="false">안내!$C$10+(R593-1)*7+MOD(A593-1,안내!$C$9)</f>
        <v>47218</v>
      </c>
      <c r="T593" s="23" t="s">
        <v>99</v>
      </c>
      <c r="U593" s="23" t="s">
        <v>99</v>
      </c>
      <c r="V593" s="23" t="s">
        <v>99</v>
      </c>
      <c r="W593" s="23" t="s">
        <v>99</v>
      </c>
      <c r="X593" s="28"/>
      <c r="Y593" s="28" t="str">
        <f aca="false">"다음 편: "&amp;J594</f>
        <v>다음 편: 구유에 누이다</v>
      </c>
    </row>
    <row r="594" customFormat="false" ht="26.85" hidden="false" customHeight="false" outlineLevel="0" collapsed="false">
      <c r="A594" s="29" t="n">
        <v>593</v>
      </c>
      <c r="B594" s="29" t="s">
        <v>5607</v>
      </c>
      <c r="C594" s="29" t="s">
        <v>5608</v>
      </c>
      <c r="D594" s="29" t="s">
        <v>5569</v>
      </c>
      <c r="E594" s="24" t="s">
        <v>5570</v>
      </c>
      <c r="F594" s="23" t="s">
        <v>4950</v>
      </c>
      <c r="G594" s="23" t="s">
        <v>5571</v>
      </c>
      <c r="H594" s="24" t="s">
        <v>5609</v>
      </c>
      <c r="I594" s="23" t="s">
        <v>91</v>
      </c>
      <c r="J594" s="24" t="s">
        <v>5610</v>
      </c>
      <c r="K594" s="24" t="s">
        <v>5611</v>
      </c>
      <c r="L594" s="24" t="s">
        <v>5612</v>
      </c>
      <c r="M594" s="24" t="s">
        <v>5613</v>
      </c>
      <c r="N594" s="24" t="s">
        <v>5614</v>
      </c>
      <c r="O594" s="24" t="s">
        <v>5615</v>
      </c>
      <c r="P594" s="25" t="s">
        <v>5616</v>
      </c>
      <c r="Q594" s="28" t="str">
        <f aca="false">"["&amp;안내!$C$5&amp;" "&amp;C594&amp;"] "&amp;J594&amp;" | "&amp;H594</f>
        <v>[1분 성경 #0593] 구유에 누이다 | 눅 2:1-7</v>
      </c>
      <c r="R594" s="29" t="n">
        <f aca="false">INT((A594-1)/안내!$C$9)+1</f>
        <v>119</v>
      </c>
      <c r="S594" s="26" t="n">
        <f aca="false">안내!$C$10+(R594-1)*7+MOD(A594-1,안내!$C$9)</f>
        <v>47219</v>
      </c>
      <c r="T594" s="23" t="s">
        <v>99</v>
      </c>
      <c r="U594" s="23" t="s">
        <v>99</v>
      </c>
      <c r="V594" s="23" t="s">
        <v>99</v>
      </c>
      <c r="W594" s="23" t="s">
        <v>99</v>
      </c>
      <c r="X594" s="28"/>
      <c r="Y594" s="28" t="str">
        <f aca="false">"다음 편: "&amp;J595</f>
        <v>다음 편: 목자들에게 들린 소식</v>
      </c>
    </row>
    <row r="595" customFormat="false" ht="26.85" hidden="false" customHeight="false" outlineLevel="0" collapsed="false">
      <c r="A595" s="29" t="n">
        <v>594</v>
      </c>
      <c r="B595" s="29" t="s">
        <v>5617</v>
      </c>
      <c r="C595" s="29" t="s">
        <v>5618</v>
      </c>
      <c r="D595" s="29" t="s">
        <v>5569</v>
      </c>
      <c r="E595" s="24" t="s">
        <v>5570</v>
      </c>
      <c r="F595" s="23" t="s">
        <v>4950</v>
      </c>
      <c r="G595" s="23" t="s">
        <v>5571</v>
      </c>
      <c r="H595" s="24" t="s">
        <v>5619</v>
      </c>
      <c r="I595" s="23" t="s">
        <v>91</v>
      </c>
      <c r="J595" s="24" t="s">
        <v>5620</v>
      </c>
      <c r="K595" s="24" t="s">
        <v>5621</v>
      </c>
      <c r="L595" s="24" t="s">
        <v>5622</v>
      </c>
      <c r="M595" s="24" t="s">
        <v>5623</v>
      </c>
      <c r="N595" s="24" t="s">
        <v>5624</v>
      </c>
      <c r="O595" s="24" t="s">
        <v>5625</v>
      </c>
      <c r="P595" s="28"/>
      <c r="Q595" s="28" t="str">
        <f aca="false">"["&amp;안내!$C$5&amp;" "&amp;C595&amp;"] "&amp;J595&amp;" | "&amp;H595</f>
        <v>[1분 성경 #0594] 목자들에게 들린 소식 | 눅 2:8-20</v>
      </c>
      <c r="R595" s="29" t="n">
        <f aca="false">INT((A595-1)/안내!$C$9)+1</f>
        <v>119</v>
      </c>
      <c r="S595" s="26" t="n">
        <f aca="false">안내!$C$10+(R595-1)*7+MOD(A595-1,안내!$C$9)</f>
        <v>47220</v>
      </c>
      <c r="T595" s="23" t="s">
        <v>99</v>
      </c>
      <c r="U595" s="23" t="s">
        <v>99</v>
      </c>
      <c r="V595" s="23" t="s">
        <v>99</v>
      </c>
      <c r="W595" s="23" t="s">
        <v>99</v>
      </c>
      <c r="X595" s="28"/>
      <c r="Y595" s="28" t="str">
        <f aca="false">"다음 편: "&amp;J596</f>
        <v>다음 편: 시므온과 안나</v>
      </c>
    </row>
    <row r="596" customFormat="false" ht="15" hidden="false" customHeight="false" outlineLevel="0" collapsed="false">
      <c r="A596" s="29" t="n">
        <v>595</v>
      </c>
      <c r="B596" s="29" t="s">
        <v>5626</v>
      </c>
      <c r="C596" s="29" t="s">
        <v>5627</v>
      </c>
      <c r="D596" s="29" t="s">
        <v>5569</v>
      </c>
      <c r="E596" s="24" t="s">
        <v>5570</v>
      </c>
      <c r="F596" s="23" t="s">
        <v>4950</v>
      </c>
      <c r="G596" s="23" t="s">
        <v>5571</v>
      </c>
      <c r="H596" s="24" t="s">
        <v>5628</v>
      </c>
      <c r="I596" s="23" t="s">
        <v>91</v>
      </c>
      <c r="J596" s="24" t="s">
        <v>5629</v>
      </c>
      <c r="K596" s="24" t="s">
        <v>5630</v>
      </c>
      <c r="L596" s="24" t="s">
        <v>5631</v>
      </c>
      <c r="M596" s="24" t="s">
        <v>5632</v>
      </c>
      <c r="N596" s="24" t="s">
        <v>5633</v>
      </c>
      <c r="O596" s="24" t="s">
        <v>2894</v>
      </c>
      <c r="P596" s="28"/>
      <c r="Q596" s="28" t="str">
        <f aca="false">"["&amp;안내!$C$5&amp;" "&amp;C596&amp;"] "&amp;J596&amp;" | "&amp;H596</f>
        <v>[1분 성경 #0595] 시므온과 안나 | 눅 2:21-40</v>
      </c>
      <c r="R596" s="29" t="n">
        <f aca="false">INT((A596-1)/안내!$C$9)+1</f>
        <v>119</v>
      </c>
      <c r="S596" s="26" t="n">
        <f aca="false">안내!$C$10+(R596-1)*7+MOD(A596-1,안내!$C$9)</f>
        <v>47221</v>
      </c>
      <c r="T596" s="23" t="s">
        <v>99</v>
      </c>
      <c r="U596" s="23" t="s">
        <v>99</v>
      </c>
      <c r="V596" s="23" t="s">
        <v>99</v>
      </c>
      <c r="W596" s="23" t="s">
        <v>99</v>
      </c>
      <c r="X596" s="28"/>
      <c r="Y596" s="28" t="str">
        <f aca="false">"다음 편: "&amp;J597</f>
        <v>다음 편: 열두 살 예수님</v>
      </c>
    </row>
    <row r="597" customFormat="false" ht="26.85" hidden="false" customHeight="false" outlineLevel="0" collapsed="false">
      <c r="A597" s="29" t="n">
        <v>596</v>
      </c>
      <c r="B597" s="29" t="s">
        <v>5634</v>
      </c>
      <c r="C597" s="29" t="s">
        <v>5635</v>
      </c>
      <c r="D597" s="29" t="s">
        <v>5569</v>
      </c>
      <c r="E597" s="24" t="s">
        <v>5570</v>
      </c>
      <c r="F597" s="23" t="s">
        <v>4950</v>
      </c>
      <c r="G597" s="23" t="s">
        <v>5571</v>
      </c>
      <c r="H597" s="24" t="s">
        <v>5636</v>
      </c>
      <c r="I597" s="23" t="s">
        <v>91</v>
      </c>
      <c r="J597" s="24" t="s">
        <v>5637</v>
      </c>
      <c r="K597" s="24" t="s">
        <v>5638</v>
      </c>
      <c r="L597" s="24" t="s">
        <v>5639</v>
      </c>
      <c r="M597" s="24" t="s">
        <v>5640</v>
      </c>
      <c r="N597" s="24" t="s">
        <v>5641</v>
      </c>
      <c r="O597" s="24" t="s">
        <v>5642</v>
      </c>
      <c r="P597" s="28"/>
      <c r="Q597" s="28" t="str">
        <f aca="false">"["&amp;안내!$C$5&amp;" "&amp;C597&amp;"] "&amp;J597&amp;" | "&amp;H597</f>
        <v>[1분 성경 #0596] 열두 살 예수님 | 눅 2:41-52</v>
      </c>
      <c r="R597" s="29" t="n">
        <f aca="false">INT((A597-1)/안내!$C$9)+1</f>
        <v>120</v>
      </c>
      <c r="S597" s="26" t="n">
        <f aca="false">안내!$C$10+(R597-1)*7+MOD(A597-1,안내!$C$9)</f>
        <v>47224</v>
      </c>
      <c r="T597" s="23" t="s">
        <v>99</v>
      </c>
      <c r="U597" s="23" t="s">
        <v>99</v>
      </c>
      <c r="V597" s="23" t="s">
        <v>99</v>
      </c>
      <c r="W597" s="23" t="s">
        <v>99</v>
      </c>
      <c r="X597" s="28"/>
      <c r="Y597" s="28" t="str">
        <f aca="false">"다음 편: "&amp;J598</f>
        <v>다음 편: 나사렛 회당</v>
      </c>
    </row>
    <row r="598" customFormat="false" ht="26.85" hidden="false" customHeight="false" outlineLevel="0" collapsed="false">
      <c r="A598" s="29" t="n">
        <v>597</v>
      </c>
      <c r="B598" s="29" t="s">
        <v>5643</v>
      </c>
      <c r="C598" s="29" t="s">
        <v>5644</v>
      </c>
      <c r="D598" s="29" t="s">
        <v>5645</v>
      </c>
      <c r="E598" s="24" t="s">
        <v>5646</v>
      </c>
      <c r="F598" s="23" t="s">
        <v>4950</v>
      </c>
      <c r="G598" s="23" t="s">
        <v>5571</v>
      </c>
      <c r="H598" s="24" t="s">
        <v>5647</v>
      </c>
      <c r="I598" s="23" t="s">
        <v>91</v>
      </c>
      <c r="J598" s="24" t="s">
        <v>5648</v>
      </c>
      <c r="K598" s="24" t="s">
        <v>5649</v>
      </c>
      <c r="L598" s="24" t="s">
        <v>5650</v>
      </c>
      <c r="M598" s="24" t="s">
        <v>5651</v>
      </c>
      <c r="N598" s="24" t="s">
        <v>5652</v>
      </c>
      <c r="O598" s="24" t="s">
        <v>5648</v>
      </c>
      <c r="P598" s="28"/>
      <c r="Q598" s="28" t="str">
        <f aca="false">"["&amp;안내!$C$5&amp;" "&amp;C598&amp;"] "&amp;J598&amp;" | "&amp;H598</f>
        <v>[1분 성경 #0597] 나사렛 회당 | 눅 4:16-30</v>
      </c>
      <c r="R598" s="29" t="n">
        <f aca="false">INT((A598-1)/안내!$C$9)+1</f>
        <v>120</v>
      </c>
      <c r="S598" s="26" t="n">
        <f aca="false">안내!$C$10+(R598-1)*7+MOD(A598-1,안내!$C$9)</f>
        <v>47225</v>
      </c>
      <c r="T598" s="23" t="s">
        <v>99</v>
      </c>
      <c r="U598" s="23" t="s">
        <v>99</v>
      </c>
      <c r="V598" s="23" t="s">
        <v>99</v>
      </c>
      <c r="W598" s="23" t="s">
        <v>99</v>
      </c>
      <c r="X598" s="28"/>
      <c r="Y598" s="28" t="str">
        <f aca="false">"다음 편: "&amp;J599</f>
        <v>다음 편: 그물이 찢어지도록</v>
      </c>
    </row>
    <row r="599" customFormat="false" ht="26.85" hidden="false" customHeight="false" outlineLevel="0" collapsed="false">
      <c r="A599" s="29" t="n">
        <v>598</v>
      </c>
      <c r="B599" s="29" t="s">
        <v>5653</v>
      </c>
      <c r="C599" s="29" t="s">
        <v>5654</v>
      </c>
      <c r="D599" s="29" t="s">
        <v>5645</v>
      </c>
      <c r="E599" s="24" t="s">
        <v>5646</v>
      </c>
      <c r="F599" s="23" t="s">
        <v>4950</v>
      </c>
      <c r="G599" s="23" t="s">
        <v>5571</v>
      </c>
      <c r="H599" s="24" t="s">
        <v>5655</v>
      </c>
      <c r="I599" s="23" t="s">
        <v>91</v>
      </c>
      <c r="J599" s="24" t="s">
        <v>5656</v>
      </c>
      <c r="K599" s="24" t="s">
        <v>5657</v>
      </c>
      <c r="L599" s="24" t="s">
        <v>5658</v>
      </c>
      <c r="M599" s="24" t="s">
        <v>5659</v>
      </c>
      <c r="N599" s="24" t="s">
        <v>5660</v>
      </c>
      <c r="O599" s="24" t="s">
        <v>5661</v>
      </c>
      <c r="P599" s="28"/>
      <c r="Q599" s="28" t="str">
        <f aca="false">"["&amp;안내!$C$5&amp;" "&amp;C599&amp;"] "&amp;J599&amp;" | "&amp;H599</f>
        <v>[1분 성경 #0598] 그물이 찢어지도록 | 눅 5:1-11</v>
      </c>
      <c r="R599" s="29" t="n">
        <f aca="false">INT((A599-1)/안내!$C$9)+1</f>
        <v>120</v>
      </c>
      <c r="S599" s="26" t="n">
        <f aca="false">안내!$C$10+(R599-1)*7+MOD(A599-1,안내!$C$9)</f>
        <v>47226</v>
      </c>
      <c r="T599" s="23" t="s">
        <v>99</v>
      </c>
      <c r="U599" s="23" t="s">
        <v>99</v>
      </c>
      <c r="V599" s="23" t="s">
        <v>99</v>
      </c>
      <c r="W599" s="23" t="s">
        <v>99</v>
      </c>
      <c r="X599" s="28"/>
      <c r="Y599" s="28" t="str">
        <f aca="false">"다음 편: "&amp;J600</f>
        <v>다음 편: 울지 말라</v>
      </c>
    </row>
    <row r="600" customFormat="false" ht="26.85" hidden="false" customHeight="false" outlineLevel="0" collapsed="false">
      <c r="A600" s="29" t="n">
        <v>599</v>
      </c>
      <c r="B600" s="29" t="s">
        <v>5662</v>
      </c>
      <c r="C600" s="29" t="s">
        <v>5663</v>
      </c>
      <c r="D600" s="29" t="s">
        <v>5645</v>
      </c>
      <c r="E600" s="24" t="s">
        <v>5646</v>
      </c>
      <c r="F600" s="23" t="s">
        <v>4950</v>
      </c>
      <c r="G600" s="23" t="s">
        <v>5571</v>
      </c>
      <c r="H600" s="24" t="s">
        <v>5664</v>
      </c>
      <c r="I600" s="23" t="s">
        <v>91</v>
      </c>
      <c r="J600" s="24" t="s">
        <v>5665</v>
      </c>
      <c r="K600" s="24" t="s">
        <v>5666</v>
      </c>
      <c r="L600" s="24" t="s">
        <v>5667</v>
      </c>
      <c r="M600" s="24" t="s">
        <v>5668</v>
      </c>
      <c r="N600" s="24" t="s">
        <v>5669</v>
      </c>
      <c r="O600" s="24" t="s">
        <v>5670</v>
      </c>
      <c r="P600" s="28"/>
      <c r="Q600" s="28" t="str">
        <f aca="false">"["&amp;안내!$C$5&amp;" "&amp;C600&amp;"] "&amp;J600&amp;" | "&amp;H600</f>
        <v>[1분 성경 #0599] 울지 말라 | 눅 7:11-17</v>
      </c>
      <c r="R600" s="29" t="n">
        <f aca="false">INT((A600-1)/안내!$C$9)+1</f>
        <v>120</v>
      </c>
      <c r="S600" s="26" t="n">
        <f aca="false">안내!$C$10+(R600-1)*7+MOD(A600-1,안내!$C$9)</f>
        <v>47227</v>
      </c>
      <c r="T600" s="23" t="s">
        <v>99</v>
      </c>
      <c r="U600" s="23" t="s">
        <v>99</v>
      </c>
      <c r="V600" s="23" t="s">
        <v>99</v>
      </c>
      <c r="W600" s="23" t="s">
        <v>99</v>
      </c>
      <c r="X600" s="28"/>
      <c r="Y600" s="28" t="str">
        <f aca="false">"다음 편: "&amp;J601</f>
        <v>다음 편: 눈물로 발을 씻긴 여인</v>
      </c>
    </row>
    <row r="601" customFormat="false" ht="26.85" hidden="false" customHeight="false" outlineLevel="0" collapsed="false">
      <c r="A601" s="29" t="n">
        <v>600</v>
      </c>
      <c r="B601" s="29" t="s">
        <v>5671</v>
      </c>
      <c r="C601" s="29" t="s">
        <v>5672</v>
      </c>
      <c r="D601" s="29" t="s">
        <v>5645</v>
      </c>
      <c r="E601" s="24" t="s">
        <v>5646</v>
      </c>
      <c r="F601" s="23" t="s">
        <v>4950</v>
      </c>
      <c r="G601" s="23" t="s">
        <v>5571</v>
      </c>
      <c r="H601" s="24" t="s">
        <v>5673</v>
      </c>
      <c r="I601" s="23" t="s">
        <v>91</v>
      </c>
      <c r="J601" s="24" t="s">
        <v>5674</v>
      </c>
      <c r="K601" s="24" t="s">
        <v>5675</v>
      </c>
      <c r="L601" s="24" t="s">
        <v>5676</v>
      </c>
      <c r="M601" s="24" t="s">
        <v>5677</v>
      </c>
      <c r="N601" s="24" t="s">
        <v>5678</v>
      </c>
      <c r="O601" s="24" t="s">
        <v>5679</v>
      </c>
      <c r="P601" s="25" t="s">
        <v>5680</v>
      </c>
      <c r="Q601" s="28" t="str">
        <f aca="false">"["&amp;안내!$C$5&amp;" "&amp;C601&amp;"] "&amp;J601&amp;" | "&amp;H601</f>
        <v>[1분 성경 #0600] 눈물로 발을 씻긴 여인 | 눅 7:36-50</v>
      </c>
      <c r="R601" s="29" t="n">
        <f aca="false">INT((A601-1)/안내!$C$9)+1</f>
        <v>120</v>
      </c>
      <c r="S601" s="26" t="n">
        <f aca="false">안내!$C$10+(R601-1)*7+MOD(A601-1,안내!$C$9)</f>
        <v>47228</v>
      </c>
      <c r="T601" s="23" t="s">
        <v>99</v>
      </c>
      <c r="U601" s="23" t="s">
        <v>99</v>
      </c>
      <c r="V601" s="23" t="s">
        <v>99</v>
      </c>
      <c r="W601" s="23" t="s">
        <v>99</v>
      </c>
      <c r="X601" s="28"/>
      <c r="Y601" s="28" t="str">
        <f aca="false">"다음 편: "&amp;J602</f>
        <v>다음 편: 선한 사마리아인</v>
      </c>
    </row>
    <row r="602" customFormat="false" ht="26.85" hidden="false" customHeight="false" outlineLevel="0" collapsed="false">
      <c r="A602" s="29" t="n">
        <v>601</v>
      </c>
      <c r="B602" s="29" t="s">
        <v>5681</v>
      </c>
      <c r="C602" s="29" t="s">
        <v>5682</v>
      </c>
      <c r="D602" s="29" t="s">
        <v>5645</v>
      </c>
      <c r="E602" s="24" t="s">
        <v>5646</v>
      </c>
      <c r="F602" s="23" t="s">
        <v>4950</v>
      </c>
      <c r="G602" s="23" t="s">
        <v>5571</v>
      </c>
      <c r="H602" s="24" t="s">
        <v>5683</v>
      </c>
      <c r="I602" s="23" t="s">
        <v>91</v>
      </c>
      <c r="J602" s="24" t="s">
        <v>5684</v>
      </c>
      <c r="K602" s="24" t="s">
        <v>5685</v>
      </c>
      <c r="L602" s="24" t="s">
        <v>5686</v>
      </c>
      <c r="M602" s="24" t="s">
        <v>5687</v>
      </c>
      <c r="N602" s="24" t="s">
        <v>5688</v>
      </c>
      <c r="O602" s="24" t="s">
        <v>5689</v>
      </c>
      <c r="P602" s="25" t="s">
        <v>5690</v>
      </c>
      <c r="Q602" s="28" t="str">
        <f aca="false">"["&amp;안내!$C$5&amp;" "&amp;C602&amp;"] "&amp;J602&amp;" | "&amp;H602</f>
        <v>[1분 성경 #0601] 선한 사마리아인 | 눅 10:25-37</v>
      </c>
      <c r="R602" s="29" t="n">
        <f aca="false">INT((A602-1)/안내!$C$9)+1</f>
        <v>121</v>
      </c>
      <c r="S602" s="26" t="n">
        <f aca="false">안내!$C$10+(R602-1)*7+MOD(A602-1,안내!$C$9)</f>
        <v>47231</v>
      </c>
      <c r="T602" s="23" t="s">
        <v>99</v>
      </c>
      <c r="U602" s="23" t="s">
        <v>99</v>
      </c>
      <c r="V602" s="23" t="s">
        <v>99</v>
      </c>
      <c r="W602" s="23" t="s">
        <v>99</v>
      </c>
      <c r="X602" s="28"/>
      <c r="Y602" s="28" t="str">
        <f aca="false">"다음 편: "&amp;J603</f>
        <v>다음 편: 마르다와 마리아</v>
      </c>
    </row>
    <row r="603" customFormat="false" ht="26.85" hidden="false" customHeight="false" outlineLevel="0" collapsed="false">
      <c r="A603" s="29" t="n">
        <v>602</v>
      </c>
      <c r="B603" s="29" t="s">
        <v>5691</v>
      </c>
      <c r="C603" s="29" t="s">
        <v>5692</v>
      </c>
      <c r="D603" s="29" t="s">
        <v>5645</v>
      </c>
      <c r="E603" s="24" t="s">
        <v>5646</v>
      </c>
      <c r="F603" s="23" t="s">
        <v>4950</v>
      </c>
      <c r="G603" s="23" t="s">
        <v>5571</v>
      </c>
      <c r="H603" s="24" t="s">
        <v>5693</v>
      </c>
      <c r="I603" s="23" t="s">
        <v>91</v>
      </c>
      <c r="J603" s="24" t="s">
        <v>5694</v>
      </c>
      <c r="K603" s="24" t="s">
        <v>5695</v>
      </c>
      <c r="L603" s="24" t="s">
        <v>5696</v>
      </c>
      <c r="M603" s="24" t="s">
        <v>5697</v>
      </c>
      <c r="N603" s="24" t="s">
        <v>5698</v>
      </c>
      <c r="O603" s="24" t="s">
        <v>5699</v>
      </c>
      <c r="P603" s="28"/>
      <c r="Q603" s="28" t="str">
        <f aca="false">"["&amp;안내!$C$5&amp;" "&amp;C603&amp;"] "&amp;J603&amp;" | "&amp;H603</f>
        <v>[1분 성경 #0602] 마르다와 마리아 | 눅 10:38-42</v>
      </c>
      <c r="R603" s="29" t="n">
        <f aca="false">INT((A603-1)/안내!$C$9)+1</f>
        <v>121</v>
      </c>
      <c r="S603" s="26" t="n">
        <f aca="false">안내!$C$10+(R603-1)*7+MOD(A603-1,안내!$C$9)</f>
        <v>47232</v>
      </c>
      <c r="T603" s="23" t="s">
        <v>99</v>
      </c>
      <c r="U603" s="23" t="s">
        <v>99</v>
      </c>
      <c r="V603" s="23" t="s">
        <v>99</v>
      </c>
      <c r="W603" s="23" t="s">
        <v>99</v>
      </c>
      <c r="X603" s="28"/>
      <c r="Y603" s="28" t="str">
        <f aca="false">"다음 편: "&amp;J604</f>
        <v>다음 편: 강청하는 친구</v>
      </c>
    </row>
    <row r="604" customFormat="false" ht="26.85" hidden="false" customHeight="false" outlineLevel="0" collapsed="false">
      <c r="A604" s="29" t="n">
        <v>603</v>
      </c>
      <c r="B604" s="29" t="s">
        <v>5700</v>
      </c>
      <c r="C604" s="29" t="s">
        <v>5701</v>
      </c>
      <c r="D604" s="29" t="s">
        <v>5645</v>
      </c>
      <c r="E604" s="24" t="s">
        <v>5646</v>
      </c>
      <c r="F604" s="23" t="s">
        <v>4950</v>
      </c>
      <c r="G604" s="23" t="s">
        <v>5571</v>
      </c>
      <c r="H604" s="24" t="s">
        <v>5702</v>
      </c>
      <c r="I604" s="23" t="s">
        <v>1116</v>
      </c>
      <c r="J604" s="24" t="s">
        <v>5703</v>
      </c>
      <c r="K604" s="24" t="s">
        <v>5704</v>
      </c>
      <c r="L604" s="24" t="s">
        <v>5705</v>
      </c>
      <c r="M604" s="24" t="s">
        <v>5083</v>
      </c>
      <c r="N604" s="24" t="s">
        <v>5067</v>
      </c>
      <c r="O604" s="24" t="s">
        <v>5706</v>
      </c>
      <c r="P604" s="28"/>
      <c r="Q604" s="28" t="str">
        <f aca="false">"["&amp;안내!$C$5&amp;" "&amp;C604&amp;"] "&amp;J604&amp;" | "&amp;H604</f>
        <v>[1분 성경 #0603] 강청하는 친구 | 눅 11:1-13</v>
      </c>
      <c r="R604" s="29" t="n">
        <f aca="false">INT((A604-1)/안내!$C$9)+1</f>
        <v>121</v>
      </c>
      <c r="S604" s="26" t="n">
        <f aca="false">안내!$C$10+(R604-1)*7+MOD(A604-1,안내!$C$9)</f>
        <v>47233</v>
      </c>
      <c r="T604" s="23" t="s">
        <v>99</v>
      </c>
      <c r="U604" s="23" t="s">
        <v>99</v>
      </c>
      <c r="V604" s="23" t="s">
        <v>99</v>
      </c>
      <c r="W604" s="23" t="s">
        <v>99</v>
      </c>
      <c r="X604" s="28"/>
      <c r="Y604" s="28" t="str">
        <f aca="false">"다음 편: "&amp;J605</f>
        <v>다음 편: 어리석은 부자</v>
      </c>
    </row>
    <row r="605" customFormat="false" ht="26.85" hidden="false" customHeight="false" outlineLevel="0" collapsed="false">
      <c r="A605" s="29" t="n">
        <v>604</v>
      </c>
      <c r="B605" s="29" t="s">
        <v>5707</v>
      </c>
      <c r="C605" s="29" t="s">
        <v>5708</v>
      </c>
      <c r="D605" s="29" t="s">
        <v>5645</v>
      </c>
      <c r="E605" s="24" t="s">
        <v>5646</v>
      </c>
      <c r="F605" s="23" t="s">
        <v>4950</v>
      </c>
      <c r="G605" s="23" t="s">
        <v>5571</v>
      </c>
      <c r="H605" s="24" t="s">
        <v>5709</v>
      </c>
      <c r="I605" s="23" t="s">
        <v>91</v>
      </c>
      <c r="J605" s="24" t="s">
        <v>5710</v>
      </c>
      <c r="K605" s="24" t="s">
        <v>5711</v>
      </c>
      <c r="L605" s="24" t="s">
        <v>5712</v>
      </c>
      <c r="M605" s="24" t="s">
        <v>5713</v>
      </c>
      <c r="N605" s="24" t="s">
        <v>5714</v>
      </c>
      <c r="O605" s="24" t="s">
        <v>5715</v>
      </c>
      <c r="P605" s="28"/>
      <c r="Q605" s="28" t="str">
        <f aca="false">"["&amp;안내!$C$5&amp;" "&amp;C605&amp;"] "&amp;J605&amp;" | "&amp;H605</f>
        <v>[1분 성경 #0604] 어리석은 부자 | 눅 12:13-34</v>
      </c>
      <c r="R605" s="29" t="n">
        <f aca="false">INT((A605-1)/안내!$C$9)+1</f>
        <v>121</v>
      </c>
      <c r="S605" s="26" t="n">
        <f aca="false">안내!$C$10+(R605-1)*7+MOD(A605-1,안내!$C$9)</f>
        <v>47234</v>
      </c>
      <c r="T605" s="23" t="s">
        <v>99</v>
      </c>
      <c r="U605" s="23" t="s">
        <v>99</v>
      </c>
      <c r="V605" s="23" t="s">
        <v>99</v>
      </c>
      <c r="W605" s="23" t="s">
        <v>99</v>
      </c>
      <c r="X605" s="28"/>
      <c r="Y605" s="28" t="str">
        <f aca="false">"다음 편: "&amp;J606</f>
        <v>다음 편: 18년 동안 굽은 허리</v>
      </c>
    </row>
    <row r="606" customFormat="false" ht="26.85" hidden="false" customHeight="false" outlineLevel="0" collapsed="false">
      <c r="A606" s="29" t="n">
        <v>605</v>
      </c>
      <c r="B606" s="29" t="s">
        <v>5716</v>
      </c>
      <c r="C606" s="29" t="s">
        <v>5717</v>
      </c>
      <c r="D606" s="29" t="s">
        <v>5645</v>
      </c>
      <c r="E606" s="24" t="s">
        <v>5646</v>
      </c>
      <c r="F606" s="23" t="s">
        <v>4950</v>
      </c>
      <c r="G606" s="23" t="s">
        <v>5571</v>
      </c>
      <c r="H606" s="24" t="s">
        <v>5718</v>
      </c>
      <c r="I606" s="23" t="s">
        <v>91</v>
      </c>
      <c r="J606" s="28" t="s">
        <v>5719</v>
      </c>
      <c r="K606" s="24" t="s">
        <v>5720</v>
      </c>
      <c r="L606" s="24" t="s">
        <v>5721</v>
      </c>
      <c r="M606" s="24" t="s">
        <v>5722</v>
      </c>
      <c r="N606" s="24" t="s">
        <v>5723</v>
      </c>
      <c r="O606" s="24" t="s">
        <v>5724</v>
      </c>
      <c r="P606" s="28"/>
      <c r="Q606" s="28" t="str">
        <f aca="false">"["&amp;안내!$C$5&amp;" "&amp;C606&amp;"] "&amp;J606&amp;" | "&amp;H606</f>
        <v>[1분 성경 #0605] 18년 동안 굽은 허리 | 눅 13:10-17</v>
      </c>
      <c r="R606" s="29" t="n">
        <f aca="false">INT((A606-1)/안내!$C$9)+1</f>
        <v>121</v>
      </c>
      <c r="S606" s="26" t="n">
        <f aca="false">안내!$C$10+(R606-1)*7+MOD(A606-1,안내!$C$9)</f>
        <v>47235</v>
      </c>
      <c r="T606" s="23" t="s">
        <v>99</v>
      </c>
      <c r="U606" s="23" t="s">
        <v>99</v>
      </c>
      <c r="V606" s="23" t="s">
        <v>99</v>
      </c>
      <c r="W606" s="23" t="s">
        <v>99</v>
      </c>
      <c r="X606" s="28"/>
      <c r="Y606" s="28" t="str">
        <f aca="false">"다음 편: "&amp;J607</f>
        <v>다음 편: 큰 잔치</v>
      </c>
    </row>
    <row r="607" customFormat="false" ht="26.85" hidden="false" customHeight="false" outlineLevel="0" collapsed="false">
      <c r="A607" s="29" t="n">
        <v>606</v>
      </c>
      <c r="B607" s="29" t="s">
        <v>5725</v>
      </c>
      <c r="C607" s="29" t="s">
        <v>5726</v>
      </c>
      <c r="D607" s="29" t="s">
        <v>5645</v>
      </c>
      <c r="E607" s="24" t="s">
        <v>5646</v>
      </c>
      <c r="F607" s="23" t="s">
        <v>4950</v>
      </c>
      <c r="G607" s="23" t="s">
        <v>5571</v>
      </c>
      <c r="H607" s="24" t="s">
        <v>5727</v>
      </c>
      <c r="I607" s="23" t="s">
        <v>91</v>
      </c>
      <c r="J607" s="24" t="s">
        <v>5728</v>
      </c>
      <c r="K607" s="24" t="s">
        <v>5729</v>
      </c>
      <c r="L607" s="24" t="s">
        <v>5730</v>
      </c>
      <c r="M607" s="24" t="s">
        <v>5731</v>
      </c>
      <c r="N607" s="24" t="s">
        <v>5732</v>
      </c>
      <c r="O607" s="24" t="s">
        <v>5733</v>
      </c>
      <c r="P607" s="28"/>
      <c r="Q607" s="28" t="str">
        <f aca="false">"["&amp;안내!$C$5&amp;" "&amp;C607&amp;"] "&amp;J607&amp;" | "&amp;H607</f>
        <v>[1분 성경 #0606] 큰 잔치 | 눅 14:15-35</v>
      </c>
      <c r="R607" s="29" t="n">
        <f aca="false">INT((A607-1)/안내!$C$9)+1</f>
        <v>122</v>
      </c>
      <c r="S607" s="26" t="n">
        <f aca="false">안내!$C$10+(R607-1)*7+MOD(A607-1,안내!$C$9)</f>
        <v>47238</v>
      </c>
      <c r="T607" s="23" t="s">
        <v>99</v>
      </c>
      <c r="U607" s="23" t="s">
        <v>99</v>
      </c>
      <c r="V607" s="23" t="s">
        <v>99</v>
      </c>
      <c r="W607" s="23" t="s">
        <v>99</v>
      </c>
      <c r="X607" s="28"/>
      <c r="Y607" s="28" t="str">
        <f aca="false">"다음 편: "&amp;J608</f>
        <v>다음 편: 잃은 양 한 마리</v>
      </c>
    </row>
    <row r="608" customFormat="false" ht="26.85" hidden="false" customHeight="false" outlineLevel="0" collapsed="false">
      <c r="A608" s="29" t="n">
        <v>607</v>
      </c>
      <c r="B608" s="29" t="s">
        <v>5734</v>
      </c>
      <c r="C608" s="29" t="s">
        <v>5735</v>
      </c>
      <c r="D608" s="29" t="s">
        <v>5736</v>
      </c>
      <c r="E608" s="24" t="s">
        <v>5737</v>
      </c>
      <c r="F608" s="23" t="s">
        <v>4950</v>
      </c>
      <c r="G608" s="23" t="s">
        <v>5571</v>
      </c>
      <c r="H608" s="24" t="s">
        <v>5738</v>
      </c>
      <c r="I608" s="23" t="s">
        <v>91</v>
      </c>
      <c r="J608" s="24" t="s">
        <v>5739</v>
      </c>
      <c r="K608" s="28" t="s">
        <v>5740</v>
      </c>
      <c r="L608" s="24" t="s">
        <v>5741</v>
      </c>
      <c r="M608" s="24" t="s">
        <v>5742</v>
      </c>
      <c r="N608" s="24" t="s">
        <v>5743</v>
      </c>
      <c r="O608" s="24" t="s">
        <v>5744</v>
      </c>
      <c r="P608" s="28"/>
      <c r="Q608" s="28" t="str">
        <f aca="false">"["&amp;안내!$C$5&amp;" "&amp;C608&amp;"] "&amp;J608&amp;" | "&amp;H608</f>
        <v>[1분 성경 #0607] 잃은 양 한 마리 | 눅 15:1-10</v>
      </c>
      <c r="R608" s="29" t="n">
        <f aca="false">INT((A608-1)/안내!$C$9)+1</f>
        <v>122</v>
      </c>
      <c r="S608" s="26" t="n">
        <f aca="false">안내!$C$10+(R608-1)*7+MOD(A608-1,안내!$C$9)</f>
        <v>47239</v>
      </c>
      <c r="T608" s="23" t="s">
        <v>99</v>
      </c>
      <c r="U608" s="23" t="s">
        <v>99</v>
      </c>
      <c r="V608" s="23" t="s">
        <v>99</v>
      </c>
      <c r="W608" s="23" t="s">
        <v>99</v>
      </c>
      <c r="X608" s="28"/>
      <c r="Y608" s="28" t="str">
        <f aca="false">"다음 편: "&amp;J609</f>
        <v>다음 편: 돌아온 아들</v>
      </c>
    </row>
    <row r="609" customFormat="false" ht="26.85" hidden="false" customHeight="false" outlineLevel="0" collapsed="false">
      <c r="A609" s="29" t="n">
        <v>608</v>
      </c>
      <c r="B609" s="29" t="s">
        <v>5745</v>
      </c>
      <c r="C609" s="29" t="s">
        <v>5746</v>
      </c>
      <c r="D609" s="29" t="s">
        <v>5736</v>
      </c>
      <c r="E609" s="24" t="s">
        <v>5737</v>
      </c>
      <c r="F609" s="23" t="s">
        <v>4950</v>
      </c>
      <c r="G609" s="23" t="s">
        <v>5571</v>
      </c>
      <c r="H609" s="24" t="s">
        <v>5747</v>
      </c>
      <c r="I609" s="23" t="s">
        <v>91</v>
      </c>
      <c r="J609" s="24" t="s">
        <v>5748</v>
      </c>
      <c r="K609" s="24" t="s">
        <v>5749</v>
      </c>
      <c r="L609" s="24" t="s">
        <v>5750</v>
      </c>
      <c r="M609" s="24" t="s">
        <v>5751</v>
      </c>
      <c r="N609" s="24" t="s">
        <v>5752</v>
      </c>
      <c r="O609" s="24" t="s">
        <v>5753</v>
      </c>
      <c r="P609" s="28"/>
      <c r="Q609" s="28" t="str">
        <f aca="false">"["&amp;안내!$C$5&amp;" "&amp;C609&amp;"] "&amp;J609&amp;" | "&amp;H609</f>
        <v>[1분 성경 #0608] 돌아온 아들 | 눅 15:11-32</v>
      </c>
      <c r="R609" s="29" t="n">
        <f aca="false">INT((A609-1)/안내!$C$9)+1</f>
        <v>122</v>
      </c>
      <c r="S609" s="26" t="n">
        <f aca="false">안내!$C$10+(R609-1)*7+MOD(A609-1,안내!$C$9)</f>
        <v>47240</v>
      </c>
      <c r="T609" s="23" t="s">
        <v>99</v>
      </c>
      <c r="U609" s="23" t="s">
        <v>99</v>
      </c>
      <c r="V609" s="23" t="s">
        <v>99</v>
      </c>
      <c r="W609" s="23" t="s">
        <v>99</v>
      </c>
      <c r="X609" s="28"/>
      <c r="Y609" s="28" t="str">
        <f aca="false">"다음 편: "&amp;J610</f>
        <v>다음 편: 부자와 나사로</v>
      </c>
    </row>
    <row r="610" customFormat="false" ht="26.85" hidden="false" customHeight="false" outlineLevel="0" collapsed="false">
      <c r="A610" s="29" t="n">
        <v>609</v>
      </c>
      <c r="B610" s="29" t="s">
        <v>5754</v>
      </c>
      <c r="C610" s="29" t="s">
        <v>5755</v>
      </c>
      <c r="D610" s="29" t="s">
        <v>5736</v>
      </c>
      <c r="E610" s="24" t="s">
        <v>5737</v>
      </c>
      <c r="F610" s="23" t="s">
        <v>4950</v>
      </c>
      <c r="G610" s="23" t="s">
        <v>5571</v>
      </c>
      <c r="H610" s="24" t="s">
        <v>5756</v>
      </c>
      <c r="I610" s="23" t="s">
        <v>91</v>
      </c>
      <c r="J610" s="24" t="s">
        <v>5757</v>
      </c>
      <c r="K610" s="24" t="s">
        <v>5758</v>
      </c>
      <c r="L610" s="24" t="s">
        <v>5759</v>
      </c>
      <c r="M610" s="24" t="s">
        <v>5760</v>
      </c>
      <c r="N610" s="24" t="s">
        <v>5761</v>
      </c>
      <c r="O610" s="24" t="s">
        <v>5762</v>
      </c>
      <c r="P610" s="25" t="s">
        <v>5763</v>
      </c>
      <c r="Q610" s="28" t="str">
        <f aca="false">"["&amp;안내!$C$5&amp;" "&amp;C610&amp;"] "&amp;J610&amp;" | "&amp;H610</f>
        <v>[1분 성경 #0609] 부자와 나사로 | 눅 16:19-31</v>
      </c>
      <c r="R610" s="29" t="n">
        <f aca="false">INT((A610-1)/안내!$C$9)+1</f>
        <v>122</v>
      </c>
      <c r="S610" s="26" t="n">
        <f aca="false">안내!$C$10+(R610-1)*7+MOD(A610-1,안내!$C$9)</f>
        <v>47241</v>
      </c>
      <c r="T610" s="23" t="s">
        <v>99</v>
      </c>
      <c r="U610" s="23" t="s">
        <v>99</v>
      </c>
      <c r="V610" s="23" t="s">
        <v>99</v>
      </c>
      <c r="W610" s="23" t="s">
        <v>99</v>
      </c>
      <c r="X610" s="28"/>
      <c r="Y610" s="28" t="str">
        <f aca="false">"다음 편: "&amp;J611</f>
        <v>다음 편: 돌아온 한 사람</v>
      </c>
    </row>
    <row r="611" customFormat="false" ht="26.85" hidden="false" customHeight="false" outlineLevel="0" collapsed="false">
      <c r="A611" s="29" t="n">
        <v>610</v>
      </c>
      <c r="B611" s="29" t="s">
        <v>5764</v>
      </c>
      <c r="C611" s="29" t="s">
        <v>5765</v>
      </c>
      <c r="D611" s="29" t="s">
        <v>5736</v>
      </c>
      <c r="E611" s="24" t="s">
        <v>5737</v>
      </c>
      <c r="F611" s="23" t="s">
        <v>4950</v>
      </c>
      <c r="G611" s="23" t="s">
        <v>5571</v>
      </c>
      <c r="H611" s="24" t="s">
        <v>5766</v>
      </c>
      <c r="I611" s="23" t="s">
        <v>91</v>
      </c>
      <c r="J611" s="24" t="s">
        <v>5767</v>
      </c>
      <c r="K611" s="24" t="s">
        <v>5768</v>
      </c>
      <c r="L611" s="24" t="s">
        <v>5769</v>
      </c>
      <c r="M611" s="24" t="s">
        <v>5770</v>
      </c>
      <c r="N611" s="24" t="s">
        <v>5771</v>
      </c>
      <c r="O611" s="24" t="s">
        <v>5772</v>
      </c>
      <c r="P611" s="28"/>
      <c r="Q611" s="28" t="str">
        <f aca="false">"["&amp;안내!$C$5&amp;" "&amp;C611&amp;"] "&amp;J611&amp;" | "&amp;H611</f>
        <v>[1분 성경 #0610] 돌아온 한 사람 | 눅 17:11-19</v>
      </c>
      <c r="R611" s="29" t="n">
        <f aca="false">INT((A611-1)/안내!$C$9)+1</f>
        <v>122</v>
      </c>
      <c r="S611" s="26" t="n">
        <f aca="false">안내!$C$10+(R611-1)*7+MOD(A611-1,안내!$C$9)</f>
        <v>47242</v>
      </c>
      <c r="T611" s="23" t="s">
        <v>99</v>
      </c>
      <c r="U611" s="23" t="s">
        <v>99</v>
      </c>
      <c r="V611" s="23" t="s">
        <v>99</v>
      </c>
      <c r="W611" s="23" t="s">
        <v>99</v>
      </c>
      <c r="X611" s="28"/>
      <c r="Y611" s="28" t="str">
        <f aca="false">"다음 편: "&amp;J612</f>
        <v>다음 편: 바리새인과 세리</v>
      </c>
    </row>
    <row r="612" customFormat="false" ht="26.85" hidden="false" customHeight="false" outlineLevel="0" collapsed="false">
      <c r="A612" s="29" t="n">
        <v>611</v>
      </c>
      <c r="B612" s="29" t="s">
        <v>5773</v>
      </c>
      <c r="C612" s="29" t="s">
        <v>5774</v>
      </c>
      <c r="D612" s="29" t="s">
        <v>5736</v>
      </c>
      <c r="E612" s="24" t="s">
        <v>5737</v>
      </c>
      <c r="F612" s="23" t="s">
        <v>4950</v>
      </c>
      <c r="G612" s="23" t="s">
        <v>5571</v>
      </c>
      <c r="H612" s="24" t="s">
        <v>5775</v>
      </c>
      <c r="I612" s="23" t="s">
        <v>91</v>
      </c>
      <c r="J612" s="24" t="s">
        <v>5776</v>
      </c>
      <c r="K612" s="24" t="s">
        <v>5777</v>
      </c>
      <c r="L612" s="24" t="s">
        <v>5778</v>
      </c>
      <c r="M612" s="24" t="s">
        <v>5779</v>
      </c>
      <c r="N612" s="24" t="s">
        <v>5780</v>
      </c>
      <c r="O612" s="24" t="s">
        <v>5642</v>
      </c>
      <c r="P612" s="28"/>
      <c r="Q612" s="28" t="str">
        <f aca="false">"["&amp;안내!$C$5&amp;" "&amp;C612&amp;"] "&amp;J612&amp;" | "&amp;H612</f>
        <v>[1분 성경 #0611] 바리새인과 세리 | 눅 18:1-14</v>
      </c>
      <c r="R612" s="29" t="n">
        <f aca="false">INT((A612-1)/안내!$C$9)+1</f>
        <v>123</v>
      </c>
      <c r="S612" s="26" t="n">
        <f aca="false">안내!$C$10+(R612-1)*7+MOD(A612-1,안내!$C$9)</f>
        <v>47245</v>
      </c>
      <c r="T612" s="23" t="s">
        <v>99</v>
      </c>
      <c r="U612" s="23" t="s">
        <v>99</v>
      </c>
      <c r="V612" s="23" t="s">
        <v>99</v>
      </c>
      <c r="W612" s="23" t="s">
        <v>99</v>
      </c>
      <c r="X612" s="28"/>
      <c r="Y612" s="28" t="str">
        <f aca="false">"다음 편: "&amp;J613</f>
        <v>다음 편: 뽕나무에 올라간 삭개오</v>
      </c>
    </row>
    <row r="613" customFormat="false" ht="26.85" hidden="false" customHeight="false" outlineLevel="0" collapsed="false">
      <c r="A613" s="29" t="n">
        <v>612</v>
      </c>
      <c r="B613" s="29" t="s">
        <v>5781</v>
      </c>
      <c r="C613" s="29" t="s">
        <v>5782</v>
      </c>
      <c r="D613" s="29" t="s">
        <v>5736</v>
      </c>
      <c r="E613" s="24" t="s">
        <v>5737</v>
      </c>
      <c r="F613" s="23" t="s">
        <v>4950</v>
      </c>
      <c r="G613" s="23" t="s">
        <v>5571</v>
      </c>
      <c r="H613" s="24" t="s">
        <v>5783</v>
      </c>
      <c r="I613" s="23" t="s">
        <v>91</v>
      </c>
      <c r="J613" s="24" t="s">
        <v>5784</v>
      </c>
      <c r="K613" s="24" t="s">
        <v>5785</v>
      </c>
      <c r="L613" s="24" t="s">
        <v>5786</v>
      </c>
      <c r="M613" s="24" t="s">
        <v>5787</v>
      </c>
      <c r="N613" s="24" t="s">
        <v>5788</v>
      </c>
      <c r="O613" s="24" t="s">
        <v>5789</v>
      </c>
      <c r="P613" s="28"/>
      <c r="Q613" s="28" t="str">
        <f aca="false">"["&amp;안내!$C$5&amp;" "&amp;C613&amp;"] "&amp;J613&amp;" | "&amp;H613</f>
        <v>[1분 성경 #0612] 뽕나무에 올라간 삭개오 | 눅 19:1-10</v>
      </c>
      <c r="R613" s="29" t="n">
        <f aca="false">INT((A613-1)/안내!$C$9)+1</f>
        <v>123</v>
      </c>
      <c r="S613" s="26" t="n">
        <f aca="false">안내!$C$10+(R613-1)*7+MOD(A613-1,안내!$C$9)</f>
        <v>47246</v>
      </c>
      <c r="T613" s="23" t="s">
        <v>99</v>
      </c>
      <c r="U613" s="23" t="s">
        <v>99</v>
      </c>
      <c r="V613" s="23" t="s">
        <v>99</v>
      </c>
      <c r="W613" s="23" t="s">
        <v>99</v>
      </c>
      <c r="X613" s="28"/>
      <c r="Y613" s="28" t="str">
        <f aca="false">"다음 편: "&amp;J614</f>
        <v>다음 편: 땀이 핏방울같이</v>
      </c>
    </row>
    <row r="614" customFormat="false" ht="26.85" hidden="false" customHeight="false" outlineLevel="0" collapsed="false">
      <c r="A614" s="29" t="n">
        <v>613</v>
      </c>
      <c r="B614" s="29" t="s">
        <v>5790</v>
      </c>
      <c r="C614" s="29" t="s">
        <v>5791</v>
      </c>
      <c r="D614" s="29" t="s">
        <v>5736</v>
      </c>
      <c r="E614" s="24" t="s">
        <v>5737</v>
      </c>
      <c r="F614" s="23" t="s">
        <v>4950</v>
      </c>
      <c r="G614" s="23" t="s">
        <v>5571</v>
      </c>
      <c r="H614" s="24" t="s">
        <v>5792</v>
      </c>
      <c r="I614" s="23" t="s">
        <v>91</v>
      </c>
      <c r="J614" s="24" t="s">
        <v>5793</v>
      </c>
      <c r="K614" s="24" t="s">
        <v>5794</v>
      </c>
      <c r="L614" s="24" t="s">
        <v>5795</v>
      </c>
      <c r="M614" s="24" t="s">
        <v>5796</v>
      </c>
      <c r="N614" s="24" t="s">
        <v>5797</v>
      </c>
      <c r="O614" s="24" t="s">
        <v>5330</v>
      </c>
      <c r="P614" s="28"/>
      <c r="Q614" s="28" t="str">
        <f aca="false">"["&amp;안내!$C$5&amp;" "&amp;C614&amp;"] "&amp;J614&amp;" | "&amp;H614</f>
        <v>[1분 성경 #0613] 땀이 핏방울같이 | 눅 22:39-46</v>
      </c>
      <c r="R614" s="29" t="n">
        <f aca="false">INT((A614-1)/안내!$C$9)+1</f>
        <v>123</v>
      </c>
      <c r="S614" s="26" t="n">
        <f aca="false">안내!$C$10+(R614-1)*7+MOD(A614-1,안내!$C$9)</f>
        <v>47247</v>
      </c>
      <c r="T614" s="23" t="s">
        <v>99</v>
      </c>
      <c r="U614" s="23" t="s">
        <v>99</v>
      </c>
      <c r="V614" s="23" t="s">
        <v>99</v>
      </c>
      <c r="W614" s="23" t="s">
        <v>99</v>
      </c>
      <c r="X614" s="28"/>
      <c r="Y614" s="28" t="str">
        <f aca="false">"다음 편: "&amp;J615</f>
        <v>다음 편: 십자가 위의 강도</v>
      </c>
    </row>
    <row r="615" customFormat="false" ht="26.85" hidden="false" customHeight="false" outlineLevel="0" collapsed="false">
      <c r="A615" s="29" t="n">
        <v>614</v>
      </c>
      <c r="B615" s="29" t="s">
        <v>5798</v>
      </c>
      <c r="C615" s="29" t="s">
        <v>5799</v>
      </c>
      <c r="D615" s="29" t="s">
        <v>5736</v>
      </c>
      <c r="E615" s="24" t="s">
        <v>5737</v>
      </c>
      <c r="F615" s="23" t="s">
        <v>4950</v>
      </c>
      <c r="G615" s="23" t="s">
        <v>5571</v>
      </c>
      <c r="H615" s="24" t="s">
        <v>5800</v>
      </c>
      <c r="I615" s="23" t="s">
        <v>91</v>
      </c>
      <c r="J615" s="24" t="s">
        <v>5801</v>
      </c>
      <c r="K615" s="24" t="s">
        <v>5802</v>
      </c>
      <c r="L615" s="24" t="s">
        <v>5803</v>
      </c>
      <c r="M615" s="24" t="s">
        <v>5804</v>
      </c>
      <c r="N615" s="24" t="s">
        <v>5805</v>
      </c>
      <c r="O615" s="24" t="s">
        <v>5806</v>
      </c>
      <c r="P615" s="25" t="s">
        <v>5807</v>
      </c>
      <c r="Q615" s="28" t="str">
        <f aca="false">"["&amp;안내!$C$5&amp;" "&amp;C615&amp;"] "&amp;J615&amp;" | "&amp;H615</f>
        <v>[1분 성경 #0614] 십자가 위의 강도 | 눅 23:32-43</v>
      </c>
      <c r="R615" s="29" t="n">
        <f aca="false">INT((A615-1)/안내!$C$9)+1</f>
        <v>123</v>
      </c>
      <c r="S615" s="26" t="n">
        <f aca="false">안내!$C$10+(R615-1)*7+MOD(A615-1,안내!$C$9)</f>
        <v>47248</v>
      </c>
      <c r="T615" s="23" t="s">
        <v>99</v>
      </c>
      <c r="U615" s="23" t="s">
        <v>99</v>
      </c>
      <c r="V615" s="23" t="s">
        <v>99</v>
      </c>
      <c r="W615" s="23" t="s">
        <v>99</v>
      </c>
      <c r="X615" s="28"/>
      <c r="Y615" s="28" t="str">
        <f aca="false">"다음 편: "&amp;J616</f>
        <v>다음 편: 엠마오로 가는 길</v>
      </c>
    </row>
    <row r="616" customFormat="false" ht="26.85" hidden="false" customHeight="false" outlineLevel="0" collapsed="false">
      <c r="A616" s="29" t="n">
        <v>615</v>
      </c>
      <c r="B616" s="29" t="s">
        <v>5808</v>
      </c>
      <c r="C616" s="29" t="s">
        <v>5809</v>
      </c>
      <c r="D616" s="29" t="s">
        <v>5736</v>
      </c>
      <c r="E616" s="24" t="s">
        <v>5737</v>
      </c>
      <c r="F616" s="23" t="s">
        <v>4950</v>
      </c>
      <c r="G616" s="23" t="s">
        <v>5571</v>
      </c>
      <c r="H616" s="24" t="s">
        <v>5810</v>
      </c>
      <c r="I616" s="23" t="s">
        <v>91</v>
      </c>
      <c r="J616" s="24" t="s">
        <v>5811</v>
      </c>
      <c r="K616" s="24" t="s">
        <v>5812</v>
      </c>
      <c r="L616" s="24" t="s">
        <v>5813</v>
      </c>
      <c r="M616" s="24" t="s">
        <v>5814</v>
      </c>
      <c r="N616" s="24" t="s">
        <v>5815</v>
      </c>
      <c r="O616" s="24" t="s">
        <v>5816</v>
      </c>
      <c r="P616" s="28"/>
      <c r="Q616" s="28" t="str">
        <f aca="false">"["&amp;안내!$C$5&amp;" "&amp;C616&amp;"] "&amp;J616&amp;" | "&amp;H616</f>
        <v>[1분 성경 #0615] 엠마오로 가는 길 | 눅 24:13-35</v>
      </c>
      <c r="R616" s="29" t="n">
        <f aca="false">INT((A616-1)/안내!$C$9)+1</f>
        <v>123</v>
      </c>
      <c r="S616" s="26" t="n">
        <f aca="false">안내!$C$10+(R616-1)*7+MOD(A616-1,안내!$C$9)</f>
        <v>47249</v>
      </c>
      <c r="T616" s="23" t="s">
        <v>99</v>
      </c>
      <c r="U616" s="23" t="s">
        <v>99</v>
      </c>
      <c r="V616" s="23" t="s">
        <v>99</v>
      </c>
      <c r="W616" s="23" t="s">
        <v>99</v>
      </c>
      <c r="X616" s="28"/>
      <c r="Y616" s="28" t="str">
        <f aca="false">"다음 편: "&amp;J617</f>
        <v>다음 편: 하늘로 올라가시다</v>
      </c>
    </row>
    <row r="617" customFormat="false" ht="26.85" hidden="false" customHeight="false" outlineLevel="0" collapsed="false">
      <c r="A617" s="29" t="n">
        <v>616</v>
      </c>
      <c r="B617" s="29" t="s">
        <v>5817</v>
      </c>
      <c r="C617" s="29" t="s">
        <v>5818</v>
      </c>
      <c r="D617" s="29" t="s">
        <v>5736</v>
      </c>
      <c r="E617" s="24" t="s">
        <v>5737</v>
      </c>
      <c r="F617" s="23" t="s">
        <v>4950</v>
      </c>
      <c r="G617" s="23" t="s">
        <v>5571</v>
      </c>
      <c r="H617" s="24" t="s">
        <v>5819</v>
      </c>
      <c r="I617" s="23" t="s">
        <v>91</v>
      </c>
      <c r="J617" s="24" t="s">
        <v>5820</v>
      </c>
      <c r="K617" s="24" t="s">
        <v>5821</v>
      </c>
      <c r="L617" s="24" t="s">
        <v>5822</v>
      </c>
      <c r="M617" s="24" t="s">
        <v>5823</v>
      </c>
      <c r="N617" s="24" t="s">
        <v>5067</v>
      </c>
      <c r="O617" s="24" t="s">
        <v>5824</v>
      </c>
      <c r="P617" s="28"/>
      <c r="Q617" s="28" t="str">
        <f aca="false">"["&amp;안내!$C$5&amp;" "&amp;C617&amp;"] "&amp;J617&amp;" | "&amp;H617</f>
        <v>[1분 성경 #0616] 하늘로 올라가시다 | 눅 24:36-53</v>
      </c>
      <c r="R617" s="29" t="n">
        <f aca="false">INT((A617-1)/안내!$C$9)+1</f>
        <v>124</v>
      </c>
      <c r="S617" s="26" t="n">
        <f aca="false">안내!$C$10+(R617-1)*7+MOD(A617-1,안내!$C$9)</f>
        <v>47252</v>
      </c>
      <c r="T617" s="23" t="s">
        <v>99</v>
      </c>
      <c r="U617" s="23" t="s">
        <v>99</v>
      </c>
      <c r="V617" s="23" t="s">
        <v>99</v>
      </c>
      <c r="W617" s="23" t="s">
        <v>99</v>
      </c>
      <c r="X617" s="28"/>
      <c r="Y617" s="28" t="str">
        <f aca="false">"다음 편: "&amp;J618</f>
        <v>다음 편: 태초에 말씀이 계시니라</v>
      </c>
    </row>
    <row r="618" customFormat="false" ht="26.85" hidden="false" customHeight="false" outlineLevel="0" collapsed="false">
      <c r="A618" s="29" t="n">
        <v>617</v>
      </c>
      <c r="B618" s="29" t="s">
        <v>5825</v>
      </c>
      <c r="C618" s="29" t="s">
        <v>5826</v>
      </c>
      <c r="D618" s="29" t="s">
        <v>5827</v>
      </c>
      <c r="E618" s="24" t="s">
        <v>5828</v>
      </c>
      <c r="F618" s="23" t="s">
        <v>4950</v>
      </c>
      <c r="G618" s="23" t="s">
        <v>5829</v>
      </c>
      <c r="H618" s="24" t="s">
        <v>5830</v>
      </c>
      <c r="I618" s="23" t="s">
        <v>91</v>
      </c>
      <c r="J618" s="24" t="s">
        <v>5831</v>
      </c>
      <c r="K618" s="24" t="s">
        <v>5832</v>
      </c>
      <c r="L618" s="24" t="s">
        <v>5833</v>
      </c>
      <c r="M618" s="24" t="s">
        <v>5834</v>
      </c>
      <c r="N618" s="24" t="s">
        <v>5835</v>
      </c>
      <c r="O618" s="24" t="s">
        <v>5836</v>
      </c>
      <c r="P618" s="27" t="s">
        <v>5837</v>
      </c>
      <c r="Q618" s="28" t="str">
        <f aca="false">"["&amp;안내!$C$5&amp;" "&amp;C618&amp;"] "&amp;J618&amp;" | "&amp;H618</f>
        <v>[1분 성경 #0617] 태초에 말씀이 계시니라 | 요 1:1-18</v>
      </c>
      <c r="R618" s="29" t="n">
        <f aca="false">INT((A618-1)/안내!$C$9)+1</f>
        <v>124</v>
      </c>
      <c r="S618" s="26" t="n">
        <f aca="false">안내!$C$10+(R618-1)*7+MOD(A618-1,안내!$C$9)</f>
        <v>47253</v>
      </c>
      <c r="T618" s="23" t="s">
        <v>99</v>
      </c>
      <c r="U618" s="23" t="s">
        <v>99</v>
      </c>
      <c r="V618" s="23" t="s">
        <v>99</v>
      </c>
      <c r="W618" s="23" t="s">
        <v>99</v>
      </c>
      <c r="X618" s="28"/>
      <c r="Y618" s="28" t="str">
        <f aca="false">"다음 편: "&amp;J619</f>
        <v>다음 편: 하나님의 어린양</v>
      </c>
    </row>
    <row r="619" customFormat="false" ht="26.85" hidden="false" customHeight="false" outlineLevel="0" collapsed="false">
      <c r="A619" s="29" t="n">
        <v>618</v>
      </c>
      <c r="B619" s="29" t="s">
        <v>5838</v>
      </c>
      <c r="C619" s="29" t="s">
        <v>5839</v>
      </c>
      <c r="D619" s="29" t="s">
        <v>5827</v>
      </c>
      <c r="E619" s="24" t="s">
        <v>5828</v>
      </c>
      <c r="F619" s="23" t="s">
        <v>4950</v>
      </c>
      <c r="G619" s="23" t="s">
        <v>5829</v>
      </c>
      <c r="H619" s="24" t="s">
        <v>5840</v>
      </c>
      <c r="I619" s="23" t="s">
        <v>91</v>
      </c>
      <c r="J619" s="24" t="s">
        <v>5841</v>
      </c>
      <c r="K619" s="24" t="s">
        <v>5842</v>
      </c>
      <c r="L619" s="24" t="s">
        <v>5843</v>
      </c>
      <c r="M619" s="24" t="s">
        <v>5844</v>
      </c>
      <c r="N619" s="24" t="s">
        <v>5845</v>
      </c>
      <c r="O619" s="24" t="s">
        <v>5846</v>
      </c>
      <c r="P619" s="28"/>
      <c r="Q619" s="28" t="str">
        <f aca="false">"["&amp;안내!$C$5&amp;" "&amp;C619&amp;"] "&amp;J619&amp;" | "&amp;H619</f>
        <v>[1분 성경 #0618] 하나님의 어린양 | 요 1:19-51</v>
      </c>
      <c r="R619" s="29" t="n">
        <f aca="false">INT((A619-1)/안내!$C$9)+1</f>
        <v>124</v>
      </c>
      <c r="S619" s="26" t="n">
        <f aca="false">안내!$C$10+(R619-1)*7+MOD(A619-1,안내!$C$9)</f>
        <v>47254</v>
      </c>
      <c r="T619" s="23" t="s">
        <v>99</v>
      </c>
      <c r="U619" s="23" t="s">
        <v>99</v>
      </c>
      <c r="V619" s="23" t="s">
        <v>99</v>
      </c>
      <c r="W619" s="23" t="s">
        <v>99</v>
      </c>
      <c r="X619" s="28"/>
      <c r="Y619" s="28" t="str">
        <f aca="false">"다음 편: "&amp;J620</f>
        <v>다음 편: 가나의 혼인 잔치</v>
      </c>
    </row>
    <row r="620" customFormat="false" ht="26.85" hidden="false" customHeight="false" outlineLevel="0" collapsed="false">
      <c r="A620" s="29" t="n">
        <v>619</v>
      </c>
      <c r="B620" s="29" t="s">
        <v>5847</v>
      </c>
      <c r="C620" s="29" t="s">
        <v>5848</v>
      </c>
      <c r="D620" s="29" t="s">
        <v>5827</v>
      </c>
      <c r="E620" s="24" t="s">
        <v>5828</v>
      </c>
      <c r="F620" s="23" t="s">
        <v>4950</v>
      </c>
      <c r="G620" s="23" t="s">
        <v>5829</v>
      </c>
      <c r="H620" s="24" t="s">
        <v>5849</v>
      </c>
      <c r="I620" s="23" t="s">
        <v>91</v>
      </c>
      <c r="J620" s="24" t="s">
        <v>5850</v>
      </c>
      <c r="K620" s="24" t="s">
        <v>5851</v>
      </c>
      <c r="L620" s="24" t="s">
        <v>5852</v>
      </c>
      <c r="M620" s="24" t="s">
        <v>5853</v>
      </c>
      <c r="N620" s="24" t="s">
        <v>5854</v>
      </c>
      <c r="O620" s="24" t="s">
        <v>5855</v>
      </c>
      <c r="P620" s="25" t="s">
        <v>5856</v>
      </c>
      <c r="Q620" s="28" t="str">
        <f aca="false">"["&amp;안내!$C$5&amp;" "&amp;C620&amp;"] "&amp;J620&amp;" | "&amp;H620</f>
        <v>[1분 성경 #0619] 가나의 혼인 잔치 | 요 2:1-12</v>
      </c>
      <c r="R620" s="29" t="n">
        <f aca="false">INT((A620-1)/안내!$C$9)+1</f>
        <v>124</v>
      </c>
      <c r="S620" s="26" t="n">
        <f aca="false">안내!$C$10+(R620-1)*7+MOD(A620-1,안내!$C$9)</f>
        <v>47255</v>
      </c>
      <c r="T620" s="23" t="s">
        <v>99</v>
      </c>
      <c r="U620" s="23" t="s">
        <v>99</v>
      </c>
      <c r="V620" s="23" t="s">
        <v>99</v>
      </c>
      <c r="W620" s="23" t="s">
        <v>99</v>
      </c>
      <c r="X620" s="28"/>
      <c r="Y620" s="28" t="str">
        <f aca="false">"다음 편: "&amp;J621</f>
        <v>다음 편: 성전을 정결하게</v>
      </c>
    </row>
    <row r="621" customFormat="false" ht="26.85" hidden="false" customHeight="false" outlineLevel="0" collapsed="false">
      <c r="A621" s="29" t="n">
        <v>620</v>
      </c>
      <c r="B621" s="29" t="s">
        <v>5857</v>
      </c>
      <c r="C621" s="29" t="s">
        <v>5858</v>
      </c>
      <c r="D621" s="29" t="s">
        <v>5827</v>
      </c>
      <c r="E621" s="24" t="s">
        <v>5828</v>
      </c>
      <c r="F621" s="23" t="s">
        <v>4950</v>
      </c>
      <c r="G621" s="23" t="s">
        <v>5829</v>
      </c>
      <c r="H621" s="24" t="s">
        <v>5859</v>
      </c>
      <c r="I621" s="23" t="s">
        <v>91</v>
      </c>
      <c r="J621" s="24" t="s">
        <v>5860</v>
      </c>
      <c r="K621" s="24" t="s">
        <v>5861</v>
      </c>
      <c r="L621" s="24" t="s">
        <v>5862</v>
      </c>
      <c r="M621" s="24" t="s">
        <v>5863</v>
      </c>
      <c r="N621" s="24" t="s">
        <v>5864</v>
      </c>
      <c r="O621" s="24" t="s">
        <v>2580</v>
      </c>
      <c r="P621" s="28"/>
      <c r="Q621" s="28" t="str">
        <f aca="false">"["&amp;안내!$C$5&amp;" "&amp;C621&amp;"] "&amp;J621&amp;" | "&amp;H621</f>
        <v>[1분 성경 #0620] 성전을 정결하게 | 요 2:13-25</v>
      </c>
      <c r="R621" s="29" t="n">
        <f aca="false">INT((A621-1)/안내!$C$9)+1</f>
        <v>124</v>
      </c>
      <c r="S621" s="26" t="n">
        <f aca="false">안내!$C$10+(R621-1)*7+MOD(A621-1,안내!$C$9)</f>
        <v>47256</v>
      </c>
      <c r="T621" s="23" t="s">
        <v>99</v>
      </c>
      <c r="U621" s="23" t="s">
        <v>99</v>
      </c>
      <c r="V621" s="23" t="s">
        <v>99</v>
      </c>
      <c r="W621" s="23" t="s">
        <v>99</v>
      </c>
      <c r="X621" s="28"/>
      <c r="Y621" s="28" t="str">
        <f aca="false">"다음 편: "&amp;J622</f>
        <v>다음 편: 밤에 찾아온 니고데모</v>
      </c>
    </row>
    <row r="622" customFormat="false" ht="26.85" hidden="false" customHeight="false" outlineLevel="0" collapsed="false">
      <c r="A622" s="29" t="n">
        <v>621</v>
      </c>
      <c r="B622" s="29" t="s">
        <v>5865</v>
      </c>
      <c r="C622" s="29" t="s">
        <v>5866</v>
      </c>
      <c r="D622" s="29" t="s">
        <v>5827</v>
      </c>
      <c r="E622" s="24" t="s">
        <v>5828</v>
      </c>
      <c r="F622" s="23" t="s">
        <v>4950</v>
      </c>
      <c r="G622" s="23" t="s">
        <v>5829</v>
      </c>
      <c r="H622" s="24" t="s">
        <v>5867</v>
      </c>
      <c r="I622" s="23" t="s">
        <v>91</v>
      </c>
      <c r="J622" s="24" t="s">
        <v>5868</v>
      </c>
      <c r="K622" s="24" t="s">
        <v>5869</v>
      </c>
      <c r="L622" s="24" t="s">
        <v>5870</v>
      </c>
      <c r="M622" s="24" t="s">
        <v>5871</v>
      </c>
      <c r="N622" s="24" t="s">
        <v>5872</v>
      </c>
      <c r="O622" s="24" t="s">
        <v>5873</v>
      </c>
      <c r="P622" s="25" t="s">
        <v>5874</v>
      </c>
      <c r="Q622" s="28" t="str">
        <f aca="false">"["&amp;안내!$C$5&amp;" "&amp;C622&amp;"] "&amp;J622&amp;" | "&amp;H622</f>
        <v>[1분 성경 #0621] 밤에 찾아온 니고데모 | 요 3:1-21</v>
      </c>
      <c r="R622" s="29" t="n">
        <f aca="false">INT((A622-1)/안내!$C$9)+1</f>
        <v>125</v>
      </c>
      <c r="S622" s="26" t="n">
        <f aca="false">안내!$C$10+(R622-1)*7+MOD(A622-1,안내!$C$9)</f>
        <v>47259</v>
      </c>
      <c r="T622" s="23" t="s">
        <v>99</v>
      </c>
      <c r="U622" s="23" t="s">
        <v>99</v>
      </c>
      <c r="V622" s="23" t="s">
        <v>99</v>
      </c>
      <c r="W622" s="23" t="s">
        <v>99</v>
      </c>
      <c r="X622" s="28"/>
      <c r="Y622" s="28" t="str">
        <f aca="false">"다음 편: "&amp;J623</f>
        <v>다음 편: 우물가의 여인</v>
      </c>
    </row>
    <row r="623" customFormat="false" ht="26.85" hidden="false" customHeight="false" outlineLevel="0" collapsed="false">
      <c r="A623" s="29" t="n">
        <v>622</v>
      </c>
      <c r="B623" s="29" t="s">
        <v>5875</v>
      </c>
      <c r="C623" s="29" t="s">
        <v>5876</v>
      </c>
      <c r="D623" s="29" t="s">
        <v>5827</v>
      </c>
      <c r="E623" s="24" t="s">
        <v>5828</v>
      </c>
      <c r="F623" s="23" t="s">
        <v>4950</v>
      </c>
      <c r="G623" s="23" t="s">
        <v>5829</v>
      </c>
      <c r="H623" s="24" t="s">
        <v>5877</v>
      </c>
      <c r="I623" s="23" t="s">
        <v>91</v>
      </c>
      <c r="J623" s="24" t="s">
        <v>5878</v>
      </c>
      <c r="K623" s="24" t="s">
        <v>5879</v>
      </c>
      <c r="L623" s="24" t="s">
        <v>5880</v>
      </c>
      <c r="M623" s="24" t="s">
        <v>5881</v>
      </c>
      <c r="N623" s="24" t="s">
        <v>5882</v>
      </c>
      <c r="O623" s="24" t="s">
        <v>5883</v>
      </c>
      <c r="P623" s="25" t="s">
        <v>5884</v>
      </c>
      <c r="Q623" s="28" t="str">
        <f aca="false">"["&amp;안내!$C$5&amp;" "&amp;C623&amp;"] "&amp;J623&amp;" | "&amp;H623</f>
        <v>[1분 성경 #0622] 우물가의 여인 | 요 4:1-42</v>
      </c>
      <c r="R623" s="29" t="n">
        <f aca="false">INT((A623-1)/안내!$C$9)+1</f>
        <v>125</v>
      </c>
      <c r="S623" s="26" t="n">
        <f aca="false">안내!$C$10+(R623-1)*7+MOD(A623-1,안내!$C$9)</f>
        <v>47260</v>
      </c>
      <c r="T623" s="23" t="s">
        <v>99</v>
      </c>
      <c r="U623" s="23" t="s">
        <v>99</v>
      </c>
      <c r="V623" s="23" t="s">
        <v>99</v>
      </c>
      <c r="W623" s="23" t="s">
        <v>99</v>
      </c>
      <c r="X623" s="28"/>
      <c r="Y623" s="28" t="str">
        <f aca="false">"다음 편: "&amp;J624</f>
        <v>다음 편: 말씀만으로</v>
      </c>
    </row>
    <row r="624" customFormat="false" ht="26.85" hidden="false" customHeight="false" outlineLevel="0" collapsed="false">
      <c r="A624" s="29" t="n">
        <v>623</v>
      </c>
      <c r="B624" s="29" t="s">
        <v>5885</v>
      </c>
      <c r="C624" s="29" t="s">
        <v>5886</v>
      </c>
      <c r="D624" s="29" t="s">
        <v>5827</v>
      </c>
      <c r="E624" s="24" t="s">
        <v>5828</v>
      </c>
      <c r="F624" s="23" t="s">
        <v>4950</v>
      </c>
      <c r="G624" s="23" t="s">
        <v>5829</v>
      </c>
      <c r="H624" s="24" t="s">
        <v>5887</v>
      </c>
      <c r="I624" s="23" t="s">
        <v>91</v>
      </c>
      <c r="J624" s="24" t="s">
        <v>5888</v>
      </c>
      <c r="K624" s="24" t="s">
        <v>5889</v>
      </c>
      <c r="L624" s="24" t="s">
        <v>5890</v>
      </c>
      <c r="M624" s="24" t="s">
        <v>5891</v>
      </c>
      <c r="N624" s="24" t="s">
        <v>5892</v>
      </c>
      <c r="O624" s="24" t="s">
        <v>5893</v>
      </c>
      <c r="P624" s="28"/>
      <c r="Q624" s="28" t="str">
        <f aca="false">"["&amp;안내!$C$5&amp;" "&amp;C624&amp;"] "&amp;J624&amp;" | "&amp;H624</f>
        <v>[1분 성경 #0623] 말씀만으로 | 요 4:43-54</v>
      </c>
      <c r="R624" s="29" t="n">
        <f aca="false">INT((A624-1)/안내!$C$9)+1</f>
        <v>125</v>
      </c>
      <c r="S624" s="26" t="n">
        <f aca="false">안내!$C$10+(R624-1)*7+MOD(A624-1,안내!$C$9)</f>
        <v>47261</v>
      </c>
      <c r="T624" s="23" t="s">
        <v>99</v>
      </c>
      <c r="U624" s="23" t="s">
        <v>99</v>
      </c>
      <c r="V624" s="23" t="s">
        <v>99</v>
      </c>
      <c r="W624" s="23" t="s">
        <v>99</v>
      </c>
      <c r="X624" s="28"/>
      <c r="Y624" s="28" t="str">
        <f aca="false">"다음 편: "&amp;J625</f>
        <v>다음 편: 베데스다 연못</v>
      </c>
    </row>
    <row r="625" customFormat="false" ht="26.85" hidden="false" customHeight="false" outlineLevel="0" collapsed="false">
      <c r="A625" s="29" t="n">
        <v>624</v>
      </c>
      <c r="B625" s="29" t="s">
        <v>5894</v>
      </c>
      <c r="C625" s="29" t="s">
        <v>5895</v>
      </c>
      <c r="D625" s="29" t="s">
        <v>5827</v>
      </c>
      <c r="E625" s="24" t="s">
        <v>5828</v>
      </c>
      <c r="F625" s="23" t="s">
        <v>4950</v>
      </c>
      <c r="G625" s="23" t="s">
        <v>5829</v>
      </c>
      <c r="H625" s="24" t="s">
        <v>5896</v>
      </c>
      <c r="I625" s="23" t="s">
        <v>91</v>
      </c>
      <c r="J625" s="24" t="s">
        <v>5897</v>
      </c>
      <c r="K625" s="28" t="s">
        <v>5898</v>
      </c>
      <c r="L625" s="24" t="s">
        <v>5899</v>
      </c>
      <c r="M625" s="24" t="s">
        <v>5900</v>
      </c>
      <c r="N625" s="24" t="s">
        <v>5901</v>
      </c>
      <c r="O625" s="24" t="s">
        <v>5897</v>
      </c>
      <c r="P625" s="28"/>
      <c r="Q625" s="28" t="str">
        <f aca="false">"["&amp;안내!$C$5&amp;" "&amp;C625&amp;"] "&amp;J625&amp;" | "&amp;H625</f>
        <v>[1분 성경 #0624] 베데스다 연못 | 요 5:1-18</v>
      </c>
      <c r="R625" s="29" t="n">
        <f aca="false">INT((A625-1)/안내!$C$9)+1</f>
        <v>125</v>
      </c>
      <c r="S625" s="26" t="n">
        <f aca="false">안내!$C$10+(R625-1)*7+MOD(A625-1,안내!$C$9)</f>
        <v>47262</v>
      </c>
      <c r="T625" s="23" t="s">
        <v>99</v>
      </c>
      <c r="U625" s="23" t="s">
        <v>99</v>
      </c>
      <c r="V625" s="23" t="s">
        <v>99</v>
      </c>
      <c r="W625" s="23" t="s">
        <v>99</v>
      </c>
      <c r="X625" s="28"/>
      <c r="Y625" s="28" t="str">
        <f aca="false">"다음 편: "&amp;J626</f>
        <v>다음 편: 나다 두려워하지 말라</v>
      </c>
    </row>
    <row r="626" customFormat="false" ht="26.85" hidden="false" customHeight="false" outlineLevel="0" collapsed="false">
      <c r="A626" s="29" t="n">
        <v>625</v>
      </c>
      <c r="B626" s="29" t="s">
        <v>5902</v>
      </c>
      <c r="C626" s="29" t="s">
        <v>5903</v>
      </c>
      <c r="D626" s="29" t="s">
        <v>5827</v>
      </c>
      <c r="E626" s="24" t="s">
        <v>5828</v>
      </c>
      <c r="F626" s="23" t="s">
        <v>4950</v>
      </c>
      <c r="G626" s="23" t="s">
        <v>5829</v>
      </c>
      <c r="H626" s="24" t="s">
        <v>5904</v>
      </c>
      <c r="I626" s="23" t="s">
        <v>91</v>
      </c>
      <c r="J626" s="24" t="s">
        <v>5905</v>
      </c>
      <c r="K626" s="24" t="s">
        <v>5906</v>
      </c>
      <c r="L626" s="24" t="s">
        <v>5907</v>
      </c>
      <c r="M626" s="24" t="s">
        <v>5908</v>
      </c>
      <c r="N626" s="24" t="s">
        <v>5909</v>
      </c>
      <c r="O626" s="24" t="s">
        <v>5910</v>
      </c>
      <c r="P626" s="28"/>
      <c r="Q626" s="28" t="str">
        <f aca="false">"["&amp;안내!$C$5&amp;" "&amp;C626&amp;"] "&amp;J626&amp;" | "&amp;H626</f>
        <v>[1분 성경 #0625] 나다 두려워하지 말라 | 요 6:1-21</v>
      </c>
      <c r="R626" s="29" t="n">
        <f aca="false">INT((A626-1)/안내!$C$9)+1</f>
        <v>125</v>
      </c>
      <c r="S626" s="26" t="n">
        <f aca="false">안내!$C$10+(R626-1)*7+MOD(A626-1,안내!$C$9)</f>
        <v>47263</v>
      </c>
      <c r="T626" s="23" t="s">
        <v>99</v>
      </c>
      <c r="U626" s="23" t="s">
        <v>99</v>
      </c>
      <c r="V626" s="23" t="s">
        <v>99</v>
      </c>
      <c r="W626" s="23" t="s">
        <v>99</v>
      </c>
      <c r="X626" s="28"/>
      <c r="Y626" s="28" t="str">
        <f aca="false">"다음 편: "&amp;J627</f>
        <v>다음 편: 생명의 떡</v>
      </c>
    </row>
    <row r="627" customFormat="false" ht="26.85" hidden="false" customHeight="false" outlineLevel="0" collapsed="false">
      <c r="A627" s="29" t="n">
        <v>626</v>
      </c>
      <c r="B627" s="29" t="s">
        <v>5911</v>
      </c>
      <c r="C627" s="29" t="s">
        <v>5912</v>
      </c>
      <c r="D627" s="29" t="s">
        <v>5827</v>
      </c>
      <c r="E627" s="24" t="s">
        <v>5828</v>
      </c>
      <c r="F627" s="23" t="s">
        <v>4950</v>
      </c>
      <c r="G627" s="23" t="s">
        <v>5829</v>
      </c>
      <c r="H627" s="24" t="s">
        <v>5913</v>
      </c>
      <c r="I627" s="23" t="s">
        <v>91</v>
      </c>
      <c r="J627" s="24" t="s">
        <v>5914</v>
      </c>
      <c r="K627" s="24" t="s">
        <v>5915</v>
      </c>
      <c r="L627" s="24" t="s">
        <v>5916</v>
      </c>
      <c r="M627" s="24" t="s">
        <v>5917</v>
      </c>
      <c r="N627" s="24" t="s">
        <v>5918</v>
      </c>
      <c r="O627" s="24" t="s">
        <v>5919</v>
      </c>
      <c r="P627" s="25" t="s">
        <v>5920</v>
      </c>
      <c r="Q627" s="28" t="str">
        <f aca="false">"["&amp;안내!$C$5&amp;" "&amp;C627&amp;"] "&amp;J627&amp;" | "&amp;H627</f>
        <v>[1분 성경 #0626] 생명의 떡 | 요 6:22-71</v>
      </c>
      <c r="R627" s="29" t="n">
        <f aca="false">INT((A627-1)/안내!$C$9)+1</f>
        <v>126</v>
      </c>
      <c r="S627" s="26" t="n">
        <f aca="false">안내!$C$10+(R627-1)*7+MOD(A627-1,안내!$C$9)</f>
        <v>47266</v>
      </c>
      <c r="T627" s="23" t="s">
        <v>99</v>
      </c>
      <c r="U627" s="23" t="s">
        <v>99</v>
      </c>
      <c r="V627" s="23" t="s">
        <v>99</v>
      </c>
      <c r="W627" s="23" t="s">
        <v>99</v>
      </c>
      <c r="X627" s="28"/>
      <c r="Y627" s="28" t="str">
        <f aca="false">"다음 편: "&amp;J628</f>
        <v>다음 편: 생수의 강</v>
      </c>
    </row>
    <row r="628" customFormat="false" ht="26.85" hidden="false" customHeight="false" outlineLevel="0" collapsed="false">
      <c r="A628" s="29" t="n">
        <v>627</v>
      </c>
      <c r="B628" s="29" t="s">
        <v>5921</v>
      </c>
      <c r="C628" s="29" t="s">
        <v>5922</v>
      </c>
      <c r="D628" s="29" t="s">
        <v>5923</v>
      </c>
      <c r="E628" s="24" t="s">
        <v>5924</v>
      </c>
      <c r="F628" s="23" t="s">
        <v>4950</v>
      </c>
      <c r="G628" s="23" t="s">
        <v>5829</v>
      </c>
      <c r="H628" s="24" t="s">
        <v>5925</v>
      </c>
      <c r="I628" s="23" t="s">
        <v>91</v>
      </c>
      <c r="J628" s="24" t="s">
        <v>5926</v>
      </c>
      <c r="K628" s="24" t="s">
        <v>5927</v>
      </c>
      <c r="L628" s="24" t="s">
        <v>5928</v>
      </c>
      <c r="M628" s="24" t="s">
        <v>5929</v>
      </c>
      <c r="N628" s="24" t="s">
        <v>5232</v>
      </c>
      <c r="O628" s="24" t="s">
        <v>5930</v>
      </c>
      <c r="P628" s="28"/>
      <c r="Q628" s="28" t="str">
        <f aca="false">"["&amp;안내!$C$5&amp;" "&amp;C628&amp;"] "&amp;J628&amp;" | "&amp;H628</f>
        <v>[1분 성경 #0627] 생수의 강 | 요 7:1-52</v>
      </c>
      <c r="R628" s="29" t="n">
        <f aca="false">INT((A628-1)/안내!$C$9)+1</f>
        <v>126</v>
      </c>
      <c r="S628" s="26" t="n">
        <f aca="false">안내!$C$10+(R628-1)*7+MOD(A628-1,안내!$C$9)</f>
        <v>47267</v>
      </c>
      <c r="T628" s="23" t="s">
        <v>99</v>
      </c>
      <c r="U628" s="23" t="s">
        <v>99</v>
      </c>
      <c r="V628" s="23" t="s">
        <v>99</v>
      </c>
      <c r="W628" s="23" t="s">
        <v>99</v>
      </c>
      <c r="X628" s="28"/>
      <c r="Y628" s="28" t="str">
        <f aca="false">"다음 편: "&amp;J629</f>
        <v>다음 편: 돌을 내려놓은 사람들</v>
      </c>
    </row>
    <row r="629" customFormat="false" ht="26.85" hidden="false" customHeight="false" outlineLevel="0" collapsed="false">
      <c r="A629" s="29" t="n">
        <v>628</v>
      </c>
      <c r="B629" s="29" t="s">
        <v>5931</v>
      </c>
      <c r="C629" s="29" t="s">
        <v>5932</v>
      </c>
      <c r="D629" s="29" t="s">
        <v>5923</v>
      </c>
      <c r="E629" s="24" t="s">
        <v>5924</v>
      </c>
      <c r="F629" s="23" t="s">
        <v>4950</v>
      </c>
      <c r="G629" s="23" t="s">
        <v>5829</v>
      </c>
      <c r="H629" s="24" t="s">
        <v>5933</v>
      </c>
      <c r="I629" s="23" t="s">
        <v>91</v>
      </c>
      <c r="J629" s="24" t="s">
        <v>5934</v>
      </c>
      <c r="K629" s="24" t="s">
        <v>5935</v>
      </c>
      <c r="L629" s="24" t="s">
        <v>5936</v>
      </c>
      <c r="M629" s="24" t="s">
        <v>5937</v>
      </c>
      <c r="N629" s="24" t="s">
        <v>5938</v>
      </c>
      <c r="O629" s="24" t="s">
        <v>2580</v>
      </c>
      <c r="P629" s="25" t="s">
        <v>5939</v>
      </c>
      <c r="Q629" s="28" t="str">
        <f aca="false">"["&amp;안내!$C$5&amp;" "&amp;C629&amp;"] "&amp;J629&amp;" | "&amp;H629</f>
        <v>[1분 성경 #0628] 돌을 내려놓은 사람들 | 요 8:1-11</v>
      </c>
      <c r="R629" s="29" t="n">
        <f aca="false">INT((A629-1)/안내!$C$9)+1</f>
        <v>126</v>
      </c>
      <c r="S629" s="26" t="n">
        <f aca="false">안내!$C$10+(R629-1)*7+MOD(A629-1,안내!$C$9)</f>
        <v>47268</v>
      </c>
      <c r="T629" s="23" t="s">
        <v>99</v>
      </c>
      <c r="U629" s="23" t="s">
        <v>99</v>
      </c>
      <c r="V629" s="23" t="s">
        <v>99</v>
      </c>
      <c r="W629" s="23" t="s">
        <v>99</v>
      </c>
      <c r="X629" s="28"/>
      <c r="Y629" s="28" t="str">
        <f aca="false">"다음 편: "&amp;J630</f>
        <v>다음 편: 아브라함이 나기 전부터</v>
      </c>
    </row>
    <row r="630" customFormat="false" ht="26.85" hidden="false" customHeight="false" outlineLevel="0" collapsed="false">
      <c r="A630" s="29" t="n">
        <v>629</v>
      </c>
      <c r="B630" s="29" t="s">
        <v>5940</v>
      </c>
      <c r="C630" s="29" t="s">
        <v>5941</v>
      </c>
      <c r="D630" s="29" t="s">
        <v>5923</v>
      </c>
      <c r="E630" s="24" t="s">
        <v>5924</v>
      </c>
      <c r="F630" s="23" t="s">
        <v>4950</v>
      </c>
      <c r="G630" s="23" t="s">
        <v>5829</v>
      </c>
      <c r="H630" s="24" t="s">
        <v>5942</v>
      </c>
      <c r="I630" s="23" t="s">
        <v>91</v>
      </c>
      <c r="J630" s="24" t="s">
        <v>5943</v>
      </c>
      <c r="K630" s="24" t="s">
        <v>5944</v>
      </c>
      <c r="L630" s="24" t="s">
        <v>5945</v>
      </c>
      <c r="M630" s="24" t="s">
        <v>5946</v>
      </c>
      <c r="N630" s="24" t="s">
        <v>5947</v>
      </c>
      <c r="O630" s="24" t="s">
        <v>5948</v>
      </c>
      <c r="P630" s="28"/>
      <c r="Q630" s="28" t="str">
        <f aca="false">"["&amp;안내!$C$5&amp;" "&amp;C630&amp;"] "&amp;J630&amp;" | "&amp;H630</f>
        <v>[1분 성경 #0629] 아브라함이 나기 전부터 | 요 8:12-59</v>
      </c>
      <c r="R630" s="29" t="n">
        <f aca="false">INT((A630-1)/안내!$C$9)+1</f>
        <v>126</v>
      </c>
      <c r="S630" s="26" t="n">
        <f aca="false">안내!$C$10+(R630-1)*7+MOD(A630-1,안내!$C$9)</f>
        <v>47269</v>
      </c>
      <c r="T630" s="23" t="s">
        <v>99</v>
      </c>
      <c r="U630" s="23" t="s">
        <v>99</v>
      </c>
      <c r="V630" s="23" t="s">
        <v>99</v>
      </c>
      <c r="W630" s="23" t="s">
        <v>99</v>
      </c>
      <c r="X630" s="28"/>
      <c r="Y630" s="28" t="str">
        <f aca="false">"다음 편: "&amp;J631</f>
        <v>다음 편: 날 때부터 맹인 된 사람</v>
      </c>
    </row>
    <row r="631" customFormat="false" ht="26.85" hidden="false" customHeight="false" outlineLevel="0" collapsed="false">
      <c r="A631" s="29" t="n">
        <v>630</v>
      </c>
      <c r="B631" s="29" t="s">
        <v>5949</v>
      </c>
      <c r="C631" s="29" t="s">
        <v>5950</v>
      </c>
      <c r="D631" s="29" t="s">
        <v>5923</v>
      </c>
      <c r="E631" s="24" t="s">
        <v>5924</v>
      </c>
      <c r="F631" s="23" t="s">
        <v>4950</v>
      </c>
      <c r="G631" s="23" t="s">
        <v>5829</v>
      </c>
      <c r="H631" s="24" t="s">
        <v>5951</v>
      </c>
      <c r="I631" s="23" t="s">
        <v>91</v>
      </c>
      <c r="J631" s="24" t="s">
        <v>5952</v>
      </c>
      <c r="K631" s="24" t="s">
        <v>5953</v>
      </c>
      <c r="L631" s="24" t="s">
        <v>5954</v>
      </c>
      <c r="M631" s="24" t="s">
        <v>5955</v>
      </c>
      <c r="N631" s="24" t="s">
        <v>5956</v>
      </c>
      <c r="O631" s="24" t="s">
        <v>5957</v>
      </c>
      <c r="P631" s="28"/>
      <c r="Q631" s="28" t="str">
        <f aca="false">"["&amp;안내!$C$5&amp;" "&amp;C631&amp;"] "&amp;J631&amp;" | "&amp;H631</f>
        <v>[1분 성경 #0630] 날 때부터 맹인 된 사람 | 요 9:1-41</v>
      </c>
      <c r="R631" s="29" t="n">
        <f aca="false">INT((A631-1)/안내!$C$9)+1</f>
        <v>126</v>
      </c>
      <c r="S631" s="26" t="n">
        <f aca="false">안내!$C$10+(R631-1)*7+MOD(A631-1,안내!$C$9)</f>
        <v>47270</v>
      </c>
      <c r="T631" s="23" t="s">
        <v>99</v>
      </c>
      <c r="U631" s="23" t="s">
        <v>99</v>
      </c>
      <c r="V631" s="23" t="s">
        <v>99</v>
      </c>
      <c r="W631" s="23" t="s">
        <v>99</v>
      </c>
      <c r="X631" s="28"/>
      <c r="Y631" s="28" t="str">
        <f aca="false">"다음 편: "&amp;J632</f>
        <v>다음 편: 선한 목자</v>
      </c>
    </row>
    <row r="632" customFormat="false" ht="15" hidden="false" customHeight="false" outlineLevel="0" collapsed="false">
      <c r="A632" s="29" t="n">
        <v>631</v>
      </c>
      <c r="B632" s="29" t="s">
        <v>5958</v>
      </c>
      <c r="C632" s="29" t="s">
        <v>5959</v>
      </c>
      <c r="D632" s="29" t="s">
        <v>5923</v>
      </c>
      <c r="E632" s="24" t="s">
        <v>5924</v>
      </c>
      <c r="F632" s="23" t="s">
        <v>4950</v>
      </c>
      <c r="G632" s="23" t="s">
        <v>5829</v>
      </c>
      <c r="H632" s="24" t="s">
        <v>5960</v>
      </c>
      <c r="I632" s="23" t="s">
        <v>91</v>
      </c>
      <c r="J632" s="24" t="s">
        <v>5961</v>
      </c>
      <c r="K632" s="24" t="s">
        <v>5962</v>
      </c>
      <c r="L632" s="24" t="s">
        <v>5963</v>
      </c>
      <c r="M632" s="24" t="s">
        <v>5964</v>
      </c>
      <c r="N632" s="24" t="s">
        <v>5965</v>
      </c>
      <c r="O632" s="24" t="s">
        <v>5966</v>
      </c>
      <c r="P632" s="28"/>
      <c r="Q632" s="28" t="str">
        <f aca="false">"["&amp;안내!$C$5&amp;" "&amp;C632&amp;"] "&amp;J632&amp;" | "&amp;H632</f>
        <v>[1분 성경 #0631] 선한 목자 | 요 10:1-42</v>
      </c>
      <c r="R632" s="29" t="n">
        <f aca="false">INT((A632-1)/안내!$C$9)+1</f>
        <v>127</v>
      </c>
      <c r="S632" s="26" t="n">
        <f aca="false">안내!$C$10+(R632-1)*7+MOD(A632-1,안내!$C$9)</f>
        <v>47273</v>
      </c>
      <c r="T632" s="23" t="s">
        <v>99</v>
      </c>
      <c r="U632" s="23" t="s">
        <v>99</v>
      </c>
      <c r="V632" s="23" t="s">
        <v>99</v>
      </c>
      <c r="W632" s="23" t="s">
        <v>99</v>
      </c>
      <c r="X632" s="28"/>
      <c r="Y632" s="28" t="str">
        <f aca="false">"다음 편: "&amp;J633</f>
        <v>다음 편: 나사로야 나오라</v>
      </c>
    </row>
    <row r="633" customFormat="false" ht="26.85" hidden="false" customHeight="false" outlineLevel="0" collapsed="false">
      <c r="A633" s="29" t="n">
        <v>632</v>
      </c>
      <c r="B633" s="29" t="s">
        <v>5967</v>
      </c>
      <c r="C633" s="29" t="s">
        <v>5968</v>
      </c>
      <c r="D633" s="29" t="s">
        <v>5923</v>
      </c>
      <c r="E633" s="24" t="s">
        <v>5924</v>
      </c>
      <c r="F633" s="23" t="s">
        <v>4950</v>
      </c>
      <c r="G633" s="23" t="s">
        <v>5829</v>
      </c>
      <c r="H633" s="24" t="s">
        <v>5969</v>
      </c>
      <c r="I633" s="23" t="s">
        <v>91</v>
      </c>
      <c r="J633" s="24" t="s">
        <v>5970</v>
      </c>
      <c r="K633" s="24" t="s">
        <v>5971</v>
      </c>
      <c r="L633" s="24" t="s">
        <v>5972</v>
      </c>
      <c r="M633" s="24" t="s">
        <v>5973</v>
      </c>
      <c r="N633" s="24" t="s">
        <v>5974</v>
      </c>
      <c r="O633" s="24" t="s">
        <v>5975</v>
      </c>
      <c r="P633" s="28"/>
      <c r="Q633" s="28" t="str">
        <f aca="false">"["&amp;안내!$C$5&amp;" "&amp;C633&amp;"] "&amp;J633&amp;" | "&amp;H633</f>
        <v>[1분 성경 #0632] 나사로야 나오라 | 요 11:1-44</v>
      </c>
      <c r="R633" s="29" t="n">
        <f aca="false">INT((A633-1)/안내!$C$9)+1</f>
        <v>127</v>
      </c>
      <c r="S633" s="26" t="n">
        <f aca="false">안내!$C$10+(R633-1)*7+MOD(A633-1,안내!$C$9)</f>
        <v>47274</v>
      </c>
      <c r="T633" s="23" t="s">
        <v>99</v>
      </c>
      <c r="U633" s="23" t="s">
        <v>99</v>
      </c>
      <c r="V633" s="23" t="s">
        <v>99</v>
      </c>
      <c r="W633" s="23" t="s">
        <v>99</v>
      </c>
      <c r="X633" s="28"/>
      <c r="Y633" s="28" t="str">
        <f aca="false">"다음 편: "&amp;J634</f>
        <v>다음 편: 나드 향유</v>
      </c>
    </row>
    <row r="634" customFormat="false" ht="26.85" hidden="false" customHeight="false" outlineLevel="0" collapsed="false">
      <c r="A634" s="29" t="n">
        <v>633</v>
      </c>
      <c r="B634" s="29" t="s">
        <v>5976</v>
      </c>
      <c r="C634" s="29" t="s">
        <v>5977</v>
      </c>
      <c r="D634" s="29" t="s">
        <v>5923</v>
      </c>
      <c r="E634" s="24" t="s">
        <v>5924</v>
      </c>
      <c r="F634" s="23" t="s">
        <v>4950</v>
      </c>
      <c r="G634" s="23" t="s">
        <v>5829</v>
      </c>
      <c r="H634" s="24" t="s">
        <v>5978</v>
      </c>
      <c r="I634" s="23" t="s">
        <v>91</v>
      </c>
      <c r="J634" s="24" t="s">
        <v>5979</v>
      </c>
      <c r="K634" s="24" t="s">
        <v>5980</v>
      </c>
      <c r="L634" s="24" t="s">
        <v>5981</v>
      </c>
      <c r="M634" s="24" t="s">
        <v>5982</v>
      </c>
      <c r="N634" s="24" t="s">
        <v>5983</v>
      </c>
      <c r="O634" s="24" t="s">
        <v>5984</v>
      </c>
      <c r="P634" s="28"/>
      <c r="Q634" s="28" t="str">
        <f aca="false">"["&amp;안내!$C$5&amp;" "&amp;C634&amp;"] "&amp;J634&amp;" | "&amp;H634</f>
        <v>[1분 성경 #0633] 나드 향유 | 요 11:45-12:11</v>
      </c>
      <c r="R634" s="29" t="n">
        <f aca="false">INT((A634-1)/안내!$C$9)+1</f>
        <v>127</v>
      </c>
      <c r="S634" s="26" t="n">
        <f aca="false">안내!$C$10+(R634-1)*7+MOD(A634-1,안내!$C$9)</f>
        <v>47275</v>
      </c>
      <c r="T634" s="23" t="s">
        <v>99</v>
      </c>
      <c r="U634" s="23" t="s">
        <v>99</v>
      </c>
      <c r="V634" s="23" t="s">
        <v>99</v>
      </c>
      <c r="W634" s="23" t="s">
        <v>99</v>
      </c>
      <c r="X634" s="28"/>
      <c r="Y634" s="28" t="str">
        <f aca="false">"다음 편: "&amp;J635</f>
        <v>다음 편: 한 알의 밀</v>
      </c>
    </row>
    <row r="635" customFormat="false" ht="26.85" hidden="false" customHeight="false" outlineLevel="0" collapsed="false">
      <c r="A635" s="29" t="n">
        <v>634</v>
      </c>
      <c r="B635" s="29" t="s">
        <v>5985</v>
      </c>
      <c r="C635" s="29" t="s">
        <v>5986</v>
      </c>
      <c r="D635" s="29" t="s">
        <v>5923</v>
      </c>
      <c r="E635" s="24" t="s">
        <v>5924</v>
      </c>
      <c r="F635" s="23" t="s">
        <v>4950</v>
      </c>
      <c r="G635" s="23" t="s">
        <v>5829</v>
      </c>
      <c r="H635" s="24" t="s">
        <v>5987</v>
      </c>
      <c r="I635" s="23" t="s">
        <v>91</v>
      </c>
      <c r="J635" s="24" t="s">
        <v>5988</v>
      </c>
      <c r="K635" s="24" t="s">
        <v>5989</v>
      </c>
      <c r="L635" s="24" t="s">
        <v>5990</v>
      </c>
      <c r="M635" s="24" t="s">
        <v>5991</v>
      </c>
      <c r="N635" s="24" t="s">
        <v>5992</v>
      </c>
      <c r="O635" s="24" t="s">
        <v>2447</v>
      </c>
      <c r="P635" s="28"/>
      <c r="Q635" s="28" t="str">
        <f aca="false">"["&amp;안내!$C$5&amp;" "&amp;C635&amp;"] "&amp;J635&amp;" | "&amp;H635</f>
        <v>[1분 성경 #0634] 한 알의 밀 | 요 12:12-50</v>
      </c>
      <c r="R635" s="29" t="n">
        <f aca="false">INT((A635-1)/안내!$C$9)+1</f>
        <v>127</v>
      </c>
      <c r="S635" s="26" t="n">
        <f aca="false">안내!$C$10+(R635-1)*7+MOD(A635-1,안내!$C$9)</f>
        <v>47276</v>
      </c>
      <c r="T635" s="23" t="s">
        <v>99</v>
      </c>
      <c r="U635" s="23" t="s">
        <v>99</v>
      </c>
      <c r="V635" s="23" t="s">
        <v>99</v>
      </c>
      <c r="W635" s="23" t="s">
        <v>99</v>
      </c>
      <c r="X635" s="28"/>
      <c r="Y635" s="28" t="str">
        <f aca="false">"다음 편: "&amp;J636</f>
        <v>다음 편: 발을 씻기신 예수님</v>
      </c>
    </row>
    <row r="636" customFormat="false" ht="15" hidden="false" customHeight="false" outlineLevel="0" collapsed="false">
      <c r="A636" s="29" t="n">
        <v>635</v>
      </c>
      <c r="B636" s="29" t="s">
        <v>5993</v>
      </c>
      <c r="C636" s="29" t="s">
        <v>5994</v>
      </c>
      <c r="D636" s="29" t="s">
        <v>5995</v>
      </c>
      <c r="E636" s="24" t="s">
        <v>5996</v>
      </c>
      <c r="F636" s="23" t="s">
        <v>4950</v>
      </c>
      <c r="G636" s="23" t="s">
        <v>5829</v>
      </c>
      <c r="H636" s="24" t="s">
        <v>5997</v>
      </c>
      <c r="I636" s="23" t="s">
        <v>91</v>
      </c>
      <c r="J636" s="24" t="s">
        <v>5998</v>
      </c>
      <c r="K636" s="24" t="s">
        <v>5999</v>
      </c>
      <c r="L636" s="24" t="s">
        <v>6000</v>
      </c>
      <c r="M636" s="24" t="s">
        <v>6001</v>
      </c>
      <c r="N636" s="24" t="s">
        <v>5214</v>
      </c>
      <c r="O636" s="24" t="s">
        <v>6002</v>
      </c>
      <c r="P636" s="28"/>
      <c r="Q636" s="28" t="str">
        <f aca="false">"["&amp;안내!$C$5&amp;" "&amp;C636&amp;"] "&amp;J636&amp;" | "&amp;H636</f>
        <v>[1분 성경 #0635] 발을 씻기신 예수님 | 요 13:1-20</v>
      </c>
      <c r="R636" s="29" t="n">
        <f aca="false">INT((A636-1)/안내!$C$9)+1</f>
        <v>127</v>
      </c>
      <c r="S636" s="26" t="n">
        <f aca="false">안내!$C$10+(R636-1)*7+MOD(A636-1,안내!$C$9)</f>
        <v>47277</v>
      </c>
      <c r="T636" s="23" t="s">
        <v>99</v>
      </c>
      <c r="U636" s="23" t="s">
        <v>99</v>
      </c>
      <c r="V636" s="23" t="s">
        <v>99</v>
      </c>
      <c r="W636" s="23" t="s">
        <v>99</v>
      </c>
      <c r="X636" s="28"/>
      <c r="Y636" s="28" t="str">
        <f aca="false">"다음 편: "&amp;J637</f>
        <v>다음 편: 새 계명</v>
      </c>
    </row>
    <row r="637" customFormat="false" ht="26.85" hidden="false" customHeight="false" outlineLevel="0" collapsed="false">
      <c r="A637" s="29" t="n">
        <v>636</v>
      </c>
      <c r="B637" s="29" t="s">
        <v>6003</v>
      </c>
      <c r="C637" s="29" t="s">
        <v>6004</v>
      </c>
      <c r="D637" s="29" t="s">
        <v>5995</v>
      </c>
      <c r="E637" s="24" t="s">
        <v>5996</v>
      </c>
      <c r="F637" s="23" t="s">
        <v>4950</v>
      </c>
      <c r="G637" s="23" t="s">
        <v>5829</v>
      </c>
      <c r="H637" s="24" t="s">
        <v>6005</v>
      </c>
      <c r="I637" s="23" t="s">
        <v>91</v>
      </c>
      <c r="J637" s="24" t="s">
        <v>6006</v>
      </c>
      <c r="K637" s="24" t="s">
        <v>6007</v>
      </c>
      <c r="L637" s="24" t="s">
        <v>6008</v>
      </c>
      <c r="M637" s="24" t="s">
        <v>6009</v>
      </c>
      <c r="N637" s="24" t="s">
        <v>6010</v>
      </c>
      <c r="O637" s="24" t="s">
        <v>6011</v>
      </c>
      <c r="P637" s="28"/>
      <c r="Q637" s="28" t="str">
        <f aca="false">"["&amp;안내!$C$5&amp;" "&amp;C637&amp;"] "&amp;J637&amp;" | "&amp;H637</f>
        <v>[1분 성경 #0636] 새 계명 | 요 13:21-38</v>
      </c>
      <c r="R637" s="29" t="n">
        <f aca="false">INT((A637-1)/안내!$C$9)+1</f>
        <v>128</v>
      </c>
      <c r="S637" s="26" t="n">
        <f aca="false">안내!$C$10+(R637-1)*7+MOD(A637-1,안내!$C$9)</f>
        <v>47280</v>
      </c>
      <c r="T637" s="23" t="s">
        <v>99</v>
      </c>
      <c r="U637" s="23" t="s">
        <v>99</v>
      </c>
      <c r="V637" s="23" t="s">
        <v>99</v>
      </c>
      <c r="W637" s="23" t="s">
        <v>99</v>
      </c>
      <c r="X637" s="28"/>
      <c r="Y637" s="28" t="str">
        <f aca="false">"다음 편: "&amp;J638</f>
        <v>다음 편: 나는 길이요</v>
      </c>
    </row>
    <row r="638" customFormat="false" ht="39.55" hidden="false" customHeight="false" outlineLevel="0" collapsed="false">
      <c r="A638" s="29" t="n">
        <v>637</v>
      </c>
      <c r="B638" s="29" t="s">
        <v>6012</v>
      </c>
      <c r="C638" s="29" t="s">
        <v>6013</v>
      </c>
      <c r="D638" s="29" t="s">
        <v>5995</v>
      </c>
      <c r="E638" s="24" t="s">
        <v>5996</v>
      </c>
      <c r="F638" s="23" t="s">
        <v>4950</v>
      </c>
      <c r="G638" s="23" t="s">
        <v>5829</v>
      </c>
      <c r="H638" s="24" t="s">
        <v>6014</v>
      </c>
      <c r="I638" s="23" t="s">
        <v>91</v>
      </c>
      <c r="J638" s="24" t="s">
        <v>6015</v>
      </c>
      <c r="K638" s="24" t="s">
        <v>6016</v>
      </c>
      <c r="L638" s="24" t="s">
        <v>6017</v>
      </c>
      <c r="M638" s="24" t="s">
        <v>6018</v>
      </c>
      <c r="N638" s="24" t="s">
        <v>6019</v>
      </c>
      <c r="O638" s="24" t="s">
        <v>6002</v>
      </c>
      <c r="P638" s="25" t="s">
        <v>6020</v>
      </c>
      <c r="Q638" s="28" t="str">
        <f aca="false">"["&amp;안내!$C$5&amp;" "&amp;C638&amp;"] "&amp;J638&amp;" | "&amp;H638</f>
        <v>[1분 성경 #0637] 나는 길이요 | 요 14:1-31</v>
      </c>
      <c r="R638" s="29" t="n">
        <f aca="false">INT((A638-1)/안내!$C$9)+1</f>
        <v>128</v>
      </c>
      <c r="S638" s="26" t="n">
        <f aca="false">안내!$C$10+(R638-1)*7+MOD(A638-1,안내!$C$9)</f>
        <v>47281</v>
      </c>
      <c r="T638" s="23" t="s">
        <v>99</v>
      </c>
      <c r="U638" s="23" t="s">
        <v>99</v>
      </c>
      <c r="V638" s="23" t="s">
        <v>99</v>
      </c>
      <c r="W638" s="23" t="s">
        <v>99</v>
      </c>
      <c r="X638" s="28"/>
      <c r="Y638" s="28" t="str">
        <f aca="false">"다음 편: "&amp;J639</f>
        <v>다음 편: 포도나무와 가지</v>
      </c>
    </row>
    <row r="639" customFormat="false" ht="15" hidden="false" customHeight="false" outlineLevel="0" collapsed="false">
      <c r="A639" s="29" t="n">
        <v>638</v>
      </c>
      <c r="B639" s="29" t="s">
        <v>6021</v>
      </c>
      <c r="C639" s="29" t="s">
        <v>6022</v>
      </c>
      <c r="D639" s="29" t="s">
        <v>5995</v>
      </c>
      <c r="E639" s="24" t="s">
        <v>5996</v>
      </c>
      <c r="F639" s="23" t="s">
        <v>4950</v>
      </c>
      <c r="G639" s="23" t="s">
        <v>5829</v>
      </c>
      <c r="H639" s="24" t="s">
        <v>6023</v>
      </c>
      <c r="I639" s="23" t="s">
        <v>91</v>
      </c>
      <c r="J639" s="24" t="s">
        <v>6024</v>
      </c>
      <c r="K639" s="24" t="s">
        <v>6025</v>
      </c>
      <c r="L639" s="24" t="s">
        <v>6026</v>
      </c>
      <c r="M639" s="24" t="s">
        <v>6027</v>
      </c>
      <c r="N639" s="24" t="s">
        <v>5067</v>
      </c>
      <c r="O639" s="24" t="s">
        <v>3925</v>
      </c>
      <c r="P639" s="28"/>
      <c r="Q639" s="28" t="str">
        <f aca="false">"["&amp;안내!$C$5&amp;" "&amp;C639&amp;"] "&amp;J639&amp;" | "&amp;H639</f>
        <v>[1분 성경 #0638] 포도나무와 가지 | 요 15:1-27</v>
      </c>
      <c r="R639" s="29" t="n">
        <f aca="false">INT((A639-1)/안내!$C$9)+1</f>
        <v>128</v>
      </c>
      <c r="S639" s="26" t="n">
        <f aca="false">안내!$C$10+(R639-1)*7+MOD(A639-1,안내!$C$9)</f>
        <v>47282</v>
      </c>
      <c r="T639" s="23" t="s">
        <v>99</v>
      </c>
      <c r="U639" s="23" t="s">
        <v>99</v>
      </c>
      <c r="V639" s="23" t="s">
        <v>99</v>
      </c>
      <c r="W639" s="23" t="s">
        <v>99</v>
      </c>
      <c r="X639" s="28"/>
      <c r="Y639" s="28" t="str">
        <f aca="false">"다음 편: "&amp;J640</f>
        <v>다음 편: 세상을 이겼노라</v>
      </c>
    </row>
    <row r="640" customFormat="false" ht="15" hidden="false" customHeight="false" outlineLevel="0" collapsed="false">
      <c r="A640" s="29" t="n">
        <v>639</v>
      </c>
      <c r="B640" s="29" t="s">
        <v>6028</v>
      </c>
      <c r="C640" s="29" t="s">
        <v>6029</v>
      </c>
      <c r="D640" s="29" t="s">
        <v>5995</v>
      </c>
      <c r="E640" s="24" t="s">
        <v>5996</v>
      </c>
      <c r="F640" s="23" t="s">
        <v>4950</v>
      </c>
      <c r="G640" s="23" t="s">
        <v>5829</v>
      </c>
      <c r="H640" s="24" t="s">
        <v>6030</v>
      </c>
      <c r="I640" s="23" t="s">
        <v>91</v>
      </c>
      <c r="J640" s="24" t="s">
        <v>6031</v>
      </c>
      <c r="K640" s="24" t="s">
        <v>6032</v>
      </c>
      <c r="L640" s="24" t="s">
        <v>6033</v>
      </c>
      <c r="M640" s="24" t="s">
        <v>6034</v>
      </c>
      <c r="N640" s="24" t="s">
        <v>5067</v>
      </c>
      <c r="O640" s="24" t="s">
        <v>6035</v>
      </c>
      <c r="P640" s="28"/>
      <c r="Q640" s="28" t="str">
        <f aca="false">"["&amp;안내!$C$5&amp;" "&amp;C640&amp;"] "&amp;J640&amp;" | "&amp;H640</f>
        <v>[1분 성경 #0639] 세상을 이겼노라 | 요 16:1-33</v>
      </c>
      <c r="R640" s="29" t="n">
        <f aca="false">INT((A640-1)/안내!$C$9)+1</f>
        <v>128</v>
      </c>
      <c r="S640" s="26" t="n">
        <f aca="false">안내!$C$10+(R640-1)*7+MOD(A640-1,안내!$C$9)</f>
        <v>47283</v>
      </c>
      <c r="T640" s="23" t="s">
        <v>99</v>
      </c>
      <c r="U640" s="23" t="s">
        <v>99</v>
      </c>
      <c r="V640" s="23" t="s">
        <v>99</v>
      </c>
      <c r="W640" s="23" t="s">
        <v>99</v>
      </c>
      <c r="X640" s="28"/>
      <c r="Y640" s="28" t="str">
        <f aca="false">"다음 편: "&amp;J641</f>
        <v>다음 편: 예수님의 기도</v>
      </c>
    </row>
    <row r="641" customFormat="false" ht="26.85" hidden="false" customHeight="false" outlineLevel="0" collapsed="false">
      <c r="A641" s="29" t="n">
        <v>640</v>
      </c>
      <c r="B641" s="29" t="s">
        <v>6036</v>
      </c>
      <c r="C641" s="29" t="s">
        <v>6037</v>
      </c>
      <c r="D641" s="29" t="s">
        <v>5995</v>
      </c>
      <c r="E641" s="24" t="s">
        <v>5996</v>
      </c>
      <c r="F641" s="23" t="s">
        <v>4950</v>
      </c>
      <c r="G641" s="23" t="s">
        <v>5829</v>
      </c>
      <c r="H641" s="24" t="s">
        <v>6038</v>
      </c>
      <c r="I641" s="23" t="s">
        <v>91</v>
      </c>
      <c r="J641" s="24" t="s">
        <v>6039</v>
      </c>
      <c r="K641" s="24" t="s">
        <v>6040</v>
      </c>
      <c r="L641" s="24" t="s">
        <v>6041</v>
      </c>
      <c r="M641" s="24" t="s">
        <v>6042</v>
      </c>
      <c r="N641" s="24" t="s">
        <v>6043</v>
      </c>
      <c r="O641" s="24" t="s">
        <v>6044</v>
      </c>
      <c r="P641" s="28"/>
      <c r="Q641" s="28" t="str">
        <f aca="false">"["&amp;안내!$C$5&amp;" "&amp;C641&amp;"] "&amp;J641&amp;" | "&amp;H641</f>
        <v>[1분 성경 #0640] 예수님의 기도 | 요 17:1-26</v>
      </c>
      <c r="R641" s="29" t="n">
        <f aca="false">INT((A641-1)/안내!$C$9)+1</f>
        <v>128</v>
      </c>
      <c r="S641" s="26" t="n">
        <f aca="false">안내!$C$10+(R641-1)*7+MOD(A641-1,안내!$C$9)</f>
        <v>47284</v>
      </c>
      <c r="T641" s="23" t="s">
        <v>99</v>
      </c>
      <c r="U641" s="23" t="s">
        <v>99</v>
      </c>
      <c r="V641" s="23" t="s">
        <v>99</v>
      </c>
      <c r="W641" s="23" t="s">
        <v>99</v>
      </c>
      <c r="X641" s="28"/>
      <c r="Y641" s="28" t="str">
        <f aca="false">"다음 편: "&amp;J642</f>
        <v>다음 편: 잡히신 예수님</v>
      </c>
    </row>
    <row r="642" customFormat="false" ht="26.85" hidden="false" customHeight="false" outlineLevel="0" collapsed="false">
      <c r="A642" s="29" t="n">
        <v>641</v>
      </c>
      <c r="B642" s="29" t="s">
        <v>6045</v>
      </c>
      <c r="C642" s="29" t="s">
        <v>6046</v>
      </c>
      <c r="D642" s="29" t="s">
        <v>5995</v>
      </c>
      <c r="E642" s="24" t="s">
        <v>5996</v>
      </c>
      <c r="F642" s="23" t="s">
        <v>4950</v>
      </c>
      <c r="G642" s="23" t="s">
        <v>5829</v>
      </c>
      <c r="H642" s="24" t="s">
        <v>6047</v>
      </c>
      <c r="I642" s="23" t="s">
        <v>91</v>
      </c>
      <c r="J642" s="24" t="s">
        <v>6048</v>
      </c>
      <c r="K642" s="24" t="s">
        <v>6049</v>
      </c>
      <c r="L642" s="24" t="s">
        <v>6050</v>
      </c>
      <c r="M642" s="24" t="s">
        <v>6051</v>
      </c>
      <c r="N642" s="24" t="s">
        <v>6052</v>
      </c>
      <c r="O642" s="24" t="s">
        <v>6053</v>
      </c>
      <c r="P642" s="28"/>
      <c r="Q642" s="28" t="str">
        <f aca="false">"["&amp;안내!$C$5&amp;" "&amp;C642&amp;"] "&amp;J642&amp;" | "&amp;H642</f>
        <v>[1분 성경 #0641] 잡히신 예수님 | 요 18:1-27</v>
      </c>
      <c r="R642" s="29" t="n">
        <f aca="false">INT((A642-1)/안내!$C$9)+1</f>
        <v>129</v>
      </c>
      <c r="S642" s="26" t="n">
        <f aca="false">안내!$C$10+(R642-1)*7+MOD(A642-1,안내!$C$9)</f>
        <v>47287</v>
      </c>
      <c r="T642" s="23" t="s">
        <v>99</v>
      </c>
      <c r="U642" s="23" t="s">
        <v>99</v>
      </c>
      <c r="V642" s="23" t="s">
        <v>99</v>
      </c>
      <c r="W642" s="23" t="s">
        <v>99</v>
      </c>
      <c r="X642" s="28"/>
      <c r="Y642" s="28" t="str">
        <f aca="false">"다음 편: "&amp;J643</f>
        <v>다음 편: 진리가 무엇이냐</v>
      </c>
    </row>
    <row r="643" customFormat="false" ht="26.85" hidden="false" customHeight="false" outlineLevel="0" collapsed="false">
      <c r="A643" s="29" t="n">
        <v>642</v>
      </c>
      <c r="B643" s="29" t="s">
        <v>6054</v>
      </c>
      <c r="C643" s="29" t="s">
        <v>6055</v>
      </c>
      <c r="D643" s="29" t="s">
        <v>5995</v>
      </c>
      <c r="E643" s="24" t="s">
        <v>5996</v>
      </c>
      <c r="F643" s="23" t="s">
        <v>4950</v>
      </c>
      <c r="G643" s="23" t="s">
        <v>5829</v>
      </c>
      <c r="H643" s="24" t="s">
        <v>6056</v>
      </c>
      <c r="I643" s="23" t="s">
        <v>91</v>
      </c>
      <c r="J643" s="24" t="s">
        <v>6057</v>
      </c>
      <c r="K643" s="24" t="s">
        <v>6058</v>
      </c>
      <c r="L643" s="24" t="s">
        <v>6059</v>
      </c>
      <c r="M643" s="24" t="s">
        <v>6060</v>
      </c>
      <c r="N643" s="24" t="s">
        <v>6061</v>
      </c>
      <c r="O643" s="24" t="s">
        <v>5416</v>
      </c>
      <c r="P643" s="25" t="s">
        <v>6062</v>
      </c>
      <c r="Q643" s="28" t="str">
        <f aca="false">"["&amp;안내!$C$5&amp;" "&amp;C643&amp;"] "&amp;J643&amp;" | "&amp;H643</f>
        <v>[1분 성경 #0642] 진리가 무엇이냐 | 요 18:28-19:16</v>
      </c>
      <c r="R643" s="29" t="n">
        <f aca="false">INT((A643-1)/안내!$C$9)+1</f>
        <v>129</v>
      </c>
      <c r="S643" s="26" t="n">
        <f aca="false">안내!$C$10+(R643-1)*7+MOD(A643-1,안내!$C$9)</f>
        <v>47288</v>
      </c>
      <c r="T643" s="23" t="s">
        <v>99</v>
      </c>
      <c r="U643" s="23" t="s">
        <v>99</v>
      </c>
      <c r="V643" s="23" t="s">
        <v>99</v>
      </c>
      <c r="W643" s="23" t="s">
        <v>99</v>
      </c>
      <c r="X643" s="28"/>
      <c r="Y643" s="28" t="str">
        <f aca="false">"다음 편: "&amp;J644</f>
        <v>다음 편: 다 이루었다</v>
      </c>
    </row>
    <row r="644" customFormat="false" ht="26.85" hidden="false" customHeight="false" outlineLevel="0" collapsed="false">
      <c r="A644" s="29" t="n">
        <v>643</v>
      </c>
      <c r="B644" s="29" t="s">
        <v>6063</v>
      </c>
      <c r="C644" s="29" t="s">
        <v>6064</v>
      </c>
      <c r="D644" s="29" t="s">
        <v>5995</v>
      </c>
      <c r="E644" s="24" t="s">
        <v>5996</v>
      </c>
      <c r="F644" s="23" t="s">
        <v>4950</v>
      </c>
      <c r="G644" s="23" t="s">
        <v>5829</v>
      </c>
      <c r="H644" s="24" t="s">
        <v>6065</v>
      </c>
      <c r="I644" s="23" t="s">
        <v>91</v>
      </c>
      <c r="J644" s="24" t="s">
        <v>6066</v>
      </c>
      <c r="K644" s="24" t="s">
        <v>6067</v>
      </c>
      <c r="L644" s="24" t="s">
        <v>6068</v>
      </c>
      <c r="M644" s="24" t="s">
        <v>6069</v>
      </c>
      <c r="N644" s="24" t="s">
        <v>6070</v>
      </c>
      <c r="O644" s="24" t="s">
        <v>6071</v>
      </c>
      <c r="P644" s="25" t="s">
        <v>6072</v>
      </c>
      <c r="Q644" s="28" t="str">
        <f aca="false">"["&amp;안내!$C$5&amp;" "&amp;C644&amp;"] "&amp;J644&amp;" | "&amp;H644</f>
        <v>[1분 성경 #0643] 다 이루었다 | 요 19:17-42</v>
      </c>
      <c r="R644" s="29" t="n">
        <f aca="false">INT((A644-1)/안내!$C$9)+1</f>
        <v>129</v>
      </c>
      <c r="S644" s="26" t="n">
        <f aca="false">안내!$C$10+(R644-1)*7+MOD(A644-1,안내!$C$9)</f>
        <v>47289</v>
      </c>
      <c r="T644" s="23" t="s">
        <v>99</v>
      </c>
      <c r="U644" s="23" t="s">
        <v>99</v>
      </c>
      <c r="V644" s="23" t="s">
        <v>99</v>
      </c>
      <c r="W644" s="23" t="s">
        <v>99</v>
      </c>
      <c r="X644" s="28"/>
      <c r="Y644" s="28" t="str">
        <f aca="false">"다음 편: "&amp;J645</f>
        <v>다음 편: 마리아야</v>
      </c>
    </row>
    <row r="645" customFormat="false" ht="26.85" hidden="false" customHeight="false" outlineLevel="0" collapsed="false">
      <c r="A645" s="29" t="n">
        <v>644</v>
      </c>
      <c r="B645" s="29" t="s">
        <v>6073</v>
      </c>
      <c r="C645" s="29" t="s">
        <v>6074</v>
      </c>
      <c r="D645" s="29" t="s">
        <v>5995</v>
      </c>
      <c r="E645" s="24" t="s">
        <v>5996</v>
      </c>
      <c r="F645" s="23" t="s">
        <v>4950</v>
      </c>
      <c r="G645" s="23" t="s">
        <v>5829</v>
      </c>
      <c r="H645" s="24" t="s">
        <v>6075</v>
      </c>
      <c r="I645" s="23" t="s">
        <v>91</v>
      </c>
      <c r="J645" s="24" t="s">
        <v>6076</v>
      </c>
      <c r="K645" s="24" t="s">
        <v>6077</v>
      </c>
      <c r="L645" s="24" t="s">
        <v>6078</v>
      </c>
      <c r="M645" s="24" t="s">
        <v>6079</v>
      </c>
      <c r="N645" s="24" t="s">
        <v>6080</v>
      </c>
      <c r="O645" s="24" t="s">
        <v>6081</v>
      </c>
      <c r="P645" s="28"/>
      <c r="Q645" s="28" t="str">
        <f aca="false">"["&amp;안내!$C$5&amp;" "&amp;C645&amp;"] "&amp;J645&amp;" | "&amp;H645</f>
        <v>[1분 성경 #0644] 마리아야 | 요 20:1-18</v>
      </c>
      <c r="R645" s="29" t="n">
        <f aca="false">INT((A645-1)/안내!$C$9)+1</f>
        <v>129</v>
      </c>
      <c r="S645" s="26" t="n">
        <f aca="false">안내!$C$10+(R645-1)*7+MOD(A645-1,안내!$C$9)</f>
        <v>47290</v>
      </c>
      <c r="T645" s="23" t="s">
        <v>99</v>
      </c>
      <c r="U645" s="23" t="s">
        <v>99</v>
      </c>
      <c r="V645" s="23" t="s">
        <v>99</v>
      </c>
      <c r="W645" s="23" t="s">
        <v>99</v>
      </c>
      <c r="X645" s="28"/>
      <c r="Y645" s="28" t="str">
        <f aca="false">"다음 편: "&amp;J646</f>
        <v>다음 편: 나의 주 나의 하나님</v>
      </c>
    </row>
    <row r="646" customFormat="false" ht="26.85" hidden="false" customHeight="false" outlineLevel="0" collapsed="false">
      <c r="A646" s="29" t="n">
        <v>645</v>
      </c>
      <c r="B646" s="29" t="s">
        <v>6082</v>
      </c>
      <c r="C646" s="29" t="s">
        <v>6083</v>
      </c>
      <c r="D646" s="29" t="s">
        <v>5995</v>
      </c>
      <c r="E646" s="24" t="s">
        <v>5996</v>
      </c>
      <c r="F646" s="23" t="s">
        <v>4950</v>
      </c>
      <c r="G646" s="23" t="s">
        <v>5829</v>
      </c>
      <c r="H646" s="24" t="s">
        <v>6084</v>
      </c>
      <c r="I646" s="23" t="s">
        <v>91</v>
      </c>
      <c r="J646" s="24" t="s">
        <v>6085</v>
      </c>
      <c r="K646" s="24" t="s">
        <v>6086</v>
      </c>
      <c r="L646" s="24" t="s">
        <v>6087</v>
      </c>
      <c r="M646" s="24" t="s">
        <v>6088</v>
      </c>
      <c r="N646" s="24" t="s">
        <v>6089</v>
      </c>
      <c r="O646" s="24" t="s">
        <v>6090</v>
      </c>
      <c r="P646" s="28"/>
      <c r="Q646" s="28" t="str">
        <f aca="false">"["&amp;안내!$C$5&amp;" "&amp;C646&amp;"] "&amp;J646&amp;" | "&amp;H646</f>
        <v>[1분 성경 #0645] 나의 주 나의 하나님 | 요 20:19-31</v>
      </c>
      <c r="R646" s="29" t="n">
        <f aca="false">INT((A646-1)/안내!$C$9)+1</f>
        <v>129</v>
      </c>
      <c r="S646" s="26" t="n">
        <f aca="false">안내!$C$10+(R646-1)*7+MOD(A646-1,안내!$C$9)</f>
        <v>47291</v>
      </c>
      <c r="T646" s="23" t="s">
        <v>99</v>
      </c>
      <c r="U646" s="23" t="s">
        <v>99</v>
      </c>
      <c r="V646" s="23" t="s">
        <v>99</v>
      </c>
      <c r="W646" s="23" t="s">
        <v>99</v>
      </c>
      <c r="X646" s="28"/>
      <c r="Y646" s="28" t="str">
        <f aca="false">"다음 편: "&amp;J647</f>
        <v>다음 편: 내 양을 먹이라</v>
      </c>
    </row>
    <row r="647" customFormat="false" ht="26.85" hidden="false" customHeight="false" outlineLevel="0" collapsed="false">
      <c r="A647" s="29" t="n">
        <v>646</v>
      </c>
      <c r="B647" s="29" t="s">
        <v>6091</v>
      </c>
      <c r="C647" s="29" t="s">
        <v>6092</v>
      </c>
      <c r="D647" s="29" t="s">
        <v>5995</v>
      </c>
      <c r="E647" s="24" t="s">
        <v>5996</v>
      </c>
      <c r="F647" s="23" t="s">
        <v>4950</v>
      </c>
      <c r="G647" s="23" t="s">
        <v>5829</v>
      </c>
      <c r="H647" s="24" t="s">
        <v>6093</v>
      </c>
      <c r="I647" s="23" t="s">
        <v>91</v>
      </c>
      <c r="J647" s="24" t="s">
        <v>6094</v>
      </c>
      <c r="K647" s="24" t="s">
        <v>6095</v>
      </c>
      <c r="L647" s="24" t="s">
        <v>6096</v>
      </c>
      <c r="M647" s="24" t="s">
        <v>6097</v>
      </c>
      <c r="N647" s="24" t="s">
        <v>5214</v>
      </c>
      <c r="O647" s="24" t="s">
        <v>6098</v>
      </c>
      <c r="P647" s="28"/>
      <c r="Q647" s="28" t="str">
        <f aca="false">"["&amp;안내!$C$5&amp;" "&amp;C647&amp;"] "&amp;J647&amp;" | "&amp;H647</f>
        <v>[1분 성경 #0646] 내 양을 먹이라 | 요 21:1-25</v>
      </c>
      <c r="R647" s="29" t="n">
        <f aca="false">INT((A647-1)/안내!$C$9)+1</f>
        <v>130</v>
      </c>
      <c r="S647" s="26" t="n">
        <f aca="false">안내!$C$10+(R647-1)*7+MOD(A647-1,안내!$C$9)</f>
        <v>47294</v>
      </c>
      <c r="T647" s="23" t="s">
        <v>99</v>
      </c>
      <c r="U647" s="23" t="s">
        <v>99</v>
      </c>
      <c r="V647" s="23" t="s">
        <v>99</v>
      </c>
      <c r="W647" s="23" t="s">
        <v>99</v>
      </c>
      <c r="X647" s="28"/>
      <c r="Y647" s="28" t="str">
        <f aca="false">"다음 편: "&amp;J648</f>
        <v>다음 편: 승천</v>
      </c>
    </row>
    <row r="648" customFormat="false" ht="26.85" hidden="false" customHeight="false" outlineLevel="0" collapsed="false">
      <c r="A648" s="29" t="n">
        <v>647</v>
      </c>
      <c r="B648" s="29" t="s">
        <v>6099</v>
      </c>
      <c r="C648" s="29" t="s">
        <v>6100</v>
      </c>
      <c r="D648" s="29" t="s">
        <v>6101</v>
      </c>
      <c r="E648" s="24" t="s">
        <v>6102</v>
      </c>
      <c r="F648" s="23" t="s">
        <v>4950</v>
      </c>
      <c r="G648" s="23" t="s">
        <v>6103</v>
      </c>
      <c r="H648" s="24" t="s">
        <v>6104</v>
      </c>
      <c r="I648" s="23" t="s">
        <v>91</v>
      </c>
      <c r="J648" s="24" t="s">
        <v>6105</v>
      </c>
      <c r="K648" s="24" t="s">
        <v>6106</v>
      </c>
      <c r="L648" s="24" t="s">
        <v>6107</v>
      </c>
      <c r="M648" s="24" t="s">
        <v>6108</v>
      </c>
      <c r="N648" s="24" t="s">
        <v>6109</v>
      </c>
      <c r="O648" s="24" t="s">
        <v>6110</v>
      </c>
      <c r="P648" s="28"/>
      <c r="Q648" s="28" t="str">
        <f aca="false">"["&amp;안내!$C$5&amp;" "&amp;C648&amp;"] "&amp;J648&amp;" | "&amp;H648</f>
        <v>[1분 성경 #0647] 승천 | 행 1:1-11</v>
      </c>
      <c r="R648" s="29" t="n">
        <f aca="false">INT((A648-1)/안내!$C$9)+1</f>
        <v>130</v>
      </c>
      <c r="S648" s="26" t="n">
        <f aca="false">안내!$C$10+(R648-1)*7+MOD(A648-1,안내!$C$9)</f>
        <v>47295</v>
      </c>
      <c r="T648" s="23" t="s">
        <v>99</v>
      </c>
      <c r="U648" s="23" t="s">
        <v>99</v>
      </c>
      <c r="V648" s="23" t="s">
        <v>99</v>
      </c>
      <c r="W648" s="23" t="s">
        <v>99</v>
      </c>
      <c r="X648" s="28"/>
      <c r="Y648" s="28" t="str">
        <f aca="false">"다음 편: "&amp;J649</f>
        <v>다음 편: 기도하며 기다리다</v>
      </c>
    </row>
    <row r="649" customFormat="false" ht="26.85" hidden="false" customHeight="false" outlineLevel="0" collapsed="false">
      <c r="A649" s="29" t="n">
        <v>648</v>
      </c>
      <c r="B649" s="29" t="s">
        <v>6111</v>
      </c>
      <c r="C649" s="29" t="s">
        <v>6112</v>
      </c>
      <c r="D649" s="29" t="s">
        <v>6101</v>
      </c>
      <c r="E649" s="24" t="s">
        <v>6102</v>
      </c>
      <c r="F649" s="23" t="s">
        <v>4950</v>
      </c>
      <c r="G649" s="23" t="s">
        <v>6103</v>
      </c>
      <c r="H649" s="24" t="s">
        <v>6113</v>
      </c>
      <c r="I649" s="23" t="s">
        <v>91</v>
      </c>
      <c r="J649" s="24" t="s">
        <v>6114</v>
      </c>
      <c r="K649" s="28" t="s">
        <v>6115</v>
      </c>
      <c r="L649" s="24" t="s">
        <v>6116</v>
      </c>
      <c r="M649" s="24" t="s">
        <v>6117</v>
      </c>
      <c r="N649" s="24" t="s">
        <v>6118</v>
      </c>
      <c r="O649" s="24" t="s">
        <v>6002</v>
      </c>
      <c r="P649" s="28"/>
      <c r="Q649" s="28" t="str">
        <f aca="false">"["&amp;안내!$C$5&amp;" "&amp;C649&amp;"] "&amp;J649&amp;" | "&amp;H649</f>
        <v>[1분 성경 #0648] 기도하며 기다리다 | 행 1:12-26</v>
      </c>
      <c r="R649" s="29" t="n">
        <f aca="false">INT((A649-1)/안내!$C$9)+1</f>
        <v>130</v>
      </c>
      <c r="S649" s="26" t="n">
        <f aca="false">안내!$C$10+(R649-1)*7+MOD(A649-1,안내!$C$9)</f>
        <v>47296</v>
      </c>
      <c r="T649" s="23" t="s">
        <v>99</v>
      </c>
      <c r="U649" s="23" t="s">
        <v>99</v>
      </c>
      <c r="V649" s="23" t="s">
        <v>99</v>
      </c>
      <c r="W649" s="23" t="s">
        <v>99</v>
      </c>
      <c r="X649" s="28"/>
      <c r="Y649" s="28" t="str">
        <f aca="false">"다음 편: "&amp;J650</f>
        <v>다음 편: 오순절 성령 강림</v>
      </c>
    </row>
    <row r="650" customFormat="false" ht="26.85" hidden="false" customHeight="false" outlineLevel="0" collapsed="false">
      <c r="A650" s="29" t="n">
        <v>649</v>
      </c>
      <c r="B650" s="29" t="s">
        <v>6119</v>
      </c>
      <c r="C650" s="29" t="s">
        <v>6120</v>
      </c>
      <c r="D650" s="29" t="s">
        <v>6101</v>
      </c>
      <c r="E650" s="24" t="s">
        <v>6102</v>
      </c>
      <c r="F650" s="23" t="s">
        <v>4950</v>
      </c>
      <c r="G650" s="23" t="s">
        <v>6103</v>
      </c>
      <c r="H650" s="24" t="s">
        <v>6121</v>
      </c>
      <c r="I650" s="23" t="s">
        <v>91</v>
      </c>
      <c r="J650" s="24" t="s">
        <v>6122</v>
      </c>
      <c r="K650" s="24" t="s">
        <v>6123</v>
      </c>
      <c r="L650" s="24" t="s">
        <v>6124</v>
      </c>
      <c r="M650" s="24" t="s">
        <v>6125</v>
      </c>
      <c r="N650" s="24" t="s">
        <v>6126</v>
      </c>
      <c r="O650" s="24" t="s">
        <v>6127</v>
      </c>
      <c r="P650" s="25" t="s">
        <v>6128</v>
      </c>
      <c r="Q650" s="28" t="str">
        <f aca="false">"["&amp;안내!$C$5&amp;" "&amp;C650&amp;"] "&amp;J650&amp;" | "&amp;H650</f>
        <v>[1분 성경 #0649] 오순절 성령 강림 | 행 2:1-13</v>
      </c>
      <c r="R650" s="29" t="n">
        <f aca="false">INT((A650-1)/안내!$C$9)+1</f>
        <v>130</v>
      </c>
      <c r="S650" s="26" t="n">
        <f aca="false">안내!$C$10+(R650-1)*7+MOD(A650-1,안내!$C$9)</f>
        <v>47297</v>
      </c>
      <c r="T650" s="23" t="s">
        <v>99</v>
      </c>
      <c r="U650" s="23" t="s">
        <v>99</v>
      </c>
      <c r="V650" s="23" t="s">
        <v>99</v>
      </c>
      <c r="W650" s="23" t="s">
        <v>99</v>
      </c>
      <c r="X650" s="28"/>
      <c r="Y650" s="28" t="str">
        <f aca="false">"다음 편: "&amp;J651</f>
        <v>다음 편: 첫 번째 설교와 첫 교회</v>
      </c>
    </row>
    <row r="651" customFormat="false" ht="26.85" hidden="false" customHeight="false" outlineLevel="0" collapsed="false">
      <c r="A651" s="29" t="n">
        <v>650</v>
      </c>
      <c r="B651" s="29" t="s">
        <v>6129</v>
      </c>
      <c r="C651" s="29" t="s">
        <v>6130</v>
      </c>
      <c r="D651" s="29" t="s">
        <v>6101</v>
      </c>
      <c r="E651" s="24" t="s">
        <v>6102</v>
      </c>
      <c r="F651" s="23" t="s">
        <v>4950</v>
      </c>
      <c r="G651" s="23" t="s">
        <v>6103</v>
      </c>
      <c r="H651" s="24" t="s">
        <v>6131</v>
      </c>
      <c r="I651" s="23" t="s">
        <v>91</v>
      </c>
      <c r="J651" s="24" t="s">
        <v>6132</v>
      </c>
      <c r="K651" s="24" t="s">
        <v>6133</v>
      </c>
      <c r="L651" s="24" t="s">
        <v>6134</v>
      </c>
      <c r="M651" s="24" t="s">
        <v>6135</v>
      </c>
      <c r="N651" s="24" t="s">
        <v>6136</v>
      </c>
      <c r="O651" s="24" t="s">
        <v>6137</v>
      </c>
      <c r="P651" s="28"/>
      <c r="Q651" s="28" t="str">
        <f aca="false">"["&amp;안내!$C$5&amp;" "&amp;C651&amp;"] "&amp;J651&amp;" | "&amp;H651</f>
        <v>[1분 성경 #0650] 첫 번째 설교와 첫 교회 | 행 2:14-47</v>
      </c>
      <c r="R651" s="29" t="n">
        <f aca="false">INT((A651-1)/안내!$C$9)+1</f>
        <v>130</v>
      </c>
      <c r="S651" s="26" t="n">
        <f aca="false">안내!$C$10+(R651-1)*7+MOD(A651-1,안내!$C$9)</f>
        <v>47298</v>
      </c>
      <c r="T651" s="23" t="s">
        <v>99</v>
      </c>
      <c r="U651" s="23" t="s">
        <v>99</v>
      </c>
      <c r="V651" s="23" t="s">
        <v>99</v>
      </c>
      <c r="W651" s="23" t="s">
        <v>99</v>
      </c>
      <c r="X651" s="28"/>
      <c r="Y651" s="28" t="str">
        <f aca="false">"다음 편: "&amp;J652</f>
        <v>다음 편: 미문의 앉은뱅이</v>
      </c>
    </row>
    <row r="652" customFormat="false" ht="26.85" hidden="false" customHeight="false" outlineLevel="0" collapsed="false">
      <c r="A652" s="29" t="n">
        <v>651</v>
      </c>
      <c r="B652" s="29" t="s">
        <v>6138</v>
      </c>
      <c r="C652" s="29" t="s">
        <v>6139</v>
      </c>
      <c r="D652" s="29" t="s">
        <v>6101</v>
      </c>
      <c r="E652" s="24" t="s">
        <v>6102</v>
      </c>
      <c r="F652" s="23" t="s">
        <v>4950</v>
      </c>
      <c r="G652" s="23" t="s">
        <v>6103</v>
      </c>
      <c r="H652" s="24" t="s">
        <v>6140</v>
      </c>
      <c r="I652" s="23" t="s">
        <v>91</v>
      </c>
      <c r="J652" s="24" t="s">
        <v>6141</v>
      </c>
      <c r="K652" s="24" t="s">
        <v>6142</v>
      </c>
      <c r="L652" s="24" t="s">
        <v>6143</v>
      </c>
      <c r="M652" s="24" t="s">
        <v>6144</v>
      </c>
      <c r="N652" s="24" t="s">
        <v>6145</v>
      </c>
      <c r="O652" s="24" t="s">
        <v>6146</v>
      </c>
      <c r="P652" s="28"/>
      <c r="Q652" s="28" t="str">
        <f aca="false">"["&amp;안내!$C$5&amp;" "&amp;C652&amp;"] "&amp;J652&amp;" | "&amp;H652</f>
        <v>[1분 성경 #0651] 미문의 앉은뱅이 | 행 3:1-26</v>
      </c>
      <c r="R652" s="29" t="n">
        <f aca="false">INT((A652-1)/안내!$C$9)+1</f>
        <v>131</v>
      </c>
      <c r="S652" s="26" t="n">
        <f aca="false">안내!$C$10+(R652-1)*7+MOD(A652-1,안내!$C$9)</f>
        <v>47301</v>
      </c>
      <c r="T652" s="23" t="s">
        <v>99</v>
      </c>
      <c r="U652" s="23" t="s">
        <v>99</v>
      </c>
      <c r="V652" s="23" t="s">
        <v>99</v>
      </c>
      <c r="W652" s="23" t="s">
        <v>99</v>
      </c>
      <c r="X652" s="28"/>
      <c r="Y652" s="28" t="str">
        <f aca="false">"다음 편: "&amp;J653</f>
        <v>다음 편: 다른 이름은 없다</v>
      </c>
    </row>
    <row r="653" customFormat="false" ht="26.85" hidden="false" customHeight="false" outlineLevel="0" collapsed="false">
      <c r="A653" s="29" t="n">
        <v>652</v>
      </c>
      <c r="B653" s="29" t="s">
        <v>6147</v>
      </c>
      <c r="C653" s="29" t="s">
        <v>6148</v>
      </c>
      <c r="D653" s="29" t="s">
        <v>6101</v>
      </c>
      <c r="E653" s="24" t="s">
        <v>6102</v>
      </c>
      <c r="F653" s="23" t="s">
        <v>4950</v>
      </c>
      <c r="G653" s="23" t="s">
        <v>6103</v>
      </c>
      <c r="H653" s="24" t="s">
        <v>6149</v>
      </c>
      <c r="I653" s="23" t="s">
        <v>91</v>
      </c>
      <c r="J653" s="24" t="s">
        <v>6150</v>
      </c>
      <c r="K653" s="24" t="s">
        <v>6151</v>
      </c>
      <c r="L653" s="24" t="s">
        <v>6152</v>
      </c>
      <c r="M653" s="24" t="s">
        <v>6153</v>
      </c>
      <c r="N653" s="24" t="s">
        <v>6154</v>
      </c>
      <c r="O653" s="24" t="s">
        <v>6155</v>
      </c>
      <c r="P653" s="28"/>
      <c r="Q653" s="28" t="str">
        <f aca="false">"["&amp;안내!$C$5&amp;" "&amp;C653&amp;"] "&amp;J653&amp;" | "&amp;H653</f>
        <v>[1분 성경 #0652] 다른 이름은 없다 | 행 4:1-37</v>
      </c>
      <c r="R653" s="29" t="n">
        <f aca="false">INT((A653-1)/안내!$C$9)+1</f>
        <v>131</v>
      </c>
      <c r="S653" s="26" t="n">
        <f aca="false">안내!$C$10+(R653-1)*7+MOD(A653-1,안내!$C$9)</f>
        <v>47302</v>
      </c>
      <c r="T653" s="23" t="s">
        <v>99</v>
      </c>
      <c r="U653" s="23" t="s">
        <v>99</v>
      </c>
      <c r="V653" s="23" t="s">
        <v>99</v>
      </c>
      <c r="W653" s="23" t="s">
        <v>99</v>
      </c>
      <c r="X653" s="28"/>
      <c r="Y653" s="28" t="str">
        <f aca="false">"다음 편: "&amp;J654</f>
        <v>다음 편: 아나니아와 삽비라</v>
      </c>
    </row>
    <row r="654" customFormat="false" ht="26.85" hidden="false" customHeight="false" outlineLevel="0" collapsed="false">
      <c r="A654" s="29" t="n">
        <v>653</v>
      </c>
      <c r="B654" s="29" t="s">
        <v>6156</v>
      </c>
      <c r="C654" s="29" t="s">
        <v>6157</v>
      </c>
      <c r="D654" s="29" t="s">
        <v>6101</v>
      </c>
      <c r="E654" s="24" t="s">
        <v>6102</v>
      </c>
      <c r="F654" s="23" t="s">
        <v>4950</v>
      </c>
      <c r="G654" s="23" t="s">
        <v>6103</v>
      </c>
      <c r="H654" s="24" t="s">
        <v>6158</v>
      </c>
      <c r="I654" s="23" t="s">
        <v>91</v>
      </c>
      <c r="J654" s="24" t="s">
        <v>6159</v>
      </c>
      <c r="K654" s="24" t="s">
        <v>6160</v>
      </c>
      <c r="L654" s="24" t="s">
        <v>6161</v>
      </c>
      <c r="M654" s="24" t="s">
        <v>6162</v>
      </c>
      <c r="N654" s="24" t="s">
        <v>6163</v>
      </c>
      <c r="O654" s="24" t="s">
        <v>6164</v>
      </c>
      <c r="P654" s="25" t="s">
        <v>6165</v>
      </c>
      <c r="Q654" s="28" t="str">
        <f aca="false">"["&amp;안내!$C$5&amp;" "&amp;C654&amp;"] "&amp;J654&amp;" | "&amp;H654</f>
        <v>[1분 성경 #0653] 아나니아와 삽비라 | 행 5:1-16</v>
      </c>
      <c r="R654" s="29" t="n">
        <f aca="false">INT((A654-1)/안내!$C$9)+1</f>
        <v>131</v>
      </c>
      <c r="S654" s="26" t="n">
        <f aca="false">안내!$C$10+(R654-1)*7+MOD(A654-1,안내!$C$9)</f>
        <v>47303</v>
      </c>
      <c r="T654" s="23" t="s">
        <v>99</v>
      </c>
      <c r="U654" s="23" t="s">
        <v>99</v>
      </c>
      <c r="V654" s="23" t="s">
        <v>99</v>
      </c>
      <c r="W654" s="23" t="s">
        <v>99</v>
      </c>
      <c r="X654" s="28"/>
      <c r="Y654" s="28" t="str">
        <f aca="false">"다음 편: "&amp;J655</f>
        <v>다음 편: 사람보다 하나님께</v>
      </c>
    </row>
    <row r="655" customFormat="false" ht="26.85" hidden="false" customHeight="false" outlineLevel="0" collapsed="false">
      <c r="A655" s="29" t="n">
        <v>654</v>
      </c>
      <c r="B655" s="29" t="s">
        <v>6166</v>
      </c>
      <c r="C655" s="29" t="s">
        <v>6167</v>
      </c>
      <c r="D655" s="29" t="s">
        <v>6101</v>
      </c>
      <c r="E655" s="24" t="s">
        <v>6102</v>
      </c>
      <c r="F655" s="23" t="s">
        <v>4950</v>
      </c>
      <c r="G655" s="23" t="s">
        <v>6103</v>
      </c>
      <c r="H655" s="24" t="s">
        <v>6168</v>
      </c>
      <c r="I655" s="23" t="s">
        <v>91</v>
      </c>
      <c r="J655" s="24" t="s">
        <v>6169</v>
      </c>
      <c r="K655" s="24" t="s">
        <v>6170</v>
      </c>
      <c r="L655" s="24" t="s">
        <v>6171</v>
      </c>
      <c r="M655" s="24" t="s">
        <v>6172</v>
      </c>
      <c r="N655" s="24" t="s">
        <v>6173</v>
      </c>
      <c r="O655" s="24" t="s">
        <v>6174</v>
      </c>
      <c r="P655" s="25" t="s">
        <v>6175</v>
      </c>
      <c r="Q655" s="28" t="str">
        <f aca="false">"["&amp;안내!$C$5&amp;" "&amp;C655&amp;"] "&amp;J655&amp;" | "&amp;H655</f>
        <v>[1분 성경 #0654] 사람보다 하나님께 | 행 5:17-42</v>
      </c>
      <c r="R655" s="29" t="n">
        <f aca="false">INT((A655-1)/안내!$C$9)+1</f>
        <v>131</v>
      </c>
      <c r="S655" s="26" t="n">
        <f aca="false">안내!$C$10+(R655-1)*7+MOD(A655-1,안내!$C$9)</f>
        <v>47304</v>
      </c>
      <c r="T655" s="23" t="s">
        <v>99</v>
      </c>
      <c r="U655" s="23" t="s">
        <v>99</v>
      </c>
      <c r="V655" s="23" t="s">
        <v>99</v>
      </c>
      <c r="W655" s="23" t="s">
        <v>99</v>
      </c>
      <c r="X655" s="28"/>
      <c r="Y655" s="28" t="str">
        <f aca="false">"다음 편: "&amp;J656</f>
        <v>다음 편: 일곱 집사</v>
      </c>
    </row>
    <row r="656" customFormat="false" ht="15" hidden="false" customHeight="false" outlineLevel="0" collapsed="false">
      <c r="A656" s="29" t="n">
        <v>655</v>
      </c>
      <c r="B656" s="29" t="s">
        <v>6176</v>
      </c>
      <c r="C656" s="29" t="s">
        <v>6177</v>
      </c>
      <c r="D656" s="29" t="s">
        <v>6101</v>
      </c>
      <c r="E656" s="24" t="s">
        <v>6102</v>
      </c>
      <c r="F656" s="23" t="s">
        <v>4950</v>
      </c>
      <c r="G656" s="23" t="s">
        <v>6103</v>
      </c>
      <c r="H656" s="24" t="s">
        <v>6178</v>
      </c>
      <c r="I656" s="23" t="s">
        <v>91</v>
      </c>
      <c r="J656" s="24" t="s">
        <v>6179</v>
      </c>
      <c r="K656" s="24" t="s">
        <v>6180</v>
      </c>
      <c r="L656" s="24" t="s">
        <v>6181</v>
      </c>
      <c r="M656" s="24" t="s">
        <v>6182</v>
      </c>
      <c r="N656" s="24" t="s">
        <v>6183</v>
      </c>
      <c r="O656" s="24" t="s">
        <v>6184</v>
      </c>
      <c r="P656" s="28"/>
      <c r="Q656" s="28" t="str">
        <f aca="false">"["&amp;안내!$C$5&amp;" "&amp;C656&amp;"] "&amp;J656&amp;" | "&amp;H656</f>
        <v>[1분 성경 #0655] 일곱 집사 | 행 6:1-15</v>
      </c>
      <c r="R656" s="29" t="n">
        <f aca="false">INT((A656-1)/안내!$C$9)+1</f>
        <v>131</v>
      </c>
      <c r="S656" s="26" t="n">
        <f aca="false">안내!$C$10+(R656-1)*7+MOD(A656-1,안내!$C$9)</f>
        <v>47305</v>
      </c>
      <c r="T656" s="23" t="s">
        <v>99</v>
      </c>
      <c r="U656" s="23" t="s">
        <v>99</v>
      </c>
      <c r="V656" s="23" t="s">
        <v>99</v>
      </c>
      <c r="W656" s="23" t="s">
        <v>99</v>
      </c>
      <c r="X656" s="28"/>
      <c r="Y656" s="28" t="str">
        <f aca="false">"다음 편: "&amp;J657</f>
        <v>다음 편: 스데반의 순교</v>
      </c>
    </row>
    <row r="657" customFormat="false" ht="26.85" hidden="false" customHeight="false" outlineLevel="0" collapsed="false">
      <c r="A657" s="29" t="n">
        <v>656</v>
      </c>
      <c r="B657" s="29" t="s">
        <v>6185</v>
      </c>
      <c r="C657" s="29" t="s">
        <v>6186</v>
      </c>
      <c r="D657" s="29" t="s">
        <v>6101</v>
      </c>
      <c r="E657" s="24" t="s">
        <v>6102</v>
      </c>
      <c r="F657" s="23" t="s">
        <v>4950</v>
      </c>
      <c r="G657" s="23" t="s">
        <v>6103</v>
      </c>
      <c r="H657" s="24" t="s">
        <v>6187</v>
      </c>
      <c r="I657" s="23" t="s">
        <v>91</v>
      </c>
      <c r="J657" s="24" t="s">
        <v>6188</v>
      </c>
      <c r="K657" s="24" t="s">
        <v>6189</v>
      </c>
      <c r="L657" s="24" t="s">
        <v>6190</v>
      </c>
      <c r="M657" s="24" t="s">
        <v>6191</v>
      </c>
      <c r="N657" s="24" t="s">
        <v>6192</v>
      </c>
      <c r="O657" s="24" t="s">
        <v>6193</v>
      </c>
      <c r="P657" s="25" t="s">
        <v>6194</v>
      </c>
      <c r="Q657" s="28" t="str">
        <f aca="false">"["&amp;안내!$C$5&amp;" "&amp;C657&amp;"] "&amp;J657&amp;" | "&amp;H657</f>
        <v>[1분 성경 #0656] 스데반의 순교 | 행 7:1-60</v>
      </c>
      <c r="R657" s="29" t="n">
        <f aca="false">INT((A657-1)/안내!$C$9)+1</f>
        <v>132</v>
      </c>
      <c r="S657" s="26" t="n">
        <f aca="false">안내!$C$10+(R657-1)*7+MOD(A657-1,안내!$C$9)</f>
        <v>47308</v>
      </c>
      <c r="T657" s="23" t="s">
        <v>99</v>
      </c>
      <c r="U657" s="23" t="s">
        <v>99</v>
      </c>
      <c r="V657" s="23" t="s">
        <v>99</v>
      </c>
      <c r="W657" s="23" t="s">
        <v>99</v>
      </c>
      <c r="X657" s="28"/>
      <c r="Y657" s="28" t="str">
        <f aca="false">"다음 편: "&amp;J658</f>
        <v>다음 편: 사마리아의 기쁨</v>
      </c>
    </row>
    <row r="658" customFormat="false" ht="26.85" hidden="false" customHeight="false" outlineLevel="0" collapsed="false">
      <c r="A658" s="29" t="n">
        <v>657</v>
      </c>
      <c r="B658" s="29" t="s">
        <v>6195</v>
      </c>
      <c r="C658" s="29" t="s">
        <v>6196</v>
      </c>
      <c r="D658" s="29" t="s">
        <v>6197</v>
      </c>
      <c r="E658" s="24" t="s">
        <v>6198</v>
      </c>
      <c r="F658" s="23" t="s">
        <v>4950</v>
      </c>
      <c r="G658" s="23" t="s">
        <v>6103</v>
      </c>
      <c r="H658" s="24" t="s">
        <v>6199</v>
      </c>
      <c r="I658" s="23" t="s">
        <v>91</v>
      </c>
      <c r="J658" s="24" t="s">
        <v>6200</v>
      </c>
      <c r="K658" s="24" t="s">
        <v>6201</v>
      </c>
      <c r="L658" s="24" t="s">
        <v>6202</v>
      </c>
      <c r="M658" s="24" t="s">
        <v>6203</v>
      </c>
      <c r="N658" s="24" t="s">
        <v>6204</v>
      </c>
      <c r="O658" s="24" t="s">
        <v>6205</v>
      </c>
      <c r="P658" s="28"/>
      <c r="Q658" s="28" t="str">
        <f aca="false">"["&amp;안내!$C$5&amp;" "&amp;C658&amp;"] "&amp;J658&amp;" | "&amp;H658</f>
        <v>[1분 성경 #0657] 사마리아의 기쁨 | 행 8:1-25</v>
      </c>
      <c r="R658" s="29" t="n">
        <f aca="false">INT((A658-1)/안내!$C$9)+1</f>
        <v>132</v>
      </c>
      <c r="S658" s="26" t="n">
        <f aca="false">안내!$C$10+(R658-1)*7+MOD(A658-1,안내!$C$9)</f>
        <v>47309</v>
      </c>
      <c r="T658" s="23" t="s">
        <v>99</v>
      </c>
      <c r="U658" s="23" t="s">
        <v>99</v>
      </c>
      <c r="V658" s="23" t="s">
        <v>99</v>
      </c>
      <c r="W658" s="23" t="s">
        <v>99</v>
      </c>
      <c r="X658" s="28"/>
      <c r="Y658" s="28" t="str">
        <f aca="false">"다음 편: "&amp;J659</f>
        <v>다음 편: 광야 길의 내시</v>
      </c>
    </row>
    <row r="659" customFormat="false" ht="15" hidden="false" customHeight="false" outlineLevel="0" collapsed="false">
      <c r="A659" s="29" t="n">
        <v>658</v>
      </c>
      <c r="B659" s="29" t="s">
        <v>6206</v>
      </c>
      <c r="C659" s="29" t="s">
        <v>6207</v>
      </c>
      <c r="D659" s="29" t="s">
        <v>6197</v>
      </c>
      <c r="E659" s="24" t="s">
        <v>6198</v>
      </c>
      <c r="F659" s="23" t="s">
        <v>4950</v>
      </c>
      <c r="G659" s="23" t="s">
        <v>6103</v>
      </c>
      <c r="H659" s="24" t="s">
        <v>6208</v>
      </c>
      <c r="I659" s="23" t="s">
        <v>91</v>
      </c>
      <c r="J659" s="24" t="s">
        <v>6209</v>
      </c>
      <c r="K659" s="24" t="s">
        <v>6210</v>
      </c>
      <c r="L659" s="24" t="s">
        <v>6211</v>
      </c>
      <c r="M659" s="24" t="s">
        <v>6212</v>
      </c>
      <c r="N659" s="24" t="s">
        <v>6213</v>
      </c>
      <c r="O659" s="24" t="s">
        <v>6214</v>
      </c>
      <c r="P659" s="28"/>
      <c r="Q659" s="28" t="str">
        <f aca="false">"["&amp;안내!$C$5&amp;" "&amp;C659&amp;"] "&amp;J659&amp;" | "&amp;H659</f>
        <v>[1분 성경 #0658] 광야 길의 내시 | 행 8:26-40</v>
      </c>
      <c r="R659" s="29" t="n">
        <f aca="false">INT((A659-1)/안내!$C$9)+1</f>
        <v>132</v>
      </c>
      <c r="S659" s="26" t="n">
        <f aca="false">안내!$C$10+(R659-1)*7+MOD(A659-1,안내!$C$9)</f>
        <v>47310</v>
      </c>
      <c r="T659" s="23" t="s">
        <v>99</v>
      </c>
      <c r="U659" s="23" t="s">
        <v>99</v>
      </c>
      <c r="V659" s="23" t="s">
        <v>99</v>
      </c>
      <c r="W659" s="23" t="s">
        <v>99</v>
      </c>
      <c r="X659" s="28"/>
      <c r="Y659" s="28" t="str">
        <f aca="false">"다음 편: "&amp;J660</f>
        <v>다음 편: 다메섹 도상의 빛</v>
      </c>
    </row>
    <row r="660" customFormat="false" ht="26.85" hidden="false" customHeight="false" outlineLevel="0" collapsed="false">
      <c r="A660" s="29" t="n">
        <v>659</v>
      </c>
      <c r="B660" s="29" t="s">
        <v>6215</v>
      </c>
      <c r="C660" s="29" t="s">
        <v>6216</v>
      </c>
      <c r="D660" s="29" t="s">
        <v>6197</v>
      </c>
      <c r="E660" s="24" t="s">
        <v>6198</v>
      </c>
      <c r="F660" s="23" t="s">
        <v>4950</v>
      </c>
      <c r="G660" s="23" t="s">
        <v>6103</v>
      </c>
      <c r="H660" s="24" t="s">
        <v>6217</v>
      </c>
      <c r="I660" s="23" t="s">
        <v>91</v>
      </c>
      <c r="J660" s="24" t="s">
        <v>6218</v>
      </c>
      <c r="K660" s="24" t="s">
        <v>6219</v>
      </c>
      <c r="L660" s="24" t="s">
        <v>6220</v>
      </c>
      <c r="M660" s="24" t="s">
        <v>6221</v>
      </c>
      <c r="N660" s="24" t="s">
        <v>6222</v>
      </c>
      <c r="O660" s="24" t="s">
        <v>6223</v>
      </c>
      <c r="P660" s="28"/>
      <c r="Q660" s="28" t="str">
        <f aca="false">"["&amp;안내!$C$5&amp;" "&amp;C660&amp;"] "&amp;J660&amp;" | "&amp;H660</f>
        <v>[1분 성경 #0659] 다메섹 도상의 빛 | 행 9:1-19</v>
      </c>
      <c r="R660" s="29" t="n">
        <f aca="false">INT((A660-1)/안내!$C$9)+1</f>
        <v>132</v>
      </c>
      <c r="S660" s="26" t="n">
        <f aca="false">안내!$C$10+(R660-1)*7+MOD(A660-1,안내!$C$9)</f>
        <v>47311</v>
      </c>
      <c r="T660" s="23" t="s">
        <v>99</v>
      </c>
      <c r="U660" s="23" t="s">
        <v>99</v>
      </c>
      <c r="V660" s="23" t="s">
        <v>99</v>
      </c>
      <c r="W660" s="23" t="s">
        <v>99</v>
      </c>
      <c r="X660" s="28"/>
      <c r="Y660" s="28" t="str">
        <f aca="false">"다음 편: "&amp;J661</f>
        <v>다음 편: 변화된 사울</v>
      </c>
    </row>
    <row r="661" customFormat="false" ht="26.85" hidden="false" customHeight="false" outlineLevel="0" collapsed="false">
      <c r="A661" s="29" t="n">
        <v>660</v>
      </c>
      <c r="B661" s="29" t="s">
        <v>6224</v>
      </c>
      <c r="C661" s="29" t="s">
        <v>6225</v>
      </c>
      <c r="D661" s="29" t="s">
        <v>6197</v>
      </c>
      <c r="E661" s="24" t="s">
        <v>6198</v>
      </c>
      <c r="F661" s="23" t="s">
        <v>4950</v>
      </c>
      <c r="G661" s="23" t="s">
        <v>6103</v>
      </c>
      <c r="H661" s="24" t="s">
        <v>6226</v>
      </c>
      <c r="I661" s="23" t="s">
        <v>91</v>
      </c>
      <c r="J661" s="24" t="s">
        <v>6227</v>
      </c>
      <c r="K661" s="24" t="s">
        <v>6228</v>
      </c>
      <c r="L661" s="24" t="s">
        <v>6229</v>
      </c>
      <c r="M661" s="24" t="s">
        <v>6230</v>
      </c>
      <c r="N661" s="24" t="s">
        <v>6231</v>
      </c>
      <c r="O661" s="24" t="s">
        <v>6232</v>
      </c>
      <c r="P661" s="28"/>
      <c r="Q661" s="28" t="str">
        <f aca="false">"["&amp;안내!$C$5&amp;" "&amp;C661&amp;"] "&amp;J661&amp;" | "&amp;H661</f>
        <v>[1분 성경 #0660] 변화된 사울 | 행 9:20-31</v>
      </c>
      <c r="R661" s="29" t="n">
        <f aca="false">INT((A661-1)/안내!$C$9)+1</f>
        <v>132</v>
      </c>
      <c r="S661" s="26" t="n">
        <f aca="false">안내!$C$10+(R661-1)*7+MOD(A661-1,안내!$C$9)</f>
        <v>47312</v>
      </c>
      <c r="T661" s="23" t="s">
        <v>99</v>
      </c>
      <c r="U661" s="23" t="s">
        <v>99</v>
      </c>
      <c r="V661" s="23" t="s">
        <v>99</v>
      </c>
      <c r="W661" s="23" t="s">
        <v>99</v>
      </c>
      <c r="X661" s="28"/>
      <c r="Y661" s="28" t="str">
        <f aca="false">"다음 편: "&amp;J662</f>
        <v>다음 편: 다비다야 일어나라</v>
      </c>
    </row>
    <row r="662" customFormat="false" ht="26.85" hidden="false" customHeight="false" outlineLevel="0" collapsed="false">
      <c r="A662" s="29" t="n">
        <v>661</v>
      </c>
      <c r="B662" s="29" t="s">
        <v>6233</v>
      </c>
      <c r="C662" s="29" t="s">
        <v>6234</v>
      </c>
      <c r="D662" s="29" t="s">
        <v>6197</v>
      </c>
      <c r="E662" s="24" t="s">
        <v>6198</v>
      </c>
      <c r="F662" s="23" t="s">
        <v>4950</v>
      </c>
      <c r="G662" s="23" t="s">
        <v>6103</v>
      </c>
      <c r="H662" s="24" t="s">
        <v>6235</v>
      </c>
      <c r="I662" s="23" t="s">
        <v>91</v>
      </c>
      <c r="J662" s="24" t="s">
        <v>6236</v>
      </c>
      <c r="K662" s="24" t="s">
        <v>6237</v>
      </c>
      <c r="L662" s="24" t="s">
        <v>6238</v>
      </c>
      <c r="M662" s="24" t="s">
        <v>6239</v>
      </c>
      <c r="N662" s="24" t="s">
        <v>6240</v>
      </c>
      <c r="O662" s="24" t="s">
        <v>6241</v>
      </c>
      <c r="P662" s="28"/>
      <c r="Q662" s="28" t="str">
        <f aca="false">"["&amp;안내!$C$5&amp;" "&amp;C662&amp;"] "&amp;J662&amp;" | "&amp;H662</f>
        <v>[1분 성경 #0661] 다비다야 일어나라 | 행 9:32-43</v>
      </c>
      <c r="R662" s="29" t="n">
        <f aca="false">INT((A662-1)/안내!$C$9)+1</f>
        <v>133</v>
      </c>
      <c r="S662" s="26" t="n">
        <f aca="false">안내!$C$10+(R662-1)*7+MOD(A662-1,안내!$C$9)</f>
        <v>47315</v>
      </c>
      <c r="T662" s="23" t="s">
        <v>99</v>
      </c>
      <c r="U662" s="23" t="s">
        <v>99</v>
      </c>
      <c r="V662" s="23" t="s">
        <v>99</v>
      </c>
      <c r="W662" s="23" t="s">
        <v>99</v>
      </c>
      <c r="X662" s="28"/>
      <c r="Y662" s="28" t="str">
        <f aca="false">"다음 편: "&amp;J663</f>
        <v>다음 편: 보자기 환상</v>
      </c>
    </row>
    <row r="663" customFormat="false" ht="26.85" hidden="false" customHeight="false" outlineLevel="0" collapsed="false">
      <c r="A663" s="29" t="n">
        <v>662</v>
      </c>
      <c r="B663" s="29" t="s">
        <v>6242</v>
      </c>
      <c r="C663" s="29" t="s">
        <v>6243</v>
      </c>
      <c r="D663" s="29" t="s">
        <v>6197</v>
      </c>
      <c r="E663" s="24" t="s">
        <v>6198</v>
      </c>
      <c r="F663" s="23" t="s">
        <v>4950</v>
      </c>
      <c r="G663" s="23" t="s">
        <v>6103</v>
      </c>
      <c r="H663" s="24" t="s">
        <v>6244</v>
      </c>
      <c r="I663" s="23" t="s">
        <v>91</v>
      </c>
      <c r="J663" s="24" t="s">
        <v>6245</v>
      </c>
      <c r="K663" s="24" t="s">
        <v>6246</v>
      </c>
      <c r="L663" s="24" t="s">
        <v>6247</v>
      </c>
      <c r="M663" s="24" t="s">
        <v>6248</v>
      </c>
      <c r="N663" s="24" t="s">
        <v>6249</v>
      </c>
      <c r="O663" s="24" t="s">
        <v>6250</v>
      </c>
      <c r="P663" s="28"/>
      <c r="Q663" s="28" t="str">
        <f aca="false">"["&amp;안내!$C$5&amp;" "&amp;C663&amp;"] "&amp;J663&amp;" | "&amp;H663</f>
        <v>[1분 성경 #0662] 보자기 환상 | 행 10:1-48</v>
      </c>
      <c r="R663" s="29" t="n">
        <f aca="false">INT((A663-1)/안내!$C$9)+1</f>
        <v>133</v>
      </c>
      <c r="S663" s="26" t="n">
        <f aca="false">안내!$C$10+(R663-1)*7+MOD(A663-1,안내!$C$9)</f>
        <v>47316</v>
      </c>
      <c r="T663" s="23" t="s">
        <v>99</v>
      </c>
      <c r="U663" s="23" t="s">
        <v>99</v>
      </c>
      <c r="V663" s="23" t="s">
        <v>99</v>
      </c>
      <c r="W663" s="23" t="s">
        <v>99</v>
      </c>
      <c r="X663" s="28"/>
      <c r="Y663" s="28" t="str">
        <f aca="false">"다음 편: "&amp;J664</f>
        <v>다음 편: 그리스도인이라 불리다</v>
      </c>
    </row>
    <row r="664" customFormat="false" ht="26.85" hidden="false" customHeight="false" outlineLevel="0" collapsed="false">
      <c r="A664" s="29" t="n">
        <v>663</v>
      </c>
      <c r="B664" s="29" t="s">
        <v>6251</v>
      </c>
      <c r="C664" s="29" t="s">
        <v>6252</v>
      </c>
      <c r="D664" s="29" t="s">
        <v>6197</v>
      </c>
      <c r="E664" s="24" t="s">
        <v>6198</v>
      </c>
      <c r="F664" s="23" t="s">
        <v>4950</v>
      </c>
      <c r="G664" s="23" t="s">
        <v>6103</v>
      </c>
      <c r="H664" s="24" t="s">
        <v>6253</v>
      </c>
      <c r="I664" s="23" t="s">
        <v>91</v>
      </c>
      <c r="J664" s="24" t="s">
        <v>6254</v>
      </c>
      <c r="K664" s="24" t="s">
        <v>6255</v>
      </c>
      <c r="L664" s="24" t="s">
        <v>6256</v>
      </c>
      <c r="M664" s="24" t="s">
        <v>6257</v>
      </c>
      <c r="N664" s="24" t="s">
        <v>6258</v>
      </c>
      <c r="O664" s="24" t="s">
        <v>6259</v>
      </c>
      <c r="P664" s="28"/>
      <c r="Q664" s="28" t="str">
        <f aca="false">"["&amp;안내!$C$5&amp;" "&amp;C664&amp;"] "&amp;J664&amp;" | "&amp;H664</f>
        <v>[1분 성경 #0663] 그리스도인이라 불리다 | 행 11:1-30</v>
      </c>
      <c r="R664" s="29" t="n">
        <f aca="false">INT((A664-1)/안내!$C$9)+1</f>
        <v>133</v>
      </c>
      <c r="S664" s="26" t="n">
        <f aca="false">안내!$C$10+(R664-1)*7+MOD(A664-1,안내!$C$9)</f>
        <v>47317</v>
      </c>
      <c r="T664" s="23" t="s">
        <v>99</v>
      </c>
      <c r="U664" s="23" t="s">
        <v>99</v>
      </c>
      <c r="V664" s="23" t="s">
        <v>99</v>
      </c>
      <c r="W664" s="23" t="s">
        <v>99</v>
      </c>
      <c r="X664" s="28"/>
      <c r="Y664" s="28" t="str">
        <f aca="false">"다음 편: "&amp;J665</f>
        <v>다음 편: 감옥에서 잠든 베드로</v>
      </c>
    </row>
    <row r="665" customFormat="false" ht="25.35" hidden="false" customHeight="false" outlineLevel="0" collapsed="false">
      <c r="A665" s="29" t="n">
        <v>664</v>
      </c>
      <c r="B665" s="29" t="s">
        <v>6260</v>
      </c>
      <c r="C665" s="29" t="s">
        <v>6261</v>
      </c>
      <c r="D665" s="29" t="s">
        <v>6197</v>
      </c>
      <c r="E665" s="24" t="s">
        <v>6198</v>
      </c>
      <c r="F665" s="23" t="s">
        <v>4950</v>
      </c>
      <c r="G665" s="23" t="s">
        <v>6103</v>
      </c>
      <c r="H665" s="24" t="s">
        <v>6262</v>
      </c>
      <c r="I665" s="23" t="s">
        <v>91</v>
      </c>
      <c r="J665" s="24" t="s">
        <v>6263</v>
      </c>
      <c r="K665" s="24" t="s">
        <v>6264</v>
      </c>
      <c r="L665" s="24" t="s">
        <v>6265</v>
      </c>
      <c r="M665" s="24" t="s">
        <v>6266</v>
      </c>
      <c r="N665" s="24" t="s">
        <v>6267</v>
      </c>
      <c r="O665" s="24" t="s">
        <v>6268</v>
      </c>
      <c r="P665" s="25" t="s">
        <v>6269</v>
      </c>
      <c r="Q665" s="28" t="str">
        <f aca="false">"["&amp;안내!$C$5&amp;" "&amp;C665&amp;"] "&amp;J665&amp;" | "&amp;H665</f>
        <v>[1분 성경 #0664] 감옥에서 잠든 베드로 | 행 12:1-25</v>
      </c>
      <c r="R665" s="29" t="n">
        <f aca="false">INT((A665-1)/안내!$C$9)+1</f>
        <v>133</v>
      </c>
      <c r="S665" s="26" t="n">
        <f aca="false">안내!$C$10+(R665-1)*7+MOD(A665-1,안내!$C$9)</f>
        <v>47318</v>
      </c>
      <c r="T665" s="23" t="s">
        <v>99</v>
      </c>
      <c r="U665" s="23" t="s">
        <v>99</v>
      </c>
      <c r="V665" s="23" t="s">
        <v>99</v>
      </c>
      <c r="W665" s="23" t="s">
        <v>99</v>
      </c>
      <c r="X665" s="28"/>
      <c r="Y665" s="28" t="str">
        <f aca="false">"다음 편: "&amp;J666</f>
        <v>다음 편: 첫 번째 선교사</v>
      </c>
    </row>
    <row r="666" customFormat="false" ht="26.85" hidden="false" customHeight="false" outlineLevel="0" collapsed="false">
      <c r="A666" s="29" t="n">
        <v>665</v>
      </c>
      <c r="B666" s="29" t="s">
        <v>6270</v>
      </c>
      <c r="C666" s="29" t="s">
        <v>6271</v>
      </c>
      <c r="D666" s="29" t="s">
        <v>6272</v>
      </c>
      <c r="E666" s="24" t="s">
        <v>6273</v>
      </c>
      <c r="F666" s="23" t="s">
        <v>4950</v>
      </c>
      <c r="G666" s="23" t="s">
        <v>6103</v>
      </c>
      <c r="H666" s="24" t="s">
        <v>6274</v>
      </c>
      <c r="I666" s="23" t="s">
        <v>91</v>
      </c>
      <c r="J666" s="24" t="s">
        <v>6275</v>
      </c>
      <c r="K666" s="24" t="s">
        <v>6276</v>
      </c>
      <c r="L666" s="24" t="s">
        <v>6277</v>
      </c>
      <c r="M666" s="24" t="s">
        <v>6278</v>
      </c>
      <c r="N666" s="24" t="s">
        <v>6279</v>
      </c>
      <c r="O666" s="24" t="s">
        <v>6280</v>
      </c>
      <c r="P666" s="28"/>
      <c r="Q666" s="28" t="str">
        <f aca="false">"["&amp;안내!$C$5&amp;" "&amp;C666&amp;"] "&amp;J666&amp;" | "&amp;H666</f>
        <v>[1분 성경 #0665] 첫 번째 선교사 | 행 13:1-12</v>
      </c>
      <c r="R666" s="29" t="n">
        <f aca="false">INT((A666-1)/안내!$C$9)+1</f>
        <v>133</v>
      </c>
      <c r="S666" s="26" t="n">
        <f aca="false">안내!$C$10+(R666-1)*7+MOD(A666-1,안내!$C$9)</f>
        <v>47319</v>
      </c>
      <c r="T666" s="23" t="s">
        <v>99</v>
      </c>
      <c r="U666" s="23" t="s">
        <v>99</v>
      </c>
      <c r="V666" s="23" t="s">
        <v>99</v>
      </c>
      <c r="W666" s="23" t="s">
        <v>99</v>
      </c>
      <c r="X666" s="28"/>
      <c r="Y666" s="28" t="str">
        <f aca="false">"다음 편: "&amp;J667</f>
        <v>다음 편: 이방인의 빛</v>
      </c>
    </row>
    <row r="667" customFormat="false" ht="26.85" hidden="false" customHeight="false" outlineLevel="0" collapsed="false">
      <c r="A667" s="29" t="n">
        <v>666</v>
      </c>
      <c r="B667" s="29" t="s">
        <v>6281</v>
      </c>
      <c r="C667" s="29" t="s">
        <v>6282</v>
      </c>
      <c r="D667" s="29" t="s">
        <v>6272</v>
      </c>
      <c r="E667" s="24" t="s">
        <v>6273</v>
      </c>
      <c r="F667" s="23" t="s">
        <v>4950</v>
      </c>
      <c r="G667" s="23" t="s">
        <v>6103</v>
      </c>
      <c r="H667" s="24" t="s">
        <v>6283</v>
      </c>
      <c r="I667" s="23" t="s">
        <v>91</v>
      </c>
      <c r="J667" s="24" t="s">
        <v>6284</v>
      </c>
      <c r="K667" s="24" t="s">
        <v>6285</v>
      </c>
      <c r="L667" s="24" t="s">
        <v>6286</v>
      </c>
      <c r="M667" s="24" t="s">
        <v>6287</v>
      </c>
      <c r="N667" s="24" t="s">
        <v>6288</v>
      </c>
      <c r="O667" s="24" t="s">
        <v>6289</v>
      </c>
      <c r="P667" s="28"/>
      <c r="Q667" s="28" t="str">
        <f aca="false">"["&amp;안내!$C$5&amp;" "&amp;C667&amp;"] "&amp;J667&amp;" | "&amp;H667</f>
        <v>[1분 성경 #0666] 이방인의 빛 | 행 13:13-52</v>
      </c>
      <c r="R667" s="29" t="n">
        <f aca="false">INT((A667-1)/안내!$C$9)+1</f>
        <v>134</v>
      </c>
      <c r="S667" s="26" t="n">
        <f aca="false">안내!$C$10+(R667-1)*7+MOD(A667-1,안내!$C$9)</f>
        <v>47322</v>
      </c>
      <c r="T667" s="23" t="s">
        <v>99</v>
      </c>
      <c r="U667" s="23" t="s">
        <v>99</v>
      </c>
      <c r="V667" s="23" t="s">
        <v>99</v>
      </c>
      <c r="W667" s="23" t="s">
        <v>99</v>
      </c>
      <c r="X667" s="28"/>
      <c r="Y667" s="28" t="str">
        <f aca="false">"다음 편: "&amp;J668</f>
        <v>다음 편: 신이라 불린 사도들</v>
      </c>
    </row>
    <row r="668" customFormat="false" ht="26.85" hidden="false" customHeight="false" outlineLevel="0" collapsed="false">
      <c r="A668" s="29" t="n">
        <v>667</v>
      </c>
      <c r="B668" s="29" t="s">
        <v>6290</v>
      </c>
      <c r="C668" s="29" t="s">
        <v>6291</v>
      </c>
      <c r="D668" s="29" t="s">
        <v>6272</v>
      </c>
      <c r="E668" s="24" t="s">
        <v>6273</v>
      </c>
      <c r="F668" s="23" t="s">
        <v>4950</v>
      </c>
      <c r="G668" s="23" t="s">
        <v>6103</v>
      </c>
      <c r="H668" s="24" t="s">
        <v>6292</v>
      </c>
      <c r="I668" s="23" t="s">
        <v>91</v>
      </c>
      <c r="J668" s="24" t="s">
        <v>6293</v>
      </c>
      <c r="K668" s="24" t="s">
        <v>6294</v>
      </c>
      <c r="L668" s="24" t="s">
        <v>6295</v>
      </c>
      <c r="M668" s="24" t="s">
        <v>6296</v>
      </c>
      <c r="N668" s="24" t="s">
        <v>6297</v>
      </c>
      <c r="O668" s="24" t="s">
        <v>6298</v>
      </c>
      <c r="P668" s="25" t="s">
        <v>6299</v>
      </c>
      <c r="Q668" s="28" t="str">
        <f aca="false">"["&amp;안내!$C$5&amp;" "&amp;C668&amp;"] "&amp;J668&amp;" | "&amp;H668</f>
        <v>[1분 성경 #0667] 신이라 불린 사도들 | 행 14:1-28</v>
      </c>
      <c r="R668" s="29" t="n">
        <f aca="false">INT((A668-1)/안내!$C$9)+1</f>
        <v>134</v>
      </c>
      <c r="S668" s="26" t="n">
        <f aca="false">안내!$C$10+(R668-1)*7+MOD(A668-1,안내!$C$9)</f>
        <v>47323</v>
      </c>
      <c r="T668" s="23" t="s">
        <v>99</v>
      </c>
      <c r="U668" s="23" t="s">
        <v>99</v>
      </c>
      <c r="V668" s="23" t="s">
        <v>99</v>
      </c>
      <c r="W668" s="23" t="s">
        <v>99</v>
      </c>
      <c r="X668" s="28"/>
      <c r="Y668" s="28" t="str">
        <f aca="false">"다음 편: "&amp;J669</f>
        <v>다음 편: 예루살렘 회의</v>
      </c>
    </row>
    <row r="669" customFormat="false" ht="26.85" hidden="false" customHeight="false" outlineLevel="0" collapsed="false">
      <c r="A669" s="29" t="n">
        <v>668</v>
      </c>
      <c r="B669" s="29" t="s">
        <v>6300</v>
      </c>
      <c r="C669" s="29" t="s">
        <v>6301</v>
      </c>
      <c r="D669" s="29" t="s">
        <v>6272</v>
      </c>
      <c r="E669" s="24" t="s">
        <v>6273</v>
      </c>
      <c r="F669" s="23" t="s">
        <v>4950</v>
      </c>
      <c r="G669" s="23" t="s">
        <v>6103</v>
      </c>
      <c r="H669" s="24" t="s">
        <v>6302</v>
      </c>
      <c r="I669" s="23" t="s">
        <v>91</v>
      </c>
      <c r="J669" s="24" t="s">
        <v>6303</v>
      </c>
      <c r="K669" s="24" t="s">
        <v>6304</v>
      </c>
      <c r="L669" s="24" t="s">
        <v>6305</v>
      </c>
      <c r="M669" s="24" t="s">
        <v>6306</v>
      </c>
      <c r="N669" s="24" t="s">
        <v>6307</v>
      </c>
      <c r="O669" s="24" t="s">
        <v>6308</v>
      </c>
      <c r="P669" s="28"/>
      <c r="Q669" s="28" t="str">
        <f aca="false">"["&amp;안내!$C$5&amp;" "&amp;C669&amp;"] "&amp;J669&amp;" | "&amp;H669</f>
        <v>[1분 성경 #0668] 예루살렘 회의 | 행 15:1-35</v>
      </c>
      <c r="R669" s="29" t="n">
        <f aca="false">INT((A669-1)/안내!$C$9)+1</f>
        <v>134</v>
      </c>
      <c r="S669" s="26" t="n">
        <f aca="false">안내!$C$10+(R669-1)*7+MOD(A669-1,안내!$C$9)</f>
        <v>47324</v>
      </c>
      <c r="T669" s="23" t="s">
        <v>99</v>
      </c>
      <c r="U669" s="23" t="s">
        <v>99</v>
      </c>
      <c r="V669" s="23" t="s">
        <v>99</v>
      </c>
      <c r="W669" s="23" t="s">
        <v>99</v>
      </c>
      <c r="X669" s="28"/>
      <c r="Y669" s="28" t="str">
        <f aca="false">"다음 편: "&amp;J670</f>
        <v>다음 편: 마게도냐 사람의 환상</v>
      </c>
    </row>
    <row r="670" customFormat="false" ht="25.35" hidden="false" customHeight="false" outlineLevel="0" collapsed="false">
      <c r="A670" s="29" t="n">
        <v>669</v>
      </c>
      <c r="B670" s="29" t="s">
        <v>6309</v>
      </c>
      <c r="C670" s="29" t="s">
        <v>6310</v>
      </c>
      <c r="D670" s="29" t="s">
        <v>6272</v>
      </c>
      <c r="E670" s="24" t="s">
        <v>6273</v>
      </c>
      <c r="F670" s="23" t="s">
        <v>4950</v>
      </c>
      <c r="G670" s="23" t="s">
        <v>6103</v>
      </c>
      <c r="H670" s="24" t="s">
        <v>6311</v>
      </c>
      <c r="I670" s="23" t="s">
        <v>91</v>
      </c>
      <c r="J670" s="24" t="s">
        <v>6312</v>
      </c>
      <c r="K670" s="24" t="s">
        <v>6313</v>
      </c>
      <c r="L670" s="24" t="s">
        <v>6314</v>
      </c>
      <c r="M670" s="24" t="s">
        <v>6315</v>
      </c>
      <c r="N670" s="24" t="s">
        <v>6316</v>
      </c>
      <c r="O670" s="24" t="s">
        <v>6317</v>
      </c>
      <c r="P670" s="28"/>
      <c r="Q670" s="28" t="str">
        <f aca="false">"["&amp;안내!$C$5&amp;" "&amp;C670&amp;"] "&amp;J670&amp;" | "&amp;H670</f>
        <v>[1분 성경 #0669] 마게도냐 사람의 환상 | 행 15:36-16:15</v>
      </c>
      <c r="R670" s="29" t="n">
        <f aca="false">INT((A670-1)/안내!$C$9)+1</f>
        <v>134</v>
      </c>
      <c r="S670" s="26" t="n">
        <f aca="false">안내!$C$10+(R670-1)*7+MOD(A670-1,안내!$C$9)</f>
        <v>47325</v>
      </c>
      <c r="T670" s="23" t="s">
        <v>99</v>
      </c>
      <c r="U670" s="23" t="s">
        <v>99</v>
      </c>
      <c r="V670" s="23" t="s">
        <v>99</v>
      </c>
      <c r="W670" s="23" t="s">
        <v>99</v>
      </c>
      <c r="X670" s="28"/>
      <c r="Y670" s="28" t="str">
        <f aca="false">"다음 편: "&amp;J671</f>
        <v>다음 편: 한밤중의 찬양</v>
      </c>
    </row>
    <row r="671" customFormat="false" ht="26.85" hidden="false" customHeight="false" outlineLevel="0" collapsed="false">
      <c r="A671" s="29" t="n">
        <v>670</v>
      </c>
      <c r="B671" s="29" t="s">
        <v>6318</v>
      </c>
      <c r="C671" s="29" t="s">
        <v>6319</v>
      </c>
      <c r="D671" s="29" t="s">
        <v>6272</v>
      </c>
      <c r="E671" s="24" t="s">
        <v>6273</v>
      </c>
      <c r="F671" s="23" t="s">
        <v>4950</v>
      </c>
      <c r="G671" s="23" t="s">
        <v>6103</v>
      </c>
      <c r="H671" s="24" t="s">
        <v>6320</v>
      </c>
      <c r="I671" s="23" t="s">
        <v>91</v>
      </c>
      <c r="J671" s="24" t="s">
        <v>6321</v>
      </c>
      <c r="K671" s="24" t="s">
        <v>6322</v>
      </c>
      <c r="L671" s="24" t="s">
        <v>6323</v>
      </c>
      <c r="M671" s="24" t="s">
        <v>6324</v>
      </c>
      <c r="N671" s="24" t="s">
        <v>6325</v>
      </c>
      <c r="O671" s="24" t="s">
        <v>6326</v>
      </c>
      <c r="P671" s="25" t="s">
        <v>6175</v>
      </c>
      <c r="Q671" s="28" t="str">
        <f aca="false">"["&amp;안내!$C$5&amp;" "&amp;C671&amp;"] "&amp;J671&amp;" | "&amp;H671</f>
        <v>[1분 성경 #0670] 한밤중의 찬양 | 행 16:16-40</v>
      </c>
      <c r="R671" s="29" t="n">
        <f aca="false">INT((A671-1)/안내!$C$9)+1</f>
        <v>134</v>
      </c>
      <c r="S671" s="26" t="n">
        <f aca="false">안내!$C$10+(R671-1)*7+MOD(A671-1,안내!$C$9)</f>
        <v>47326</v>
      </c>
      <c r="T671" s="23" t="s">
        <v>99</v>
      </c>
      <c r="U671" s="23" t="s">
        <v>99</v>
      </c>
      <c r="V671" s="23" t="s">
        <v>99</v>
      </c>
      <c r="W671" s="23" t="s">
        <v>99</v>
      </c>
      <c r="X671" s="28"/>
      <c r="Y671" s="28" t="str">
        <f aca="false">"다음 편: "&amp;J672</f>
        <v>다음 편: 베뢰아 사람들</v>
      </c>
    </row>
    <row r="672" customFormat="false" ht="26.85" hidden="false" customHeight="false" outlineLevel="0" collapsed="false">
      <c r="A672" s="29" t="n">
        <v>671</v>
      </c>
      <c r="B672" s="29" t="s">
        <v>6327</v>
      </c>
      <c r="C672" s="29" t="s">
        <v>6328</v>
      </c>
      <c r="D672" s="29" t="s">
        <v>6272</v>
      </c>
      <c r="E672" s="24" t="s">
        <v>6273</v>
      </c>
      <c r="F672" s="23" t="s">
        <v>4950</v>
      </c>
      <c r="G672" s="23" t="s">
        <v>6103</v>
      </c>
      <c r="H672" s="24" t="s">
        <v>6329</v>
      </c>
      <c r="I672" s="23" t="s">
        <v>91</v>
      </c>
      <c r="J672" s="24" t="s">
        <v>6330</v>
      </c>
      <c r="K672" s="24" t="s">
        <v>6331</v>
      </c>
      <c r="L672" s="24" t="s">
        <v>6332</v>
      </c>
      <c r="M672" s="24" t="s">
        <v>6333</v>
      </c>
      <c r="N672" s="24" t="s">
        <v>6334</v>
      </c>
      <c r="O672" s="24" t="s">
        <v>6335</v>
      </c>
      <c r="P672" s="25" t="s">
        <v>6336</v>
      </c>
      <c r="Q672" s="28" t="str">
        <f aca="false">"["&amp;안내!$C$5&amp;" "&amp;C672&amp;"] "&amp;J672&amp;" | "&amp;H672</f>
        <v>[1분 성경 #0671] 베뢰아 사람들 | 행 17:1-15</v>
      </c>
      <c r="R672" s="29" t="n">
        <f aca="false">INT((A672-1)/안내!$C$9)+1</f>
        <v>135</v>
      </c>
      <c r="S672" s="26" t="n">
        <f aca="false">안내!$C$10+(R672-1)*7+MOD(A672-1,안내!$C$9)</f>
        <v>47329</v>
      </c>
      <c r="T672" s="23" t="s">
        <v>99</v>
      </c>
      <c r="U672" s="23" t="s">
        <v>99</v>
      </c>
      <c r="V672" s="23" t="s">
        <v>99</v>
      </c>
      <c r="W672" s="23" t="s">
        <v>99</v>
      </c>
      <c r="X672" s="28"/>
      <c r="Y672" s="28" t="str">
        <f aca="false">"다음 편: "&amp;J673</f>
        <v>다음 편: 알지 못하는 신에게</v>
      </c>
    </row>
    <row r="673" customFormat="false" ht="25.35" hidden="false" customHeight="false" outlineLevel="0" collapsed="false">
      <c r="A673" s="29" t="n">
        <v>672</v>
      </c>
      <c r="B673" s="29" t="s">
        <v>6337</v>
      </c>
      <c r="C673" s="29" t="s">
        <v>6338</v>
      </c>
      <c r="D673" s="29" t="s">
        <v>6272</v>
      </c>
      <c r="E673" s="24" t="s">
        <v>6273</v>
      </c>
      <c r="F673" s="23" t="s">
        <v>4950</v>
      </c>
      <c r="G673" s="23" t="s">
        <v>6103</v>
      </c>
      <c r="H673" s="24" t="s">
        <v>6339</v>
      </c>
      <c r="I673" s="23" t="s">
        <v>91</v>
      </c>
      <c r="J673" s="24" t="s">
        <v>6340</v>
      </c>
      <c r="K673" s="24" t="s">
        <v>6341</v>
      </c>
      <c r="L673" s="24" t="s">
        <v>6342</v>
      </c>
      <c r="M673" s="24" t="s">
        <v>6343</v>
      </c>
      <c r="N673" s="24" t="s">
        <v>6344</v>
      </c>
      <c r="O673" s="24" t="s">
        <v>6345</v>
      </c>
      <c r="P673" s="28"/>
      <c r="Q673" s="28" t="str">
        <f aca="false">"["&amp;안내!$C$5&amp;" "&amp;C673&amp;"] "&amp;J673&amp;" | "&amp;H673</f>
        <v>[1분 성경 #0672] 알지 못하는 신에게 | 행 17:16-34</v>
      </c>
      <c r="R673" s="29" t="n">
        <f aca="false">INT((A673-1)/안내!$C$9)+1</f>
        <v>135</v>
      </c>
      <c r="S673" s="26" t="n">
        <f aca="false">안내!$C$10+(R673-1)*7+MOD(A673-1,안내!$C$9)</f>
        <v>47330</v>
      </c>
      <c r="T673" s="23" t="s">
        <v>99</v>
      </c>
      <c r="U673" s="23" t="s">
        <v>99</v>
      </c>
      <c r="V673" s="23" t="s">
        <v>99</v>
      </c>
      <c r="W673" s="23" t="s">
        <v>99</v>
      </c>
      <c r="X673" s="28"/>
      <c r="Y673" s="28" t="str">
        <f aca="false">"다음 편: "&amp;J674</f>
        <v>다음 편: 두려워하지 말라</v>
      </c>
    </row>
    <row r="674" customFormat="false" ht="26.85" hidden="false" customHeight="false" outlineLevel="0" collapsed="false">
      <c r="A674" s="29" t="n">
        <v>673</v>
      </c>
      <c r="B674" s="29" t="s">
        <v>6346</v>
      </c>
      <c r="C674" s="29" t="s">
        <v>6347</v>
      </c>
      <c r="D674" s="29" t="s">
        <v>6272</v>
      </c>
      <c r="E674" s="24" t="s">
        <v>6273</v>
      </c>
      <c r="F674" s="23" t="s">
        <v>4950</v>
      </c>
      <c r="G674" s="23" t="s">
        <v>6103</v>
      </c>
      <c r="H674" s="24" t="s">
        <v>6348</v>
      </c>
      <c r="I674" s="23" t="s">
        <v>91</v>
      </c>
      <c r="J674" s="24" t="s">
        <v>4082</v>
      </c>
      <c r="K674" s="24" t="s">
        <v>6349</v>
      </c>
      <c r="L674" s="24" t="s">
        <v>6350</v>
      </c>
      <c r="M674" s="24" t="s">
        <v>6351</v>
      </c>
      <c r="N674" s="24" t="s">
        <v>6352</v>
      </c>
      <c r="O674" s="24" t="s">
        <v>6353</v>
      </c>
      <c r="P674" s="28"/>
      <c r="Q674" s="28" t="str">
        <f aca="false">"["&amp;안내!$C$5&amp;" "&amp;C674&amp;"] "&amp;J674&amp;" | "&amp;H674</f>
        <v>[1분 성경 #0673] 두려워하지 말라 | 행 18:1-28</v>
      </c>
      <c r="R674" s="29" t="n">
        <f aca="false">INT((A674-1)/안내!$C$9)+1</f>
        <v>135</v>
      </c>
      <c r="S674" s="26" t="n">
        <f aca="false">안내!$C$10+(R674-1)*7+MOD(A674-1,안내!$C$9)</f>
        <v>47331</v>
      </c>
      <c r="T674" s="23" t="s">
        <v>99</v>
      </c>
      <c r="U674" s="23" t="s">
        <v>99</v>
      </c>
      <c r="V674" s="23" t="s">
        <v>99</v>
      </c>
      <c r="W674" s="23" t="s">
        <v>99</v>
      </c>
      <c r="X674" s="28"/>
      <c r="Y674" s="28" t="str">
        <f aca="false">"다음 편: "&amp;J675</f>
        <v>다음 편: 에베소의 소동</v>
      </c>
    </row>
    <row r="675" customFormat="false" ht="26.85" hidden="false" customHeight="false" outlineLevel="0" collapsed="false">
      <c r="A675" s="29" t="n">
        <v>674</v>
      </c>
      <c r="B675" s="29" t="s">
        <v>6354</v>
      </c>
      <c r="C675" s="29" t="s">
        <v>6355</v>
      </c>
      <c r="D675" s="29" t="s">
        <v>6272</v>
      </c>
      <c r="E675" s="24" t="s">
        <v>6273</v>
      </c>
      <c r="F675" s="23" t="s">
        <v>4950</v>
      </c>
      <c r="G675" s="23" t="s">
        <v>6103</v>
      </c>
      <c r="H675" s="24" t="s">
        <v>6356</v>
      </c>
      <c r="I675" s="23" t="s">
        <v>91</v>
      </c>
      <c r="J675" s="24" t="s">
        <v>6357</v>
      </c>
      <c r="K675" s="24" t="s">
        <v>6358</v>
      </c>
      <c r="L675" s="24" t="s">
        <v>6359</v>
      </c>
      <c r="M675" s="24" t="s">
        <v>6360</v>
      </c>
      <c r="N675" s="24" t="s">
        <v>6361</v>
      </c>
      <c r="O675" s="24" t="s">
        <v>6362</v>
      </c>
      <c r="P675" s="28"/>
      <c r="Q675" s="28" t="str">
        <f aca="false">"["&amp;안내!$C$5&amp;" "&amp;C675&amp;"] "&amp;J675&amp;" | "&amp;H675</f>
        <v>[1분 성경 #0674] 에베소의 소동 | 행 19:1-41</v>
      </c>
      <c r="R675" s="29" t="n">
        <f aca="false">INT((A675-1)/안내!$C$9)+1</f>
        <v>135</v>
      </c>
      <c r="S675" s="26" t="n">
        <f aca="false">안내!$C$10+(R675-1)*7+MOD(A675-1,안내!$C$9)</f>
        <v>47332</v>
      </c>
      <c r="T675" s="23" t="s">
        <v>99</v>
      </c>
      <c r="U675" s="23" t="s">
        <v>99</v>
      </c>
      <c r="V675" s="23" t="s">
        <v>99</v>
      </c>
      <c r="W675" s="23" t="s">
        <v>99</v>
      </c>
      <c r="X675" s="28"/>
      <c r="Y675" s="28" t="str">
        <f aca="false">"다음 편: "&amp;J676</f>
        <v>다음 편: 달려갈 길을 마치려 함에는</v>
      </c>
    </row>
    <row r="676" customFormat="false" ht="26.85" hidden="false" customHeight="false" outlineLevel="0" collapsed="false">
      <c r="A676" s="29" t="n">
        <v>675</v>
      </c>
      <c r="B676" s="29" t="s">
        <v>6363</v>
      </c>
      <c r="C676" s="29" t="s">
        <v>6364</v>
      </c>
      <c r="D676" s="29" t="s">
        <v>6272</v>
      </c>
      <c r="E676" s="24" t="s">
        <v>6273</v>
      </c>
      <c r="F676" s="23" t="s">
        <v>4950</v>
      </c>
      <c r="G676" s="23" t="s">
        <v>6103</v>
      </c>
      <c r="H676" s="24" t="s">
        <v>6365</v>
      </c>
      <c r="I676" s="23" t="s">
        <v>91</v>
      </c>
      <c r="J676" s="24" t="s">
        <v>6366</v>
      </c>
      <c r="K676" s="24" t="s">
        <v>6367</v>
      </c>
      <c r="L676" s="24" t="s">
        <v>6368</v>
      </c>
      <c r="M676" s="24" t="s">
        <v>6369</v>
      </c>
      <c r="N676" s="24" t="s">
        <v>6370</v>
      </c>
      <c r="O676" s="24" t="s">
        <v>6371</v>
      </c>
      <c r="P676" s="28"/>
      <c r="Q676" s="28" t="str">
        <f aca="false">"["&amp;안내!$C$5&amp;" "&amp;C676&amp;"] "&amp;J676&amp;" | "&amp;H676</f>
        <v>[1분 성경 #0675] 달려갈 길을 마치려 함에는 | 행 20:1-38</v>
      </c>
      <c r="R676" s="29" t="n">
        <f aca="false">INT((A676-1)/안내!$C$9)+1</f>
        <v>135</v>
      </c>
      <c r="S676" s="26" t="n">
        <f aca="false">안내!$C$10+(R676-1)*7+MOD(A676-1,안내!$C$9)</f>
        <v>47333</v>
      </c>
      <c r="T676" s="23" t="s">
        <v>99</v>
      </c>
      <c r="U676" s="23" t="s">
        <v>99</v>
      </c>
      <c r="V676" s="23" t="s">
        <v>99</v>
      </c>
      <c r="W676" s="23" t="s">
        <v>99</v>
      </c>
      <c r="X676" s="28"/>
      <c r="Y676" s="28" t="str">
        <f aca="false">"다음 편: "&amp;J677</f>
        <v>다음 편: 예루살렘으로</v>
      </c>
    </row>
    <row r="677" customFormat="false" ht="26.85" hidden="false" customHeight="false" outlineLevel="0" collapsed="false">
      <c r="A677" s="29" t="n">
        <v>676</v>
      </c>
      <c r="B677" s="29" t="s">
        <v>6372</v>
      </c>
      <c r="C677" s="29" t="s">
        <v>6373</v>
      </c>
      <c r="D677" s="29" t="s">
        <v>6374</v>
      </c>
      <c r="E677" s="24" t="s">
        <v>6375</v>
      </c>
      <c r="F677" s="23" t="s">
        <v>4950</v>
      </c>
      <c r="G677" s="23" t="s">
        <v>6103</v>
      </c>
      <c r="H677" s="24" t="s">
        <v>6376</v>
      </c>
      <c r="I677" s="23" t="s">
        <v>91</v>
      </c>
      <c r="J677" s="24" t="s">
        <v>6377</v>
      </c>
      <c r="K677" s="24" t="s">
        <v>6378</v>
      </c>
      <c r="L677" s="24" t="s">
        <v>6379</v>
      </c>
      <c r="M677" s="24" t="s">
        <v>6380</v>
      </c>
      <c r="N677" s="24" t="s">
        <v>6381</v>
      </c>
      <c r="O677" s="24" t="s">
        <v>6382</v>
      </c>
      <c r="P677" s="28"/>
      <c r="Q677" s="28" t="str">
        <f aca="false">"["&amp;안내!$C$5&amp;" "&amp;C677&amp;"] "&amp;J677&amp;" | "&amp;H677</f>
        <v>[1분 성경 #0676] 예루살렘으로 | 행 21:1-40</v>
      </c>
      <c r="R677" s="29" t="n">
        <f aca="false">INT((A677-1)/안내!$C$9)+1</f>
        <v>136</v>
      </c>
      <c r="S677" s="26" t="n">
        <f aca="false">안내!$C$10+(R677-1)*7+MOD(A677-1,안내!$C$9)</f>
        <v>47336</v>
      </c>
      <c r="T677" s="23" t="s">
        <v>99</v>
      </c>
      <c r="U677" s="23" t="s">
        <v>99</v>
      </c>
      <c r="V677" s="23" t="s">
        <v>99</v>
      </c>
      <c r="W677" s="23" t="s">
        <v>99</v>
      </c>
      <c r="X677" s="28"/>
      <c r="Y677" s="28" t="str">
        <f aca="false">"다음 편: "&amp;J678</f>
        <v>다음 편: 바울의 간증</v>
      </c>
    </row>
    <row r="678" customFormat="false" ht="15" hidden="false" customHeight="false" outlineLevel="0" collapsed="false">
      <c r="A678" s="29" t="n">
        <v>677</v>
      </c>
      <c r="B678" s="29" t="s">
        <v>6383</v>
      </c>
      <c r="C678" s="29" t="s">
        <v>6384</v>
      </c>
      <c r="D678" s="29" t="s">
        <v>6374</v>
      </c>
      <c r="E678" s="24" t="s">
        <v>6375</v>
      </c>
      <c r="F678" s="23" t="s">
        <v>4950</v>
      </c>
      <c r="G678" s="23" t="s">
        <v>6103</v>
      </c>
      <c r="H678" s="24" t="s">
        <v>6385</v>
      </c>
      <c r="I678" s="23" t="s">
        <v>91</v>
      </c>
      <c r="J678" s="24" t="s">
        <v>6386</v>
      </c>
      <c r="K678" s="24" t="s">
        <v>6387</v>
      </c>
      <c r="L678" s="24" t="s">
        <v>6388</v>
      </c>
      <c r="M678" s="24" t="s">
        <v>6389</v>
      </c>
      <c r="N678" s="24" t="s">
        <v>6390</v>
      </c>
      <c r="O678" s="24" t="s">
        <v>6391</v>
      </c>
      <c r="P678" s="28"/>
      <c r="Q678" s="28" t="str">
        <f aca="false">"["&amp;안내!$C$5&amp;" "&amp;C678&amp;"] "&amp;J678&amp;" | "&amp;H678</f>
        <v>[1분 성경 #0677] 바울의 간증 | 행 22:1-30</v>
      </c>
      <c r="R678" s="29" t="n">
        <f aca="false">INT((A678-1)/안내!$C$9)+1</f>
        <v>136</v>
      </c>
      <c r="S678" s="26" t="n">
        <f aca="false">안내!$C$10+(R678-1)*7+MOD(A678-1,안내!$C$9)</f>
        <v>47337</v>
      </c>
      <c r="T678" s="23" t="s">
        <v>99</v>
      </c>
      <c r="U678" s="23" t="s">
        <v>99</v>
      </c>
      <c r="V678" s="23" t="s">
        <v>99</v>
      </c>
      <c r="W678" s="23" t="s">
        <v>99</v>
      </c>
      <c r="X678" s="28"/>
      <c r="Y678" s="28" t="str">
        <f aca="false">"다음 편: "&amp;J679</f>
        <v>다음 편: 40명의 암살 음모</v>
      </c>
    </row>
    <row r="679" customFormat="false" ht="26.85" hidden="false" customHeight="false" outlineLevel="0" collapsed="false">
      <c r="A679" s="29" t="n">
        <v>678</v>
      </c>
      <c r="B679" s="29" t="s">
        <v>6392</v>
      </c>
      <c r="C679" s="29" t="s">
        <v>6393</v>
      </c>
      <c r="D679" s="29" t="s">
        <v>6374</v>
      </c>
      <c r="E679" s="24" t="s">
        <v>6375</v>
      </c>
      <c r="F679" s="23" t="s">
        <v>4950</v>
      </c>
      <c r="G679" s="23" t="s">
        <v>6103</v>
      </c>
      <c r="H679" s="24" t="s">
        <v>6394</v>
      </c>
      <c r="I679" s="23" t="s">
        <v>91</v>
      </c>
      <c r="J679" s="28" t="s">
        <v>6395</v>
      </c>
      <c r="K679" s="24" t="s">
        <v>6396</v>
      </c>
      <c r="L679" s="24" t="s">
        <v>6397</v>
      </c>
      <c r="M679" s="24" t="s">
        <v>6398</v>
      </c>
      <c r="N679" s="24" t="s">
        <v>6399</v>
      </c>
      <c r="O679" s="24" t="s">
        <v>6400</v>
      </c>
      <c r="P679" s="28"/>
      <c r="Q679" s="28" t="str">
        <f aca="false">"["&amp;안내!$C$5&amp;" "&amp;C679&amp;"] "&amp;J679&amp;" | "&amp;H679</f>
        <v>[1분 성경 #0678] 40명의 암살 음모 | 행 23:1-35</v>
      </c>
      <c r="R679" s="29" t="n">
        <f aca="false">INT((A679-1)/안내!$C$9)+1</f>
        <v>136</v>
      </c>
      <c r="S679" s="26" t="n">
        <f aca="false">안내!$C$10+(R679-1)*7+MOD(A679-1,안내!$C$9)</f>
        <v>47338</v>
      </c>
      <c r="T679" s="23" t="s">
        <v>99</v>
      </c>
      <c r="U679" s="23" t="s">
        <v>99</v>
      </c>
      <c r="V679" s="23" t="s">
        <v>99</v>
      </c>
      <c r="W679" s="23" t="s">
        <v>99</v>
      </c>
      <c r="X679" s="28"/>
      <c r="Y679" s="28" t="str">
        <f aca="false">"다음 편: "&amp;J680</f>
        <v>다음 편: 두려워 떤 총독</v>
      </c>
    </row>
    <row r="680" customFormat="false" ht="26.85" hidden="false" customHeight="false" outlineLevel="0" collapsed="false">
      <c r="A680" s="29" t="n">
        <v>679</v>
      </c>
      <c r="B680" s="29" t="s">
        <v>6401</v>
      </c>
      <c r="C680" s="29" t="s">
        <v>6402</v>
      </c>
      <c r="D680" s="29" t="s">
        <v>6374</v>
      </c>
      <c r="E680" s="24" t="s">
        <v>6375</v>
      </c>
      <c r="F680" s="23" t="s">
        <v>4950</v>
      </c>
      <c r="G680" s="23" t="s">
        <v>6103</v>
      </c>
      <c r="H680" s="24" t="s">
        <v>6403</v>
      </c>
      <c r="I680" s="23" t="s">
        <v>91</v>
      </c>
      <c r="J680" s="24" t="s">
        <v>6404</v>
      </c>
      <c r="K680" s="24" t="s">
        <v>6405</v>
      </c>
      <c r="L680" s="24" t="s">
        <v>6406</v>
      </c>
      <c r="M680" s="24" t="s">
        <v>6407</v>
      </c>
      <c r="N680" s="24" t="s">
        <v>6408</v>
      </c>
      <c r="O680" s="24" t="s">
        <v>6409</v>
      </c>
      <c r="P680" s="28"/>
      <c r="Q680" s="28" t="str">
        <f aca="false">"["&amp;안내!$C$5&amp;" "&amp;C680&amp;"] "&amp;J680&amp;" | "&amp;H680</f>
        <v>[1분 성경 #0679] 두려워 떤 총독 | 행 24:1-27</v>
      </c>
      <c r="R680" s="29" t="n">
        <f aca="false">INT((A680-1)/안내!$C$9)+1</f>
        <v>136</v>
      </c>
      <c r="S680" s="26" t="n">
        <f aca="false">안내!$C$10+(R680-1)*7+MOD(A680-1,안내!$C$9)</f>
        <v>47339</v>
      </c>
      <c r="T680" s="23" t="s">
        <v>99</v>
      </c>
      <c r="U680" s="23" t="s">
        <v>99</v>
      </c>
      <c r="V680" s="23" t="s">
        <v>99</v>
      </c>
      <c r="W680" s="23" t="s">
        <v>99</v>
      </c>
      <c r="X680" s="28"/>
      <c r="Y680" s="28" t="str">
        <f aca="false">"다음 편: "&amp;J681</f>
        <v>다음 편: 거의 그리스도인이 되게</v>
      </c>
    </row>
    <row r="681" customFormat="false" ht="26.85" hidden="false" customHeight="false" outlineLevel="0" collapsed="false">
      <c r="A681" s="29" t="n">
        <v>680</v>
      </c>
      <c r="B681" s="29" t="s">
        <v>6410</v>
      </c>
      <c r="C681" s="29" t="s">
        <v>6411</v>
      </c>
      <c r="D681" s="29" t="s">
        <v>6374</v>
      </c>
      <c r="E681" s="24" t="s">
        <v>6375</v>
      </c>
      <c r="F681" s="23" t="s">
        <v>4950</v>
      </c>
      <c r="G681" s="23" t="s">
        <v>6103</v>
      </c>
      <c r="H681" s="24" t="s">
        <v>6412</v>
      </c>
      <c r="I681" s="23" t="s">
        <v>91</v>
      </c>
      <c r="J681" s="24" t="s">
        <v>6413</v>
      </c>
      <c r="K681" s="24" t="s">
        <v>6414</v>
      </c>
      <c r="L681" s="24" t="s">
        <v>6415</v>
      </c>
      <c r="M681" s="24" t="s">
        <v>6416</v>
      </c>
      <c r="N681" s="24" t="s">
        <v>6417</v>
      </c>
      <c r="O681" s="24" t="s">
        <v>6418</v>
      </c>
      <c r="P681" s="28"/>
      <c r="Q681" s="28" t="str">
        <f aca="false">"["&amp;안내!$C$5&amp;" "&amp;C681&amp;"] "&amp;J681&amp;" | "&amp;H681</f>
        <v>[1분 성경 #0680] 거의 그리스도인이 되게 | 행 25:1-26:32</v>
      </c>
      <c r="R681" s="29" t="n">
        <f aca="false">INT((A681-1)/안내!$C$9)+1</f>
        <v>136</v>
      </c>
      <c r="S681" s="26" t="n">
        <f aca="false">안내!$C$10+(R681-1)*7+MOD(A681-1,안내!$C$9)</f>
        <v>47340</v>
      </c>
      <c r="T681" s="23" t="s">
        <v>99</v>
      </c>
      <c r="U681" s="23" t="s">
        <v>99</v>
      </c>
      <c r="V681" s="23" t="s">
        <v>99</v>
      </c>
      <c r="W681" s="23" t="s">
        <v>99</v>
      </c>
      <c r="X681" s="28"/>
      <c r="Y681" s="28" t="str">
        <f aca="false">"다음 편: "&amp;J682</f>
        <v>다음 편: 폭풍 속의 약속</v>
      </c>
    </row>
    <row r="682" customFormat="false" ht="15" hidden="false" customHeight="false" outlineLevel="0" collapsed="false">
      <c r="A682" s="29" t="n">
        <v>681</v>
      </c>
      <c r="B682" s="29" t="s">
        <v>6419</v>
      </c>
      <c r="C682" s="29" t="s">
        <v>6420</v>
      </c>
      <c r="D682" s="29" t="s">
        <v>6374</v>
      </c>
      <c r="E682" s="24" t="s">
        <v>6375</v>
      </c>
      <c r="F682" s="23" t="s">
        <v>4950</v>
      </c>
      <c r="G682" s="23" t="s">
        <v>6103</v>
      </c>
      <c r="H682" s="24" t="s">
        <v>6421</v>
      </c>
      <c r="I682" s="23" t="s">
        <v>91</v>
      </c>
      <c r="J682" s="24" t="s">
        <v>6422</v>
      </c>
      <c r="K682" s="28" t="s">
        <v>6423</v>
      </c>
      <c r="L682" s="24" t="s">
        <v>6424</v>
      </c>
      <c r="M682" s="24" t="s">
        <v>6425</v>
      </c>
      <c r="N682" s="24" t="s">
        <v>6426</v>
      </c>
      <c r="O682" s="24" t="s">
        <v>6427</v>
      </c>
      <c r="P682" s="28"/>
      <c r="Q682" s="28" t="str">
        <f aca="false">"["&amp;안내!$C$5&amp;" "&amp;C682&amp;"] "&amp;J682&amp;" | "&amp;H682</f>
        <v>[1분 성경 #0681] 폭풍 속의 약속 | 행 27:1-26</v>
      </c>
      <c r="R682" s="29" t="n">
        <f aca="false">INT((A682-1)/안내!$C$9)+1</f>
        <v>137</v>
      </c>
      <c r="S682" s="26" t="n">
        <f aca="false">안내!$C$10+(R682-1)*7+MOD(A682-1,안내!$C$9)</f>
        <v>47343</v>
      </c>
      <c r="T682" s="23" t="s">
        <v>99</v>
      </c>
      <c r="U682" s="23" t="s">
        <v>99</v>
      </c>
      <c r="V682" s="23" t="s">
        <v>99</v>
      </c>
      <c r="W682" s="23" t="s">
        <v>99</v>
      </c>
      <c r="X682" s="28"/>
      <c r="Y682" s="28" t="str">
        <f aca="false">"다음 편: "&amp;J683</f>
        <v>다음 편: 276명 모두 살다</v>
      </c>
    </row>
    <row r="683" customFormat="false" ht="26.85" hidden="false" customHeight="false" outlineLevel="0" collapsed="false">
      <c r="A683" s="29" t="n">
        <v>682</v>
      </c>
      <c r="B683" s="29" t="s">
        <v>6428</v>
      </c>
      <c r="C683" s="29" t="s">
        <v>6429</v>
      </c>
      <c r="D683" s="29" t="s">
        <v>6374</v>
      </c>
      <c r="E683" s="24" t="s">
        <v>6375</v>
      </c>
      <c r="F683" s="23" t="s">
        <v>4950</v>
      </c>
      <c r="G683" s="23" t="s">
        <v>6103</v>
      </c>
      <c r="H683" s="24" t="s">
        <v>6430</v>
      </c>
      <c r="I683" s="23" t="s">
        <v>91</v>
      </c>
      <c r="J683" s="28" t="s">
        <v>6431</v>
      </c>
      <c r="K683" s="24" t="s">
        <v>6432</v>
      </c>
      <c r="L683" s="24" t="s">
        <v>6433</v>
      </c>
      <c r="M683" s="24" t="s">
        <v>6434</v>
      </c>
      <c r="N683" s="24" t="s">
        <v>6435</v>
      </c>
      <c r="O683" s="24" t="s">
        <v>6436</v>
      </c>
      <c r="P683" s="28"/>
      <c r="Q683" s="28" t="str">
        <f aca="false">"["&amp;안내!$C$5&amp;" "&amp;C683&amp;"] "&amp;J683&amp;" | "&amp;H683</f>
        <v>[1분 성경 #0682] 276명 모두 살다 | 행 27:27-44</v>
      </c>
      <c r="R683" s="29" t="n">
        <f aca="false">INT((A683-1)/안내!$C$9)+1</f>
        <v>137</v>
      </c>
      <c r="S683" s="26" t="n">
        <f aca="false">안내!$C$10+(R683-1)*7+MOD(A683-1,안내!$C$9)</f>
        <v>47344</v>
      </c>
      <c r="T683" s="23" t="s">
        <v>99</v>
      </c>
      <c r="U683" s="23" t="s">
        <v>99</v>
      </c>
      <c r="V683" s="23" t="s">
        <v>99</v>
      </c>
      <c r="W683" s="23" t="s">
        <v>99</v>
      </c>
      <c r="X683" s="28"/>
      <c r="Y683" s="28" t="str">
        <f aca="false">"다음 편: "&amp;J684</f>
        <v>다음 편: 독사도 해치지 못하다</v>
      </c>
    </row>
    <row r="684" customFormat="false" ht="25.35" hidden="false" customHeight="false" outlineLevel="0" collapsed="false">
      <c r="A684" s="29" t="n">
        <v>683</v>
      </c>
      <c r="B684" s="29" t="s">
        <v>6437</v>
      </c>
      <c r="C684" s="29" t="s">
        <v>6438</v>
      </c>
      <c r="D684" s="29" t="s">
        <v>6374</v>
      </c>
      <c r="E684" s="24" t="s">
        <v>6375</v>
      </c>
      <c r="F684" s="23" t="s">
        <v>4950</v>
      </c>
      <c r="G684" s="23" t="s">
        <v>6103</v>
      </c>
      <c r="H684" s="24" t="s">
        <v>6439</v>
      </c>
      <c r="I684" s="23" t="s">
        <v>91</v>
      </c>
      <c r="J684" s="24" t="s">
        <v>6440</v>
      </c>
      <c r="K684" s="24" t="s">
        <v>6441</v>
      </c>
      <c r="L684" s="24" t="s">
        <v>6442</v>
      </c>
      <c r="M684" s="24" t="s">
        <v>6443</v>
      </c>
      <c r="N684" s="24" t="s">
        <v>6444</v>
      </c>
      <c r="O684" s="24" t="s">
        <v>6445</v>
      </c>
      <c r="P684" s="25" t="s">
        <v>6446</v>
      </c>
      <c r="Q684" s="28" t="str">
        <f aca="false">"["&amp;안내!$C$5&amp;" "&amp;C684&amp;"] "&amp;J684&amp;" | "&amp;H684</f>
        <v>[1분 성경 #0683] 독사도 해치지 못하다 | 행 28:1-16</v>
      </c>
      <c r="R684" s="29" t="n">
        <f aca="false">INT((A684-1)/안내!$C$9)+1</f>
        <v>137</v>
      </c>
      <c r="S684" s="26" t="n">
        <f aca="false">안내!$C$10+(R684-1)*7+MOD(A684-1,안내!$C$9)</f>
        <v>47345</v>
      </c>
      <c r="T684" s="23" t="s">
        <v>99</v>
      </c>
      <c r="U684" s="23" t="s">
        <v>99</v>
      </c>
      <c r="V684" s="23" t="s">
        <v>99</v>
      </c>
      <c r="W684" s="23" t="s">
        <v>99</v>
      </c>
      <c r="X684" s="28"/>
      <c r="Y684" s="28" t="str">
        <f aca="false">"다음 편: "&amp;J685</f>
        <v>다음 편: 거침없이</v>
      </c>
    </row>
    <row r="685" customFormat="false" ht="26.85" hidden="false" customHeight="false" outlineLevel="0" collapsed="false">
      <c r="A685" s="29" t="n">
        <v>684</v>
      </c>
      <c r="B685" s="29" t="s">
        <v>6447</v>
      </c>
      <c r="C685" s="29" t="s">
        <v>6448</v>
      </c>
      <c r="D685" s="29" t="s">
        <v>6374</v>
      </c>
      <c r="E685" s="24" t="s">
        <v>6375</v>
      </c>
      <c r="F685" s="23" t="s">
        <v>4950</v>
      </c>
      <c r="G685" s="23" t="s">
        <v>6103</v>
      </c>
      <c r="H685" s="24" t="s">
        <v>6449</v>
      </c>
      <c r="I685" s="23" t="s">
        <v>91</v>
      </c>
      <c r="J685" s="24" t="s">
        <v>6450</v>
      </c>
      <c r="K685" s="24" t="s">
        <v>6451</v>
      </c>
      <c r="L685" s="24" t="s">
        <v>6452</v>
      </c>
      <c r="M685" s="24" t="s">
        <v>6453</v>
      </c>
      <c r="N685" s="24" t="s">
        <v>6454</v>
      </c>
      <c r="O685" s="24" t="s">
        <v>6455</v>
      </c>
      <c r="P685" s="28"/>
      <c r="Q685" s="28" t="str">
        <f aca="false">"["&amp;안내!$C$5&amp;" "&amp;C685&amp;"] "&amp;J685&amp;" | "&amp;H685</f>
        <v>[1분 성경 #0684] 거침없이 | 행 28:17-31</v>
      </c>
      <c r="R685" s="29" t="n">
        <f aca="false">INT((A685-1)/안내!$C$9)+1</f>
        <v>137</v>
      </c>
      <c r="S685" s="26" t="n">
        <f aca="false">안내!$C$10+(R685-1)*7+MOD(A685-1,안내!$C$9)</f>
        <v>47346</v>
      </c>
      <c r="T685" s="23" t="s">
        <v>99</v>
      </c>
      <c r="U685" s="23" t="s">
        <v>99</v>
      </c>
      <c r="V685" s="23" t="s">
        <v>99</v>
      </c>
      <c r="W685" s="23" t="s">
        <v>99</v>
      </c>
      <c r="X685" s="28"/>
      <c r="Y685" s="28" t="str">
        <f aca="false">"다음 편: "&amp;J686</f>
        <v>다음 편: 복음은 하나님의 능력</v>
      </c>
    </row>
    <row r="686" customFormat="false" ht="26.85" hidden="false" customHeight="false" outlineLevel="0" collapsed="false">
      <c r="A686" s="29" t="n">
        <v>685</v>
      </c>
      <c r="B686" s="29" t="s">
        <v>6456</v>
      </c>
      <c r="C686" s="29" t="s">
        <v>6457</v>
      </c>
      <c r="D686" s="29" t="s">
        <v>6458</v>
      </c>
      <c r="E686" s="24" t="s">
        <v>6459</v>
      </c>
      <c r="F686" s="23" t="s">
        <v>4950</v>
      </c>
      <c r="G686" s="23" t="s">
        <v>6460</v>
      </c>
      <c r="H686" s="24" t="s">
        <v>6461</v>
      </c>
      <c r="I686" s="23" t="s">
        <v>1116</v>
      </c>
      <c r="J686" s="24" t="s">
        <v>6462</v>
      </c>
      <c r="K686" s="24" t="s">
        <v>6463</v>
      </c>
      <c r="L686" s="24" t="s">
        <v>6464</v>
      </c>
      <c r="M686" s="24" t="s">
        <v>6465</v>
      </c>
      <c r="N686" s="24" t="s">
        <v>6466</v>
      </c>
      <c r="O686" s="24" t="s">
        <v>6467</v>
      </c>
      <c r="P686" s="28"/>
      <c r="Q686" s="28" t="str">
        <f aca="false">"["&amp;안내!$C$5&amp;" "&amp;C686&amp;"] "&amp;J686&amp;" | "&amp;H686</f>
        <v>[1분 성경 #0685] 복음은 하나님의 능력 | 롬 1:1-17</v>
      </c>
      <c r="R686" s="29" t="n">
        <f aca="false">INT((A686-1)/안내!$C$9)+1</f>
        <v>137</v>
      </c>
      <c r="S686" s="26" t="n">
        <f aca="false">안내!$C$10+(R686-1)*7+MOD(A686-1,안내!$C$9)</f>
        <v>47347</v>
      </c>
      <c r="T686" s="23" t="s">
        <v>99</v>
      </c>
      <c r="U686" s="23" t="s">
        <v>99</v>
      </c>
      <c r="V686" s="23" t="s">
        <v>99</v>
      </c>
      <c r="W686" s="23" t="s">
        <v>99</v>
      </c>
      <c r="X686" s="28"/>
      <c r="Y686" s="28" t="str">
        <f aca="false">"다음 편: "&amp;J687</f>
        <v>다음 편: 의인은 없나니 하나도 없다</v>
      </c>
    </row>
    <row r="687" customFormat="false" ht="26.85" hidden="false" customHeight="false" outlineLevel="0" collapsed="false">
      <c r="A687" s="29" t="n">
        <v>686</v>
      </c>
      <c r="B687" s="29" t="s">
        <v>6468</v>
      </c>
      <c r="C687" s="29" t="s">
        <v>6469</v>
      </c>
      <c r="D687" s="29" t="s">
        <v>6458</v>
      </c>
      <c r="E687" s="24" t="s">
        <v>6459</v>
      </c>
      <c r="F687" s="23" t="s">
        <v>4950</v>
      </c>
      <c r="G687" s="23" t="s">
        <v>6460</v>
      </c>
      <c r="H687" s="24" t="s">
        <v>6470</v>
      </c>
      <c r="I687" s="23" t="s">
        <v>1116</v>
      </c>
      <c r="J687" s="24" t="s">
        <v>6471</v>
      </c>
      <c r="K687" s="24" t="s">
        <v>6472</v>
      </c>
      <c r="L687" s="24" t="s">
        <v>6473</v>
      </c>
      <c r="M687" s="24" t="s">
        <v>6474</v>
      </c>
      <c r="N687" s="24" t="s">
        <v>6466</v>
      </c>
      <c r="O687" s="24" t="s">
        <v>6475</v>
      </c>
      <c r="P687" s="28"/>
      <c r="Q687" s="28" t="str">
        <f aca="false">"["&amp;안내!$C$5&amp;" "&amp;C687&amp;"] "&amp;J687&amp;" | "&amp;H687</f>
        <v>[1분 성경 #0686] 의인은 없나니 하나도 없다 | 롬 1:18-3:20</v>
      </c>
      <c r="R687" s="29" t="n">
        <f aca="false">INT((A687-1)/안내!$C$9)+1</f>
        <v>138</v>
      </c>
      <c r="S687" s="26" t="n">
        <f aca="false">안내!$C$10+(R687-1)*7+MOD(A687-1,안내!$C$9)</f>
        <v>47350</v>
      </c>
      <c r="T687" s="23" t="s">
        <v>99</v>
      </c>
      <c r="U687" s="23" t="s">
        <v>99</v>
      </c>
      <c r="V687" s="23" t="s">
        <v>99</v>
      </c>
      <c r="W687" s="23" t="s">
        <v>99</v>
      </c>
      <c r="X687" s="28"/>
      <c r="Y687" s="28" t="str">
        <f aca="false">"다음 편: "&amp;J688</f>
        <v>다음 편: 값없이 의롭다 하심</v>
      </c>
    </row>
    <row r="688" customFormat="false" ht="39.55" hidden="false" customHeight="false" outlineLevel="0" collapsed="false">
      <c r="A688" s="29" t="n">
        <v>687</v>
      </c>
      <c r="B688" s="29" t="s">
        <v>6476</v>
      </c>
      <c r="C688" s="29" t="s">
        <v>6477</v>
      </c>
      <c r="D688" s="29" t="s">
        <v>6458</v>
      </c>
      <c r="E688" s="24" t="s">
        <v>6459</v>
      </c>
      <c r="F688" s="23" t="s">
        <v>4950</v>
      </c>
      <c r="G688" s="23" t="s">
        <v>6460</v>
      </c>
      <c r="H688" s="24" t="s">
        <v>6478</v>
      </c>
      <c r="I688" s="23" t="s">
        <v>1116</v>
      </c>
      <c r="J688" s="24" t="s">
        <v>6479</v>
      </c>
      <c r="K688" s="24" t="s">
        <v>6480</v>
      </c>
      <c r="L688" s="24" t="s">
        <v>6481</v>
      </c>
      <c r="M688" s="24" t="s">
        <v>6482</v>
      </c>
      <c r="N688" s="24" t="s">
        <v>6466</v>
      </c>
      <c r="O688" s="24" t="s">
        <v>5421</v>
      </c>
      <c r="P688" s="25" t="s">
        <v>6483</v>
      </c>
      <c r="Q688" s="28" t="str">
        <f aca="false">"["&amp;안내!$C$5&amp;" "&amp;C688&amp;"] "&amp;J688&amp;" | "&amp;H688</f>
        <v>[1분 성경 #0687] 값없이 의롭다 하심 | 롬 3:21-31</v>
      </c>
      <c r="R688" s="29" t="n">
        <f aca="false">INT((A688-1)/안내!$C$9)+1</f>
        <v>138</v>
      </c>
      <c r="S688" s="26" t="n">
        <f aca="false">안내!$C$10+(R688-1)*7+MOD(A688-1,안내!$C$9)</f>
        <v>47351</v>
      </c>
      <c r="T688" s="23" t="s">
        <v>99</v>
      </c>
      <c r="U688" s="23" t="s">
        <v>99</v>
      </c>
      <c r="V688" s="23" t="s">
        <v>99</v>
      </c>
      <c r="W688" s="23" t="s">
        <v>99</v>
      </c>
      <c r="X688" s="28"/>
      <c r="Y688" s="28" t="str">
        <f aca="false">"다음 편: "&amp;J689</f>
        <v>다음 편: 아브라함의 믿음</v>
      </c>
    </row>
    <row r="689" customFormat="false" ht="26.85" hidden="false" customHeight="false" outlineLevel="0" collapsed="false">
      <c r="A689" s="29" t="n">
        <v>688</v>
      </c>
      <c r="B689" s="29" t="s">
        <v>6484</v>
      </c>
      <c r="C689" s="29" t="s">
        <v>6485</v>
      </c>
      <c r="D689" s="29" t="s">
        <v>6458</v>
      </c>
      <c r="E689" s="24" t="s">
        <v>6459</v>
      </c>
      <c r="F689" s="23" t="s">
        <v>4950</v>
      </c>
      <c r="G689" s="23" t="s">
        <v>6460</v>
      </c>
      <c r="H689" s="24" t="s">
        <v>6486</v>
      </c>
      <c r="I689" s="23" t="s">
        <v>1116</v>
      </c>
      <c r="J689" s="24" t="s">
        <v>6487</v>
      </c>
      <c r="K689" s="24" t="s">
        <v>6488</v>
      </c>
      <c r="L689" s="24" t="s">
        <v>6489</v>
      </c>
      <c r="M689" s="24" t="s">
        <v>6490</v>
      </c>
      <c r="N689" s="24" t="s">
        <v>6491</v>
      </c>
      <c r="O689" s="24" t="s">
        <v>6492</v>
      </c>
      <c r="P689" s="28"/>
      <c r="Q689" s="28" t="str">
        <f aca="false">"["&amp;안내!$C$5&amp;" "&amp;C689&amp;"] "&amp;J689&amp;" | "&amp;H689</f>
        <v>[1분 성경 #0688] 아브라함의 믿음 | 롬 4:1-25</v>
      </c>
      <c r="R689" s="29" t="n">
        <f aca="false">INT((A689-1)/안내!$C$9)+1</f>
        <v>138</v>
      </c>
      <c r="S689" s="26" t="n">
        <f aca="false">안내!$C$10+(R689-1)*7+MOD(A689-1,안내!$C$9)</f>
        <v>47352</v>
      </c>
      <c r="T689" s="23" t="s">
        <v>99</v>
      </c>
      <c r="U689" s="23" t="s">
        <v>99</v>
      </c>
      <c r="V689" s="23" t="s">
        <v>99</v>
      </c>
      <c r="W689" s="23" t="s">
        <v>99</v>
      </c>
      <c r="X689" s="28"/>
      <c r="Y689" s="28" t="str">
        <f aca="false">"다음 편: "&amp;J690</f>
        <v>다음 편: 우리가 아직 죄인 되었을 때</v>
      </c>
    </row>
    <row r="690" customFormat="false" ht="39.55" hidden="false" customHeight="false" outlineLevel="0" collapsed="false">
      <c r="A690" s="29" t="n">
        <v>689</v>
      </c>
      <c r="B690" s="29" t="s">
        <v>6493</v>
      </c>
      <c r="C690" s="29" t="s">
        <v>6494</v>
      </c>
      <c r="D690" s="29" t="s">
        <v>6458</v>
      </c>
      <c r="E690" s="24" t="s">
        <v>6459</v>
      </c>
      <c r="F690" s="23" t="s">
        <v>4950</v>
      </c>
      <c r="G690" s="23" t="s">
        <v>6460</v>
      </c>
      <c r="H690" s="24" t="s">
        <v>6495</v>
      </c>
      <c r="I690" s="23" t="s">
        <v>1116</v>
      </c>
      <c r="J690" s="24" t="s">
        <v>6496</v>
      </c>
      <c r="K690" s="24" t="s">
        <v>6497</v>
      </c>
      <c r="L690" s="24" t="s">
        <v>6498</v>
      </c>
      <c r="M690" s="24" t="s">
        <v>6499</v>
      </c>
      <c r="N690" s="24" t="s">
        <v>6500</v>
      </c>
      <c r="O690" s="24" t="s">
        <v>6501</v>
      </c>
      <c r="P690" s="25" t="s">
        <v>6502</v>
      </c>
      <c r="Q690" s="28" t="str">
        <f aca="false">"["&amp;안내!$C$5&amp;" "&amp;C690&amp;"] "&amp;J690&amp;" | "&amp;H690</f>
        <v>[1분 성경 #0689] 우리가 아직 죄인 되었을 때 | 롬 5:1-21</v>
      </c>
      <c r="R690" s="29" t="n">
        <f aca="false">INT((A690-1)/안내!$C$9)+1</f>
        <v>138</v>
      </c>
      <c r="S690" s="26" t="n">
        <f aca="false">안내!$C$10+(R690-1)*7+MOD(A690-1,안내!$C$9)</f>
        <v>47353</v>
      </c>
      <c r="T690" s="23" t="s">
        <v>99</v>
      </c>
      <c r="U690" s="23" t="s">
        <v>99</v>
      </c>
      <c r="V690" s="23" t="s">
        <v>99</v>
      </c>
      <c r="W690" s="23" t="s">
        <v>99</v>
      </c>
      <c r="X690" s="28"/>
      <c r="Y690" s="28" t="str">
        <f aca="false">"다음 편: "&amp;J691</f>
        <v>다음 편: 죄의 삯과 하나님의 선물</v>
      </c>
    </row>
    <row r="691" customFormat="false" ht="26.85" hidden="false" customHeight="false" outlineLevel="0" collapsed="false">
      <c r="A691" s="29" t="n">
        <v>690</v>
      </c>
      <c r="B691" s="29" t="s">
        <v>6503</v>
      </c>
      <c r="C691" s="29" t="s">
        <v>6504</v>
      </c>
      <c r="D691" s="29" t="s">
        <v>6458</v>
      </c>
      <c r="E691" s="24" t="s">
        <v>6459</v>
      </c>
      <c r="F691" s="23" t="s">
        <v>4950</v>
      </c>
      <c r="G691" s="23" t="s">
        <v>6460</v>
      </c>
      <c r="H691" s="24" t="s">
        <v>6505</v>
      </c>
      <c r="I691" s="23" t="s">
        <v>1116</v>
      </c>
      <c r="J691" s="24" t="s">
        <v>6506</v>
      </c>
      <c r="K691" s="24" t="s">
        <v>6507</v>
      </c>
      <c r="L691" s="24" t="s">
        <v>6508</v>
      </c>
      <c r="M691" s="24" t="s">
        <v>6509</v>
      </c>
      <c r="N691" s="24" t="s">
        <v>6466</v>
      </c>
      <c r="O691" s="24" t="s">
        <v>6510</v>
      </c>
      <c r="P691" s="25" t="s">
        <v>6511</v>
      </c>
      <c r="Q691" s="28" t="str">
        <f aca="false">"["&amp;안내!$C$5&amp;" "&amp;C691&amp;"] "&amp;J691&amp;" | "&amp;H691</f>
        <v>[1분 성경 #0690] 죄의 삯과 하나님의 선물 | 롬 6:1-23</v>
      </c>
      <c r="R691" s="29" t="n">
        <f aca="false">INT((A691-1)/안내!$C$9)+1</f>
        <v>138</v>
      </c>
      <c r="S691" s="26" t="n">
        <f aca="false">안내!$C$10+(R691-1)*7+MOD(A691-1,안내!$C$9)</f>
        <v>47354</v>
      </c>
      <c r="T691" s="23" t="s">
        <v>99</v>
      </c>
      <c r="U691" s="23" t="s">
        <v>99</v>
      </c>
      <c r="V691" s="23" t="s">
        <v>99</v>
      </c>
      <c r="W691" s="23" t="s">
        <v>99</v>
      </c>
      <c r="X691" s="28"/>
      <c r="Y691" s="28" t="str">
        <f aca="false">"다음 편: "&amp;J692</f>
        <v>다음 편: 오호라 나는 곤고한 사람이로다</v>
      </c>
    </row>
    <row r="692" customFormat="false" ht="26.85" hidden="false" customHeight="false" outlineLevel="0" collapsed="false">
      <c r="A692" s="29" t="n">
        <v>691</v>
      </c>
      <c r="B692" s="29" t="s">
        <v>6512</v>
      </c>
      <c r="C692" s="29" t="s">
        <v>6513</v>
      </c>
      <c r="D692" s="29" t="s">
        <v>6458</v>
      </c>
      <c r="E692" s="24" t="s">
        <v>6459</v>
      </c>
      <c r="F692" s="23" t="s">
        <v>4950</v>
      </c>
      <c r="G692" s="23" t="s">
        <v>6460</v>
      </c>
      <c r="H692" s="24" t="s">
        <v>6514</v>
      </c>
      <c r="I692" s="23" t="s">
        <v>1116</v>
      </c>
      <c r="J692" s="24" t="s">
        <v>6515</v>
      </c>
      <c r="K692" s="24" t="s">
        <v>6516</v>
      </c>
      <c r="L692" s="24" t="s">
        <v>6517</v>
      </c>
      <c r="M692" s="24" t="s">
        <v>6518</v>
      </c>
      <c r="N692" s="24" t="s">
        <v>6466</v>
      </c>
      <c r="O692" s="24" t="s">
        <v>6519</v>
      </c>
      <c r="P692" s="28"/>
      <c r="Q692" s="28" t="str">
        <f aca="false">"["&amp;안내!$C$5&amp;" "&amp;C692&amp;"] "&amp;J692&amp;" | "&amp;H692</f>
        <v>[1분 성경 #0691] 오호라 나는 곤고한 사람이로다 | 롬 7:1-25</v>
      </c>
      <c r="R692" s="29" t="n">
        <f aca="false">INT((A692-1)/안내!$C$9)+1</f>
        <v>139</v>
      </c>
      <c r="S692" s="26" t="n">
        <f aca="false">안내!$C$10+(R692-1)*7+MOD(A692-1,안내!$C$9)</f>
        <v>47357</v>
      </c>
      <c r="T692" s="23" t="s">
        <v>99</v>
      </c>
      <c r="U692" s="23" t="s">
        <v>99</v>
      </c>
      <c r="V692" s="23" t="s">
        <v>99</v>
      </c>
      <c r="W692" s="23" t="s">
        <v>99</v>
      </c>
      <c r="X692" s="28"/>
      <c r="Y692" s="28" t="str">
        <f aca="false">"다음 편: "&amp;J693</f>
        <v>다음 편: 정죄함이 없나니</v>
      </c>
    </row>
    <row r="693" customFormat="false" ht="26.85" hidden="false" customHeight="false" outlineLevel="0" collapsed="false">
      <c r="A693" s="29" t="n">
        <v>692</v>
      </c>
      <c r="B693" s="29" t="s">
        <v>6520</v>
      </c>
      <c r="C693" s="29" t="s">
        <v>6521</v>
      </c>
      <c r="D693" s="29" t="s">
        <v>6458</v>
      </c>
      <c r="E693" s="24" t="s">
        <v>6459</v>
      </c>
      <c r="F693" s="23" t="s">
        <v>4950</v>
      </c>
      <c r="G693" s="23" t="s">
        <v>6460</v>
      </c>
      <c r="H693" s="24" t="s">
        <v>6522</v>
      </c>
      <c r="I693" s="23" t="s">
        <v>1116</v>
      </c>
      <c r="J693" s="24" t="s">
        <v>6523</v>
      </c>
      <c r="K693" s="24" t="s">
        <v>6524</v>
      </c>
      <c r="L693" s="24" t="s">
        <v>6525</v>
      </c>
      <c r="M693" s="24" t="s">
        <v>6526</v>
      </c>
      <c r="N693" s="24" t="s">
        <v>6466</v>
      </c>
      <c r="O693" s="24" t="s">
        <v>6527</v>
      </c>
      <c r="P693" s="28"/>
      <c r="Q693" s="28" t="str">
        <f aca="false">"["&amp;안내!$C$5&amp;" "&amp;C693&amp;"] "&amp;J693&amp;" | "&amp;H693</f>
        <v>[1분 성경 #0692] 정죄함이 없나니 | 롬 8:1-17</v>
      </c>
      <c r="R693" s="29" t="n">
        <f aca="false">INT((A693-1)/안내!$C$9)+1</f>
        <v>139</v>
      </c>
      <c r="S693" s="26" t="n">
        <f aca="false">안내!$C$10+(R693-1)*7+MOD(A693-1,안내!$C$9)</f>
        <v>47358</v>
      </c>
      <c r="T693" s="23" t="s">
        <v>99</v>
      </c>
      <c r="U693" s="23" t="s">
        <v>99</v>
      </c>
      <c r="V693" s="23" t="s">
        <v>99</v>
      </c>
      <c r="W693" s="23" t="s">
        <v>99</v>
      </c>
      <c r="X693" s="28"/>
      <c r="Y693" s="28" t="str">
        <f aca="false">"다음 편: "&amp;J694</f>
        <v>다음 편: 무엇도 끊을 수 없다</v>
      </c>
    </row>
    <row r="694" customFormat="false" ht="26.85" hidden="false" customHeight="false" outlineLevel="0" collapsed="false">
      <c r="A694" s="29" t="n">
        <v>693</v>
      </c>
      <c r="B694" s="29" t="s">
        <v>6528</v>
      </c>
      <c r="C694" s="29" t="s">
        <v>6529</v>
      </c>
      <c r="D694" s="29" t="s">
        <v>6458</v>
      </c>
      <c r="E694" s="24" t="s">
        <v>6459</v>
      </c>
      <c r="F694" s="23" t="s">
        <v>4950</v>
      </c>
      <c r="G694" s="23" t="s">
        <v>6460</v>
      </c>
      <c r="H694" s="24" t="s">
        <v>6530</v>
      </c>
      <c r="I694" s="23" t="s">
        <v>1116</v>
      </c>
      <c r="J694" s="24" t="s">
        <v>6531</v>
      </c>
      <c r="K694" s="24" t="s">
        <v>6532</v>
      </c>
      <c r="L694" s="24" t="s">
        <v>6533</v>
      </c>
      <c r="M694" s="24" t="s">
        <v>6534</v>
      </c>
      <c r="N694" s="24" t="s">
        <v>6466</v>
      </c>
      <c r="O694" s="24" t="s">
        <v>6535</v>
      </c>
      <c r="P694" s="25" t="s">
        <v>6536</v>
      </c>
      <c r="Q694" s="28" t="str">
        <f aca="false">"["&amp;안내!$C$5&amp;" "&amp;C694&amp;"] "&amp;J694&amp;" | "&amp;H694</f>
        <v>[1분 성경 #0693] 무엇도 끊을 수 없다 | 롬 8:18-39</v>
      </c>
      <c r="R694" s="29" t="n">
        <f aca="false">INT((A694-1)/안내!$C$9)+1</f>
        <v>139</v>
      </c>
      <c r="S694" s="26" t="n">
        <f aca="false">안내!$C$10+(R694-1)*7+MOD(A694-1,안내!$C$9)</f>
        <v>47359</v>
      </c>
      <c r="T694" s="23" t="s">
        <v>99</v>
      </c>
      <c r="U694" s="23" t="s">
        <v>99</v>
      </c>
      <c r="V694" s="23" t="s">
        <v>99</v>
      </c>
      <c r="W694" s="23" t="s">
        <v>99</v>
      </c>
      <c r="X694" s="28"/>
      <c r="Y694" s="28" t="str">
        <f aca="false">"다음 편: "&amp;J695</f>
        <v>다음 편: 하나님의 주권적 선택</v>
      </c>
    </row>
    <row r="695" customFormat="false" ht="26.85" hidden="false" customHeight="false" outlineLevel="0" collapsed="false">
      <c r="A695" s="29" t="n">
        <v>694</v>
      </c>
      <c r="B695" s="29" t="s">
        <v>6537</v>
      </c>
      <c r="C695" s="29" t="s">
        <v>6538</v>
      </c>
      <c r="D695" s="29" t="s">
        <v>6458</v>
      </c>
      <c r="E695" s="24" t="s">
        <v>6459</v>
      </c>
      <c r="F695" s="23" t="s">
        <v>4950</v>
      </c>
      <c r="G695" s="23" t="s">
        <v>6460</v>
      </c>
      <c r="H695" s="24" t="s">
        <v>6539</v>
      </c>
      <c r="I695" s="23" t="s">
        <v>1116</v>
      </c>
      <c r="J695" s="24" t="s">
        <v>6540</v>
      </c>
      <c r="K695" s="24" t="s">
        <v>6541</v>
      </c>
      <c r="L695" s="24" t="s">
        <v>6542</v>
      </c>
      <c r="M695" s="24" t="s">
        <v>6543</v>
      </c>
      <c r="N695" s="24" t="s">
        <v>6466</v>
      </c>
      <c r="O695" s="24" t="s">
        <v>6544</v>
      </c>
      <c r="P695" s="25" t="s">
        <v>6545</v>
      </c>
      <c r="Q695" s="28" t="str">
        <f aca="false">"["&amp;안내!$C$5&amp;" "&amp;C695&amp;"] "&amp;J695&amp;" | "&amp;H695</f>
        <v>[1분 성경 #0694] 하나님의 주권적 선택 | 롬 9:1-11:36</v>
      </c>
      <c r="R695" s="29" t="n">
        <f aca="false">INT((A695-1)/안내!$C$9)+1</f>
        <v>139</v>
      </c>
      <c r="S695" s="26" t="n">
        <f aca="false">안내!$C$10+(R695-1)*7+MOD(A695-1,안내!$C$9)</f>
        <v>47360</v>
      </c>
      <c r="T695" s="23" t="s">
        <v>99</v>
      </c>
      <c r="U695" s="23" t="s">
        <v>99</v>
      </c>
      <c r="V695" s="23" t="s">
        <v>99</v>
      </c>
      <c r="W695" s="23" t="s">
        <v>99</v>
      </c>
      <c r="X695" s="28"/>
      <c r="Y695" s="28" t="str">
        <f aca="false">"다음 편: "&amp;J696</f>
        <v>다음 편: 산 제물</v>
      </c>
    </row>
    <row r="696" customFormat="false" ht="26.85" hidden="false" customHeight="false" outlineLevel="0" collapsed="false">
      <c r="A696" s="29" t="n">
        <v>695</v>
      </c>
      <c r="B696" s="29" t="s">
        <v>6546</v>
      </c>
      <c r="C696" s="29" t="s">
        <v>6547</v>
      </c>
      <c r="D696" s="29" t="s">
        <v>6458</v>
      </c>
      <c r="E696" s="24" t="s">
        <v>6459</v>
      </c>
      <c r="F696" s="23" t="s">
        <v>4950</v>
      </c>
      <c r="G696" s="23" t="s">
        <v>6460</v>
      </c>
      <c r="H696" s="24" t="s">
        <v>6548</v>
      </c>
      <c r="I696" s="23" t="s">
        <v>1116</v>
      </c>
      <c r="J696" s="24" t="s">
        <v>6549</v>
      </c>
      <c r="K696" s="24" t="s">
        <v>6550</v>
      </c>
      <c r="L696" s="24" t="s">
        <v>6551</v>
      </c>
      <c r="M696" s="24" t="s">
        <v>6552</v>
      </c>
      <c r="N696" s="24" t="s">
        <v>6466</v>
      </c>
      <c r="O696" s="24" t="s">
        <v>6553</v>
      </c>
      <c r="P696" s="28"/>
      <c r="Q696" s="28" t="str">
        <f aca="false">"["&amp;안내!$C$5&amp;" "&amp;C696&amp;"] "&amp;J696&amp;" | "&amp;H696</f>
        <v>[1분 성경 #0695] 산 제물 | 롬 12:1-21</v>
      </c>
      <c r="R696" s="29" t="n">
        <f aca="false">INT((A696-1)/안내!$C$9)+1</f>
        <v>139</v>
      </c>
      <c r="S696" s="26" t="n">
        <f aca="false">안내!$C$10+(R696-1)*7+MOD(A696-1,안내!$C$9)</f>
        <v>47361</v>
      </c>
      <c r="T696" s="23" t="s">
        <v>99</v>
      </c>
      <c r="U696" s="23" t="s">
        <v>99</v>
      </c>
      <c r="V696" s="23" t="s">
        <v>99</v>
      </c>
      <c r="W696" s="23" t="s">
        <v>99</v>
      </c>
      <c r="X696" s="28"/>
      <c r="Y696" s="28" t="str">
        <f aca="false">"다음 편: "&amp;J697</f>
        <v>다음 편: 사랑의 빚</v>
      </c>
    </row>
    <row r="697" customFormat="false" ht="15" hidden="false" customHeight="false" outlineLevel="0" collapsed="false">
      <c r="A697" s="29" t="n">
        <v>696</v>
      </c>
      <c r="B697" s="29" t="s">
        <v>6554</v>
      </c>
      <c r="C697" s="29" t="s">
        <v>6555</v>
      </c>
      <c r="D697" s="29" t="s">
        <v>6458</v>
      </c>
      <c r="E697" s="24" t="s">
        <v>6459</v>
      </c>
      <c r="F697" s="23" t="s">
        <v>4950</v>
      </c>
      <c r="G697" s="23" t="s">
        <v>6460</v>
      </c>
      <c r="H697" s="24" t="s">
        <v>6556</v>
      </c>
      <c r="I697" s="23" t="s">
        <v>1116</v>
      </c>
      <c r="J697" s="24" t="s">
        <v>6557</v>
      </c>
      <c r="K697" s="24" t="s">
        <v>6558</v>
      </c>
      <c r="L697" s="24" t="s">
        <v>6559</v>
      </c>
      <c r="M697" s="24" t="s">
        <v>6560</v>
      </c>
      <c r="N697" s="24" t="s">
        <v>6466</v>
      </c>
      <c r="O697" s="24" t="s">
        <v>6561</v>
      </c>
      <c r="P697" s="28"/>
      <c r="Q697" s="28" t="str">
        <f aca="false">"["&amp;안내!$C$5&amp;" "&amp;C697&amp;"] "&amp;J697&amp;" | "&amp;H697</f>
        <v>[1분 성경 #0696] 사랑의 빚 | 롬 13:1-14</v>
      </c>
      <c r="R697" s="29" t="n">
        <f aca="false">INT((A697-1)/안내!$C$9)+1</f>
        <v>140</v>
      </c>
      <c r="S697" s="26" t="n">
        <f aca="false">안내!$C$10+(R697-1)*7+MOD(A697-1,안내!$C$9)</f>
        <v>47364</v>
      </c>
      <c r="T697" s="23" t="s">
        <v>99</v>
      </c>
      <c r="U697" s="23" t="s">
        <v>99</v>
      </c>
      <c r="V697" s="23" t="s">
        <v>99</v>
      </c>
      <c r="W697" s="23" t="s">
        <v>99</v>
      </c>
      <c r="X697" s="28"/>
      <c r="Y697" s="28" t="str">
        <f aca="false">"다음 편: "&amp;J698</f>
        <v>다음 편: 서로 받으라</v>
      </c>
    </row>
    <row r="698" customFormat="false" ht="26.85" hidden="false" customHeight="false" outlineLevel="0" collapsed="false">
      <c r="A698" s="29" t="n">
        <v>697</v>
      </c>
      <c r="B698" s="29" t="s">
        <v>6562</v>
      </c>
      <c r="C698" s="29" t="s">
        <v>6563</v>
      </c>
      <c r="D698" s="29" t="s">
        <v>6458</v>
      </c>
      <c r="E698" s="24" t="s">
        <v>6459</v>
      </c>
      <c r="F698" s="23" t="s">
        <v>4950</v>
      </c>
      <c r="G698" s="23" t="s">
        <v>6460</v>
      </c>
      <c r="H698" s="24" t="s">
        <v>6564</v>
      </c>
      <c r="I698" s="23" t="s">
        <v>1116</v>
      </c>
      <c r="J698" s="24" t="s">
        <v>6565</v>
      </c>
      <c r="K698" s="24" t="s">
        <v>6566</v>
      </c>
      <c r="L698" s="24" t="s">
        <v>6567</v>
      </c>
      <c r="M698" s="24" t="s">
        <v>6568</v>
      </c>
      <c r="N698" s="24" t="s">
        <v>6569</v>
      </c>
      <c r="O698" s="24" t="s">
        <v>6570</v>
      </c>
      <c r="P698" s="28"/>
      <c r="Q698" s="28" t="str">
        <f aca="false">"["&amp;안내!$C$5&amp;" "&amp;C698&amp;"] "&amp;J698&amp;" | "&amp;H698</f>
        <v>[1분 성경 #0697] 서로 받으라 | 롬 14:1-16:27</v>
      </c>
      <c r="R698" s="29" t="n">
        <f aca="false">INT((A698-1)/안내!$C$9)+1</f>
        <v>140</v>
      </c>
      <c r="S698" s="26" t="n">
        <f aca="false">안내!$C$10+(R698-1)*7+MOD(A698-1,안내!$C$9)</f>
        <v>47365</v>
      </c>
      <c r="T698" s="23" t="s">
        <v>99</v>
      </c>
      <c r="U698" s="23" t="s">
        <v>99</v>
      </c>
      <c r="V698" s="23" t="s">
        <v>99</v>
      </c>
      <c r="W698" s="23" t="s">
        <v>99</v>
      </c>
      <c r="X698" s="28"/>
      <c r="Y698" s="28" t="str">
        <f aca="false">"다음 편: "&amp;J699</f>
        <v>다음 편: 십자가의 도</v>
      </c>
    </row>
    <row r="699" customFormat="false" ht="26.85" hidden="false" customHeight="false" outlineLevel="0" collapsed="false">
      <c r="A699" s="29" t="n">
        <v>698</v>
      </c>
      <c r="B699" s="29" t="s">
        <v>6571</v>
      </c>
      <c r="C699" s="29" t="s">
        <v>6572</v>
      </c>
      <c r="D699" s="29" t="s">
        <v>6573</v>
      </c>
      <c r="E699" s="24" t="s">
        <v>6574</v>
      </c>
      <c r="F699" s="23" t="s">
        <v>4950</v>
      </c>
      <c r="G699" s="23" t="s">
        <v>6575</v>
      </c>
      <c r="H699" s="24" t="s">
        <v>6576</v>
      </c>
      <c r="I699" s="23" t="s">
        <v>1116</v>
      </c>
      <c r="J699" s="24" t="s">
        <v>6577</v>
      </c>
      <c r="K699" s="24" t="s">
        <v>6578</v>
      </c>
      <c r="L699" s="24" t="s">
        <v>6579</v>
      </c>
      <c r="M699" s="24" t="s">
        <v>6580</v>
      </c>
      <c r="N699" s="24" t="s">
        <v>6466</v>
      </c>
      <c r="O699" s="24" t="s">
        <v>6581</v>
      </c>
      <c r="P699" s="28"/>
      <c r="Q699" s="28" t="str">
        <f aca="false">"["&amp;안내!$C$5&amp;" "&amp;C699&amp;"] "&amp;J699&amp;" | "&amp;H699</f>
        <v>[1분 성경 #0698] 십자가의 도 | 고전 1:1-2:16</v>
      </c>
      <c r="R699" s="29" t="n">
        <f aca="false">INT((A699-1)/안내!$C$9)+1</f>
        <v>140</v>
      </c>
      <c r="S699" s="26" t="n">
        <f aca="false">안내!$C$10+(R699-1)*7+MOD(A699-1,안내!$C$9)</f>
        <v>47366</v>
      </c>
      <c r="T699" s="23" t="s">
        <v>99</v>
      </c>
      <c r="U699" s="23" t="s">
        <v>99</v>
      </c>
      <c r="V699" s="23" t="s">
        <v>99</v>
      </c>
      <c r="W699" s="23" t="s">
        <v>99</v>
      </c>
      <c r="X699" s="28"/>
      <c r="Y699" s="28" t="str">
        <f aca="false">"다음 편: "&amp;J700</f>
        <v>다음 편: 자라게 하시는 하나님</v>
      </c>
    </row>
    <row r="700" customFormat="false" ht="26.85" hidden="false" customHeight="false" outlineLevel="0" collapsed="false">
      <c r="A700" s="29" t="n">
        <v>699</v>
      </c>
      <c r="B700" s="29" t="s">
        <v>6582</v>
      </c>
      <c r="C700" s="29" t="s">
        <v>6583</v>
      </c>
      <c r="D700" s="29" t="s">
        <v>6573</v>
      </c>
      <c r="E700" s="24" t="s">
        <v>6574</v>
      </c>
      <c r="F700" s="23" t="s">
        <v>4950</v>
      </c>
      <c r="G700" s="23" t="s">
        <v>6575</v>
      </c>
      <c r="H700" s="24" t="s">
        <v>6584</v>
      </c>
      <c r="I700" s="23" t="s">
        <v>1116</v>
      </c>
      <c r="J700" s="24" t="s">
        <v>6585</v>
      </c>
      <c r="K700" s="24" t="s">
        <v>6586</v>
      </c>
      <c r="L700" s="24" t="s">
        <v>6587</v>
      </c>
      <c r="M700" s="24" t="s">
        <v>6588</v>
      </c>
      <c r="N700" s="24" t="s">
        <v>6589</v>
      </c>
      <c r="O700" s="24" t="s">
        <v>6590</v>
      </c>
      <c r="P700" s="25" t="s">
        <v>6591</v>
      </c>
      <c r="Q700" s="28" t="str">
        <f aca="false">"["&amp;안내!$C$5&amp;" "&amp;C700&amp;"] "&amp;J700&amp;" | "&amp;H700</f>
        <v>[1분 성경 #0699] 자라게 하시는 하나님 | 고전 3:1-4:21</v>
      </c>
      <c r="R700" s="29" t="n">
        <f aca="false">INT((A700-1)/안내!$C$9)+1</f>
        <v>140</v>
      </c>
      <c r="S700" s="26" t="n">
        <f aca="false">안내!$C$10+(R700-1)*7+MOD(A700-1,안내!$C$9)</f>
        <v>47367</v>
      </c>
      <c r="T700" s="23" t="s">
        <v>99</v>
      </c>
      <c r="U700" s="23" t="s">
        <v>99</v>
      </c>
      <c r="V700" s="23" t="s">
        <v>99</v>
      </c>
      <c r="W700" s="23" t="s">
        <v>99</v>
      </c>
      <c r="X700" s="28"/>
      <c r="Y700" s="28" t="str">
        <f aca="false">"다음 편: "&amp;J701</f>
        <v>다음 편: 너희 몸은 성령의 전</v>
      </c>
    </row>
    <row r="701" customFormat="false" ht="26.85" hidden="false" customHeight="false" outlineLevel="0" collapsed="false">
      <c r="A701" s="29" t="n">
        <v>700</v>
      </c>
      <c r="B701" s="29" t="s">
        <v>6592</v>
      </c>
      <c r="C701" s="29" t="s">
        <v>6593</v>
      </c>
      <c r="D701" s="29" t="s">
        <v>6573</v>
      </c>
      <c r="E701" s="24" t="s">
        <v>6574</v>
      </c>
      <c r="F701" s="23" t="s">
        <v>4950</v>
      </c>
      <c r="G701" s="23" t="s">
        <v>6575</v>
      </c>
      <c r="H701" s="24" t="s">
        <v>6594</v>
      </c>
      <c r="I701" s="23" t="s">
        <v>1116</v>
      </c>
      <c r="J701" s="24" t="s">
        <v>6595</v>
      </c>
      <c r="K701" s="24" t="s">
        <v>6596</v>
      </c>
      <c r="L701" s="24" t="s">
        <v>6597</v>
      </c>
      <c r="M701" s="24" t="s">
        <v>6598</v>
      </c>
      <c r="N701" s="24" t="s">
        <v>6466</v>
      </c>
      <c r="O701" s="24" t="s">
        <v>6599</v>
      </c>
      <c r="P701" s="25" t="s">
        <v>6600</v>
      </c>
      <c r="Q701" s="28" t="str">
        <f aca="false">"["&amp;안내!$C$5&amp;" "&amp;C701&amp;"] "&amp;J701&amp;" | "&amp;H701</f>
        <v>[1분 성경 #0700] 너희 몸은 성령의 전 | 고전 5:1-6:20</v>
      </c>
      <c r="R701" s="29" t="n">
        <f aca="false">INT((A701-1)/안내!$C$9)+1</f>
        <v>140</v>
      </c>
      <c r="S701" s="26" t="n">
        <f aca="false">안내!$C$10+(R701-1)*7+MOD(A701-1,안내!$C$9)</f>
        <v>47368</v>
      </c>
      <c r="T701" s="23" t="s">
        <v>99</v>
      </c>
      <c r="U701" s="23" t="s">
        <v>99</v>
      </c>
      <c r="V701" s="23" t="s">
        <v>99</v>
      </c>
      <c r="W701" s="23" t="s">
        <v>99</v>
      </c>
      <c r="X701" s="28"/>
      <c r="Y701" s="28" t="str">
        <f aca="false">"다음 편: "&amp;J702</f>
        <v>다음 편: 결혼과 독신</v>
      </c>
    </row>
    <row r="702" customFormat="false" ht="26.85" hidden="false" customHeight="false" outlineLevel="0" collapsed="false">
      <c r="A702" s="29" t="n">
        <v>701</v>
      </c>
      <c r="B702" s="29" t="s">
        <v>6601</v>
      </c>
      <c r="C702" s="29" t="s">
        <v>6602</v>
      </c>
      <c r="D702" s="29" t="s">
        <v>6573</v>
      </c>
      <c r="E702" s="24" t="s">
        <v>6574</v>
      </c>
      <c r="F702" s="23" t="s">
        <v>4950</v>
      </c>
      <c r="G702" s="23" t="s">
        <v>6575</v>
      </c>
      <c r="H702" s="24" t="s">
        <v>6603</v>
      </c>
      <c r="I702" s="23" t="s">
        <v>1116</v>
      </c>
      <c r="J702" s="24" t="s">
        <v>6604</v>
      </c>
      <c r="K702" s="24" t="s">
        <v>6605</v>
      </c>
      <c r="L702" s="24" t="s">
        <v>6606</v>
      </c>
      <c r="M702" s="24" t="s">
        <v>6607</v>
      </c>
      <c r="N702" s="24" t="s">
        <v>6466</v>
      </c>
      <c r="O702" s="24" t="s">
        <v>6608</v>
      </c>
      <c r="P702" s="28"/>
      <c r="Q702" s="28" t="str">
        <f aca="false">"["&amp;안내!$C$5&amp;" "&amp;C702&amp;"] "&amp;J702&amp;" | "&amp;H702</f>
        <v>[1분 성경 #0701] 결혼과 독신 | 고전 7:1-40</v>
      </c>
      <c r="R702" s="29" t="n">
        <f aca="false">INT((A702-1)/안내!$C$9)+1</f>
        <v>141</v>
      </c>
      <c r="S702" s="26" t="n">
        <f aca="false">안내!$C$10+(R702-1)*7+MOD(A702-1,안내!$C$9)</f>
        <v>47371</v>
      </c>
      <c r="T702" s="23" t="s">
        <v>99</v>
      </c>
      <c r="U702" s="23" t="s">
        <v>99</v>
      </c>
      <c r="V702" s="23" t="s">
        <v>99</v>
      </c>
      <c r="W702" s="23" t="s">
        <v>99</v>
      </c>
      <c r="X702" s="28"/>
      <c r="Y702" s="28" t="str">
        <f aca="false">"다음 편: "&amp;J703</f>
        <v>다음 편: 하나님의 영광을 위하여</v>
      </c>
    </row>
    <row r="703" customFormat="false" ht="26.85" hidden="false" customHeight="false" outlineLevel="0" collapsed="false">
      <c r="A703" s="29" t="n">
        <v>702</v>
      </c>
      <c r="B703" s="29" t="s">
        <v>6609</v>
      </c>
      <c r="C703" s="29" t="s">
        <v>6610</v>
      </c>
      <c r="D703" s="29" t="s">
        <v>6573</v>
      </c>
      <c r="E703" s="24" t="s">
        <v>6574</v>
      </c>
      <c r="F703" s="23" t="s">
        <v>4950</v>
      </c>
      <c r="G703" s="23" t="s">
        <v>6575</v>
      </c>
      <c r="H703" s="24" t="s">
        <v>6611</v>
      </c>
      <c r="I703" s="23" t="s">
        <v>1116</v>
      </c>
      <c r="J703" s="24" t="s">
        <v>6612</v>
      </c>
      <c r="K703" s="24" t="s">
        <v>6613</v>
      </c>
      <c r="L703" s="24" t="s">
        <v>6614</v>
      </c>
      <c r="M703" s="24" t="s">
        <v>6615</v>
      </c>
      <c r="N703" s="24" t="s">
        <v>6466</v>
      </c>
      <c r="O703" s="24" t="s">
        <v>6616</v>
      </c>
      <c r="P703" s="28"/>
      <c r="Q703" s="28" t="str">
        <f aca="false">"["&amp;안내!$C$5&amp;" "&amp;C703&amp;"] "&amp;J703&amp;" | "&amp;H703</f>
        <v>[1분 성경 #0702] 하나님의 영광을 위하여 | 고전 8:1-11:1</v>
      </c>
      <c r="R703" s="29" t="n">
        <f aca="false">INT((A703-1)/안내!$C$9)+1</f>
        <v>141</v>
      </c>
      <c r="S703" s="26" t="n">
        <f aca="false">안내!$C$10+(R703-1)*7+MOD(A703-1,안내!$C$9)</f>
        <v>47372</v>
      </c>
      <c r="T703" s="23" t="s">
        <v>99</v>
      </c>
      <c r="U703" s="23" t="s">
        <v>99</v>
      </c>
      <c r="V703" s="23" t="s">
        <v>99</v>
      </c>
      <c r="W703" s="23" t="s">
        <v>99</v>
      </c>
      <c r="X703" s="28"/>
      <c r="Y703" s="28" t="str">
        <f aca="false">"다음 편: "&amp;J704</f>
        <v>다음 편: 주의 만찬</v>
      </c>
    </row>
    <row r="704" customFormat="false" ht="26.85" hidden="false" customHeight="false" outlineLevel="0" collapsed="false">
      <c r="A704" s="29" t="n">
        <v>703</v>
      </c>
      <c r="B704" s="29" t="s">
        <v>6617</v>
      </c>
      <c r="C704" s="29" t="s">
        <v>6618</v>
      </c>
      <c r="D704" s="29" t="s">
        <v>6573</v>
      </c>
      <c r="E704" s="24" t="s">
        <v>6574</v>
      </c>
      <c r="F704" s="23" t="s">
        <v>4950</v>
      </c>
      <c r="G704" s="23" t="s">
        <v>6575</v>
      </c>
      <c r="H704" s="24" t="s">
        <v>6619</v>
      </c>
      <c r="I704" s="23" t="s">
        <v>1116</v>
      </c>
      <c r="J704" s="24" t="s">
        <v>6620</v>
      </c>
      <c r="K704" s="24" t="s">
        <v>6621</v>
      </c>
      <c r="L704" s="24" t="s">
        <v>6622</v>
      </c>
      <c r="M704" s="24" t="s">
        <v>6623</v>
      </c>
      <c r="N704" s="24" t="s">
        <v>6624</v>
      </c>
      <c r="O704" s="24" t="s">
        <v>6625</v>
      </c>
      <c r="P704" s="25" t="s">
        <v>6626</v>
      </c>
      <c r="Q704" s="28" t="str">
        <f aca="false">"["&amp;안내!$C$5&amp;" "&amp;C704&amp;"] "&amp;J704&amp;" | "&amp;H704</f>
        <v>[1분 성경 #0703] 주의 만찬 | 고전 11:2-34</v>
      </c>
      <c r="R704" s="29" t="n">
        <f aca="false">INT((A704-1)/안내!$C$9)+1</f>
        <v>141</v>
      </c>
      <c r="S704" s="26" t="n">
        <f aca="false">안내!$C$10+(R704-1)*7+MOD(A704-1,안내!$C$9)</f>
        <v>47373</v>
      </c>
      <c r="T704" s="23" t="s">
        <v>99</v>
      </c>
      <c r="U704" s="23" t="s">
        <v>99</v>
      </c>
      <c r="V704" s="23" t="s">
        <v>99</v>
      </c>
      <c r="W704" s="23" t="s">
        <v>99</v>
      </c>
      <c r="X704" s="28"/>
      <c r="Y704" s="28" t="str">
        <f aca="false">"다음 편: "&amp;J705</f>
        <v>다음 편: 한 몸과 많은 지체</v>
      </c>
    </row>
    <row r="705" customFormat="false" ht="26.85" hidden="false" customHeight="false" outlineLevel="0" collapsed="false">
      <c r="A705" s="29" t="n">
        <v>704</v>
      </c>
      <c r="B705" s="29" t="s">
        <v>6627</v>
      </c>
      <c r="C705" s="29" t="s">
        <v>6628</v>
      </c>
      <c r="D705" s="29" t="s">
        <v>6573</v>
      </c>
      <c r="E705" s="24" t="s">
        <v>6574</v>
      </c>
      <c r="F705" s="23" t="s">
        <v>4950</v>
      </c>
      <c r="G705" s="23" t="s">
        <v>6575</v>
      </c>
      <c r="H705" s="24" t="s">
        <v>6629</v>
      </c>
      <c r="I705" s="23" t="s">
        <v>1116</v>
      </c>
      <c r="J705" s="24" t="s">
        <v>6630</v>
      </c>
      <c r="K705" s="24" t="s">
        <v>6631</v>
      </c>
      <c r="L705" s="24" t="s">
        <v>6632</v>
      </c>
      <c r="M705" s="24" t="s">
        <v>6633</v>
      </c>
      <c r="N705" s="24" t="s">
        <v>6466</v>
      </c>
      <c r="O705" s="24" t="s">
        <v>6634</v>
      </c>
      <c r="P705" s="25" t="s">
        <v>6635</v>
      </c>
      <c r="Q705" s="28" t="str">
        <f aca="false">"["&amp;안내!$C$5&amp;" "&amp;C705&amp;"] "&amp;J705&amp;" | "&amp;H705</f>
        <v>[1분 성경 #0704] 한 몸과 많은 지체 | 고전 12:1-31</v>
      </c>
      <c r="R705" s="29" t="n">
        <f aca="false">INT((A705-1)/안내!$C$9)+1</f>
        <v>141</v>
      </c>
      <c r="S705" s="26" t="n">
        <f aca="false">안내!$C$10+(R705-1)*7+MOD(A705-1,안내!$C$9)</f>
        <v>47374</v>
      </c>
      <c r="T705" s="23" t="s">
        <v>99</v>
      </c>
      <c r="U705" s="23" t="s">
        <v>99</v>
      </c>
      <c r="V705" s="23" t="s">
        <v>99</v>
      </c>
      <c r="W705" s="23" t="s">
        <v>99</v>
      </c>
      <c r="X705" s="28"/>
      <c r="Y705" s="28" t="str">
        <f aca="false">"다음 편: "&amp;J706</f>
        <v>다음 편: 사랑장</v>
      </c>
    </row>
    <row r="706" customFormat="false" ht="26.85" hidden="false" customHeight="false" outlineLevel="0" collapsed="false">
      <c r="A706" s="29" t="n">
        <v>705</v>
      </c>
      <c r="B706" s="29" t="s">
        <v>6636</v>
      </c>
      <c r="C706" s="29" t="s">
        <v>6637</v>
      </c>
      <c r="D706" s="29" t="s">
        <v>6573</v>
      </c>
      <c r="E706" s="24" t="s">
        <v>6574</v>
      </c>
      <c r="F706" s="23" t="s">
        <v>4950</v>
      </c>
      <c r="G706" s="23" t="s">
        <v>6575</v>
      </c>
      <c r="H706" s="24" t="s">
        <v>6638</v>
      </c>
      <c r="I706" s="23" t="s">
        <v>1116</v>
      </c>
      <c r="J706" s="24" t="s">
        <v>6639</v>
      </c>
      <c r="K706" s="24" t="s">
        <v>6640</v>
      </c>
      <c r="L706" s="24" t="s">
        <v>6641</v>
      </c>
      <c r="M706" s="24" t="s">
        <v>6642</v>
      </c>
      <c r="N706" s="24" t="s">
        <v>6466</v>
      </c>
      <c r="O706" s="24" t="s">
        <v>6643</v>
      </c>
      <c r="P706" s="25" t="s">
        <v>6644</v>
      </c>
      <c r="Q706" s="28" t="str">
        <f aca="false">"["&amp;안내!$C$5&amp;" "&amp;C706&amp;"] "&amp;J706&amp;" | "&amp;H706</f>
        <v>[1분 성경 #0705] 사랑장 | 고전 13:1-13</v>
      </c>
      <c r="R706" s="29" t="n">
        <f aca="false">INT((A706-1)/안내!$C$9)+1</f>
        <v>141</v>
      </c>
      <c r="S706" s="26" t="n">
        <f aca="false">안내!$C$10+(R706-1)*7+MOD(A706-1,안내!$C$9)</f>
        <v>47375</v>
      </c>
      <c r="T706" s="23" t="s">
        <v>99</v>
      </c>
      <c r="U706" s="23" t="s">
        <v>99</v>
      </c>
      <c r="V706" s="23" t="s">
        <v>99</v>
      </c>
      <c r="W706" s="23" t="s">
        <v>99</v>
      </c>
      <c r="X706" s="28"/>
      <c r="Y706" s="28" t="str">
        <f aca="false">"다음 편: "&amp;J707</f>
        <v>다음 편: 질서 있는 예배</v>
      </c>
    </row>
    <row r="707" customFormat="false" ht="26.85" hidden="false" customHeight="false" outlineLevel="0" collapsed="false">
      <c r="A707" s="29" t="n">
        <v>706</v>
      </c>
      <c r="B707" s="29" t="s">
        <v>6645</v>
      </c>
      <c r="C707" s="29" t="s">
        <v>6646</v>
      </c>
      <c r="D707" s="29" t="s">
        <v>6573</v>
      </c>
      <c r="E707" s="24" t="s">
        <v>6574</v>
      </c>
      <c r="F707" s="23" t="s">
        <v>4950</v>
      </c>
      <c r="G707" s="23" t="s">
        <v>6575</v>
      </c>
      <c r="H707" s="24" t="s">
        <v>6647</v>
      </c>
      <c r="I707" s="23" t="s">
        <v>1116</v>
      </c>
      <c r="J707" s="24" t="s">
        <v>6648</v>
      </c>
      <c r="K707" s="24" t="s">
        <v>6649</v>
      </c>
      <c r="L707" s="24" t="s">
        <v>6650</v>
      </c>
      <c r="M707" s="24" t="s">
        <v>6651</v>
      </c>
      <c r="N707" s="24" t="s">
        <v>6466</v>
      </c>
      <c r="O707" s="24" t="s">
        <v>6652</v>
      </c>
      <c r="P707" s="25" t="s">
        <v>6653</v>
      </c>
      <c r="Q707" s="28" t="str">
        <f aca="false">"["&amp;안내!$C$5&amp;" "&amp;C707&amp;"] "&amp;J707&amp;" | "&amp;H707</f>
        <v>[1분 성경 #0706] 질서 있는 예배 | 고전 14:1-40</v>
      </c>
      <c r="R707" s="29" t="n">
        <f aca="false">INT((A707-1)/안내!$C$9)+1</f>
        <v>142</v>
      </c>
      <c r="S707" s="26" t="n">
        <f aca="false">안내!$C$10+(R707-1)*7+MOD(A707-1,안내!$C$9)</f>
        <v>47378</v>
      </c>
      <c r="T707" s="23" t="s">
        <v>99</v>
      </c>
      <c r="U707" s="23" t="s">
        <v>99</v>
      </c>
      <c r="V707" s="23" t="s">
        <v>99</v>
      </c>
      <c r="W707" s="23" t="s">
        <v>99</v>
      </c>
      <c r="X707" s="28"/>
      <c r="Y707" s="28" t="str">
        <f aca="false">"다음 편: "&amp;J708</f>
        <v>다음 편: 부활장</v>
      </c>
    </row>
    <row r="708" customFormat="false" ht="39.55" hidden="false" customHeight="false" outlineLevel="0" collapsed="false">
      <c r="A708" s="29" t="n">
        <v>707</v>
      </c>
      <c r="B708" s="29" t="s">
        <v>6654</v>
      </c>
      <c r="C708" s="29" t="s">
        <v>6655</v>
      </c>
      <c r="D708" s="29" t="s">
        <v>6573</v>
      </c>
      <c r="E708" s="24" t="s">
        <v>6574</v>
      </c>
      <c r="F708" s="23" t="s">
        <v>4950</v>
      </c>
      <c r="G708" s="23" t="s">
        <v>6575</v>
      </c>
      <c r="H708" s="24" t="s">
        <v>6656</v>
      </c>
      <c r="I708" s="23" t="s">
        <v>1116</v>
      </c>
      <c r="J708" s="24" t="s">
        <v>6657</v>
      </c>
      <c r="K708" s="24" t="s">
        <v>6658</v>
      </c>
      <c r="L708" s="24" t="s">
        <v>6659</v>
      </c>
      <c r="M708" s="24" t="s">
        <v>6660</v>
      </c>
      <c r="N708" s="24" t="s">
        <v>6661</v>
      </c>
      <c r="O708" s="24" t="s">
        <v>6662</v>
      </c>
      <c r="P708" s="25" t="s">
        <v>6663</v>
      </c>
      <c r="Q708" s="28" t="str">
        <f aca="false">"["&amp;안내!$C$5&amp;" "&amp;C708&amp;"] "&amp;J708&amp;" | "&amp;H708</f>
        <v>[1분 성경 #0707] 부활장 | 고전 15:1-16:24</v>
      </c>
      <c r="R708" s="29" t="n">
        <f aca="false">INT((A708-1)/안내!$C$9)+1</f>
        <v>142</v>
      </c>
      <c r="S708" s="26" t="n">
        <f aca="false">안내!$C$10+(R708-1)*7+MOD(A708-1,안내!$C$9)</f>
        <v>47379</v>
      </c>
      <c r="T708" s="23" t="s">
        <v>99</v>
      </c>
      <c r="U708" s="23" t="s">
        <v>99</v>
      </c>
      <c r="V708" s="23" t="s">
        <v>99</v>
      </c>
      <c r="W708" s="23" t="s">
        <v>99</v>
      </c>
      <c r="X708" s="28"/>
      <c r="Y708" s="28" t="str">
        <f aca="false">"다음 편: "&amp;J709</f>
        <v>다음 편: 위로의 하나님</v>
      </c>
    </row>
    <row r="709" customFormat="false" ht="26.85" hidden="false" customHeight="false" outlineLevel="0" collapsed="false">
      <c r="A709" s="29" t="n">
        <v>708</v>
      </c>
      <c r="B709" s="29" t="s">
        <v>6664</v>
      </c>
      <c r="C709" s="29" t="s">
        <v>6665</v>
      </c>
      <c r="D709" s="29" t="s">
        <v>6666</v>
      </c>
      <c r="E709" s="24" t="s">
        <v>6667</v>
      </c>
      <c r="F709" s="23" t="s">
        <v>4950</v>
      </c>
      <c r="G709" s="23" t="s">
        <v>6668</v>
      </c>
      <c r="H709" s="24" t="s">
        <v>6669</v>
      </c>
      <c r="I709" s="23" t="s">
        <v>1116</v>
      </c>
      <c r="J709" s="24" t="s">
        <v>6670</v>
      </c>
      <c r="K709" s="24" t="s">
        <v>6671</v>
      </c>
      <c r="L709" s="24" t="s">
        <v>6672</v>
      </c>
      <c r="M709" s="24" t="s">
        <v>6673</v>
      </c>
      <c r="N709" s="24" t="s">
        <v>6466</v>
      </c>
      <c r="O709" s="24" t="s">
        <v>6674</v>
      </c>
      <c r="P709" s="28"/>
      <c r="Q709" s="28" t="str">
        <f aca="false">"["&amp;안내!$C$5&amp;" "&amp;C709&amp;"] "&amp;J709&amp;" | "&amp;H709</f>
        <v>[1분 성경 #0708] 위로의 하나님 | 고후 1:1-2:17</v>
      </c>
      <c r="R709" s="29" t="n">
        <f aca="false">INT((A709-1)/안내!$C$9)+1</f>
        <v>142</v>
      </c>
      <c r="S709" s="26" t="n">
        <f aca="false">안내!$C$10+(R709-1)*7+MOD(A709-1,안내!$C$9)</f>
        <v>47380</v>
      </c>
      <c r="T709" s="23" t="s">
        <v>99</v>
      </c>
      <c r="U709" s="23" t="s">
        <v>99</v>
      </c>
      <c r="V709" s="23" t="s">
        <v>99</v>
      </c>
      <c r="W709" s="23" t="s">
        <v>99</v>
      </c>
      <c r="X709" s="28"/>
      <c r="Y709" s="28" t="str">
        <f aca="false">"다음 편: "&amp;J710</f>
        <v>다음 편: 질그릇 속의 보배</v>
      </c>
    </row>
    <row r="710" customFormat="false" ht="26.85" hidden="false" customHeight="false" outlineLevel="0" collapsed="false">
      <c r="A710" s="29" t="n">
        <v>709</v>
      </c>
      <c r="B710" s="29" t="s">
        <v>6675</v>
      </c>
      <c r="C710" s="29" t="s">
        <v>6676</v>
      </c>
      <c r="D710" s="29" t="s">
        <v>6666</v>
      </c>
      <c r="E710" s="24" t="s">
        <v>6667</v>
      </c>
      <c r="F710" s="23" t="s">
        <v>4950</v>
      </c>
      <c r="G710" s="23" t="s">
        <v>6668</v>
      </c>
      <c r="H710" s="24" t="s">
        <v>6677</v>
      </c>
      <c r="I710" s="23" t="s">
        <v>1116</v>
      </c>
      <c r="J710" s="24" t="s">
        <v>6678</v>
      </c>
      <c r="K710" s="24" t="s">
        <v>6679</v>
      </c>
      <c r="L710" s="24" t="s">
        <v>6680</v>
      </c>
      <c r="M710" s="24" t="s">
        <v>6681</v>
      </c>
      <c r="N710" s="24" t="s">
        <v>6466</v>
      </c>
      <c r="O710" s="24" t="s">
        <v>6682</v>
      </c>
      <c r="P710" s="28"/>
      <c r="Q710" s="28" t="str">
        <f aca="false">"["&amp;안내!$C$5&amp;" "&amp;C710&amp;"] "&amp;J710&amp;" | "&amp;H710</f>
        <v>[1분 성경 #0709] 질그릇 속의 보배 | 고후 3:1-4:18</v>
      </c>
      <c r="R710" s="29" t="n">
        <f aca="false">INT((A710-1)/안내!$C$9)+1</f>
        <v>142</v>
      </c>
      <c r="S710" s="26" t="n">
        <f aca="false">안내!$C$10+(R710-1)*7+MOD(A710-1,안내!$C$9)</f>
        <v>47381</v>
      </c>
      <c r="T710" s="23" t="s">
        <v>99</v>
      </c>
      <c r="U710" s="23" t="s">
        <v>99</v>
      </c>
      <c r="V710" s="23" t="s">
        <v>99</v>
      </c>
      <c r="W710" s="23" t="s">
        <v>99</v>
      </c>
      <c r="X710" s="28"/>
      <c r="Y710" s="28" t="str">
        <f aca="false">"다음 편: "&amp;J711</f>
        <v>다음 편: 새로운 피조물</v>
      </c>
    </row>
    <row r="711" customFormat="false" ht="26.85" hidden="false" customHeight="false" outlineLevel="0" collapsed="false">
      <c r="A711" s="29" t="n">
        <v>710</v>
      </c>
      <c r="B711" s="29" t="s">
        <v>6683</v>
      </c>
      <c r="C711" s="29" t="s">
        <v>6684</v>
      </c>
      <c r="D711" s="29" t="s">
        <v>6666</v>
      </c>
      <c r="E711" s="24" t="s">
        <v>6667</v>
      </c>
      <c r="F711" s="23" t="s">
        <v>4950</v>
      </c>
      <c r="G711" s="23" t="s">
        <v>6668</v>
      </c>
      <c r="H711" s="24" t="s">
        <v>6685</v>
      </c>
      <c r="I711" s="23" t="s">
        <v>1116</v>
      </c>
      <c r="J711" s="24" t="s">
        <v>6686</v>
      </c>
      <c r="K711" s="24" t="s">
        <v>6687</v>
      </c>
      <c r="L711" s="24" t="s">
        <v>6688</v>
      </c>
      <c r="M711" s="24" t="s">
        <v>6689</v>
      </c>
      <c r="N711" s="24" t="s">
        <v>6466</v>
      </c>
      <c r="O711" s="24" t="s">
        <v>6690</v>
      </c>
      <c r="P711" s="28"/>
      <c r="Q711" s="28" t="str">
        <f aca="false">"["&amp;안내!$C$5&amp;" "&amp;C711&amp;"] "&amp;J711&amp;" | "&amp;H711</f>
        <v>[1분 성경 #0710] 새로운 피조물 | 고후 5:1-21</v>
      </c>
      <c r="R711" s="29" t="n">
        <f aca="false">INT((A711-1)/안내!$C$9)+1</f>
        <v>142</v>
      </c>
      <c r="S711" s="26" t="n">
        <f aca="false">안내!$C$10+(R711-1)*7+MOD(A711-1,안내!$C$9)</f>
        <v>47382</v>
      </c>
      <c r="T711" s="23" t="s">
        <v>99</v>
      </c>
      <c r="U711" s="23" t="s">
        <v>99</v>
      </c>
      <c r="V711" s="23" t="s">
        <v>99</v>
      </c>
      <c r="W711" s="23" t="s">
        <v>99</v>
      </c>
      <c r="X711" s="28"/>
      <c r="Y711" s="28" t="str">
        <f aca="false">"다음 편: "&amp;J712</f>
        <v>다음 편: 지금은 구원의 날</v>
      </c>
    </row>
    <row r="712" customFormat="false" ht="26.85" hidden="false" customHeight="false" outlineLevel="0" collapsed="false">
      <c r="A712" s="29" t="n">
        <v>711</v>
      </c>
      <c r="B712" s="29" t="s">
        <v>6691</v>
      </c>
      <c r="C712" s="29" t="s">
        <v>6692</v>
      </c>
      <c r="D712" s="29" t="s">
        <v>6666</v>
      </c>
      <c r="E712" s="24" t="s">
        <v>6667</v>
      </c>
      <c r="F712" s="23" t="s">
        <v>4950</v>
      </c>
      <c r="G712" s="23" t="s">
        <v>6668</v>
      </c>
      <c r="H712" s="24" t="s">
        <v>6693</v>
      </c>
      <c r="I712" s="23" t="s">
        <v>1116</v>
      </c>
      <c r="J712" s="24" t="s">
        <v>6694</v>
      </c>
      <c r="K712" s="24" t="s">
        <v>6695</v>
      </c>
      <c r="L712" s="24" t="s">
        <v>6696</v>
      </c>
      <c r="M712" s="24" t="s">
        <v>6697</v>
      </c>
      <c r="N712" s="24" t="s">
        <v>6466</v>
      </c>
      <c r="O712" s="24" t="s">
        <v>6698</v>
      </c>
      <c r="P712" s="28"/>
      <c r="Q712" s="28" t="str">
        <f aca="false">"["&amp;안내!$C$5&amp;" "&amp;C712&amp;"] "&amp;J712&amp;" | "&amp;H712</f>
        <v>[1분 성경 #0711] 지금은 구원의 날 | 고후 6:1-7:16</v>
      </c>
      <c r="R712" s="29" t="n">
        <f aca="false">INT((A712-1)/안내!$C$9)+1</f>
        <v>143</v>
      </c>
      <c r="S712" s="26" t="n">
        <f aca="false">안내!$C$10+(R712-1)*7+MOD(A712-1,안내!$C$9)</f>
        <v>47385</v>
      </c>
      <c r="T712" s="23" t="s">
        <v>99</v>
      </c>
      <c r="U712" s="23" t="s">
        <v>99</v>
      </c>
      <c r="V712" s="23" t="s">
        <v>99</v>
      </c>
      <c r="W712" s="23" t="s">
        <v>99</v>
      </c>
      <c r="X712" s="28"/>
      <c r="Y712" s="28" t="str">
        <f aca="false">"다음 편: "&amp;J713</f>
        <v>다음 편: 즐겨 내는 자</v>
      </c>
    </row>
    <row r="713" customFormat="false" ht="26.85" hidden="false" customHeight="false" outlineLevel="0" collapsed="false">
      <c r="A713" s="29" t="n">
        <v>712</v>
      </c>
      <c r="B713" s="29" t="s">
        <v>6699</v>
      </c>
      <c r="C713" s="29" t="s">
        <v>6700</v>
      </c>
      <c r="D713" s="29" t="s">
        <v>6666</v>
      </c>
      <c r="E713" s="24" t="s">
        <v>6667</v>
      </c>
      <c r="F713" s="23" t="s">
        <v>4950</v>
      </c>
      <c r="G713" s="23" t="s">
        <v>6668</v>
      </c>
      <c r="H713" s="24" t="s">
        <v>6701</v>
      </c>
      <c r="I713" s="23" t="s">
        <v>1116</v>
      </c>
      <c r="J713" s="24" t="s">
        <v>6702</v>
      </c>
      <c r="K713" s="24" t="s">
        <v>6703</v>
      </c>
      <c r="L713" s="24" t="s">
        <v>6704</v>
      </c>
      <c r="M713" s="24" t="s">
        <v>6705</v>
      </c>
      <c r="N713" s="24" t="s">
        <v>6706</v>
      </c>
      <c r="O713" s="24" t="s">
        <v>6707</v>
      </c>
      <c r="P713" s="25" t="s">
        <v>6708</v>
      </c>
      <c r="Q713" s="28" t="str">
        <f aca="false">"["&amp;안내!$C$5&amp;" "&amp;C713&amp;"] "&amp;J713&amp;" | "&amp;H713</f>
        <v>[1분 성경 #0712] 즐겨 내는 자 | 고후 8:1-9:15</v>
      </c>
      <c r="R713" s="29" t="n">
        <f aca="false">INT((A713-1)/안내!$C$9)+1</f>
        <v>143</v>
      </c>
      <c r="S713" s="26" t="n">
        <f aca="false">안내!$C$10+(R713-1)*7+MOD(A713-1,안내!$C$9)</f>
        <v>47386</v>
      </c>
      <c r="T713" s="23" t="s">
        <v>99</v>
      </c>
      <c r="U713" s="23" t="s">
        <v>99</v>
      </c>
      <c r="V713" s="23" t="s">
        <v>99</v>
      </c>
      <c r="W713" s="23" t="s">
        <v>99</v>
      </c>
      <c r="X713" s="28"/>
      <c r="Y713" s="28" t="str">
        <f aca="false">"다음 편: "&amp;J714</f>
        <v>다음 편: 내 은혜가 네게 족하도다</v>
      </c>
    </row>
    <row r="714" customFormat="false" ht="26.85" hidden="false" customHeight="false" outlineLevel="0" collapsed="false">
      <c r="A714" s="29" t="n">
        <v>713</v>
      </c>
      <c r="B714" s="29" t="s">
        <v>6709</v>
      </c>
      <c r="C714" s="29" t="s">
        <v>6710</v>
      </c>
      <c r="D714" s="29" t="s">
        <v>6666</v>
      </c>
      <c r="E714" s="24" t="s">
        <v>6667</v>
      </c>
      <c r="F714" s="23" t="s">
        <v>4950</v>
      </c>
      <c r="G714" s="23" t="s">
        <v>6668</v>
      </c>
      <c r="H714" s="24" t="s">
        <v>6711</v>
      </c>
      <c r="I714" s="23" t="s">
        <v>1116</v>
      </c>
      <c r="J714" s="24" t="s">
        <v>6712</v>
      </c>
      <c r="K714" s="24" t="s">
        <v>6713</v>
      </c>
      <c r="L714" s="24" t="s">
        <v>6714</v>
      </c>
      <c r="M714" s="24" t="s">
        <v>6715</v>
      </c>
      <c r="N714" s="24" t="s">
        <v>6466</v>
      </c>
      <c r="O714" s="24" t="s">
        <v>6716</v>
      </c>
      <c r="P714" s="28"/>
      <c r="Q714" s="28" t="str">
        <f aca="false">"["&amp;안내!$C$5&amp;" "&amp;C714&amp;"] "&amp;J714&amp;" | "&amp;H714</f>
        <v>[1분 성경 #0713] 내 은혜가 네게 족하도다 | 고후 10:1-13:14</v>
      </c>
      <c r="R714" s="29" t="n">
        <f aca="false">INT((A714-1)/안내!$C$9)+1</f>
        <v>143</v>
      </c>
      <c r="S714" s="26" t="n">
        <f aca="false">안내!$C$10+(R714-1)*7+MOD(A714-1,안내!$C$9)</f>
        <v>47387</v>
      </c>
      <c r="T714" s="23" t="s">
        <v>99</v>
      </c>
      <c r="U714" s="23" t="s">
        <v>99</v>
      </c>
      <c r="V714" s="23" t="s">
        <v>99</v>
      </c>
      <c r="W714" s="23" t="s">
        <v>99</v>
      </c>
      <c r="X714" s="28"/>
      <c r="Y714" s="28" t="str">
        <f aca="false">"다음 편: "&amp;J715</f>
        <v>다음 편: 다른 복음은 없다</v>
      </c>
    </row>
    <row r="715" customFormat="false" ht="26.85" hidden="false" customHeight="false" outlineLevel="0" collapsed="false">
      <c r="A715" s="29" t="n">
        <v>714</v>
      </c>
      <c r="B715" s="29" t="s">
        <v>6717</v>
      </c>
      <c r="C715" s="29" t="s">
        <v>6718</v>
      </c>
      <c r="D715" s="29" t="s">
        <v>6666</v>
      </c>
      <c r="E715" s="24" t="s">
        <v>6667</v>
      </c>
      <c r="F715" s="23" t="s">
        <v>4950</v>
      </c>
      <c r="G715" s="23" t="s">
        <v>6719</v>
      </c>
      <c r="H715" s="24" t="s">
        <v>6720</v>
      </c>
      <c r="I715" s="23" t="s">
        <v>1116</v>
      </c>
      <c r="J715" s="24" t="s">
        <v>6721</v>
      </c>
      <c r="K715" s="24" t="s">
        <v>6722</v>
      </c>
      <c r="L715" s="24" t="s">
        <v>6723</v>
      </c>
      <c r="M715" s="24" t="s">
        <v>6724</v>
      </c>
      <c r="N715" s="24" t="s">
        <v>6725</v>
      </c>
      <c r="O715" s="24" t="s">
        <v>6726</v>
      </c>
      <c r="P715" s="27" t="s">
        <v>6727</v>
      </c>
      <c r="Q715" s="28" t="str">
        <f aca="false">"["&amp;안내!$C$5&amp;" "&amp;C715&amp;"] "&amp;J715&amp;" | "&amp;H715</f>
        <v>[1분 성경 #0714] 다른 복음은 없다 | 갈 1:1-2:21</v>
      </c>
      <c r="R715" s="29" t="n">
        <f aca="false">INT((A715-1)/안내!$C$9)+1</f>
        <v>143</v>
      </c>
      <c r="S715" s="26" t="n">
        <f aca="false">안내!$C$10+(R715-1)*7+MOD(A715-1,안내!$C$9)</f>
        <v>47388</v>
      </c>
      <c r="T715" s="23" t="s">
        <v>99</v>
      </c>
      <c r="U715" s="23" t="s">
        <v>99</v>
      </c>
      <c r="V715" s="23" t="s">
        <v>99</v>
      </c>
      <c r="W715" s="23" t="s">
        <v>99</v>
      </c>
      <c r="X715" s="28"/>
      <c r="Y715" s="28" t="str">
        <f aca="false">"다음 편: "&amp;J716</f>
        <v>다음 편: 율법의 저주에서</v>
      </c>
    </row>
    <row r="716" customFormat="false" ht="26.85" hidden="false" customHeight="false" outlineLevel="0" collapsed="false">
      <c r="A716" s="29" t="n">
        <v>715</v>
      </c>
      <c r="B716" s="29" t="s">
        <v>6728</v>
      </c>
      <c r="C716" s="29" t="s">
        <v>6729</v>
      </c>
      <c r="D716" s="29" t="s">
        <v>6666</v>
      </c>
      <c r="E716" s="24" t="s">
        <v>6667</v>
      </c>
      <c r="F716" s="23" t="s">
        <v>4950</v>
      </c>
      <c r="G716" s="23" t="s">
        <v>6719</v>
      </c>
      <c r="H716" s="24" t="s">
        <v>6730</v>
      </c>
      <c r="I716" s="23" t="s">
        <v>1116</v>
      </c>
      <c r="J716" s="24" t="s">
        <v>6731</v>
      </c>
      <c r="K716" s="24" t="s">
        <v>6732</v>
      </c>
      <c r="L716" s="24" t="s">
        <v>6733</v>
      </c>
      <c r="M716" s="24" t="s">
        <v>6734</v>
      </c>
      <c r="N716" s="24" t="s">
        <v>6466</v>
      </c>
      <c r="O716" s="24" t="s">
        <v>6735</v>
      </c>
      <c r="P716" s="25" t="s">
        <v>6736</v>
      </c>
      <c r="Q716" s="28" t="str">
        <f aca="false">"["&amp;안내!$C$5&amp;" "&amp;C716&amp;"] "&amp;J716&amp;" | "&amp;H716</f>
        <v>[1분 성경 #0715] 율법의 저주에서 | 갈 3:1-4:31</v>
      </c>
      <c r="R716" s="29" t="n">
        <f aca="false">INT((A716-1)/안내!$C$9)+1</f>
        <v>143</v>
      </c>
      <c r="S716" s="26" t="n">
        <f aca="false">안내!$C$10+(R716-1)*7+MOD(A716-1,안내!$C$9)</f>
        <v>47389</v>
      </c>
      <c r="T716" s="23" t="s">
        <v>99</v>
      </c>
      <c r="U716" s="23" t="s">
        <v>99</v>
      </c>
      <c r="V716" s="23" t="s">
        <v>99</v>
      </c>
      <c r="W716" s="23" t="s">
        <v>99</v>
      </c>
      <c r="X716" s="28"/>
      <c r="Y716" s="28" t="str">
        <f aca="false">"다음 편: "&amp;J717</f>
        <v>다음 편: 자유를 주셨으니</v>
      </c>
    </row>
    <row r="717" customFormat="false" ht="26.85" hidden="false" customHeight="false" outlineLevel="0" collapsed="false">
      <c r="A717" s="29" t="n">
        <v>716</v>
      </c>
      <c r="B717" s="29" t="s">
        <v>6737</v>
      </c>
      <c r="C717" s="29" t="s">
        <v>6738</v>
      </c>
      <c r="D717" s="29" t="s">
        <v>6666</v>
      </c>
      <c r="E717" s="24" t="s">
        <v>6667</v>
      </c>
      <c r="F717" s="23" t="s">
        <v>4950</v>
      </c>
      <c r="G717" s="23" t="s">
        <v>6719</v>
      </c>
      <c r="H717" s="24" t="s">
        <v>6739</v>
      </c>
      <c r="I717" s="23" t="s">
        <v>1116</v>
      </c>
      <c r="J717" s="24" t="s">
        <v>6740</v>
      </c>
      <c r="K717" s="24" t="s">
        <v>6741</v>
      </c>
      <c r="L717" s="24" t="s">
        <v>6742</v>
      </c>
      <c r="M717" s="24" t="s">
        <v>6743</v>
      </c>
      <c r="N717" s="24" t="s">
        <v>6466</v>
      </c>
      <c r="O717" s="24" t="s">
        <v>6744</v>
      </c>
      <c r="P717" s="28"/>
      <c r="Q717" s="28" t="str">
        <f aca="false">"["&amp;안내!$C$5&amp;" "&amp;C717&amp;"] "&amp;J717&amp;" | "&amp;H717</f>
        <v>[1분 성경 #0716] 자유를 주셨으니 | 갈 5:1-15</v>
      </c>
      <c r="R717" s="29" t="n">
        <f aca="false">INT((A717-1)/안내!$C$9)+1</f>
        <v>144</v>
      </c>
      <c r="S717" s="26" t="n">
        <f aca="false">안내!$C$10+(R717-1)*7+MOD(A717-1,안내!$C$9)</f>
        <v>47392</v>
      </c>
      <c r="T717" s="23" t="s">
        <v>99</v>
      </c>
      <c r="U717" s="23" t="s">
        <v>99</v>
      </c>
      <c r="V717" s="23" t="s">
        <v>99</v>
      </c>
      <c r="W717" s="23" t="s">
        <v>99</v>
      </c>
      <c r="X717" s="28"/>
      <c r="Y717" s="28" t="str">
        <f aca="false">"다음 편: "&amp;J718</f>
        <v>다음 편: 성령의 열매</v>
      </c>
    </row>
    <row r="718" customFormat="false" ht="26.85" hidden="false" customHeight="false" outlineLevel="0" collapsed="false">
      <c r="A718" s="29" t="n">
        <v>717</v>
      </c>
      <c r="B718" s="29" t="s">
        <v>6745</v>
      </c>
      <c r="C718" s="29" t="s">
        <v>6746</v>
      </c>
      <c r="D718" s="29" t="s">
        <v>6666</v>
      </c>
      <c r="E718" s="24" t="s">
        <v>6667</v>
      </c>
      <c r="F718" s="23" t="s">
        <v>4950</v>
      </c>
      <c r="G718" s="23" t="s">
        <v>6719</v>
      </c>
      <c r="H718" s="24" t="s">
        <v>6747</v>
      </c>
      <c r="I718" s="23" t="s">
        <v>1116</v>
      </c>
      <c r="J718" s="24" t="s">
        <v>6748</v>
      </c>
      <c r="K718" s="24" t="s">
        <v>6749</v>
      </c>
      <c r="L718" s="24" t="s">
        <v>6750</v>
      </c>
      <c r="M718" s="24" t="s">
        <v>6751</v>
      </c>
      <c r="N718" s="24" t="s">
        <v>6466</v>
      </c>
      <c r="O718" s="24" t="s">
        <v>6752</v>
      </c>
      <c r="P718" s="28"/>
      <c r="Q718" s="28" t="str">
        <f aca="false">"["&amp;안내!$C$5&amp;" "&amp;C718&amp;"] "&amp;J718&amp;" | "&amp;H718</f>
        <v>[1분 성경 #0717] 성령의 열매 | 갈 5:16-26</v>
      </c>
      <c r="R718" s="29" t="n">
        <f aca="false">INT((A718-1)/안내!$C$9)+1</f>
        <v>144</v>
      </c>
      <c r="S718" s="26" t="n">
        <f aca="false">안내!$C$10+(R718-1)*7+MOD(A718-1,안내!$C$9)</f>
        <v>47393</v>
      </c>
      <c r="T718" s="23" t="s">
        <v>99</v>
      </c>
      <c r="U718" s="23" t="s">
        <v>99</v>
      </c>
      <c r="V718" s="23" t="s">
        <v>99</v>
      </c>
      <c r="W718" s="23" t="s">
        <v>99</v>
      </c>
      <c r="X718" s="28"/>
      <c r="Y718" s="28" t="str">
        <f aca="false">"다음 편: "&amp;J719</f>
        <v>다음 편: 짐을 서로 지라</v>
      </c>
    </row>
    <row r="719" customFormat="false" ht="26.85" hidden="false" customHeight="false" outlineLevel="0" collapsed="false">
      <c r="A719" s="29" t="n">
        <v>718</v>
      </c>
      <c r="B719" s="29" t="s">
        <v>6753</v>
      </c>
      <c r="C719" s="29" t="s">
        <v>6754</v>
      </c>
      <c r="D719" s="29" t="s">
        <v>6666</v>
      </c>
      <c r="E719" s="24" t="s">
        <v>6667</v>
      </c>
      <c r="F719" s="23" t="s">
        <v>4950</v>
      </c>
      <c r="G719" s="23" t="s">
        <v>6719</v>
      </c>
      <c r="H719" s="24" t="s">
        <v>6755</v>
      </c>
      <c r="I719" s="23" t="s">
        <v>1116</v>
      </c>
      <c r="J719" s="24" t="s">
        <v>6756</v>
      </c>
      <c r="K719" s="24" t="s">
        <v>6757</v>
      </c>
      <c r="L719" s="24" t="s">
        <v>6758</v>
      </c>
      <c r="M719" s="24" t="s">
        <v>6759</v>
      </c>
      <c r="N719" s="24" t="s">
        <v>6466</v>
      </c>
      <c r="O719" s="24" t="s">
        <v>6760</v>
      </c>
      <c r="P719" s="28"/>
      <c r="Q719" s="28" t="str">
        <f aca="false">"["&amp;안내!$C$5&amp;" "&amp;C719&amp;"] "&amp;J719&amp;" | "&amp;H719</f>
        <v>[1분 성경 #0718] 짐을 서로 지라 | 갈 6:1-18</v>
      </c>
      <c r="R719" s="29" t="n">
        <f aca="false">INT((A719-1)/안내!$C$9)+1</f>
        <v>144</v>
      </c>
      <c r="S719" s="26" t="n">
        <f aca="false">안내!$C$10+(R719-1)*7+MOD(A719-1,안내!$C$9)</f>
        <v>47394</v>
      </c>
      <c r="T719" s="23" t="s">
        <v>99</v>
      </c>
      <c r="U719" s="23" t="s">
        <v>99</v>
      </c>
      <c r="V719" s="23" t="s">
        <v>99</v>
      </c>
      <c r="W719" s="23" t="s">
        <v>99</v>
      </c>
      <c r="X719" s="28"/>
      <c r="Y719" s="28" t="str">
        <f aca="false">"다음 편: "&amp;J720</f>
        <v>다음 편: 창세 전에</v>
      </c>
    </row>
    <row r="720" customFormat="false" ht="26.85" hidden="false" customHeight="false" outlineLevel="0" collapsed="false">
      <c r="A720" s="29" t="n">
        <v>719</v>
      </c>
      <c r="B720" s="29" t="s">
        <v>6761</v>
      </c>
      <c r="C720" s="29" t="s">
        <v>6762</v>
      </c>
      <c r="D720" s="29" t="s">
        <v>6763</v>
      </c>
      <c r="E720" s="24" t="s">
        <v>6764</v>
      </c>
      <c r="F720" s="23" t="s">
        <v>4950</v>
      </c>
      <c r="G720" s="23" t="s">
        <v>6765</v>
      </c>
      <c r="H720" s="24" t="s">
        <v>6766</v>
      </c>
      <c r="I720" s="23" t="s">
        <v>1116</v>
      </c>
      <c r="J720" s="24" t="s">
        <v>6767</v>
      </c>
      <c r="K720" s="24" t="s">
        <v>6768</v>
      </c>
      <c r="L720" s="24" t="s">
        <v>6769</v>
      </c>
      <c r="M720" s="24" t="s">
        <v>6770</v>
      </c>
      <c r="N720" s="24" t="s">
        <v>6466</v>
      </c>
      <c r="O720" s="24" t="s">
        <v>6771</v>
      </c>
      <c r="P720" s="25" t="s">
        <v>6772</v>
      </c>
      <c r="Q720" s="28" t="str">
        <f aca="false">"["&amp;안내!$C$5&amp;" "&amp;C720&amp;"] "&amp;J720&amp;" | "&amp;H720</f>
        <v>[1분 성경 #0719] 창세 전에 | 엡 1:1-23</v>
      </c>
      <c r="R720" s="29" t="n">
        <f aca="false">INT((A720-1)/안내!$C$9)+1</f>
        <v>144</v>
      </c>
      <c r="S720" s="26" t="n">
        <f aca="false">안내!$C$10+(R720-1)*7+MOD(A720-1,안내!$C$9)</f>
        <v>47395</v>
      </c>
      <c r="T720" s="23" t="s">
        <v>99</v>
      </c>
      <c r="U720" s="23" t="s">
        <v>99</v>
      </c>
      <c r="V720" s="23" t="s">
        <v>99</v>
      </c>
      <c r="W720" s="23" t="s">
        <v>99</v>
      </c>
      <c r="X720" s="28"/>
      <c r="Y720" s="28" t="str">
        <f aca="false">"다음 편: "&amp;J721</f>
        <v>다음 편: 은혜로 구원받았다</v>
      </c>
    </row>
    <row r="721" customFormat="false" ht="26.85" hidden="false" customHeight="false" outlineLevel="0" collapsed="false">
      <c r="A721" s="29" t="n">
        <v>720</v>
      </c>
      <c r="B721" s="29" t="s">
        <v>6773</v>
      </c>
      <c r="C721" s="29" t="s">
        <v>6774</v>
      </c>
      <c r="D721" s="29" t="s">
        <v>6763</v>
      </c>
      <c r="E721" s="24" t="s">
        <v>6764</v>
      </c>
      <c r="F721" s="23" t="s">
        <v>4950</v>
      </c>
      <c r="G721" s="23" t="s">
        <v>6765</v>
      </c>
      <c r="H721" s="24" t="s">
        <v>6775</v>
      </c>
      <c r="I721" s="23" t="s">
        <v>1116</v>
      </c>
      <c r="J721" s="24" t="s">
        <v>6776</v>
      </c>
      <c r="K721" s="24" t="s">
        <v>6777</v>
      </c>
      <c r="L721" s="24" t="s">
        <v>6778</v>
      </c>
      <c r="M721" s="24" t="s">
        <v>6779</v>
      </c>
      <c r="N721" s="24" t="s">
        <v>6466</v>
      </c>
      <c r="O721" s="24" t="s">
        <v>6780</v>
      </c>
      <c r="P721" s="25" t="s">
        <v>6781</v>
      </c>
      <c r="Q721" s="28" t="str">
        <f aca="false">"["&amp;안내!$C$5&amp;" "&amp;C721&amp;"] "&amp;J721&amp;" | "&amp;H721</f>
        <v>[1분 성경 #0720] 은혜로 구원받았다 | 엡 2:1-10</v>
      </c>
      <c r="R721" s="29" t="n">
        <f aca="false">INT((A721-1)/안내!$C$9)+1</f>
        <v>144</v>
      </c>
      <c r="S721" s="26" t="n">
        <f aca="false">안내!$C$10+(R721-1)*7+MOD(A721-1,안내!$C$9)</f>
        <v>47396</v>
      </c>
      <c r="T721" s="23" t="s">
        <v>99</v>
      </c>
      <c r="U721" s="23" t="s">
        <v>99</v>
      </c>
      <c r="V721" s="23" t="s">
        <v>99</v>
      </c>
      <c r="W721" s="23" t="s">
        <v>99</v>
      </c>
      <c r="X721" s="28"/>
      <c r="Y721" s="28" t="str">
        <f aca="false">"다음 편: "&amp;J722</f>
        <v>다음 편: 막힌 담을 허시고</v>
      </c>
    </row>
    <row r="722" customFormat="false" ht="26.85" hidden="false" customHeight="false" outlineLevel="0" collapsed="false">
      <c r="A722" s="29" t="n">
        <v>721</v>
      </c>
      <c r="B722" s="29" t="s">
        <v>6782</v>
      </c>
      <c r="C722" s="29" t="s">
        <v>6783</v>
      </c>
      <c r="D722" s="29" t="s">
        <v>6763</v>
      </c>
      <c r="E722" s="24" t="s">
        <v>6764</v>
      </c>
      <c r="F722" s="23" t="s">
        <v>4950</v>
      </c>
      <c r="G722" s="23" t="s">
        <v>6765</v>
      </c>
      <c r="H722" s="24" t="s">
        <v>6784</v>
      </c>
      <c r="I722" s="23" t="s">
        <v>1116</v>
      </c>
      <c r="J722" s="24" t="s">
        <v>6785</v>
      </c>
      <c r="K722" s="24" t="s">
        <v>6786</v>
      </c>
      <c r="L722" s="24" t="s">
        <v>6787</v>
      </c>
      <c r="M722" s="24" t="s">
        <v>6788</v>
      </c>
      <c r="N722" s="24" t="s">
        <v>6466</v>
      </c>
      <c r="O722" s="24" t="s">
        <v>6789</v>
      </c>
      <c r="P722" s="28"/>
      <c r="Q722" s="28" t="str">
        <f aca="false">"["&amp;안내!$C$5&amp;" "&amp;C722&amp;"] "&amp;J722&amp;" | "&amp;H722</f>
        <v>[1분 성경 #0721] 막힌 담을 허시고 | 엡 2:11-3:21</v>
      </c>
      <c r="R722" s="29" t="n">
        <f aca="false">INT((A722-1)/안내!$C$9)+1</f>
        <v>145</v>
      </c>
      <c r="S722" s="26" t="n">
        <f aca="false">안내!$C$10+(R722-1)*7+MOD(A722-1,안내!$C$9)</f>
        <v>47399</v>
      </c>
      <c r="T722" s="23" t="s">
        <v>99</v>
      </c>
      <c r="U722" s="23" t="s">
        <v>99</v>
      </c>
      <c r="V722" s="23" t="s">
        <v>99</v>
      </c>
      <c r="W722" s="23" t="s">
        <v>99</v>
      </c>
      <c r="X722" s="28"/>
      <c r="Y722" s="28" t="str">
        <f aca="false">"다음 편: "&amp;J723</f>
        <v>다음 편: 하나 됨을 힘써 지키라</v>
      </c>
    </row>
    <row r="723" customFormat="false" ht="26.85" hidden="false" customHeight="false" outlineLevel="0" collapsed="false">
      <c r="A723" s="29" t="n">
        <v>722</v>
      </c>
      <c r="B723" s="29" t="s">
        <v>6790</v>
      </c>
      <c r="C723" s="29" t="s">
        <v>6791</v>
      </c>
      <c r="D723" s="29" t="s">
        <v>6763</v>
      </c>
      <c r="E723" s="24" t="s">
        <v>6764</v>
      </c>
      <c r="F723" s="23" t="s">
        <v>4950</v>
      </c>
      <c r="G723" s="23" t="s">
        <v>6765</v>
      </c>
      <c r="H723" s="24" t="s">
        <v>6792</v>
      </c>
      <c r="I723" s="23" t="s">
        <v>1116</v>
      </c>
      <c r="J723" s="24" t="s">
        <v>6793</v>
      </c>
      <c r="K723" s="24" t="s">
        <v>6794</v>
      </c>
      <c r="L723" s="24" t="s">
        <v>6795</v>
      </c>
      <c r="M723" s="24" t="s">
        <v>6796</v>
      </c>
      <c r="N723" s="24" t="s">
        <v>6466</v>
      </c>
      <c r="O723" s="24" t="s">
        <v>6797</v>
      </c>
      <c r="P723" s="28"/>
      <c r="Q723" s="28" t="str">
        <f aca="false">"["&amp;안내!$C$5&amp;" "&amp;C723&amp;"] "&amp;J723&amp;" | "&amp;H723</f>
        <v>[1분 성경 #0722] 하나 됨을 힘써 지키라 | 엡 4:1-32</v>
      </c>
      <c r="R723" s="29" t="n">
        <f aca="false">INT((A723-1)/안내!$C$9)+1</f>
        <v>145</v>
      </c>
      <c r="S723" s="26" t="n">
        <f aca="false">안내!$C$10+(R723-1)*7+MOD(A723-1,안내!$C$9)</f>
        <v>47400</v>
      </c>
      <c r="T723" s="23" t="s">
        <v>99</v>
      </c>
      <c r="U723" s="23" t="s">
        <v>99</v>
      </c>
      <c r="V723" s="23" t="s">
        <v>99</v>
      </c>
      <c r="W723" s="23" t="s">
        <v>99</v>
      </c>
      <c r="X723" s="28"/>
      <c r="Y723" s="28" t="str">
        <f aca="false">"다음 편: "&amp;J724</f>
        <v>다음 편: 빛의 자녀</v>
      </c>
    </row>
    <row r="724" customFormat="false" ht="26.85" hidden="false" customHeight="false" outlineLevel="0" collapsed="false">
      <c r="A724" s="29" t="n">
        <v>723</v>
      </c>
      <c r="B724" s="29" t="s">
        <v>6798</v>
      </c>
      <c r="C724" s="29" t="s">
        <v>6799</v>
      </c>
      <c r="D724" s="29" t="s">
        <v>6763</v>
      </c>
      <c r="E724" s="24" t="s">
        <v>6764</v>
      </c>
      <c r="F724" s="23" t="s">
        <v>4950</v>
      </c>
      <c r="G724" s="23" t="s">
        <v>6765</v>
      </c>
      <c r="H724" s="24" t="s">
        <v>6800</v>
      </c>
      <c r="I724" s="23" t="s">
        <v>1116</v>
      </c>
      <c r="J724" s="24" t="s">
        <v>6801</v>
      </c>
      <c r="K724" s="24" t="s">
        <v>6802</v>
      </c>
      <c r="L724" s="24" t="s">
        <v>6803</v>
      </c>
      <c r="M724" s="24" t="s">
        <v>6804</v>
      </c>
      <c r="N724" s="24" t="s">
        <v>6466</v>
      </c>
      <c r="O724" s="24" t="s">
        <v>6805</v>
      </c>
      <c r="P724" s="27" t="s">
        <v>6806</v>
      </c>
      <c r="Q724" s="28" t="str">
        <f aca="false">"["&amp;안내!$C$5&amp;" "&amp;C724&amp;"] "&amp;J724&amp;" | "&amp;H724</f>
        <v>[1분 성경 #0723] 빛의 자녀 | 엡 5:1-6:9</v>
      </c>
      <c r="R724" s="29" t="n">
        <f aca="false">INT((A724-1)/안내!$C$9)+1</f>
        <v>145</v>
      </c>
      <c r="S724" s="26" t="n">
        <f aca="false">안내!$C$10+(R724-1)*7+MOD(A724-1,안내!$C$9)</f>
        <v>47401</v>
      </c>
      <c r="T724" s="23" t="s">
        <v>99</v>
      </c>
      <c r="U724" s="23" t="s">
        <v>99</v>
      </c>
      <c r="V724" s="23" t="s">
        <v>99</v>
      </c>
      <c r="W724" s="23" t="s">
        <v>99</v>
      </c>
      <c r="X724" s="28"/>
      <c r="Y724" s="28" t="str">
        <f aca="false">"다음 편: "&amp;J725</f>
        <v>다음 편: 하나님의 전신 갑주</v>
      </c>
    </row>
    <row r="725" customFormat="false" ht="26.85" hidden="false" customHeight="false" outlineLevel="0" collapsed="false">
      <c r="A725" s="29" t="n">
        <v>724</v>
      </c>
      <c r="B725" s="29" t="s">
        <v>6807</v>
      </c>
      <c r="C725" s="29" t="s">
        <v>6808</v>
      </c>
      <c r="D725" s="29" t="s">
        <v>6763</v>
      </c>
      <c r="E725" s="24" t="s">
        <v>6764</v>
      </c>
      <c r="F725" s="23" t="s">
        <v>4950</v>
      </c>
      <c r="G725" s="23" t="s">
        <v>6765</v>
      </c>
      <c r="H725" s="24" t="s">
        <v>6809</v>
      </c>
      <c r="I725" s="23" t="s">
        <v>1116</v>
      </c>
      <c r="J725" s="24" t="s">
        <v>6810</v>
      </c>
      <c r="K725" s="24" t="s">
        <v>6811</v>
      </c>
      <c r="L725" s="24" t="s">
        <v>6812</v>
      </c>
      <c r="M725" s="24" t="s">
        <v>6813</v>
      </c>
      <c r="N725" s="24" t="s">
        <v>6814</v>
      </c>
      <c r="O725" s="24" t="s">
        <v>6815</v>
      </c>
      <c r="P725" s="25" t="s">
        <v>6816</v>
      </c>
      <c r="Q725" s="28" t="str">
        <f aca="false">"["&amp;안내!$C$5&amp;" "&amp;C725&amp;"] "&amp;J725&amp;" | "&amp;H725</f>
        <v>[1분 성경 #0724] 하나님의 전신 갑주 | 엡 6:10-24</v>
      </c>
      <c r="R725" s="29" t="n">
        <f aca="false">INT((A725-1)/안내!$C$9)+1</f>
        <v>145</v>
      </c>
      <c r="S725" s="26" t="n">
        <f aca="false">안내!$C$10+(R725-1)*7+MOD(A725-1,안내!$C$9)</f>
        <v>47402</v>
      </c>
      <c r="T725" s="23" t="s">
        <v>99</v>
      </c>
      <c r="U725" s="23" t="s">
        <v>99</v>
      </c>
      <c r="V725" s="23" t="s">
        <v>99</v>
      </c>
      <c r="W725" s="23" t="s">
        <v>99</v>
      </c>
      <c r="X725" s="28"/>
      <c r="Y725" s="28" t="str">
        <f aca="false">"다음 편: "&amp;J726</f>
        <v>다음 편: 사는 것이 그리스도</v>
      </c>
    </row>
    <row r="726" customFormat="false" ht="26.85" hidden="false" customHeight="false" outlineLevel="0" collapsed="false">
      <c r="A726" s="29" t="n">
        <v>725</v>
      </c>
      <c r="B726" s="29" t="s">
        <v>6817</v>
      </c>
      <c r="C726" s="29" t="s">
        <v>6818</v>
      </c>
      <c r="D726" s="29" t="s">
        <v>6763</v>
      </c>
      <c r="E726" s="24" t="s">
        <v>6764</v>
      </c>
      <c r="F726" s="23" t="s">
        <v>4950</v>
      </c>
      <c r="G726" s="23" t="s">
        <v>6819</v>
      </c>
      <c r="H726" s="24" t="s">
        <v>6820</v>
      </c>
      <c r="I726" s="23" t="s">
        <v>1116</v>
      </c>
      <c r="J726" s="24" t="s">
        <v>6821</v>
      </c>
      <c r="K726" s="24" t="s">
        <v>6822</v>
      </c>
      <c r="L726" s="24" t="s">
        <v>6823</v>
      </c>
      <c r="M726" s="24" t="s">
        <v>6824</v>
      </c>
      <c r="N726" s="24" t="s">
        <v>6466</v>
      </c>
      <c r="O726" s="24" t="s">
        <v>6825</v>
      </c>
      <c r="P726" s="28"/>
      <c r="Q726" s="28" t="str">
        <f aca="false">"["&amp;안내!$C$5&amp;" "&amp;C726&amp;"] "&amp;J726&amp;" | "&amp;H726</f>
        <v>[1분 성경 #0725] 사는 것이 그리스도 | 빌 1:1-30</v>
      </c>
      <c r="R726" s="29" t="n">
        <f aca="false">INT((A726-1)/안내!$C$9)+1</f>
        <v>145</v>
      </c>
      <c r="S726" s="26" t="n">
        <f aca="false">안내!$C$10+(R726-1)*7+MOD(A726-1,안내!$C$9)</f>
        <v>47403</v>
      </c>
      <c r="T726" s="23" t="s">
        <v>99</v>
      </c>
      <c r="U726" s="23" t="s">
        <v>99</v>
      </c>
      <c r="V726" s="23" t="s">
        <v>99</v>
      </c>
      <c r="W726" s="23" t="s">
        <v>99</v>
      </c>
      <c r="X726" s="28"/>
      <c r="Y726" s="28" t="str">
        <f aca="false">"다음 편: "&amp;J727</f>
        <v>다음 편: 그리스도의 마음</v>
      </c>
    </row>
    <row r="727" customFormat="false" ht="26.85" hidden="false" customHeight="false" outlineLevel="0" collapsed="false">
      <c r="A727" s="29" t="n">
        <v>726</v>
      </c>
      <c r="B727" s="29" t="s">
        <v>6826</v>
      </c>
      <c r="C727" s="29" t="s">
        <v>6827</v>
      </c>
      <c r="D727" s="29" t="s">
        <v>6763</v>
      </c>
      <c r="E727" s="24" t="s">
        <v>6764</v>
      </c>
      <c r="F727" s="23" t="s">
        <v>4950</v>
      </c>
      <c r="G727" s="23" t="s">
        <v>6819</v>
      </c>
      <c r="H727" s="24" t="s">
        <v>6828</v>
      </c>
      <c r="I727" s="23" t="s">
        <v>1116</v>
      </c>
      <c r="J727" s="24" t="s">
        <v>6829</v>
      </c>
      <c r="K727" s="24" t="s">
        <v>6830</v>
      </c>
      <c r="L727" s="24" t="s">
        <v>6831</v>
      </c>
      <c r="M727" s="24" t="s">
        <v>6832</v>
      </c>
      <c r="N727" s="24" t="s">
        <v>6833</v>
      </c>
      <c r="O727" s="24" t="s">
        <v>6834</v>
      </c>
      <c r="P727" s="25" t="s">
        <v>6835</v>
      </c>
      <c r="Q727" s="28" t="str">
        <f aca="false">"["&amp;안내!$C$5&amp;" "&amp;C727&amp;"] "&amp;J727&amp;" | "&amp;H727</f>
        <v>[1분 성경 #0726] 그리스도의 마음 | 빌 2:1-30</v>
      </c>
      <c r="R727" s="29" t="n">
        <f aca="false">INT((A727-1)/안내!$C$9)+1</f>
        <v>146</v>
      </c>
      <c r="S727" s="26" t="n">
        <f aca="false">안내!$C$10+(R727-1)*7+MOD(A727-1,안내!$C$9)</f>
        <v>47406</v>
      </c>
      <c r="T727" s="23" t="s">
        <v>99</v>
      </c>
      <c r="U727" s="23" t="s">
        <v>99</v>
      </c>
      <c r="V727" s="23" t="s">
        <v>99</v>
      </c>
      <c r="W727" s="23" t="s">
        <v>99</v>
      </c>
      <c r="X727" s="28"/>
      <c r="Y727" s="28" t="str">
        <f aca="false">"다음 편: "&amp;J728</f>
        <v>다음 편: 푯대를 향하여</v>
      </c>
    </row>
    <row r="728" customFormat="false" ht="39.55" hidden="false" customHeight="false" outlineLevel="0" collapsed="false">
      <c r="A728" s="29" t="n">
        <v>727</v>
      </c>
      <c r="B728" s="29" t="s">
        <v>6836</v>
      </c>
      <c r="C728" s="29" t="s">
        <v>6837</v>
      </c>
      <c r="D728" s="29" t="s">
        <v>6763</v>
      </c>
      <c r="E728" s="24" t="s">
        <v>6764</v>
      </c>
      <c r="F728" s="23" t="s">
        <v>4950</v>
      </c>
      <c r="G728" s="23" t="s">
        <v>6819</v>
      </c>
      <c r="H728" s="24" t="s">
        <v>6838</v>
      </c>
      <c r="I728" s="23" t="s">
        <v>1116</v>
      </c>
      <c r="J728" s="24" t="s">
        <v>6839</v>
      </c>
      <c r="K728" s="24" t="s">
        <v>6840</v>
      </c>
      <c r="L728" s="24" t="s">
        <v>6841</v>
      </c>
      <c r="M728" s="24" t="s">
        <v>6842</v>
      </c>
      <c r="N728" s="24" t="s">
        <v>6466</v>
      </c>
      <c r="O728" s="24" t="s">
        <v>6843</v>
      </c>
      <c r="P728" s="28"/>
      <c r="Q728" s="28" t="str">
        <f aca="false">"["&amp;안내!$C$5&amp;" "&amp;C728&amp;"] "&amp;J728&amp;" | "&amp;H728</f>
        <v>[1분 성경 #0727] 푯대를 향하여 | 빌 3:1-21</v>
      </c>
      <c r="R728" s="29" t="n">
        <f aca="false">INT((A728-1)/안내!$C$9)+1</f>
        <v>146</v>
      </c>
      <c r="S728" s="26" t="n">
        <f aca="false">안내!$C$10+(R728-1)*7+MOD(A728-1,안내!$C$9)</f>
        <v>47407</v>
      </c>
      <c r="T728" s="23" t="s">
        <v>99</v>
      </c>
      <c r="U728" s="23" t="s">
        <v>99</v>
      </c>
      <c r="V728" s="23" t="s">
        <v>99</v>
      </c>
      <c r="W728" s="23" t="s">
        <v>99</v>
      </c>
      <c r="X728" s="28"/>
      <c r="Y728" s="28" t="str">
        <f aca="false">"다음 편: "&amp;J729</f>
        <v>다음 편: 모든 것을 할 수 있다</v>
      </c>
    </row>
    <row r="729" customFormat="false" ht="26.85" hidden="false" customHeight="false" outlineLevel="0" collapsed="false">
      <c r="A729" s="29" t="n">
        <v>728</v>
      </c>
      <c r="B729" s="29" t="s">
        <v>6844</v>
      </c>
      <c r="C729" s="29" t="s">
        <v>6845</v>
      </c>
      <c r="D729" s="29" t="s">
        <v>6763</v>
      </c>
      <c r="E729" s="24" t="s">
        <v>6764</v>
      </c>
      <c r="F729" s="23" t="s">
        <v>4950</v>
      </c>
      <c r="G729" s="23" t="s">
        <v>6819</v>
      </c>
      <c r="H729" s="24" t="s">
        <v>6846</v>
      </c>
      <c r="I729" s="23" t="s">
        <v>1116</v>
      </c>
      <c r="J729" s="24" t="s">
        <v>6847</v>
      </c>
      <c r="K729" s="24" t="s">
        <v>6848</v>
      </c>
      <c r="L729" s="24" t="s">
        <v>6849</v>
      </c>
      <c r="M729" s="24" t="s">
        <v>6850</v>
      </c>
      <c r="N729" s="24" t="s">
        <v>6466</v>
      </c>
      <c r="O729" s="24" t="s">
        <v>6851</v>
      </c>
      <c r="P729" s="27" t="s">
        <v>6852</v>
      </c>
      <c r="Q729" s="28" t="str">
        <f aca="false">"["&amp;안내!$C$5&amp;" "&amp;C729&amp;"] "&amp;J729&amp;" | "&amp;H729</f>
        <v>[1분 성경 #0728] 모든 것을 할 수 있다 | 빌 4:1-23</v>
      </c>
      <c r="R729" s="29" t="n">
        <f aca="false">INT((A729-1)/안내!$C$9)+1</f>
        <v>146</v>
      </c>
      <c r="S729" s="26" t="n">
        <f aca="false">안내!$C$10+(R729-1)*7+MOD(A729-1,안내!$C$9)</f>
        <v>47408</v>
      </c>
      <c r="T729" s="23" t="s">
        <v>99</v>
      </c>
      <c r="U729" s="23" t="s">
        <v>99</v>
      </c>
      <c r="V729" s="23" t="s">
        <v>99</v>
      </c>
      <c r="W729" s="23" t="s">
        <v>99</v>
      </c>
      <c r="X729" s="28"/>
      <c r="Y729" s="28" t="str">
        <f aca="false">"다음 편: "&amp;J730</f>
        <v>다음 편: 만물보다 먼저</v>
      </c>
    </row>
    <row r="730" customFormat="false" ht="26.85" hidden="false" customHeight="false" outlineLevel="0" collapsed="false">
      <c r="A730" s="29" t="n">
        <v>729</v>
      </c>
      <c r="B730" s="29" t="s">
        <v>6853</v>
      </c>
      <c r="C730" s="29" t="s">
        <v>6854</v>
      </c>
      <c r="D730" s="29" t="s">
        <v>6855</v>
      </c>
      <c r="E730" s="24" t="s">
        <v>6856</v>
      </c>
      <c r="F730" s="23" t="s">
        <v>4950</v>
      </c>
      <c r="G730" s="23" t="s">
        <v>6857</v>
      </c>
      <c r="H730" s="24" t="s">
        <v>6858</v>
      </c>
      <c r="I730" s="23" t="s">
        <v>1116</v>
      </c>
      <c r="J730" s="24" t="s">
        <v>6859</v>
      </c>
      <c r="K730" s="24" t="s">
        <v>6860</v>
      </c>
      <c r="L730" s="24" t="s">
        <v>6861</v>
      </c>
      <c r="M730" s="24" t="s">
        <v>6862</v>
      </c>
      <c r="N730" s="24" t="s">
        <v>6466</v>
      </c>
      <c r="O730" s="24" t="s">
        <v>6863</v>
      </c>
      <c r="P730" s="27" t="s">
        <v>6864</v>
      </c>
      <c r="Q730" s="28" t="str">
        <f aca="false">"["&amp;안내!$C$5&amp;" "&amp;C730&amp;"] "&amp;J730&amp;" | "&amp;H730</f>
        <v>[1분 성경 #0729] 만물보다 먼저 | 골 1:1-29</v>
      </c>
      <c r="R730" s="29" t="n">
        <f aca="false">INT((A730-1)/안내!$C$9)+1</f>
        <v>146</v>
      </c>
      <c r="S730" s="26" t="n">
        <f aca="false">안내!$C$10+(R730-1)*7+MOD(A730-1,안내!$C$9)</f>
        <v>47409</v>
      </c>
      <c r="T730" s="23" t="s">
        <v>99</v>
      </c>
      <c r="U730" s="23" t="s">
        <v>99</v>
      </c>
      <c r="V730" s="23" t="s">
        <v>99</v>
      </c>
      <c r="W730" s="23" t="s">
        <v>99</v>
      </c>
      <c r="X730" s="28"/>
      <c r="Y730" s="28" t="str">
        <f aca="false">"다음 편: "&amp;J731</f>
        <v>다음 편: 헛된 속임수를 조심하라</v>
      </c>
    </row>
    <row r="731" customFormat="false" ht="26.85" hidden="false" customHeight="false" outlineLevel="0" collapsed="false">
      <c r="A731" s="29" t="n">
        <v>730</v>
      </c>
      <c r="B731" s="29" t="s">
        <v>6865</v>
      </c>
      <c r="C731" s="29" t="s">
        <v>6866</v>
      </c>
      <c r="D731" s="29" t="s">
        <v>6855</v>
      </c>
      <c r="E731" s="24" t="s">
        <v>6856</v>
      </c>
      <c r="F731" s="23" t="s">
        <v>4950</v>
      </c>
      <c r="G731" s="23" t="s">
        <v>6857</v>
      </c>
      <c r="H731" s="24" t="s">
        <v>6867</v>
      </c>
      <c r="I731" s="23" t="s">
        <v>1116</v>
      </c>
      <c r="J731" s="24" t="s">
        <v>6868</v>
      </c>
      <c r="K731" s="24" t="s">
        <v>6869</v>
      </c>
      <c r="L731" s="24" t="s">
        <v>6870</v>
      </c>
      <c r="M731" s="24" t="s">
        <v>6871</v>
      </c>
      <c r="N731" s="24" t="s">
        <v>6466</v>
      </c>
      <c r="O731" s="24" t="s">
        <v>6872</v>
      </c>
      <c r="P731" s="25" t="s">
        <v>6873</v>
      </c>
      <c r="Q731" s="28" t="str">
        <f aca="false">"["&amp;안내!$C$5&amp;" "&amp;C731&amp;"] "&amp;J731&amp;" | "&amp;H731</f>
        <v>[1분 성경 #0730] 헛된 속임수를 조심하라 | 골 2:1-23</v>
      </c>
      <c r="R731" s="29" t="n">
        <f aca="false">INT((A731-1)/안내!$C$9)+1</f>
        <v>146</v>
      </c>
      <c r="S731" s="26" t="n">
        <f aca="false">안내!$C$10+(R731-1)*7+MOD(A731-1,안내!$C$9)</f>
        <v>47410</v>
      </c>
      <c r="T731" s="23" t="s">
        <v>99</v>
      </c>
      <c r="U731" s="23" t="s">
        <v>99</v>
      </c>
      <c r="V731" s="23" t="s">
        <v>99</v>
      </c>
      <c r="W731" s="23" t="s">
        <v>99</v>
      </c>
      <c r="X731" s="28"/>
      <c r="Y731" s="28" t="str">
        <f aca="false">"다음 편: "&amp;J732</f>
        <v>다음 편: 위의 것을 찾으라</v>
      </c>
    </row>
    <row r="732" customFormat="false" ht="26.85" hidden="false" customHeight="false" outlineLevel="0" collapsed="false">
      <c r="A732" s="29" t="n">
        <v>731</v>
      </c>
      <c r="B732" s="29" t="s">
        <v>6874</v>
      </c>
      <c r="C732" s="29" t="s">
        <v>6875</v>
      </c>
      <c r="D732" s="29" t="s">
        <v>6855</v>
      </c>
      <c r="E732" s="24" t="s">
        <v>6856</v>
      </c>
      <c r="F732" s="23" t="s">
        <v>4950</v>
      </c>
      <c r="G732" s="23" t="s">
        <v>6857</v>
      </c>
      <c r="H732" s="24" t="s">
        <v>6876</v>
      </c>
      <c r="I732" s="23" t="s">
        <v>1116</v>
      </c>
      <c r="J732" s="24" t="s">
        <v>6877</v>
      </c>
      <c r="K732" s="24" t="s">
        <v>6878</v>
      </c>
      <c r="L732" s="24" t="s">
        <v>6879</v>
      </c>
      <c r="M732" s="24" t="s">
        <v>6880</v>
      </c>
      <c r="N732" s="24" t="s">
        <v>6466</v>
      </c>
      <c r="O732" s="24" t="s">
        <v>6881</v>
      </c>
      <c r="P732" s="28"/>
      <c r="Q732" s="28" t="str">
        <f aca="false">"["&amp;안내!$C$5&amp;" "&amp;C732&amp;"] "&amp;J732&amp;" | "&amp;H732</f>
        <v>[1분 성경 #0731] 위의 것을 찾으라 | 골 3:1-17</v>
      </c>
      <c r="R732" s="29" t="n">
        <f aca="false">INT((A732-1)/안내!$C$9)+1</f>
        <v>147</v>
      </c>
      <c r="S732" s="26" t="n">
        <f aca="false">안내!$C$10+(R732-1)*7+MOD(A732-1,안내!$C$9)</f>
        <v>47413</v>
      </c>
      <c r="T732" s="23" t="s">
        <v>99</v>
      </c>
      <c r="U732" s="23" t="s">
        <v>99</v>
      </c>
      <c r="V732" s="23" t="s">
        <v>99</v>
      </c>
      <c r="W732" s="23" t="s">
        <v>99</v>
      </c>
      <c r="X732" s="28"/>
      <c r="Y732" s="28" t="str">
        <f aca="false">"다음 편: "&amp;J733</f>
        <v>다음 편: 주께 하듯 하라</v>
      </c>
    </row>
    <row r="733" customFormat="false" ht="26.85" hidden="false" customHeight="false" outlineLevel="0" collapsed="false">
      <c r="A733" s="29" t="n">
        <v>732</v>
      </c>
      <c r="B733" s="29" t="s">
        <v>6882</v>
      </c>
      <c r="C733" s="29" t="s">
        <v>6883</v>
      </c>
      <c r="D733" s="29" t="s">
        <v>6855</v>
      </c>
      <c r="E733" s="24" t="s">
        <v>6856</v>
      </c>
      <c r="F733" s="23" t="s">
        <v>4950</v>
      </c>
      <c r="G733" s="23" t="s">
        <v>6857</v>
      </c>
      <c r="H733" s="24" t="s">
        <v>6884</v>
      </c>
      <c r="I733" s="23" t="s">
        <v>1116</v>
      </c>
      <c r="J733" s="24" t="s">
        <v>6885</v>
      </c>
      <c r="K733" s="24" t="s">
        <v>6886</v>
      </c>
      <c r="L733" s="24" t="s">
        <v>6887</v>
      </c>
      <c r="M733" s="24" t="s">
        <v>6888</v>
      </c>
      <c r="N733" s="24" t="s">
        <v>6466</v>
      </c>
      <c r="O733" s="24" t="s">
        <v>6805</v>
      </c>
      <c r="P733" s="28"/>
      <c r="Q733" s="28" t="str">
        <f aca="false">"["&amp;안내!$C$5&amp;" "&amp;C733&amp;"] "&amp;J733&amp;" | "&amp;H733</f>
        <v>[1분 성경 #0732] 주께 하듯 하라 | 골 3:18-4:18</v>
      </c>
      <c r="R733" s="29" t="n">
        <f aca="false">INT((A733-1)/안내!$C$9)+1</f>
        <v>147</v>
      </c>
      <c r="S733" s="26" t="n">
        <f aca="false">안내!$C$10+(R733-1)*7+MOD(A733-1,안내!$C$9)</f>
        <v>47414</v>
      </c>
      <c r="T733" s="23" t="s">
        <v>99</v>
      </c>
      <c r="U733" s="23" t="s">
        <v>99</v>
      </c>
      <c r="V733" s="23" t="s">
        <v>99</v>
      </c>
      <c r="W733" s="23" t="s">
        <v>99</v>
      </c>
      <c r="X733" s="28"/>
      <c r="Y733" s="28" t="str">
        <f aca="false">"다음 편: "&amp;J734</f>
        <v>다음 편: 본이 된 교회</v>
      </c>
    </row>
    <row r="734" customFormat="false" ht="26.85" hidden="false" customHeight="false" outlineLevel="0" collapsed="false">
      <c r="A734" s="29" t="n">
        <v>733</v>
      </c>
      <c r="B734" s="29" t="s">
        <v>6889</v>
      </c>
      <c r="C734" s="29" t="s">
        <v>6890</v>
      </c>
      <c r="D734" s="29" t="s">
        <v>6855</v>
      </c>
      <c r="E734" s="24" t="s">
        <v>6856</v>
      </c>
      <c r="F734" s="23" t="s">
        <v>4950</v>
      </c>
      <c r="G734" s="23" t="s">
        <v>6891</v>
      </c>
      <c r="H734" s="24" t="s">
        <v>6892</v>
      </c>
      <c r="I734" s="23" t="s">
        <v>1116</v>
      </c>
      <c r="J734" s="24" t="s">
        <v>6893</v>
      </c>
      <c r="K734" s="24" t="s">
        <v>6894</v>
      </c>
      <c r="L734" s="24" t="s">
        <v>6895</v>
      </c>
      <c r="M734" s="24" t="s">
        <v>6896</v>
      </c>
      <c r="N734" s="24" t="s">
        <v>6897</v>
      </c>
      <c r="O734" s="24" t="s">
        <v>6898</v>
      </c>
      <c r="P734" s="28"/>
      <c r="Q734" s="28" t="str">
        <f aca="false">"["&amp;안내!$C$5&amp;" "&amp;C734&amp;"] "&amp;J734&amp;" | "&amp;H734</f>
        <v>[1분 성경 #0733] 본이 된 교회 | 살전 1:1-3:13</v>
      </c>
      <c r="R734" s="29" t="n">
        <f aca="false">INT((A734-1)/안내!$C$9)+1</f>
        <v>147</v>
      </c>
      <c r="S734" s="26" t="n">
        <f aca="false">안내!$C$10+(R734-1)*7+MOD(A734-1,안내!$C$9)</f>
        <v>47415</v>
      </c>
      <c r="T734" s="23" t="s">
        <v>99</v>
      </c>
      <c r="U734" s="23" t="s">
        <v>99</v>
      </c>
      <c r="V734" s="23" t="s">
        <v>99</v>
      </c>
      <c r="W734" s="23" t="s">
        <v>99</v>
      </c>
      <c r="X734" s="28"/>
      <c r="Y734" s="28" t="str">
        <f aca="false">"다음 편: "&amp;J735</f>
        <v>다음 편: 주께서 강림하실 때</v>
      </c>
    </row>
    <row r="735" customFormat="false" ht="26.85" hidden="false" customHeight="false" outlineLevel="0" collapsed="false">
      <c r="A735" s="29" t="n">
        <v>734</v>
      </c>
      <c r="B735" s="29" t="s">
        <v>6899</v>
      </c>
      <c r="C735" s="29" t="s">
        <v>6900</v>
      </c>
      <c r="D735" s="29" t="s">
        <v>6855</v>
      </c>
      <c r="E735" s="24" t="s">
        <v>6856</v>
      </c>
      <c r="F735" s="23" t="s">
        <v>4950</v>
      </c>
      <c r="G735" s="23" t="s">
        <v>6891</v>
      </c>
      <c r="H735" s="24" t="s">
        <v>6901</v>
      </c>
      <c r="I735" s="23" t="s">
        <v>1116</v>
      </c>
      <c r="J735" s="24" t="s">
        <v>6902</v>
      </c>
      <c r="K735" s="24" t="s">
        <v>6903</v>
      </c>
      <c r="L735" s="24" t="s">
        <v>6904</v>
      </c>
      <c r="M735" s="24" t="s">
        <v>6905</v>
      </c>
      <c r="N735" s="24" t="s">
        <v>6466</v>
      </c>
      <c r="O735" s="24" t="s">
        <v>6906</v>
      </c>
      <c r="P735" s="25" t="s">
        <v>6907</v>
      </c>
      <c r="Q735" s="28" t="str">
        <f aca="false">"["&amp;안내!$C$5&amp;" "&amp;C735&amp;"] "&amp;J735&amp;" | "&amp;H735</f>
        <v>[1분 성경 #0734] 주께서 강림하실 때 | 살전 4:1-5:11</v>
      </c>
      <c r="R735" s="29" t="n">
        <f aca="false">INT((A735-1)/안내!$C$9)+1</f>
        <v>147</v>
      </c>
      <c r="S735" s="26" t="n">
        <f aca="false">안내!$C$10+(R735-1)*7+MOD(A735-1,안내!$C$9)</f>
        <v>47416</v>
      </c>
      <c r="T735" s="23" t="s">
        <v>99</v>
      </c>
      <c r="U735" s="23" t="s">
        <v>99</v>
      </c>
      <c r="V735" s="23" t="s">
        <v>99</v>
      </c>
      <c r="W735" s="23" t="s">
        <v>99</v>
      </c>
      <c r="X735" s="28"/>
      <c r="Y735" s="28" t="str">
        <f aca="false">"다음 편: "&amp;J736</f>
        <v>다음 편: 항상 기뻐하라</v>
      </c>
    </row>
    <row r="736" customFormat="false" ht="26.85" hidden="false" customHeight="false" outlineLevel="0" collapsed="false">
      <c r="A736" s="29" t="n">
        <v>735</v>
      </c>
      <c r="B736" s="29" t="s">
        <v>6908</v>
      </c>
      <c r="C736" s="29" t="s">
        <v>6909</v>
      </c>
      <c r="D736" s="29" t="s">
        <v>6855</v>
      </c>
      <c r="E736" s="24" t="s">
        <v>6856</v>
      </c>
      <c r="F736" s="23" t="s">
        <v>4950</v>
      </c>
      <c r="G736" s="23" t="s">
        <v>6891</v>
      </c>
      <c r="H736" s="24" t="s">
        <v>6910</v>
      </c>
      <c r="I736" s="23" t="s">
        <v>1116</v>
      </c>
      <c r="J736" s="24" t="s">
        <v>6911</v>
      </c>
      <c r="K736" s="24" t="s">
        <v>6912</v>
      </c>
      <c r="L736" s="24" t="s">
        <v>6913</v>
      </c>
      <c r="M736" s="24" t="s">
        <v>6914</v>
      </c>
      <c r="N736" s="24" t="s">
        <v>6466</v>
      </c>
      <c r="O736" s="24" t="s">
        <v>6915</v>
      </c>
      <c r="P736" s="28"/>
      <c r="Q736" s="28" t="str">
        <f aca="false">"["&amp;안내!$C$5&amp;" "&amp;C736&amp;"] "&amp;J736&amp;" | "&amp;H736</f>
        <v>[1분 성경 #0735] 항상 기뻐하라 | 살전 5:12-28</v>
      </c>
      <c r="R736" s="29" t="n">
        <f aca="false">INT((A736-1)/안내!$C$9)+1</f>
        <v>147</v>
      </c>
      <c r="S736" s="26" t="n">
        <f aca="false">안내!$C$10+(R736-1)*7+MOD(A736-1,안내!$C$9)</f>
        <v>47417</v>
      </c>
      <c r="T736" s="23" t="s">
        <v>99</v>
      </c>
      <c r="U736" s="23" t="s">
        <v>99</v>
      </c>
      <c r="V736" s="23" t="s">
        <v>99</v>
      </c>
      <c r="W736" s="23" t="s">
        <v>99</v>
      </c>
      <c r="X736" s="28"/>
      <c r="Y736" s="28" t="str">
        <f aca="false">"다음 편: "&amp;J737</f>
        <v>다음 편: 미혹되지 말라</v>
      </c>
    </row>
    <row r="737" customFormat="false" ht="26.85" hidden="false" customHeight="false" outlineLevel="0" collapsed="false">
      <c r="A737" s="29" t="n">
        <v>736</v>
      </c>
      <c r="B737" s="29" t="s">
        <v>6916</v>
      </c>
      <c r="C737" s="29" t="s">
        <v>6917</v>
      </c>
      <c r="D737" s="29" t="s">
        <v>6855</v>
      </c>
      <c r="E737" s="24" t="s">
        <v>6856</v>
      </c>
      <c r="F737" s="23" t="s">
        <v>4950</v>
      </c>
      <c r="G737" s="23" t="s">
        <v>6918</v>
      </c>
      <c r="H737" s="24" t="s">
        <v>6919</v>
      </c>
      <c r="I737" s="23" t="s">
        <v>1116</v>
      </c>
      <c r="J737" s="24" t="s">
        <v>6920</v>
      </c>
      <c r="K737" s="24" t="s">
        <v>6921</v>
      </c>
      <c r="L737" s="24" t="s">
        <v>6922</v>
      </c>
      <c r="M737" s="24" t="s">
        <v>6923</v>
      </c>
      <c r="N737" s="24" t="s">
        <v>6466</v>
      </c>
      <c r="O737" s="24" t="s">
        <v>6924</v>
      </c>
      <c r="P737" s="25" t="s">
        <v>6925</v>
      </c>
      <c r="Q737" s="28" t="str">
        <f aca="false">"["&amp;안내!$C$5&amp;" "&amp;C737&amp;"] "&amp;J737&amp;" | "&amp;H737</f>
        <v>[1분 성경 #0736] 미혹되지 말라 | 살후 1:1-2:17</v>
      </c>
      <c r="R737" s="29" t="n">
        <f aca="false">INT((A737-1)/안내!$C$9)+1</f>
        <v>148</v>
      </c>
      <c r="S737" s="26" t="n">
        <f aca="false">안내!$C$10+(R737-1)*7+MOD(A737-1,안내!$C$9)</f>
        <v>47420</v>
      </c>
      <c r="T737" s="23" t="s">
        <v>99</v>
      </c>
      <c r="U737" s="23" t="s">
        <v>99</v>
      </c>
      <c r="V737" s="23" t="s">
        <v>99</v>
      </c>
      <c r="W737" s="23" t="s">
        <v>99</v>
      </c>
      <c r="X737" s="28"/>
      <c r="Y737" s="28" t="str">
        <f aca="false">"다음 편: "&amp;J738</f>
        <v>다음 편: 일하기 싫어하거든</v>
      </c>
    </row>
    <row r="738" customFormat="false" ht="26.85" hidden="false" customHeight="false" outlineLevel="0" collapsed="false">
      <c r="A738" s="29" t="n">
        <v>737</v>
      </c>
      <c r="B738" s="29" t="s">
        <v>6926</v>
      </c>
      <c r="C738" s="29" t="s">
        <v>6927</v>
      </c>
      <c r="D738" s="29" t="s">
        <v>6855</v>
      </c>
      <c r="E738" s="24" t="s">
        <v>6856</v>
      </c>
      <c r="F738" s="23" t="s">
        <v>4950</v>
      </c>
      <c r="G738" s="23" t="s">
        <v>6918</v>
      </c>
      <c r="H738" s="24" t="s">
        <v>6928</v>
      </c>
      <c r="I738" s="23" t="s">
        <v>1116</v>
      </c>
      <c r="J738" s="24" t="s">
        <v>6929</v>
      </c>
      <c r="K738" s="24" t="s">
        <v>6930</v>
      </c>
      <c r="L738" s="24" t="s">
        <v>6931</v>
      </c>
      <c r="M738" s="24" t="s">
        <v>6932</v>
      </c>
      <c r="N738" s="24" t="s">
        <v>6466</v>
      </c>
      <c r="O738" s="24" t="s">
        <v>6933</v>
      </c>
      <c r="P738" s="28"/>
      <c r="Q738" s="28" t="str">
        <f aca="false">"["&amp;안내!$C$5&amp;" "&amp;C738&amp;"] "&amp;J738&amp;" | "&amp;H738</f>
        <v>[1분 성경 #0737] 일하기 싫어하거든 | 살후 3:1-18</v>
      </c>
      <c r="R738" s="29" t="n">
        <f aca="false">INT((A738-1)/안내!$C$9)+1</f>
        <v>148</v>
      </c>
      <c r="S738" s="26" t="n">
        <f aca="false">안내!$C$10+(R738-1)*7+MOD(A738-1,안내!$C$9)</f>
        <v>47421</v>
      </c>
      <c r="T738" s="23" t="s">
        <v>99</v>
      </c>
      <c r="U738" s="23" t="s">
        <v>99</v>
      </c>
      <c r="V738" s="23" t="s">
        <v>99</v>
      </c>
      <c r="W738" s="23" t="s">
        <v>99</v>
      </c>
      <c r="X738" s="28"/>
      <c r="Y738" s="28" t="str">
        <f aca="false">"다음 편: "&amp;J739</f>
        <v>다음 편: 죄인 중에 내가 괴수니라</v>
      </c>
    </row>
    <row r="739" customFormat="false" ht="26.85" hidden="false" customHeight="false" outlineLevel="0" collapsed="false">
      <c r="A739" s="29" t="n">
        <v>738</v>
      </c>
      <c r="B739" s="29" t="s">
        <v>6934</v>
      </c>
      <c r="C739" s="29" t="s">
        <v>6935</v>
      </c>
      <c r="D739" s="29" t="s">
        <v>6936</v>
      </c>
      <c r="E739" s="24" t="s">
        <v>6937</v>
      </c>
      <c r="F739" s="23" t="s">
        <v>4950</v>
      </c>
      <c r="G739" s="23" t="s">
        <v>6938</v>
      </c>
      <c r="H739" s="24" t="s">
        <v>6939</v>
      </c>
      <c r="I739" s="23" t="s">
        <v>1116</v>
      </c>
      <c r="J739" s="24" t="s">
        <v>6940</v>
      </c>
      <c r="K739" s="24" t="s">
        <v>6941</v>
      </c>
      <c r="L739" s="24" t="s">
        <v>6942</v>
      </c>
      <c r="M739" s="24" t="s">
        <v>6943</v>
      </c>
      <c r="N739" s="24" t="s">
        <v>6944</v>
      </c>
      <c r="O739" s="24" t="s">
        <v>6945</v>
      </c>
      <c r="P739" s="28"/>
      <c r="Q739" s="28" t="str">
        <f aca="false">"["&amp;안내!$C$5&amp;" "&amp;C739&amp;"] "&amp;J739&amp;" | "&amp;H739</f>
        <v>[1분 성경 #0738] 죄인 중에 내가 괴수니라 | 딤전 1:1-20</v>
      </c>
      <c r="R739" s="29" t="n">
        <f aca="false">INT((A739-1)/안내!$C$9)+1</f>
        <v>148</v>
      </c>
      <c r="S739" s="26" t="n">
        <f aca="false">안내!$C$10+(R739-1)*7+MOD(A739-1,안내!$C$9)</f>
        <v>47422</v>
      </c>
      <c r="T739" s="23" t="s">
        <v>99</v>
      </c>
      <c r="U739" s="23" t="s">
        <v>99</v>
      </c>
      <c r="V739" s="23" t="s">
        <v>99</v>
      </c>
      <c r="W739" s="23" t="s">
        <v>99</v>
      </c>
      <c r="X739" s="28"/>
      <c r="Y739" s="28" t="str">
        <f aca="false">"다음 편: "&amp;J740</f>
        <v>다음 편: 유일한 중보자</v>
      </c>
    </row>
    <row r="740" customFormat="false" ht="39.55" hidden="false" customHeight="false" outlineLevel="0" collapsed="false">
      <c r="A740" s="29" t="n">
        <v>739</v>
      </c>
      <c r="B740" s="29" t="s">
        <v>6946</v>
      </c>
      <c r="C740" s="29" t="s">
        <v>6947</v>
      </c>
      <c r="D740" s="29" t="s">
        <v>6936</v>
      </c>
      <c r="E740" s="24" t="s">
        <v>6937</v>
      </c>
      <c r="F740" s="23" t="s">
        <v>4950</v>
      </c>
      <c r="G740" s="23" t="s">
        <v>6938</v>
      </c>
      <c r="H740" s="24" t="s">
        <v>6948</v>
      </c>
      <c r="I740" s="23" t="s">
        <v>1116</v>
      </c>
      <c r="J740" s="24" t="s">
        <v>6949</v>
      </c>
      <c r="K740" s="24" t="s">
        <v>6950</v>
      </c>
      <c r="L740" s="24" t="s">
        <v>6951</v>
      </c>
      <c r="M740" s="24" t="s">
        <v>6952</v>
      </c>
      <c r="N740" s="24" t="s">
        <v>6466</v>
      </c>
      <c r="O740" s="24" t="s">
        <v>6953</v>
      </c>
      <c r="P740" s="25" t="s">
        <v>6954</v>
      </c>
      <c r="Q740" s="28" t="str">
        <f aca="false">"["&amp;안내!$C$5&amp;" "&amp;C740&amp;"] "&amp;J740&amp;" | "&amp;H740</f>
        <v>[1분 성경 #0739] 유일한 중보자 | 딤전 2:1-3:16</v>
      </c>
      <c r="R740" s="29" t="n">
        <f aca="false">INT((A740-1)/안내!$C$9)+1</f>
        <v>148</v>
      </c>
      <c r="S740" s="26" t="n">
        <f aca="false">안내!$C$10+(R740-1)*7+MOD(A740-1,안내!$C$9)</f>
        <v>47423</v>
      </c>
      <c r="T740" s="23" t="s">
        <v>99</v>
      </c>
      <c r="U740" s="23" t="s">
        <v>99</v>
      </c>
      <c r="V740" s="23" t="s">
        <v>99</v>
      </c>
      <c r="W740" s="23" t="s">
        <v>99</v>
      </c>
      <c r="X740" s="28"/>
      <c r="Y740" s="28" t="str">
        <f aca="false">"다음 편: "&amp;J741</f>
        <v>다음 편: 연소함을 업신여기지 못하게</v>
      </c>
    </row>
    <row r="741" customFormat="false" ht="26.85" hidden="false" customHeight="false" outlineLevel="0" collapsed="false">
      <c r="A741" s="29" t="n">
        <v>740</v>
      </c>
      <c r="B741" s="29" t="s">
        <v>6955</v>
      </c>
      <c r="C741" s="29" t="s">
        <v>6956</v>
      </c>
      <c r="D741" s="29" t="s">
        <v>6936</v>
      </c>
      <c r="E741" s="24" t="s">
        <v>6937</v>
      </c>
      <c r="F741" s="23" t="s">
        <v>4950</v>
      </c>
      <c r="G741" s="23" t="s">
        <v>6938</v>
      </c>
      <c r="H741" s="24" t="s">
        <v>6957</v>
      </c>
      <c r="I741" s="23" t="s">
        <v>1116</v>
      </c>
      <c r="J741" s="24" t="s">
        <v>6958</v>
      </c>
      <c r="K741" s="24" t="s">
        <v>6959</v>
      </c>
      <c r="L741" s="24" t="s">
        <v>6960</v>
      </c>
      <c r="M741" s="24" t="s">
        <v>6961</v>
      </c>
      <c r="N741" s="24" t="s">
        <v>6944</v>
      </c>
      <c r="O741" s="24" t="s">
        <v>6962</v>
      </c>
      <c r="P741" s="25" t="s">
        <v>6963</v>
      </c>
      <c r="Q741" s="28" t="str">
        <f aca="false">"["&amp;안내!$C$5&amp;" "&amp;C741&amp;"] "&amp;J741&amp;" | "&amp;H741</f>
        <v>[1분 성경 #0740] 연소함을 업신여기지 못하게 | 딤전 4:1-16</v>
      </c>
      <c r="R741" s="29" t="n">
        <f aca="false">INT((A741-1)/안내!$C$9)+1</f>
        <v>148</v>
      </c>
      <c r="S741" s="26" t="n">
        <f aca="false">안내!$C$10+(R741-1)*7+MOD(A741-1,안내!$C$9)</f>
        <v>47424</v>
      </c>
      <c r="T741" s="23" t="s">
        <v>99</v>
      </c>
      <c r="U741" s="23" t="s">
        <v>99</v>
      </c>
      <c r="V741" s="23" t="s">
        <v>99</v>
      </c>
      <c r="W741" s="23" t="s">
        <v>99</v>
      </c>
      <c r="X741" s="28"/>
      <c r="Y741" s="28" t="str">
        <f aca="false">"다음 편: "&amp;J742</f>
        <v>다음 편: 자족하는 마음</v>
      </c>
    </row>
    <row r="742" customFormat="false" ht="26.85" hidden="false" customHeight="false" outlineLevel="0" collapsed="false">
      <c r="A742" s="29" t="n">
        <v>741</v>
      </c>
      <c r="B742" s="29" t="s">
        <v>6964</v>
      </c>
      <c r="C742" s="29" t="s">
        <v>6965</v>
      </c>
      <c r="D742" s="29" t="s">
        <v>6936</v>
      </c>
      <c r="E742" s="24" t="s">
        <v>6937</v>
      </c>
      <c r="F742" s="23" t="s">
        <v>4950</v>
      </c>
      <c r="G742" s="23" t="s">
        <v>6938</v>
      </c>
      <c r="H742" s="24" t="s">
        <v>6966</v>
      </c>
      <c r="I742" s="23" t="s">
        <v>1116</v>
      </c>
      <c r="J742" s="24" t="s">
        <v>6967</v>
      </c>
      <c r="K742" s="24" t="s">
        <v>6968</v>
      </c>
      <c r="L742" s="24" t="s">
        <v>6969</v>
      </c>
      <c r="M742" s="24" t="s">
        <v>6970</v>
      </c>
      <c r="N742" s="24" t="s">
        <v>6944</v>
      </c>
      <c r="O742" s="24" t="s">
        <v>6971</v>
      </c>
      <c r="P742" s="25" t="s">
        <v>6972</v>
      </c>
      <c r="Q742" s="28" t="str">
        <f aca="false">"["&amp;안내!$C$5&amp;" "&amp;C742&amp;"] "&amp;J742&amp;" | "&amp;H742</f>
        <v>[1분 성경 #0741] 자족하는 마음 | 딤전 5:1-6:21</v>
      </c>
      <c r="R742" s="29" t="n">
        <f aca="false">INT((A742-1)/안내!$C$9)+1</f>
        <v>149</v>
      </c>
      <c r="S742" s="26" t="n">
        <f aca="false">안내!$C$10+(R742-1)*7+MOD(A742-1,안내!$C$9)</f>
        <v>47427</v>
      </c>
      <c r="T742" s="23" t="s">
        <v>99</v>
      </c>
      <c r="U742" s="23" t="s">
        <v>99</v>
      </c>
      <c r="V742" s="23" t="s">
        <v>99</v>
      </c>
      <c r="W742" s="23" t="s">
        <v>99</v>
      </c>
      <c r="X742" s="28"/>
      <c r="Y742" s="28" t="str">
        <f aca="false">"다음 편: "&amp;J743</f>
        <v>다음 편: 두려워하는 마음이 아니요</v>
      </c>
    </row>
    <row r="743" customFormat="false" ht="39.55" hidden="false" customHeight="false" outlineLevel="0" collapsed="false">
      <c r="A743" s="29" t="n">
        <v>742</v>
      </c>
      <c r="B743" s="29" t="s">
        <v>6973</v>
      </c>
      <c r="C743" s="29" t="s">
        <v>6974</v>
      </c>
      <c r="D743" s="29" t="s">
        <v>6936</v>
      </c>
      <c r="E743" s="24" t="s">
        <v>6937</v>
      </c>
      <c r="F743" s="23" t="s">
        <v>4950</v>
      </c>
      <c r="G743" s="23" t="s">
        <v>6975</v>
      </c>
      <c r="H743" s="24" t="s">
        <v>6976</v>
      </c>
      <c r="I743" s="23" t="s">
        <v>1116</v>
      </c>
      <c r="J743" s="24" t="s">
        <v>6977</v>
      </c>
      <c r="K743" s="24" t="s">
        <v>6978</v>
      </c>
      <c r="L743" s="24" t="s">
        <v>6979</v>
      </c>
      <c r="M743" s="24" t="s">
        <v>6980</v>
      </c>
      <c r="N743" s="24" t="s">
        <v>6981</v>
      </c>
      <c r="O743" s="24" t="s">
        <v>6982</v>
      </c>
      <c r="P743" s="28"/>
      <c r="Q743" s="28" t="str">
        <f aca="false">"["&amp;안내!$C$5&amp;" "&amp;C743&amp;"] "&amp;J743&amp;" | "&amp;H743</f>
        <v>[1분 성경 #0742] 두려워하는 마음이 아니요 | 딤후 1:1-18</v>
      </c>
      <c r="R743" s="29" t="n">
        <f aca="false">INT((A743-1)/안내!$C$9)+1</f>
        <v>149</v>
      </c>
      <c r="S743" s="26" t="n">
        <f aca="false">안내!$C$10+(R743-1)*7+MOD(A743-1,안내!$C$9)</f>
        <v>47428</v>
      </c>
      <c r="T743" s="23" t="s">
        <v>99</v>
      </c>
      <c r="U743" s="23" t="s">
        <v>99</v>
      </c>
      <c r="V743" s="23" t="s">
        <v>99</v>
      </c>
      <c r="W743" s="23" t="s">
        <v>99</v>
      </c>
      <c r="X743" s="28"/>
      <c r="Y743" s="28" t="str">
        <f aca="false">"다음 편: "&amp;J744</f>
        <v>다음 편: 진리의 말씀을 옳게 분별하며</v>
      </c>
    </row>
    <row r="744" customFormat="false" ht="26.85" hidden="false" customHeight="false" outlineLevel="0" collapsed="false">
      <c r="A744" s="29" t="n">
        <v>743</v>
      </c>
      <c r="B744" s="29" t="s">
        <v>6983</v>
      </c>
      <c r="C744" s="29" t="s">
        <v>6984</v>
      </c>
      <c r="D744" s="29" t="s">
        <v>6936</v>
      </c>
      <c r="E744" s="24" t="s">
        <v>6937</v>
      </c>
      <c r="F744" s="23" t="s">
        <v>4950</v>
      </c>
      <c r="G744" s="23" t="s">
        <v>6975</v>
      </c>
      <c r="H744" s="24" t="s">
        <v>6985</v>
      </c>
      <c r="I744" s="23" t="s">
        <v>1116</v>
      </c>
      <c r="J744" s="24" t="s">
        <v>6986</v>
      </c>
      <c r="K744" s="24" t="s">
        <v>6987</v>
      </c>
      <c r="L744" s="24" t="s">
        <v>6988</v>
      </c>
      <c r="M744" s="24" t="s">
        <v>6989</v>
      </c>
      <c r="N744" s="24" t="s">
        <v>6944</v>
      </c>
      <c r="O744" s="24" t="s">
        <v>6990</v>
      </c>
      <c r="P744" s="28"/>
      <c r="Q744" s="28" t="str">
        <f aca="false">"["&amp;안내!$C$5&amp;" "&amp;C744&amp;"] "&amp;J744&amp;" | "&amp;H744</f>
        <v>[1분 성경 #0743] 진리의 말씀을 옳게 분별하며 | 딤후 2:1-26</v>
      </c>
      <c r="R744" s="29" t="n">
        <f aca="false">INT((A744-1)/안내!$C$9)+1</f>
        <v>149</v>
      </c>
      <c r="S744" s="26" t="n">
        <f aca="false">안내!$C$10+(R744-1)*7+MOD(A744-1,안내!$C$9)</f>
        <v>47429</v>
      </c>
      <c r="T744" s="23" t="s">
        <v>99</v>
      </c>
      <c r="U744" s="23" t="s">
        <v>99</v>
      </c>
      <c r="V744" s="23" t="s">
        <v>99</v>
      </c>
      <c r="W744" s="23" t="s">
        <v>99</v>
      </c>
      <c r="X744" s="28"/>
      <c r="Y744" s="28" t="str">
        <f aca="false">"다음 편: "&amp;J745</f>
        <v>다음 편: 모든 성경은 하나님의 감동으로</v>
      </c>
    </row>
    <row r="745" customFormat="false" ht="39.55" hidden="false" customHeight="false" outlineLevel="0" collapsed="false">
      <c r="A745" s="29" t="n">
        <v>744</v>
      </c>
      <c r="B745" s="29" t="s">
        <v>6991</v>
      </c>
      <c r="C745" s="29" t="s">
        <v>6992</v>
      </c>
      <c r="D745" s="29" t="s">
        <v>6936</v>
      </c>
      <c r="E745" s="24" t="s">
        <v>6937</v>
      </c>
      <c r="F745" s="23" t="s">
        <v>4950</v>
      </c>
      <c r="G745" s="23" t="s">
        <v>6975</v>
      </c>
      <c r="H745" s="24" t="s">
        <v>6993</v>
      </c>
      <c r="I745" s="23" t="s">
        <v>1116</v>
      </c>
      <c r="J745" s="24" t="s">
        <v>6994</v>
      </c>
      <c r="K745" s="24" t="s">
        <v>6995</v>
      </c>
      <c r="L745" s="24" t="s">
        <v>6996</v>
      </c>
      <c r="M745" s="24" t="s">
        <v>6997</v>
      </c>
      <c r="N745" s="24" t="s">
        <v>6466</v>
      </c>
      <c r="O745" s="24" t="s">
        <v>6998</v>
      </c>
      <c r="P745" s="25" t="s">
        <v>6999</v>
      </c>
      <c r="Q745" s="28" t="str">
        <f aca="false">"["&amp;안내!$C$5&amp;" "&amp;C745&amp;"] "&amp;J745&amp;" | "&amp;H745</f>
        <v>[1분 성경 #0744] 모든 성경은 하나님의 감동으로 | 딤후 3:1-4:22</v>
      </c>
      <c r="R745" s="29" t="n">
        <f aca="false">INT((A745-1)/안내!$C$9)+1</f>
        <v>149</v>
      </c>
      <c r="S745" s="26" t="n">
        <f aca="false">안내!$C$10+(R745-1)*7+MOD(A745-1,안내!$C$9)</f>
        <v>47430</v>
      </c>
      <c r="T745" s="23" t="s">
        <v>99</v>
      </c>
      <c r="U745" s="23" t="s">
        <v>99</v>
      </c>
      <c r="V745" s="23" t="s">
        <v>99</v>
      </c>
      <c r="W745" s="23" t="s">
        <v>99</v>
      </c>
      <c r="X745" s="28"/>
      <c r="Y745" s="28" t="str">
        <f aca="false">"다음 편: "&amp;J746</f>
        <v>다음 편: 바른 교훈을 지키는 사람</v>
      </c>
    </row>
    <row r="746" customFormat="false" ht="26.85" hidden="false" customHeight="false" outlineLevel="0" collapsed="false">
      <c r="A746" s="29" t="n">
        <v>745</v>
      </c>
      <c r="B746" s="29" t="s">
        <v>7000</v>
      </c>
      <c r="C746" s="29" t="s">
        <v>7001</v>
      </c>
      <c r="D746" s="29" t="s">
        <v>6936</v>
      </c>
      <c r="E746" s="24" t="s">
        <v>6937</v>
      </c>
      <c r="F746" s="23" t="s">
        <v>4950</v>
      </c>
      <c r="G746" s="23" t="s">
        <v>7002</v>
      </c>
      <c r="H746" s="24" t="s">
        <v>7003</v>
      </c>
      <c r="I746" s="23" t="s">
        <v>1116</v>
      </c>
      <c r="J746" s="24" t="s">
        <v>7004</v>
      </c>
      <c r="K746" s="24" t="s">
        <v>7005</v>
      </c>
      <c r="L746" s="24" t="s">
        <v>7006</v>
      </c>
      <c r="M746" s="24" t="s">
        <v>7007</v>
      </c>
      <c r="N746" s="24" t="s">
        <v>7008</v>
      </c>
      <c r="O746" s="24" t="s">
        <v>7009</v>
      </c>
      <c r="P746" s="28"/>
      <c r="Q746" s="28" t="str">
        <f aca="false">"["&amp;안내!$C$5&amp;" "&amp;C746&amp;"] "&amp;J746&amp;" | "&amp;H746</f>
        <v>[1분 성경 #0745] 바른 교훈을 지키는 사람 | 딛 1:1-16</v>
      </c>
      <c r="R746" s="29" t="n">
        <f aca="false">INT((A746-1)/안내!$C$9)+1</f>
        <v>149</v>
      </c>
      <c r="S746" s="26" t="n">
        <f aca="false">안내!$C$10+(R746-1)*7+MOD(A746-1,안내!$C$9)</f>
        <v>47431</v>
      </c>
      <c r="T746" s="23" t="s">
        <v>99</v>
      </c>
      <c r="U746" s="23" t="s">
        <v>99</v>
      </c>
      <c r="V746" s="23" t="s">
        <v>99</v>
      </c>
      <c r="W746" s="23" t="s">
        <v>99</v>
      </c>
      <c r="X746" s="28"/>
      <c r="Y746" s="28" t="str">
        <f aca="false">"다음 편: "&amp;J747</f>
        <v>다음 편: 은혜가 나타나</v>
      </c>
    </row>
    <row r="747" customFormat="false" ht="39.55" hidden="false" customHeight="false" outlineLevel="0" collapsed="false">
      <c r="A747" s="29" t="n">
        <v>746</v>
      </c>
      <c r="B747" s="29" t="s">
        <v>7010</v>
      </c>
      <c r="C747" s="29" t="s">
        <v>7011</v>
      </c>
      <c r="D747" s="29" t="s">
        <v>6936</v>
      </c>
      <c r="E747" s="24" t="s">
        <v>6937</v>
      </c>
      <c r="F747" s="23" t="s">
        <v>4950</v>
      </c>
      <c r="G747" s="23" t="s">
        <v>7002</v>
      </c>
      <c r="H747" s="24" t="s">
        <v>7012</v>
      </c>
      <c r="I747" s="23" t="s">
        <v>1116</v>
      </c>
      <c r="J747" s="24" t="s">
        <v>7013</v>
      </c>
      <c r="K747" s="24" t="s">
        <v>7014</v>
      </c>
      <c r="L747" s="24" t="s">
        <v>7015</v>
      </c>
      <c r="M747" s="24" t="s">
        <v>7016</v>
      </c>
      <c r="N747" s="24" t="s">
        <v>7008</v>
      </c>
      <c r="O747" s="24" t="s">
        <v>7017</v>
      </c>
      <c r="P747" s="25" t="s">
        <v>6781</v>
      </c>
      <c r="Q747" s="28" t="str">
        <f aca="false">"["&amp;안내!$C$5&amp;" "&amp;C747&amp;"] "&amp;J747&amp;" | "&amp;H747</f>
        <v>[1분 성경 #0746] 은혜가 나타나 | 딛 2:1-3:15</v>
      </c>
      <c r="R747" s="29" t="n">
        <f aca="false">INT((A747-1)/안내!$C$9)+1</f>
        <v>150</v>
      </c>
      <c r="S747" s="26" t="n">
        <f aca="false">안내!$C$10+(R747-1)*7+MOD(A747-1,안내!$C$9)</f>
        <v>47434</v>
      </c>
      <c r="T747" s="23" t="s">
        <v>99</v>
      </c>
      <c r="U747" s="23" t="s">
        <v>99</v>
      </c>
      <c r="V747" s="23" t="s">
        <v>99</v>
      </c>
      <c r="W747" s="23" t="s">
        <v>99</v>
      </c>
      <c r="X747" s="28"/>
      <c r="Y747" s="28" t="str">
        <f aca="false">"다음 편: "&amp;J748</f>
        <v>다음 편: 도망친 노예 오네시모</v>
      </c>
    </row>
    <row r="748" customFormat="false" ht="26.85" hidden="false" customHeight="false" outlineLevel="0" collapsed="false">
      <c r="A748" s="29" t="n">
        <v>747</v>
      </c>
      <c r="B748" s="29" t="s">
        <v>7018</v>
      </c>
      <c r="C748" s="29" t="s">
        <v>7019</v>
      </c>
      <c r="D748" s="29" t="s">
        <v>6936</v>
      </c>
      <c r="E748" s="24" t="s">
        <v>6937</v>
      </c>
      <c r="F748" s="23" t="s">
        <v>4950</v>
      </c>
      <c r="G748" s="23" t="s">
        <v>7020</v>
      </c>
      <c r="H748" s="24" t="s">
        <v>7021</v>
      </c>
      <c r="I748" s="23" t="s">
        <v>1116</v>
      </c>
      <c r="J748" s="24" t="s">
        <v>7022</v>
      </c>
      <c r="K748" s="24" t="s">
        <v>7023</v>
      </c>
      <c r="L748" s="24" t="s">
        <v>7024</v>
      </c>
      <c r="M748" s="24" t="s">
        <v>7025</v>
      </c>
      <c r="N748" s="24" t="s">
        <v>7026</v>
      </c>
      <c r="O748" s="24" t="s">
        <v>7027</v>
      </c>
      <c r="P748" s="25" t="s">
        <v>7028</v>
      </c>
      <c r="Q748" s="28" t="str">
        <f aca="false">"["&amp;안내!$C$5&amp;" "&amp;C748&amp;"] "&amp;J748&amp;" | "&amp;H748</f>
        <v>[1분 성경 #0747] 도망친 노예 오네시모 | 몬 1:1-25</v>
      </c>
      <c r="R748" s="29" t="n">
        <f aca="false">INT((A748-1)/안내!$C$9)+1</f>
        <v>150</v>
      </c>
      <c r="S748" s="26" t="n">
        <f aca="false">안내!$C$10+(R748-1)*7+MOD(A748-1,안내!$C$9)</f>
        <v>47435</v>
      </c>
      <c r="T748" s="23" t="s">
        <v>99</v>
      </c>
      <c r="U748" s="23" t="s">
        <v>99</v>
      </c>
      <c r="V748" s="23" t="s">
        <v>99</v>
      </c>
      <c r="W748" s="23" t="s">
        <v>99</v>
      </c>
      <c r="X748" s="28"/>
      <c r="Y748" s="28" t="str">
        <f aca="false">"다음 편: "&amp;J749</f>
        <v>다음 편: 천사보다 뛰어나신 아들</v>
      </c>
    </row>
    <row r="749" customFormat="false" ht="26.85" hidden="false" customHeight="false" outlineLevel="0" collapsed="false">
      <c r="A749" s="29" t="n">
        <v>748</v>
      </c>
      <c r="B749" s="29" t="s">
        <v>7029</v>
      </c>
      <c r="C749" s="29" t="s">
        <v>7030</v>
      </c>
      <c r="D749" s="29" t="s">
        <v>7031</v>
      </c>
      <c r="E749" s="24" t="s">
        <v>7032</v>
      </c>
      <c r="F749" s="23" t="s">
        <v>4950</v>
      </c>
      <c r="G749" s="23" t="s">
        <v>7033</v>
      </c>
      <c r="H749" s="24" t="s">
        <v>7034</v>
      </c>
      <c r="I749" s="23" t="s">
        <v>1116</v>
      </c>
      <c r="J749" s="24" t="s">
        <v>7035</v>
      </c>
      <c r="K749" s="24" t="s">
        <v>7036</v>
      </c>
      <c r="L749" s="24" t="s">
        <v>7037</v>
      </c>
      <c r="M749" s="24" t="s">
        <v>7038</v>
      </c>
      <c r="N749" s="24" t="s">
        <v>7039</v>
      </c>
      <c r="O749" s="24" t="s">
        <v>3707</v>
      </c>
      <c r="P749" s="25" t="s">
        <v>7040</v>
      </c>
      <c r="Q749" s="28" t="str">
        <f aca="false">"["&amp;안내!$C$5&amp;" "&amp;C749&amp;"] "&amp;J749&amp;" | "&amp;H749</f>
        <v>[1분 성경 #0748] 천사보다 뛰어나신 아들 | 히 1:1-2:18</v>
      </c>
      <c r="R749" s="29" t="n">
        <f aca="false">INT((A749-1)/안내!$C$9)+1</f>
        <v>150</v>
      </c>
      <c r="S749" s="26" t="n">
        <f aca="false">안내!$C$10+(R749-1)*7+MOD(A749-1,안내!$C$9)</f>
        <v>47436</v>
      </c>
      <c r="T749" s="23" t="s">
        <v>99</v>
      </c>
      <c r="U749" s="23" t="s">
        <v>99</v>
      </c>
      <c r="V749" s="23" t="s">
        <v>99</v>
      </c>
      <c r="W749" s="23" t="s">
        <v>99</v>
      </c>
      <c r="X749" s="28"/>
      <c r="Y749" s="28" t="str">
        <f aca="false">"다음 편: "&amp;J750</f>
        <v>다음 편: 살아 있는 말씀</v>
      </c>
    </row>
    <row r="750" customFormat="false" ht="26.85" hidden="false" customHeight="false" outlineLevel="0" collapsed="false">
      <c r="A750" s="29" t="n">
        <v>749</v>
      </c>
      <c r="B750" s="29" t="s">
        <v>7041</v>
      </c>
      <c r="C750" s="29" t="s">
        <v>7042</v>
      </c>
      <c r="D750" s="29" t="s">
        <v>7031</v>
      </c>
      <c r="E750" s="24" t="s">
        <v>7032</v>
      </c>
      <c r="F750" s="23" t="s">
        <v>4950</v>
      </c>
      <c r="G750" s="23" t="s">
        <v>7033</v>
      </c>
      <c r="H750" s="24" t="s">
        <v>7043</v>
      </c>
      <c r="I750" s="23" t="s">
        <v>1116</v>
      </c>
      <c r="J750" s="24" t="s">
        <v>7044</v>
      </c>
      <c r="K750" s="24" t="s">
        <v>7045</v>
      </c>
      <c r="L750" s="24" t="s">
        <v>7046</v>
      </c>
      <c r="M750" s="24" t="s">
        <v>7047</v>
      </c>
      <c r="N750" s="24" t="s">
        <v>7048</v>
      </c>
      <c r="O750" s="24" t="s">
        <v>7049</v>
      </c>
      <c r="P750" s="28"/>
      <c r="Q750" s="28" t="str">
        <f aca="false">"["&amp;안내!$C$5&amp;" "&amp;C750&amp;"] "&amp;J750&amp;" | "&amp;H750</f>
        <v>[1분 성경 #0749] 살아 있는 말씀 | 히 3:1-4:13</v>
      </c>
      <c r="R750" s="29" t="n">
        <f aca="false">INT((A750-1)/안내!$C$9)+1</f>
        <v>150</v>
      </c>
      <c r="S750" s="26" t="n">
        <f aca="false">안내!$C$10+(R750-1)*7+MOD(A750-1,안내!$C$9)</f>
        <v>47437</v>
      </c>
      <c r="T750" s="23" t="s">
        <v>99</v>
      </c>
      <c r="U750" s="23" t="s">
        <v>99</v>
      </c>
      <c r="V750" s="23" t="s">
        <v>99</v>
      </c>
      <c r="W750" s="23" t="s">
        <v>99</v>
      </c>
      <c r="X750" s="28"/>
      <c r="Y750" s="28" t="str">
        <f aca="false">"다음 편: "&amp;J751</f>
        <v>다음 편: 큰 대제사장</v>
      </c>
    </row>
    <row r="751" customFormat="false" ht="26.85" hidden="false" customHeight="false" outlineLevel="0" collapsed="false">
      <c r="A751" s="29" t="n">
        <v>750</v>
      </c>
      <c r="B751" s="29" t="s">
        <v>7050</v>
      </c>
      <c r="C751" s="29" t="s">
        <v>7051</v>
      </c>
      <c r="D751" s="29" t="s">
        <v>7031</v>
      </c>
      <c r="E751" s="24" t="s">
        <v>7032</v>
      </c>
      <c r="F751" s="23" t="s">
        <v>4950</v>
      </c>
      <c r="G751" s="23" t="s">
        <v>7033</v>
      </c>
      <c r="H751" s="24" t="s">
        <v>7052</v>
      </c>
      <c r="I751" s="23" t="s">
        <v>1116</v>
      </c>
      <c r="J751" s="24" t="s">
        <v>7053</v>
      </c>
      <c r="K751" s="24" t="s">
        <v>7054</v>
      </c>
      <c r="L751" s="24" t="s">
        <v>7055</v>
      </c>
      <c r="M751" s="24" t="s">
        <v>7056</v>
      </c>
      <c r="N751" s="24" t="s">
        <v>7057</v>
      </c>
      <c r="O751" s="24" t="s">
        <v>7058</v>
      </c>
      <c r="P751" s="28"/>
      <c r="Q751" s="28" t="str">
        <f aca="false">"["&amp;안내!$C$5&amp;" "&amp;C751&amp;"] "&amp;J751&amp;" | "&amp;H751</f>
        <v>[1분 성경 #0750] 큰 대제사장 | 히 4:14-5:10</v>
      </c>
      <c r="R751" s="29" t="n">
        <f aca="false">INT((A751-1)/안내!$C$9)+1</f>
        <v>150</v>
      </c>
      <c r="S751" s="26" t="n">
        <f aca="false">안내!$C$10+(R751-1)*7+MOD(A751-1,안내!$C$9)</f>
        <v>47438</v>
      </c>
      <c r="T751" s="23" t="s">
        <v>99</v>
      </c>
      <c r="U751" s="23" t="s">
        <v>99</v>
      </c>
      <c r="V751" s="23" t="s">
        <v>99</v>
      </c>
      <c r="W751" s="23" t="s">
        <v>99</v>
      </c>
      <c r="X751" s="28"/>
      <c r="Y751" s="28" t="str">
        <f aca="false">"다음 편: "&amp;J752</f>
        <v>다음 편: 영혼의 닻</v>
      </c>
    </row>
    <row r="752" customFormat="false" ht="26.85" hidden="false" customHeight="false" outlineLevel="0" collapsed="false">
      <c r="A752" s="29" t="n">
        <v>751</v>
      </c>
      <c r="B752" s="29" t="s">
        <v>7059</v>
      </c>
      <c r="C752" s="29" t="s">
        <v>7060</v>
      </c>
      <c r="D752" s="29" t="s">
        <v>7031</v>
      </c>
      <c r="E752" s="24" t="s">
        <v>7032</v>
      </c>
      <c r="F752" s="23" t="s">
        <v>4950</v>
      </c>
      <c r="G752" s="23" t="s">
        <v>7033</v>
      </c>
      <c r="H752" s="24" t="s">
        <v>7061</v>
      </c>
      <c r="I752" s="23" t="s">
        <v>1116</v>
      </c>
      <c r="J752" s="24" t="s">
        <v>7062</v>
      </c>
      <c r="K752" s="24" t="s">
        <v>7063</v>
      </c>
      <c r="L752" s="24" t="s">
        <v>7064</v>
      </c>
      <c r="M752" s="24" t="s">
        <v>7065</v>
      </c>
      <c r="N752" s="24" t="s">
        <v>7066</v>
      </c>
      <c r="O752" s="24" t="s">
        <v>7067</v>
      </c>
      <c r="P752" s="27" t="s">
        <v>7068</v>
      </c>
      <c r="Q752" s="28" t="str">
        <f aca="false">"["&amp;안내!$C$5&amp;" "&amp;C752&amp;"] "&amp;J752&amp;" | "&amp;H752</f>
        <v>[1분 성경 #0751] 영혼의 닻 | 히 5:11-6:20</v>
      </c>
      <c r="R752" s="29" t="n">
        <f aca="false">INT((A752-1)/안내!$C$9)+1</f>
        <v>151</v>
      </c>
      <c r="S752" s="26" t="n">
        <f aca="false">안내!$C$10+(R752-1)*7+MOD(A752-1,안내!$C$9)</f>
        <v>47441</v>
      </c>
      <c r="T752" s="23" t="s">
        <v>99</v>
      </c>
      <c r="U752" s="23" t="s">
        <v>99</v>
      </c>
      <c r="V752" s="23" t="s">
        <v>99</v>
      </c>
      <c r="W752" s="23" t="s">
        <v>99</v>
      </c>
      <c r="X752" s="28"/>
      <c r="Y752" s="28" t="str">
        <f aca="false">"다음 편: "&amp;J753</f>
        <v>다음 편: 멜기세덱의 반차</v>
      </c>
    </row>
    <row r="753" customFormat="false" ht="26.85" hidden="false" customHeight="false" outlineLevel="0" collapsed="false">
      <c r="A753" s="29" t="n">
        <v>752</v>
      </c>
      <c r="B753" s="29" t="s">
        <v>7069</v>
      </c>
      <c r="C753" s="29" t="s">
        <v>7070</v>
      </c>
      <c r="D753" s="29" t="s">
        <v>7031</v>
      </c>
      <c r="E753" s="24" t="s">
        <v>7032</v>
      </c>
      <c r="F753" s="23" t="s">
        <v>4950</v>
      </c>
      <c r="G753" s="23" t="s">
        <v>7033</v>
      </c>
      <c r="H753" s="24" t="s">
        <v>7071</v>
      </c>
      <c r="I753" s="23" t="s">
        <v>1116</v>
      </c>
      <c r="J753" s="24" t="s">
        <v>7072</v>
      </c>
      <c r="K753" s="24" t="s">
        <v>7073</v>
      </c>
      <c r="L753" s="24" t="s">
        <v>7074</v>
      </c>
      <c r="M753" s="24" t="s">
        <v>7075</v>
      </c>
      <c r="N753" s="24" t="s">
        <v>7076</v>
      </c>
      <c r="O753" s="24" t="s">
        <v>7077</v>
      </c>
      <c r="P753" s="28"/>
      <c r="Q753" s="28" t="str">
        <f aca="false">"["&amp;안내!$C$5&amp;" "&amp;C753&amp;"] "&amp;J753&amp;" | "&amp;H753</f>
        <v>[1분 성경 #0752] 멜기세덱의 반차 | 히 7:1-28</v>
      </c>
      <c r="R753" s="29" t="n">
        <f aca="false">INT((A753-1)/안내!$C$9)+1</f>
        <v>151</v>
      </c>
      <c r="S753" s="26" t="n">
        <f aca="false">안내!$C$10+(R753-1)*7+MOD(A753-1,안내!$C$9)</f>
        <v>47442</v>
      </c>
      <c r="T753" s="23" t="s">
        <v>99</v>
      </c>
      <c r="U753" s="23" t="s">
        <v>99</v>
      </c>
      <c r="V753" s="23" t="s">
        <v>99</v>
      </c>
      <c r="W753" s="23" t="s">
        <v>99</v>
      </c>
      <c r="X753" s="28"/>
      <c r="Y753" s="28" t="str">
        <f aca="false">"다음 편: "&amp;J754</f>
        <v>다음 편: 단번에</v>
      </c>
    </row>
    <row r="754" customFormat="false" ht="26.85" hidden="false" customHeight="false" outlineLevel="0" collapsed="false">
      <c r="A754" s="29" t="n">
        <v>753</v>
      </c>
      <c r="B754" s="29" t="s">
        <v>7078</v>
      </c>
      <c r="C754" s="29" t="s">
        <v>7079</v>
      </c>
      <c r="D754" s="29" t="s">
        <v>7031</v>
      </c>
      <c r="E754" s="24" t="s">
        <v>7032</v>
      </c>
      <c r="F754" s="23" t="s">
        <v>4950</v>
      </c>
      <c r="G754" s="23" t="s">
        <v>7033</v>
      </c>
      <c r="H754" s="24" t="s">
        <v>7080</v>
      </c>
      <c r="I754" s="23" t="s">
        <v>1116</v>
      </c>
      <c r="J754" s="24" t="s">
        <v>7081</v>
      </c>
      <c r="K754" s="24" t="s">
        <v>7082</v>
      </c>
      <c r="L754" s="24" t="s">
        <v>7083</v>
      </c>
      <c r="M754" s="24" t="s">
        <v>7084</v>
      </c>
      <c r="N754" s="24" t="s">
        <v>7085</v>
      </c>
      <c r="O754" s="24" t="s">
        <v>7086</v>
      </c>
      <c r="P754" s="25" t="s">
        <v>7087</v>
      </c>
      <c r="Q754" s="28" t="str">
        <f aca="false">"["&amp;안내!$C$5&amp;" "&amp;C754&amp;"] "&amp;J754&amp;" | "&amp;H754</f>
        <v>[1분 성경 #0753] 단번에 | 히 8:1-10:18</v>
      </c>
      <c r="R754" s="29" t="n">
        <f aca="false">INT((A754-1)/안내!$C$9)+1</f>
        <v>151</v>
      </c>
      <c r="S754" s="26" t="n">
        <f aca="false">안내!$C$10+(R754-1)*7+MOD(A754-1,안내!$C$9)</f>
        <v>47443</v>
      </c>
      <c r="T754" s="23" t="s">
        <v>99</v>
      </c>
      <c r="U754" s="23" t="s">
        <v>99</v>
      </c>
      <c r="V754" s="23" t="s">
        <v>99</v>
      </c>
      <c r="W754" s="23" t="s">
        <v>99</v>
      </c>
      <c r="X754" s="28"/>
      <c r="Y754" s="28" t="str">
        <f aca="false">"다음 편: "&amp;J755</f>
        <v>다음 편: 모이기를 폐하지 말고</v>
      </c>
    </row>
    <row r="755" customFormat="false" ht="26.85" hidden="false" customHeight="false" outlineLevel="0" collapsed="false">
      <c r="A755" s="29" t="n">
        <v>754</v>
      </c>
      <c r="B755" s="29" t="s">
        <v>7088</v>
      </c>
      <c r="C755" s="29" t="s">
        <v>7089</v>
      </c>
      <c r="D755" s="29" t="s">
        <v>7031</v>
      </c>
      <c r="E755" s="24" t="s">
        <v>7032</v>
      </c>
      <c r="F755" s="23" t="s">
        <v>4950</v>
      </c>
      <c r="G755" s="23" t="s">
        <v>7033</v>
      </c>
      <c r="H755" s="24" t="s">
        <v>7090</v>
      </c>
      <c r="I755" s="23" t="s">
        <v>1116</v>
      </c>
      <c r="J755" s="24" t="s">
        <v>7091</v>
      </c>
      <c r="K755" s="24" t="s">
        <v>7092</v>
      </c>
      <c r="L755" s="24" t="s">
        <v>7093</v>
      </c>
      <c r="M755" s="24" t="s">
        <v>7094</v>
      </c>
      <c r="N755" s="24" t="s">
        <v>3653</v>
      </c>
      <c r="O755" s="24" t="s">
        <v>6652</v>
      </c>
      <c r="P755" s="27" t="s">
        <v>7095</v>
      </c>
      <c r="Q755" s="28" t="str">
        <f aca="false">"["&amp;안내!$C$5&amp;" "&amp;C755&amp;"] "&amp;J755&amp;" | "&amp;H755</f>
        <v>[1분 성경 #0754] 모이기를 폐하지 말고 | 히 10:19-39</v>
      </c>
      <c r="R755" s="29" t="n">
        <f aca="false">INT((A755-1)/안내!$C$9)+1</f>
        <v>151</v>
      </c>
      <c r="S755" s="26" t="n">
        <f aca="false">안내!$C$10+(R755-1)*7+MOD(A755-1,안내!$C$9)</f>
        <v>47444</v>
      </c>
      <c r="T755" s="23" t="s">
        <v>99</v>
      </c>
      <c r="U755" s="23" t="s">
        <v>99</v>
      </c>
      <c r="V755" s="23" t="s">
        <v>99</v>
      </c>
      <c r="W755" s="23" t="s">
        <v>99</v>
      </c>
      <c r="X755" s="28"/>
      <c r="Y755" s="28" t="str">
        <f aca="false">"다음 편: "&amp;J756</f>
        <v>다음 편: 믿음장</v>
      </c>
    </row>
    <row r="756" customFormat="false" ht="26.85" hidden="false" customHeight="false" outlineLevel="0" collapsed="false">
      <c r="A756" s="29" t="n">
        <v>755</v>
      </c>
      <c r="B756" s="29" t="s">
        <v>7096</v>
      </c>
      <c r="C756" s="29" t="s">
        <v>7097</v>
      </c>
      <c r="D756" s="29" t="s">
        <v>7031</v>
      </c>
      <c r="E756" s="24" t="s">
        <v>7032</v>
      </c>
      <c r="F756" s="23" t="s">
        <v>4950</v>
      </c>
      <c r="G756" s="23" t="s">
        <v>7033</v>
      </c>
      <c r="H756" s="24" t="s">
        <v>7098</v>
      </c>
      <c r="I756" s="23" t="s">
        <v>1116</v>
      </c>
      <c r="J756" s="24" t="s">
        <v>7099</v>
      </c>
      <c r="K756" s="24" t="s">
        <v>7100</v>
      </c>
      <c r="L756" s="24" t="s">
        <v>7101</v>
      </c>
      <c r="M756" s="24" t="s">
        <v>7102</v>
      </c>
      <c r="N756" s="24" t="s">
        <v>7103</v>
      </c>
      <c r="O756" s="24" t="s">
        <v>7104</v>
      </c>
      <c r="P756" s="25" t="s">
        <v>7105</v>
      </c>
      <c r="Q756" s="28" t="str">
        <f aca="false">"["&amp;안내!$C$5&amp;" "&amp;C756&amp;"] "&amp;J756&amp;" | "&amp;H756</f>
        <v>[1분 성경 #0755] 믿음장 | 히 11:1-40</v>
      </c>
      <c r="R756" s="29" t="n">
        <f aca="false">INT((A756-1)/안내!$C$9)+1</f>
        <v>151</v>
      </c>
      <c r="S756" s="26" t="n">
        <f aca="false">안내!$C$10+(R756-1)*7+MOD(A756-1,안내!$C$9)</f>
        <v>47445</v>
      </c>
      <c r="T756" s="23" t="s">
        <v>99</v>
      </c>
      <c r="U756" s="23" t="s">
        <v>99</v>
      </c>
      <c r="V756" s="23" t="s">
        <v>99</v>
      </c>
      <c r="W756" s="23" t="s">
        <v>99</v>
      </c>
      <c r="X756" s="28"/>
      <c r="Y756" s="28" t="str">
        <f aca="false">"다음 편: "&amp;J757</f>
        <v>다음 편: 믿음의 주요 또 온전하게 하시는 이</v>
      </c>
    </row>
    <row r="757" customFormat="false" ht="26.85" hidden="false" customHeight="false" outlineLevel="0" collapsed="false">
      <c r="A757" s="29" t="n">
        <v>756</v>
      </c>
      <c r="B757" s="29" t="s">
        <v>7106</v>
      </c>
      <c r="C757" s="29" t="s">
        <v>7107</v>
      </c>
      <c r="D757" s="29" t="s">
        <v>7031</v>
      </c>
      <c r="E757" s="24" t="s">
        <v>7032</v>
      </c>
      <c r="F757" s="23" t="s">
        <v>4950</v>
      </c>
      <c r="G757" s="23" t="s">
        <v>7033</v>
      </c>
      <c r="H757" s="24" t="s">
        <v>7108</v>
      </c>
      <c r="I757" s="23" t="s">
        <v>1116</v>
      </c>
      <c r="J757" s="24" t="s">
        <v>7109</v>
      </c>
      <c r="K757" s="24" t="s">
        <v>7110</v>
      </c>
      <c r="L757" s="24" t="s">
        <v>7111</v>
      </c>
      <c r="M757" s="24" t="s">
        <v>7112</v>
      </c>
      <c r="N757" s="24" t="s">
        <v>7113</v>
      </c>
      <c r="O757" s="24" t="s">
        <v>7114</v>
      </c>
      <c r="P757" s="28"/>
      <c r="Q757" s="28" t="str">
        <f aca="false">"["&amp;안내!$C$5&amp;" "&amp;C757&amp;"] "&amp;J757&amp;" | "&amp;H757</f>
        <v>[1분 성경 #0756] 믿음의 주요 또 온전하게 하시는 이 | 히 12:1-29</v>
      </c>
      <c r="R757" s="29" t="n">
        <f aca="false">INT((A757-1)/안내!$C$9)+1</f>
        <v>152</v>
      </c>
      <c r="S757" s="26" t="n">
        <f aca="false">안내!$C$10+(R757-1)*7+MOD(A757-1,안내!$C$9)</f>
        <v>47448</v>
      </c>
      <c r="T757" s="23" t="s">
        <v>99</v>
      </c>
      <c r="U757" s="23" t="s">
        <v>99</v>
      </c>
      <c r="V757" s="23" t="s">
        <v>99</v>
      </c>
      <c r="W757" s="23" t="s">
        <v>99</v>
      </c>
      <c r="X757" s="28"/>
      <c r="Y757" s="28" t="str">
        <f aca="false">"다음 편: "&amp;J758</f>
        <v>다음 편: 어제나 오늘이나 영원토록</v>
      </c>
    </row>
    <row r="758" customFormat="false" ht="26.85" hidden="false" customHeight="false" outlineLevel="0" collapsed="false">
      <c r="A758" s="29" t="n">
        <v>757</v>
      </c>
      <c r="B758" s="29" t="s">
        <v>7115</v>
      </c>
      <c r="C758" s="29" t="s">
        <v>7116</v>
      </c>
      <c r="D758" s="29" t="s">
        <v>7031</v>
      </c>
      <c r="E758" s="24" t="s">
        <v>7032</v>
      </c>
      <c r="F758" s="23" t="s">
        <v>4950</v>
      </c>
      <c r="G758" s="23" t="s">
        <v>7033</v>
      </c>
      <c r="H758" s="24" t="s">
        <v>7117</v>
      </c>
      <c r="I758" s="23" t="s">
        <v>1116</v>
      </c>
      <c r="J758" s="24" t="s">
        <v>7118</v>
      </c>
      <c r="K758" s="24" t="s">
        <v>7119</v>
      </c>
      <c r="L758" s="24" t="s">
        <v>7120</v>
      </c>
      <c r="M758" s="24" t="s">
        <v>7121</v>
      </c>
      <c r="N758" s="24" t="s">
        <v>7122</v>
      </c>
      <c r="O758" s="24" t="s">
        <v>7123</v>
      </c>
      <c r="P758" s="28"/>
      <c r="Q758" s="28" t="str">
        <f aca="false">"["&amp;안내!$C$5&amp;" "&amp;C758&amp;"] "&amp;J758&amp;" | "&amp;H758</f>
        <v>[1분 성경 #0757] 어제나 오늘이나 영원토록 | 히 13:1-25</v>
      </c>
      <c r="R758" s="29" t="n">
        <f aca="false">INT((A758-1)/안내!$C$9)+1</f>
        <v>152</v>
      </c>
      <c r="S758" s="26" t="n">
        <f aca="false">안내!$C$10+(R758-1)*7+MOD(A758-1,안내!$C$9)</f>
        <v>47449</v>
      </c>
      <c r="T758" s="23" t="s">
        <v>99</v>
      </c>
      <c r="U758" s="23" t="s">
        <v>99</v>
      </c>
      <c r="V758" s="23" t="s">
        <v>99</v>
      </c>
      <c r="W758" s="23" t="s">
        <v>99</v>
      </c>
      <c r="X758" s="28"/>
      <c r="Y758" s="28" t="str">
        <f aca="false">"다음 편: "&amp;J759</f>
        <v>다음 편: 시험을 기쁘게</v>
      </c>
    </row>
    <row r="759" customFormat="false" ht="26.85" hidden="false" customHeight="false" outlineLevel="0" collapsed="false">
      <c r="A759" s="29" t="n">
        <v>758</v>
      </c>
      <c r="B759" s="29" t="s">
        <v>7124</v>
      </c>
      <c r="C759" s="29" t="s">
        <v>7125</v>
      </c>
      <c r="D759" s="29" t="s">
        <v>7126</v>
      </c>
      <c r="E759" s="24" t="s">
        <v>7127</v>
      </c>
      <c r="F759" s="23" t="s">
        <v>4950</v>
      </c>
      <c r="G759" s="23" t="s">
        <v>7128</v>
      </c>
      <c r="H759" s="24" t="s">
        <v>7129</v>
      </c>
      <c r="I759" s="23" t="s">
        <v>1116</v>
      </c>
      <c r="J759" s="24" t="s">
        <v>7130</v>
      </c>
      <c r="K759" s="24" t="s">
        <v>7131</v>
      </c>
      <c r="L759" s="24" t="s">
        <v>7132</v>
      </c>
      <c r="M759" s="24" t="s">
        <v>7133</v>
      </c>
      <c r="N759" s="24" t="s">
        <v>7134</v>
      </c>
      <c r="O759" s="24" t="s">
        <v>7135</v>
      </c>
      <c r="P759" s="28"/>
      <c r="Q759" s="28" t="str">
        <f aca="false">"["&amp;안내!$C$5&amp;" "&amp;C759&amp;"] "&amp;J759&amp;" | "&amp;H759</f>
        <v>[1분 성경 #0758] 시험을 기쁘게 | 약 1:1-18</v>
      </c>
      <c r="R759" s="29" t="n">
        <f aca="false">INT((A759-1)/안내!$C$9)+1</f>
        <v>152</v>
      </c>
      <c r="S759" s="26" t="n">
        <f aca="false">안내!$C$10+(R759-1)*7+MOD(A759-1,안내!$C$9)</f>
        <v>47450</v>
      </c>
      <c r="T759" s="23" t="s">
        <v>99</v>
      </c>
      <c r="U759" s="23" t="s">
        <v>99</v>
      </c>
      <c r="V759" s="23" t="s">
        <v>99</v>
      </c>
      <c r="W759" s="23" t="s">
        <v>99</v>
      </c>
      <c r="X759" s="28"/>
      <c r="Y759" s="28" t="str">
        <f aca="false">"다음 편: "&amp;J760</f>
        <v>다음 편: 듣기는 속히</v>
      </c>
    </row>
    <row r="760" customFormat="false" ht="26.85" hidden="false" customHeight="false" outlineLevel="0" collapsed="false">
      <c r="A760" s="29" t="n">
        <v>759</v>
      </c>
      <c r="B760" s="29" t="s">
        <v>7136</v>
      </c>
      <c r="C760" s="29" t="s">
        <v>7137</v>
      </c>
      <c r="D760" s="29" t="s">
        <v>7126</v>
      </c>
      <c r="E760" s="24" t="s">
        <v>7127</v>
      </c>
      <c r="F760" s="23" t="s">
        <v>4950</v>
      </c>
      <c r="G760" s="23" t="s">
        <v>7128</v>
      </c>
      <c r="H760" s="24" t="s">
        <v>7138</v>
      </c>
      <c r="I760" s="23" t="s">
        <v>1116</v>
      </c>
      <c r="J760" s="24" t="s">
        <v>7139</v>
      </c>
      <c r="K760" s="24" t="s">
        <v>7140</v>
      </c>
      <c r="L760" s="24" t="s">
        <v>7141</v>
      </c>
      <c r="M760" s="24" t="s">
        <v>7142</v>
      </c>
      <c r="N760" s="24" t="s">
        <v>7134</v>
      </c>
      <c r="O760" s="24" t="s">
        <v>7143</v>
      </c>
      <c r="P760" s="28"/>
      <c r="Q760" s="28" t="str">
        <f aca="false">"["&amp;안내!$C$5&amp;" "&amp;C760&amp;"] "&amp;J760&amp;" | "&amp;H760</f>
        <v>[1분 성경 #0759] 듣기는 속히 | 약 1:19-27</v>
      </c>
      <c r="R760" s="29" t="n">
        <f aca="false">INT((A760-1)/안내!$C$9)+1</f>
        <v>152</v>
      </c>
      <c r="S760" s="26" t="n">
        <f aca="false">안내!$C$10+(R760-1)*7+MOD(A760-1,안내!$C$9)</f>
        <v>47451</v>
      </c>
      <c r="T760" s="23" t="s">
        <v>99</v>
      </c>
      <c r="U760" s="23" t="s">
        <v>99</v>
      </c>
      <c r="V760" s="23" t="s">
        <v>99</v>
      </c>
      <c r="W760" s="23" t="s">
        <v>99</v>
      </c>
      <c r="X760" s="28"/>
      <c r="Y760" s="28" t="str">
        <f aca="false">"다음 편: "&amp;J761</f>
        <v>다음 편: 행함이 없는 믿음</v>
      </c>
    </row>
    <row r="761" customFormat="false" ht="26.85" hidden="false" customHeight="false" outlineLevel="0" collapsed="false">
      <c r="A761" s="29" t="n">
        <v>760</v>
      </c>
      <c r="B761" s="29" t="s">
        <v>7144</v>
      </c>
      <c r="C761" s="29" t="s">
        <v>7145</v>
      </c>
      <c r="D761" s="29" t="s">
        <v>7126</v>
      </c>
      <c r="E761" s="24" t="s">
        <v>7127</v>
      </c>
      <c r="F761" s="23" t="s">
        <v>4950</v>
      </c>
      <c r="G761" s="23" t="s">
        <v>7128</v>
      </c>
      <c r="H761" s="24" t="s">
        <v>7146</v>
      </c>
      <c r="I761" s="23" t="s">
        <v>1116</v>
      </c>
      <c r="J761" s="24" t="s">
        <v>7147</v>
      </c>
      <c r="K761" s="24" t="s">
        <v>7148</v>
      </c>
      <c r="L761" s="24" t="s">
        <v>7149</v>
      </c>
      <c r="M761" s="24" t="s">
        <v>7150</v>
      </c>
      <c r="N761" s="24" t="s">
        <v>7151</v>
      </c>
      <c r="O761" s="24" t="s">
        <v>7152</v>
      </c>
      <c r="P761" s="25" t="s">
        <v>7153</v>
      </c>
      <c r="Q761" s="28" t="str">
        <f aca="false">"["&amp;안내!$C$5&amp;" "&amp;C761&amp;"] "&amp;J761&amp;" | "&amp;H761</f>
        <v>[1분 성경 #0760] 행함이 없는 믿음 | 약 2:1-26</v>
      </c>
      <c r="R761" s="29" t="n">
        <f aca="false">INT((A761-1)/안내!$C$9)+1</f>
        <v>152</v>
      </c>
      <c r="S761" s="26" t="n">
        <f aca="false">안내!$C$10+(R761-1)*7+MOD(A761-1,안내!$C$9)</f>
        <v>47452</v>
      </c>
      <c r="T761" s="23" t="s">
        <v>99</v>
      </c>
      <c r="U761" s="23" t="s">
        <v>99</v>
      </c>
      <c r="V761" s="23" t="s">
        <v>99</v>
      </c>
      <c r="W761" s="23" t="s">
        <v>99</v>
      </c>
      <c r="X761" s="28"/>
      <c r="Y761" s="28" t="str">
        <f aca="false">"다음 편: "&amp;J762</f>
        <v>다음 편: 혀의 힘</v>
      </c>
    </row>
    <row r="762" customFormat="false" ht="26.85" hidden="false" customHeight="false" outlineLevel="0" collapsed="false">
      <c r="A762" s="29" t="n">
        <v>761</v>
      </c>
      <c r="B762" s="29" t="s">
        <v>7154</v>
      </c>
      <c r="C762" s="29" t="s">
        <v>7155</v>
      </c>
      <c r="D762" s="29" t="s">
        <v>7126</v>
      </c>
      <c r="E762" s="24" t="s">
        <v>7127</v>
      </c>
      <c r="F762" s="23" t="s">
        <v>4950</v>
      </c>
      <c r="G762" s="23" t="s">
        <v>7128</v>
      </c>
      <c r="H762" s="24" t="s">
        <v>7156</v>
      </c>
      <c r="I762" s="23" t="s">
        <v>1116</v>
      </c>
      <c r="J762" s="24" t="s">
        <v>7157</v>
      </c>
      <c r="K762" s="24" t="s">
        <v>7158</v>
      </c>
      <c r="L762" s="24" t="s">
        <v>7159</v>
      </c>
      <c r="M762" s="24" t="s">
        <v>7160</v>
      </c>
      <c r="N762" s="24" t="s">
        <v>7134</v>
      </c>
      <c r="O762" s="24" t="s">
        <v>7161</v>
      </c>
      <c r="P762" s="28"/>
      <c r="Q762" s="28" t="str">
        <f aca="false">"["&amp;안내!$C$5&amp;" "&amp;C762&amp;"] "&amp;J762&amp;" | "&amp;H762</f>
        <v>[1분 성경 #0761] 혀의 힘 | 약 3:1-18</v>
      </c>
      <c r="R762" s="29" t="n">
        <f aca="false">INT((A762-1)/안내!$C$9)+1</f>
        <v>153</v>
      </c>
      <c r="S762" s="26" t="n">
        <f aca="false">안내!$C$10+(R762-1)*7+MOD(A762-1,안내!$C$9)</f>
        <v>47455</v>
      </c>
      <c r="T762" s="23" t="s">
        <v>99</v>
      </c>
      <c r="U762" s="23" t="s">
        <v>99</v>
      </c>
      <c r="V762" s="23" t="s">
        <v>99</v>
      </c>
      <c r="W762" s="23" t="s">
        <v>99</v>
      </c>
      <c r="X762" s="28"/>
      <c r="Y762" s="28" t="str">
        <f aca="false">"다음 편: "&amp;J763</f>
        <v>다음 편: 하나님을 가까이하라</v>
      </c>
    </row>
    <row r="763" customFormat="false" ht="26.85" hidden="false" customHeight="false" outlineLevel="0" collapsed="false">
      <c r="A763" s="29" t="n">
        <v>762</v>
      </c>
      <c r="B763" s="29" t="s">
        <v>7162</v>
      </c>
      <c r="C763" s="29" t="s">
        <v>7163</v>
      </c>
      <c r="D763" s="29" t="s">
        <v>7126</v>
      </c>
      <c r="E763" s="24" t="s">
        <v>7127</v>
      </c>
      <c r="F763" s="23" t="s">
        <v>4950</v>
      </c>
      <c r="G763" s="23" t="s">
        <v>7128</v>
      </c>
      <c r="H763" s="24" t="s">
        <v>7164</v>
      </c>
      <c r="I763" s="23" t="s">
        <v>1116</v>
      </c>
      <c r="J763" s="24" t="s">
        <v>7165</v>
      </c>
      <c r="K763" s="24" t="s">
        <v>7166</v>
      </c>
      <c r="L763" s="24" t="s">
        <v>7167</v>
      </c>
      <c r="M763" s="24" t="s">
        <v>7168</v>
      </c>
      <c r="N763" s="24" t="s">
        <v>7169</v>
      </c>
      <c r="O763" s="24" t="s">
        <v>7170</v>
      </c>
      <c r="P763" s="27" t="s">
        <v>7171</v>
      </c>
      <c r="Q763" s="28" t="str">
        <f aca="false">"["&amp;안내!$C$5&amp;" "&amp;C763&amp;"] "&amp;J763&amp;" | "&amp;H763</f>
        <v>[1분 성경 #0762] 하나님을 가까이하라 | 약 4:1-5:20</v>
      </c>
      <c r="R763" s="29" t="n">
        <f aca="false">INT((A763-1)/안내!$C$9)+1</f>
        <v>153</v>
      </c>
      <c r="S763" s="26" t="n">
        <f aca="false">안내!$C$10+(R763-1)*7+MOD(A763-1,안내!$C$9)</f>
        <v>47456</v>
      </c>
      <c r="T763" s="23" t="s">
        <v>99</v>
      </c>
      <c r="U763" s="23" t="s">
        <v>99</v>
      </c>
      <c r="V763" s="23" t="s">
        <v>99</v>
      </c>
      <c r="W763" s="23" t="s">
        <v>99</v>
      </c>
      <c r="X763" s="28"/>
      <c r="Y763" s="28" t="str">
        <f aca="false">"다음 편: "&amp;J764</f>
        <v>다음 편: 산 소망</v>
      </c>
    </row>
    <row r="764" customFormat="false" ht="39.55" hidden="false" customHeight="false" outlineLevel="0" collapsed="false">
      <c r="A764" s="29" t="n">
        <v>763</v>
      </c>
      <c r="B764" s="29" t="s">
        <v>7172</v>
      </c>
      <c r="C764" s="29" t="s">
        <v>7173</v>
      </c>
      <c r="D764" s="29" t="s">
        <v>7126</v>
      </c>
      <c r="E764" s="24" t="s">
        <v>7127</v>
      </c>
      <c r="F764" s="23" t="s">
        <v>4950</v>
      </c>
      <c r="G764" s="23" t="s">
        <v>7174</v>
      </c>
      <c r="H764" s="24" t="s">
        <v>7175</v>
      </c>
      <c r="I764" s="23" t="s">
        <v>1116</v>
      </c>
      <c r="J764" s="24" t="s">
        <v>7176</v>
      </c>
      <c r="K764" s="24" t="s">
        <v>7177</v>
      </c>
      <c r="L764" s="24" t="s">
        <v>7178</v>
      </c>
      <c r="M764" s="24" t="s">
        <v>7179</v>
      </c>
      <c r="N764" s="24" t="s">
        <v>7180</v>
      </c>
      <c r="O764" s="24" t="s">
        <v>7181</v>
      </c>
      <c r="P764" s="28"/>
      <c r="Q764" s="28" t="str">
        <f aca="false">"["&amp;안내!$C$5&amp;" "&amp;C764&amp;"] "&amp;J764&amp;" | "&amp;H764</f>
        <v>[1분 성경 #0763] 산 소망 | 벧전 1:1-25</v>
      </c>
      <c r="R764" s="29" t="n">
        <f aca="false">INT((A764-1)/안내!$C$9)+1</f>
        <v>153</v>
      </c>
      <c r="S764" s="26" t="n">
        <f aca="false">안내!$C$10+(R764-1)*7+MOD(A764-1,안내!$C$9)</f>
        <v>47457</v>
      </c>
      <c r="T764" s="23" t="s">
        <v>99</v>
      </c>
      <c r="U764" s="23" t="s">
        <v>99</v>
      </c>
      <c r="V764" s="23" t="s">
        <v>99</v>
      </c>
      <c r="W764" s="23" t="s">
        <v>99</v>
      </c>
      <c r="X764" s="28"/>
      <c r="Y764" s="28" t="str">
        <f aca="false">"다음 편: "&amp;J765</f>
        <v>다음 편: 왕 같은 제사장</v>
      </c>
    </row>
    <row r="765" customFormat="false" ht="26.85" hidden="false" customHeight="false" outlineLevel="0" collapsed="false">
      <c r="A765" s="29" t="n">
        <v>764</v>
      </c>
      <c r="B765" s="29" t="s">
        <v>7182</v>
      </c>
      <c r="C765" s="29" t="s">
        <v>7183</v>
      </c>
      <c r="D765" s="29" t="s">
        <v>7126</v>
      </c>
      <c r="E765" s="24" t="s">
        <v>7127</v>
      </c>
      <c r="F765" s="23" t="s">
        <v>4950</v>
      </c>
      <c r="G765" s="23" t="s">
        <v>7174</v>
      </c>
      <c r="H765" s="24" t="s">
        <v>7184</v>
      </c>
      <c r="I765" s="23" t="s">
        <v>1116</v>
      </c>
      <c r="J765" s="24" t="s">
        <v>7185</v>
      </c>
      <c r="K765" s="24" t="s">
        <v>7186</v>
      </c>
      <c r="L765" s="24" t="s">
        <v>7187</v>
      </c>
      <c r="M765" s="24" t="s">
        <v>7188</v>
      </c>
      <c r="N765" s="24" t="s">
        <v>7180</v>
      </c>
      <c r="O765" s="24" t="s">
        <v>7189</v>
      </c>
      <c r="P765" s="25" t="s">
        <v>7190</v>
      </c>
      <c r="Q765" s="28" t="str">
        <f aca="false">"["&amp;안내!$C$5&amp;" "&amp;C765&amp;"] "&amp;J765&amp;" | "&amp;H765</f>
        <v>[1분 성경 #0764] 왕 같은 제사장 | 벧전 2:1-25</v>
      </c>
      <c r="R765" s="29" t="n">
        <f aca="false">INT((A765-1)/안내!$C$9)+1</f>
        <v>153</v>
      </c>
      <c r="S765" s="26" t="n">
        <f aca="false">안내!$C$10+(R765-1)*7+MOD(A765-1,안내!$C$9)</f>
        <v>47458</v>
      </c>
      <c r="T765" s="23" t="s">
        <v>99</v>
      </c>
      <c r="U765" s="23" t="s">
        <v>99</v>
      </c>
      <c r="V765" s="23" t="s">
        <v>99</v>
      </c>
      <c r="W765" s="23" t="s">
        <v>99</v>
      </c>
      <c r="X765" s="28"/>
      <c r="Y765" s="28" t="str">
        <f aca="false">"다음 편: "&amp;J766</f>
        <v>다음 편: 소망에 관한 이유</v>
      </c>
    </row>
    <row r="766" customFormat="false" ht="39.55" hidden="false" customHeight="false" outlineLevel="0" collapsed="false">
      <c r="A766" s="29" t="n">
        <v>765</v>
      </c>
      <c r="B766" s="29" t="s">
        <v>7191</v>
      </c>
      <c r="C766" s="29" t="s">
        <v>7192</v>
      </c>
      <c r="D766" s="29" t="s">
        <v>7126</v>
      </c>
      <c r="E766" s="24" t="s">
        <v>7127</v>
      </c>
      <c r="F766" s="23" t="s">
        <v>4950</v>
      </c>
      <c r="G766" s="23" t="s">
        <v>7174</v>
      </c>
      <c r="H766" s="24" t="s">
        <v>7193</v>
      </c>
      <c r="I766" s="23" t="s">
        <v>1116</v>
      </c>
      <c r="J766" s="24" t="s">
        <v>7194</v>
      </c>
      <c r="K766" s="24" t="s">
        <v>7195</v>
      </c>
      <c r="L766" s="24" t="s">
        <v>7196</v>
      </c>
      <c r="M766" s="24" t="s">
        <v>7197</v>
      </c>
      <c r="N766" s="24" t="s">
        <v>7180</v>
      </c>
      <c r="O766" s="24" t="s">
        <v>7198</v>
      </c>
      <c r="P766" s="27" t="s">
        <v>7199</v>
      </c>
      <c r="Q766" s="28" t="str">
        <f aca="false">"["&amp;안내!$C$5&amp;" "&amp;C766&amp;"] "&amp;J766&amp;" | "&amp;H766</f>
        <v>[1분 성경 #0765] 소망에 관한 이유 | 벧전 3:1-22</v>
      </c>
      <c r="R766" s="29" t="n">
        <f aca="false">INT((A766-1)/안내!$C$9)+1</f>
        <v>153</v>
      </c>
      <c r="S766" s="26" t="n">
        <f aca="false">안내!$C$10+(R766-1)*7+MOD(A766-1,안내!$C$9)</f>
        <v>47459</v>
      </c>
      <c r="T766" s="23" t="s">
        <v>99</v>
      </c>
      <c r="U766" s="23" t="s">
        <v>99</v>
      </c>
      <c r="V766" s="23" t="s">
        <v>99</v>
      </c>
      <c r="W766" s="23" t="s">
        <v>99</v>
      </c>
      <c r="X766" s="28"/>
      <c r="Y766" s="28" t="str">
        <f aca="false">"다음 편: "&amp;J767</f>
        <v>다음 편: 염려를 맡기라</v>
      </c>
    </row>
    <row r="767" customFormat="false" ht="26.85" hidden="false" customHeight="false" outlineLevel="0" collapsed="false">
      <c r="A767" s="29" t="n">
        <v>766</v>
      </c>
      <c r="B767" s="29" t="s">
        <v>7200</v>
      </c>
      <c r="C767" s="29" t="s">
        <v>7201</v>
      </c>
      <c r="D767" s="29" t="s">
        <v>7126</v>
      </c>
      <c r="E767" s="24" t="s">
        <v>7127</v>
      </c>
      <c r="F767" s="23" t="s">
        <v>4950</v>
      </c>
      <c r="G767" s="23" t="s">
        <v>7174</v>
      </c>
      <c r="H767" s="24" t="s">
        <v>7202</v>
      </c>
      <c r="I767" s="23" t="s">
        <v>1116</v>
      </c>
      <c r="J767" s="24" t="s">
        <v>7203</v>
      </c>
      <c r="K767" s="24" t="s">
        <v>7204</v>
      </c>
      <c r="L767" s="24" t="s">
        <v>7205</v>
      </c>
      <c r="M767" s="24" t="s">
        <v>7206</v>
      </c>
      <c r="N767" s="24" t="s">
        <v>7180</v>
      </c>
      <c r="O767" s="24" t="s">
        <v>7207</v>
      </c>
      <c r="P767" s="28"/>
      <c r="Q767" s="28" t="str">
        <f aca="false">"["&amp;안내!$C$5&amp;" "&amp;C767&amp;"] "&amp;J767&amp;" | "&amp;H767</f>
        <v>[1분 성경 #0766] 염려를 맡기라 | 벧전 4:1-5:14</v>
      </c>
      <c r="R767" s="29" t="n">
        <f aca="false">INT((A767-1)/안내!$C$9)+1</f>
        <v>154</v>
      </c>
      <c r="S767" s="26" t="n">
        <f aca="false">안내!$C$10+(R767-1)*7+MOD(A767-1,안내!$C$9)</f>
        <v>47462</v>
      </c>
      <c r="T767" s="23" t="s">
        <v>99</v>
      </c>
      <c r="U767" s="23" t="s">
        <v>99</v>
      </c>
      <c r="V767" s="23" t="s">
        <v>99</v>
      </c>
      <c r="W767" s="23" t="s">
        <v>99</v>
      </c>
      <c r="X767" s="28"/>
      <c r="Y767" s="28" t="str">
        <f aca="false">"다음 편: "&amp;J768</f>
        <v>다음 편: 사사로이 풀 것이 아니니</v>
      </c>
    </row>
    <row r="768" customFormat="false" ht="26.85" hidden="false" customHeight="false" outlineLevel="0" collapsed="false">
      <c r="A768" s="29" t="n">
        <v>767</v>
      </c>
      <c r="B768" s="29" t="s">
        <v>7208</v>
      </c>
      <c r="C768" s="29" t="s">
        <v>7209</v>
      </c>
      <c r="D768" s="29" t="s">
        <v>7126</v>
      </c>
      <c r="E768" s="24" t="s">
        <v>7127</v>
      </c>
      <c r="F768" s="23" t="s">
        <v>4950</v>
      </c>
      <c r="G768" s="23" t="s">
        <v>7210</v>
      </c>
      <c r="H768" s="24" t="s">
        <v>7211</v>
      </c>
      <c r="I768" s="23" t="s">
        <v>1116</v>
      </c>
      <c r="J768" s="24" t="s">
        <v>7212</v>
      </c>
      <c r="K768" s="24" t="s">
        <v>7213</v>
      </c>
      <c r="L768" s="24" t="s">
        <v>7214</v>
      </c>
      <c r="M768" s="24" t="s">
        <v>7215</v>
      </c>
      <c r="N768" s="24" t="s">
        <v>7180</v>
      </c>
      <c r="O768" s="24" t="s">
        <v>7216</v>
      </c>
      <c r="P768" s="25" t="s">
        <v>7217</v>
      </c>
      <c r="Q768" s="28" t="str">
        <f aca="false">"["&amp;안내!$C$5&amp;" "&amp;C768&amp;"] "&amp;J768&amp;" | "&amp;H768</f>
        <v>[1분 성경 #0767] 사사로이 풀 것이 아니니 | 벧후 1:1-21</v>
      </c>
      <c r="R768" s="29" t="n">
        <f aca="false">INT((A768-1)/안내!$C$9)+1</f>
        <v>154</v>
      </c>
      <c r="S768" s="26" t="n">
        <f aca="false">안내!$C$10+(R768-1)*7+MOD(A768-1,안내!$C$9)</f>
        <v>47463</v>
      </c>
      <c r="T768" s="23" t="s">
        <v>99</v>
      </c>
      <c r="U768" s="23" t="s">
        <v>99</v>
      </c>
      <c r="V768" s="23" t="s">
        <v>99</v>
      </c>
      <c r="W768" s="23" t="s">
        <v>99</v>
      </c>
      <c r="X768" s="28"/>
      <c r="Y768" s="28" t="str">
        <f aca="false">"다음 편: "&amp;J769</f>
        <v>다음 편: 거짓 선생들</v>
      </c>
    </row>
    <row r="769" customFormat="false" ht="26.85" hidden="false" customHeight="false" outlineLevel="0" collapsed="false">
      <c r="A769" s="29" t="n">
        <v>768</v>
      </c>
      <c r="B769" s="29" t="s">
        <v>7218</v>
      </c>
      <c r="C769" s="29" t="s">
        <v>7219</v>
      </c>
      <c r="D769" s="29" t="s">
        <v>7126</v>
      </c>
      <c r="E769" s="24" t="s">
        <v>7127</v>
      </c>
      <c r="F769" s="23" t="s">
        <v>4950</v>
      </c>
      <c r="G769" s="23" t="s">
        <v>7210</v>
      </c>
      <c r="H769" s="24" t="s">
        <v>7220</v>
      </c>
      <c r="I769" s="23" t="s">
        <v>1116</v>
      </c>
      <c r="J769" s="24" t="s">
        <v>7221</v>
      </c>
      <c r="K769" s="24" t="s">
        <v>7222</v>
      </c>
      <c r="L769" s="24" t="s">
        <v>7223</v>
      </c>
      <c r="M769" s="24" t="s">
        <v>7224</v>
      </c>
      <c r="N769" s="24" t="s">
        <v>7180</v>
      </c>
      <c r="O769" s="24" t="s">
        <v>7225</v>
      </c>
      <c r="P769" s="25" t="s">
        <v>7226</v>
      </c>
      <c r="Q769" s="28" t="str">
        <f aca="false">"["&amp;안내!$C$5&amp;" "&amp;C769&amp;"] "&amp;J769&amp;" | "&amp;H769</f>
        <v>[1분 성경 #0768] 거짓 선생들 | 벧후 2:1-22</v>
      </c>
      <c r="R769" s="29" t="n">
        <f aca="false">INT((A769-1)/안내!$C$9)+1</f>
        <v>154</v>
      </c>
      <c r="S769" s="26" t="n">
        <f aca="false">안내!$C$10+(R769-1)*7+MOD(A769-1,안내!$C$9)</f>
        <v>47464</v>
      </c>
      <c r="T769" s="23" t="s">
        <v>99</v>
      </c>
      <c r="U769" s="23" t="s">
        <v>99</v>
      </c>
      <c r="V769" s="23" t="s">
        <v>99</v>
      </c>
      <c r="W769" s="23" t="s">
        <v>99</v>
      </c>
      <c r="X769" s="28"/>
      <c r="Y769" s="28" t="str">
        <f aca="false">"다음 편: "&amp;J770</f>
        <v>다음 편: 천 년이 하루 같고</v>
      </c>
    </row>
    <row r="770" customFormat="false" ht="26.85" hidden="false" customHeight="false" outlineLevel="0" collapsed="false">
      <c r="A770" s="29" t="n">
        <v>769</v>
      </c>
      <c r="B770" s="29" t="s">
        <v>7227</v>
      </c>
      <c r="C770" s="29" t="s">
        <v>7228</v>
      </c>
      <c r="D770" s="29" t="s">
        <v>7126</v>
      </c>
      <c r="E770" s="24" t="s">
        <v>7127</v>
      </c>
      <c r="F770" s="23" t="s">
        <v>4950</v>
      </c>
      <c r="G770" s="23" t="s">
        <v>7210</v>
      </c>
      <c r="H770" s="24" t="s">
        <v>7229</v>
      </c>
      <c r="I770" s="23" t="s">
        <v>1116</v>
      </c>
      <c r="J770" s="24" t="s">
        <v>7230</v>
      </c>
      <c r="K770" s="24" t="s">
        <v>7231</v>
      </c>
      <c r="L770" s="24" t="s">
        <v>7232</v>
      </c>
      <c r="M770" s="24" t="s">
        <v>7233</v>
      </c>
      <c r="N770" s="24" t="s">
        <v>7180</v>
      </c>
      <c r="O770" s="24" t="s">
        <v>7234</v>
      </c>
      <c r="P770" s="25" t="s">
        <v>7235</v>
      </c>
      <c r="Q770" s="28" t="str">
        <f aca="false">"["&amp;안내!$C$5&amp;" "&amp;C770&amp;"] "&amp;J770&amp;" | "&amp;H770</f>
        <v>[1분 성경 #0769] 천 년이 하루 같고 | 벧후 3:1-18</v>
      </c>
      <c r="R770" s="29" t="n">
        <f aca="false">INT((A770-1)/안내!$C$9)+1</f>
        <v>154</v>
      </c>
      <c r="S770" s="26" t="n">
        <f aca="false">안내!$C$10+(R770-1)*7+MOD(A770-1,안내!$C$9)</f>
        <v>47465</v>
      </c>
      <c r="T770" s="23" t="s">
        <v>99</v>
      </c>
      <c r="U770" s="23" t="s">
        <v>99</v>
      </c>
      <c r="V770" s="23" t="s">
        <v>99</v>
      </c>
      <c r="W770" s="23" t="s">
        <v>99</v>
      </c>
      <c r="X770" s="28"/>
      <c r="Y770" s="28" t="str">
        <f aca="false">"다음 편: "&amp;J771</f>
        <v>다음 편: 빛 가운데 행하면</v>
      </c>
    </row>
    <row r="771" customFormat="false" ht="26.85" hidden="false" customHeight="false" outlineLevel="0" collapsed="false">
      <c r="A771" s="29" t="n">
        <v>770</v>
      </c>
      <c r="B771" s="29" t="s">
        <v>7236</v>
      </c>
      <c r="C771" s="29" t="s">
        <v>7237</v>
      </c>
      <c r="D771" s="29" t="s">
        <v>7238</v>
      </c>
      <c r="E771" s="24" t="s">
        <v>7239</v>
      </c>
      <c r="F771" s="23" t="s">
        <v>4950</v>
      </c>
      <c r="G771" s="23" t="s">
        <v>7240</v>
      </c>
      <c r="H771" s="24" t="s">
        <v>7241</v>
      </c>
      <c r="I771" s="23" t="s">
        <v>1116</v>
      </c>
      <c r="J771" s="24" t="s">
        <v>7242</v>
      </c>
      <c r="K771" s="24" t="s">
        <v>7243</v>
      </c>
      <c r="L771" s="24" t="s">
        <v>7244</v>
      </c>
      <c r="M771" s="24" t="s">
        <v>7245</v>
      </c>
      <c r="N771" s="24" t="s">
        <v>7246</v>
      </c>
      <c r="O771" s="24" t="s">
        <v>7247</v>
      </c>
      <c r="P771" s="28"/>
      <c r="Q771" s="28" t="str">
        <f aca="false">"["&amp;안내!$C$5&amp;" "&amp;C771&amp;"] "&amp;J771&amp;" | "&amp;H771</f>
        <v>[1분 성경 #0770] 빛 가운데 행하면 | 요일 1:1-2:14</v>
      </c>
      <c r="R771" s="29" t="n">
        <f aca="false">INT((A771-1)/안내!$C$9)+1</f>
        <v>154</v>
      </c>
      <c r="S771" s="26" t="n">
        <f aca="false">안내!$C$10+(R771-1)*7+MOD(A771-1,안내!$C$9)</f>
        <v>47466</v>
      </c>
      <c r="T771" s="23" t="s">
        <v>99</v>
      </c>
      <c r="U771" s="23" t="s">
        <v>99</v>
      </c>
      <c r="V771" s="23" t="s">
        <v>99</v>
      </c>
      <c r="W771" s="23" t="s">
        <v>99</v>
      </c>
      <c r="X771" s="28"/>
      <c r="Y771" s="28" t="str">
        <f aca="false">"다음 편: "&amp;J772</f>
        <v>다음 편: 하나님의 자녀라 일컬음을</v>
      </c>
    </row>
    <row r="772" customFormat="false" ht="26.85" hidden="false" customHeight="false" outlineLevel="0" collapsed="false">
      <c r="A772" s="29" t="n">
        <v>771</v>
      </c>
      <c r="B772" s="29" t="s">
        <v>7248</v>
      </c>
      <c r="C772" s="29" t="s">
        <v>7249</v>
      </c>
      <c r="D772" s="29" t="s">
        <v>7238</v>
      </c>
      <c r="E772" s="24" t="s">
        <v>7239</v>
      </c>
      <c r="F772" s="23" t="s">
        <v>4950</v>
      </c>
      <c r="G772" s="23" t="s">
        <v>7240</v>
      </c>
      <c r="H772" s="24" t="s">
        <v>7250</v>
      </c>
      <c r="I772" s="23" t="s">
        <v>1116</v>
      </c>
      <c r="J772" s="24" t="s">
        <v>7251</v>
      </c>
      <c r="K772" s="24" t="s">
        <v>7252</v>
      </c>
      <c r="L772" s="24" t="s">
        <v>7253</v>
      </c>
      <c r="M772" s="24" t="s">
        <v>7254</v>
      </c>
      <c r="N772" s="24" t="s">
        <v>7246</v>
      </c>
      <c r="O772" s="24" t="s">
        <v>7255</v>
      </c>
      <c r="P772" s="28"/>
      <c r="Q772" s="28" t="str">
        <f aca="false">"["&amp;안내!$C$5&amp;" "&amp;C772&amp;"] "&amp;J772&amp;" | "&amp;H772</f>
        <v>[1분 성경 #0771] 하나님의 자녀라 일컬음을 | 요일 2:15-3:24</v>
      </c>
      <c r="R772" s="29" t="n">
        <f aca="false">INT((A772-1)/안내!$C$9)+1</f>
        <v>155</v>
      </c>
      <c r="S772" s="26" t="n">
        <f aca="false">안내!$C$10+(R772-1)*7+MOD(A772-1,안내!$C$9)</f>
        <v>47469</v>
      </c>
      <c r="T772" s="23" t="s">
        <v>99</v>
      </c>
      <c r="U772" s="23" t="s">
        <v>99</v>
      </c>
      <c r="V772" s="23" t="s">
        <v>99</v>
      </c>
      <c r="W772" s="23" t="s">
        <v>99</v>
      </c>
      <c r="X772" s="28"/>
      <c r="Y772" s="28" t="str">
        <f aca="false">"다음 편: "&amp;J773</f>
        <v>다음 편: 하나님은 사랑이시라</v>
      </c>
    </row>
    <row r="773" customFormat="false" ht="26.85" hidden="false" customHeight="false" outlineLevel="0" collapsed="false">
      <c r="A773" s="29" t="n">
        <v>772</v>
      </c>
      <c r="B773" s="29" t="s">
        <v>7256</v>
      </c>
      <c r="C773" s="29" t="s">
        <v>7257</v>
      </c>
      <c r="D773" s="29" t="s">
        <v>7238</v>
      </c>
      <c r="E773" s="24" t="s">
        <v>7239</v>
      </c>
      <c r="F773" s="23" t="s">
        <v>4950</v>
      </c>
      <c r="G773" s="23" t="s">
        <v>7240</v>
      </c>
      <c r="H773" s="24" t="s">
        <v>7258</v>
      </c>
      <c r="I773" s="23" t="s">
        <v>1116</v>
      </c>
      <c r="J773" s="24" t="s">
        <v>7259</v>
      </c>
      <c r="K773" s="24" t="s">
        <v>7260</v>
      </c>
      <c r="L773" s="24" t="s">
        <v>7261</v>
      </c>
      <c r="M773" s="24" t="s">
        <v>7262</v>
      </c>
      <c r="N773" s="24" t="s">
        <v>7246</v>
      </c>
      <c r="O773" s="24" t="s">
        <v>7263</v>
      </c>
      <c r="P773" s="27" t="s">
        <v>7264</v>
      </c>
      <c r="Q773" s="28" t="str">
        <f aca="false">"["&amp;안내!$C$5&amp;" "&amp;C773&amp;"] "&amp;J773&amp;" | "&amp;H773</f>
        <v>[1분 성경 #0772] 하나님은 사랑이시라 | 요일 4:1-21</v>
      </c>
      <c r="R773" s="29" t="n">
        <f aca="false">INT((A773-1)/안내!$C$9)+1</f>
        <v>155</v>
      </c>
      <c r="S773" s="26" t="n">
        <f aca="false">안내!$C$10+(R773-1)*7+MOD(A773-1,안내!$C$9)</f>
        <v>47470</v>
      </c>
      <c r="T773" s="23" t="s">
        <v>99</v>
      </c>
      <c r="U773" s="23" t="s">
        <v>99</v>
      </c>
      <c r="V773" s="23" t="s">
        <v>99</v>
      </c>
      <c r="W773" s="23" t="s">
        <v>99</v>
      </c>
      <c r="X773" s="28"/>
      <c r="Y773" s="28" t="str">
        <f aca="false">"다음 편: "&amp;J774</f>
        <v>다음 편: 영생이 있음을 알게</v>
      </c>
    </row>
    <row r="774" customFormat="false" ht="26.85" hidden="false" customHeight="false" outlineLevel="0" collapsed="false">
      <c r="A774" s="29" t="n">
        <v>773</v>
      </c>
      <c r="B774" s="29" t="s">
        <v>7265</v>
      </c>
      <c r="C774" s="29" t="s">
        <v>7266</v>
      </c>
      <c r="D774" s="29" t="s">
        <v>7238</v>
      </c>
      <c r="E774" s="24" t="s">
        <v>7239</v>
      </c>
      <c r="F774" s="23" t="s">
        <v>4950</v>
      </c>
      <c r="G774" s="23" t="s">
        <v>7240</v>
      </c>
      <c r="H774" s="24" t="s">
        <v>7267</v>
      </c>
      <c r="I774" s="23" t="s">
        <v>1116</v>
      </c>
      <c r="J774" s="24" t="s">
        <v>7268</v>
      </c>
      <c r="K774" s="24" t="s">
        <v>7269</v>
      </c>
      <c r="L774" s="24" t="s">
        <v>7270</v>
      </c>
      <c r="M774" s="24" t="s">
        <v>7271</v>
      </c>
      <c r="N774" s="24" t="s">
        <v>7246</v>
      </c>
      <c r="O774" s="24" t="s">
        <v>7272</v>
      </c>
      <c r="P774" s="25" t="s">
        <v>7273</v>
      </c>
      <c r="Q774" s="28" t="str">
        <f aca="false">"["&amp;안내!$C$5&amp;" "&amp;C774&amp;"] "&amp;J774&amp;" | "&amp;H774</f>
        <v>[1분 성경 #0773] 영생이 있음을 알게 | 요일 5:1-21</v>
      </c>
      <c r="R774" s="29" t="n">
        <f aca="false">INT((A774-1)/안내!$C$9)+1</f>
        <v>155</v>
      </c>
      <c r="S774" s="26" t="n">
        <f aca="false">안내!$C$10+(R774-1)*7+MOD(A774-1,안내!$C$9)</f>
        <v>47471</v>
      </c>
      <c r="T774" s="23" t="s">
        <v>99</v>
      </c>
      <c r="U774" s="23" t="s">
        <v>99</v>
      </c>
      <c r="V774" s="23" t="s">
        <v>99</v>
      </c>
      <c r="W774" s="23" t="s">
        <v>99</v>
      </c>
      <c r="X774" s="28"/>
      <c r="Y774" s="28" t="str">
        <f aca="false">"다음 편: "&amp;J775</f>
        <v>다음 편: 진리 안에서 행하라</v>
      </c>
    </row>
    <row r="775" customFormat="false" ht="26.85" hidden="false" customHeight="false" outlineLevel="0" collapsed="false">
      <c r="A775" s="29" t="n">
        <v>774</v>
      </c>
      <c r="B775" s="29" t="s">
        <v>7274</v>
      </c>
      <c r="C775" s="29" t="s">
        <v>7275</v>
      </c>
      <c r="D775" s="29" t="s">
        <v>7238</v>
      </c>
      <c r="E775" s="24" t="s">
        <v>7239</v>
      </c>
      <c r="F775" s="23" t="s">
        <v>4950</v>
      </c>
      <c r="G775" s="23" t="s">
        <v>7276</v>
      </c>
      <c r="H775" s="24" t="s">
        <v>7277</v>
      </c>
      <c r="I775" s="23" t="s">
        <v>1116</v>
      </c>
      <c r="J775" s="24" t="s">
        <v>7278</v>
      </c>
      <c r="K775" s="24" t="s">
        <v>7279</v>
      </c>
      <c r="L775" s="24" t="s">
        <v>7280</v>
      </c>
      <c r="M775" s="24" t="s">
        <v>7281</v>
      </c>
      <c r="N775" s="24" t="s">
        <v>7282</v>
      </c>
      <c r="O775" s="24" t="s">
        <v>7283</v>
      </c>
      <c r="P775" s="25" t="s">
        <v>7284</v>
      </c>
      <c r="Q775" s="28" t="str">
        <f aca="false">"["&amp;안내!$C$5&amp;" "&amp;C775&amp;"] "&amp;J775&amp;" | "&amp;H775</f>
        <v>[1분 성경 #0774] 진리 안에서 행하라 | 요이 1:1-13</v>
      </c>
      <c r="R775" s="29" t="n">
        <f aca="false">INT((A775-1)/안내!$C$9)+1</f>
        <v>155</v>
      </c>
      <c r="S775" s="26" t="n">
        <f aca="false">안내!$C$10+(R775-1)*7+MOD(A775-1,안내!$C$9)</f>
        <v>47472</v>
      </c>
      <c r="T775" s="23" t="s">
        <v>99</v>
      </c>
      <c r="U775" s="23" t="s">
        <v>99</v>
      </c>
      <c r="V775" s="23" t="s">
        <v>99</v>
      </c>
      <c r="W775" s="23" t="s">
        <v>99</v>
      </c>
      <c r="X775" s="28"/>
      <c r="Y775" s="28" t="str">
        <f aca="false">"다음 편: "&amp;J776</f>
        <v>다음 편: 선한 것을 본받으라</v>
      </c>
    </row>
    <row r="776" customFormat="false" ht="26.85" hidden="false" customHeight="false" outlineLevel="0" collapsed="false">
      <c r="A776" s="29" t="n">
        <v>775</v>
      </c>
      <c r="B776" s="29" t="s">
        <v>7285</v>
      </c>
      <c r="C776" s="29" t="s">
        <v>7286</v>
      </c>
      <c r="D776" s="29" t="s">
        <v>7238</v>
      </c>
      <c r="E776" s="24" t="s">
        <v>7239</v>
      </c>
      <c r="F776" s="23" t="s">
        <v>4950</v>
      </c>
      <c r="G776" s="23" t="s">
        <v>7287</v>
      </c>
      <c r="H776" s="24" t="s">
        <v>7288</v>
      </c>
      <c r="I776" s="23" t="s">
        <v>1116</v>
      </c>
      <c r="J776" s="24" t="s">
        <v>7289</v>
      </c>
      <c r="K776" s="24" t="s">
        <v>7290</v>
      </c>
      <c r="L776" s="24" t="s">
        <v>7291</v>
      </c>
      <c r="M776" s="24" t="s">
        <v>7292</v>
      </c>
      <c r="N776" s="24" t="s">
        <v>7293</v>
      </c>
      <c r="O776" s="24" t="s">
        <v>7294</v>
      </c>
      <c r="P776" s="27" t="s">
        <v>7295</v>
      </c>
      <c r="Q776" s="28" t="str">
        <f aca="false">"["&amp;안내!$C$5&amp;" "&amp;C776&amp;"] "&amp;J776&amp;" | "&amp;H776</f>
        <v>[1분 성경 #0775] 선한 것을 본받으라 | 요삼 1:1-15</v>
      </c>
      <c r="R776" s="29" t="n">
        <f aca="false">INT((A776-1)/안내!$C$9)+1</f>
        <v>155</v>
      </c>
      <c r="S776" s="26" t="n">
        <f aca="false">안내!$C$10+(R776-1)*7+MOD(A776-1,안내!$C$9)</f>
        <v>47473</v>
      </c>
      <c r="T776" s="23" t="s">
        <v>99</v>
      </c>
      <c r="U776" s="23" t="s">
        <v>99</v>
      </c>
      <c r="V776" s="23" t="s">
        <v>99</v>
      </c>
      <c r="W776" s="23" t="s">
        <v>99</v>
      </c>
      <c r="X776" s="28"/>
      <c r="Y776" s="28" t="str">
        <f aca="false">"다음 편: "&amp;J777</f>
        <v>다음 편: 믿음의 도를 위하여 싸우라</v>
      </c>
    </row>
    <row r="777" customFormat="false" ht="26.85" hidden="false" customHeight="false" outlineLevel="0" collapsed="false">
      <c r="A777" s="29" t="n">
        <v>776</v>
      </c>
      <c r="B777" s="29" t="s">
        <v>7296</v>
      </c>
      <c r="C777" s="29" t="s">
        <v>7297</v>
      </c>
      <c r="D777" s="29" t="s">
        <v>7238</v>
      </c>
      <c r="E777" s="24" t="s">
        <v>7239</v>
      </c>
      <c r="F777" s="23" t="s">
        <v>4950</v>
      </c>
      <c r="G777" s="23" t="s">
        <v>7298</v>
      </c>
      <c r="H777" s="24" t="s">
        <v>7299</v>
      </c>
      <c r="I777" s="23" t="s">
        <v>1116</v>
      </c>
      <c r="J777" s="24" t="s">
        <v>7300</v>
      </c>
      <c r="K777" s="24" t="s">
        <v>7301</v>
      </c>
      <c r="L777" s="24" t="s">
        <v>7302</v>
      </c>
      <c r="M777" s="24" t="s">
        <v>7303</v>
      </c>
      <c r="N777" s="24" t="s">
        <v>7304</v>
      </c>
      <c r="O777" s="24" t="s">
        <v>7305</v>
      </c>
      <c r="P777" s="27" t="s">
        <v>7306</v>
      </c>
      <c r="Q777" s="28" t="str">
        <f aca="false">"["&amp;안내!$C$5&amp;" "&amp;C777&amp;"] "&amp;J777&amp;" | "&amp;H777</f>
        <v>[1분 성경 #0776] 믿음의 도를 위하여 싸우라 | 유 1:1-25</v>
      </c>
      <c r="R777" s="29" t="n">
        <f aca="false">INT((A777-1)/안내!$C$9)+1</f>
        <v>156</v>
      </c>
      <c r="S777" s="26" t="n">
        <f aca="false">안내!$C$10+(R777-1)*7+MOD(A777-1,안내!$C$9)</f>
        <v>47476</v>
      </c>
      <c r="T777" s="23" t="s">
        <v>99</v>
      </c>
      <c r="U777" s="23" t="s">
        <v>99</v>
      </c>
      <c r="V777" s="23" t="s">
        <v>99</v>
      </c>
      <c r="W777" s="23" t="s">
        <v>99</v>
      </c>
      <c r="X777" s="28"/>
      <c r="Y777" s="28" t="str">
        <f aca="false">"다음 편: "&amp;J778</f>
        <v>다음 편: 읽는 자와 듣는 자는 복이 있다</v>
      </c>
    </row>
    <row r="778" customFormat="false" ht="26.85" hidden="false" customHeight="false" outlineLevel="0" collapsed="false">
      <c r="A778" s="29" t="n">
        <v>777</v>
      </c>
      <c r="B778" s="29" t="s">
        <v>7307</v>
      </c>
      <c r="C778" s="29" t="s">
        <v>7308</v>
      </c>
      <c r="D778" s="29" t="s">
        <v>7309</v>
      </c>
      <c r="E778" s="24" t="s">
        <v>7310</v>
      </c>
      <c r="F778" s="23" t="s">
        <v>4950</v>
      </c>
      <c r="G778" s="23" t="s">
        <v>7311</v>
      </c>
      <c r="H778" s="24" t="s">
        <v>7312</v>
      </c>
      <c r="I778" s="23" t="s">
        <v>1116</v>
      </c>
      <c r="J778" s="24" t="s">
        <v>7313</v>
      </c>
      <c r="K778" s="24" t="s">
        <v>7314</v>
      </c>
      <c r="L778" s="24" t="s">
        <v>7315</v>
      </c>
      <c r="M778" s="24" t="s">
        <v>7316</v>
      </c>
      <c r="N778" s="24" t="s">
        <v>7246</v>
      </c>
      <c r="O778" s="24" t="s">
        <v>7317</v>
      </c>
      <c r="P778" s="28"/>
      <c r="Q778" s="28" t="str">
        <f aca="false">"["&amp;안내!$C$5&amp;" "&amp;C778&amp;"] "&amp;J778&amp;" | "&amp;H778</f>
        <v>[1분 성경 #0777] 읽는 자와 듣는 자는 복이 있다 | 계 1:1-8</v>
      </c>
      <c r="R778" s="29" t="n">
        <f aca="false">INT((A778-1)/안내!$C$9)+1</f>
        <v>156</v>
      </c>
      <c r="S778" s="26" t="n">
        <f aca="false">안내!$C$10+(R778-1)*7+MOD(A778-1,안내!$C$9)</f>
        <v>47477</v>
      </c>
      <c r="T778" s="23" t="s">
        <v>99</v>
      </c>
      <c r="U778" s="23" t="s">
        <v>99</v>
      </c>
      <c r="V778" s="23" t="s">
        <v>99</v>
      </c>
      <c r="W778" s="23" t="s">
        <v>99</v>
      </c>
      <c r="X778" s="28"/>
      <c r="Y778" s="28" t="str">
        <f aca="false">"다음 편: "&amp;J779</f>
        <v>다음 편: 일곱 금 촛대 사이의 인자</v>
      </c>
    </row>
    <row r="779" customFormat="false" ht="26.85" hidden="false" customHeight="false" outlineLevel="0" collapsed="false">
      <c r="A779" s="29" t="n">
        <v>778</v>
      </c>
      <c r="B779" s="29" t="s">
        <v>7318</v>
      </c>
      <c r="C779" s="29" t="s">
        <v>7319</v>
      </c>
      <c r="D779" s="29" t="s">
        <v>7309</v>
      </c>
      <c r="E779" s="24" t="s">
        <v>7310</v>
      </c>
      <c r="F779" s="23" t="s">
        <v>4950</v>
      </c>
      <c r="G779" s="23" t="s">
        <v>7311</v>
      </c>
      <c r="H779" s="24" t="s">
        <v>7320</v>
      </c>
      <c r="I779" s="23" t="s">
        <v>1116</v>
      </c>
      <c r="J779" s="24" t="s">
        <v>7321</v>
      </c>
      <c r="K779" s="24" t="s">
        <v>7322</v>
      </c>
      <c r="L779" s="24" t="s">
        <v>7323</v>
      </c>
      <c r="M779" s="24" t="s">
        <v>7324</v>
      </c>
      <c r="N779" s="24" t="s">
        <v>7325</v>
      </c>
      <c r="O779" s="24" t="s">
        <v>7326</v>
      </c>
      <c r="P779" s="25" t="s">
        <v>7327</v>
      </c>
      <c r="Q779" s="28" t="str">
        <f aca="false">"["&amp;안내!$C$5&amp;" "&amp;C779&amp;"] "&amp;J779&amp;" | "&amp;H779</f>
        <v>[1분 성경 #0778] 일곱 금 촛대 사이의 인자 | 계 1:9-20</v>
      </c>
      <c r="R779" s="29" t="n">
        <f aca="false">INT((A779-1)/안내!$C$9)+1</f>
        <v>156</v>
      </c>
      <c r="S779" s="26" t="n">
        <f aca="false">안내!$C$10+(R779-1)*7+MOD(A779-1,안내!$C$9)</f>
        <v>47478</v>
      </c>
      <c r="T779" s="23" t="s">
        <v>99</v>
      </c>
      <c r="U779" s="23" t="s">
        <v>99</v>
      </c>
      <c r="V779" s="23" t="s">
        <v>99</v>
      </c>
      <c r="W779" s="23" t="s">
        <v>99</v>
      </c>
      <c r="X779" s="28"/>
      <c r="Y779" s="28" t="str">
        <f aca="false">"다음 편: "&amp;J780</f>
        <v>다음 편: 처음 사랑을 버렸다</v>
      </c>
    </row>
    <row r="780" customFormat="false" ht="26.85" hidden="false" customHeight="false" outlineLevel="0" collapsed="false">
      <c r="A780" s="29" t="n">
        <v>779</v>
      </c>
      <c r="B780" s="29" t="s">
        <v>7328</v>
      </c>
      <c r="C780" s="29" t="s">
        <v>7329</v>
      </c>
      <c r="D780" s="29" t="s">
        <v>7309</v>
      </c>
      <c r="E780" s="24" t="s">
        <v>7310</v>
      </c>
      <c r="F780" s="23" t="s">
        <v>4950</v>
      </c>
      <c r="G780" s="23" t="s">
        <v>7311</v>
      </c>
      <c r="H780" s="24" t="s">
        <v>7330</v>
      </c>
      <c r="I780" s="23" t="s">
        <v>1116</v>
      </c>
      <c r="J780" s="24" t="s">
        <v>7331</v>
      </c>
      <c r="K780" s="24" t="s">
        <v>7332</v>
      </c>
      <c r="L780" s="24" t="s">
        <v>7333</v>
      </c>
      <c r="M780" s="24" t="s">
        <v>7334</v>
      </c>
      <c r="N780" s="24" t="s">
        <v>7335</v>
      </c>
      <c r="O780" s="24" t="s">
        <v>7336</v>
      </c>
      <c r="P780" s="25" t="s">
        <v>7337</v>
      </c>
      <c r="Q780" s="28" t="str">
        <f aca="false">"["&amp;안내!$C$5&amp;" "&amp;C780&amp;"] "&amp;J780&amp;" | "&amp;H780</f>
        <v>[1분 성경 #0779] 처음 사랑을 버렸다 | 계 2:1-17</v>
      </c>
      <c r="R780" s="29" t="n">
        <f aca="false">INT((A780-1)/안내!$C$9)+1</f>
        <v>156</v>
      </c>
      <c r="S780" s="26" t="n">
        <f aca="false">안내!$C$10+(R780-1)*7+MOD(A780-1,안내!$C$9)</f>
        <v>47479</v>
      </c>
      <c r="T780" s="23" t="s">
        <v>99</v>
      </c>
      <c r="U780" s="23" t="s">
        <v>99</v>
      </c>
      <c r="V780" s="23" t="s">
        <v>99</v>
      </c>
      <c r="W780" s="23" t="s">
        <v>99</v>
      </c>
      <c r="X780" s="28"/>
      <c r="Y780" s="28" t="str">
        <f aca="false">"다음 편: "&amp;J781</f>
        <v>다음 편: 흰옷을 입고 나와 함께</v>
      </c>
    </row>
    <row r="781" customFormat="false" ht="26.85" hidden="false" customHeight="false" outlineLevel="0" collapsed="false">
      <c r="A781" s="29" t="n">
        <v>780</v>
      </c>
      <c r="B781" s="29" t="s">
        <v>7338</v>
      </c>
      <c r="C781" s="29" t="s">
        <v>7339</v>
      </c>
      <c r="D781" s="29" t="s">
        <v>7309</v>
      </c>
      <c r="E781" s="24" t="s">
        <v>7310</v>
      </c>
      <c r="F781" s="23" t="s">
        <v>4950</v>
      </c>
      <c r="G781" s="23" t="s">
        <v>7311</v>
      </c>
      <c r="H781" s="24" t="s">
        <v>7340</v>
      </c>
      <c r="I781" s="23" t="s">
        <v>1116</v>
      </c>
      <c r="J781" s="24" t="s">
        <v>7341</v>
      </c>
      <c r="K781" s="24" t="s">
        <v>7342</v>
      </c>
      <c r="L781" s="24" t="s">
        <v>7343</v>
      </c>
      <c r="M781" s="24" t="s">
        <v>7344</v>
      </c>
      <c r="N781" s="24" t="s">
        <v>7345</v>
      </c>
      <c r="O781" s="24" t="s">
        <v>7336</v>
      </c>
      <c r="P781" s="27" t="s">
        <v>7346</v>
      </c>
      <c r="Q781" s="28" t="str">
        <f aca="false">"["&amp;안내!$C$5&amp;" "&amp;C781&amp;"] "&amp;J781&amp;" | "&amp;H781</f>
        <v>[1분 성경 #0780] 흰옷을 입고 나와 함께 | 계 2:18-3:6</v>
      </c>
      <c r="R781" s="29" t="n">
        <f aca="false">INT((A781-1)/안내!$C$9)+1</f>
        <v>156</v>
      </c>
      <c r="S781" s="26" t="n">
        <f aca="false">안내!$C$10+(R781-1)*7+MOD(A781-1,안내!$C$9)</f>
        <v>47480</v>
      </c>
      <c r="T781" s="23" t="s">
        <v>99</v>
      </c>
      <c r="U781" s="23" t="s">
        <v>99</v>
      </c>
      <c r="V781" s="23" t="s">
        <v>99</v>
      </c>
      <c r="W781" s="23" t="s">
        <v>99</v>
      </c>
      <c r="X781" s="28"/>
      <c r="Y781" s="28" t="str">
        <f aca="false">"다음 편: "&amp;J782</f>
        <v>다음 편: 문 밖에서 두드리시는 주님</v>
      </c>
    </row>
    <row r="782" customFormat="false" ht="26.85" hidden="false" customHeight="false" outlineLevel="0" collapsed="false">
      <c r="A782" s="29" t="n">
        <v>781</v>
      </c>
      <c r="B782" s="29" t="s">
        <v>7347</v>
      </c>
      <c r="C782" s="29" t="s">
        <v>7348</v>
      </c>
      <c r="D782" s="29" t="s">
        <v>7309</v>
      </c>
      <c r="E782" s="24" t="s">
        <v>7310</v>
      </c>
      <c r="F782" s="23" t="s">
        <v>4950</v>
      </c>
      <c r="G782" s="23" t="s">
        <v>7311</v>
      </c>
      <c r="H782" s="24" t="s">
        <v>7349</v>
      </c>
      <c r="I782" s="23" t="s">
        <v>1116</v>
      </c>
      <c r="J782" s="24" t="s">
        <v>7350</v>
      </c>
      <c r="K782" s="24" t="s">
        <v>7351</v>
      </c>
      <c r="L782" s="24" t="s">
        <v>7352</v>
      </c>
      <c r="M782" s="24" t="s">
        <v>7353</v>
      </c>
      <c r="N782" s="24" t="s">
        <v>7354</v>
      </c>
      <c r="O782" s="24" t="s">
        <v>7355</v>
      </c>
      <c r="P782" s="28"/>
      <c r="Q782" s="28" t="str">
        <f aca="false">"["&amp;안내!$C$5&amp;" "&amp;C782&amp;"] "&amp;J782&amp;" | "&amp;H782</f>
        <v>[1분 성경 #0781] 문 밖에서 두드리시는 주님 | 계 3:7-22</v>
      </c>
      <c r="R782" s="29" t="n">
        <f aca="false">INT((A782-1)/안내!$C$9)+1</f>
        <v>157</v>
      </c>
      <c r="S782" s="26" t="n">
        <f aca="false">안내!$C$10+(R782-1)*7+MOD(A782-1,안내!$C$9)</f>
        <v>47483</v>
      </c>
      <c r="T782" s="23" t="s">
        <v>99</v>
      </c>
      <c r="U782" s="23" t="s">
        <v>99</v>
      </c>
      <c r="V782" s="23" t="s">
        <v>99</v>
      </c>
      <c r="W782" s="23" t="s">
        <v>99</v>
      </c>
      <c r="X782" s="28"/>
      <c r="Y782" s="28" t="str">
        <f aca="false">"다음 편: "&amp;J783</f>
        <v>다음 편: 하늘 보좌</v>
      </c>
    </row>
    <row r="783" customFormat="false" ht="26.85" hidden="false" customHeight="false" outlineLevel="0" collapsed="false">
      <c r="A783" s="29" t="n">
        <v>782</v>
      </c>
      <c r="B783" s="29" t="s">
        <v>7356</v>
      </c>
      <c r="C783" s="29" t="s">
        <v>7357</v>
      </c>
      <c r="D783" s="29" t="s">
        <v>7309</v>
      </c>
      <c r="E783" s="24" t="s">
        <v>7310</v>
      </c>
      <c r="F783" s="23" t="s">
        <v>4950</v>
      </c>
      <c r="G783" s="23" t="s">
        <v>7311</v>
      </c>
      <c r="H783" s="24" t="s">
        <v>7358</v>
      </c>
      <c r="I783" s="23" t="s">
        <v>1116</v>
      </c>
      <c r="J783" s="24" t="s">
        <v>7359</v>
      </c>
      <c r="K783" s="24" t="s">
        <v>7360</v>
      </c>
      <c r="L783" s="24" t="s">
        <v>7361</v>
      </c>
      <c r="M783" s="24" t="s">
        <v>7362</v>
      </c>
      <c r="N783" s="24" t="s">
        <v>7363</v>
      </c>
      <c r="O783" s="24" t="s">
        <v>7364</v>
      </c>
      <c r="P783" s="25" t="s">
        <v>7365</v>
      </c>
      <c r="Q783" s="28" t="str">
        <f aca="false">"["&amp;안내!$C$5&amp;" "&amp;C783&amp;"] "&amp;J783&amp;" | "&amp;H783</f>
        <v>[1분 성경 #0782] 하늘 보좌 | 계 4:1-11</v>
      </c>
      <c r="R783" s="29" t="n">
        <f aca="false">INT((A783-1)/안내!$C$9)+1</f>
        <v>157</v>
      </c>
      <c r="S783" s="26" t="n">
        <f aca="false">안내!$C$10+(R783-1)*7+MOD(A783-1,안내!$C$9)</f>
        <v>47484</v>
      </c>
      <c r="T783" s="23" t="s">
        <v>99</v>
      </c>
      <c r="U783" s="23" t="s">
        <v>99</v>
      </c>
      <c r="V783" s="23" t="s">
        <v>99</v>
      </c>
      <c r="W783" s="23" t="s">
        <v>99</v>
      </c>
      <c r="X783" s="28"/>
      <c r="Y783" s="28" t="str">
        <f aca="false">"다음 편: "&amp;J784</f>
        <v>다음 편: 일찍 죽임을 당한 어린양</v>
      </c>
    </row>
    <row r="784" customFormat="false" ht="26.85" hidden="false" customHeight="false" outlineLevel="0" collapsed="false">
      <c r="A784" s="29" t="n">
        <v>783</v>
      </c>
      <c r="B784" s="29" t="s">
        <v>7366</v>
      </c>
      <c r="C784" s="29" t="s">
        <v>7367</v>
      </c>
      <c r="D784" s="29" t="s">
        <v>7309</v>
      </c>
      <c r="E784" s="24" t="s">
        <v>7310</v>
      </c>
      <c r="F784" s="23" t="s">
        <v>4950</v>
      </c>
      <c r="G784" s="23" t="s">
        <v>7311</v>
      </c>
      <c r="H784" s="24" t="s">
        <v>7368</v>
      </c>
      <c r="I784" s="23" t="s">
        <v>1116</v>
      </c>
      <c r="J784" s="24" t="s">
        <v>7369</v>
      </c>
      <c r="K784" s="24" t="s">
        <v>7370</v>
      </c>
      <c r="L784" s="24" t="s">
        <v>7371</v>
      </c>
      <c r="M784" s="24" t="s">
        <v>7372</v>
      </c>
      <c r="N784" s="24" t="s">
        <v>7373</v>
      </c>
      <c r="O784" s="24" t="s">
        <v>7374</v>
      </c>
      <c r="P784" s="25" t="s">
        <v>7375</v>
      </c>
      <c r="Q784" s="28" t="str">
        <f aca="false">"["&amp;안내!$C$5&amp;" "&amp;C784&amp;"] "&amp;J784&amp;" | "&amp;H784</f>
        <v>[1분 성경 #0783] 일찍 죽임을 당한 어린양 | 계 5:1-14</v>
      </c>
      <c r="R784" s="29" t="n">
        <f aca="false">INT((A784-1)/안내!$C$9)+1</f>
        <v>157</v>
      </c>
      <c r="S784" s="26" t="n">
        <f aca="false">안내!$C$10+(R784-1)*7+MOD(A784-1,안내!$C$9)</f>
        <v>47485</v>
      </c>
      <c r="T784" s="23" t="s">
        <v>99</v>
      </c>
      <c r="U784" s="23" t="s">
        <v>99</v>
      </c>
      <c r="V784" s="23" t="s">
        <v>99</v>
      </c>
      <c r="W784" s="23" t="s">
        <v>99</v>
      </c>
      <c r="X784" s="28"/>
      <c r="Y784" s="28" t="str">
        <f aca="false">"다음 편: "&amp;J785</f>
        <v>다음 편: 여섯 인</v>
      </c>
    </row>
    <row r="785" customFormat="false" ht="26.85" hidden="false" customHeight="false" outlineLevel="0" collapsed="false">
      <c r="A785" s="29" t="n">
        <v>784</v>
      </c>
      <c r="B785" s="29" t="s">
        <v>7376</v>
      </c>
      <c r="C785" s="29" t="s">
        <v>7377</v>
      </c>
      <c r="D785" s="29" t="s">
        <v>7309</v>
      </c>
      <c r="E785" s="24" t="s">
        <v>7310</v>
      </c>
      <c r="F785" s="23" t="s">
        <v>4950</v>
      </c>
      <c r="G785" s="23" t="s">
        <v>7311</v>
      </c>
      <c r="H785" s="24" t="s">
        <v>7378</v>
      </c>
      <c r="I785" s="23" t="s">
        <v>1116</v>
      </c>
      <c r="J785" s="24" t="s">
        <v>7379</v>
      </c>
      <c r="K785" s="24" t="s">
        <v>7380</v>
      </c>
      <c r="L785" s="24" t="s">
        <v>7381</v>
      </c>
      <c r="M785" s="24" t="s">
        <v>7382</v>
      </c>
      <c r="N785" s="24" t="s">
        <v>7383</v>
      </c>
      <c r="O785" s="24" t="s">
        <v>7384</v>
      </c>
      <c r="P785" s="25" t="s">
        <v>7385</v>
      </c>
      <c r="Q785" s="28" t="str">
        <f aca="false">"["&amp;안내!$C$5&amp;" "&amp;C785&amp;"] "&amp;J785&amp;" | "&amp;H785</f>
        <v>[1분 성경 #0784] 여섯 인 | 계 6:1-17</v>
      </c>
      <c r="R785" s="29" t="n">
        <f aca="false">INT((A785-1)/안내!$C$9)+1</f>
        <v>157</v>
      </c>
      <c r="S785" s="26" t="n">
        <f aca="false">안내!$C$10+(R785-1)*7+MOD(A785-1,안내!$C$9)</f>
        <v>47486</v>
      </c>
      <c r="T785" s="23" t="s">
        <v>99</v>
      </c>
      <c r="U785" s="23" t="s">
        <v>99</v>
      </c>
      <c r="V785" s="23" t="s">
        <v>99</v>
      </c>
      <c r="W785" s="23" t="s">
        <v>99</v>
      </c>
      <c r="X785" s="28"/>
      <c r="Y785" s="28" t="str">
        <f aca="false">"다음 편: "&amp;J786</f>
        <v>다음 편: 흰옷 입은 큰 무리</v>
      </c>
    </row>
    <row r="786" customFormat="false" ht="39.55" hidden="false" customHeight="false" outlineLevel="0" collapsed="false">
      <c r="A786" s="29" t="n">
        <v>785</v>
      </c>
      <c r="B786" s="29" t="s">
        <v>7386</v>
      </c>
      <c r="C786" s="29" t="s">
        <v>7387</v>
      </c>
      <c r="D786" s="29" t="s">
        <v>7309</v>
      </c>
      <c r="E786" s="24" t="s">
        <v>7310</v>
      </c>
      <c r="F786" s="23" t="s">
        <v>4950</v>
      </c>
      <c r="G786" s="23" t="s">
        <v>7311</v>
      </c>
      <c r="H786" s="24" t="s">
        <v>7388</v>
      </c>
      <c r="I786" s="23" t="s">
        <v>1116</v>
      </c>
      <c r="J786" s="24" t="s">
        <v>7389</v>
      </c>
      <c r="K786" s="24" t="s">
        <v>7390</v>
      </c>
      <c r="L786" s="24" t="s">
        <v>7391</v>
      </c>
      <c r="M786" s="24" t="s">
        <v>7392</v>
      </c>
      <c r="N786" s="24" t="s">
        <v>7393</v>
      </c>
      <c r="O786" s="24" t="s">
        <v>7394</v>
      </c>
      <c r="P786" s="27" t="s">
        <v>7395</v>
      </c>
      <c r="Q786" s="28" t="str">
        <f aca="false">"["&amp;안내!$C$5&amp;" "&amp;C786&amp;"] "&amp;J786&amp;" | "&amp;H786</f>
        <v>[1분 성경 #0785] 흰옷 입은 큰 무리 | 계 7:1-17</v>
      </c>
      <c r="R786" s="29" t="n">
        <f aca="false">INT((A786-1)/안내!$C$9)+1</f>
        <v>157</v>
      </c>
      <c r="S786" s="26" t="n">
        <f aca="false">안내!$C$10+(R786-1)*7+MOD(A786-1,안내!$C$9)</f>
        <v>47487</v>
      </c>
      <c r="T786" s="23" t="s">
        <v>99</v>
      </c>
      <c r="U786" s="23" t="s">
        <v>99</v>
      </c>
      <c r="V786" s="23" t="s">
        <v>99</v>
      </c>
      <c r="W786" s="23" t="s">
        <v>99</v>
      </c>
      <c r="X786" s="28"/>
      <c r="Y786" s="28" t="str">
        <f aca="false">"다음 편: "&amp;J787</f>
        <v>다음 편: 일곱 나팔</v>
      </c>
    </row>
    <row r="787" customFormat="false" ht="26.85" hidden="false" customHeight="false" outlineLevel="0" collapsed="false">
      <c r="A787" s="29" t="n">
        <v>786</v>
      </c>
      <c r="B787" s="29" t="s">
        <v>7396</v>
      </c>
      <c r="C787" s="29" t="s">
        <v>7397</v>
      </c>
      <c r="D787" s="29" t="s">
        <v>7309</v>
      </c>
      <c r="E787" s="24" t="s">
        <v>7310</v>
      </c>
      <c r="F787" s="23" t="s">
        <v>4950</v>
      </c>
      <c r="G787" s="23" t="s">
        <v>7311</v>
      </c>
      <c r="H787" s="24" t="s">
        <v>7398</v>
      </c>
      <c r="I787" s="23" t="s">
        <v>1116</v>
      </c>
      <c r="J787" s="24" t="s">
        <v>7399</v>
      </c>
      <c r="K787" s="24" t="s">
        <v>7400</v>
      </c>
      <c r="L787" s="24" t="s">
        <v>7401</v>
      </c>
      <c r="M787" s="24" t="s">
        <v>7402</v>
      </c>
      <c r="N787" s="24" t="s">
        <v>7403</v>
      </c>
      <c r="O787" s="24" t="s">
        <v>7404</v>
      </c>
      <c r="P787" s="25" t="s">
        <v>7405</v>
      </c>
      <c r="Q787" s="28" t="str">
        <f aca="false">"["&amp;안내!$C$5&amp;" "&amp;C787&amp;"] "&amp;J787&amp;" | "&amp;H787</f>
        <v>[1분 성경 #0786] 일곱 나팔 | 계 8:1-9:21</v>
      </c>
      <c r="R787" s="29" t="n">
        <f aca="false">INT((A787-1)/안내!$C$9)+1</f>
        <v>158</v>
      </c>
      <c r="S787" s="26" t="n">
        <f aca="false">안내!$C$10+(R787-1)*7+MOD(A787-1,안내!$C$9)</f>
        <v>47490</v>
      </c>
      <c r="T787" s="23" t="s">
        <v>99</v>
      </c>
      <c r="U787" s="23" t="s">
        <v>99</v>
      </c>
      <c r="V787" s="23" t="s">
        <v>99</v>
      </c>
      <c r="W787" s="23" t="s">
        <v>99</v>
      </c>
      <c r="X787" s="28"/>
      <c r="Y787" s="28" t="str">
        <f aca="false">"다음 편: "&amp;J788</f>
        <v>다음 편: 세상 나라가 그리스도의 나라가 되다</v>
      </c>
    </row>
    <row r="788" customFormat="false" ht="26.85" hidden="false" customHeight="false" outlineLevel="0" collapsed="false">
      <c r="A788" s="29" t="n">
        <v>787</v>
      </c>
      <c r="B788" s="29" t="s">
        <v>7406</v>
      </c>
      <c r="C788" s="29" t="s">
        <v>7407</v>
      </c>
      <c r="D788" s="29" t="s">
        <v>7309</v>
      </c>
      <c r="E788" s="24" t="s">
        <v>7310</v>
      </c>
      <c r="F788" s="23" t="s">
        <v>4950</v>
      </c>
      <c r="G788" s="23" t="s">
        <v>7311</v>
      </c>
      <c r="H788" s="24" t="s">
        <v>7408</v>
      </c>
      <c r="I788" s="23" t="s">
        <v>1116</v>
      </c>
      <c r="J788" s="24" t="s">
        <v>7409</v>
      </c>
      <c r="K788" s="24" t="s">
        <v>7410</v>
      </c>
      <c r="L788" s="24" t="s">
        <v>7411</v>
      </c>
      <c r="M788" s="24" t="s">
        <v>7412</v>
      </c>
      <c r="N788" s="24" t="s">
        <v>7413</v>
      </c>
      <c r="O788" s="24" t="s">
        <v>7414</v>
      </c>
      <c r="P788" s="25" t="s">
        <v>7415</v>
      </c>
      <c r="Q788" s="28" t="str">
        <f aca="false">"["&amp;안내!$C$5&amp;" "&amp;C788&amp;"] "&amp;J788&amp;" | "&amp;H788</f>
        <v>[1분 성경 #0787] 세상 나라가 그리스도의 나라가 되다 | 계 10:1-11:19</v>
      </c>
      <c r="R788" s="29" t="n">
        <f aca="false">INT((A788-1)/안내!$C$9)+1</f>
        <v>158</v>
      </c>
      <c r="S788" s="26" t="n">
        <f aca="false">안내!$C$10+(R788-1)*7+MOD(A788-1,안내!$C$9)</f>
        <v>47491</v>
      </c>
      <c r="T788" s="23" t="s">
        <v>99</v>
      </c>
      <c r="U788" s="23" t="s">
        <v>99</v>
      </c>
      <c r="V788" s="23" t="s">
        <v>99</v>
      </c>
      <c r="W788" s="23" t="s">
        <v>99</v>
      </c>
      <c r="X788" s="28"/>
      <c r="Y788" s="28" t="str">
        <f aca="false">"다음 편: "&amp;J789</f>
        <v>다음 편: 여자와 용</v>
      </c>
    </row>
    <row r="789" customFormat="false" ht="26.85" hidden="false" customHeight="false" outlineLevel="0" collapsed="false">
      <c r="A789" s="29" t="n">
        <v>788</v>
      </c>
      <c r="B789" s="29" t="s">
        <v>7416</v>
      </c>
      <c r="C789" s="29" t="s">
        <v>7417</v>
      </c>
      <c r="D789" s="29" t="s">
        <v>7418</v>
      </c>
      <c r="E789" s="24" t="s">
        <v>7419</v>
      </c>
      <c r="F789" s="23" t="s">
        <v>4950</v>
      </c>
      <c r="G789" s="23" t="s">
        <v>7311</v>
      </c>
      <c r="H789" s="24" t="s">
        <v>7420</v>
      </c>
      <c r="I789" s="23" t="s">
        <v>1116</v>
      </c>
      <c r="J789" s="24" t="s">
        <v>7421</v>
      </c>
      <c r="K789" s="24" t="s">
        <v>7422</v>
      </c>
      <c r="L789" s="24" t="s">
        <v>7423</v>
      </c>
      <c r="M789" s="24" t="s">
        <v>7424</v>
      </c>
      <c r="N789" s="24" t="s">
        <v>7425</v>
      </c>
      <c r="O789" s="24" t="s">
        <v>7426</v>
      </c>
      <c r="P789" s="27" t="s">
        <v>7427</v>
      </c>
      <c r="Q789" s="28" t="str">
        <f aca="false">"["&amp;안내!$C$5&amp;" "&amp;C789&amp;"] "&amp;J789&amp;" | "&amp;H789</f>
        <v>[1분 성경 #0788] 여자와 용 | 계 12:1-17</v>
      </c>
      <c r="R789" s="29" t="n">
        <f aca="false">INT((A789-1)/안내!$C$9)+1</f>
        <v>158</v>
      </c>
      <c r="S789" s="26" t="n">
        <f aca="false">안내!$C$10+(R789-1)*7+MOD(A789-1,안내!$C$9)</f>
        <v>47492</v>
      </c>
      <c r="T789" s="23" t="s">
        <v>99</v>
      </c>
      <c r="U789" s="23" t="s">
        <v>99</v>
      </c>
      <c r="V789" s="23" t="s">
        <v>99</v>
      </c>
      <c r="W789" s="23" t="s">
        <v>99</v>
      </c>
      <c r="X789" s="28"/>
      <c r="Y789" s="28" t="str">
        <f aca="false">"다음 편: "&amp;J790</f>
        <v>다음 편: 두 짐승과 666</v>
      </c>
    </row>
    <row r="790" customFormat="false" ht="26.85" hidden="false" customHeight="false" outlineLevel="0" collapsed="false">
      <c r="A790" s="29" t="n">
        <v>789</v>
      </c>
      <c r="B790" s="29" t="s">
        <v>7428</v>
      </c>
      <c r="C790" s="29" t="s">
        <v>7429</v>
      </c>
      <c r="D790" s="29" t="s">
        <v>7418</v>
      </c>
      <c r="E790" s="24" t="s">
        <v>7419</v>
      </c>
      <c r="F790" s="23" t="s">
        <v>4950</v>
      </c>
      <c r="G790" s="23" t="s">
        <v>7311</v>
      </c>
      <c r="H790" s="24" t="s">
        <v>7430</v>
      </c>
      <c r="I790" s="23" t="s">
        <v>1116</v>
      </c>
      <c r="J790" s="24" t="s">
        <v>7431</v>
      </c>
      <c r="K790" s="24" t="s">
        <v>7432</v>
      </c>
      <c r="L790" s="24" t="s">
        <v>7433</v>
      </c>
      <c r="M790" s="24" t="s">
        <v>7434</v>
      </c>
      <c r="N790" s="24" t="s">
        <v>7435</v>
      </c>
      <c r="O790" s="24" t="s">
        <v>7436</v>
      </c>
      <c r="P790" s="27" t="s">
        <v>7437</v>
      </c>
      <c r="Q790" s="28" t="str">
        <f aca="false">"["&amp;안내!$C$5&amp;" "&amp;C790&amp;"] "&amp;J790&amp;" | "&amp;H790</f>
        <v>[1분 성경 #0789] 두 짐승과 666 | 계 13:1-18</v>
      </c>
      <c r="R790" s="29" t="n">
        <f aca="false">INT((A790-1)/안내!$C$9)+1</f>
        <v>158</v>
      </c>
      <c r="S790" s="26" t="n">
        <f aca="false">안내!$C$10+(R790-1)*7+MOD(A790-1,안내!$C$9)</f>
        <v>47493</v>
      </c>
      <c r="T790" s="23" t="s">
        <v>99</v>
      </c>
      <c r="U790" s="23" t="s">
        <v>99</v>
      </c>
      <c r="V790" s="23" t="s">
        <v>99</v>
      </c>
      <c r="W790" s="23" t="s">
        <v>99</v>
      </c>
      <c r="X790" s="28"/>
      <c r="Y790" s="28" t="str">
        <f aca="false">"다음 편: "&amp;J791</f>
        <v>다음 편: 주 안에서 죽는 자들은 복이 있도다</v>
      </c>
    </row>
    <row r="791" customFormat="false" ht="26.85" hidden="false" customHeight="false" outlineLevel="0" collapsed="false">
      <c r="A791" s="29" t="n">
        <v>790</v>
      </c>
      <c r="B791" s="29" t="s">
        <v>7438</v>
      </c>
      <c r="C791" s="29" t="s">
        <v>7439</v>
      </c>
      <c r="D791" s="29" t="s">
        <v>7418</v>
      </c>
      <c r="E791" s="24" t="s">
        <v>7419</v>
      </c>
      <c r="F791" s="23" t="s">
        <v>4950</v>
      </c>
      <c r="G791" s="23" t="s">
        <v>7311</v>
      </c>
      <c r="H791" s="24" t="s">
        <v>7440</v>
      </c>
      <c r="I791" s="23" t="s">
        <v>1116</v>
      </c>
      <c r="J791" s="24" t="s">
        <v>7441</v>
      </c>
      <c r="K791" s="24" t="s">
        <v>7442</v>
      </c>
      <c r="L791" s="24" t="s">
        <v>7443</v>
      </c>
      <c r="M791" s="24" t="s">
        <v>7444</v>
      </c>
      <c r="N791" s="24" t="s">
        <v>7445</v>
      </c>
      <c r="O791" s="24" t="s">
        <v>7446</v>
      </c>
      <c r="P791" s="28"/>
      <c r="Q791" s="28" t="str">
        <f aca="false">"["&amp;안내!$C$5&amp;" "&amp;C791&amp;"] "&amp;J791&amp;" | "&amp;H791</f>
        <v>[1분 성경 #0790] 주 안에서 죽는 자들은 복이 있도다 | 계 14:1-20</v>
      </c>
      <c r="R791" s="29" t="n">
        <f aca="false">INT((A791-1)/안내!$C$9)+1</f>
        <v>158</v>
      </c>
      <c r="S791" s="26" t="n">
        <f aca="false">안내!$C$10+(R791-1)*7+MOD(A791-1,안내!$C$9)</f>
        <v>47494</v>
      </c>
      <c r="T791" s="23" t="s">
        <v>99</v>
      </c>
      <c r="U791" s="23" t="s">
        <v>99</v>
      </c>
      <c r="V791" s="23" t="s">
        <v>99</v>
      </c>
      <c r="W791" s="23" t="s">
        <v>99</v>
      </c>
      <c r="X791" s="28"/>
      <c r="Y791" s="28" t="str">
        <f aca="false">"다음 편: "&amp;J792</f>
        <v>다음 편: 모세의 노래, 어린양의 노래</v>
      </c>
    </row>
    <row r="792" customFormat="false" ht="26.85" hidden="false" customHeight="false" outlineLevel="0" collapsed="false">
      <c r="A792" s="29" t="n">
        <v>791</v>
      </c>
      <c r="B792" s="29" t="s">
        <v>7447</v>
      </c>
      <c r="C792" s="29" t="s">
        <v>7448</v>
      </c>
      <c r="D792" s="29" t="s">
        <v>7418</v>
      </c>
      <c r="E792" s="24" t="s">
        <v>7419</v>
      </c>
      <c r="F792" s="23" t="s">
        <v>4950</v>
      </c>
      <c r="G792" s="23" t="s">
        <v>7311</v>
      </c>
      <c r="H792" s="24" t="s">
        <v>7449</v>
      </c>
      <c r="I792" s="23" t="s">
        <v>1116</v>
      </c>
      <c r="J792" s="24" t="s">
        <v>7450</v>
      </c>
      <c r="K792" s="24" t="s">
        <v>7451</v>
      </c>
      <c r="L792" s="24" t="s">
        <v>7452</v>
      </c>
      <c r="M792" s="24" t="s">
        <v>7453</v>
      </c>
      <c r="N792" s="24" t="s">
        <v>7454</v>
      </c>
      <c r="O792" s="24" t="s">
        <v>7455</v>
      </c>
      <c r="P792" s="25" t="s">
        <v>7405</v>
      </c>
      <c r="Q792" s="28" t="str">
        <f aca="false">"["&amp;안내!$C$5&amp;" "&amp;C792&amp;"] "&amp;J792&amp;" | "&amp;H792</f>
        <v>[1분 성경 #0791] 모세의 노래, 어린양의 노래 | 계 15:1-16:21</v>
      </c>
      <c r="R792" s="29" t="n">
        <f aca="false">INT((A792-1)/안내!$C$9)+1</f>
        <v>159</v>
      </c>
      <c r="S792" s="26" t="n">
        <f aca="false">안내!$C$10+(R792-1)*7+MOD(A792-1,안내!$C$9)</f>
        <v>47497</v>
      </c>
      <c r="T792" s="23" t="s">
        <v>99</v>
      </c>
      <c r="U792" s="23" t="s">
        <v>99</v>
      </c>
      <c r="V792" s="23" t="s">
        <v>99</v>
      </c>
      <c r="W792" s="23" t="s">
        <v>99</v>
      </c>
      <c r="X792" s="28"/>
      <c r="Y792" s="28" t="str">
        <f aca="false">"다음 편: "&amp;J793</f>
        <v>다음 편: 바벨론에서 나오라</v>
      </c>
    </row>
    <row r="793" customFormat="false" ht="26.85" hidden="false" customHeight="false" outlineLevel="0" collapsed="false">
      <c r="A793" s="29" t="n">
        <v>792</v>
      </c>
      <c r="B793" s="29" t="s">
        <v>7456</v>
      </c>
      <c r="C793" s="29" t="s">
        <v>7457</v>
      </c>
      <c r="D793" s="29" t="s">
        <v>7418</v>
      </c>
      <c r="E793" s="24" t="s">
        <v>7419</v>
      </c>
      <c r="F793" s="23" t="s">
        <v>4950</v>
      </c>
      <c r="G793" s="23" t="s">
        <v>7311</v>
      </c>
      <c r="H793" s="24" t="s">
        <v>7458</v>
      </c>
      <c r="I793" s="23" t="s">
        <v>1116</v>
      </c>
      <c r="J793" s="24" t="s">
        <v>7459</v>
      </c>
      <c r="K793" s="24" t="s">
        <v>7460</v>
      </c>
      <c r="L793" s="24" t="s">
        <v>7461</v>
      </c>
      <c r="M793" s="24" t="s">
        <v>7462</v>
      </c>
      <c r="N793" s="24" t="s">
        <v>7463</v>
      </c>
      <c r="O793" s="24" t="s">
        <v>7464</v>
      </c>
      <c r="P793" s="25" t="s">
        <v>7465</v>
      </c>
      <c r="Q793" s="28" t="str">
        <f aca="false">"["&amp;안내!$C$5&amp;" "&amp;C793&amp;"] "&amp;J793&amp;" | "&amp;H793</f>
        <v>[1분 성경 #0792] 바벨론에서 나오라 | 계 17:1-18:24</v>
      </c>
      <c r="R793" s="29" t="n">
        <f aca="false">INT((A793-1)/안내!$C$9)+1</f>
        <v>159</v>
      </c>
      <c r="S793" s="26" t="n">
        <f aca="false">안내!$C$10+(R793-1)*7+MOD(A793-1,안내!$C$9)</f>
        <v>47498</v>
      </c>
      <c r="T793" s="23" t="s">
        <v>99</v>
      </c>
      <c r="U793" s="23" t="s">
        <v>99</v>
      </c>
      <c r="V793" s="23" t="s">
        <v>99</v>
      </c>
      <c r="W793" s="23" t="s">
        <v>99</v>
      </c>
      <c r="X793" s="28"/>
      <c r="Y793" s="28" t="str">
        <f aca="false">"다음 편: "&amp;J794</f>
        <v>다음 편: 어린양의 혼인 잔치</v>
      </c>
    </row>
    <row r="794" customFormat="false" ht="26.85" hidden="false" customHeight="false" outlineLevel="0" collapsed="false">
      <c r="A794" s="29" t="n">
        <v>793</v>
      </c>
      <c r="B794" s="29" t="s">
        <v>7466</v>
      </c>
      <c r="C794" s="29" t="s">
        <v>7467</v>
      </c>
      <c r="D794" s="29" t="s">
        <v>7418</v>
      </c>
      <c r="E794" s="24" t="s">
        <v>7419</v>
      </c>
      <c r="F794" s="23" t="s">
        <v>4950</v>
      </c>
      <c r="G794" s="23" t="s">
        <v>7311</v>
      </c>
      <c r="H794" s="24" t="s">
        <v>7468</v>
      </c>
      <c r="I794" s="23" t="s">
        <v>1116</v>
      </c>
      <c r="J794" s="24" t="s">
        <v>7469</v>
      </c>
      <c r="K794" s="24" t="s">
        <v>7470</v>
      </c>
      <c r="L794" s="24" t="s">
        <v>7471</v>
      </c>
      <c r="M794" s="24" t="s">
        <v>7472</v>
      </c>
      <c r="N794" s="24" t="s">
        <v>7473</v>
      </c>
      <c r="O794" s="24" t="s">
        <v>7474</v>
      </c>
      <c r="P794" s="28"/>
      <c r="Q794" s="28" t="str">
        <f aca="false">"["&amp;안내!$C$5&amp;" "&amp;C794&amp;"] "&amp;J794&amp;" | "&amp;H794</f>
        <v>[1분 성경 #0793] 어린양의 혼인 잔치 | 계 19:1-10</v>
      </c>
      <c r="R794" s="29" t="n">
        <f aca="false">INT((A794-1)/안내!$C$9)+1</f>
        <v>159</v>
      </c>
      <c r="S794" s="26" t="n">
        <f aca="false">안내!$C$10+(R794-1)*7+MOD(A794-1,안내!$C$9)</f>
        <v>47499</v>
      </c>
      <c r="T794" s="23" t="s">
        <v>99</v>
      </c>
      <c r="U794" s="23" t="s">
        <v>99</v>
      </c>
      <c r="V794" s="23" t="s">
        <v>99</v>
      </c>
      <c r="W794" s="23" t="s">
        <v>99</v>
      </c>
      <c r="X794" s="28"/>
      <c r="Y794" s="28" t="str">
        <f aca="false">"다음 편: "&amp;J795</f>
        <v>다음 편: 백마 탄 자</v>
      </c>
    </row>
    <row r="795" customFormat="false" ht="26.85" hidden="false" customHeight="false" outlineLevel="0" collapsed="false">
      <c r="A795" s="29" t="n">
        <v>794</v>
      </c>
      <c r="B795" s="29" t="s">
        <v>7475</v>
      </c>
      <c r="C795" s="29" t="s">
        <v>7476</v>
      </c>
      <c r="D795" s="29" t="s">
        <v>7418</v>
      </c>
      <c r="E795" s="24" t="s">
        <v>7419</v>
      </c>
      <c r="F795" s="23" t="s">
        <v>4950</v>
      </c>
      <c r="G795" s="23" t="s">
        <v>7311</v>
      </c>
      <c r="H795" s="24" t="s">
        <v>7477</v>
      </c>
      <c r="I795" s="23" t="s">
        <v>1116</v>
      </c>
      <c r="J795" s="24" t="s">
        <v>7478</v>
      </c>
      <c r="K795" s="24" t="s">
        <v>7479</v>
      </c>
      <c r="L795" s="24" t="s">
        <v>7480</v>
      </c>
      <c r="M795" s="24" t="s">
        <v>7481</v>
      </c>
      <c r="N795" s="24" t="s">
        <v>7482</v>
      </c>
      <c r="O795" s="24" t="s">
        <v>7483</v>
      </c>
      <c r="P795" s="25" t="s">
        <v>7484</v>
      </c>
      <c r="Q795" s="28" t="str">
        <f aca="false">"["&amp;안내!$C$5&amp;" "&amp;C795&amp;"] "&amp;J795&amp;" | "&amp;H795</f>
        <v>[1분 성경 #0794] 백마 탄 자 | 계 19:11-21</v>
      </c>
      <c r="R795" s="29" t="n">
        <f aca="false">INT((A795-1)/안내!$C$9)+1</f>
        <v>159</v>
      </c>
      <c r="S795" s="26" t="n">
        <f aca="false">안내!$C$10+(R795-1)*7+MOD(A795-1,안내!$C$9)</f>
        <v>47500</v>
      </c>
      <c r="T795" s="23" t="s">
        <v>99</v>
      </c>
      <c r="U795" s="23" t="s">
        <v>99</v>
      </c>
      <c r="V795" s="23" t="s">
        <v>99</v>
      </c>
      <c r="W795" s="23" t="s">
        <v>99</v>
      </c>
      <c r="X795" s="28"/>
      <c r="Y795" s="28" t="str">
        <f aca="false">"다음 편: "&amp;J796</f>
        <v>다음 편: 천 년과 흰 보좌 심판</v>
      </c>
    </row>
    <row r="796" customFormat="false" ht="39.55" hidden="false" customHeight="false" outlineLevel="0" collapsed="false">
      <c r="A796" s="29" t="n">
        <v>795</v>
      </c>
      <c r="B796" s="29" t="s">
        <v>7485</v>
      </c>
      <c r="C796" s="29" t="s">
        <v>7486</v>
      </c>
      <c r="D796" s="29" t="s">
        <v>7418</v>
      </c>
      <c r="E796" s="24" t="s">
        <v>7419</v>
      </c>
      <c r="F796" s="23" t="s">
        <v>4950</v>
      </c>
      <c r="G796" s="23" t="s">
        <v>7311</v>
      </c>
      <c r="H796" s="24" t="s">
        <v>7487</v>
      </c>
      <c r="I796" s="23" t="s">
        <v>1116</v>
      </c>
      <c r="J796" s="24" t="s">
        <v>7488</v>
      </c>
      <c r="K796" s="24" t="s">
        <v>7489</v>
      </c>
      <c r="L796" s="24" t="s">
        <v>7490</v>
      </c>
      <c r="M796" s="24" t="s">
        <v>7491</v>
      </c>
      <c r="N796" s="24" t="s">
        <v>7492</v>
      </c>
      <c r="O796" s="24" t="s">
        <v>7493</v>
      </c>
      <c r="P796" s="25" t="s">
        <v>7494</v>
      </c>
      <c r="Q796" s="28" t="str">
        <f aca="false">"["&amp;안내!$C$5&amp;" "&amp;C796&amp;"] "&amp;J796&amp;" | "&amp;H796</f>
        <v>[1분 성경 #0795] 천 년과 흰 보좌 심판 | 계 20:1-15</v>
      </c>
      <c r="R796" s="29" t="n">
        <f aca="false">INT((A796-1)/안내!$C$9)+1</f>
        <v>159</v>
      </c>
      <c r="S796" s="26" t="n">
        <f aca="false">안내!$C$10+(R796-1)*7+MOD(A796-1,안내!$C$9)</f>
        <v>47501</v>
      </c>
      <c r="T796" s="23" t="s">
        <v>99</v>
      </c>
      <c r="U796" s="23" t="s">
        <v>99</v>
      </c>
      <c r="V796" s="23" t="s">
        <v>99</v>
      </c>
      <c r="W796" s="23" t="s">
        <v>99</v>
      </c>
      <c r="X796" s="28"/>
      <c r="Y796" s="28" t="str">
        <f aca="false">"다음 편: "&amp;J797</f>
        <v>다음 편: 새 하늘과 새 땅</v>
      </c>
    </row>
    <row r="797" customFormat="false" ht="26.85" hidden="false" customHeight="false" outlineLevel="0" collapsed="false">
      <c r="A797" s="29" t="n">
        <v>796</v>
      </c>
      <c r="B797" s="29" t="s">
        <v>7495</v>
      </c>
      <c r="C797" s="29" t="s">
        <v>7496</v>
      </c>
      <c r="D797" s="29" t="s">
        <v>7418</v>
      </c>
      <c r="E797" s="24" t="s">
        <v>7419</v>
      </c>
      <c r="F797" s="23" t="s">
        <v>4950</v>
      </c>
      <c r="G797" s="23" t="s">
        <v>7311</v>
      </c>
      <c r="H797" s="24" t="s">
        <v>7497</v>
      </c>
      <c r="I797" s="23" t="s">
        <v>1116</v>
      </c>
      <c r="J797" s="24" t="s">
        <v>4164</v>
      </c>
      <c r="K797" s="24" t="s">
        <v>7498</v>
      </c>
      <c r="L797" s="24" t="s">
        <v>7499</v>
      </c>
      <c r="M797" s="24" t="s">
        <v>7500</v>
      </c>
      <c r="N797" s="24" t="s">
        <v>7501</v>
      </c>
      <c r="O797" s="24" t="s">
        <v>4164</v>
      </c>
      <c r="P797" s="28"/>
      <c r="Q797" s="28" t="str">
        <f aca="false">"["&amp;안내!$C$5&amp;" "&amp;C797&amp;"] "&amp;J797&amp;" | "&amp;H797</f>
        <v>[1분 성경 #0796] 새 하늘과 새 땅 | 계 21:1-8</v>
      </c>
      <c r="R797" s="29" t="n">
        <f aca="false">INT((A797-1)/안내!$C$9)+1</f>
        <v>160</v>
      </c>
      <c r="S797" s="26" t="n">
        <f aca="false">안내!$C$10+(R797-1)*7+MOD(A797-1,안내!$C$9)</f>
        <v>47504</v>
      </c>
      <c r="T797" s="23" t="s">
        <v>99</v>
      </c>
      <c r="U797" s="23" t="s">
        <v>99</v>
      </c>
      <c r="V797" s="23" t="s">
        <v>99</v>
      </c>
      <c r="W797" s="23" t="s">
        <v>99</v>
      </c>
      <c r="X797" s="28"/>
      <c r="Y797" s="28" t="str">
        <f aca="false">"다음 편: "&amp;J798</f>
        <v>다음 편: 새 예루살렘</v>
      </c>
    </row>
    <row r="798" customFormat="false" ht="26.85" hidden="false" customHeight="false" outlineLevel="0" collapsed="false">
      <c r="A798" s="29" t="n">
        <v>797</v>
      </c>
      <c r="B798" s="29" t="s">
        <v>7502</v>
      </c>
      <c r="C798" s="29" t="s">
        <v>7503</v>
      </c>
      <c r="D798" s="29" t="s">
        <v>7418</v>
      </c>
      <c r="E798" s="24" t="s">
        <v>7419</v>
      </c>
      <c r="F798" s="23" t="s">
        <v>4950</v>
      </c>
      <c r="G798" s="23" t="s">
        <v>7311</v>
      </c>
      <c r="H798" s="24" t="s">
        <v>7504</v>
      </c>
      <c r="I798" s="23" t="s">
        <v>1116</v>
      </c>
      <c r="J798" s="24" t="s">
        <v>7505</v>
      </c>
      <c r="K798" s="24" t="s">
        <v>7506</v>
      </c>
      <c r="L798" s="24" t="s">
        <v>7507</v>
      </c>
      <c r="M798" s="24" t="s">
        <v>7508</v>
      </c>
      <c r="N798" s="24" t="s">
        <v>7509</v>
      </c>
      <c r="O798" s="24" t="s">
        <v>7510</v>
      </c>
      <c r="P798" s="25" t="s">
        <v>7511</v>
      </c>
      <c r="Q798" s="28" t="str">
        <f aca="false">"["&amp;안내!$C$5&amp;" "&amp;C798&amp;"] "&amp;J798&amp;" | "&amp;H798</f>
        <v>[1분 성경 #0797] 새 예루살렘 | 계 21:9-22:5</v>
      </c>
      <c r="R798" s="29" t="n">
        <f aca="false">INT((A798-1)/안내!$C$9)+1</f>
        <v>160</v>
      </c>
      <c r="S798" s="26" t="n">
        <f aca="false">안내!$C$10+(R798-1)*7+MOD(A798-1,안내!$C$9)</f>
        <v>47505</v>
      </c>
      <c r="T798" s="23" t="s">
        <v>99</v>
      </c>
      <c r="U798" s="23" t="s">
        <v>99</v>
      </c>
      <c r="V798" s="23" t="s">
        <v>99</v>
      </c>
      <c r="W798" s="23" t="s">
        <v>99</v>
      </c>
      <c r="X798" s="28"/>
      <c r="Y798" s="28" t="str">
        <f aca="false">"다음 편: "&amp;J799</f>
        <v>다음 편: 내가 속히 오리라</v>
      </c>
    </row>
    <row r="799" customFormat="false" ht="39.55" hidden="false" customHeight="false" outlineLevel="0" collapsed="false">
      <c r="A799" s="29" t="n">
        <v>798</v>
      </c>
      <c r="B799" s="29" t="s">
        <v>7512</v>
      </c>
      <c r="C799" s="29" t="s">
        <v>7513</v>
      </c>
      <c r="D799" s="29" t="s">
        <v>7418</v>
      </c>
      <c r="E799" s="24" t="s">
        <v>7419</v>
      </c>
      <c r="F799" s="23" t="s">
        <v>4950</v>
      </c>
      <c r="G799" s="23" t="s">
        <v>7311</v>
      </c>
      <c r="H799" s="24" t="s">
        <v>7514</v>
      </c>
      <c r="I799" s="23" t="s">
        <v>1116</v>
      </c>
      <c r="J799" s="24" t="s">
        <v>7515</v>
      </c>
      <c r="K799" s="24" t="s">
        <v>7516</v>
      </c>
      <c r="L799" s="24" t="s">
        <v>7517</v>
      </c>
      <c r="M799" s="24" t="s">
        <v>7518</v>
      </c>
      <c r="N799" s="24" t="s">
        <v>7519</v>
      </c>
      <c r="O799" s="24" t="s">
        <v>7520</v>
      </c>
      <c r="P799" s="27" t="s">
        <v>7521</v>
      </c>
      <c r="Q799" s="28" t="str">
        <f aca="false">"["&amp;안내!$C$5&amp;" "&amp;C799&amp;"] "&amp;J799&amp;" | "&amp;H799</f>
        <v>[1분 성경 #0798] 내가 속히 오리라 | 계 22:6-21</v>
      </c>
      <c r="R799" s="29" t="n">
        <f aca="false">INT((A799-1)/안내!$C$9)+1</f>
        <v>160</v>
      </c>
      <c r="S799" s="26" t="n">
        <f aca="false">안내!$C$10+(R799-1)*7+MOD(A799-1,안내!$C$9)</f>
        <v>47506</v>
      </c>
      <c r="T799" s="23" t="s">
        <v>99</v>
      </c>
      <c r="U799" s="23" t="s">
        <v>99</v>
      </c>
      <c r="V799" s="23" t="s">
        <v>99</v>
      </c>
      <c r="W799" s="23" t="s">
        <v>99</v>
      </c>
      <c r="X799" s="28"/>
      <c r="Y799" s="24" t="s">
        <v>7522</v>
      </c>
    </row>
  </sheetData>
  <autoFilter ref="A1:Y799"/>
  <dataValidations count="1">
    <dataValidation allowBlank="true" errorStyle="stop" operator="between" showDropDown="false" showErrorMessage="false" showInputMessage="false" sqref="T2:W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10" min="7" style="0" width="9"/>
    <col collapsed="false" customWidth="true" hidden="false" outlineLevel="0" max="11" min="11" style="0" width="32"/>
    <col collapsed="false" customWidth="true" hidden="false" outlineLevel="0" max="12" min="12" style="0" width="40"/>
    <col collapsed="false" customWidth="true" hidden="false" outlineLevel="0" max="13" min="13" style="0" width="32"/>
    <col collapsed="false" customWidth="true" hidden="false" outlineLevel="0" max="14" min="14" style="0" width="30"/>
    <col collapsed="false" customWidth="true" hidden="false" outlineLevel="0" max="15" min="15" style="0" width="11"/>
    <col collapsed="false" customWidth="true" hidden="false" outlineLevel="0" max="19" min="16" style="0" width="8"/>
    <col collapsed="false" customWidth="true" hidden="false" outlineLevel="0" max="20" min="20" style="0" width="16"/>
  </cols>
  <sheetData>
    <row r="1" customFormat="false" ht="30" hidden="false" customHeight="true" outlineLevel="0" collapsed="false">
      <c r="A1" s="18" t="s">
        <v>59</v>
      </c>
      <c r="B1" s="19" t="s">
        <v>62</v>
      </c>
      <c r="C1" s="19" t="s">
        <v>63</v>
      </c>
      <c r="D1" s="18" t="s">
        <v>7523</v>
      </c>
      <c r="E1" s="18" t="s">
        <v>7524</v>
      </c>
      <c r="F1" s="19" t="s">
        <v>7525</v>
      </c>
      <c r="G1" s="18" t="s">
        <v>7526</v>
      </c>
      <c r="H1" s="18" t="s">
        <v>7527</v>
      </c>
      <c r="I1" s="18" t="s">
        <v>7528</v>
      </c>
      <c r="J1" s="18" t="s">
        <v>7529</v>
      </c>
      <c r="K1" s="18" t="s">
        <v>7530</v>
      </c>
      <c r="L1" s="18" t="s">
        <v>7531</v>
      </c>
      <c r="M1" s="18" t="s">
        <v>7532</v>
      </c>
      <c r="N1" s="19" t="s">
        <v>7533</v>
      </c>
      <c r="O1" s="18" t="s">
        <v>7534</v>
      </c>
      <c r="P1" s="18" t="s">
        <v>78</v>
      </c>
      <c r="Q1" s="18" t="s">
        <v>79</v>
      </c>
      <c r="R1" s="18" t="s">
        <v>80</v>
      </c>
      <c r="S1" s="18" t="s">
        <v>81</v>
      </c>
      <c r="T1" s="18" t="s">
        <v>82</v>
      </c>
    </row>
    <row r="2" customFormat="false" ht="26.85" hidden="false" customHeight="false" outlineLevel="0" collapsed="false">
      <c r="A2" s="29" t="n">
        <v>1</v>
      </c>
      <c r="B2" s="29" t="s">
        <v>86</v>
      </c>
      <c r="C2" s="24" t="s">
        <v>87</v>
      </c>
      <c r="D2" s="24" t="s">
        <v>89</v>
      </c>
      <c r="E2" s="24" t="s">
        <v>7535</v>
      </c>
      <c r="F2" s="29" t="n">
        <f aca="false">COUNTIF(A타입_제작표!$D$2:$D$799,B2)</f>
        <v>10</v>
      </c>
      <c r="G2" s="29" t="n">
        <f aca="false">F2*안내!$C$7+안내!$C$8</f>
        <v>640</v>
      </c>
      <c r="H2" s="29" t="n">
        <f aca="false">ROUND(G2/60,1)</f>
        <v>10.7</v>
      </c>
      <c r="I2" s="29" t="str">
        <f aca="false">INDEX(A타입_제작표!$B$2:$B$799,MATCH(B2,A타입_제작표!$D$2:$D$799,0))</f>
        <v>A0001</v>
      </c>
      <c r="J2" s="29" t="str">
        <f aca="false">INDEX(A타입_제작표!$B$2:$B$799,MATCH(B2,A타입_제작표!$D$2:$D$799,0)+F2-1)</f>
        <v>A0010</v>
      </c>
      <c r="K2" s="24" t="s">
        <v>7536</v>
      </c>
      <c r="L2" s="28" t="s">
        <v>7537</v>
      </c>
      <c r="M2" s="24" t="s">
        <v>7538</v>
      </c>
      <c r="N2" s="28"/>
      <c r="O2" s="26" t="n">
        <f aca="false">_xlfn.MAXIFS(A타입_제작표!$S$2:$S$799,A타입_제작표!$D$2:$D$799,B2)+1</f>
        <v>46403</v>
      </c>
      <c r="P2" s="23" t="s">
        <v>99</v>
      </c>
      <c r="Q2" s="23" t="s">
        <v>99</v>
      </c>
      <c r="R2" s="23" t="s">
        <v>99</v>
      </c>
      <c r="S2" s="23" t="s">
        <v>99</v>
      </c>
      <c r="T2" s="28"/>
    </row>
    <row r="3" customFormat="false" ht="26.85" hidden="false" customHeight="false" outlineLevel="0" collapsed="false">
      <c r="A3" s="29" t="n">
        <v>2</v>
      </c>
      <c r="B3" s="29" t="s">
        <v>186</v>
      </c>
      <c r="C3" s="24" t="s">
        <v>187</v>
      </c>
      <c r="D3" s="24" t="s">
        <v>89</v>
      </c>
      <c r="E3" s="24" t="s">
        <v>7539</v>
      </c>
      <c r="F3" s="29" t="n">
        <f aca="false">COUNTIF(A타입_제작표!$D$2:$D$799,B3)</f>
        <v>13</v>
      </c>
      <c r="G3" s="29" t="n">
        <f aca="false">F3*안내!$C$7+안내!$C$8</f>
        <v>796</v>
      </c>
      <c r="H3" s="29" t="n">
        <f aca="false">ROUND(G3/60,1)</f>
        <v>13.3</v>
      </c>
      <c r="I3" s="29" t="str">
        <f aca="false">INDEX(A타입_제작표!$B$2:$B$799,MATCH(B3,A타입_제작표!$D$2:$D$799,0))</f>
        <v>A0011</v>
      </c>
      <c r="J3" s="29" t="str">
        <f aca="false">INDEX(A타입_제작표!$B$2:$B$799,MATCH(B3,A타입_제작표!$D$2:$D$799,0)+F3-1)</f>
        <v>A0023</v>
      </c>
      <c r="K3" s="24" t="s">
        <v>7540</v>
      </c>
      <c r="L3" s="24" t="s">
        <v>7541</v>
      </c>
      <c r="M3" s="24" t="s">
        <v>7542</v>
      </c>
      <c r="N3" s="28"/>
      <c r="O3" s="26" t="n">
        <f aca="false">_xlfn.MAXIFS(A타입_제작표!$S$2:$S$799,A타입_제작표!$D$2:$D$799,B3)+1</f>
        <v>46422</v>
      </c>
      <c r="P3" s="23" t="s">
        <v>99</v>
      </c>
      <c r="Q3" s="23" t="s">
        <v>99</v>
      </c>
      <c r="R3" s="23" t="s">
        <v>99</v>
      </c>
      <c r="S3" s="23" t="s">
        <v>99</v>
      </c>
      <c r="T3" s="28"/>
    </row>
    <row r="4" customFormat="false" ht="26.85" hidden="false" customHeight="false" outlineLevel="0" collapsed="false">
      <c r="A4" s="29" t="n">
        <v>3</v>
      </c>
      <c r="B4" s="29" t="s">
        <v>311</v>
      </c>
      <c r="C4" s="24" t="s">
        <v>312</v>
      </c>
      <c r="D4" s="24" t="s">
        <v>89</v>
      </c>
      <c r="E4" s="24" t="s">
        <v>7543</v>
      </c>
      <c r="F4" s="29" t="n">
        <f aca="false">COUNTIF(A타입_제작표!$D$2:$D$799,B4)</f>
        <v>7</v>
      </c>
      <c r="G4" s="29" t="n">
        <f aca="false">F4*안내!$C$7+안내!$C$8</f>
        <v>484</v>
      </c>
      <c r="H4" s="29" t="n">
        <f aca="false">ROUND(G4/60,1)</f>
        <v>8.1</v>
      </c>
      <c r="I4" s="29" t="str">
        <f aca="false">INDEX(A타입_제작표!$B$2:$B$799,MATCH(B4,A타입_제작표!$D$2:$D$799,0))</f>
        <v>A0024</v>
      </c>
      <c r="J4" s="29" t="str">
        <f aca="false">INDEX(A타입_제작표!$B$2:$B$799,MATCH(B4,A타입_제작표!$D$2:$D$799,0)+F4-1)</f>
        <v>A0030</v>
      </c>
      <c r="K4" s="24" t="s">
        <v>7544</v>
      </c>
      <c r="L4" s="24" t="s">
        <v>7545</v>
      </c>
      <c r="M4" s="24" t="s">
        <v>7546</v>
      </c>
      <c r="N4" s="28"/>
      <c r="O4" s="26" t="n">
        <f aca="false">_xlfn.MAXIFS(A타입_제작표!$S$2:$S$799,A타입_제작표!$D$2:$D$799,B4)+1</f>
        <v>46431</v>
      </c>
      <c r="P4" s="23" t="s">
        <v>99</v>
      </c>
      <c r="Q4" s="23" t="s">
        <v>99</v>
      </c>
      <c r="R4" s="23" t="s">
        <v>99</v>
      </c>
      <c r="S4" s="23" t="s">
        <v>99</v>
      </c>
      <c r="T4" s="28"/>
    </row>
    <row r="5" customFormat="false" ht="26.85" hidden="false" customHeight="false" outlineLevel="0" collapsed="false">
      <c r="A5" s="29" t="n">
        <v>4</v>
      </c>
      <c r="B5" s="29" t="s">
        <v>380</v>
      </c>
      <c r="C5" s="24" t="s">
        <v>381</v>
      </c>
      <c r="D5" s="24" t="s">
        <v>89</v>
      </c>
      <c r="E5" s="24" t="s">
        <v>7547</v>
      </c>
      <c r="F5" s="29" t="n">
        <f aca="false">COUNTIF(A타입_제작표!$D$2:$D$799,B5)</f>
        <v>8</v>
      </c>
      <c r="G5" s="29" t="n">
        <f aca="false">F5*안내!$C$7+안내!$C$8</f>
        <v>536</v>
      </c>
      <c r="H5" s="29" t="n">
        <f aca="false">ROUND(G5/60,1)</f>
        <v>8.9</v>
      </c>
      <c r="I5" s="29" t="str">
        <f aca="false">INDEX(A타입_제작표!$B$2:$B$799,MATCH(B5,A타입_제작표!$D$2:$D$799,0))</f>
        <v>A0031</v>
      </c>
      <c r="J5" s="29" t="str">
        <f aca="false">INDEX(A타입_제작표!$B$2:$B$799,MATCH(B5,A타입_제작표!$D$2:$D$799,0)+F5-1)</f>
        <v>A0038</v>
      </c>
      <c r="K5" s="24" t="s">
        <v>7548</v>
      </c>
      <c r="L5" s="24" t="s">
        <v>7549</v>
      </c>
      <c r="M5" s="24" t="s">
        <v>7550</v>
      </c>
      <c r="N5" s="28"/>
      <c r="O5" s="26" t="n">
        <f aca="false">_xlfn.MAXIFS(A타입_제작표!$S$2:$S$799,A타입_제작표!$D$2:$D$799,B5)+1</f>
        <v>46443</v>
      </c>
      <c r="P5" s="23" t="s">
        <v>99</v>
      </c>
      <c r="Q5" s="23" t="s">
        <v>99</v>
      </c>
      <c r="R5" s="23" t="s">
        <v>99</v>
      </c>
      <c r="S5" s="23" t="s">
        <v>99</v>
      </c>
      <c r="T5" s="28"/>
    </row>
    <row r="6" customFormat="false" ht="26.85" hidden="false" customHeight="false" outlineLevel="0" collapsed="false">
      <c r="A6" s="29" t="n">
        <v>5</v>
      </c>
      <c r="B6" s="29" t="s">
        <v>456</v>
      </c>
      <c r="C6" s="24" t="s">
        <v>457</v>
      </c>
      <c r="D6" s="24" t="s">
        <v>89</v>
      </c>
      <c r="E6" s="24" t="s">
        <v>7551</v>
      </c>
      <c r="F6" s="29" t="n">
        <f aca="false">COUNTIF(A타입_제작표!$D$2:$D$799,B6)</f>
        <v>7</v>
      </c>
      <c r="G6" s="29" t="n">
        <f aca="false">F6*안내!$C$7+안내!$C$8</f>
        <v>484</v>
      </c>
      <c r="H6" s="29" t="n">
        <f aca="false">ROUND(G6/60,1)</f>
        <v>8.1</v>
      </c>
      <c r="I6" s="29" t="str">
        <f aca="false">INDEX(A타입_제작표!$B$2:$B$799,MATCH(B6,A타입_제작표!$D$2:$D$799,0))</f>
        <v>A0039</v>
      </c>
      <c r="J6" s="29" t="str">
        <f aca="false">INDEX(A타입_제작표!$B$2:$B$799,MATCH(B6,A타입_제작표!$D$2:$D$799,0)+F6-1)</f>
        <v>A0045</v>
      </c>
      <c r="K6" s="24" t="s">
        <v>7552</v>
      </c>
      <c r="L6" s="24" t="s">
        <v>7553</v>
      </c>
      <c r="M6" s="24" t="s">
        <v>7554</v>
      </c>
      <c r="N6" s="28"/>
      <c r="O6" s="26" t="n">
        <f aca="false">_xlfn.MAXIFS(A타입_제작표!$S$2:$S$799,A타입_제작표!$D$2:$D$799,B6)+1</f>
        <v>46452</v>
      </c>
      <c r="P6" s="23" t="s">
        <v>99</v>
      </c>
      <c r="Q6" s="23" t="s">
        <v>99</v>
      </c>
      <c r="R6" s="23" t="s">
        <v>99</v>
      </c>
      <c r="S6" s="23" t="s">
        <v>99</v>
      </c>
      <c r="T6" s="28"/>
    </row>
    <row r="7" customFormat="false" ht="15" hidden="false" customHeight="false" outlineLevel="0" collapsed="false">
      <c r="A7" s="29" t="n">
        <v>6</v>
      </c>
      <c r="B7" s="29" t="s">
        <v>520</v>
      </c>
      <c r="C7" s="24" t="s">
        <v>521</v>
      </c>
      <c r="D7" s="24" t="s">
        <v>89</v>
      </c>
      <c r="E7" s="24" t="s">
        <v>7555</v>
      </c>
      <c r="F7" s="29" t="n">
        <f aca="false">COUNTIF(A타입_제작표!$D$2:$D$799,B7)</f>
        <v>8</v>
      </c>
      <c r="G7" s="29" t="n">
        <f aca="false">F7*안내!$C$7+안내!$C$8</f>
        <v>536</v>
      </c>
      <c r="H7" s="29" t="n">
        <f aca="false">ROUND(G7/60,1)</f>
        <v>8.9</v>
      </c>
      <c r="I7" s="29" t="str">
        <f aca="false">INDEX(A타입_제작표!$B$2:$B$799,MATCH(B7,A타입_제작표!$D$2:$D$799,0))</f>
        <v>A0046</v>
      </c>
      <c r="J7" s="29" t="str">
        <f aca="false">INDEX(A타입_제작표!$B$2:$B$799,MATCH(B7,A타입_제작표!$D$2:$D$799,0)+F7-1)</f>
        <v>A0053</v>
      </c>
      <c r="K7" s="24" t="s">
        <v>7556</v>
      </c>
      <c r="L7" s="24" t="s">
        <v>7557</v>
      </c>
      <c r="M7" s="24" t="s">
        <v>7558</v>
      </c>
      <c r="N7" s="28"/>
      <c r="O7" s="26" t="n">
        <f aca="false">_xlfn.MAXIFS(A타입_제작표!$S$2:$S$799,A타입_제작표!$D$2:$D$799,B7)+1</f>
        <v>46464</v>
      </c>
      <c r="P7" s="23" t="s">
        <v>99</v>
      </c>
      <c r="Q7" s="23" t="s">
        <v>99</v>
      </c>
      <c r="R7" s="23" t="s">
        <v>99</v>
      </c>
      <c r="S7" s="23" t="s">
        <v>99</v>
      </c>
      <c r="T7" s="28"/>
    </row>
    <row r="8" customFormat="false" ht="26.85" hidden="false" customHeight="false" outlineLevel="0" collapsed="false">
      <c r="A8" s="29" t="n">
        <v>7</v>
      </c>
      <c r="B8" s="29" t="s">
        <v>595</v>
      </c>
      <c r="C8" s="24" t="s">
        <v>596</v>
      </c>
      <c r="D8" s="24" t="s">
        <v>89</v>
      </c>
      <c r="E8" s="24" t="s">
        <v>7559</v>
      </c>
      <c r="F8" s="29" t="n">
        <f aca="false">COUNTIF(A타입_제작표!$D$2:$D$799,B8)</f>
        <v>7</v>
      </c>
      <c r="G8" s="29" t="n">
        <f aca="false">F8*안내!$C$7+안내!$C$8</f>
        <v>484</v>
      </c>
      <c r="H8" s="29" t="n">
        <f aca="false">ROUND(G8/60,1)</f>
        <v>8.1</v>
      </c>
      <c r="I8" s="29" t="str">
        <f aca="false">INDEX(A타입_제작표!$B$2:$B$799,MATCH(B8,A타입_제작표!$D$2:$D$799,0))</f>
        <v>A0054</v>
      </c>
      <c r="J8" s="29" t="str">
        <f aca="false">INDEX(A타입_제작표!$B$2:$B$799,MATCH(B8,A타입_제작표!$D$2:$D$799,0)+F8-1)</f>
        <v>A0060</v>
      </c>
      <c r="K8" s="24" t="s">
        <v>7560</v>
      </c>
      <c r="L8" s="24" t="s">
        <v>7561</v>
      </c>
      <c r="M8" s="24" t="s">
        <v>7562</v>
      </c>
      <c r="N8" s="28"/>
      <c r="O8" s="26" t="n">
        <f aca="false">_xlfn.MAXIFS(A타입_제작표!$S$2:$S$799,A타입_제작표!$D$2:$D$799,B8)+1</f>
        <v>46473</v>
      </c>
      <c r="P8" s="23" t="s">
        <v>99</v>
      </c>
      <c r="Q8" s="23" t="s">
        <v>99</v>
      </c>
      <c r="R8" s="23" t="s">
        <v>99</v>
      </c>
      <c r="S8" s="23" t="s">
        <v>99</v>
      </c>
      <c r="T8" s="28"/>
    </row>
    <row r="9" customFormat="false" ht="26.85" hidden="false" customHeight="false" outlineLevel="0" collapsed="false">
      <c r="A9" s="29" t="n">
        <v>8</v>
      </c>
      <c r="B9" s="29" t="s">
        <v>662</v>
      </c>
      <c r="C9" s="24" t="s">
        <v>663</v>
      </c>
      <c r="D9" s="24" t="s">
        <v>89</v>
      </c>
      <c r="E9" s="24" t="s">
        <v>7563</v>
      </c>
      <c r="F9" s="29" t="n">
        <f aca="false">COUNTIF(A타입_제작표!$D$2:$D$799,B9)</f>
        <v>7</v>
      </c>
      <c r="G9" s="29" t="n">
        <f aca="false">F9*안내!$C$7+안내!$C$8</f>
        <v>484</v>
      </c>
      <c r="H9" s="29" t="n">
        <f aca="false">ROUND(G9/60,1)</f>
        <v>8.1</v>
      </c>
      <c r="I9" s="29" t="str">
        <f aca="false">INDEX(A타입_제작표!$B$2:$B$799,MATCH(B9,A타입_제작표!$D$2:$D$799,0))</f>
        <v>A0061</v>
      </c>
      <c r="J9" s="29" t="str">
        <f aca="false">INDEX(A타입_제작표!$B$2:$B$799,MATCH(B9,A타입_제작표!$D$2:$D$799,0)+F9-1)</f>
        <v>A0067</v>
      </c>
      <c r="K9" s="24" t="s">
        <v>7564</v>
      </c>
      <c r="L9" s="24" t="s">
        <v>7565</v>
      </c>
      <c r="M9" s="24" t="s">
        <v>7566</v>
      </c>
      <c r="N9" s="28"/>
      <c r="O9" s="26" t="n">
        <f aca="false">_xlfn.MAXIFS(A타입_제작표!$S$2:$S$799,A타입_제작표!$D$2:$D$799,B9)+1</f>
        <v>46484</v>
      </c>
      <c r="P9" s="23" t="s">
        <v>99</v>
      </c>
      <c r="Q9" s="23" t="s">
        <v>99</v>
      </c>
      <c r="R9" s="23" t="s">
        <v>99</v>
      </c>
      <c r="S9" s="23" t="s">
        <v>99</v>
      </c>
      <c r="T9" s="28"/>
    </row>
    <row r="10" customFormat="false" ht="26.85" hidden="false" customHeight="false" outlineLevel="0" collapsed="false">
      <c r="A10" s="29" t="n">
        <v>9</v>
      </c>
      <c r="B10" s="29" t="s">
        <v>730</v>
      </c>
      <c r="C10" s="24" t="s">
        <v>731</v>
      </c>
      <c r="D10" s="24" t="s">
        <v>89</v>
      </c>
      <c r="E10" s="24" t="s">
        <v>7567</v>
      </c>
      <c r="F10" s="29" t="n">
        <f aca="false">COUNTIF(A타입_제작표!$D$2:$D$799,B10)</f>
        <v>11</v>
      </c>
      <c r="G10" s="29" t="n">
        <f aca="false">F10*안내!$C$7+안내!$C$8</f>
        <v>692</v>
      </c>
      <c r="H10" s="29" t="n">
        <f aca="false">ROUND(G10/60,1)</f>
        <v>11.5</v>
      </c>
      <c r="I10" s="29" t="str">
        <f aca="false">INDEX(A타입_제작표!$B$2:$B$799,MATCH(B10,A타입_제작표!$D$2:$D$799,0))</f>
        <v>A0068</v>
      </c>
      <c r="J10" s="29" t="str">
        <f aca="false">INDEX(A타입_제작표!$B$2:$B$799,MATCH(B10,A타입_제작표!$D$2:$D$799,0)+F10-1)</f>
        <v>A0078</v>
      </c>
      <c r="K10" s="24" t="s">
        <v>7568</v>
      </c>
      <c r="L10" s="24" t="s">
        <v>7569</v>
      </c>
      <c r="M10" s="24" t="s">
        <v>7570</v>
      </c>
      <c r="N10" s="28"/>
      <c r="O10" s="26" t="n">
        <f aca="false">_xlfn.MAXIFS(A타입_제작표!$S$2:$S$799,A타입_제작표!$D$2:$D$799,B10)+1</f>
        <v>46499</v>
      </c>
      <c r="P10" s="23" t="s">
        <v>99</v>
      </c>
      <c r="Q10" s="23" t="s">
        <v>99</v>
      </c>
      <c r="R10" s="23" t="s">
        <v>99</v>
      </c>
      <c r="S10" s="23" t="s">
        <v>99</v>
      </c>
      <c r="T10" s="28"/>
    </row>
    <row r="11" customFormat="false" ht="26.85" hidden="false" customHeight="false" outlineLevel="0" collapsed="false">
      <c r="A11" s="29" t="n">
        <v>10</v>
      </c>
      <c r="B11" s="29" t="s">
        <v>831</v>
      </c>
      <c r="C11" s="24" t="s">
        <v>832</v>
      </c>
      <c r="D11" s="24" t="s">
        <v>833</v>
      </c>
      <c r="E11" s="24" t="s">
        <v>7571</v>
      </c>
      <c r="F11" s="29" t="n">
        <f aca="false">COUNTIF(A타입_제작표!$D$2:$D$799,B11)</f>
        <v>8</v>
      </c>
      <c r="G11" s="29" t="n">
        <f aca="false">F11*안내!$C$7+안내!$C$8</f>
        <v>536</v>
      </c>
      <c r="H11" s="29" t="n">
        <f aca="false">ROUND(G11/60,1)</f>
        <v>8.9</v>
      </c>
      <c r="I11" s="29" t="str">
        <f aca="false">INDEX(A타입_제작표!$B$2:$B$799,MATCH(B11,A타입_제작표!$D$2:$D$799,0))</f>
        <v>A0079</v>
      </c>
      <c r="J11" s="29" t="str">
        <f aca="false">INDEX(A타입_제작표!$B$2:$B$799,MATCH(B11,A타입_제작표!$D$2:$D$799,0)+F11-1)</f>
        <v>A0086</v>
      </c>
      <c r="K11" s="24" t="s">
        <v>7572</v>
      </c>
      <c r="L11" s="24" t="s">
        <v>7573</v>
      </c>
      <c r="M11" s="24" t="s">
        <v>7574</v>
      </c>
      <c r="N11" s="28"/>
      <c r="O11" s="26" t="n">
        <f aca="false">_xlfn.MAXIFS(A타입_제작표!$S$2:$S$799,A타입_제작표!$D$2:$D$799,B11)+1</f>
        <v>46511</v>
      </c>
      <c r="P11" s="23" t="s">
        <v>99</v>
      </c>
      <c r="Q11" s="23" t="s">
        <v>99</v>
      </c>
      <c r="R11" s="23" t="s">
        <v>99</v>
      </c>
      <c r="S11" s="23" t="s">
        <v>99</v>
      </c>
      <c r="T11" s="28"/>
    </row>
    <row r="12" customFormat="false" ht="26.85" hidden="false" customHeight="false" outlineLevel="0" collapsed="false">
      <c r="A12" s="29" t="n">
        <v>11</v>
      </c>
      <c r="B12" s="29" t="s">
        <v>909</v>
      </c>
      <c r="C12" s="24" t="s">
        <v>910</v>
      </c>
      <c r="D12" s="24" t="s">
        <v>833</v>
      </c>
      <c r="E12" s="24" t="s">
        <v>7575</v>
      </c>
      <c r="F12" s="29" t="n">
        <f aca="false">COUNTIF(A타입_제작표!$D$2:$D$799,B12)</f>
        <v>11</v>
      </c>
      <c r="G12" s="29" t="n">
        <f aca="false">F12*안내!$C$7+안내!$C$8</f>
        <v>692</v>
      </c>
      <c r="H12" s="29" t="n">
        <f aca="false">ROUND(G12/60,1)</f>
        <v>11.5</v>
      </c>
      <c r="I12" s="29" t="str">
        <f aca="false">INDEX(A타입_제작표!$B$2:$B$799,MATCH(B12,A타입_제작표!$D$2:$D$799,0))</f>
        <v>A0087</v>
      </c>
      <c r="J12" s="29" t="str">
        <f aca="false">INDEX(A타입_제작표!$B$2:$B$799,MATCH(B12,A타입_제작표!$D$2:$D$799,0)+F12-1)</f>
        <v>A0097</v>
      </c>
      <c r="K12" s="24" t="s">
        <v>7576</v>
      </c>
      <c r="L12" s="24" t="s">
        <v>7577</v>
      </c>
      <c r="M12" s="24" t="s">
        <v>7578</v>
      </c>
      <c r="N12" s="28"/>
      <c r="O12" s="26" t="n">
        <f aca="false">_xlfn.MAXIFS(A타입_제작표!$S$2:$S$799,A타입_제작표!$D$2:$D$799,B12)+1</f>
        <v>46526</v>
      </c>
      <c r="P12" s="23" t="s">
        <v>99</v>
      </c>
      <c r="Q12" s="23" t="s">
        <v>99</v>
      </c>
      <c r="R12" s="23" t="s">
        <v>99</v>
      </c>
      <c r="S12" s="23" t="s">
        <v>99</v>
      </c>
      <c r="T12" s="28"/>
    </row>
    <row r="13" customFormat="false" ht="26.85" hidden="false" customHeight="false" outlineLevel="0" collapsed="false">
      <c r="A13" s="29" t="n">
        <v>12</v>
      </c>
      <c r="B13" s="29" t="s">
        <v>1010</v>
      </c>
      <c r="C13" s="24" t="s">
        <v>1011</v>
      </c>
      <c r="D13" s="24" t="s">
        <v>833</v>
      </c>
      <c r="E13" s="24" t="s">
        <v>7579</v>
      </c>
      <c r="F13" s="29" t="n">
        <f aca="false">COUNTIF(A타입_제작표!$D$2:$D$799,B13)</f>
        <v>8</v>
      </c>
      <c r="G13" s="29" t="n">
        <f aca="false">F13*안내!$C$7+안내!$C$8</f>
        <v>536</v>
      </c>
      <c r="H13" s="29" t="n">
        <f aca="false">ROUND(G13/60,1)</f>
        <v>8.9</v>
      </c>
      <c r="I13" s="29" t="str">
        <f aca="false">INDEX(A타입_제작표!$B$2:$B$799,MATCH(B13,A타입_제작표!$D$2:$D$799,0))</f>
        <v>A0098</v>
      </c>
      <c r="J13" s="29" t="str">
        <f aca="false">INDEX(A타입_제작표!$B$2:$B$799,MATCH(B13,A타입_제작표!$D$2:$D$799,0)+F13-1)</f>
        <v>A0105</v>
      </c>
      <c r="K13" s="24" t="s">
        <v>7580</v>
      </c>
      <c r="L13" s="24" t="s">
        <v>7581</v>
      </c>
      <c r="M13" s="24" t="s">
        <v>7582</v>
      </c>
      <c r="N13" s="28"/>
      <c r="O13" s="26" t="n">
        <f aca="false">_xlfn.MAXIFS(A타입_제작표!$S$2:$S$799,A타입_제작표!$D$2:$D$799,B13)+1</f>
        <v>46536</v>
      </c>
      <c r="P13" s="23" t="s">
        <v>99</v>
      </c>
      <c r="Q13" s="23" t="s">
        <v>99</v>
      </c>
      <c r="R13" s="23" t="s">
        <v>99</v>
      </c>
      <c r="S13" s="23" t="s">
        <v>99</v>
      </c>
      <c r="T13" s="28"/>
    </row>
    <row r="14" customFormat="false" ht="26.85" hidden="false" customHeight="false" outlineLevel="0" collapsed="false">
      <c r="A14" s="29" t="n">
        <v>13</v>
      </c>
      <c r="B14" s="29" t="s">
        <v>1087</v>
      </c>
      <c r="C14" s="24" t="s">
        <v>1088</v>
      </c>
      <c r="D14" s="24" t="s">
        <v>833</v>
      </c>
      <c r="E14" s="24" t="s">
        <v>7583</v>
      </c>
      <c r="F14" s="29" t="n">
        <f aca="false">COUNTIF(A타입_제작표!$D$2:$D$799,B14)</f>
        <v>8</v>
      </c>
      <c r="G14" s="29" t="n">
        <f aca="false">F14*안내!$C$7+안내!$C$8</f>
        <v>536</v>
      </c>
      <c r="H14" s="29" t="n">
        <f aca="false">ROUND(G14/60,1)</f>
        <v>8.9</v>
      </c>
      <c r="I14" s="29" t="str">
        <f aca="false">INDEX(A타입_제작표!$B$2:$B$799,MATCH(B14,A타입_제작표!$D$2:$D$799,0))</f>
        <v>A0106</v>
      </c>
      <c r="J14" s="29" t="str">
        <f aca="false">INDEX(A타입_제작표!$B$2:$B$799,MATCH(B14,A타입_제작표!$D$2:$D$799,0)+F14-1)</f>
        <v>A0113</v>
      </c>
      <c r="K14" s="24" t="s">
        <v>7584</v>
      </c>
      <c r="L14" s="24" t="s">
        <v>7585</v>
      </c>
      <c r="M14" s="24" t="s">
        <v>7586</v>
      </c>
      <c r="N14" s="28"/>
      <c r="O14" s="26" t="n">
        <f aca="false">_xlfn.MAXIFS(A타입_제작표!$S$2:$S$799,A타입_제작표!$D$2:$D$799,B14)+1</f>
        <v>46548</v>
      </c>
      <c r="P14" s="23" t="s">
        <v>99</v>
      </c>
      <c r="Q14" s="23" t="s">
        <v>99</v>
      </c>
      <c r="R14" s="23" t="s">
        <v>99</v>
      </c>
      <c r="S14" s="23" t="s">
        <v>99</v>
      </c>
      <c r="T14" s="28"/>
    </row>
    <row r="15" customFormat="false" ht="26.85" hidden="false" customHeight="false" outlineLevel="0" collapsed="false">
      <c r="A15" s="29" t="n">
        <v>14</v>
      </c>
      <c r="B15" s="29" t="s">
        <v>1164</v>
      </c>
      <c r="C15" s="24" t="s">
        <v>1165</v>
      </c>
      <c r="D15" s="24" t="s">
        <v>833</v>
      </c>
      <c r="E15" s="24" t="s">
        <v>7587</v>
      </c>
      <c r="F15" s="29" t="n">
        <f aca="false">COUNTIF(A타입_제작표!$D$2:$D$799,B15)</f>
        <v>7</v>
      </c>
      <c r="G15" s="29" t="n">
        <f aca="false">F15*안내!$C$7+안내!$C$8</f>
        <v>484</v>
      </c>
      <c r="H15" s="29" t="n">
        <f aca="false">ROUND(G15/60,1)</f>
        <v>8.1</v>
      </c>
      <c r="I15" s="29" t="str">
        <f aca="false">INDEX(A타입_제작표!$B$2:$B$799,MATCH(B15,A타입_제작표!$D$2:$D$799,0))</f>
        <v>A0114</v>
      </c>
      <c r="J15" s="29" t="str">
        <f aca="false">INDEX(A타입_제작표!$B$2:$B$799,MATCH(B15,A타입_제작표!$D$2:$D$799,0)+F15-1)</f>
        <v>A0120</v>
      </c>
      <c r="K15" s="24" t="s">
        <v>7588</v>
      </c>
      <c r="L15" s="24" t="s">
        <v>7589</v>
      </c>
      <c r="M15" s="24" t="s">
        <v>7590</v>
      </c>
      <c r="N15" s="28"/>
      <c r="O15" s="26" t="n">
        <f aca="false">_xlfn.MAXIFS(A타입_제작표!$S$2:$S$799,A타입_제작표!$D$2:$D$799,B15)+1</f>
        <v>46557</v>
      </c>
      <c r="P15" s="23" t="s">
        <v>99</v>
      </c>
      <c r="Q15" s="23" t="s">
        <v>99</v>
      </c>
      <c r="R15" s="23" t="s">
        <v>99</v>
      </c>
      <c r="S15" s="23" t="s">
        <v>99</v>
      </c>
      <c r="T15" s="28"/>
    </row>
    <row r="16" customFormat="false" ht="26.85" hidden="false" customHeight="false" outlineLevel="0" collapsed="false">
      <c r="A16" s="29" t="n">
        <v>15</v>
      </c>
      <c r="B16" s="29" t="s">
        <v>1230</v>
      </c>
      <c r="C16" s="24" t="s">
        <v>1231</v>
      </c>
      <c r="D16" s="24" t="s">
        <v>1232</v>
      </c>
      <c r="E16" s="24" t="s">
        <v>7591</v>
      </c>
      <c r="F16" s="29" t="n">
        <f aca="false">COUNTIF(A타입_제작표!$D$2:$D$799,B16)</f>
        <v>12</v>
      </c>
      <c r="G16" s="29" t="n">
        <f aca="false">F16*안내!$C$7+안내!$C$8</f>
        <v>744</v>
      </c>
      <c r="H16" s="29" t="n">
        <f aca="false">ROUND(G16/60,1)</f>
        <v>12.4</v>
      </c>
      <c r="I16" s="29" t="str">
        <f aca="false">INDEX(A타입_제작표!$B$2:$B$799,MATCH(B16,A타입_제작표!$D$2:$D$799,0))</f>
        <v>A0121</v>
      </c>
      <c r="J16" s="29" t="str">
        <f aca="false">INDEX(A타입_제작표!$B$2:$B$799,MATCH(B16,A타입_제작표!$D$2:$D$799,0)+F16-1)</f>
        <v>A0132</v>
      </c>
      <c r="K16" s="24" t="s">
        <v>7592</v>
      </c>
      <c r="L16" s="24" t="s">
        <v>7593</v>
      </c>
      <c r="M16" s="24" t="s">
        <v>7594</v>
      </c>
      <c r="N16" s="28"/>
      <c r="O16" s="26" t="n">
        <f aca="false">_xlfn.MAXIFS(A타입_제작표!$S$2:$S$799,A타입_제작표!$D$2:$D$799,B16)+1</f>
        <v>46575</v>
      </c>
      <c r="P16" s="23" t="s">
        <v>99</v>
      </c>
      <c r="Q16" s="23" t="s">
        <v>99</v>
      </c>
      <c r="R16" s="23" t="s">
        <v>99</v>
      </c>
      <c r="S16" s="23" t="s">
        <v>99</v>
      </c>
      <c r="T16" s="28"/>
    </row>
    <row r="17" customFormat="false" ht="26.85" hidden="false" customHeight="false" outlineLevel="0" collapsed="false">
      <c r="A17" s="29" t="n">
        <v>16</v>
      </c>
      <c r="B17" s="29" t="s">
        <v>1340</v>
      </c>
      <c r="C17" s="24" t="s">
        <v>1341</v>
      </c>
      <c r="D17" s="24" t="s">
        <v>1342</v>
      </c>
      <c r="E17" s="24" t="s">
        <v>7595</v>
      </c>
      <c r="F17" s="29" t="n">
        <f aca="false">COUNTIF(A타입_제작표!$D$2:$D$799,B17)</f>
        <v>8</v>
      </c>
      <c r="G17" s="29" t="n">
        <f aca="false">F17*안내!$C$7+안내!$C$8</f>
        <v>536</v>
      </c>
      <c r="H17" s="29" t="n">
        <f aca="false">ROUND(G17/60,1)</f>
        <v>8.9</v>
      </c>
      <c r="I17" s="29" t="str">
        <f aca="false">INDEX(A타입_제작표!$B$2:$B$799,MATCH(B17,A타입_제작표!$D$2:$D$799,0))</f>
        <v>A0133</v>
      </c>
      <c r="J17" s="29" t="str">
        <f aca="false">INDEX(A타입_제작표!$B$2:$B$799,MATCH(B17,A타입_제작표!$D$2:$D$799,0)+F17-1)</f>
        <v>A0140</v>
      </c>
      <c r="K17" s="24" t="s">
        <v>7596</v>
      </c>
      <c r="L17" s="24" t="s">
        <v>7597</v>
      </c>
      <c r="M17" s="24" t="s">
        <v>7598</v>
      </c>
      <c r="N17" s="28"/>
      <c r="O17" s="26" t="n">
        <f aca="false">_xlfn.MAXIFS(A타입_제작표!$S$2:$S$799,A타입_제작표!$D$2:$D$799,B17)+1</f>
        <v>46585</v>
      </c>
      <c r="P17" s="23" t="s">
        <v>99</v>
      </c>
      <c r="Q17" s="23" t="s">
        <v>99</v>
      </c>
      <c r="R17" s="23" t="s">
        <v>99</v>
      </c>
      <c r="S17" s="23" t="s">
        <v>99</v>
      </c>
      <c r="T17" s="28"/>
    </row>
    <row r="18" customFormat="false" ht="26.85" hidden="false" customHeight="false" outlineLevel="0" collapsed="false">
      <c r="A18" s="29" t="n">
        <v>17</v>
      </c>
      <c r="B18" s="29" t="s">
        <v>1415</v>
      </c>
      <c r="C18" s="24" t="s">
        <v>1416</v>
      </c>
      <c r="D18" s="24" t="s">
        <v>1342</v>
      </c>
      <c r="E18" s="24" t="s">
        <v>7599</v>
      </c>
      <c r="F18" s="29" t="n">
        <f aca="false">COUNTIF(A타입_제작표!$D$2:$D$799,B18)</f>
        <v>14</v>
      </c>
      <c r="G18" s="29" t="n">
        <f aca="false">F18*안내!$C$7+안내!$C$8</f>
        <v>848</v>
      </c>
      <c r="H18" s="29" t="n">
        <f aca="false">ROUND(G18/60,1)</f>
        <v>14.1</v>
      </c>
      <c r="I18" s="29" t="str">
        <f aca="false">INDEX(A타입_제작표!$B$2:$B$799,MATCH(B18,A타입_제작표!$D$2:$D$799,0))</f>
        <v>A0141</v>
      </c>
      <c r="J18" s="29" t="str">
        <f aca="false">INDEX(A타입_제작표!$B$2:$B$799,MATCH(B18,A타입_제작표!$D$2:$D$799,0)+F18-1)</f>
        <v>A0154</v>
      </c>
      <c r="K18" s="24" t="s">
        <v>7600</v>
      </c>
      <c r="L18" s="24" t="s">
        <v>7601</v>
      </c>
      <c r="M18" s="24" t="s">
        <v>7602</v>
      </c>
      <c r="N18" s="28"/>
      <c r="O18" s="26" t="n">
        <f aca="false">_xlfn.MAXIFS(A타입_제작표!$S$2:$S$799,A타입_제작표!$D$2:$D$799,B18)+1</f>
        <v>46605</v>
      </c>
      <c r="P18" s="23" t="s">
        <v>99</v>
      </c>
      <c r="Q18" s="23" t="s">
        <v>99</v>
      </c>
      <c r="R18" s="23" t="s">
        <v>99</v>
      </c>
      <c r="S18" s="23" t="s">
        <v>99</v>
      </c>
      <c r="T18" s="28"/>
    </row>
    <row r="19" customFormat="false" ht="26.85" hidden="false" customHeight="false" outlineLevel="0" collapsed="false">
      <c r="A19" s="29" t="n">
        <v>18</v>
      </c>
      <c r="B19" s="29" t="s">
        <v>1544</v>
      </c>
      <c r="C19" s="24" t="s">
        <v>1545</v>
      </c>
      <c r="D19" s="24" t="s">
        <v>1546</v>
      </c>
      <c r="E19" s="24" t="s">
        <v>7603</v>
      </c>
      <c r="F19" s="29" t="n">
        <f aca="false">COUNTIF(A타입_제작표!$D$2:$D$799,B19)</f>
        <v>14</v>
      </c>
      <c r="G19" s="29" t="n">
        <f aca="false">F19*안내!$C$7+안내!$C$8</f>
        <v>848</v>
      </c>
      <c r="H19" s="29" t="n">
        <f aca="false">ROUND(G19/60,1)</f>
        <v>14.1</v>
      </c>
      <c r="I19" s="29" t="str">
        <f aca="false">INDEX(A타입_제작표!$B$2:$B$799,MATCH(B19,A타입_제작표!$D$2:$D$799,0))</f>
        <v>A0155</v>
      </c>
      <c r="J19" s="29" t="str">
        <f aca="false">INDEX(A타입_제작표!$B$2:$B$799,MATCH(B19,A타입_제작표!$D$2:$D$799,0)+F19-1)</f>
        <v>A0168</v>
      </c>
      <c r="K19" s="24" t="s">
        <v>7604</v>
      </c>
      <c r="L19" s="24" t="s">
        <v>7605</v>
      </c>
      <c r="M19" s="24" t="s">
        <v>7606</v>
      </c>
      <c r="N19" s="28"/>
      <c r="O19" s="26" t="n">
        <f aca="false">_xlfn.MAXIFS(A타입_제작표!$S$2:$S$799,A타입_제작표!$D$2:$D$799,B19)+1</f>
        <v>46625</v>
      </c>
      <c r="P19" s="23" t="s">
        <v>99</v>
      </c>
      <c r="Q19" s="23" t="s">
        <v>99</v>
      </c>
      <c r="R19" s="23" t="s">
        <v>99</v>
      </c>
      <c r="S19" s="23" t="s">
        <v>99</v>
      </c>
      <c r="T19" s="28"/>
    </row>
    <row r="20" customFormat="false" ht="39.55" hidden="false" customHeight="false" outlineLevel="0" collapsed="false">
      <c r="A20" s="29" t="n">
        <v>19</v>
      </c>
      <c r="B20" s="29" t="s">
        <v>1663</v>
      </c>
      <c r="C20" s="24" t="s">
        <v>1664</v>
      </c>
      <c r="D20" s="24" t="s">
        <v>1665</v>
      </c>
      <c r="E20" s="24" t="s">
        <v>7607</v>
      </c>
      <c r="F20" s="29" t="n">
        <f aca="false">COUNTIF(A타입_제작표!$D$2:$D$799,B20)</f>
        <v>7</v>
      </c>
      <c r="G20" s="29" t="n">
        <f aca="false">F20*안내!$C$7+안내!$C$8</f>
        <v>484</v>
      </c>
      <c r="H20" s="29" t="n">
        <f aca="false">ROUND(G20/60,1)</f>
        <v>8.1</v>
      </c>
      <c r="I20" s="29" t="str">
        <f aca="false">INDEX(A타입_제작표!$B$2:$B$799,MATCH(B20,A타입_제작표!$D$2:$D$799,0))</f>
        <v>A0169</v>
      </c>
      <c r="J20" s="29" t="str">
        <f aca="false">INDEX(A타입_제작표!$B$2:$B$799,MATCH(B20,A타입_제작표!$D$2:$D$799,0)+F20-1)</f>
        <v>A0175</v>
      </c>
      <c r="K20" s="24" t="s">
        <v>7608</v>
      </c>
      <c r="L20" s="24" t="s">
        <v>7609</v>
      </c>
      <c r="M20" s="24" t="s">
        <v>7610</v>
      </c>
      <c r="N20" s="28"/>
      <c r="O20" s="26" t="n">
        <f aca="false">_xlfn.MAXIFS(A타입_제작표!$S$2:$S$799,A타입_제작표!$D$2:$D$799,B20)+1</f>
        <v>46634</v>
      </c>
      <c r="P20" s="23" t="s">
        <v>99</v>
      </c>
      <c r="Q20" s="23" t="s">
        <v>99</v>
      </c>
      <c r="R20" s="23" t="s">
        <v>99</v>
      </c>
      <c r="S20" s="23" t="s">
        <v>99</v>
      </c>
      <c r="T20" s="28"/>
    </row>
    <row r="21" customFormat="false" ht="26.85" hidden="false" customHeight="false" outlineLevel="0" collapsed="false">
      <c r="A21" s="29" t="n">
        <v>20</v>
      </c>
      <c r="B21" s="29" t="s">
        <v>1731</v>
      </c>
      <c r="C21" s="24" t="s">
        <v>1732</v>
      </c>
      <c r="D21" s="24" t="s">
        <v>1665</v>
      </c>
      <c r="E21" s="24" t="s">
        <v>7611</v>
      </c>
      <c r="F21" s="29" t="n">
        <f aca="false">COUNTIF(A타입_제작표!$D$2:$D$799,B21)</f>
        <v>9</v>
      </c>
      <c r="G21" s="29" t="n">
        <f aca="false">F21*안내!$C$7+안내!$C$8</f>
        <v>588</v>
      </c>
      <c r="H21" s="29" t="n">
        <f aca="false">ROUND(G21/60,1)</f>
        <v>9.8</v>
      </c>
      <c r="I21" s="29" t="str">
        <f aca="false">INDEX(A타입_제작표!$B$2:$B$799,MATCH(B21,A타입_제작표!$D$2:$D$799,0))</f>
        <v>A0176</v>
      </c>
      <c r="J21" s="29" t="str">
        <f aca="false">INDEX(A타입_제작표!$B$2:$B$799,MATCH(B21,A타입_제작표!$D$2:$D$799,0)+F21-1)</f>
        <v>A0184</v>
      </c>
      <c r="K21" s="24" t="s">
        <v>7612</v>
      </c>
      <c r="L21" s="24" t="s">
        <v>7613</v>
      </c>
      <c r="M21" s="24" t="s">
        <v>7614</v>
      </c>
      <c r="N21" s="28"/>
      <c r="O21" s="26" t="n">
        <f aca="false">_xlfn.MAXIFS(A타입_제작표!$S$2:$S$799,A타입_제작표!$D$2:$D$799,B21)+1</f>
        <v>46647</v>
      </c>
      <c r="P21" s="23" t="s">
        <v>99</v>
      </c>
      <c r="Q21" s="23" t="s">
        <v>99</v>
      </c>
      <c r="R21" s="23" t="s">
        <v>99</v>
      </c>
      <c r="S21" s="23" t="s">
        <v>99</v>
      </c>
      <c r="T21" s="28"/>
    </row>
    <row r="22" customFormat="false" ht="26.85" hidden="false" customHeight="false" outlineLevel="0" collapsed="false">
      <c r="A22" s="29" t="n">
        <v>21</v>
      </c>
      <c r="B22" s="29" t="s">
        <v>1813</v>
      </c>
      <c r="C22" s="24" t="s">
        <v>1814</v>
      </c>
      <c r="D22" s="24" t="s">
        <v>1815</v>
      </c>
      <c r="E22" s="24" t="s">
        <v>7615</v>
      </c>
      <c r="F22" s="29" t="n">
        <f aca="false">COUNTIF(A타입_제작표!$D$2:$D$799,B22)</f>
        <v>9</v>
      </c>
      <c r="G22" s="29" t="n">
        <f aca="false">F22*안내!$C$7+안내!$C$8</f>
        <v>588</v>
      </c>
      <c r="H22" s="29" t="n">
        <f aca="false">ROUND(G22/60,1)</f>
        <v>9.8</v>
      </c>
      <c r="I22" s="29" t="str">
        <f aca="false">INDEX(A타입_제작표!$B$2:$B$799,MATCH(B22,A타입_제작표!$D$2:$D$799,0))</f>
        <v>A0185</v>
      </c>
      <c r="J22" s="29" t="str">
        <f aca="false">INDEX(A타입_제작표!$B$2:$B$799,MATCH(B22,A타입_제작표!$D$2:$D$799,0)+F22-1)</f>
        <v>A0193</v>
      </c>
      <c r="K22" s="24" t="s">
        <v>7616</v>
      </c>
      <c r="L22" s="24" t="s">
        <v>7617</v>
      </c>
      <c r="M22" s="24" t="s">
        <v>7618</v>
      </c>
      <c r="N22" s="28"/>
      <c r="O22" s="26" t="n">
        <f aca="false">_xlfn.MAXIFS(A타입_제작표!$S$2:$S$799,A타입_제작표!$D$2:$D$799,B22)+1</f>
        <v>46660</v>
      </c>
      <c r="P22" s="23" t="s">
        <v>99</v>
      </c>
      <c r="Q22" s="23" t="s">
        <v>99</v>
      </c>
      <c r="R22" s="23" t="s">
        <v>99</v>
      </c>
      <c r="S22" s="23" t="s">
        <v>99</v>
      </c>
      <c r="T22" s="28"/>
    </row>
    <row r="23" customFormat="false" ht="26.85" hidden="false" customHeight="false" outlineLevel="0" collapsed="false">
      <c r="A23" s="29" t="n">
        <v>22</v>
      </c>
      <c r="B23" s="29" t="s">
        <v>1899</v>
      </c>
      <c r="C23" s="24" t="s">
        <v>1900</v>
      </c>
      <c r="D23" s="24" t="s">
        <v>1815</v>
      </c>
      <c r="E23" s="24" t="s">
        <v>7619</v>
      </c>
      <c r="F23" s="29" t="n">
        <f aca="false">COUNTIF(A타입_제작표!$D$2:$D$799,B23)</f>
        <v>11</v>
      </c>
      <c r="G23" s="29" t="n">
        <f aca="false">F23*안내!$C$7+안내!$C$8</f>
        <v>692</v>
      </c>
      <c r="H23" s="29" t="n">
        <f aca="false">ROUND(G23/60,1)</f>
        <v>11.5</v>
      </c>
      <c r="I23" s="29" t="str">
        <f aca="false">INDEX(A타입_제작표!$B$2:$B$799,MATCH(B23,A타입_제작표!$D$2:$D$799,0))</f>
        <v>A0194</v>
      </c>
      <c r="J23" s="29" t="str">
        <f aca="false">INDEX(A타입_제작표!$B$2:$B$799,MATCH(B23,A타입_제작표!$D$2:$D$799,0)+F23-1)</f>
        <v>A0204</v>
      </c>
      <c r="K23" s="24" t="s">
        <v>7620</v>
      </c>
      <c r="L23" s="24" t="s">
        <v>7621</v>
      </c>
      <c r="M23" s="24" t="s">
        <v>7622</v>
      </c>
      <c r="N23" s="28"/>
      <c r="O23" s="26" t="n">
        <f aca="false">_xlfn.MAXIFS(A타입_제작표!$S$2:$S$799,A타입_제작표!$D$2:$D$799,B23)+1</f>
        <v>46675</v>
      </c>
      <c r="P23" s="23" t="s">
        <v>99</v>
      </c>
      <c r="Q23" s="23" t="s">
        <v>99</v>
      </c>
      <c r="R23" s="23" t="s">
        <v>99</v>
      </c>
      <c r="S23" s="23" t="s">
        <v>99</v>
      </c>
      <c r="T23" s="28"/>
    </row>
    <row r="24" customFormat="false" ht="26.85" hidden="false" customHeight="false" outlineLevel="0" collapsed="false">
      <c r="A24" s="29" t="n">
        <v>23</v>
      </c>
      <c r="B24" s="29" t="s">
        <v>2006</v>
      </c>
      <c r="C24" s="24" t="s">
        <v>2007</v>
      </c>
      <c r="D24" s="24" t="s">
        <v>7623</v>
      </c>
      <c r="E24" s="24" t="s">
        <v>7624</v>
      </c>
      <c r="F24" s="29" t="n">
        <f aca="false">COUNTIF(A타입_제작표!$D$2:$D$799,B24)</f>
        <v>8</v>
      </c>
      <c r="G24" s="29" t="n">
        <f aca="false">F24*안내!$C$7+안내!$C$8</f>
        <v>536</v>
      </c>
      <c r="H24" s="29" t="n">
        <f aca="false">ROUND(G24/60,1)</f>
        <v>8.9</v>
      </c>
      <c r="I24" s="29" t="str">
        <f aca="false">INDEX(A타입_제작표!$B$2:$B$799,MATCH(B24,A타입_제작표!$D$2:$D$799,0))</f>
        <v>A0205</v>
      </c>
      <c r="J24" s="29" t="str">
        <f aca="false">INDEX(A타입_제작표!$B$2:$B$799,MATCH(B24,A타입_제작표!$D$2:$D$799,0)+F24-1)</f>
        <v>A0212</v>
      </c>
      <c r="K24" s="24" t="s">
        <v>7625</v>
      </c>
      <c r="L24" s="24" t="s">
        <v>7626</v>
      </c>
      <c r="M24" s="24" t="s">
        <v>7627</v>
      </c>
      <c r="N24" s="28"/>
      <c r="O24" s="26" t="n">
        <f aca="false">_xlfn.MAXIFS(A타입_제작표!$S$2:$S$799,A타입_제작표!$D$2:$D$799,B24)+1</f>
        <v>46687</v>
      </c>
      <c r="P24" s="23" t="s">
        <v>99</v>
      </c>
      <c r="Q24" s="23" t="s">
        <v>99</v>
      </c>
      <c r="R24" s="23" t="s">
        <v>99</v>
      </c>
      <c r="S24" s="23" t="s">
        <v>99</v>
      </c>
      <c r="T24" s="28"/>
    </row>
    <row r="25" customFormat="false" ht="26.85" hidden="false" customHeight="false" outlineLevel="0" collapsed="false">
      <c r="A25" s="29" t="n">
        <v>24</v>
      </c>
      <c r="B25" s="29" t="s">
        <v>2083</v>
      </c>
      <c r="C25" s="24" t="s">
        <v>2084</v>
      </c>
      <c r="D25" s="24" t="s">
        <v>2056</v>
      </c>
      <c r="E25" s="24" t="s">
        <v>7628</v>
      </c>
      <c r="F25" s="29" t="n">
        <f aca="false">COUNTIF(A타입_제작표!$D$2:$D$799,B25)</f>
        <v>9</v>
      </c>
      <c r="G25" s="29" t="n">
        <f aca="false">F25*안내!$C$7+안내!$C$8</f>
        <v>588</v>
      </c>
      <c r="H25" s="29" t="n">
        <f aca="false">ROUND(G25/60,1)</f>
        <v>9.8</v>
      </c>
      <c r="I25" s="29" t="str">
        <f aca="false">INDEX(A타입_제작표!$B$2:$B$799,MATCH(B25,A타입_제작표!$D$2:$D$799,0))</f>
        <v>A0213</v>
      </c>
      <c r="J25" s="29" t="str">
        <f aca="false">INDEX(A타입_제작표!$B$2:$B$799,MATCH(B25,A타입_제작표!$D$2:$D$799,0)+F25-1)</f>
        <v>A0221</v>
      </c>
      <c r="K25" s="24" t="s">
        <v>7629</v>
      </c>
      <c r="L25" s="24" t="s">
        <v>7630</v>
      </c>
      <c r="M25" s="24" t="s">
        <v>7631</v>
      </c>
      <c r="N25" s="28"/>
      <c r="O25" s="26" t="n">
        <f aca="false">_xlfn.MAXIFS(A타입_제작표!$S$2:$S$799,A타입_제작표!$D$2:$D$799,B25)+1</f>
        <v>46700</v>
      </c>
      <c r="P25" s="23" t="s">
        <v>99</v>
      </c>
      <c r="Q25" s="23" t="s">
        <v>99</v>
      </c>
      <c r="R25" s="23" t="s">
        <v>99</v>
      </c>
      <c r="S25" s="23" t="s">
        <v>99</v>
      </c>
      <c r="T25" s="28"/>
    </row>
    <row r="26" customFormat="false" ht="26.85" hidden="false" customHeight="false" outlineLevel="0" collapsed="false">
      <c r="A26" s="29" t="n">
        <v>25</v>
      </c>
      <c r="B26" s="29" t="s">
        <v>2165</v>
      </c>
      <c r="C26" s="24" t="s">
        <v>2166</v>
      </c>
      <c r="D26" s="24" t="s">
        <v>2056</v>
      </c>
      <c r="E26" s="24" t="s">
        <v>7632</v>
      </c>
      <c r="F26" s="29" t="n">
        <f aca="false">COUNTIF(A타입_제작표!$D$2:$D$799,B26)</f>
        <v>10</v>
      </c>
      <c r="G26" s="29" t="n">
        <f aca="false">F26*안내!$C$7+안내!$C$8</f>
        <v>640</v>
      </c>
      <c r="H26" s="29" t="n">
        <f aca="false">ROUND(G26/60,1)</f>
        <v>10.7</v>
      </c>
      <c r="I26" s="29" t="str">
        <f aca="false">INDEX(A타입_제작표!$B$2:$B$799,MATCH(B26,A타입_제작표!$D$2:$D$799,0))</f>
        <v>A0222</v>
      </c>
      <c r="J26" s="29" t="str">
        <f aca="false">INDEX(A타입_제작표!$B$2:$B$799,MATCH(B26,A타입_제작표!$D$2:$D$799,0)+F26-1)</f>
        <v>A0231</v>
      </c>
      <c r="K26" s="24" t="s">
        <v>7633</v>
      </c>
      <c r="L26" s="24" t="s">
        <v>7634</v>
      </c>
      <c r="M26" s="24" t="s">
        <v>7635</v>
      </c>
      <c r="N26" s="28"/>
      <c r="O26" s="26" t="n">
        <f aca="false">_xlfn.MAXIFS(A타입_제작표!$S$2:$S$799,A타입_제작표!$D$2:$D$799,B26)+1</f>
        <v>46714</v>
      </c>
      <c r="P26" s="23" t="s">
        <v>99</v>
      </c>
      <c r="Q26" s="23" t="s">
        <v>99</v>
      </c>
      <c r="R26" s="23" t="s">
        <v>99</v>
      </c>
      <c r="S26" s="23" t="s">
        <v>99</v>
      </c>
      <c r="T26" s="28"/>
    </row>
    <row r="27" customFormat="false" ht="26.85" hidden="false" customHeight="false" outlineLevel="0" collapsed="false">
      <c r="A27" s="29" t="n">
        <v>26</v>
      </c>
      <c r="B27" s="29" t="s">
        <v>2257</v>
      </c>
      <c r="C27" s="24" t="s">
        <v>2258</v>
      </c>
      <c r="D27" s="24" t="s">
        <v>7636</v>
      </c>
      <c r="E27" s="24" t="s">
        <v>7637</v>
      </c>
      <c r="F27" s="29" t="n">
        <f aca="false">COUNTIF(A타입_제작표!$D$2:$D$799,B27)</f>
        <v>8</v>
      </c>
      <c r="G27" s="29" t="n">
        <f aca="false">F27*안내!$C$7+안내!$C$8</f>
        <v>536</v>
      </c>
      <c r="H27" s="29" t="n">
        <f aca="false">ROUND(G27/60,1)</f>
        <v>8.9</v>
      </c>
      <c r="I27" s="29" t="str">
        <f aca="false">INDEX(A타입_제작표!$B$2:$B$799,MATCH(B27,A타입_제작표!$D$2:$D$799,0))</f>
        <v>A0232</v>
      </c>
      <c r="J27" s="29" t="str">
        <f aca="false">INDEX(A타입_제작표!$B$2:$B$799,MATCH(B27,A타입_제작표!$D$2:$D$799,0)+F27-1)</f>
        <v>A0239</v>
      </c>
      <c r="K27" s="24" t="s">
        <v>7638</v>
      </c>
      <c r="L27" s="24" t="s">
        <v>7639</v>
      </c>
      <c r="M27" s="24" t="s">
        <v>7640</v>
      </c>
      <c r="N27" s="28"/>
      <c r="O27" s="26" t="n">
        <f aca="false">_xlfn.MAXIFS(A타입_제작표!$S$2:$S$799,A타입_제작표!$D$2:$D$799,B27)+1</f>
        <v>46724</v>
      </c>
      <c r="P27" s="23" t="s">
        <v>99</v>
      </c>
      <c r="Q27" s="23" t="s">
        <v>99</v>
      </c>
      <c r="R27" s="23" t="s">
        <v>99</v>
      </c>
      <c r="S27" s="23" t="s">
        <v>99</v>
      </c>
      <c r="T27" s="28"/>
    </row>
    <row r="28" customFormat="false" ht="26.85" hidden="false" customHeight="false" outlineLevel="0" collapsed="false">
      <c r="A28" s="29" t="n">
        <v>27</v>
      </c>
      <c r="B28" s="29" t="s">
        <v>2334</v>
      </c>
      <c r="C28" s="24" t="s">
        <v>2335</v>
      </c>
      <c r="D28" s="24" t="s">
        <v>2315</v>
      </c>
      <c r="E28" s="24" t="s">
        <v>7641</v>
      </c>
      <c r="F28" s="29" t="n">
        <f aca="false">COUNTIF(A타입_제작표!$D$2:$D$799,B28)</f>
        <v>8</v>
      </c>
      <c r="G28" s="29" t="n">
        <f aca="false">F28*안내!$C$7+안내!$C$8</f>
        <v>536</v>
      </c>
      <c r="H28" s="29" t="n">
        <f aca="false">ROUND(G28/60,1)</f>
        <v>8.9</v>
      </c>
      <c r="I28" s="29" t="str">
        <f aca="false">INDEX(A타입_제작표!$B$2:$B$799,MATCH(B28,A타입_제작표!$D$2:$D$799,0))</f>
        <v>A0240</v>
      </c>
      <c r="J28" s="29" t="str">
        <f aca="false">INDEX(A타입_제작표!$B$2:$B$799,MATCH(B28,A타입_제작표!$D$2:$D$799,0)+F28-1)</f>
        <v>A0247</v>
      </c>
      <c r="K28" s="24" t="s">
        <v>7642</v>
      </c>
      <c r="L28" s="24" t="s">
        <v>7643</v>
      </c>
      <c r="M28" s="24" t="s">
        <v>7644</v>
      </c>
      <c r="N28" s="28"/>
      <c r="O28" s="26" t="n">
        <f aca="false">_xlfn.MAXIFS(A타입_제작표!$S$2:$S$799,A타입_제작표!$D$2:$D$799,B28)+1</f>
        <v>46736</v>
      </c>
      <c r="P28" s="23" t="s">
        <v>99</v>
      </c>
      <c r="Q28" s="23" t="s">
        <v>99</v>
      </c>
      <c r="R28" s="23" t="s">
        <v>99</v>
      </c>
      <c r="S28" s="23" t="s">
        <v>99</v>
      </c>
      <c r="T28" s="28"/>
    </row>
    <row r="29" customFormat="false" ht="26.85" hidden="false" customHeight="false" outlineLevel="0" collapsed="false">
      <c r="A29" s="29" t="n">
        <v>28</v>
      </c>
      <c r="B29" s="29" t="s">
        <v>2411</v>
      </c>
      <c r="C29" s="24" t="s">
        <v>2412</v>
      </c>
      <c r="D29" s="24" t="s">
        <v>2315</v>
      </c>
      <c r="E29" s="24" t="s">
        <v>7645</v>
      </c>
      <c r="F29" s="29" t="n">
        <f aca="false">COUNTIF(A타입_제작표!$D$2:$D$799,B29)</f>
        <v>11</v>
      </c>
      <c r="G29" s="29" t="n">
        <f aca="false">F29*안내!$C$7+안내!$C$8</f>
        <v>692</v>
      </c>
      <c r="H29" s="29" t="n">
        <f aca="false">ROUND(G29/60,1)</f>
        <v>11.5</v>
      </c>
      <c r="I29" s="29" t="str">
        <f aca="false">INDEX(A타입_제작표!$B$2:$B$799,MATCH(B29,A타입_제작표!$D$2:$D$799,0))</f>
        <v>A0248</v>
      </c>
      <c r="J29" s="29" t="str">
        <f aca="false">INDEX(A타입_제작표!$B$2:$B$799,MATCH(B29,A타입_제작표!$D$2:$D$799,0)+F29-1)</f>
        <v>A0258</v>
      </c>
      <c r="K29" s="24" t="s">
        <v>7646</v>
      </c>
      <c r="L29" s="24" t="s">
        <v>7647</v>
      </c>
      <c r="M29" s="24" t="s">
        <v>7648</v>
      </c>
      <c r="N29" s="28"/>
      <c r="O29" s="26" t="n">
        <f aca="false">_xlfn.MAXIFS(A타입_제작표!$S$2:$S$799,A타입_제작표!$D$2:$D$799,B29)+1</f>
        <v>46751</v>
      </c>
      <c r="P29" s="23" t="s">
        <v>99</v>
      </c>
      <c r="Q29" s="23" t="s">
        <v>99</v>
      </c>
      <c r="R29" s="23" t="s">
        <v>99</v>
      </c>
      <c r="S29" s="23" t="s">
        <v>99</v>
      </c>
      <c r="T29" s="28"/>
    </row>
    <row r="30" customFormat="false" ht="26.85" hidden="false" customHeight="false" outlineLevel="0" collapsed="false">
      <c r="A30" s="29" t="n">
        <v>29</v>
      </c>
      <c r="B30" s="29" t="s">
        <v>2516</v>
      </c>
      <c r="C30" s="24" t="s">
        <v>2517</v>
      </c>
      <c r="D30" s="24" t="s">
        <v>2518</v>
      </c>
      <c r="E30" s="24" t="s">
        <v>7649</v>
      </c>
      <c r="F30" s="29" t="n">
        <f aca="false">COUNTIF(A타입_제작표!$D$2:$D$799,B30)</f>
        <v>10</v>
      </c>
      <c r="G30" s="29" t="n">
        <f aca="false">F30*안내!$C$7+안내!$C$8</f>
        <v>640</v>
      </c>
      <c r="H30" s="29" t="n">
        <f aca="false">ROUND(G30/60,1)</f>
        <v>10.7</v>
      </c>
      <c r="I30" s="29" t="str">
        <f aca="false">INDEX(A타입_제작표!$B$2:$B$799,MATCH(B30,A타입_제작표!$D$2:$D$799,0))</f>
        <v>A0259</v>
      </c>
      <c r="J30" s="29" t="str">
        <f aca="false">INDEX(A타입_제작표!$B$2:$B$799,MATCH(B30,A타입_제작표!$D$2:$D$799,0)+F30-1)</f>
        <v>A0268</v>
      </c>
      <c r="K30" s="24" t="s">
        <v>7650</v>
      </c>
      <c r="L30" s="24" t="s">
        <v>7651</v>
      </c>
      <c r="M30" s="24" t="s">
        <v>7652</v>
      </c>
      <c r="N30" s="28"/>
      <c r="O30" s="26" t="n">
        <f aca="false">_xlfn.MAXIFS(A타입_제작표!$S$2:$S$799,A타입_제작표!$D$2:$D$799,B30)+1</f>
        <v>46765</v>
      </c>
      <c r="P30" s="23" t="s">
        <v>99</v>
      </c>
      <c r="Q30" s="23" t="s">
        <v>99</v>
      </c>
      <c r="R30" s="23" t="s">
        <v>99</v>
      </c>
      <c r="S30" s="23" t="s">
        <v>99</v>
      </c>
      <c r="T30" s="28"/>
    </row>
    <row r="31" customFormat="false" ht="26.85" hidden="false" customHeight="false" outlineLevel="0" collapsed="false">
      <c r="A31" s="29" t="n">
        <v>30</v>
      </c>
      <c r="B31" s="29" t="s">
        <v>2611</v>
      </c>
      <c r="C31" s="24" t="s">
        <v>2612</v>
      </c>
      <c r="D31" s="24" t="s">
        <v>2518</v>
      </c>
      <c r="E31" s="24" t="s">
        <v>7653</v>
      </c>
      <c r="F31" s="29" t="n">
        <f aca="false">COUNTIF(A타입_제작표!$D$2:$D$799,B31)</f>
        <v>8</v>
      </c>
      <c r="G31" s="29" t="n">
        <f aca="false">F31*안내!$C$7+안내!$C$8</f>
        <v>536</v>
      </c>
      <c r="H31" s="29" t="n">
        <f aca="false">ROUND(G31/60,1)</f>
        <v>8.9</v>
      </c>
      <c r="I31" s="29" t="str">
        <f aca="false">INDEX(A타입_제작표!$B$2:$B$799,MATCH(B31,A타입_제작표!$D$2:$D$799,0))</f>
        <v>A0269</v>
      </c>
      <c r="J31" s="29" t="str">
        <f aca="false">INDEX(A타입_제작표!$B$2:$B$799,MATCH(B31,A타입_제작표!$D$2:$D$799,0)+F31-1)</f>
        <v>A0276</v>
      </c>
      <c r="K31" s="24" t="s">
        <v>7654</v>
      </c>
      <c r="L31" s="24" t="s">
        <v>7655</v>
      </c>
      <c r="M31" s="24" t="s">
        <v>7656</v>
      </c>
      <c r="N31" s="28"/>
      <c r="O31" s="26" t="n">
        <f aca="false">_xlfn.MAXIFS(A타입_제작표!$S$2:$S$799,A타입_제작표!$D$2:$D$799,B31)+1</f>
        <v>46777</v>
      </c>
      <c r="P31" s="23" t="s">
        <v>99</v>
      </c>
      <c r="Q31" s="23" t="s">
        <v>99</v>
      </c>
      <c r="R31" s="23" t="s">
        <v>99</v>
      </c>
      <c r="S31" s="23" t="s">
        <v>99</v>
      </c>
      <c r="T31" s="28"/>
    </row>
    <row r="32" customFormat="false" ht="26.85" hidden="false" customHeight="false" outlineLevel="0" collapsed="false">
      <c r="A32" s="29" t="n">
        <v>31</v>
      </c>
      <c r="B32" s="29" t="s">
        <v>2685</v>
      </c>
      <c r="C32" s="24" t="s">
        <v>2686</v>
      </c>
      <c r="D32" s="24" t="s">
        <v>7657</v>
      </c>
      <c r="E32" s="24" t="s">
        <v>7658</v>
      </c>
      <c r="F32" s="29" t="n">
        <f aca="false">COUNTIF(A타입_제작표!$D$2:$D$799,B32)</f>
        <v>8</v>
      </c>
      <c r="G32" s="29" t="n">
        <f aca="false">F32*안내!$C$7+안내!$C$8</f>
        <v>536</v>
      </c>
      <c r="H32" s="29" t="n">
        <f aca="false">ROUND(G32/60,1)</f>
        <v>8.9</v>
      </c>
      <c r="I32" s="29" t="str">
        <f aca="false">INDEX(A타입_제작표!$B$2:$B$799,MATCH(B32,A타입_제작표!$D$2:$D$799,0))</f>
        <v>A0277</v>
      </c>
      <c r="J32" s="29" t="str">
        <f aca="false">INDEX(A타입_제작표!$B$2:$B$799,MATCH(B32,A타입_제작표!$D$2:$D$799,0)+F32-1)</f>
        <v>A0284</v>
      </c>
      <c r="K32" s="24" t="s">
        <v>7659</v>
      </c>
      <c r="L32" s="24" t="s">
        <v>7660</v>
      </c>
      <c r="M32" s="24" t="s">
        <v>7661</v>
      </c>
      <c r="N32" s="28"/>
      <c r="O32" s="26" t="n">
        <f aca="false">_xlfn.MAXIFS(A타입_제작표!$S$2:$S$799,A타입_제작표!$D$2:$D$799,B32)+1</f>
        <v>46787</v>
      </c>
      <c r="P32" s="23" t="s">
        <v>99</v>
      </c>
      <c r="Q32" s="23" t="s">
        <v>99</v>
      </c>
      <c r="R32" s="23" t="s">
        <v>99</v>
      </c>
      <c r="S32" s="23" t="s">
        <v>99</v>
      </c>
      <c r="T32" s="28"/>
    </row>
    <row r="33" customFormat="false" ht="26.85" hidden="false" customHeight="false" outlineLevel="0" collapsed="false">
      <c r="A33" s="29" t="n">
        <v>32</v>
      </c>
      <c r="B33" s="29" t="s">
        <v>2765</v>
      </c>
      <c r="C33" s="24" t="s">
        <v>2766</v>
      </c>
      <c r="D33" s="24" t="s">
        <v>2734</v>
      </c>
      <c r="E33" s="24" t="s">
        <v>7662</v>
      </c>
      <c r="F33" s="29" t="n">
        <f aca="false">COUNTIF(A타입_제작표!$D$2:$D$799,B33)</f>
        <v>10</v>
      </c>
      <c r="G33" s="29" t="n">
        <f aca="false">F33*안내!$C$7+안내!$C$8</f>
        <v>640</v>
      </c>
      <c r="H33" s="29" t="n">
        <f aca="false">ROUND(G33/60,1)</f>
        <v>10.7</v>
      </c>
      <c r="I33" s="29" t="str">
        <f aca="false">INDEX(A타입_제작표!$B$2:$B$799,MATCH(B33,A타입_제작표!$D$2:$D$799,0))</f>
        <v>A0285</v>
      </c>
      <c r="J33" s="29" t="str">
        <f aca="false">INDEX(A타입_제작표!$B$2:$B$799,MATCH(B33,A타입_제작표!$D$2:$D$799,0)+F33-1)</f>
        <v>A0294</v>
      </c>
      <c r="K33" s="24" t="s">
        <v>7663</v>
      </c>
      <c r="L33" s="24" t="s">
        <v>7664</v>
      </c>
      <c r="M33" s="24" t="s">
        <v>7665</v>
      </c>
      <c r="N33" s="28"/>
      <c r="O33" s="26" t="n">
        <f aca="false">_xlfn.MAXIFS(A타입_제작표!$S$2:$S$799,A타입_제작표!$D$2:$D$799,B33)+1</f>
        <v>46801</v>
      </c>
      <c r="P33" s="23" t="s">
        <v>99</v>
      </c>
      <c r="Q33" s="23" t="s">
        <v>99</v>
      </c>
      <c r="R33" s="23" t="s">
        <v>99</v>
      </c>
      <c r="S33" s="23" t="s">
        <v>99</v>
      </c>
      <c r="T33" s="28"/>
    </row>
    <row r="34" customFormat="false" ht="26.85" hidden="false" customHeight="false" outlineLevel="0" collapsed="false">
      <c r="A34" s="29" t="n">
        <v>33</v>
      </c>
      <c r="B34" s="29" t="s">
        <v>2859</v>
      </c>
      <c r="C34" s="24" t="s">
        <v>2860</v>
      </c>
      <c r="D34" s="24" t="s">
        <v>2734</v>
      </c>
      <c r="E34" s="24" t="s">
        <v>7666</v>
      </c>
      <c r="F34" s="29" t="n">
        <f aca="false">COUNTIF(A타입_제작표!$D$2:$D$799,B34)</f>
        <v>7</v>
      </c>
      <c r="G34" s="29" t="n">
        <f aca="false">F34*안내!$C$7+안내!$C$8</f>
        <v>484</v>
      </c>
      <c r="H34" s="29" t="n">
        <f aca="false">ROUND(G34/60,1)</f>
        <v>8.1</v>
      </c>
      <c r="I34" s="29" t="str">
        <f aca="false">INDEX(A타입_제작표!$B$2:$B$799,MATCH(B34,A타입_제작표!$D$2:$D$799,0))</f>
        <v>A0295</v>
      </c>
      <c r="J34" s="29" t="str">
        <f aca="false">INDEX(A타입_제작표!$B$2:$B$799,MATCH(B34,A타입_제작표!$D$2:$D$799,0)+F34-1)</f>
        <v>A0301</v>
      </c>
      <c r="K34" s="24" t="s">
        <v>7667</v>
      </c>
      <c r="L34" s="24" t="s">
        <v>7668</v>
      </c>
      <c r="M34" s="24" t="s">
        <v>7669</v>
      </c>
      <c r="N34" s="28"/>
      <c r="O34" s="26" t="n">
        <f aca="false">_xlfn.MAXIFS(A타입_제작표!$S$2:$S$799,A타입_제작표!$D$2:$D$799,B34)+1</f>
        <v>46812</v>
      </c>
      <c r="P34" s="23" t="s">
        <v>99</v>
      </c>
      <c r="Q34" s="23" t="s">
        <v>99</v>
      </c>
      <c r="R34" s="23" t="s">
        <v>99</v>
      </c>
      <c r="S34" s="23" t="s">
        <v>99</v>
      </c>
      <c r="T34" s="28"/>
    </row>
    <row r="35" customFormat="false" ht="26.85" hidden="false" customHeight="false" outlineLevel="0" collapsed="false">
      <c r="A35" s="29" t="n">
        <v>34</v>
      </c>
      <c r="B35" s="29" t="s">
        <v>2924</v>
      </c>
      <c r="C35" s="24" t="s">
        <v>2925</v>
      </c>
      <c r="D35" s="24" t="s">
        <v>2734</v>
      </c>
      <c r="E35" s="24" t="s">
        <v>7670</v>
      </c>
      <c r="F35" s="29" t="n">
        <f aca="false">COUNTIF(A타입_제작표!$D$2:$D$799,B35)</f>
        <v>8</v>
      </c>
      <c r="G35" s="29" t="n">
        <f aca="false">F35*안내!$C$7+안내!$C$8</f>
        <v>536</v>
      </c>
      <c r="H35" s="29" t="n">
        <f aca="false">ROUND(G35/60,1)</f>
        <v>8.9</v>
      </c>
      <c r="I35" s="29" t="str">
        <f aca="false">INDEX(A타입_제작표!$B$2:$B$799,MATCH(B35,A타입_제작표!$D$2:$D$799,0))</f>
        <v>A0302</v>
      </c>
      <c r="J35" s="29" t="str">
        <f aca="false">INDEX(A타입_제작표!$B$2:$B$799,MATCH(B35,A타입_제작표!$D$2:$D$799,0)+F35-1)</f>
        <v>A0309</v>
      </c>
      <c r="K35" s="24" t="s">
        <v>7671</v>
      </c>
      <c r="L35" s="24" t="s">
        <v>7672</v>
      </c>
      <c r="M35" s="24" t="s">
        <v>7673</v>
      </c>
      <c r="N35" s="28"/>
      <c r="O35" s="26" t="n">
        <f aca="false">_xlfn.MAXIFS(A타입_제작표!$S$2:$S$799,A타입_제작표!$D$2:$D$799,B35)+1</f>
        <v>46822</v>
      </c>
      <c r="P35" s="23" t="s">
        <v>99</v>
      </c>
      <c r="Q35" s="23" t="s">
        <v>99</v>
      </c>
      <c r="R35" s="23" t="s">
        <v>99</v>
      </c>
      <c r="S35" s="23" t="s">
        <v>99</v>
      </c>
      <c r="T35" s="28"/>
    </row>
    <row r="36" customFormat="false" ht="26.85" hidden="false" customHeight="false" outlineLevel="0" collapsed="false">
      <c r="A36" s="29" t="n">
        <v>35</v>
      </c>
      <c r="B36" s="29" t="s">
        <v>2999</v>
      </c>
      <c r="C36" s="24" t="s">
        <v>3000</v>
      </c>
      <c r="D36" s="24" t="s">
        <v>3001</v>
      </c>
      <c r="E36" s="24" t="s">
        <v>7674</v>
      </c>
      <c r="F36" s="29" t="n">
        <f aca="false">COUNTIF(A타입_제작표!$D$2:$D$799,B36)</f>
        <v>7</v>
      </c>
      <c r="G36" s="29" t="n">
        <f aca="false">F36*안내!$C$7+안내!$C$8</f>
        <v>484</v>
      </c>
      <c r="H36" s="29" t="n">
        <f aca="false">ROUND(G36/60,1)</f>
        <v>8.1</v>
      </c>
      <c r="I36" s="29" t="str">
        <f aca="false">INDEX(A타입_제작표!$B$2:$B$799,MATCH(B36,A타입_제작표!$D$2:$D$799,0))</f>
        <v>A0310</v>
      </c>
      <c r="J36" s="29" t="str">
        <f aca="false">INDEX(A타입_제작표!$B$2:$B$799,MATCH(B36,A타입_제작표!$D$2:$D$799,0)+F36-1)</f>
        <v>A0316</v>
      </c>
      <c r="K36" s="24" t="s">
        <v>7675</v>
      </c>
      <c r="L36" s="24" t="s">
        <v>7676</v>
      </c>
      <c r="M36" s="24" t="s">
        <v>7677</v>
      </c>
      <c r="N36" s="28"/>
      <c r="O36" s="26" t="n">
        <f aca="false">_xlfn.MAXIFS(A타입_제작표!$S$2:$S$799,A타입_제작표!$D$2:$D$799,B36)+1</f>
        <v>46833</v>
      </c>
      <c r="P36" s="23" t="s">
        <v>99</v>
      </c>
      <c r="Q36" s="23" t="s">
        <v>99</v>
      </c>
      <c r="R36" s="23" t="s">
        <v>99</v>
      </c>
      <c r="S36" s="23" t="s">
        <v>99</v>
      </c>
      <c r="T36" s="28"/>
    </row>
    <row r="37" customFormat="false" ht="26.85" hidden="false" customHeight="false" outlineLevel="0" collapsed="false">
      <c r="A37" s="29" t="n">
        <v>36</v>
      </c>
      <c r="B37" s="29" t="s">
        <v>3065</v>
      </c>
      <c r="C37" s="24" t="s">
        <v>3066</v>
      </c>
      <c r="D37" s="24" t="s">
        <v>3067</v>
      </c>
      <c r="E37" s="24" t="s">
        <v>7678</v>
      </c>
      <c r="F37" s="29" t="n">
        <f aca="false">COUNTIF(A타입_제작표!$D$2:$D$799,B37)</f>
        <v>8</v>
      </c>
      <c r="G37" s="29" t="n">
        <f aca="false">F37*안내!$C$7+안내!$C$8</f>
        <v>536</v>
      </c>
      <c r="H37" s="29" t="n">
        <f aca="false">ROUND(G37/60,1)</f>
        <v>8.9</v>
      </c>
      <c r="I37" s="29" t="str">
        <f aca="false">INDEX(A타입_제작표!$B$2:$B$799,MATCH(B37,A타입_제작표!$D$2:$D$799,0))</f>
        <v>A0317</v>
      </c>
      <c r="J37" s="29" t="str">
        <f aca="false">INDEX(A타입_제작표!$B$2:$B$799,MATCH(B37,A타입_제작표!$D$2:$D$799,0)+F37-1)</f>
        <v>A0324</v>
      </c>
      <c r="K37" s="24" t="s">
        <v>7679</v>
      </c>
      <c r="L37" s="24" t="s">
        <v>7680</v>
      </c>
      <c r="M37" s="24" t="s">
        <v>7681</v>
      </c>
      <c r="N37" s="28"/>
      <c r="O37" s="26" t="n">
        <f aca="false">_xlfn.MAXIFS(A타입_제작표!$S$2:$S$799,A타입_제작표!$D$2:$D$799,B37)+1</f>
        <v>46843</v>
      </c>
      <c r="P37" s="23" t="s">
        <v>99</v>
      </c>
      <c r="Q37" s="23" t="s">
        <v>99</v>
      </c>
      <c r="R37" s="23" t="s">
        <v>99</v>
      </c>
      <c r="S37" s="23" t="s">
        <v>99</v>
      </c>
      <c r="T37" s="28"/>
    </row>
    <row r="38" customFormat="false" ht="26.85" hidden="false" customHeight="false" outlineLevel="0" collapsed="false">
      <c r="A38" s="29" t="n">
        <v>37</v>
      </c>
      <c r="B38" s="29" t="s">
        <v>3137</v>
      </c>
      <c r="C38" s="24" t="s">
        <v>3138</v>
      </c>
      <c r="D38" s="24" t="s">
        <v>3139</v>
      </c>
      <c r="E38" s="24" t="s">
        <v>7682</v>
      </c>
      <c r="F38" s="29" t="n">
        <f aca="false">COUNTIF(A타입_제작표!$D$2:$D$799,B38)</f>
        <v>8</v>
      </c>
      <c r="G38" s="29" t="n">
        <f aca="false">F38*안내!$C$7+안내!$C$8</f>
        <v>536</v>
      </c>
      <c r="H38" s="29" t="n">
        <f aca="false">ROUND(G38/60,1)</f>
        <v>8.9</v>
      </c>
      <c r="I38" s="29" t="str">
        <f aca="false">INDEX(A타입_제작표!$B$2:$B$799,MATCH(B38,A타입_제작표!$D$2:$D$799,0))</f>
        <v>A0325</v>
      </c>
      <c r="J38" s="29" t="str">
        <f aca="false">INDEX(A타입_제작표!$B$2:$B$799,MATCH(B38,A타입_제작표!$D$2:$D$799,0)+F38-1)</f>
        <v>A0332</v>
      </c>
      <c r="K38" s="24" t="s">
        <v>7683</v>
      </c>
      <c r="L38" s="24" t="s">
        <v>7684</v>
      </c>
      <c r="M38" s="24" t="s">
        <v>7685</v>
      </c>
      <c r="N38" s="28"/>
      <c r="O38" s="26" t="n">
        <f aca="false">_xlfn.MAXIFS(A타입_제작표!$S$2:$S$799,A타입_제작표!$D$2:$D$799,B38)+1</f>
        <v>46855</v>
      </c>
      <c r="P38" s="23" t="s">
        <v>99</v>
      </c>
      <c r="Q38" s="23" t="s">
        <v>99</v>
      </c>
      <c r="R38" s="23" t="s">
        <v>99</v>
      </c>
      <c r="S38" s="23" t="s">
        <v>99</v>
      </c>
      <c r="T38" s="28"/>
    </row>
    <row r="39" customFormat="false" ht="26.85" hidden="false" customHeight="false" outlineLevel="0" collapsed="false">
      <c r="A39" s="29" t="n">
        <v>38</v>
      </c>
      <c r="B39" s="29" t="s">
        <v>3212</v>
      </c>
      <c r="C39" s="24" t="s">
        <v>3213</v>
      </c>
      <c r="D39" s="24" t="s">
        <v>3214</v>
      </c>
      <c r="E39" s="24" t="s">
        <v>7686</v>
      </c>
      <c r="F39" s="29" t="n">
        <f aca="false">COUNTIF(A타입_제작표!$D$2:$D$799,B39)</f>
        <v>9</v>
      </c>
      <c r="G39" s="29" t="n">
        <f aca="false">F39*안내!$C$7+안내!$C$8</f>
        <v>588</v>
      </c>
      <c r="H39" s="29" t="n">
        <f aca="false">ROUND(G39/60,1)</f>
        <v>9.8</v>
      </c>
      <c r="I39" s="29" t="str">
        <f aca="false">INDEX(A타입_제작표!$B$2:$B$799,MATCH(B39,A타입_제작표!$D$2:$D$799,0))</f>
        <v>A0333</v>
      </c>
      <c r="J39" s="29" t="str">
        <f aca="false">INDEX(A타입_제작표!$B$2:$B$799,MATCH(B39,A타입_제작표!$D$2:$D$799,0)+F39-1)</f>
        <v>A0341</v>
      </c>
      <c r="K39" s="24" t="s">
        <v>7687</v>
      </c>
      <c r="L39" s="24" t="s">
        <v>7688</v>
      </c>
      <c r="M39" s="24" t="s">
        <v>7689</v>
      </c>
      <c r="N39" s="28"/>
      <c r="O39" s="26" t="n">
        <f aca="false">_xlfn.MAXIFS(A타입_제작표!$S$2:$S$799,A타입_제작표!$D$2:$D$799,B39)+1</f>
        <v>46868</v>
      </c>
      <c r="P39" s="23" t="s">
        <v>99</v>
      </c>
      <c r="Q39" s="23" t="s">
        <v>99</v>
      </c>
      <c r="R39" s="23" t="s">
        <v>99</v>
      </c>
      <c r="S39" s="23" t="s">
        <v>99</v>
      </c>
      <c r="T39" s="28"/>
    </row>
    <row r="40" customFormat="false" ht="26.85" hidden="false" customHeight="false" outlineLevel="0" collapsed="false">
      <c r="A40" s="29" t="n">
        <v>39</v>
      </c>
      <c r="B40" s="29" t="s">
        <v>3295</v>
      </c>
      <c r="C40" s="24" t="s">
        <v>3296</v>
      </c>
      <c r="D40" s="24" t="s">
        <v>3297</v>
      </c>
      <c r="E40" s="24" t="s">
        <v>7690</v>
      </c>
      <c r="F40" s="29" t="n">
        <f aca="false">COUNTIF(A타입_제작표!$D$2:$D$799,B40)</f>
        <v>10</v>
      </c>
      <c r="G40" s="29" t="n">
        <f aca="false">F40*안내!$C$7+안내!$C$8</f>
        <v>640</v>
      </c>
      <c r="H40" s="29" t="n">
        <f aca="false">ROUND(G40/60,1)</f>
        <v>10.7</v>
      </c>
      <c r="I40" s="29" t="str">
        <f aca="false">INDEX(A타입_제작표!$B$2:$B$799,MATCH(B40,A타입_제작표!$D$2:$D$799,0))</f>
        <v>A0342</v>
      </c>
      <c r="J40" s="29" t="str">
        <f aca="false">INDEX(A타입_제작표!$B$2:$B$799,MATCH(B40,A타입_제작표!$D$2:$D$799,0)+F40-1)</f>
        <v>A0351</v>
      </c>
      <c r="K40" s="24" t="s">
        <v>7691</v>
      </c>
      <c r="L40" s="24" t="s">
        <v>7692</v>
      </c>
      <c r="M40" s="24" t="s">
        <v>7693</v>
      </c>
      <c r="N40" s="28"/>
      <c r="O40" s="26" t="n">
        <f aca="false">_xlfn.MAXIFS(A타입_제작표!$S$2:$S$799,A타입_제작표!$D$2:$D$799,B40)+1</f>
        <v>46882</v>
      </c>
      <c r="P40" s="23" t="s">
        <v>99</v>
      </c>
      <c r="Q40" s="23" t="s">
        <v>99</v>
      </c>
      <c r="R40" s="23" t="s">
        <v>99</v>
      </c>
      <c r="S40" s="23" t="s">
        <v>99</v>
      </c>
      <c r="T40" s="28"/>
    </row>
    <row r="41" customFormat="false" ht="26.85" hidden="false" customHeight="false" outlineLevel="0" collapsed="false">
      <c r="A41" s="29" t="n">
        <v>40</v>
      </c>
      <c r="B41" s="29" t="s">
        <v>3388</v>
      </c>
      <c r="C41" s="24" t="s">
        <v>3389</v>
      </c>
      <c r="D41" s="24" t="s">
        <v>3390</v>
      </c>
      <c r="E41" s="24" t="s">
        <v>7694</v>
      </c>
      <c r="F41" s="29" t="n">
        <f aca="false">COUNTIF(A타입_제작표!$D$2:$D$799,B41)</f>
        <v>11</v>
      </c>
      <c r="G41" s="29" t="n">
        <f aca="false">F41*안내!$C$7+안내!$C$8</f>
        <v>692</v>
      </c>
      <c r="H41" s="29" t="n">
        <f aca="false">ROUND(G41/60,1)</f>
        <v>11.5</v>
      </c>
      <c r="I41" s="29" t="str">
        <f aca="false">INDEX(A타입_제작표!$B$2:$B$799,MATCH(B41,A타입_제작표!$D$2:$D$799,0))</f>
        <v>A0352</v>
      </c>
      <c r="J41" s="29" t="str">
        <f aca="false">INDEX(A타입_제작표!$B$2:$B$799,MATCH(B41,A타입_제작표!$D$2:$D$799,0)+F41-1)</f>
        <v>A0362</v>
      </c>
      <c r="K41" s="24" t="s">
        <v>7695</v>
      </c>
      <c r="L41" s="28" t="s">
        <v>7696</v>
      </c>
      <c r="M41" s="24" t="s">
        <v>7697</v>
      </c>
      <c r="N41" s="28"/>
      <c r="O41" s="26" t="n">
        <f aca="false">_xlfn.MAXIFS(A타입_제작표!$S$2:$S$799,A타입_제작표!$D$2:$D$799,B41)+1</f>
        <v>46897</v>
      </c>
      <c r="P41" s="23" t="s">
        <v>99</v>
      </c>
      <c r="Q41" s="23" t="s">
        <v>99</v>
      </c>
      <c r="R41" s="23" t="s">
        <v>99</v>
      </c>
      <c r="S41" s="23" t="s">
        <v>99</v>
      </c>
      <c r="T41" s="28"/>
    </row>
    <row r="42" customFormat="false" ht="26.85" hidden="false" customHeight="false" outlineLevel="0" collapsed="false">
      <c r="A42" s="29" t="n">
        <v>41</v>
      </c>
      <c r="B42" s="29" t="s">
        <v>3494</v>
      </c>
      <c r="C42" s="24" t="s">
        <v>3495</v>
      </c>
      <c r="D42" s="24" t="s">
        <v>3496</v>
      </c>
      <c r="E42" s="24" t="s">
        <v>7698</v>
      </c>
      <c r="F42" s="29" t="n">
        <f aca="false">COUNTIF(A타입_제작표!$D$2:$D$799,B42)</f>
        <v>8</v>
      </c>
      <c r="G42" s="29" t="n">
        <f aca="false">F42*안내!$C$7+안내!$C$8</f>
        <v>536</v>
      </c>
      <c r="H42" s="29" t="n">
        <f aca="false">ROUND(G42/60,1)</f>
        <v>8.9</v>
      </c>
      <c r="I42" s="29" t="str">
        <f aca="false">INDEX(A타입_제작표!$B$2:$B$799,MATCH(B42,A타입_제작표!$D$2:$D$799,0))</f>
        <v>A0363</v>
      </c>
      <c r="J42" s="29" t="str">
        <f aca="false">INDEX(A타입_제작표!$B$2:$B$799,MATCH(B42,A타입_제작표!$D$2:$D$799,0)+F42-1)</f>
        <v>A0370</v>
      </c>
      <c r="K42" s="24" t="s">
        <v>7699</v>
      </c>
      <c r="L42" s="24" t="s">
        <v>7700</v>
      </c>
      <c r="M42" s="24" t="s">
        <v>7701</v>
      </c>
      <c r="N42" s="28"/>
      <c r="O42" s="26" t="n">
        <f aca="false">_xlfn.MAXIFS(A타입_제작표!$S$2:$S$799,A타입_제작표!$D$2:$D$799,B42)+1</f>
        <v>46907</v>
      </c>
      <c r="P42" s="23" t="s">
        <v>99</v>
      </c>
      <c r="Q42" s="23" t="s">
        <v>99</v>
      </c>
      <c r="R42" s="23" t="s">
        <v>99</v>
      </c>
      <c r="S42" s="23" t="s">
        <v>99</v>
      </c>
      <c r="T42" s="28"/>
    </row>
    <row r="43" customFormat="false" ht="26.85" hidden="false" customHeight="false" outlineLevel="0" collapsed="false">
      <c r="A43" s="29" t="n">
        <v>42</v>
      </c>
      <c r="B43" s="29" t="s">
        <v>3569</v>
      </c>
      <c r="C43" s="24" t="s">
        <v>3570</v>
      </c>
      <c r="D43" s="24" t="s">
        <v>3496</v>
      </c>
      <c r="E43" s="24" t="s">
        <v>7702</v>
      </c>
      <c r="F43" s="29" t="n">
        <f aca="false">COUNTIF(A타입_제작표!$D$2:$D$799,B43)</f>
        <v>8</v>
      </c>
      <c r="G43" s="29" t="n">
        <f aca="false">F43*안내!$C$7+안내!$C$8</f>
        <v>536</v>
      </c>
      <c r="H43" s="29" t="n">
        <f aca="false">ROUND(G43/60,1)</f>
        <v>8.9</v>
      </c>
      <c r="I43" s="29" t="str">
        <f aca="false">INDEX(A타입_제작표!$B$2:$B$799,MATCH(B43,A타입_제작표!$D$2:$D$799,0))</f>
        <v>A0371</v>
      </c>
      <c r="J43" s="29" t="str">
        <f aca="false">INDEX(A타입_제작표!$B$2:$B$799,MATCH(B43,A타입_제작표!$D$2:$D$799,0)+F43-1)</f>
        <v>A0378</v>
      </c>
      <c r="K43" s="24" t="s">
        <v>7703</v>
      </c>
      <c r="L43" s="28" t="s">
        <v>7704</v>
      </c>
      <c r="M43" s="24" t="s">
        <v>7705</v>
      </c>
      <c r="N43" s="28"/>
      <c r="O43" s="26" t="n">
        <f aca="false">_xlfn.MAXIFS(A타입_제작표!$S$2:$S$799,A타입_제작표!$D$2:$D$799,B43)+1</f>
        <v>46919</v>
      </c>
      <c r="P43" s="23" t="s">
        <v>99</v>
      </c>
      <c r="Q43" s="23" t="s">
        <v>99</v>
      </c>
      <c r="R43" s="23" t="s">
        <v>99</v>
      </c>
      <c r="S43" s="23" t="s">
        <v>99</v>
      </c>
      <c r="T43" s="28"/>
    </row>
    <row r="44" customFormat="false" ht="26.85" hidden="false" customHeight="false" outlineLevel="0" collapsed="false">
      <c r="A44" s="29" t="n">
        <v>43</v>
      </c>
      <c r="B44" s="29" t="s">
        <v>3638</v>
      </c>
      <c r="C44" s="24" t="s">
        <v>3639</v>
      </c>
      <c r="D44" s="24" t="s">
        <v>3496</v>
      </c>
      <c r="E44" s="24" t="s">
        <v>7706</v>
      </c>
      <c r="F44" s="29" t="n">
        <f aca="false">COUNTIF(A타입_제작표!$D$2:$D$799,B44)</f>
        <v>7</v>
      </c>
      <c r="G44" s="29" t="n">
        <f aca="false">F44*안내!$C$7+안내!$C$8</f>
        <v>484</v>
      </c>
      <c r="H44" s="29" t="n">
        <f aca="false">ROUND(G44/60,1)</f>
        <v>8.1</v>
      </c>
      <c r="I44" s="29" t="str">
        <f aca="false">INDEX(A타입_제작표!$B$2:$B$799,MATCH(B44,A타입_제작표!$D$2:$D$799,0))</f>
        <v>A0379</v>
      </c>
      <c r="J44" s="29" t="str">
        <f aca="false">INDEX(A타입_제작표!$B$2:$B$799,MATCH(B44,A타입_제작표!$D$2:$D$799,0)+F44-1)</f>
        <v>A0385</v>
      </c>
      <c r="K44" s="24" t="s">
        <v>7707</v>
      </c>
      <c r="L44" s="24" t="s">
        <v>7708</v>
      </c>
      <c r="M44" s="24" t="s">
        <v>7709</v>
      </c>
      <c r="N44" s="28"/>
      <c r="O44" s="26" t="n">
        <f aca="false">_xlfn.MAXIFS(A타입_제작표!$S$2:$S$799,A타입_제작표!$D$2:$D$799,B44)+1</f>
        <v>46928</v>
      </c>
      <c r="P44" s="23" t="s">
        <v>99</v>
      </c>
      <c r="Q44" s="23" t="s">
        <v>99</v>
      </c>
      <c r="R44" s="23" t="s">
        <v>99</v>
      </c>
      <c r="S44" s="23" t="s">
        <v>99</v>
      </c>
      <c r="T44" s="28"/>
    </row>
    <row r="45" customFormat="false" ht="26.85" hidden="false" customHeight="false" outlineLevel="0" collapsed="false">
      <c r="A45" s="29" t="n">
        <v>44</v>
      </c>
      <c r="B45" s="29" t="s">
        <v>3699</v>
      </c>
      <c r="C45" s="24" t="s">
        <v>3700</v>
      </c>
      <c r="D45" s="24" t="s">
        <v>3496</v>
      </c>
      <c r="E45" s="24" t="s">
        <v>7710</v>
      </c>
      <c r="F45" s="29" t="n">
        <f aca="false">COUNTIF(A타입_제작표!$D$2:$D$799,B45)</f>
        <v>8</v>
      </c>
      <c r="G45" s="29" t="n">
        <f aca="false">F45*안내!$C$7+안내!$C$8</f>
        <v>536</v>
      </c>
      <c r="H45" s="29" t="n">
        <f aca="false">ROUND(G45/60,1)</f>
        <v>8.9</v>
      </c>
      <c r="I45" s="29" t="str">
        <f aca="false">INDEX(A타입_제작표!$B$2:$B$799,MATCH(B45,A타입_제작표!$D$2:$D$799,0))</f>
        <v>A0386</v>
      </c>
      <c r="J45" s="29" t="str">
        <f aca="false">INDEX(A타입_제작표!$B$2:$B$799,MATCH(B45,A타입_제작표!$D$2:$D$799,0)+F45-1)</f>
        <v>A0393</v>
      </c>
      <c r="K45" s="24" t="s">
        <v>7711</v>
      </c>
      <c r="L45" s="28" t="s">
        <v>7712</v>
      </c>
      <c r="M45" s="24" t="s">
        <v>7713</v>
      </c>
      <c r="N45" s="28"/>
      <c r="O45" s="26" t="n">
        <f aca="false">_xlfn.MAXIFS(A타입_제작표!$S$2:$S$799,A타입_제작표!$D$2:$D$799,B45)+1</f>
        <v>46940</v>
      </c>
      <c r="P45" s="23" t="s">
        <v>99</v>
      </c>
      <c r="Q45" s="23" t="s">
        <v>99</v>
      </c>
      <c r="R45" s="23" t="s">
        <v>99</v>
      </c>
      <c r="S45" s="23" t="s">
        <v>99</v>
      </c>
      <c r="T45" s="28"/>
    </row>
    <row r="46" customFormat="false" ht="26.85" hidden="false" customHeight="false" outlineLevel="0" collapsed="false">
      <c r="A46" s="29" t="n">
        <v>45</v>
      </c>
      <c r="B46" s="29" t="s">
        <v>3770</v>
      </c>
      <c r="C46" s="24" t="s">
        <v>3771</v>
      </c>
      <c r="D46" s="24" t="s">
        <v>3772</v>
      </c>
      <c r="E46" s="24" t="s">
        <v>7714</v>
      </c>
      <c r="F46" s="29" t="n">
        <f aca="false">COUNTIF(A타입_제작표!$D$2:$D$799,B46)</f>
        <v>9</v>
      </c>
      <c r="G46" s="29" t="n">
        <f aca="false">F46*안내!$C$7+안내!$C$8</f>
        <v>588</v>
      </c>
      <c r="H46" s="29" t="n">
        <f aca="false">ROUND(G46/60,1)</f>
        <v>9.8</v>
      </c>
      <c r="I46" s="29" t="str">
        <f aca="false">INDEX(A타입_제작표!$B$2:$B$799,MATCH(B46,A타입_제작표!$D$2:$D$799,0))</f>
        <v>A0394</v>
      </c>
      <c r="J46" s="29" t="str">
        <f aca="false">INDEX(A타입_제작표!$B$2:$B$799,MATCH(B46,A타입_제작표!$D$2:$D$799,0)+F46-1)</f>
        <v>A0402</v>
      </c>
      <c r="K46" s="24" t="s">
        <v>7715</v>
      </c>
      <c r="L46" s="24" t="s">
        <v>7716</v>
      </c>
      <c r="M46" s="24" t="s">
        <v>7717</v>
      </c>
      <c r="N46" s="28"/>
      <c r="O46" s="26" t="n">
        <f aca="false">_xlfn.MAXIFS(A타입_제작표!$S$2:$S$799,A타입_제작표!$D$2:$D$799,B46)+1</f>
        <v>46953</v>
      </c>
      <c r="P46" s="23" t="s">
        <v>99</v>
      </c>
      <c r="Q46" s="23" t="s">
        <v>99</v>
      </c>
      <c r="R46" s="23" t="s">
        <v>99</v>
      </c>
      <c r="S46" s="23" t="s">
        <v>99</v>
      </c>
      <c r="T46" s="28"/>
    </row>
    <row r="47" customFormat="false" ht="26.85" hidden="false" customHeight="false" outlineLevel="0" collapsed="false">
      <c r="A47" s="29" t="n">
        <v>46</v>
      </c>
      <c r="B47" s="29" t="s">
        <v>3854</v>
      </c>
      <c r="C47" s="24" t="s">
        <v>3855</v>
      </c>
      <c r="D47" s="24" t="s">
        <v>7718</v>
      </c>
      <c r="E47" s="24" t="s">
        <v>7719</v>
      </c>
      <c r="F47" s="29" t="n">
        <f aca="false">COUNTIF(A타입_제작표!$D$2:$D$799,B47)</f>
        <v>8</v>
      </c>
      <c r="G47" s="29" t="n">
        <f aca="false">F47*안내!$C$7+안내!$C$8</f>
        <v>536</v>
      </c>
      <c r="H47" s="29" t="n">
        <f aca="false">ROUND(G47/60,1)</f>
        <v>8.9</v>
      </c>
      <c r="I47" s="29" t="str">
        <f aca="false">INDEX(A타입_제작표!$B$2:$B$799,MATCH(B47,A타입_제작표!$D$2:$D$799,0))</f>
        <v>A0403</v>
      </c>
      <c r="J47" s="29" t="str">
        <f aca="false">INDEX(A타입_제작표!$B$2:$B$799,MATCH(B47,A타입_제작표!$D$2:$D$799,0)+F47-1)</f>
        <v>A0410</v>
      </c>
      <c r="K47" s="24" t="s">
        <v>7720</v>
      </c>
      <c r="L47" s="24" t="s">
        <v>7721</v>
      </c>
      <c r="M47" s="24" t="s">
        <v>7722</v>
      </c>
      <c r="N47" s="28"/>
      <c r="O47" s="26" t="n">
        <f aca="false">_xlfn.MAXIFS(A타입_제작표!$S$2:$S$799,A타입_제작표!$D$2:$D$799,B47)+1</f>
        <v>46963</v>
      </c>
      <c r="P47" s="23" t="s">
        <v>99</v>
      </c>
      <c r="Q47" s="23" t="s">
        <v>99</v>
      </c>
      <c r="R47" s="23" t="s">
        <v>99</v>
      </c>
      <c r="S47" s="23" t="s">
        <v>99</v>
      </c>
      <c r="T47" s="28"/>
    </row>
    <row r="48" customFormat="false" ht="26.85" hidden="false" customHeight="false" outlineLevel="0" collapsed="false">
      <c r="A48" s="29" t="n">
        <v>47</v>
      </c>
      <c r="B48" s="29" t="s">
        <v>3929</v>
      </c>
      <c r="C48" s="24" t="s">
        <v>3930</v>
      </c>
      <c r="D48" s="24" t="s">
        <v>3931</v>
      </c>
      <c r="E48" s="24" t="s">
        <v>7723</v>
      </c>
      <c r="F48" s="29" t="n">
        <f aca="false">COUNTIF(A타입_제작표!$D$2:$D$799,B48)</f>
        <v>8</v>
      </c>
      <c r="G48" s="29" t="n">
        <f aca="false">F48*안내!$C$7+안내!$C$8</f>
        <v>536</v>
      </c>
      <c r="H48" s="29" t="n">
        <f aca="false">ROUND(G48/60,1)</f>
        <v>8.9</v>
      </c>
      <c r="I48" s="29" t="str">
        <f aca="false">INDEX(A타입_제작표!$B$2:$B$799,MATCH(B48,A타입_제작표!$D$2:$D$799,0))</f>
        <v>A0411</v>
      </c>
      <c r="J48" s="29" t="str">
        <f aca="false">INDEX(A타입_제작표!$B$2:$B$799,MATCH(B48,A타입_제작표!$D$2:$D$799,0)+F48-1)</f>
        <v>A0418</v>
      </c>
      <c r="K48" s="24" t="s">
        <v>7724</v>
      </c>
      <c r="L48" s="24" t="s">
        <v>7725</v>
      </c>
      <c r="M48" s="24" t="s">
        <v>7726</v>
      </c>
      <c r="N48" s="28"/>
      <c r="O48" s="26" t="n">
        <f aca="false">_xlfn.MAXIFS(A타입_제작표!$S$2:$S$799,A타입_제작표!$D$2:$D$799,B48)+1</f>
        <v>46975</v>
      </c>
      <c r="P48" s="23" t="s">
        <v>99</v>
      </c>
      <c r="Q48" s="23" t="s">
        <v>99</v>
      </c>
      <c r="R48" s="23" t="s">
        <v>99</v>
      </c>
      <c r="S48" s="23" t="s">
        <v>99</v>
      </c>
      <c r="T48" s="28"/>
    </row>
    <row r="49" customFormat="false" ht="26.85" hidden="false" customHeight="false" outlineLevel="0" collapsed="false">
      <c r="A49" s="29" t="n">
        <v>48</v>
      </c>
      <c r="B49" s="29" t="s">
        <v>4006</v>
      </c>
      <c r="C49" s="24" t="s">
        <v>4007</v>
      </c>
      <c r="D49" s="24" t="s">
        <v>3931</v>
      </c>
      <c r="E49" s="24" t="s">
        <v>7727</v>
      </c>
      <c r="F49" s="29" t="n">
        <f aca="false">COUNTIF(A타입_제작표!$D$2:$D$799,B49)</f>
        <v>8</v>
      </c>
      <c r="G49" s="29" t="n">
        <f aca="false">F49*안내!$C$7+안내!$C$8</f>
        <v>536</v>
      </c>
      <c r="H49" s="29" t="n">
        <f aca="false">ROUND(G49/60,1)</f>
        <v>8.9</v>
      </c>
      <c r="I49" s="29" t="str">
        <f aca="false">INDEX(A타입_제작표!$B$2:$B$799,MATCH(B49,A타입_제작표!$D$2:$D$799,0))</f>
        <v>A0419</v>
      </c>
      <c r="J49" s="29" t="str">
        <f aca="false">INDEX(A타입_제작표!$B$2:$B$799,MATCH(B49,A타입_제작표!$D$2:$D$799,0)+F49-1)</f>
        <v>A0426</v>
      </c>
      <c r="K49" s="24" t="s">
        <v>7728</v>
      </c>
      <c r="L49" s="24" t="s">
        <v>7729</v>
      </c>
      <c r="M49" s="24" t="s">
        <v>7730</v>
      </c>
      <c r="N49" s="28"/>
      <c r="O49" s="26" t="n">
        <f aca="false">_xlfn.MAXIFS(A타입_제작표!$S$2:$S$799,A타입_제작표!$D$2:$D$799,B49)+1</f>
        <v>46987</v>
      </c>
      <c r="P49" s="23" t="s">
        <v>99</v>
      </c>
      <c r="Q49" s="23" t="s">
        <v>99</v>
      </c>
      <c r="R49" s="23" t="s">
        <v>99</v>
      </c>
      <c r="S49" s="23" t="s">
        <v>99</v>
      </c>
      <c r="T49" s="28"/>
    </row>
    <row r="50" customFormat="false" ht="26.85" hidden="false" customHeight="false" outlineLevel="0" collapsed="false">
      <c r="A50" s="29" t="n">
        <v>49</v>
      </c>
      <c r="B50" s="29" t="s">
        <v>4079</v>
      </c>
      <c r="C50" s="24" t="s">
        <v>4080</v>
      </c>
      <c r="D50" s="24" t="s">
        <v>3931</v>
      </c>
      <c r="E50" s="24" t="s">
        <v>7731</v>
      </c>
      <c r="F50" s="29" t="n">
        <f aca="false">COUNTIF(A타입_제작표!$D$2:$D$799,B50)</f>
        <v>10</v>
      </c>
      <c r="G50" s="29" t="n">
        <f aca="false">F50*안내!$C$7+안내!$C$8</f>
        <v>640</v>
      </c>
      <c r="H50" s="29" t="n">
        <f aca="false">ROUND(G50/60,1)</f>
        <v>10.7</v>
      </c>
      <c r="I50" s="29" t="str">
        <f aca="false">INDEX(A타입_제작표!$B$2:$B$799,MATCH(B50,A타입_제작표!$D$2:$D$799,0))</f>
        <v>A0427</v>
      </c>
      <c r="J50" s="29" t="str">
        <f aca="false">INDEX(A타입_제작표!$B$2:$B$799,MATCH(B50,A타입_제작표!$D$2:$D$799,0)+F50-1)</f>
        <v>A0436</v>
      </c>
      <c r="K50" s="24" t="s">
        <v>7732</v>
      </c>
      <c r="L50" s="24" t="s">
        <v>7733</v>
      </c>
      <c r="M50" s="24" t="s">
        <v>7734</v>
      </c>
      <c r="N50" s="28"/>
      <c r="O50" s="26" t="n">
        <f aca="false">_xlfn.MAXIFS(A타입_제작표!$S$2:$S$799,A타입_제작표!$D$2:$D$799,B50)+1</f>
        <v>47001</v>
      </c>
      <c r="P50" s="23" t="s">
        <v>99</v>
      </c>
      <c r="Q50" s="23" t="s">
        <v>99</v>
      </c>
      <c r="R50" s="23" t="s">
        <v>99</v>
      </c>
      <c r="S50" s="23" t="s">
        <v>99</v>
      </c>
      <c r="T50" s="28"/>
    </row>
    <row r="51" customFormat="false" ht="26.85" hidden="false" customHeight="false" outlineLevel="0" collapsed="false">
      <c r="A51" s="29" t="n">
        <v>50</v>
      </c>
      <c r="B51" s="29" t="s">
        <v>4171</v>
      </c>
      <c r="C51" s="24" t="s">
        <v>4172</v>
      </c>
      <c r="D51" s="24" t="s">
        <v>4173</v>
      </c>
      <c r="E51" s="24" t="s">
        <v>7735</v>
      </c>
      <c r="F51" s="29" t="n">
        <f aca="false">COUNTIF(A타입_제작표!$D$2:$D$799,B51)</f>
        <v>10</v>
      </c>
      <c r="G51" s="29" t="n">
        <f aca="false">F51*안내!$C$7+안내!$C$8</f>
        <v>640</v>
      </c>
      <c r="H51" s="29" t="n">
        <f aca="false">ROUND(G51/60,1)</f>
        <v>10.7</v>
      </c>
      <c r="I51" s="29" t="str">
        <f aca="false">INDEX(A타입_제작표!$B$2:$B$799,MATCH(B51,A타입_제작표!$D$2:$D$799,0))</f>
        <v>A0437</v>
      </c>
      <c r="J51" s="29" t="str">
        <f aca="false">INDEX(A타입_제작표!$B$2:$B$799,MATCH(B51,A타입_제작표!$D$2:$D$799,0)+F51-1)</f>
        <v>A0446</v>
      </c>
      <c r="K51" s="24" t="s">
        <v>7736</v>
      </c>
      <c r="L51" s="24" t="s">
        <v>7737</v>
      </c>
      <c r="M51" s="24" t="s">
        <v>7738</v>
      </c>
      <c r="N51" s="28"/>
      <c r="O51" s="26" t="n">
        <f aca="false">_xlfn.MAXIFS(A타입_제작표!$S$2:$S$799,A타입_제작표!$D$2:$D$799,B51)+1</f>
        <v>47015</v>
      </c>
      <c r="P51" s="23" t="s">
        <v>99</v>
      </c>
      <c r="Q51" s="23" t="s">
        <v>99</v>
      </c>
      <c r="R51" s="23" t="s">
        <v>99</v>
      </c>
      <c r="S51" s="23" t="s">
        <v>99</v>
      </c>
      <c r="T51" s="28"/>
    </row>
    <row r="52" customFormat="false" ht="26.85" hidden="false" customHeight="false" outlineLevel="0" collapsed="false">
      <c r="A52" s="29" t="n">
        <v>51</v>
      </c>
      <c r="B52" s="29" t="s">
        <v>4259</v>
      </c>
      <c r="C52" s="24" t="s">
        <v>4260</v>
      </c>
      <c r="D52" s="24" t="s">
        <v>7739</v>
      </c>
      <c r="E52" s="24" t="s">
        <v>7740</v>
      </c>
      <c r="F52" s="29" t="n">
        <f aca="false">COUNTIF(A타입_제작표!$D$2:$D$799,B52)</f>
        <v>13</v>
      </c>
      <c r="G52" s="29" t="n">
        <f aca="false">F52*안내!$C$7+안내!$C$8</f>
        <v>796</v>
      </c>
      <c r="H52" s="29" t="n">
        <f aca="false">ROUND(G52/60,1)</f>
        <v>13.3</v>
      </c>
      <c r="I52" s="29" t="str">
        <f aca="false">INDEX(A타입_제작표!$B$2:$B$799,MATCH(B52,A타입_제작표!$D$2:$D$799,0))</f>
        <v>A0447</v>
      </c>
      <c r="J52" s="29" t="str">
        <f aca="false">INDEX(A타입_제작표!$B$2:$B$799,MATCH(B52,A타입_제작표!$D$2:$D$799,0)+F52-1)</f>
        <v>A0459</v>
      </c>
      <c r="K52" s="24" t="s">
        <v>7741</v>
      </c>
      <c r="L52" s="24" t="s">
        <v>7742</v>
      </c>
      <c r="M52" s="24" t="s">
        <v>7743</v>
      </c>
      <c r="N52" s="28"/>
      <c r="O52" s="26" t="n">
        <f aca="false">_xlfn.MAXIFS(A타입_제작표!$S$2:$S$799,A타입_제작표!$D$2:$D$799,B52)+1</f>
        <v>47032</v>
      </c>
      <c r="P52" s="23" t="s">
        <v>99</v>
      </c>
      <c r="Q52" s="23" t="s">
        <v>99</v>
      </c>
      <c r="R52" s="23" t="s">
        <v>99</v>
      </c>
      <c r="S52" s="23" t="s">
        <v>99</v>
      </c>
      <c r="T52" s="28"/>
    </row>
    <row r="53" customFormat="false" ht="26.85" hidden="false" customHeight="false" outlineLevel="0" collapsed="false">
      <c r="A53" s="29" t="n">
        <v>52</v>
      </c>
      <c r="B53" s="29" t="s">
        <v>4379</v>
      </c>
      <c r="C53" s="24" t="s">
        <v>4380</v>
      </c>
      <c r="D53" s="24" t="s">
        <v>4381</v>
      </c>
      <c r="E53" s="24" t="s">
        <v>7744</v>
      </c>
      <c r="F53" s="29" t="n">
        <f aca="false">COUNTIF(A타입_제작표!$D$2:$D$799,B53)</f>
        <v>14</v>
      </c>
      <c r="G53" s="29" t="n">
        <f aca="false">F53*안내!$C$7+안내!$C$8</f>
        <v>848</v>
      </c>
      <c r="H53" s="29" t="n">
        <f aca="false">ROUND(G53/60,1)</f>
        <v>14.1</v>
      </c>
      <c r="I53" s="29" t="str">
        <f aca="false">INDEX(A타입_제작표!$B$2:$B$799,MATCH(B53,A타입_제작표!$D$2:$D$799,0))</f>
        <v>A0460</v>
      </c>
      <c r="J53" s="29" t="str">
        <f aca="false">INDEX(A타입_제작표!$B$2:$B$799,MATCH(B53,A타입_제작표!$D$2:$D$799,0)+F53-1)</f>
        <v>A0473</v>
      </c>
      <c r="K53" s="24" t="s">
        <v>7745</v>
      </c>
      <c r="L53" s="24" t="s">
        <v>7746</v>
      </c>
      <c r="M53" s="24" t="s">
        <v>7747</v>
      </c>
      <c r="N53" s="28"/>
      <c r="O53" s="26" t="n">
        <f aca="false">_xlfn.MAXIFS(A타입_제작표!$S$2:$S$799,A타입_제작표!$D$2:$D$799,B53)+1</f>
        <v>47052</v>
      </c>
      <c r="P53" s="23" t="s">
        <v>99</v>
      </c>
      <c r="Q53" s="23" t="s">
        <v>99</v>
      </c>
      <c r="R53" s="23" t="s">
        <v>99</v>
      </c>
      <c r="S53" s="23" t="s">
        <v>99</v>
      </c>
      <c r="T53" s="28"/>
    </row>
    <row r="54" customFormat="false" ht="26.85" hidden="false" customHeight="false" outlineLevel="0" collapsed="false">
      <c r="A54" s="29" t="n">
        <v>53</v>
      </c>
      <c r="B54" s="29" t="s">
        <v>4505</v>
      </c>
      <c r="C54" s="24" t="s">
        <v>4506</v>
      </c>
      <c r="D54" s="24" t="s">
        <v>4507</v>
      </c>
      <c r="E54" s="24" t="s">
        <v>7748</v>
      </c>
      <c r="F54" s="29" t="n">
        <f aca="false">COUNTIF(A타입_제작표!$D$2:$D$799,B54)</f>
        <v>13</v>
      </c>
      <c r="G54" s="29" t="n">
        <f aca="false">F54*안내!$C$7+안내!$C$8</f>
        <v>796</v>
      </c>
      <c r="H54" s="29" t="n">
        <f aca="false">ROUND(G54/60,1)</f>
        <v>13.3</v>
      </c>
      <c r="I54" s="29" t="str">
        <f aca="false">INDEX(A타입_제작표!$B$2:$B$799,MATCH(B54,A타입_제작표!$D$2:$D$799,0))</f>
        <v>A0474</v>
      </c>
      <c r="J54" s="29" t="str">
        <f aca="false">INDEX(A타입_제작표!$B$2:$B$799,MATCH(B54,A타입_제작표!$D$2:$D$799,0)+F54-1)</f>
        <v>A0486</v>
      </c>
      <c r="K54" s="24" t="s">
        <v>7749</v>
      </c>
      <c r="L54" s="24" t="s">
        <v>7750</v>
      </c>
      <c r="M54" s="24" t="s">
        <v>7751</v>
      </c>
      <c r="N54" s="28"/>
      <c r="O54" s="26" t="n">
        <f aca="false">_xlfn.MAXIFS(A타입_제작표!$S$2:$S$799,A타입_제작표!$D$2:$D$799,B54)+1</f>
        <v>47071</v>
      </c>
      <c r="P54" s="23" t="s">
        <v>99</v>
      </c>
      <c r="Q54" s="23" t="s">
        <v>99</v>
      </c>
      <c r="R54" s="23" t="s">
        <v>99</v>
      </c>
      <c r="S54" s="23" t="s">
        <v>99</v>
      </c>
      <c r="T54" s="28"/>
    </row>
    <row r="55" customFormat="false" ht="26.85" hidden="false" customHeight="false" outlineLevel="0" collapsed="false">
      <c r="A55" s="29" t="n">
        <v>54</v>
      </c>
      <c r="B55" s="29" t="s">
        <v>4627</v>
      </c>
      <c r="C55" s="24" t="s">
        <v>4628</v>
      </c>
      <c r="D55" s="24" t="s">
        <v>7752</v>
      </c>
      <c r="E55" s="24" t="s">
        <v>7753</v>
      </c>
      <c r="F55" s="29" t="n">
        <f aca="false">COUNTIF(A타입_제작표!$D$2:$D$799,B55)</f>
        <v>11</v>
      </c>
      <c r="G55" s="29" t="n">
        <f aca="false">F55*안내!$C$7+안내!$C$8</f>
        <v>692</v>
      </c>
      <c r="H55" s="29" t="n">
        <f aca="false">ROUND(G55/60,1)</f>
        <v>11.5</v>
      </c>
      <c r="I55" s="29" t="str">
        <f aca="false">INDEX(A타입_제작표!$B$2:$B$799,MATCH(B55,A타입_제작표!$D$2:$D$799,0))</f>
        <v>A0487</v>
      </c>
      <c r="J55" s="29" t="str">
        <f aca="false">INDEX(A타입_제작표!$B$2:$B$799,MATCH(B55,A타입_제작표!$D$2:$D$799,0)+F55-1)</f>
        <v>A0497</v>
      </c>
      <c r="K55" s="24" t="s">
        <v>7754</v>
      </c>
      <c r="L55" s="24" t="s">
        <v>7755</v>
      </c>
      <c r="M55" s="24" t="s">
        <v>7756</v>
      </c>
      <c r="N55" s="28"/>
      <c r="O55" s="26" t="n">
        <f aca="false">_xlfn.MAXIFS(A타입_제작표!$S$2:$S$799,A타입_제작표!$D$2:$D$799,B55)+1</f>
        <v>47086</v>
      </c>
      <c r="P55" s="23" t="s">
        <v>99</v>
      </c>
      <c r="Q55" s="23" t="s">
        <v>99</v>
      </c>
      <c r="R55" s="23" t="s">
        <v>99</v>
      </c>
      <c r="S55" s="23" t="s">
        <v>99</v>
      </c>
      <c r="T55" s="28"/>
    </row>
    <row r="56" customFormat="false" ht="26.85" hidden="false" customHeight="false" outlineLevel="0" collapsed="false">
      <c r="A56" s="29" t="n">
        <v>55</v>
      </c>
      <c r="B56" s="29" t="s">
        <v>4724</v>
      </c>
      <c r="C56" s="24" t="s">
        <v>4725</v>
      </c>
      <c r="D56" s="24" t="s">
        <v>7757</v>
      </c>
      <c r="E56" s="24" t="s">
        <v>7758</v>
      </c>
      <c r="F56" s="29" t="n">
        <f aca="false">COUNTIF(A타입_제작표!$D$2:$D$799,B56)</f>
        <v>10</v>
      </c>
      <c r="G56" s="29" t="n">
        <f aca="false">F56*안내!$C$7+안내!$C$8</f>
        <v>640</v>
      </c>
      <c r="H56" s="29" t="n">
        <f aca="false">ROUND(G56/60,1)</f>
        <v>10.7</v>
      </c>
      <c r="I56" s="29" t="str">
        <f aca="false">INDEX(A타입_제작표!$B$2:$B$799,MATCH(B56,A타입_제작표!$D$2:$D$799,0))</f>
        <v>A0498</v>
      </c>
      <c r="J56" s="29" t="str">
        <f aca="false">INDEX(A타입_제작표!$B$2:$B$799,MATCH(B56,A타입_제작표!$D$2:$D$799,0)+F56-1)</f>
        <v>A0507</v>
      </c>
      <c r="K56" s="24" t="s">
        <v>7759</v>
      </c>
      <c r="L56" s="24" t="s">
        <v>7760</v>
      </c>
      <c r="M56" s="24" t="s">
        <v>7761</v>
      </c>
      <c r="N56" s="28"/>
      <c r="O56" s="26" t="n">
        <f aca="false">_xlfn.MAXIFS(A타입_제작표!$S$2:$S$799,A타입_제작표!$D$2:$D$799,B56)+1</f>
        <v>47100</v>
      </c>
      <c r="P56" s="23" t="s">
        <v>99</v>
      </c>
      <c r="Q56" s="23" t="s">
        <v>99</v>
      </c>
      <c r="R56" s="23" t="s">
        <v>99</v>
      </c>
      <c r="S56" s="23" t="s">
        <v>99</v>
      </c>
      <c r="T56" s="28"/>
    </row>
    <row r="57" customFormat="false" ht="26.85" hidden="false" customHeight="false" outlineLevel="0" collapsed="false">
      <c r="A57" s="29" t="n">
        <v>56</v>
      </c>
      <c r="B57" s="29" t="s">
        <v>4817</v>
      </c>
      <c r="C57" s="24" t="s">
        <v>4818</v>
      </c>
      <c r="D57" s="24" t="s">
        <v>7762</v>
      </c>
      <c r="E57" s="24" t="s">
        <v>7763</v>
      </c>
      <c r="F57" s="29" t="n">
        <f aca="false">COUNTIF(A타입_제작표!$D$2:$D$799,B57)</f>
        <v>14</v>
      </c>
      <c r="G57" s="29" t="n">
        <f aca="false">F57*안내!$C$7+안내!$C$8</f>
        <v>848</v>
      </c>
      <c r="H57" s="29" t="n">
        <f aca="false">ROUND(G57/60,1)</f>
        <v>14.1</v>
      </c>
      <c r="I57" s="29" t="str">
        <f aca="false">INDEX(A타입_제작표!$B$2:$B$799,MATCH(B57,A타입_제작표!$D$2:$D$799,0))</f>
        <v>A0508</v>
      </c>
      <c r="J57" s="29" t="str">
        <f aca="false">INDEX(A타입_제작표!$B$2:$B$799,MATCH(B57,A타입_제작표!$D$2:$D$799,0)+F57-1)</f>
        <v>A0521</v>
      </c>
      <c r="K57" s="24" t="s">
        <v>7764</v>
      </c>
      <c r="L57" s="24" t="s">
        <v>7765</v>
      </c>
      <c r="M57" s="24" t="s">
        <v>7766</v>
      </c>
      <c r="N57" s="28"/>
      <c r="O57" s="26" t="n">
        <f aca="false">_xlfn.MAXIFS(A타입_제작표!$S$2:$S$799,A타입_제작표!$D$2:$D$799,B57)+1</f>
        <v>47120</v>
      </c>
      <c r="P57" s="23" t="s">
        <v>99</v>
      </c>
      <c r="Q57" s="23" t="s">
        <v>99</v>
      </c>
      <c r="R57" s="23" t="s">
        <v>99</v>
      </c>
      <c r="S57" s="23" t="s">
        <v>99</v>
      </c>
      <c r="T57" s="28"/>
    </row>
    <row r="58" customFormat="false" ht="26.85" hidden="false" customHeight="false" outlineLevel="0" collapsed="false">
      <c r="A58" s="29" t="n">
        <v>57</v>
      </c>
      <c r="B58" s="29" t="s">
        <v>4948</v>
      </c>
      <c r="C58" s="24" t="s">
        <v>4949</v>
      </c>
      <c r="D58" s="24" t="s">
        <v>4951</v>
      </c>
      <c r="E58" s="24" t="s">
        <v>7767</v>
      </c>
      <c r="F58" s="29" t="n">
        <f aca="false">COUNTIF(A타입_제작표!$D$2:$D$799,B58)</f>
        <v>8</v>
      </c>
      <c r="G58" s="29" t="n">
        <f aca="false">F58*안내!$C$7+안내!$C$8</f>
        <v>536</v>
      </c>
      <c r="H58" s="29" t="n">
        <f aca="false">ROUND(G58/60,1)</f>
        <v>8.9</v>
      </c>
      <c r="I58" s="29" t="str">
        <f aca="false">INDEX(A타입_제작표!$B$2:$B$799,MATCH(B58,A타입_제작표!$D$2:$D$799,0))</f>
        <v>A0522</v>
      </c>
      <c r="J58" s="29" t="str">
        <f aca="false">INDEX(A타입_제작표!$B$2:$B$799,MATCH(B58,A타입_제작표!$D$2:$D$799,0)+F58-1)</f>
        <v>A0529</v>
      </c>
      <c r="K58" s="24" t="s">
        <v>7768</v>
      </c>
      <c r="L58" s="24" t="s">
        <v>7769</v>
      </c>
      <c r="M58" s="24" t="s">
        <v>7770</v>
      </c>
      <c r="N58" s="28"/>
      <c r="O58" s="26" t="n">
        <f aca="false">_xlfn.MAXIFS(A타입_제작표!$S$2:$S$799,A타입_제작표!$D$2:$D$799,B58)+1</f>
        <v>47130</v>
      </c>
      <c r="P58" s="23" t="s">
        <v>99</v>
      </c>
      <c r="Q58" s="23" t="s">
        <v>99</v>
      </c>
      <c r="R58" s="23" t="s">
        <v>99</v>
      </c>
      <c r="S58" s="23" t="s">
        <v>99</v>
      </c>
      <c r="T58" s="28"/>
    </row>
    <row r="59" customFormat="false" ht="15" hidden="false" customHeight="false" outlineLevel="0" collapsed="false">
      <c r="A59" s="29" t="n">
        <v>58</v>
      </c>
      <c r="B59" s="29" t="s">
        <v>5028</v>
      </c>
      <c r="C59" s="24" t="s">
        <v>5029</v>
      </c>
      <c r="D59" s="24" t="s">
        <v>4951</v>
      </c>
      <c r="E59" s="24" t="s">
        <v>7771</v>
      </c>
      <c r="F59" s="29" t="n">
        <f aca="false">COUNTIF(A타입_제작표!$D$2:$D$799,B59)</f>
        <v>8</v>
      </c>
      <c r="G59" s="29" t="n">
        <f aca="false">F59*안내!$C$7+안내!$C$8</f>
        <v>536</v>
      </c>
      <c r="H59" s="29" t="n">
        <f aca="false">ROUND(G59/60,1)</f>
        <v>8.9</v>
      </c>
      <c r="I59" s="29" t="str">
        <f aca="false">INDEX(A타입_제작표!$B$2:$B$799,MATCH(B59,A타입_제작표!$D$2:$D$799,0))</f>
        <v>A0530</v>
      </c>
      <c r="J59" s="29" t="str">
        <f aca="false">INDEX(A타입_제작표!$B$2:$B$799,MATCH(B59,A타입_제작표!$D$2:$D$799,0)+F59-1)</f>
        <v>A0537</v>
      </c>
      <c r="K59" s="24" t="s">
        <v>7772</v>
      </c>
      <c r="L59" s="24" t="s">
        <v>7773</v>
      </c>
      <c r="M59" s="24" t="s">
        <v>7774</v>
      </c>
      <c r="N59" s="28"/>
      <c r="O59" s="26" t="n">
        <f aca="false">_xlfn.MAXIFS(A타입_제작표!$S$2:$S$799,A타입_제작표!$D$2:$D$799,B59)+1</f>
        <v>47142</v>
      </c>
      <c r="P59" s="23" t="s">
        <v>99</v>
      </c>
      <c r="Q59" s="23" t="s">
        <v>99</v>
      </c>
      <c r="R59" s="23" t="s">
        <v>99</v>
      </c>
      <c r="S59" s="23" t="s">
        <v>99</v>
      </c>
      <c r="T59" s="28"/>
    </row>
    <row r="60" customFormat="false" ht="26.85" hidden="false" customHeight="false" outlineLevel="0" collapsed="false">
      <c r="A60" s="29" t="n">
        <v>59</v>
      </c>
      <c r="B60" s="29" t="s">
        <v>5095</v>
      </c>
      <c r="C60" s="24" t="s">
        <v>5096</v>
      </c>
      <c r="D60" s="24" t="s">
        <v>4951</v>
      </c>
      <c r="E60" s="24" t="s">
        <v>7775</v>
      </c>
      <c r="F60" s="29" t="n">
        <f aca="false">COUNTIF(A타입_제작표!$D$2:$D$799,B60)</f>
        <v>10</v>
      </c>
      <c r="G60" s="29" t="n">
        <f aca="false">F60*안내!$C$7+안내!$C$8</f>
        <v>640</v>
      </c>
      <c r="H60" s="29" t="n">
        <f aca="false">ROUND(G60/60,1)</f>
        <v>10.7</v>
      </c>
      <c r="I60" s="29" t="str">
        <f aca="false">INDEX(A타입_제작표!$B$2:$B$799,MATCH(B60,A타입_제작표!$D$2:$D$799,0))</f>
        <v>A0538</v>
      </c>
      <c r="J60" s="29" t="str">
        <f aca="false">INDEX(A타입_제작표!$B$2:$B$799,MATCH(B60,A타입_제작표!$D$2:$D$799,0)+F60-1)</f>
        <v>A0547</v>
      </c>
      <c r="K60" s="24" t="s">
        <v>7776</v>
      </c>
      <c r="L60" s="24" t="s">
        <v>7777</v>
      </c>
      <c r="M60" s="24" t="s">
        <v>7778</v>
      </c>
      <c r="N60" s="28"/>
      <c r="O60" s="26" t="n">
        <f aca="false">_xlfn.MAXIFS(A타입_제작표!$S$2:$S$799,A타입_제작표!$D$2:$D$799,B60)+1</f>
        <v>47156</v>
      </c>
      <c r="P60" s="23" t="s">
        <v>99</v>
      </c>
      <c r="Q60" s="23" t="s">
        <v>99</v>
      </c>
      <c r="R60" s="23" t="s">
        <v>99</v>
      </c>
      <c r="S60" s="23" t="s">
        <v>99</v>
      </c>
      <c r="T60" s="28"/>
    </row>
    <row r="61" customFormat="false" ht="26.85" hidden="false" customHeight="false" outlineLevel="0" collapsed="false">
      <c r="A61" s="29" t="n">
        <v>60</v>
      </c>
      <c r="B61" s="29" t="s">
        <v>5189</v>
      </c>
      <c r="C61" s="24" t="s">
        <v>5190</v>
      </c>
      <c r="D61" s="24" t="s">
        <v>4951</v>
      </c>
      <c r="E61" s="24" t="s">
        <v>7779</v>
      </c>
      <c r="F61" s="29" t="n">
        <f aca="false">COUNTIF(A타입_제작표!$D$2:$D$799,B61)</f>
        <v>11</v>
      </c>
      <c r="G61" s="29" t="n">
        <f aca="false">F61*안내!$C$7+안내!$C$8</f>
        <v>692</v>
      </c>
      <c r="H61" s="29" t="n">
        <f aca="false">ROUND(G61/60,1)</f>
        <v>11.5</v>
      </c>
      <c r="I61" s="29" t="str">
        <f aca="false">INDEX(A타입_제작표!$B$2:$B$799,MATCH(B61,A타입_제작표!$D$2:$D$799,0))</f>
        <v>A0548</v>
      </c>
      <c r="J61" s="29" t="str">
        <f aca="false">INDEX(A타입_제작표!$B$2:$B$799,MATCH(B61,A타입_제작표!$D$2:$D$799,0)+F61-1)</f>
        <v>A0558</v>
      </c>
      <c r="K61" s="24" t="s">
        <v>7780</v>
      </c>
      <c r="L61" s="28" t="s">
        <v>7781</v>
      </c>
      <c r="M61" s="24" t="s">
        <v>7782</v>
      </c>
      <c r="N61" s="28"/>
      <c r="O61" s="26" t="n">
        <f aca="false">_xlfn.MAXIFS(A타입_제작표!$S$2:$S$799,A타입_제작표!$D$2:$D$799,B61)+1</f>
        <v>47171</v>
      </c>
      <c r="P61" s="23" t="s">
        <v>99</v>
      </c>
      <c r="Q61" s="23" t="s">
        <v>99</v>
      </c>
      <c r="R61" s="23" t="s">
        <v>99</v>
      </c>
      <c r="S61" s="23" t="s">
        <v>99</v>
      </c>
      <c r="T61" s="28"/>
    </row>
    <row r="62" customFormat="false" ht="26.85" hidden="false" customHeight="false" outlineLevel="0" collapsed="false">
      <c r="A62" s="29" t="n">
        <v>61</v>
      </c>
      <c r="B62" s="29" t="s">
        <v>5290</v>
      </c>
      <c r="C62" s="24" t="s">
        <v>5291</v>
      </c>
      <c r="D62" s="24" t="s">
        <v>4951</v>
      </c>
      <c r="E62" s="24" t="s">
        <v>7783</v>
      </c>
      <c r="F62" s="29" t="n">
        <f aca="false">COUNTIF(A타입_제작표!$D$2:$D$799,B62)</f>
        <v>9</v>
      </c>
      <c r="G62" s="29" t="n">
        <f aca="false">F62*안내!$C$7+안내!$C$8</f>
        <v>588</v>
      </c>
      <c r="H62" s="29" t="n">
        <f aca="false">ROUND(G62/60,1)</f>
        <v>9.8</v>
      </c>
      <c r="I62" s="29" t="str">
        <f aca="false">INDEX(A타입_제작표!$B$2:$B$799,MATCH(B62,A타입_제작표!$D$2:$D$799,0))</f>
        <v>A0559</v>
      </c>
      <c r="J62" s="29" t="str">
        <f aca="false">INDEX(A타입_제작표!$B$2:$B$799,MATCH(B62,A타입_제작표!$D$2:$D$799,0)+F62-1)</f>
        <v>A0567</v>
      </c>
      <c r="K62" s="24" t="s">
        <v>7784</v>
      </c>
      <c r="L62" s="24" t="s">
        <v>7785</v>
      </c>
      <c r="M62" s="24" t="s">
        <v>7786</v>
      </c>
      <c r="N62" s="28"/>
      <c r="O62" s="26" t="n">
        <f aca="false">_xlfn.MAXIFS(A타입_제작표!$S$2:$S$799,A타입_제작표!$D$2:$D$799,B62)+1</f>
        <v>47184</v>
      </c>
      <c r="P62" s="23" t="s">
        <v>99</v>
      </c>
      <c r="Q62" s="23" t="s">
        <v>99</v>
      </c>
      <c r="R62" s="23" t="s">
        <v>99</v>
      </c>
      <c r="S62" s="23" t="s">
        <v>99</v>
      </c>
      <c r="T62" s="28"/>
    </row>
    <row r="63" customFormat="false" ht="15" hidden="false" customHeight="false" outlineLevel="0" collapsed="false">
      <c r="A63" s="29" t="n">
        <v>62</v>
      </c>
      <c r="B63" s="29" t="s">
        <v>5372</v>
      </c>
      <c r="C63" s="24" t="s">
        <v>5373</v>
      </c>
      <c r="D63" s="24" t="s">
        <v>4951</v>
      </c>
      <c r="E63" s="24" t="s">
        <v>7787</v>
      </c>
      <c r="F63" s="29" t="n">
        <f aca="false">COUNTIF(A타입_제작표!$D$2:$D$799,B63)</f>
        <v>9</v>
      </c>
      <c r="G63" s="29" t="n">
        <f aca="false">F63*안내!$C$7+안내!$C$8</f>
        <v>588</v>
      </c>
      <c r="H63" s="29" t="n">
        <f aca="false">ROUND(G63/60,1)</f>
        <v>9.8</v>
      </c>
      <c r="I63" s="29" t="str">
        <f aca="false">INDEX(A타입_제작표!$B$2:$B$799,MATCH(B63,A타입_제작표!$D$2:$D$799,0))</f>
        <v>A0568</v>
      </c>
      <c r="J63" s="29" t="str">
        <f aca="false">INDEX(A타입_제작표!$B$2:$B$799,MATCH(B63,A타입_제작표!$D$2:$D$799,0)+F63-1)</f>
        <v>A0576</v>
      </c>
      <c r="K63" s="24" t="s">
        <v>7788</v>
      </c>
      <c r="L63" s="24" t="s">
        <v>7789</v>
      </c>
      <c r="M63" s="24" t="s">
        <v>7790</v>
      </c>
      <c r="N63" s="28"/>
      <c r="O63" s="26" t="n">
        <f aca="false">_xlfn.MAXIFS(A타입_제작표!$S$2:$S$799,A타입_제작표!$D$2:$D$799,B63)+1</f>
        <v>47197</v>
      </c>
      <c r="P63" s="23" t="s">
        <v>99</v>
      </c>
      <c r="Q63" s="23" t="s">
        <v>99</v>
      </c>
      <c r="R63" s="23" t="s">
        <v>99</v>
      </c>
      <c r="S63" s="23" t="s">
        <v>99</v>
      </c>
      <c r="T63" s="28"/>
    </row>
    <row r="64" customFormat="false" ht="26.85" hidden="false" customHeight="false" outlineLevel="0" collapsed="false">
      <c r="A64" s="29" t="n">
        <v>63</v>
      </c>
      <c r="B64" s="29" t="s">
        <v>5456</v>
      </c>
      <c r="C64" s="24" t="s">
        <v>5457</v>
      </c>
      <c r="D64" s="24" t="s">
        <v>5458</v>
      </c>
      <c r="E64" s="24" t="s">
        <v>7791</v>
      </c>
      <c r="F64" s="29" t="n">
        <f aca="false">COUNTIF(A타입_제작표!$D$2:$D$799,B64)</f>
        <v>12</v>
      </c>
      <c r="G64" s="29" t="n">
        <f aca="false">F64*안내!$C$7+안내!$C$8</f>
        <v>744</v>
      </c>
      <c r="H64" s="29" t="n">
        <f aca="false">ROUND(G64/60,1)</f>
        <v>12.4</v>
      </c>
      <c r="I64" s="29" t="str">
        <f aca="false">INDEX(A타입_제작표!$B$2:$B$799,MATCH(B64,A타입_제작표!$D$2:$D$799,0))</f>
        <v>A0577</v>
      </c>
      <c r="J64" s="29" t="str">
        <f aca="false">INDEX(A타입_제작표!$B$2:$B$799,MATCH(B64,A타입_제작표!$D$2:$D$799,0)+F64-1)</f>
        <v>A0588</v>
      </c>
      <c r="K64" s="24" t="s">
        <v>7792</v>
      </c>
      <c r="L64" s="24" t="s">
        <v>7793</v>
      </c>
      <c r="M64" s="24" t="s">
        <v>7794</v>
      </c>
      <c r="N64" s="28"/>
      <c r="O64" s="26" t="n">
        <f aca="false">_xlfn.MAXIFS(A타입_제작표!$S$2:$S$799,A타입_제작표!$D$2:$D$799,B64)+1</f>
        <v>47213</v>
      </c>
      <c r="P64" s="23" t="s">
        <v>99</v>
      </c>
      <c r="Q64" s="23" t="s">
        <v>99</v>
      </c>
      <c r="R64" s="23" t="s">
        <v>99</v>
      </c>
      <c r="S64" s="23" t="s">
        <v>99</v>
      </c>
      <c r="T64" s="28"/>
    </row>
    <row r="65" customFormat="false" ht="15" hidden="false" customHeight="false" outlineLevel="0" collapsed="false">
      <c r="A65" s="29" t="n">
        <v>64</v>
      </c>
      <c r="B65" s="29" t="s">
        <v>5569</v>
      </c>
      <c r="C65" s="24" t="s">
        <v>5570</v>
      </c>
      <c r="D65" s="24" t="s">
        <v>5571</v>
      </c>
      <c r="E65" s="24" t="s">
        <v>7795</v>
      </c>
      <c r="F65" s="29" t="n">
        <f aca="false">COUNTIF(A타입_제작표!$D$2:$D$799,B65)</f>
        <v>8</v>
      </c>
      <c r="G65" s="29" t="n">
        <f aca="false">F65*안내!$C$7+안내!$C$8</f>
        <v>536</v>
      </c>
      <c r="H65" s="29" t="n">
        <f aca="false">ROUND(G65/60,1)</f>
        <v>8.9</v>
      </c>
      <c r="I65" s="29" t="str">
        <f aca="false">INDEX(A타입_제작표!$B$2:$B$799,MATCH(B65,A타입_제작표!$D$2:$D$799,0))</f>
        <v>A0589</v>
      </c>
      <c r="J65" s="29" t="str">
        <f aca="false">INDEX(A타입_제작표!$B$2:$B$799,MATCH(B65,A타입_제작표!$D$2:$D$799,0)+F65-1)</f>
        <v>A0596</v>
      </c>
      <c r="K65" s="24" t="s">
        <v>7796</v>
      </c>
      <c r="L65" s="24" t="s">
        <v>7797</v>
      </c>
      <c r="M65" s="24" t="s">
        <v>7798</v>
      </c>
      <c r="N65" s="28"/>
      <c r="O65" s="26" t="n">
        <f aca="false">_xlfn.MAXIFS(A타입_제작표!$S$2:$S$799,A타입_제작표!$D$2:$D$799,B65)+1</f>
        <v>47225</v>
      </c>
      <c r="P65" s="23" t="s">
        <v>99</v>
      </c>
      <c r="Q65" s="23" t="s">
        <v>99</v>
      </c>
      <c r="R65" s="23" t="s">
        <v>99</v>
      </c>
      <c r="S65" s="23" t="s">
        <v>99</v>
      </c>
      <c r="T65" s="28"/>
    </row>
    <row r="66" customFormat="false" ht="26.85" hidden="false" customHeight="false" outlineLevel="0" collapsed="false">
      <c r="A66" s="29" t="n">
        <v>65</v>
      </c>
      <c r="B66" s="29" t="s">
        <v>5645</v>
      </c>
      <c r="C66" s="24" t="s">
        <v>5646</v>
      </c>
      <c r="D66" s="24" t="s">
        <v>5571</v>
      </c>
      <c r="E66" s="24" t="s">
        <v>7799</v>
      </c>
      <c r="F66" s="29" t="n">
        <f aca="false">COUNTIF(A타입_제작표!$D$2:$D$799,B66)</f>
        <v>10</v>
      </c>
      <c r="G66" s="29" t="n">
        <f aca="false">F66*안내!$C$7+안내!$C$8</f>
        <v>640</v>
      </c>
      <c r="H66" s="29" t="n">
        <f aca="false">ROUND(G66/60,1)</f>
        <v>10.7</v>
      </c>
      <c r="I66" s="29" t="str">
        <f aca="false">INDEX(A타입_제작표!$B$2:$B$799,MATCH(B66,A타입_제작표!$D$2:$D$799,0))</f>
        <v>A0597</v>
      </c>
      <c r="J66" s="29" t="str">
        <f aca="false">INDEX(A타입_제작표!$B$2:$B$799,MATCH(B66,A타입_제작표!$D$2:$D$799,0)+F66-1)</f>
        <v>A0606</v>
      </c>
      <c r="K66" s="24" t="s">
        <v>7800</v>
      </c>
      <c r="L66" s="24" t="s">
        <v>7801</v>
      </c>
      <c r="M66" s="24" t="s">
        <v>7802</v>
      </c>
      <c r="N66" s="28"/>
      <c r="O66" s="26" t="n">
        <f aca="false">_xlfn.MAXIFS(A타입_제작표!$S$2:$S$799,A타입_제작표!$D$2:$D$799,B66)+1</f>
        <v>47239</v>
      </c>
      <c r="P66" s="23" t="s">
        <v>99</v>
      </c>
      <c r="Q66" s="23" t="s">
        <v>99</v>
      </c>
      <c r="R66" s="23" t="s">
        <v>99</v>
      </c>
      <c r="S66" s="23" t="s">
        <v>99</v>
      </c>
      <c r="T66" s="28"/>
    </row>
    <row r="67" customFormat="false" ht="26.85" hidden="false" customHeight="false" outlineLevel="0" collapsed="false">
      <c r="A67" s="29" t="n">
        <v>66</v>
      </c>
      <c r="B67" s="29" t="s">
        <v>5736</v>
      </c>
      <c r="C67" s="24" t="s">
        <v>5737</v>
      </c>
      <c r="D67" s="24" t="s">
        <v>5571</v>
      </c>
      <c r="E67" s="24" t="s">
        <v>7803</v>
      </c>
      <c r="F67" s="29" t="n">
        <f aca="false">COUNTIF(A타입_제작표!$D$2:$D$799,B67)</f>
        <v>10</v>
      </c>
      <c r="G67" s="29" t="n">
        <f aca="false">F67*안내!$C$7+안내!$C$8</f>
        <v>640</v>
      </c>
      <c r="H67" s="29" t="n">
        <f aca="false">ROUND(G67/60,1)</f>
        <v>10.7</v>
      </c>
      <c r="I67" s="29" t="str">
        <f aca="false">INDEX(A타입_제작표!$B$2:$B$799,MATCH(B67,A타입_제작표!$D$2:$D$799,0))</f>
        <v>A0607</v>
      </c>
      <c r="J67" s="29" t="str">
        <f aca="false">INDEX(A타입_제작표!$B$2:$B$799,MATCH(B67,A타입_제작표!$D$2:$D$799,0)+F67-1)</f>
        <v>A0616</v>
      </c>
      <c r="K67" s="24" t="s">
        <v>7804</v>
      </c>
      <c r="L67" s="24" t="s">
        <v>7805</v>
      </c>
      <c r="M67" s="24" t="s">
        <v>7806</v>
      </c>
      <c r="N67" s="28"/>
      <c r="O67" s="26" t="n">
        <f aca="false">_xlfn.MAXIFS(A타입_제작표!$S$2:$S$799,A타입_제작표!$D$2:$D$799,B67)+1</f>
        <v>47253</v>
      </c>
      <c r="P67" s="23" t="s">
        <v>99</v>
      </c>
      <c r="Q67" s="23" t="s">
        <v>99</v>
      </c>
      <c r="R67" s="23" t="s">
        <v>99</v>
      </c>
      <c r="S67" s="23" t="s">
        <v>99</v>
      </c>
      <c r="T67" s="28"/>
    </row>
    <row r="68" customFormat="false" ht="26.85" hidden="false" customHeight="false" outlineLevel="0" collapsed="false">
      <c r="A68" s="29" t="n">
        <v>67</v>
      </c>
      <c r="B68" s="29" t="s">
        <v>5827</v>
      </c>
      <c r="C68" s="24" t="s">
        <v>5828</v>
      </c>
      <c r="D68" s="24" t="s">
        <v>5829</v>
      </c>
      <c r="E68" s="24" t="s">
        <v>7807</v>
      </c>
      <c r="F68" s="29" t="n">
        <f aca="false">COUNTIF(A타입_제작표!$D$2:$D$799,B68)</f>
        <v>10</v>
      </c>
      <c r="G68" s="29" t="n">
        <f aca="false">F68*안내!$C$7+안내!$C$8</f>
        <v>640</v>
      </c>
      <c r="H68" s="29" t="n">
        <f aca="false">ROUND(G68/60,1)</f>
        <v>10.7</v>
      </c>
      <c r="I68" s="29" t="str">
        <f aca="false">INDEX(A타입_제작표!$B$2:$B$799,MATCH(B68,A타입_제작표!$D$2:$D$799,0))</f>
        <v>A0617</v>
      </c>
      <c r="J68" s="29" t="str">
        <f aca="false">INDEX(A타입_제작표!$B$2:$B$799,MATCH(B68,A타입_제작표!$D$2:$D$799,0)+F68-1)</f>
        <v>A0626</v>
      </c>
      <c r="K68" s="24" t="s">
        <v>7808</v>
      </c>
      <c r="L68" s="24" t="s">
        <v>7809</v>
      </c>
      <c r="M68" s="24" t="s">
        <v>7810</v>
      </c>
      <c r="N68" s="28"/>
      <c r="O68" s="26" t="n">
        <f aca="false">_xlfn.MAXIFS(A타입_제작표!$S$2:$S$799,A타입_제작표!$D$2:$D$799,B68)+1</f>
        <v>47267</v>
      </c>
      <c r="P68" s="23" t="s">
        <v>99</v>
      </c>
      <c r="Q68" s="23" t="s">
        <v>99</v>
      </c>
      <c r="R68" s="23" t="s">
        <v>99</v>
      </c>
      <c r="S68" s="23" t="s">
        <v>99</v>
      </c>
      <c r="T68" s="28"/>
    </row>
    <row r="69" customFormat="false" ht="26.85" hidden="false" customHeight="false" outlineLevel="0" collapsed="false">
      <c r="A69" s="29" t="n">
        <v>68</v>
      </c>
      <c r="B69" s="29" t="s">
        <v>5923</v>
      </c>
      <c r="C69" s="24" t="s">
        <v>5924</v>
      </c>
      <c r="D69" s="24" t="s">
        <v>5829</v>
      </c>
      <c r="E69" s="24" t="s">
        <v>7811</v>
      </c>
      <c r="F69" s="29" t="n">
        <f aca="false">COUNTIF(A타입_제작표!$D$2:$D$799,B69)</f>
        <v>8</v>
      </c>
      <c r="G69" s="29" t="n">
        <f aca="false">F69*안내!$C$7+안내!$C$8</f>
        <v>536</v>
      </c>
      <c r="H69" s="29" t="n">
        <f aca="false">ROUND(G69/60,1)</f>
        <v>8.9</v>
      </c>
      <c r="I69" s="29" t="str">
        <f aca="false">INDEX(A타입_제작표!$B$2:$B$799,MATCH(B69,A타입_제작표!$D$2:$D$799,0))</f>
        <v>A0627</v>
      </c>
      <c r="J69" s="29" t="str">
        <f aca="false">INDEX(A타입_제작표!$B$2:$B$799,MATCH(B69,A타입_제작표!$D$2:$D$799,0)+F69-1)</f>
        <v>A0634</v>
      </c>
      <c r="K69" s="24" t="s">
        <v>7812</v>
      </c>
      <c r="L69" s="28" t="s">
        <v>7813</v>
      </c>
      <c r="M69" s="24" t="s">
        <v>7814</v>
      </c>
      <c r="N69" s="28"/>
      <c r="O69" s="26" t="n">
        <f aca="false">_xlfn.MAXIFS(A타입_제작표!$S$2:$S$799,A타입_제작표!$D$2:$D$799,B69)+1</f>
        <v>47277</v>
      </c>
      <c r="P69" s="23" t="s">
        <v>99</v>
      </c>
      <c r="Q69" s="23" t="s">
        <v>99</v>
      </c>
      <c r="R69" s="23" t="s">
        <v>99</v>
      </c>
      <c r="S69" s="23" t="s">
        <v>99</v>
      </c>
      <c r="T69" s="28"/>
    </row>
    <row r="70" customFormat="false" ht="15" hidden="false" customHeight="false" outlineLevel="0" collapsed="false">
      <c r="A70" s="29" t="n">
        <v>69</v>
      </c>
      <c r="B70" s="29" t="s">
        <v>5995</v>
      </c>
      <c r="C70" s="24" t="s">
        <v>5996</v>
      </c>
      <c r="D70" s="24" t="s">
        <v>5829</v>
      </c>
      <c r="E70" s="24" t="s">
        <v>7815</v>
      </c>
      <c r="F70" s="29" t="n">
        <f aca="false">COUNTIF(A타입_제작표!$D$2:$D$799,B70)</f>
        <v>12</v>
      </c>
      <c r="G70" s="29" t="n">
        <f aca="false">F70*안내!$C$7+안내!$C$8</f>
        <v>744</v>
      </c>
      <c r="H70" s="29" t="n">
        <f aca="false">ROUND(G70/60,1)</f>
        <v>12.4</v>
      </c>
      <c r="I70" s="29" t="str">
        <f aca="false">INDEX(A타입_제작표!$B$2:$B$799,MATCH(B70,A타입_제작표!$D$2:$D$799,0))</f>
        <v>A0635</v>
      </c>
      <c r="J70" s="29" t="str">
        <f aca="false">INDEX(A타입_제작표!$B$2:$B$799,MATCH(B70,A타입_제작표!$D$2:$D$799,0)+F70-1)</f>
        <v>A0646</v>
      </c>
      <c r="K70" s="24" t="s">
        <v>7816</v>
      </c>
      <c r="L70" s="24" t="s">
        <v>7817</v>
      </c>
      <c r="M70" s="24" t="s">
        <v>7818</v>
      </c>
      <c r="N70" s="28"/>
      <c r="O70" s="26" t="n">
        <f aca="false">_xlfn.MAXIFS(A타입_제작표!$S$2:$S$799,A타입_제작표!$D$2:$D$799,B70)+1</f>
        <v>47295</v>
      </c>
      <c r="P70" s="23" t="s">
        <v>99</v>
      </c>
      <c r="Q70" s="23" t="s">
        <v>99</v>
      </c>
      <c r="R70" s="23" t="s">
        <v>99</v>
      </c>
      <c r="S70" s="23" t="s">
        <v>99</v>
      </c>
      <c r="T70" s="28"/>
    </row>
    <row r="71" customFormat="false" ht="26.85" hidden="false" customHeight="false" outlineLevel="0" collapsed="false">
      <c r="A71" s="29" t="n">
        <v>70</v>
      </c>
      <c r="B71" s="29" t="s">
        <v>6101</v>
      </c>
      <c r="C71" s="24" t="s">
        <v>6102</v>
      </c>
      <c r="D71" s="24" t="s">
        <v>6103</v>
      </c>
      <c r="E71" s="24" t="s">
        <v>7819</v>
      </c>
      <c r="F71" s="29" t="n">
        <f aca="false">COUNTIF(A타입_제작표!$D$2:$D$799,B71)</f>
        <v>10</v>
      </c>
      <c r="G71" s="29" t="n">
        <f aca="false">F71*안내!$C$7+안내!$C$8</f>
        <v>640</v>
      </c>
      <c r="H71" s="29" t="n">
        <f aca="false">ROUND(G71/60,1)</f>
        <v>10.7</v>
      </c>
      <c r="I71" s="29" t="str">
        <f aca="false">INDEX(A타입_제작표!$B$2:$B$799,MATCH(B71,A타입_제작표!$D$2:$D$799,0))</f>
        <v>A0647</v>
      </c>
      <c r="J71" s="29" t="str">
        <f aca="false">INDEX(A타입_제작표!$B$2:$B$799,MATCH(B71,A타입_제작표!$D$2:$D$799,0)+F71-1)</f>
        <v>A0656</v>
      </c>
      <c r="K71" s="24" t="s">
        <v>7820</v>
      </c>
      <c r="L71" s="24" t="s">
        <v>7821</v>
      </c>
      <c r="M71" s="24" t="s">
        <v>7822</v>
      </c>
      <c r="N71" s="28"/>
      <c r="O71" s="26" t="n">
        <f aca="false">_xlfn.MAXIFS(A타입_제작표!$S$2:$S$799,A타입_제작표!$D$2:$D$799,B71)+1</f>
        <v>47309</v>
      </c>
      <c r="P71" s="23" t="s">
        <v>99</v>
      </c>
      <c r="Q71" s="23" t="s">
        <v>99</v>
      </c>
      <c r="R71" s="23" t="s">
        <v>99</v>
      </c>
      <c r="S71" s="23" t="s">
        <v>99</v>
      </c>
      <c r="T71" s="28"/>
    </row>
    <row r="72" customFormat="false" ht="26.85" hidden="false" customHeight="false" outlineLevel="0" collapsed="false">
      <c r="A72" s="29" t="n">
        <v>71</v>
      </c>
      <c r="B72" s="29" t="s">
        <v>6197</v>
      </c>
      <c r="C72" s="24" t="s">
        <v>6198</v>
      </c>
      <c r="D72" s="24" t="s">
        <v>6103</v>
      </c>
      <c r="E72" s="24" t="s">
        <v>7823</v>
      </c>
      <c r="F72" s="29" t="n">
        <f aca="false">COUNTIF(A타입_제작표!$D$2:$D$799,B72)</f>
        <v>8</v>
      </c>
      <c r="G72" s="29" t="n">
        <f aca="false">F72*안내!$C$7+안내!$C$8</f>
        <v>536</v>
      </c>
      <c r="H72" s="29" t="n">
        <f aca="false">ROUND(G72/60,1)</f>
        <v>8.9</v>
      </c>
      <c r="I72" s="29" t="str">
        <f aca="false">INDEX(A타입_제작표!$B$2:$B$799,MATCH(B72,A타입_제작표!$D$2:$D$799,0))</f>
        <v>A0657</v>
      </c>
      <c r="J72" s="29" t="str">
        <f aca="false">INDEX(A타입_제작표!$B$2:$B$799,MATCH(B72,A타입_제작표!$D$2:$D$799,0)+F72-1)</f>
        <v>A0664</v>
      </c>
      <c r="K72" s="24" t="s">
        <v>7824</v>
      </c>
      <c r="L72" s="24" t="s">
        <v>7825</v>
      </c>
      <c r="M72" s="24" t="s">
        <v>7826</v>
      </c>
      <c r="N72" s="28"/>
      <c r="O72" s="26" t="n">
        <f aca="false">_xlfn.MAXIFS(A타입_제작표!$S$2:$S$799,A타입_제작표!$D$2:$D$799,B72)+1</f>
        <v>47319</v>
      </c>
      <c r="P72" s="23" t="s">
        <v>99</v>
      </c>
      <c r="Q72" s="23" t="s">
        <v>99</v>
      </c>
      <c r="R72" s="23" t="s">
        <v>99</v>
      </c>
      <c r="S72" s="23" t="s">
        <v>99</v>
      </c>
      <c r="T72" s="28"/>
    </row>
    <row r="73" customFormat="false" ht="26.85" hidden="false" customHeight="false" outlineLevel="0" collapsed="false">
      <c r="A73" s="29" t="n">
        <v>72</v>
      </c>
      <c r="B73" s="29" t="s">
        <v>6272</v>
      </c>
      <c r="C73" s="24" t="s">
        <v>6273</v>
      </c>
      <c r="D73" s="24" t="s">
        <v>6103</v>
      </c>
      <c r="E73" s="24" t="s">
        <v>7827</v>
      </c>
      <c r="F73" s="29" t="n">
        <f aca="false">COUNTIF(A타입_제작표!$D$2:$D$799,B73)</f>
        <v>11</v>
      </c>
      <c r="G73" s="29" t="n">
        <f aca="false">F73*안내!$C$7+안내!$C$8</f>
        <v>692</v>
      </c>
      <c r="H73" s="29" t="n">
        <f aca="false">ROUND(G73/60,1)</f>
        <v>11.5</v>
      </c>
      <c r="I73" s="29" t="str">
        <f aca="false">INDEX(A타입_제작표!$B$2:$B$799,MATCH(B73,A타입_제작표!$D$2:$D$799,0))</f>
        <v>A0665</v>
      </c>
      <c r="J73" s="29" t="str">
        <f aca="false">INDEX(A타입_제작표!$B$2:$B$799,MATCH(B73,A타입_제작표!$D$2:$D$799,0)+F73-1)</f>
        <v>A0675</v>
      </c>
      <c r="K73" s="24" t="s">
        <v>7828</v>
      </c>
      <c r="L73" s="24" t="s">
        <v>7829</v>
      </c>
      <c r="M73" s="24" t="s">
        <v>7830</v>
      </c>
      <c r="N73" s="28"/>
      <c r="O73" s="26" t="n">
        <f aca="false">_xlfn.MAXIFS(A타입_제작표!$S$2:$S$799,A타입_제작표!$D$2:$D$799,B73)+1</f>
        <v>47334</v>
      </c>
      <c r="P73" s="23" t="s">
        <v>99</v>
      </c>
      <c r="Q73" s="23" t="s">
        <v>99</v>
      </c>
      <c r="R73" s="23" t="s">
        <v>99</v>
      </c>
      <c r="S73" s="23" t="s">
        <v>99</v>
      </c>
      <c r="T73" s="28"/>
    </row>
    <row r="74" customFormat="false" ht="26.85" hidden="false" customHeight="false" outlineLevel="0" collapsed="false">
      <c r="A74" s="29" t="n">
        <v>73</v>
      </c>
      <c r="B74" s="29" t="s">
        <v>6374</v>
      </c>
      <c r="C74" s="24" t="s">
        <v>6375</v>
      </c>
      <c r="D74" s="24" t="s">
        <v>6103</v>
      </c>
      <c r="E74" s="24" t="s">
        <v>7831</v>
      </c>
      <c r="F74" s="29" t="n">
        <f aca="false">COUNTIF(A타입_제작표!$D$2:$D$799,B74)</f>
        <v>9</v>
      </c>
      <c r="G74" s="29" t="n">
        <f aca="false">F74*안내!$C$7+안내!$C$8</f>
        <v>588</v>
      </c>
      <c r="H74" s="29" t="n">
        <f aca="false">ROUND(G74/60,1)</f>
        <v>9.8</v>
      </c>
      <c r="I74" s="29" t="str">
        <f aca="false">INDEX(A타입_제작표!$B$2:$B$799,MATCH(B74,A타입_제작표!$D$2:$D$799,0))</f>
        <v>A0676</v>
      </c>
      <c r="J74" s="29" t="str">
        <f aca="false">INDEX(A타입_제작표!$B$2:$B$799,MATCH(B74,A타입_제작표!$D$2:$D$799,0)+F74-1)</f>
        <v>A0684</v>
      </c>
      <c r="K74" s="24" t="s">
        <v>7832</v>
      </c>
      <c r="L74" s="24" t="s">
        <v>7833</v>
      </c>
      <c r="M74" s="24" t="s">
        <v>7834</v>
      </c>
      <c r="N74" s="28"/>
      <c r="O74" s="26" t="n">
        <f aca="false">_xlfn.MAXIFS(A타입_제작표!$S$2:$S$799,A타입_제작표!$D$2:$D$799,B74)+1</f>
        <v>47347</v>
      </c>
      <c r="P74" s="23" t="s">
        <v>99</v>
      </c>
      <c r="Q74" s="23" t="s">
        <v>99</v>
      </c>
      <c r="R74" s="23" t="s">
        <v>99</v>
      </c>
      <c r="S74" s="23" t="s">
        <v>99</v>
      </c>
      <c r="T74" s="28"/>
    </row>
    <row r="75" customFormat="false" ht="26.85" hidden="false" customHeight="false" outlineLevel="0" collapsed="false">
      <c r="A75" s="29" t="n">
        <v>74</v>
      </c>
      <c r="B75" s="29" t="s">
        <v>6458</v>
      </c>
      <c r="C75" s="24" t="s">
        <v>6459</v>
      </c>
      <c r="D75" s="24" t="s">
        <v>6460</v>
      </c>
      <c r="E75" s="24" t="s">
        <v>7835</v>
      </c>
      <c r="F75" s="29" t="n">
        <f aca="false">COUNTIF(A타입_제작표!$D$2:$D$799,B75)</f>
        <v>13</v>
      </c>
      <c r="G75" s="29" t="n">
        <f aca="false">F75*안내!$C$7+안내!$C$8</f>
        <v>796</v>
      </c>
      <c r="H75" s="29" t="n">
        <f aca="false">ROUND(G75/60,1)</f>
        <v>13.3</v>
      </c>
      <c r="I75" s="29" t="str">
        <f aca="false">INDEX(A타입_제작표!$B$2:$B$799,MATCH(B75,A타입_제작표!$D$2:$D$799,0))</f>
        <v>A0685</v>
      </c>
      <c r="J75" s="29" t="str">
        <f aca="false">INDEX(A타입_제작표!$B$2:$B$799,MATCH(B75,A타입_제작표!$D$2:$D$799,0)+F75-1)</f>
        <v>A0697</v>
      </c>
      <c r="K75" s="24" t="s">
        <v>7836</v>
      </c>
      <c r="L75" s="24" t="s">
        <v>7837</v>
      </c>
      <c r="M75" s="24" t="s">
        <v>7838</v>
      </c>
      <c r="N75" s="28"/>
      <c r="O75" s="26" t="n">
        <f aca="false">_xlfn.MAXIFS(A타입_제작표!$S$2:$S$799,A타입_제작표!$D$2:$D$799,B75)+1</f>
        <v>47366</v>
      </c>
      <c r="P75" s="23" t="s">
        <v>99</v>
      </c>
      <c r="Q75" s="23" t="s">
        <v>99</v>
      </c>
      <c r="R75" s="23" t="s">
        <v>99</v>
      </c>
      <c r="S75" s="23" t="s">
        <v>99</v>
      </c>
      <c r="T75" s="28"/>
    </row>
    <row r="76" customFormat="false" ht="26.85" hidden="false" customHeight="false" outlineLevel="0" collapsed="false">
      <c r="A76" s="29" t="n">
        <v>75</v>
      </c>
      <c r="B76" s="29" t="s">
        <v>6573</v>
      </c>
      <c r="C76" s="24" t="s">
        <v>6574</v>
      </c>
      <c r="D76" s="24" t="s">
        <v>6575</v>
      </c>
      <c r="E76" s="24" t="s">
        <v>7839</v>
      </c>
      <c r="F76" s="29" t="n">
        <f aca="false">COUNTIF(A타입_제작표!$D$2:$D$799,B76)</f>
        <v>10</v>
      </c>
      <c r="G76" s="29" t="n">
        <f aca="false">F76*안내!$C$7+안내!$C$8</f>
        <v>640</v>
      </c>
      <c r="H76" s="29" t="n">
        <f aca="false">ROUND(G76/60,1)</f>
        <v>10.7</v>
      </c>
      <c r="I76" s="29" t="str">
        <f aca="false">INDEX(A타입_제작표!$B$2:$B$799,MATCH(B76,A타입_제작표!$D$2:$D$799,0))</f>
        <v>A0698</v>
      </c>
      <c r="J76" s="29" t="str">
        <f aca="false">INDEX(A타입_제작표!$B$2:$B$799,MATCH(B76,A타입_제작표!$D$2:$D$799,0)+F76-1)</f>
        <v>A0707</v>
      </c>
      <c r="K76" s="24" t="s">
        <v>7840</v>
      </c>
      <c r="L76" s="24" t="s">
        <v>7841</v>
      </c>
      <c r="M76" s="24" t="s">
        <v>7842</v>
      </c>
      <c r="N76" s="28"/>
      <c r="O76" s="26" t="n">
        <f aca="false">_xlfn.MAXIFS(A타입_제작표!$S$2:$S$799,A타입_제작표!$D$2:$D$799,B76)+1</f>
        <v>47380</v>
      </c>
      <c r="P76" s="23" t="s">
        <v>99</v>
      </c>
      <c r="Q76" s="23" t="s">
        <v>99</v>
      </c>
      <c r="R76" s="23" t="s">
        <v>99</v>
      </c>
      <c r="S76" s="23" t="s">
        <v>99</v>
      </c>
      <c r="T76" s="28"/>
    </row>
    <row r="77" customFormat="false" ht="26.85" hidden="false" customHeight="false" outlineLevel="0" collapsed="false">
      <c r="A77" s="29" t="n">
        <v>76</v>
      </c>
      <c r="B77" s="29" t="s">
        <v>6666</v>
      </c>
      <c r="C77" s="24" t="s">
        <v>6667</v>
      </c>
      <c r="D77" s="24" t="s">
        <v>7843</v>
      </c>
      <c r="E77" s="24" t="s">
        <v>7844</v>
      </c>
      <c r="F77" s="29" t="n">
        <f aca="false">COUNTIF(A타입_제작표!$D$2:$D$799,B77)</f>
        <v>11</v>
      </c>
      <c r="G77" s="29" t="n">
        <f aca="false">F77*안내!$C$7+안내!$C$8</f>
        <v>692</v>
      </c>
      <c r="H77" s="29" t="n">
        <f aca="false">ROUND(G77/60,1)</f>
        <v>11.5</v>
      </c>
      <c r="I77" s="29" t="str">
        <f aca="false">INDEX(A타입_제작표!$B$2:$B$799,MATCH(B77,A타입_제작표!$D$2:$D$799,0))</f>
        <v>A0708</v>
      </c>
      <c r="J77" s="29" t="str">
        <f aca="false">INDEX(A타입_제작표!$B$2:$B$799,MATCH(B77,A타입_제작표!$D$2:$D$799,0)+F77-1)</f>
        <v>A0718</v>
      </c>
      <c r="K77" s="24" t="s">
        <v>7845</v>
      </c>
      <c r="L77" s="24" t="s">
        <v>7846</v>
      </c>
      <c r="M77" s="24" t="s">
        <v>7847</v>
      </c>
      <c r="N77" s="28"/>
      <c r="O77" s="26" t="n">
        <f aca="false">_xlfn.MAXIFS(A타입_제작표!$S$2:$S$799,A타입_제작표!$D$2:$D$799,B77)+1</f>
        <v>47395</v>
      </c>
      <c r="P77" s="23" t="s">
        <v>99</v>
      </c>
      <c r="Q77" s="23" t="s">
        <v>99</v>
      </c>
      <c r="R77" s="23" t="s">
        <v>99</v>
      </c>
      <c r="S77" s="23" t="s">
        <v>99</v>
      </c>
      <c r="T77" s="28"/>
    </row>
    <row r="78" customFormat="false" ht="26.85" hidden="false" customHeight="false" outlineLevel="0" collapsed="false">
      <c r="A78" s="29" t="n">
        <v>77</v>
      </c>
      <c r="B78" s="29" t="s">
        <v>6763</v>
      </c>
      <c r="C78" s="24" t="s">
        <v>6764</v>
      </c>
      <c r="D78" s="24" t="s">
        <v>7848</v>
      </c>
      <c r="E78" s="24" t="s">
        <v>7849</v>
      </c>
      <c r="F78" s="29" t="n">
        <f aca="false">COUNTIF(A타입_제작표!$D$2:$D$799,B78)</f>
        <v>10</v>
      </c>
      <c r="G78" s="29" t="n">
        <f aca="false">F78*안내!$C$7+안내!$C$8</f>
        <v>640</v>
      </c>
      <c r="H78" s="29" t="n">
        <f aca="false">ROUND(G78/60,1)</f>
        <v>10.7</v>
      </c>
      <c r="I78" s="29" t="str">
        <f aca="false">INDEX(A타입_제작표!$B$2:$B$799,MATCH(B78,A타입_제작표!$D$2:$D$799,0))</f>
        <v>A0719</v>
      </c>
      <c r="J78" s="29" t="str">
        <f aca="false">INDEX(A타입_제작표!$B$2:$B$799,MATCH(B78,A타입_제작표!$D$2:$D$799,0)+F78-1)</f>
        <v>A0728</v>
      </c>
      <c r="K78" s="24" t="s">
        <v>7850</v>
      </c>
      <c r="L78" s="24" t="s">
        <v>7851</v>
      </c>
      <c r="M78" s="24" t="s">
        <v>7852</v>
      </c>
      <c r="N78" s="28"/>
      <c r="O78" s="26" t="n">
        <f aca="false">_xlfn.MAXIFS(A타입_제작표!$S$2:$S$799,A타입_제작표!$D$2:$D$799,B78)+1</f>
        <v>47409</v>
      </c>
      <c r="P78" s="23" t="s">
        <v>99</v>
      </c>
      <c r="Q78" s="23" t="s">
        <v>99</v>
      </c>
      <c r="R78" s="23" t="s">
        <v>99</v>
      </c>
      <c r="S78" s="23" t="s">
        <v>99</v>
      </c>
      <c r="T78" s="28"/>
    </row>
    <row r="79" customFormat="false" ht="39.55" hidden="false" customHeight="false" outlineLevel="0" collapsed="false">
      <c r="A79" s="29" t="n">
        <v>78</v>
      </c>
      <c r="B79" s="29" t="s">
        <v>6855</v>
      </c>
      <c r="C79" s="24" t="s">
        <v>6856</v>
      </c>
      <c r="D79" s="24" t="s">
        <v>7853</v>
      </c>
      <c r="E79" s="24" t="s">
        <v>7854</v>
      </c>
      <c r="F79" s="29" t="n">
        <f aca="false">COUNTIF(A타입_제작표!$D$2:$D$799,B79)</f>
        <v>9</v>
      </c>
      <c r="G79" s="29" t="n">
        <f aca="false">F79*안내!$C$7+안내!$C$8</f>
        <v>588</v>
      </c>
      <c r="H79" s="29" t="n">
        <f aca="false">ROUND(G79/60,1)</f>
        <v>9.8</v>
      </c>
      <c r="I79" s="29" t="str">
        <f aca="false">INDEX(A타입_제작표!$B$2:$B$799,MATCH(B79,A타입_제작표!$D$2:$D$799,0))</f>
        <v>A0729</v>
      </c>
      <c r="J79" s="29" t="str">
        <f aca="false">INDEX(A타입_제작표!$B$2:$B$799,MATCH(B79,A타입_제작표!$D$2:$D$799,0)+F79-1)</f>
        <v>A0737</v>
      </c>
      <c r="K79" s="24" t="s">
        <v>7855</v>
      </c>
      <c r="L79" s="24" t="s">
        <v>7856</v>
      </c>
      <c r="M79" s="24" t="s">
        <v>7857</v>
      </c>
      <c r="N79" s="28"/>
      <c r="O79" s="26" t="n">
        <f aca="false">_xlfn.MAXIFS(A타입_제작표!$S$2:$S$799,A타입_제작표!$D$2:$D$799,B79)+1</f>
        <v>47422</v>
      </c>
      <c r="P79" s="23" t="s">
        <v>99</v>
      </c>
      <c r="Q79" s="23" t="s">
        <v>99</v>
      </c>
      <c r="R79" s="23" t="s">
        <v>99</v>
      </c>
      <c r="S79" s="23" t="s">
        <v>99</v>
      </c>
      <c r="T79" s="28"/>
    </row>
    <row r="80" customFormat="false" ht="39.55" hidden="false" customHeight="false" outlineLevel="0" collapsed="false">
      <c r="A80" s="29" t="n">
        <v>79</v>
      </c>
      <c r="B80" s="29" t="s">
        <v>6936</v>
      </c>
      <c r="C80" s="24" t="s">
        <v>6937</v>
      </c>
      <c r="D80" s="24" t="s">
        <v>7858</v>
      </c>
      <c r="E80" s="24" t="s">
        <v>7859</v>
      </c>
      <c r="F80" s="29" t="n">
        <f aca="false">COUNTIF(A타입_제작표!$D$2:$D$799,B80)</f>
        <v>10</v>
      </c>
      <c r="G80" s="29" t="n">
        <f aca="false">F80*안내!$C$7+안내!$C$8</f>
        <v>640</v>
      </c>
      <c r="H80" s="29" t="n">
        <f aca="false">ROUND(G80/60,1)</f>
        <v>10.7</v>
      </c>
      <c r="I80" s="29" t="str">
        <f aca="false">INDEX(A타입_제작표!$B$2:$B$799,MATCH(B80,A타입_제작표!$D$2:$D$799,0))</f>
        <v>A0738</v>
      </c>
      <c r="J80" s="29" t="str">
        <f aca="false">INDEX(A타입_제작표!$B$2:$B$799,MATCH(B80,A타입_제작표!$D$2:$D$799,0)+F80-1)</f>
        <v>A0747</v>
      </c>
      <c r="K80" s="24" t="s">
        <v>7860</v>
      </c>
      <c r="L80" s="24" t="s">
        <v>7861</v>
      </c>
      <c r="M80" s="24" t="s">
        <v>7862</v>
      </c>
      <c r="N80" s="28"/>
      <c r="O80" s="26" t="n">
        <f aca="false">_xlfn.MAXIFS(A타입_제작표!$S$2:$S$799,A타입_제작표!$D$2:$D$799,B80)+1</f>
        <v>47436</v>
      </c>
      <c r="P80" s="23" t="s">
        <v>99</v>
      </c>
      <c r="Q80" s="23" t="s">
        <v>99</v>
      </c>
      <c r="R80" s="23" t="s">
        <v>99</v>
      </c>
      <c r="S80" s="23" t="s">
        <v>99</v>
      </c>
      <c r="T80" s="28"/>
    </row>
    <row r="81" customFormat="false" ht="26.85" hidden="false" customHeight="false" outlineLevel="0" collapsed="false">
      <c r="A81" s="29" t="n">
        <v>80</v>
      </c>
      <c r="B81" s="29" t="s">
        <v>7031</v>
      </c>
      <c r="C81" s="24" t="s">
        <v>7032</v>
      </c>
      <c r="D81" s="24" t="s">
        <v>7033</v>
      </c>
      <c r="E81" s="24" t="s">
        <v>7863</v>
      </c>
      <c r="F81" s="29" t="n">
        <f aca="false">COUNTIF(A타입_제작표!$D$2:$D$799,B81)</f>
        <v>10</v>
      </c>
      <c r="G81" s="29" t="n">
        <f aca="false">F81*안내!$C$7+안내!$C$8</f>
        <v>640</v>
      </c>
      <c r="H81" s="29" t="n">
        <f aca="false">ROUND(G81/60,1)</f>
        <v>10.7</v>
      </c>
      <c r="I81" s="29" t="str">
        <f aca="false">INDEX(A타입_제작표!$B$2:$B$799,MATCH(B81,A타입_제작표!$D$2:$D$799,0))</f>
        <v>A0748</v>
      </c>
      <c r="J81" s="29" t="str">
        <f aca="false">INDEX(A타입_제작표!$B$2:$B$799,MATCH(B81,A타입_제작표!$D$2:$D$799,0)+F81-1)</f>
        <v>A0757</v>
      </c>
      <c r="K81" s="24" t="s">
        <v>7864</v>
      </c>
      <c r="L81" s="24" t="s">
        <v>7865</v>
      </c>
      <c r="M81" s="24" t="s">
        <v>7866</v>
      </c>
      <c r="N81" s="28"/>
      <c r="O81" s="26" t="n">
        <f aca="false">_xlfn.MAXIFS(A타입_제작표!$S$2:$S$799,A타입_제작표!$D$2:$D$799,B81)+1</f>
        <v>47450</v>
      </c>
      <c r="P81" s="23" t="s">
        <v>99</v>
      </c>
      <c r="Q81" s="23" t="s">
        <v>99</v>
      </c>
      <c r="R81" s="23" t="s">
        <v>99</v>
      </c>
      <c r="S81" s="23" t="s">
        <v>99</v>
      </c>
      <c r="T81" s="28"/>
    </row>
    <row r="82" customFormat="false" ht="39.55" hidden="false" customHeight="false" outlineLevel="0" collapsed="false">
      <c r="A82" s="29" t="n">
        <v>81</v>
      </c>
      <c r="B82" s="29" t="s">
        <v>7126</v>
      </c>
      <c r="C82" s="24" t="s">
        <v>7127</v>
      </c>
      <c r="D82" s="24" t="s">
        <v>7867</v>
      </c>
      <c r="E82" s="24" t="s">
        <v>7868</v>
      </c>
      <c r="F82" s="29" t="n">
        <f aca="false">COUNTIF(A타입_제작표!$D$2:$D$799,B82)</f>
        <v>12</v>
      </c>
      <c r="G82" s="29" t="n">
        <f aca="false">F82*안내!$C$7+안내!$C$8</f>
        <v>744</v>
      </c>
      <c r="H82" s="29" t="n">
        <f aca="false">ROUND(G82/60,1)</f>
        <v>12.4</v>
      </c>
      <c r="I82" s="29" t="str">
        <f aca="false">INDEX(A타입_제작표!$B$2:$B$799,MATCH(B82,A타입_제작표!$D$2:$D$799,0))</f>
        <v>A0758</v>
      </c>
      <c r="J82" s="29" t="str">
        <f aca="false">INDEX(A타입_제작표!$B$2:$B$799,MATCH(B82,A타입_제작표!$D$2:$D$799,0)+F82-1)</f>
        <v>A0769</v>
      </c>
      <c r="K82" s="24" t="s">
        <v>7869</v>
      </c>
      <c r="L82" s="24" t="s">
        <v>7870</v>
      </c>
      <c r="M82" s="24" t="s">
        <v>7871</v>
      </c>
      <c r="N82" s="28"/>
      <c r="O82" s="26" t="n">
        <f aca="false">_xlfn.MAXIFS(A타입_제작표!$S$2:$S$799,A타입_제작표!$D$2:$D$799,B82)+1</f>
        <v>47466</v>
      </c>
      <c r="P82" s="23" t="s">
        <v>99</v>
      </c>
      <c r="Q82" s="23" t="s">
        <v>99</v>
      </c>
      <c r="R82" s="23" t="s">
        <v>99</v>
      </c>
      <c r="S82" s="23" t="s">
        <v>99</v>
      </c>
      <c r="T82" s="28"/>
    </row>
    <row r="83" customFormat="false" ht="26.85" hidden="false" customHeight="false" outlineLevel="0" collapsed="false">
      <c r="A83" s="29" t="n">
        <v>82</v>
      </c>
      <c r="B83" s="29" t="s">
        <v>7238</v>
      </c>
      <c r="C83" s="24" t="s">
        <v>7239</v>
      </c>
      <c r="D83" s="24" t="s">
        <v>7872</v>
      </c>
      <c r="E83" s="24" t="s">
        <v>7873</v>
      </c>
      <c r="F83" s="29" t="n">
        <f aca="false">COUNTIF(A타입_제작표!$D$2:$D$799,B83)</f>
        <v>7</v>
      </c>
      <c r="G83" s="29" t="n">
        <f aca="false">F83*안내!$C$7+안내!$C$8</f>
        <v>484</v>
      </c>
      <c r="H83" s="29" t="n">
        <f aca="false">ROUND(G83/60,1)</f>
        <v>8.1</v>
      </c>
      <c r="I83" s="29" t="str">
        <f aca="false">INDEX(A타입_제작표!$B$2:$B$799,MATCH(B83,A타입_제작표!$D$2:$D$799,0))</f>
        <v>A0770</v>
      </c>
      <c r="J83" s="29" t="str">
        <f aca="false">INDEX(A타입_제작표!$B$2:$B$799,MATCH(B83,A타입_제작표!$D$2:$D$799,0)+F83-1)</f>
        <v>A0776</v>
      </c>
      <c r="K83" s="24" t="s">
        <v>7874</v>
      </c>
      <c r="L83" s="24" t="s">
        <v>7875</v>
      </c>
      <c r="M83" s="24" t="s">
        <v>7876</v>
      </c>
      <c r="N83" s="28"/>
      <c r="O83" s="26" t="n">
        <f aca="false">_xlfn.MAXIFS(A타입_제작표!$S$2:$S$799,A타입_제작표!$D$2:$D$799,B83)+1</f>
        <v>47477</v>
      </c>
      <c r="P83" s="23" t="s">
        <v>99</v>
      </c>
      <c r="Q83" s="23" t="s">
        <v>99</v>
      </c>
      <c r="R83" s="23" t="s">
        <v>99</v>
      </c>
      <c r="S83" s="23" t="s">
        <v>99</v>
      </c>
      <c r="T83" s="28"/>
    </row>
    <row r="84" customFormat="false" ht="52.2" hidden="false" customHeight="false" outlineLevel="0" collapsed="false">
      <c r="A84" s="29" t="n">
        <v>83</v>
      </c>
      <c r="B84" s="29" t="s">
        <v>7309</v>
      </c>
      <c r="C84" s="24" t="s">
        <v>7310</v>
      </c>
      <c r="D84" s="24" t="s">
        <v>7311</v>
      </c>
      <c r="E84" s="24" t="s">
        <v>7877</v>
      </c>
      <c r="F84" s="29" t="n">
        <f aca="false">COUNTIF(A타입_제작표!$D$2:$D$799,B84)</f>
        <v>11</v>
      </c>
      <c r="G84" s="29" t="n">
        <f aca="false">F84*안내!$C$7+안내!$C$8</f>
        <v>692</v>
      </c>
      <c r="H84" s="29" t="n">
        <f aca="false">ROUND(G84/60,1)</f>
        <v>11.5</v>
      </c>
      <c r="I84" s="29" t="str">
        <f aca="false">INDEX(A타입_제작표!$B$2:$B$799,MATCH(B84,A타입_제작표!$D$2:$D$799,0))</f>
        <v>A0777</v>
      </c>
      <c r="J84" s="29" t="str">
        <f aca="false">INDEX(A타입_제작표!$B$2:$B$799,MATCH(B84,A타입_제작표!$D$2:$D$799,0)+F84-1)</f>
        <v>A0787</v>
      </c>
      <c r="K84" s="24" t="s">
        <v>7878</v>
      </c>
      <c r="L84" s="24" t="s">
        <v>7879</v>
      </c>
      <c r="M84" s="24" t="s">
        <v>7880</v>
      </c>
      <c r="N84" s="24" t="s">
        <v>7881</v>
      </c>
      <c r="O84" s="26" t="n">
        <f aca="false">_xlfn.MAXIFS(A타입_제작표!$S$2:$S$799,A타입_제작표!$D$2:$D$799,B84)+1</f>
        <v>47492</v>
      </c>
      <c r="P84" s="23" t="s">
        <v>99</v>
      </c>
      <c r="Q84" s="23" t="s">
        <v>99</v>
      </c>
      <c r="R84" s="23" t="s">
        <v>99</v>
      </c>
      <c r="S84" s="23" t="s">
        <v>99</v>
      </c>
      <c r="T84" s="28"/>
    </row>
    <row r="85" customFormat="false" ht="26.85" hidden="false" customHeight="false" outlineLevel="0" collapsed="false">
      <c r="A85" s="29" t="n">
        <v>84</v>
      </c>
      <c r="B85" s="29" t="s">
        <v>7418</v>
      </c>
      <c r="C85" s="24" t="s">
        <v>7419</v>
      </c>
      <c r="D85" s="24" t="s">
        <v>7311</v>
      </c>
      <c r="E85" s="24" t="s">
        <v>7882</v>
      </c>
      <c r="F85" s="29" t="n">
        <f aca="false">COUNTIF(A타입_제작표!$D$2:$D$799,B85)</f>
        <v>11</v>
      </c>
      <c r="G85" s="29" t="n">
        <f aca="false">F85*안내!$C$7+안내!$C$8</f>
        <v>692</v>
      </c>
      <c r="H85" s="29" t="n">
        <f aca="false">ROUND(G85/60,1)</f>
        <v>11.5</v>
      </c>
      <c r="I85" s="29" t="str">
        <f aca="false">INDEX(A타입_제작표!$B$2:$B$799,MATCH(B85,A타입_제작표!$D$2:$D$799,0))</f>
        <v>A0788</v>
      </c>
      <c r="J85" s="29" t="str">
        <f aca="false">INDEX(A타입_제작표!$B$2:$B$799,MATCH(B85,A타입_제작표!$D$2:$D$799,0)+F85-1)</f>
        <v>A0798</v>
      </c>
      <c r="K85" s="24" t="s">
        <v>7883</v>
      </c>
      <c r="L85" s="24" t="s">
        <v>7884</v>
      </c>
      <c r="M85" s="24" t="s">
        <v>7885</v>
      </c>
      <c r="N85" s="28"/>
      <c r="O85" s="26" t="n">
        <f aca="false">_xlfn.MAXIFS(A타입_제작표!$S$2:$S$799,A타입_제작표!$D$2:$D$799,B85)+1</f>
        <v>47507</v>
      </c>
      <c r="P85" s="23" t="s">
        <v>99</v>
      </c>
      <c r="Q85" s="23" t="s">
        <v>99</v>
      </c>
      <c r="R85" s="23" t="s">
        <v>99</v>
      </c>
      <c r="S85" s="23" t="s">
        <v>99</v>
      </c>
      <c r="T85" s="28"/>
    </row>
  </sheetData>
  <autoFilter ref="A1:T85"/>
  <dataValidations count="1">
    <dataValidation allowBlank="true" errorStyle="stop" operator="between" showDropDown="false" showErrorMessage="false" showInputMessage="false" sqref="P2:S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10"/>
    <col collapsed="false" customWidth="true" hidden="false" outlineLevel="0" max="11" min="10" style="0" width="9"/>
    <col collapsed="false" customWidth="true" hidden="false" outlineLevel="0" max="12" min="12" style="0" width="50"/>
  </cols>
  <sheetData>
    <row r="1" customFormat="false" ht="30" hidden="false" customHeight="true" outlineLevel="0" collapsed="false">
      <c r="A1" s="18" t="s">
        <v>7886</v>
      </c>
      <c r="B1" s="18" t="s">
        <v>65</v>
      </c>
      <c r="C1" s="18" t="s">
        <v>7887</v>
      </c>
      <c r="D1" s="18" t="s">
        <v>64</v>
      </c>
      <c r="E1" s="18" t="s">
        <v>7888</v>
      </c>
      <c r="F1" s="18" t="s">
        <v>7889</v>
      </c>
      <c r="G1" s="19" t="s">
        <v>7525</v>
      </c>
      <c r="H1" s="19" t="s">
        <v>7890</v>
      </c>
      <c r="I1" s="18" t="s">
        <v>7891</v>
      </c>
      <c r="J1" s="18" t="s">
        <v>7892</v>
      </c>
      <c r="K1" s="18" t="s">
        <v>7893</v>
      </c>
      <c r="L1" s="18" t="s">
        <v>7894</v>
      </c>
    </row>
    <row r="2" customFormat="false" ht="15" hidden="false" customHeight="false" outlineLevel="0" collapsed="false">
      <c r="A2" s="29" t="n">
        <v>1</v>
      </c>
      <c r="B2" s="24" t="s">
        <v>89</v>
      </c>
      <c r="C2" s="23" t="s">
        <v>7895</v>
      </c>
      <c r="D2" s="23" t="s">
        <v>88</v>
      </c>
      <c r="E2" s="23" t="s">
        <v>7896</v>
      </c>
      <c r="F2" s="29" t="n">
        <v>50</v>
      </c>
      <c r="G2" s="29" t="n">
        <f aca="false">COUNTIF(A타입_제작표!$G$2:$G$799,B2)</f>
        <v>78</v>
      </c>
      <c r="H2" s="29" t="n">
        <f aca="false">SUMPRODUCT((A타입_제작표!$G$2:$G$799=B2)/COUNTIFS(A타입_제작표!$G$2:$G$799,A타입_제작표!$G$2:$G$799,A타입_제작표!$D$2:$D$799,A타입_제작표!$D$2:$D$799))</f>
        <v>9</v>
      </c>
      <c r="I2" s="29" t="n">
        <f aca="false">ROUND(G2*안내!$C$6/60,1)</f>
        <v>78</v>
      </c>
      <c r="J2" s="29" t="n">
        <f aca="false">_xlfn.MINIFS(A타입_제작표!$A$2:$A$799,A타입_제작표!$G$2:$G$799,B2)</f>
        <v>1</v>
      </c>
      <c r="K2" s="29" t="n">
        <f aca="false">_xlfn.MAXIFS(A타입_제작표!$A$2:$A$799,A타입_제작표!$G$2:$G$799,B2)</f>
        <v>78</v>
      </c>
      <c r="L2" s="24" t="s">
        <v>7897</v>
      </c>
    </row>
    <row r="3" customFormat="false" ht="15" hidden="false" customHeight="false" outlineLevel="0" collapsed="false">
      <c r="A3" s="29" t="n">
        <v>2</v>
      </c>
      <c r="B3" s="24" t="s">
        <v>833</v>
      </c>
      <c r="C3" s="23" t="s">
        <v>7898</v>
      </c>
      <c r="D3" s="23" t="s">
        <v>88</v>
      </c>
      <c r="E3" s="23" t="s">
        <v>7896</v>
      </c>
      <c r="F3" s="29" t="n">
        <v>40</v>
      </c>
      <c r="G3" s="29" t="n">
        <f aca="false">COUNTIF(A타입_제작표!$G$2:$G$799,B3)</f>
        <v>42</v>
      </c>
      <c r="H3" s="29" t="n">
        <f aca="false">SUMPRODUCT((A타입_제작표!$G$2:$G$799=B3)/COUNTIFS(A타입_제작표!$G$2:$G$799,A타입_제작표!$G$2:$G$799,A타입_제작표!$D$2:$D$799,A타입_제작표!$D$2:$D$799))</f>
        <v>5</v>
      </c>
      <c r="I3" s="29" t="n">
        <f aca="false">ROUND(G3*안내!$C$6/60,1)</f>
        <v>42</v>
      </c>
      <c r="J3" s="29" t="n">
        <f aca="false">_xlfn.MINIFS(A타입_제작표!$A$2:$A$799,A타입_제작표!$G$2:$G$799,B3)</f>
        <v>79</v>
      </c>
      <c r="K3" s="29" t="n">
        <f aca="false">_xlfn.MAXIFS(A타입_제작표!$A$2:$A$799,A타입_제작표!$G$2:$G$799,B3)</f>
        <v>120</v>
      </c>
      <c r="L3" s="24" t="s">
        <v>7897</v>
      </c>
    </row>
    <row r="4" customFormat="false" ht="15" hidden="false" customHeight="false" outlineLevel="0" collapsed="false">
      <c r="A4" s="29" t="n">
        <v>3</v>
      </c>
      <c r="B4" s="24" t="s">
        <v>1232</v>
      </c>
      <c r="C4" s="23" t="s">
        <v>7899</v>
      </c>
      <c r="D4" s="23" t="s">
        <v>88</v>
      </c>
      <c r="E4" s="23" t="s">
        <v>7896</v>
      </c>
      <c r="F4" s="29" t="n">
        <v>27</v>
      </c>
      <c r="G4" s="29" t="n">
        <f aca="false">COUNTIF(A타입_제작표!$G$2:$G$799,B4)</f>
        <v>12</v>
      </c>
      <c r="H4" s="29" t="n">
        <f aca="false">SUMPRODUCT((A타입_제작표!$G$2:$G$799=B4)/COUNTIFS(A타입_제작표!$G$2:$G$799,A타입_제작표!$G$2:$G$799,A타입_제작표!$D$2:$D$799,A타입_제작표!$D$2:$D$799))</f>
        <v>1</v>
      </c>
      <c r="I4" s="29" t="n">
        <f aca="false">ROUND(G4*안내!$C$6/60,1)</f>
        <v>12</v>
      </c>
      <c r="J4" s="29" t="n">
        <f aca="false">_xlfn.MINIFS(A타입_제작표!$A$2:$A$799,A타입_제작표!$G$2:$G$799,B4)</f>
        <v>121</v>
      </c>
      <c r="K4" s="29" t="n">
        <f aca="false">_xlfn.MAXIFS(A타입_제작표!$A$2:$A$799,A타입_제작표!$G$2:$G$799,B4)</f>
        <v>132</v>
      </c>
      <c r="L4" s="24" t="s">
        <v>7897</v>
      </c>
    </row>
    <row r="5" customFormat="false" ht="15" hidden="false" customHeight="false" outlineLevel="0" collapsed="false">
      <c r="A5" s="29" t="n">
        <v>4</v>
      </c>
      <c r="B5" s="24" t="s">
        <v>1342</v>
      </c>
      <c r="C5" s="23" t="s">
        <v>7900</v>
      </c>
      <c r="D5" s="23" t="s">
        <v>88</v>
      </c>
      <c r="E5" s="23" t="s">
        <v>7896</v>
      </c>
      <c r="F5" s="29" t="n">
        <v>36</v>
      </c>
      <c r="G5" s="29" t="n">
        <f aca="false">COUNTIF(A타입_제작표!$G$2:$G$799,B5)</f>
        <v>22</v>
      </c>
      <c r="H5" s="29" t="n">
        <f aca="false">SUMPRODUCT((A타입_제작표!$G$2:$G$799=B5)/COUNTIFS(A타입_제작표!$G$2:$G$799,A타입_제작표!$G$2:$G$799,A타입_제작표!$D$2:$D$799,A타입_제작표!$D$2:$D$799))</f>
        <v>2</v>
      </c>
      <c r="I5" s="29" t="n">
        <f aca="false">ROUND(G5*안내!$C$6/60,1)</f>
        <v>22</v>
      </c>
      <c r="J5" s="29" t="n">
        <f aca="false">_xlfn.MINIFS(A타입_제작표!$A$2:$A$799,A타입_제작표!$G$2:$G$799,B5)</f>
        <v>133</v>
      </c>
      <c r="K5" s="29" t="n">
        <f aca="false">_xlfn.MAXIFS(A타입_제작표!$A$2:$A$799,A타입_제작표!$G$2:$G$799,B5)</f>
        <v>154</v>
      </c>
      <c r="L5" s="24" t="s">
        <v>7897</v>
      </c>
    </row>
    <row r="6" customFormat="false" ht="15" hidden="false" customHeight="false" outlineLevel="0" collapsed="false">
      <c r="A6" s="29" t="n">
        <v>5</v>
      </c>
      <c r="B6" s="24" t="s">
        <v>1546</v>
      </c>
      <c r="C6" s="23" t="s">
        <v>7901</v>
      </c>
      <c r="D6" s="23" t="s">
        <v>88</v>
      </c>
      <c r="E6" s="23" t="s">
        <v>7896</v>
      </c>
      <c r="F6" s="29" t="n">
        <v>34</v>
      </c>
      <c r="G6" s="29" t="n">
        <f aca="false">COUNTIF(A타입_제작표!$G$2:$G$799,B6)</f>
        <v>14</v>
      </c>
      <c r="H6" s="29" t="n">
        <f aca="false">SUMPRODUCT((A타입_제작표!$G$2:$G$799=B6)/COUNTIFS(A타입_제작표!$G$2:$G$799,A타입_제작표!$G$2:$G$799,A타입_제작표!$D$2:$D$799,A타입_제작표!$D$2:$D$799))</f>
        <v>1</v>
      </c>
      <c r="I6" s="29" t="n">
        <f aca="false">ROUND(G6*안내!$C$6/60,1)</f>
        <v>14</v>
      </c>
      <c r="J6" s="29" t="n">
        <f aca="false">_xlfn.MINIFS(A타입_제작표!$A$2:$A$799,A타입_제작표!$G$2:$G$799,B6)</f>
        <v>155</v>
      </c>
      <c r="K6" s="29" t="n">
        <f aca="false">_xlfn.MAXIFS(A타입_제작표!$A$2:$A$799,A타입_제작표!$G$2:$G$799,B6)</f>
        <v>168</v>
      </c>
      <c r="L6" s="24" t="s">
        <v>7897</v>
      </c>
    </row>
    <row r="7" customFormat="false" ht="15" hidden="false" customHeight="false" outlineLevel="0" collapsed="false">
      <c r="A7" s="29" t="n">
        <v>6</v>
      </c>
      <c r="B7" s="24" t="s">
        <v>1665</v>
      </c>
      <c r="C7" s="23" t="s">
        <v>7902</v>
      </c>
      <c r="D7" s="23" t="s">
        <v>88</v>
      </c>
      <c r="E7" s="23" t="s">
        <v>7903</v>
      </c>
      <c r="F7" s="29" t="n">
        <v>24</v>
      </c>
      <c r="G7" s="29" t="n">
        <f aca="false">COUNTIF(A타입_제작표!$G$2:$G$799,B7)</f>
        <v>16</v>
      </c>
      <c r="H7" s="29" t="n">
        <f aca="false">SUMPRODUCT((A타입_제작표!$G$2:$G$799=B7)/COUNTIFS(A타입_제작표!$G$2:$G$799,A타입_제작표!$G$2:$G$799,A타입_제작표!$D$2:$D$799,A타입_제작표!$D$2:$D$799))</f>
        <v>2</v>
      </c>
      <c r="I7" s="29" t="n">
        <f aca="false">ROUND(G7*안내!$C$6/60,1)</f>
        <v>16</v>
      </c>
      <c r="J7" s="29" t="n">
        <f aca="false">_xlfn.MINIFS(A타입_제작표!$A$2:$A$799,A타입_제작표!$G$2:$G$799,B7)</f>
        <v>169</v>
      </c>
      <c r="K7" s="29" t="n">
        <f aca="false">_xlfn.MAXIFS(A타입_제작표!$A$2:$A$799,A타입_제작표!$G$2:$G$799,B7)</f>
        <v>184</v>
      </c>
      <c r="L7" s="24" t="s">
        <v>7897</v>
      </c>
    </row>
    <row r="8" customFormat="false" ht="15" hidden="false" customHeight="false" outlineLevel="0" collapsed="false">
      <c r="A8" s="29" t="n">
        <v>7</v>
      </c>
      <c r="B8" s="24" t="s">
        <v>1815</v>
      </c>
      <c r="C8" s="23" t="s">
        <v>7904</v>
      </c>
      <c r="D8" s="23" t="s">
        <v>88</v>
      </c>
      <c r="E8" s="23" t="s">
        <v>7903</v>
      </c>
      <c r="F8" s="29" t="n">
        <v>21</v>
      </c>
      <c r="G8" s="29" t="n">
        <f aca="false">COUNTIF(A타입_제작표!$G$2:$G$799,B8)</f>
        <v>20</v>
      </c>
      <c r="H8" s="29" t="n">
        <f aca="false">SUMPRODUCT((A타입_제작표!$G$2:$G$799=B8)/COUNTIFS(A타입_제작표!$G$2:$G$799,A타입_제작표!$G$2:$G$799,A타입_제작표!$D$2:$D$799,A타입_제작표!$D$2:$D$799))</f>
        <v>2</v>
      </c>
      <c r="I8" s="29" t="n">
        <f aca="false">ROUND(G8*안내!$C$6/60,1)</f>
        <v>20</v>
      </c>
      <c r="J8" s="29" t="n">
        <f aca="false">_xlfn.MINIFS(A타입_제작표!$A$2:$A$799,A타입_제작표!$G$2:$G$799,B8)</f>
        <v>185</v>
      </c>
      <c r="K8" s="29" t="n">
        <f aca="false">_xlfn.MAXIFS(A타입_제작표!$A$2:$A$799,A타입_제작표!$G$2:$G$799,B8)</f>
        <v>204</v>
      </c>
      <c r="L8" s="24" t="s">
        <v>7897</v>
      </c>
    </row>
    <row r="9" customFormat="false" ht="15" hidden="false" customHeight="false" outlineLevel="0" collapsed="false">
      <c r="A9" s="29" t="n">
        <v>8</v>
      </c>
      <c r="B9" s="24" t="s">
        <v>2008</v>
      </c>
      <c r="C9" s="23" t="s">
        <v>7905</v>
      </c>
      <c r="D9" s="23" t="s">
        <v>88</v>
      </c>
      <c r="E9" s="23" t="s">
        <v>7903</v>
      </c>
      <c r="F9" s="29" t="n">
        <v>4</v>
      </c>
      <c r="G9" s="29" t="n">
        <f aca="false">COUNTIF(A타입_제작표!$G$2:$G$799,B9)</f>
        <v>5</v>
      </c>
      <c r="H9" s="29" t="n">
        <f aca="false">SUMPRODUCT((A타입_제작표!$G$2:$G$799=B9)/COUNTIFS(A타입_제작표!$G$2:$G$799,A타입_제작표!$G$2:$G$799,A타입_제작표!$D$2:$D$799,A타입_제작표!$D$2:$D$799))</f>
        <v>1</v>
      </c>
      <c r="I9" s="29" t="n">
        <f aca="false">ROUND(G9*안내!$C$6/60,1)</f>
        <v>5</v>
      </c>
      <c r="J9" s="29" t="n">
        <f aca="false">_xlfn.MINIFS(A타입_제작표!$A$2:$A$799,A타입_제작표!$G$2:$G$799,B9)</f>
        <v>205</v>
      </c>
      <c r="K9" s="29" t="n">
        <f aca="false">_xlfn.MAXIFS(A타입_제작표!$A$2:$A$799,A타입_제작표!$G$2:$G$799,B9)</f>
        <v>209</v>
      </c>
      <c r="L9" s="24" t="s">
        <v>7897</v>
      </c>
    </row>
    <row r="10" customFormat="false" ht="15" hidden="false" customHeight="false" outlineLevel="0" collapsed="false">
      <c r="A10" s="29" t="n">
        <v>9</v>
      </c>
      <c r="B10" s="24" t="s">
        <v>2056</v>
      </c>
      <c r="C10" s="23" t="s">
        <v>7906</v>
      </c>
      <c r="D10" s="23" t="s">
        <v>88</v>
      </c>
      <c r="E10" s="23" t="s">
        <v>7903</v>
      </c>
      <c r="F10" s="29" t="n">
        <v>31</v>
      </c>
      <c r="G10" s="29" t="n">
        <f aca="false">COUNTIF(A타입_제작표!$G$2:$G$799,B10)</f>
        <v>28</v>
      </c>
      <c r="H10" s="29" t="n">
        <f aca="false">SUMPRODUCT((A타입_제작표!$G$2:$G$799=B10)/COUNTIFS(A타입_제작표!$G$2:$G$799,A타입_제작표!$G$2:$G$799,A타입_제작표!$D$2:$D$799,A타입_제작표!$D$2:$D$799))</f>
        <v>4</v>
      </c>
      <c r="I10" s="29" t="n">
        <f aca="false">ROUND(G10*안내!$C$6/60,1)</f>
        <v>28</v>
      </c>
      <c r="J10" s="29" t="n">
        <f aca="false">_xlfn.MINIFS(A타입_제작표!$A$2:$A$799,A타입_제작표!$G$2:$G$799,B10)</f>
        <v>210</v>
      </c>
      <c r="K10" s="29" t="n">
        <f aca="false">_xlfn.MAXIFS(A타입_제작표!$A$2:$A$799,A타입_제작표!$G$2:$G$799,B10)</f>
        <v>237</v>
      </c>
      <c r="L10" s="24" t="s">
        <v>7897</v>
      </c>
    </row>
    <row r="11" customFormat="false" ht="15" hidden="false" customHeight="false" outlineLevel="0" collapsed="false">
      <c r="A11" s="29" t="n">
        <v>10</v>
      </c>
      <c r="B11" s="24" t="s">
        <v>2315</v>
      </c>
      <c r="C11" s="23" t="s">
        <v>7907</v>
      </c>
      <c r="D11" s="23" t="s">
        <v>88</v>
      </c>
      <c r="E11" s="23" t="s">
        <v>7903</v>
      </c>
      <c r="F11" s="29" t="n">
        <v>24</v>
      </c>
      <c r="G11" s="29" t="n">
        <f aca="false">COUNTIF(A타입_제작표!$G$2:$G$799,B11)</f>
        <v>21</v>
      </c>
      <c r="H11" s="29" t="n">
        <f aca="false">SUMPRODUCT((A타입_제작표!$G$2:$G$799=B11)/COUNTIFS(A타입_제작표!$G$2:$G$799,A타입_제작표!$G$2:$G$799,A타입_제작표!$D$2:$D$799,A타입_제작표!$D$2:$D$799))</f>
        <v>3</v>
      </c>
      <c r="I11" s="29" t="n">
        <f aca="false">ROUND(G11*안내!$C$6/60,1)</f>
        <v>21</v>
      </c>
      <c r="J11" s="29" t="n">
        <f aca="false">_xlfn.MINIFS(A타입_제작표!$A$2:$A$799,A타입_제작표!$G$2:$G$799,B11)</f>
        <v>238</v>
      </c>
      <c r="K11" s="29" t="n">
        <f aca="false">_xlfn.MAXIFS(A타입_제작표!$A$2:$A$799,A타입_제작표!$G$2:$G$799,B11)</f>
        <v>258</v>
      </c>
      <c r="L11" s="24" t="s">
        <v>7897</v>
      </c>
    </row>
    <row r="12" customFormat="false" ht="15" hidden="false" customHeight="false" outlineLevel="0" collapsed="false">
      <c r="A12" s="29" t="n">
        <v>11</v>
      </c>
      <c r="B12" s="24" t="s">
        <v>2518</v>
      </c>
      <c r="C12" s="23" t="s">
        <v>7908</v>
      </c>
      <c r="D12" s="23" t="s">
        <v>88</v>
      </c>
      <c r="E12" s="23" t="s">
        <v>7903</v>
      </c>
      <c r="F12" s="29" t="n">
        <v>22</v>
      </c>
      <c r="G12" s="29" t="n">
        <f aca="false">COUNTIF(A타입_제작표!$G$2:$G$799,B12)</f>
        <v>23</v>
      </c>
      <c r="H12" s="29" t="n">
        <f aca="false">SUMPRODUCT((A타입_제작표!$G$2:$G$799=B12)/COUNTIFS(A타입_제작표!$G$2:$G$799,A타입_제작표!$G$2:$G$799,A타입_제작표!$D$2:$D$799,A타입_제작표!$D$2:$D$799))</f>
        <v>3</v>
      </c>
      <c r="I12" s="29" t="n">
        <f aca="false">ROUND(G12*안내!$C$6/60,1)</f>
        <v>23</v>
      </c>
      <c r="J12" s="29" t="n">
        <f aca="false">_xlfn.MINIFS(A타입_제작표!$A$2:$A$799,A타입_제작표!$G$2:$G$799,B12)</f>
        <v>259</v>
      </c>
      <c r="K12" s="29" t="n">
        <f aca="false">_xlfn.MAXIFS(A타입_제작표!$A$2:$A$799,A타입_제작표!$G$2:$G$799,B12)</f>
        <v>281</v>
      </c>
      <c r="L12" s="24" t="s">
        <v>7897</v>
      </c>
    </row>
    <row r="13" customFormat="false" ht="15" hidden="false" customHeight="false" outlineLevel="0" collapsed="false">
      <c r="A13" s="29" t="n">
        <v>12</v>
      </c>
      <c r="B13" s="24" t="s">
        <v>2734</v>
      </c>
      <c r="C13" s="23" t="s">
        <v>7909</v>
      </c>
      <c r="D13" s="23" t="s">
        <v>88</v>
      </c>
      <c r="E13" s="23" t="s">
        <v>7903</v>
      </c>
      <c r="F13" s="29" t="n">
        <v>25</v>
      </c>
      <c r="G13" s="29" t="n">
        <f aca="false">COUNTIF(A타입_제작표!$G$2:$G$799,B13)</f>
        <v>28</v>
      </c>
      <c r="H13" s="29" t="n">
        <f aca="false">SUMPRODUCT((A타입_제작표!$G$2:$G$799=B13)/COUNTIFS(A타입_제작표!$G$2:$G$799,A타입_제작표!$G$2:$G$799,A타입_제작표!$D$2:$D$799,A타입_제작표!$D$2:$D$799))</f>
        <v>4</v>
      </c>
      <c r="I13" s="29" t="n">
        <f aca="false">ROUND(G13*안내!$C$6/60,1)</f>
        <v>28</v>
      </c>
      <c r="J13" s="29" t="n">
        <f aca="false">_xlfn.MINIFS(A타입_제작표!$A$2:$A$799,A타입_제작표!$G$2:$G$799,B13)</f>
        <v>282</v>
      </c>
      <c r="K13" s="29" t="n">
        <f aca="false">_xlfn.MAXIFS(A타입_제작표!$A$2:$A$799,A타입_제작표!$G$2:$G$799,B13)</f>
        <v>309</v>
      </c>
      <c r="L13" s="24" t="s">
        <v>7897</v>
      </c>
    </row>
    <row r="14" customFormat="false" ht="15" hidden="false" customHeight="false" outlineLevel="0" collapsed="false">
      <c r="A14" s="29" t="n">
        <v>13</v>
      </c>
      <c r="B14" s="24" t="s">
        <v>3001</v>
      </c>
      <c r="C14" s="23" t="s">
        <v>7910</v>
      </c>
      <c r="D14" s="23" t="s">
        <v>88</v>
      </c>
      <c r="E14" s="23" t="s">
        <v>7903</v>
      </c>
      <c r="F14" s="29" t="n">
        <v>29</v>
      </c>
      <c r="G14" s="29" t="n">
        <f aca="false">COUNTIF(A타입_제작표!$G$2:$G$799,B14)</f>
        <v>7</v>
      </c>
      <c r="H14" s="29" t="n">
        <f aca="false">SUMPRODUCT((A타입_제작표!$G$2:$G$799=B14)/COUNTIFS(A타입_제작표!$G$2:$G$799,A타입_제작표!$G$2:$G$799,A타입_제작표!$D$2:$D$799,A타입_제작표!$D$2:$D$799))</f>
        <v>1</v>
      </c>
      <c r="I14" s="29" t="n">
        <f aca="false">ROUND(G14*안내!$C$6/60,1)</f>
        <v>7</v>
      </c>
      <c r="J14" s="29" t="n">
        <f aca="false">_xlfn.MINIFS(A타입_제작표!$A$2:$A$799,A타입_제작표!$G$2:$G$799,B14)</f>
        <v>310</v>
      </c>
      <c r="K14" s="29" t="n">
        <f aca="false">_xlfn.MAXIFS(A타입_제작표!$A$2:$A$799,A타입_제작표!$G$2:$G$799,B14)</f>
        <v>316</v>
      </c>
      <c r="L14" s="24" t="s">
        <v>7911</v>
      </c>
    </row>
    <row r="15" customFormat="false" ht="15" hidden="false" customHeight="false" outlineLevel="0" collapsed="false">
      <c r="A15" s="29" t="n">
        <v>14</v>
      </c>
      <c r="B15" s="24" t="s">
        <v>3067</v>
      </c>
      <c r="C15" s="23" t="s">
        <v>7912</v>
      </c>
      <c r="D15" s="23" t="s">
        <v>88</v>
      </c>
      <c r="E15" s="23" t="s">
        <v>7903</v>
      </c>
      <c r="F15" s="29" t="n">
        <v>36</v>
      </c>
      <c r="G15" s="29" t="n">
        <f aca="false">COUNTIF(A타입_제작표!$G$2:$G$799,B15)</f>
        <v>8</v>
      </c>
      <c r="H15" s="29" t="n">
        <f aca="false">SUMPRODUCT((A타입_제작표!$G$2:$G$799=B15)/COUNTIFS(A타입_제작표!$G$2:$G$799,A타입_제작표!$G$2:$G$799,A타입_제작표!$D$2:$D$799,A타입_제작표!$D$2:$D$799))</f>
        <v>1</v>
      </c>
      <c r="I15" s="29" t="n">
        <f aca="false">ROUND(G15*안내!$C$6/60,1)</f>
        <v>8</v>
      </c>
      <c r="J15" s="29" t="n">
        <f aca="false">_xlfn.MINIFS(A타입_제작표!$A$2:$A$799,A타입_제작표!$G$2:$G$799,B15)</f>
        <v>317</v>
      </c>
      <c r="K15" s="29" t="n">
        <f aca="false">_xlfn.MAXIFS(A타입_제작표!$A$2:$A$799,A타입_제작표!$G$2:$G$799,B15)</f>
        <v>324</v>
      </c>
      <c r="L15" s="24" t="s">
        <v>7913</v>
      </c>
    </row>
    <row r="16" customFormat="false" ht="15" hidden="false" customHeight="false" outlineLevel="0" collapsed="false">
      <c r="A16" s="29" t="n">
        <v>15</v>
      </c>
      <c r="B16" s="24" t="s">
        <v>3139</v>
      </c>
      <c r="C16" s="23" t="s">
        <v>7914</v>
      </c>
      <c r="D16" s="23" t="s">
        <v>88</v>
      </c>
      <c r="E16" s="23" t="s">
        <v>7903</v>
      </c>
      <c r="F16" s="29" t="n">
        <v>10</v>
      </c>
      <c r="G16" s="29" t="n">
        <f aca="false">COUNTIF(A타입_제작표!$G$2:$G$799,B16)</f>
        <v>8</v>
      </c>
      <c r="H16" s="29" t="n">
        <f aca="false">SUMPRODUCT((A타입_제작표!$G$2:$G$799=B16)/COUNTIFS(A타입_제작표!$G$2:$G$799,A타입_제작표!$G$2:$G$799,A타입_제작표!$D$2:$D$799,A타입_제작표!$D$2:$D$799))</f>
        <v>1</v>
      </c>
      <c r="I16" s="29" t="n">
        <f aca="false">ROUND(G16*안내!$C$6/60,1)</f>
        <v>8</v>
      </c>
      <c r="J16" s="29" t="n">
        <f aca="false">_xlfn.MINIFS(A타입_제작표!$A$2:$A$799,A타입_제작표!$G$2:$G$799,B16)</f>
        <v>325</v>
      </c>
      <c r="K16" s="29" t="n">
        <f aca="false">_xlfn.MAXIFS(A타입_제작표!$A$2:$A$799,A타입_제작표!$G$2:$G$799,B16)</f>
        <v>332</v>
      </c>
      <c r="L16" s="24" t="s">
        <v>7897</v>
      </c>
    </row>
    <row r="17" customFormat="false" ht="15" hidden="false" customHeight="false" outlineLevel="0" collapsed="false">
      <c r="A17" s="29" t="n">
        <v>16</v>
      </c>
      <c r="B17" s="24" t="s">
        <v>3214</v>
      </c>
      <c r="C17" s="23" t="s">
        <v>7915</v>
      </c>
      <c r="D17" s="23" t="s">
        <v>88</v>
      </c>
      <c r="E17" s="23" t="s">
        <v>7903</v>
      </c>
      <c r="F17" s="29" t="n">
        <v>13</v>
      </c>
      <c r="G17" s="29" t="n">
        <f aca="false">COUNTIF(A타입_제작표!$G$2:$G$799,B17)</f>
        <v>9</v>
      </c>
      <c r="H17" s="29" t="n">
        <f aca="false">SUMPRODUCT((A타입_제작표!$G$2:$G$799=B17)/COUNTIFS(A타입_제작표!$G$2:$G$799,A타입_제작표!$G$2:$G$799,A타입_제작표!$D$2:$D$799,A타입_제작표!$D$2:$D$799))</f>
        <v>1</v>
      </c>
      <c r="I17" s="29" t="n">
        <f aca="false">ROUND(G17*안내!$C$6/60,1)</f>
        <v>9</v>
      </c>
      <c r="J17" s="29" t="n">
        <f aca="false">_xlfn.MINIFS(A타입_제작표!$A$2:$A$799,A타입_제작표!$G$2:$G$799,B17)</f>
        <v>333</v>
      </c>
      <c r="K17" s="29" t="n">
        <f aca="false">_xlfn.MAXIFS(A타입_제작표!$A$2:$A$799,A타입_제작표!$G$2:$G$799,B17)</f>
        <v>341</v>
      </c>
      <c r="L17" s="24" t="s">
        <v>7897</v>
      </c>
    </row>
    <row r="18" customFormat="false" ht="15" hidden="false" customHeight="false" outlineLevel="0" collapsed="false">
      <c r="A18" s="29" t="n">
        <v>17</v>
      </c>
      <c r="B18" s="24" t="s">
        <v>3297</v>
      </c>
      <c r="C18" s="23" t="s">
        <v>7916</v>
      </c>
      <c r="D18" s="23" t="s">
        <v>88</v>
      </c>
      <c r="E18" s="23" t="s">
        <v>7903</v>
      </c>
      <c r="F18" s="29" t="n">
        <v>10</v>
      </c>
      <c r="G18" s="29" t="n">
        <f aca="false">COUNTIF(A타입_제작표!$G$2:$G$799,B18)</f>
        <v>10</v>
      </c>
      <c r="H18" s="29" t="n">
        <f aca="false">SUMPRODUCT((A타입_제작표!$G$2:$G$799=B18)/COUNTIFS(A타입_제작표!$G$2:$G$799,A타입_제작표!$G$2:$G$799,A타입_제작표!$D$2:$D$799,A타입_제작표!$D$2:$D$799))</f>
        <v>1</v>
      </c>
      <c r="I18" s="29" t="n">
        <f aca="false">ROUND(G18*안내!$C$6/60,1)</f>
        <v>10</v>
      </c>
      <c r="J18" s="29" t="n">
        <f aca="false">_xlfn.MINIFS(A타입_제작표!$A$2:$A$799,A타입_제작표!$G$2:$G$799,B18)</f>
        <v>342</v>
      </c>
      <c r="K18" s="29" t="n">
        <f aca="false">_xlfn.MAXIFS(A타입_제작표!$A$2:$A$799,A타입_제작표!$G$2:$G$799,B18)</f>
        <v>351</v>
      </c>
      <c r="L18" s="24" t="s">
        <v>7897</v>
      </c>
    </row>
    <row r="19" customFormat="false" ht="15" hidden="false" customHeight="false" outlineLevel="0" collapsed="false">
      <c r="A19" s="29" t="n">
        <v>18</v>
      </c>
      <c r="B19" s="24" t="s">
        <v>3390</v>
      </c>
      <c r="C19" s="23" t="s">
        <v>3426</v>
      </c>
      <c r="D19" s="23" t="s">
        <v>88</v>
      </c>
      <c r="E19" s="23" t="s">
        <v>7917</v>
      </c>
      <c r="F19" s="29" t="n">
        <v>42</v>
      </c>
      <c r="G19" s="29" t="n">
        <f aca="false">COUNTIF(A타입_제작표!$G$2:$G$799,B19)</f>
        <v>11</v>
      </c>
      <c r="H19" s="29" t="n">
        <f aca="false">SUMPRODUCT((A타입_제작표!$G$2:$G$799=B19)/COUNTIFS(A타입_제작표!$G$2:$G$799,A타입_제작표!$G$2:$G$799,A타입_제작표!$D$2:$D$799,A타입_제작표!$D$2:$D$799))</f>
        <v>1</v>
      </c>
      <c r="I19" s="29" t="n">
        <f aca="false">ROUND(G19*안내!$C$6/60,1)</f>
        <v>11</v>
      </c>
      <c r="J19" s="29" t="n">
        <f aca="false">_xlfn.MINIFS(A타입_제작표!$A$2:$A$799,A타입_제작표!$G$2:$G$799,B19)</f>
        <v>352</v>
      </c>
      <c r="K19" s="29" t="n">
        <f aca="false">_xlfn.MAXIFS(A타입_제작표!$A$2:$A$799,A타입_제작표!$G$2:$G$799,B19)</f>
        <v>362</v>
      </c>
      <c r="L19" s="24" t="s">
        <v>7897</v>
      </c>
    </row>
    <row r="20" customFormat="false" ht="15" hidden="false" customHeight="false" outlineLevel="0" collapsed="false">
      <c r="A20" s="29" t="n">
        <v>19</v>
      </c>
      <c r="B20" s="24" t="s">
        <v>3496</v>
      </c>
      <c r="C20" s="23" t="s">
        <v>7918</v>
      </c>
      <c r="D20" s="23" t="s">
        <v>88</v>
      </c>
      <c r="E20" s="23" t="s">
        <v>7917</v>
      </c>
      <c r="F20" s="29" t="n">
        <v>150</v>
      </c>
      <c r="G20" s="29" t="n">
        <f aca="false">COUNTIF(A타입_제작표!$G$2:$G$799,B20)</f>
        <v>31</v>
      </c>
      <c r="H20" s="29" t="n">
        <f aca="false">SUMPRODUCT((A타입_제작표!$G$2:$G$799=B20)/COUNTIFS(A타입_제작표!$G$2:$G$799,A타입_제작표!$G$2:$G$799,A타입_제작표!$D$2:$D$799,A타입_제작표!$D$2:$D$799))</f>
        <v>4</v>
      </c>
      <c r="I20" s="29" t="n">
        <f aca="false">ROUND(G20*안내!$C$6/60,1)</f>
        <v>31</v>
      </c>
      <c r="J20" s="29" t="n">
        <f aca="false">_xlfn.MINIFS(A타입_제작표!$A$2:$A$799,A타입_제작표!$G$2:$G$799,B20)</f>
        <v>363</v>
      </c>
      <c r="K20" s="29" t="n">
        <f aca="false">_xlfn.MAXIFS(A타입_제작표!$A$2:$A$799,A타입_제작표!$G$2:$G$799,B20)</f>
        <v>393</v>
      </c>
      <c r="L20" s="28" t="s">
        <v>7919</v>
      </c>
    </row>
    <row r="21" customFormat="false" ht="15" hidden="false" customHeight="false" outlineLevel="0" collapsed="false">
      <c r="A21" s="29" t="n">
        <v>20</v>
      </c>
      <c r="B21" s="24" t="s">
        <v>3772</v>
      </c>
      <c r="C21" s="23" t="s">
        <v>7920</v>
      </c>
      <c r="D21" s="23" t="s">
        <v>88</v>
      </c>
      <c r="E21" s="23" t="s">
        <v>7917</v>
      </c>
      <c r="F21" s="29" t="n">
        <v>31</v>
      </c>
      <c r="G21" s="29" t="n">
        <f aca="false">COUNTIF(A타입_제작표!$G$2:$G$799,B21)</f>
        <v>9</v>
      </c>
      <c r="H21" s="29" t="n">
        <f aca="false">SUMPRODUCT((A타입_제작표!$G$2:$G$799=B21)/COUNTIFS(A타입_제작표!$G$2:$G$799,A타입_제작표!$G$2:$G$799,A타입_제작표!$D$2:$D$799,A타입_제작표!$D$2:$D$799))</f>
        <v>1</v>
      </c>
      <c r="I21" s="29" t="n">
        <f aca="false">ROUND(G21*안내!$C$6/60,1)</f>
        <v>9</v>
      </c>
      <c r="J21" s="29" t="n">
        <f aca="false">_xlfn.MINIFS(A타입_제작표!$A$2:$A$799,A타입_제작표!$G$2:$G$799,B21)</f>
        <v>394</v>
      </c>
      <c r="K21" s="29" t="n">
        <f aca="false">_xlfn.MAXIFS(A타입_제작표!$A$2:$A$799,A타입_제작표!$G$2:$G$799,B21)</f>
        <v>402</v>
      </c>
      <c r="L21" s="24" t="s">
        <v>7897</v>
      </c>
    </row>
    <row r="22" customFormat="false" ht="15" hidden="false" customHeight="false" outlineLevel="0" collapsed="false">
      <c r="A22" s="29" t="n">
        <v>21</v>
      </c>
      <c r="B22" s="24" t="s">
        <v>3856</v>
      </c>
      <c r="C22" s="23" t="s">
        <v>7921</v>
      </c>
      <c r="D22" s="23" t="s">
        <v>88</v>
      </c>
      <c r="E22" s="23" t="s">
        <v>7917</v>
      </c>
      <c r="F22" s="29" t="n">
        <v>12</v>
      </c>
      <c r="G22" s="29" t="n">
        <f aca="false">COUNTIF(A타입_제작표!$G$2:$G$799,B22)</f>
        <v>5</v>
      </c>
      <c r="H22" s="29" t="n">
        <f aca="false">SUMPRODUCT((A타입_제작표!$G$2:$G$799=B22)/COUNTIFS(A타입_제작표!$G$2:$G$799,A타입_제작표!$G$2:$G$799,A타입_제작표!$D$2:$D$799,A타입_제작표!$D$2:$D$799))</f>
        <v>1</v>
      </c>
      <c r="I22" s="29" t="n">
        <f aca="false">ROUND(G22*안내!$C$6/60,1)</f>
        <v>5</v>
      </c>
      <c r="J22" s="29" t="n">
        <f aca="false">_xlfn.MINIFS(A타입_제작표!$A$2:$A$799,A타입_제작표!$G$2:$G$799,B22)</f>
        <v>403</v>
      </c>
      <c r="K22" s="29" t="n">
        <f aca="false">_xlfn.MAXIFS(A타입_제작표!$A$2:$A$799,A타입_제작표!$G$2:$G$799,B22)</f>
        <v>407</v>
      </c>
      <c r="L22" s="24" t="s">
        <v>7897</v>
      </c>
    </row>
    <row r="23" customFormat="false" ht="15" hidden="false" customHeight="false" outlineLevel="0" collapsed="false">
      <c r="A23" s="29" t="n">
        <v>22</v>
      </c>
      <c r="B23" s="24" t="s">
        <v>3900</v>
      </c>
      <c r="C23" s="23" t="s">
        <v>7922</v>
      </c>
      <c r="D23" s="23" t="s">
        <v>88</v>
      </c>
      <c r="E23" s="23" t="s">
        <v>7917</v>
      </c>
      <c r="F23" s="29" t="n">
        <v>8</v>
      </c>
      <c r="G23" s="29" t="n">
        <f aca="false">COUNTIF(A타입_제작표!$G$2:$G$799,B23)</f>
        <v>3</v>
      </c>
      <c r="H23" s="29" t="n">
        <f aca="false">SUMPRODUCT((A타입_제작표!$G$2:$G$799=B23)/COUNTIFS(A타입_제작표!$G$2:$G$799,A타입_제작표!$G$2:$G$799,A타입_제작표!$D$2:$D$799,A타입_제작표!$D$2:$D$799))</f>
        <v>1</v>
      </c>
      <c r="I23" s="29" t="n">
        <f aca="false">ROUND(G23*안내!$C$6/60,1)</f>
        <v>3</v>
      </c>
      <c r="J23" s="29" t="n">
        <f aca="false">_xlfn.MINIFS(A타입_제작표!$A$2:$A$799,A타입_제작표!$G$2:$G$799,B23)</f>
        <v>408</v>
      </c>
      <c r="K23" s="29" t="n">
        <f aca="false">_xlfn.MAXIFS(A타입_제작표!$A$2:$A$799,A타입_제작표!$G$2:$G$799,B23)</f>
        <v>410</v>
      </c>
      <c r="L23" s="24" t="s">
        <v>7897</v>
      </c>
    </row>
    <row r="24" customFormat="false" ht="15" hidden="false" customHeight="false" outlineLevel="0" collapsed="false">
      <c r="A24" s="29" t="n">
        <v>23</v>
      </c>
      <c r="B24" s="24" t="s">
        <v>3931</v>
      </c>
      <c r="C24" s="23" t="s">
        <v>7923</v>
      </c>
      <c r="D24" s="23" t="s">
        <v>88</v>
      </c>
      <c r="E24" s="23" t="s">
        <v>7924</v>
      </c>
      <c r="F24" s="29" t="n">
        <v>66</v>
      </c>
      <c r="G24" s="29" t="n">
        <f aca="false">COUNTIF(A타입_제작표!$G$2:$G$799,B24)</f>
        <v>26</v>
      </c>
      <c r="H24" s="29" t="n">
        <f aca="false">SUMPRODUCT((A타입_제작표!$G$2:$G$799=B24)/COUNTIFS(A타입_제작표!$G$2:$G$799,A타입_제작표!$G$2:$G$799,A타입_제작표!$D$2:$D$799,A타입_제작표!$D$2:$D$799))</f>
        <v>3</v>
      </c>
      <c r="I24" s="29" t="n">
        <f aca="false">ROUND(G24*안내!$C$6/60,1)</f>
        <v>26</v>
      </c>
      <c r="J24" s="29" t="n">
        <f aca="false">_xlfn.MINIFS(A타입_제작표!$A$2:$A$799,A타입_제작표!$G$2:$G$799,B24)</f>
        <v>411</v>
      </c>
      <c r="K24" s="29" t="n">
        <f aca="false">_xlfn.MAXIFS(A타입_제작표!$A$2:$A$799,A타입_제작표!$G$2:$G$799,B24)</f>
        <v>436</v>
      </c>
      <c r="L24" s="24" t="s">
        <v>7897</v>
      </c>
    </row>
    <row r="25" customFormat="false" ht="15" hidden="false" customHeight="false" outlineLevel="0" collapsed="false">
      <c r="A25" s="29" t="n">
        <v>24</v>
      </c>
      <c r="B25" s="24" t="s">
        <v>4173</v>
      </c>
      <c r="C25" s="23" t="s">
        <v>7925</v>
      </c>
      <c r="D25" s="23" t="s">
        <v>88</v>
      </c>
      <c r="E25" s="23" t="s">
        <v>7924</v>
      </c>
      <c r="F25" s="29" t="n">
        <v>52</v>
      </c>
      <c r="G25" s="29" t="n">
        <f aca="false">COUNTIF(A타입_제작표!$G$2:$G$799,B25)</f>
        <v>20</v>
      </c>
      <c r="H25" s="29" t="n">
        <f aca="false">SUMPRODUCT((A타입_제작표!$G$2:$G$799=B25)/COUNTIFS(A타입_제작표!$G$2:$G$799,A타입_제작표!$G$2:$G$799,A타입_제작표!$D$2:$D$799,A타입_제작표!$D$2:$D$799))</f>
        <v>2</v>
      </c>
      <c r="I25" s="29" t="n">
        <f aca="false">ROUND(G25*안내!$C$6/60,1)</f>
        <v>20</v>
      </c>
      <c r="J25" s="29" t="n">
        <f aca="false">_xlfn.MINIFS(A타입_제작표!$A$2:$A$799,A타입_제작표!$G$2:$G$799,B25)</f>
        <v>437</v>
      </c>
      <c r="K25" s="29" t="n">
        <f aca="false">_xlfn.MAXIFS(A타입_제작표!$A$2:$A$799,A타입_제작표!$G$2:$G$799,B25)</f>
        <v>456</v>
      </c>
      <c r="L25" s="24" t="s">
        <v>7897</v>
      </c>
    </row>
    <row r="26" customFormat="false" ht="15" hidden="false" customHeight="false" outlineLevel="0" collapsed="false">
      <c r="A26" s="29" t="n">
        <v>25</v>
      </c>
      <c r="B26" s="24" t="s">
        <v>4352</v>
      </c>
      <c r="C26" s="23" t="s">
        <v>7926</v>
      </c>
      <c r="D26" s="23" t="s">
        <v>88</v>
      </c>
      <c r="E26" s="23" t="s">
        <v>7924</v>
      </c>
      <c r="F26" s="29" t="n">
        <v>5</v>
      </c>
      <c r="G26" s="29" t="n">
        <f aca="false">COUNTIF(A타입_제작표!$G$2:$G$799,B26)</f>
        <v>3</v>
      </c>
      <c r="H26" s="29" t="n">
        <f aca="false">SUMPRODUCT((A타입_제작표!$G$2:$G$799=B26)/COUNTIFS(A타입_제작표!$G$2:$G$799,A타입_제작표!$G$2:$G$799,A타입_제작표!$D$2:$D$799,A타입_제작표!$D$2:$D$799))</f>
        <v>1</v>
      </c>
      <c r="I26" s="29" t="n">
        <f aca="false">ROUND(G26*안내!$C$6/60,1)</f>
        <v>3</v>
      </c>
      <c r="J26" s="29" t="n">
        <f aca="false">_xlfn.MINIFS(A타입_제작표!$A$2:$A$799,A타입_제작표!$G$2:$G$799,B26)</f>
        <v>457</v>
      </c>
      <c r="K26" s="29" t="n">
        <f aca="false">_xlfn.MAXIFS(A타입_제작표!$A$2:$A$799,A타입_제작표!$G$2:$G$799,B26)</f>
        <v>459</v>
      </c>
      <c r="L26" s="24" t="s">
        <v>7897</v>
      </c>
    </row>
    <row r="27" customFormat="false" ht="15" hidden="false" customHeight="false" outlineLevel="0" collapsed="false">
      <c r="A27" s="29" t="n">
        <v>26</v>
      </c>
      <c r="B27" s="24" t="s">
        <v>4381</v>
      </c>
      <c r="C27" s="23" t="s">
        <v>7927</v>
      </c>
      <c r="D27" s="23" t="s">
        <v>88</v>
      </c>
      <c r="E27" s="23" t="s">
        <v>7924</v>
      </c>
      <c r="F27" s="29" t="n">
        <v>48</v>
      </c>
      <c r="G27" s="29" t="n">
        <f aca="false">COUNTIF(A타입_제작표!$G$2:$G$799,B27)</f>
        <v>14</v>
      </c>
      <c r="H27" s="29" t="n">
        <f aca="false">SUMPRODUCT((A타입_제작표!$G$2:$G$799=B27)/COUNTIFS(A타입_제작표!$G$2:$G$799,A타입_제작표!$G$2:$G$799,A타입_제작표!$D$2:$D$799,A타입_제작표!$D$2:$D$799))</f>
        <v>1</v>
      </c>
      <c r="I27" s="29" t="n">
        <f aca="false">ROUND(G27*안내!$C$6/60,1)</f>
        <v>14</v>
      </c>
      <c r="J27" s="29" t="n">
        <f aca="false">_xlfn.MINIFS(A타입_제작표!$A$2:$A$799,A타입_제작표!$G$2:$G$799,B27)</f>
        <v>460</v>
      </c>
      <c r="K27" s="29" t="n">
        <f aca="false">_xlfn.MAXIFS(A타입_제작표!$A$2:$A$799,A타입_제작표!$G$2:$G$799,B27)</f>
        <v>473</v>
      </c>
      <c r="L27" s="24" t="s">
        <v>7897</v>
      </c>
    </row>
    <row r="28" customFormat="false" ht="15" hidden="false" customHeight="false" outlineLevel="0" collapsed="false">
      <c r="A28" s="29" t="n">
        <v>27</v>
      </c>
      <c r="B28" s="24" t="s">
        <v>4507</v>
      </c>
      <c r="C28" s="23" t="s">
        <v>7928</v>
      </c>
      <c r="D28" s="23" t="s">
        <v>88</v>
      </c>
      <c r="E28" s="23" t="s">
        <v>7924</v>
      </c>
      <c r="F28" s="29" t="n">
        <v>12</v>
      </c>
      <c r="G28" s="29" t="n">
        <f aca="false">COUNTIF(A타입_제작표!$G$2:$G$799,B28)</f>
        <v>13</v>
      </c>
      <c r="H28" s="29" t="n">
        <f aca="false">SUMPRODUCT((A타입_제작표!$G$2:$G$799=B28)/COUNTIFS(A타입_제작표!$G$2:$G$799,A타입_제작표!$G$2:$G$799,A타입_제작표!$D$2:$D$799,A타입_제작표!$D$2:$D$799))</f>
        <v>1</v>
      </c>
      <c r="I28" s="29" t="n">
        <f aca="false">ROUND(G28*안내!$C$6/60,1)</f>
        <v>13</v>
      </c>
      <c r="J28" s="29" t="n">
        <f aca="false">_xlfn.MINIFS(A타입_제작표!$A$2:$A$799,A타입_제작표!$G$2:$G$799,B28)</f>
        <v>474</v>
      </c>
      <c r="K28" s="29" t="n">
        <f aca="false">_xlfn.MAXIFS(A타입_제작표!$A$2:$A$799,A타입_제작표!$G$2:$G$799,B28)</f>
        <v>486</v>
      </c>
      <c r="L28" s="24" t="s">
        <v>7897</v>
      </c>
    </row>
    <row r="29" customFormat="false" ht="15" hidden="false" customHeight="false" outlineLevel="0" collapsed="false">
      <c r="A29" s="29" t="n">
        <v>28</v>
      </c>
      <c r="B29" s="24" t="s">
        <v>4629</v>
      </c>
      <c r="C29" s="23" t="s">
        <v>7929</v>
      </c>
      <c r="D29" s="23" t="s">
        <v>88</v>
      </c>
      <c r="E29" s="23" t="s">
        <v>7924</v>
      </c>
      <c r="F29" s="29" t="n">
        <v>14</v>
      </c>
      <c r="G29" s="29" t="n">
        <f aca="false">COUNTIF(A타입_제작표!$G$2:$G$799,B29)</f>
        <v>4</v>
      </c>
      <c r="H29" s="29" t="n">
        <f aca="false">SUMPRODUCT((A타입_제작표!$G$2:$G$799=B29)/COUNTIFS(A타입_제작표!$G$2:$G$799,A타입_제작표!$G$2:$G$799,A타입_제작표!$D$2:$D$799,A타입_제작표!$D$2:$D$799))</f>
        <v>1</v>
      </c>
      <c r="I29" s="29" t="n">
        <f aca="false">ROUND(G29*안내!$C$6/60,1)</f>
        <v>4</v>
      </c>
      <c r="J29" s="29" t="n">
        <f aca="false">_xlfn.MINIFS(A타입_제작표!$A$2:$A$799,A타입_제작표!$G$2:$G$799,B29)</f>
        <v>487</v>
      </c>
      <c r="K29" s="29" t="n">
        <f aca="false">_xlfn.MAXIFS(A타입_제작표!$A$2:$A$799,A타입_제작표!$G$2:$G$799,B29)</f>
        <v>490</v>
      </c>
      <c r="L29" s="24" t="s">
        <v>7897</v>
      </c>
    </row>
    <row r="30" customFormat="false" ht="15" hidden="false" customHeight="false" outlineLevel="0" collapsed="false">
      <c r="A30" s="29" t="n">
        <v>29</v>
      </c>
      <c r="B30" s="24" t="s">
        <v>4664</v>
      </c>
      <c r="C30" s="23" t="s">
        <v>7930</v>
      </c>
      <c r="D30" s="23" t="s">
        <v>88</v>
      </c>
      <c r="E30" s="23" t="s">
        <v>7924</v>
      </c>
      <c r="F30" s="29" t="n">
        <v>3</v>
      </c>
      <c r="G30" s="29" t="n">
        <f aca="false">COUNTIF(A타입_제작표!$G$2:$G$799,B30)</f>
        <v>3</v>
      </c>
      <c r="H30" s="29" t="n">
        <f aca="false">SUMPRODUCT((A타입_제작표!$G$2:$G$799=B30)/COUNTIFS(A타입_제작표!$G$2:$G$799,A타입_제작표!$G$2:$G$799,A타입_제작표!$D$2:$D$799,A타입_제작표!$D$2:$D$799))</f>
        <v>1</v>
      </c>
      <c r="I30" s="29" t="n">
        <f aca="false">ROUND(G30*안내!$C$6/60,1)</f>
        <v>3</v>
      </c>
      <c r="J30" s="29" t="n">
        <f aca="false">_xlfn.MINIFS(A타입_제작표!$A$2:$A$799,A타입_제작표!$G$2:$G$799,B30)</f>
        <v>491</v>
      </c>
      <c r="K30" s="29" t="n">
        <f aca="false">_xlfn.MAXIFS(A타입_제작표!$A$2:$A$799,A타입_제작표!$G$2:$G$799,B30)</f>
        <v>493</v>
      </c>
      <c r="L30" s="24" t="s">
        <v>7897</v>
      </c>
    </row>
    <row r="31" customFormat="false" ht="15" hidden="false" customHeight="false" outlineLevel="0" collapsed="false">
      <c r="A31" s="29" t="n">
        <v>30</v>
      </c>
      <c r="B31" s="24" t="s">
        <v>4690</v>
      </c>
      <c r="C31" s="23" t="s">
        <v>7931</v>
      </c>
      <c r="D31" s="23" t="s">
        <v>88</v>
      </c>
      <c r="E31" s="23" t="s">
        <v>7924</v>
      </c>
      <c r="F31" s="29" t="n">
        <v>9</v>
      </c>
      <c r="G31" s="29" t="n">
        <f aca="false">COUNTIF(A타입_제작표!$G$2:$G$799,B31)</f>
        <v>4</v>
      </c>
      <c r="H31" s="29" t="n">
        <f aca="false">SUMPRODUCT((A타입_제작표!$G$2:$G$799=B31)/COUNTIFS(A타입_제작표!$G$2:$G$799,A타입_제작표!$G$2:$G$799,A타입_제작표!$D$2:$D$799,A타입_제작표!$D$2:$D$799))</f>
        <v>1</v>
      </c>
      <c r="I31" s="29" t="n">
        <f aca="false">ROUND(G31*안내!$C$6/60,1)</f>
        <v>4</v>
      </c>
      <c r="J31" s="29" t="n">
        <f aca="false">_xlfn.MINIFS(A타입_제작표!$A$2:$A$799,A타입_제작표!$G$2:$G$799,B31)</f>
        <v>494</v>
      </c>
      <c r="K31" s="29" t="n">
        <f aca="false">_xlfn.MAXIFS(A타입_제작표!$A$2:$A$799,A타입_제작표!$G$2:$G$799,B31)</f>
        <v>497</v>
      </c>
      <c r="L31" s="24" t="s">
        <v>7897</v>
      </c>
    </row>
    <row r="32" customFormat="false" ht="15" hidden="false" customHeight="false" outlineLevel="0" collapsed="false">
      <c r="A32" s="29" t="n">
        <v>31</v>
      </c>
      <c r="B32" s="24" t="s">
        <v>4726</v>
      </c>
      <c r="C32" s="23" t="s">
        <v>7932</v>
      </c>
      <c r="D32" s="23" t="s">
        <v>88</v>
      </c>
      <c r="E32" s="23" t="s">
        <v>7924</v>
      </c>
      <c r="F32" s="29" t="n">
        <v>1</v>
      </c>
      <c r="G32" s="29" t="n">
        <f aca="false">COUNTIF(A타입_제작표!$G$2:$G$799,B32)</f>
        <v>1</v>
      </c>
      <c r="H32" s="29" t="n">
        <f aca="false">SUMPRODUCT((A타입_제작표!$G$2:$G$799=B32)/COUNTIFS(A타입_제작표!$G$2:$G$799,A타입_제작표!$G$2:$G$799,A타입_제작표!$D$2:$D$799,A타입_제작표!$D$2:$D$799))</f>
        <v>1</v>
      </c>
      <c r="I32" s="29" t="n">
        <f aca="false">ROUND(G32*안내!$C$6/60,1)</f>
        <v>1</v>
      </c>
      <c r="J32" s="29" t="n">
        <f aca="false">_xlfn.MINIFS(A타입_제작표!$A$2:$A$799,A타입_제작표!$G$2:$G$799,B32)</f>
        <v>498</v>
      </c>
      <c r="K32" s="29" t="n">
        <f aca="false">_xlfn.MAXIFS(A타입_제작표!$A$2:$A$799,A타입_제작표!$G$2:$G$799,B32)</f>
        <v>498</v>
      </c>
      <c r="L32" s="24" t="s">
        <v>7897</v>
      </c>
    </row>
    <row r="33" customFormat="false" ht="15" hidden="false" customHeight="false" outlineLevel="0" collapsed="false">
      <c r="A33" s="29" t="n">
        <v>32</v>
      </c>
      <c r="B33" s="24" t="s">
        <v>4735</v>
      </c>
      <c r="C33" s="23" t="s">
        <v>7933</v>
      </c>
      <c r="D33" s="23" t="s">
        <v>88</v>
      </c>
      <c r="E33" s="23" t="s">
        <v>7924</v>
      </c>
      <c r="F33" s="29" t="n">
        <v>4</v>
      </c>
      <c r="G33" s="29" t="n">
        <f aca="false">COUNTIF(A타입_제작표!$G$2:$G$799,B33)</f>
        <v>5</v>
      </c>
      <c r="H33" s="29" t="n">
        <f aca="false">SUMPRODUCT((A타입_제작표!$G$2:$G$799=B33)/COUNTIFS(A타입_제작표!$G$2:$G$799,A타입_제작표!$G$2:$G$799,A타입_제작표!$D$2:$D$799,A타입_제작표!$D$2:$D$799))</f>
        <v>1</v>
      </c>
      <c r="I33" s="29" t="n">
        <f aca="false">ROUND(G33*안내!$C$6/60,1)</f>
        <v>5</v>
      </c>
      <c r="J33" s="29" t="n">
        <f aca="false">_xlfn.MINIFS(A타입_제작표!$A$2:$A$799,A타입_제작표!$G$2:$G$799,B33)</f>
        <v>499</v>
      </c>
      <c r="K33" s="29" t="n">
        <f aca="false">_xlfn.MAXIFS(A타입_제작표!$A$2:$A$799,A타입_제작표!$G$2:$G$799,B33)</f>
        <v>503</v>
      </c>
      <c r="L33" s="24" t="s">
        <v>7897</v>
      </c>
    </row>
    <row r="34" customFormat="false" ht="15" hidden="false" customHeight="false" outlineLevel="0" collapsed="false">
      <c r="A34" s="29" t="n">
        <v>33</v>
      </c>
      <c r="B34" s="24" t="s">
        <v>4781</v>
      </c>
      <c r="C34" s="23" t="s">
        <v>7934</v>
      </c>
      <c r="D34" s="23" t="s">
        <v>88</v>
      </c>
      <c r="E34" s="23" t="s">
        <v>7924</v>
      </c>
      <c r="F34" s="29" t="n">
        <v>7</v>
      </c>
      <c r="G34" s="29" t="n">
        <f aca="false">COUNTIF(A타입_제작표!$G$2:$G$799,B34)</f>
        <v>3</v>
      </c>
      <c r="H34" s="29" t="n">
        <f aca="false">SUMPRODUCT((A타입_제작표!$G$2:$G$799=B34)/COUNTIFS(A타입_제작표!$G$2:$G$799,A타입_제작표!$G$2:$G$799,A타입_제작표!$D$2:$D$799,A타입_제작표!$D$2:$D$799))</f>
        <v>1</v>
      </c>
      <c r="I34" s="29" t="n">
        <f aca="false">ROUND(G34*안내!$C$6/60,1)</f>
        <v>3</v>
      </c>
      <c r="J34" s="29" t="n">
        <f aca="false">_xlfn.MINIFS(A타입_제작표!$A$2:$A$799,A타입_제작표!$G$2:$G$799,B34)</f>
        <v>504</v>
      </c>
      <c r="K34" s="29" t="n">
        <f aca="false">_xlfn.MAXIFS(A타입_제작표!$A$2:$A$799,A타입_제작표!$G$2:$G$799,B34)</f>
        <v>506</v>
      </c>
      <c r="L34" s="24" t="s">
        <v>7897</v>
      </c>
    </row>
    <row r="35" customFormat="false" ht="15" hidden="false" customHeight="false" outlineLevel="0" collapsed="false">
      <c r="A35" s="29" t="n">
        <v>34</v>
      </c>
      <c r="B35" s="24" t="s">
        <v>4807</v>
      </c>
      <c r="C35" s="23" t="s">
        <v>7935</v>
      </c>
      <c r="D35" s="23" t="s">
        <v>88</v>
      </c>
      <c r="E35" s="23" t="s">
        <v>7924</v>
      </c>
      <c r="F35" s="29" t="n">
        <v>3</v>
      </c>
      <c r="G35" s="29" t="n">
        <f aca="false">COUNTIF(A타입_제작표!$G$2:$G$799,B35)</f>
        <v>1</v>
      </c>
      <c r="H35" s="29" t="n">
        <f aca="false">SUMPRODUCT((A타입_제작표!$G$2:$G$799=B35)/COUNTIFS(A타입_제작표!$G$2:$G$799,A타입_제작표!$G$2:$G$799,A타입_제작표!$D$2:$D$799,A타입_제작표!$D$2:$D$799))</f>
        <v>1</v>
      </c>
      <c r="I35" s="29" t="n">
        <f aca="false">ROUND(G35*안내!$C$6/60,1)</f>
        <v>1</v>
      </c>
      <c r="J35" s="29" t="n">
        <f aca="false">_xlfn.MINIFS(A타입_제작표!$A$2:$A$799,A타입_제작표!$G$2:$G$799,B35)</f>
        <v>507</v>
      </c>
      <c r="K35" s="29" t="n">
        <f aca="false">_xlfn.MAXIFS(A타입_제작표!$A$2:$A$799,A타입_제작표!$G$2:$G$799,B35)</f>
        <v>507</v>
      </c>
      <c r="L35" s="24" t="s">
        <v>7897</v>
      </c>
    </row>
    <row r="36" customFormat="false" ht="15" hidden="false" customHeight="false" outlineLevel="0" collapsed="false">
      <c r="A36" s="29" t="n">
        <v>35</v>
      </c>
      <c r="B36" s="24" t="s">
        <v>4819</v>
      </c>
      <c r="C36" s="23" t="s">
        <v>7936</v>
      </c>
      <c r="D36" s="23" t="s">
        <v>88</v>
      </c>
      <c r="E36" s="23" t="s">
        <v>7924</v>
      </c>
      <c r="F36" s="29" t="n">
        <v>3</v>
      </c>
      <c r="G36" s="29" t="n">
        <f aca="false">COUNTIF(A타입_제작표!$G$2:$G$799,B36)</f>
        <v>3</v>
      </c>
      <c r="H36" s="29" t="n">
        <f aca="false">SUMPRODUCT((A타입_제작표!$G$2:$G$799=B36)/COUNTIFS(A타입_제작표!$G$2:$G$799,A타입_제작표!$G$2:$G$799,A타입_제작표!$D$2:$D$799,A타입_제작표!$D$2:$D$799))</f>
        <v>1</v>
      </c>
      <c r="I36" s="29" t="n">
        <f aca="false">ROUND(G36*안내!$C$6/60,1)</f>
        <v>3</v>
      </c>
      <c r="J36" s="29" t="n">
        <f aca="false">_xlfn.MINIFS(A타입_제작표!$A$2:$A$799,A타입_제작표!$G$2:$G$799,B36)</f>
        <v>508</v>
      </c>
      <c r="K36" s="29" t="n">
        <f aca="false">_xlfn.MAXIFS(A타입_제작표!$A$2:$A$799,A타입_제작표!$G$2:$G$799,B36)</f>
        <v>510</v>
      </c>
      <c r="L36" s="24" t="s">
        <v>7897</v>
      </c>
    </row>
    <row r="37" customFormat="false" ht="15" hidden="false" customHeight="false" outlineLevel="0" collapsed="false">
      <c r="A37" s="29" t="n">
        <v>36</v>
      </c>
      <c r="B37" s="24" t="s">
        <v>4845</v>
      </c>
      <c r="C37" s="23" t="s">
        <v>7937</v>
      </c>
      <c r="D37" s="23" t="s">
        <v>88</v>
      </c>
      <c r="E37" s="23" t="s">
        <v>7924</v>
      </c>
      <c r="F37" s="29" t="n">
        <v>3</v>
      </c>
      <c r="G37" s="29" t="n">
        <f aca="false">COUNTIF(A타입_제작표!$G$2:$G$799,B37)</f>
        <v>2</v>
      </c>
      <c r="H37" s="29" t="n">
        <f aca="false">SUMPRODUCT((A타입_제작표!$G$2:$G$799=B37)/COUNTIFS(A타입_제작표!$G$2:$G$799,A타입_제작표!$G$2:$G$799,A타입_제작표!$D$2:$D$799,A타입_제작표!$D$2:$D$799))</f>
        <v>1</v>
      </c>
      <c r="I37" s="29" t="n">
        <f aca="false">ROUND(G37*안내!$C$6/60,1)</f>
        <v>2</v>
      </c>
      <c r="J37" s="29" t="n">
        <f aca="false">_xlfn.MINIFS(A타입_제작표!$A$2:$A$799,A타입_제작표!$G$2:$G$799,B37)</f>
        <v>511</v>
      </c>
      <c r="K37" s="29" t="n">
        <f aca="false">_xlfn.MAXIFS(A타입_제작표!$A$2:$A$799,A타입_제작표!$G$2:$G$799,B37)</f>
        <v>512</v>
      </c>
      <c r="L37" s="24" t="s">
        <v>7897</v>
      </c>
    </row>
    <row r="38" customFormat="false" ht="15" hidden="false" customHeight="false" outlineLevel="0" collapsed="false">
      <c r="A38" s="29" t="n">
        <v>37</v>
      </c>
      <c r="B38" s="24" t="s">
        <v>4862</v>
      </c>
      <c r="C38" s="23" t="s">
        <v>7938</v>
      </c>
      <c r="D38" s="23" t="s">
        <v>88</v>
      </c>
      <c r="E38" s="23" t="s">
        <v>7924</v>
      </c>
      <c r="F38" s="29" t="n">
        <v>2</v>
      </c>
      <c r="G38" s="29" t="n">
        <f aca="false">COUNTIF(A타입_제작표!$G$2:$G$799,B38)</f>
        <v>2</v>
      </c>
      <c r="H38" s="29" t="n">
        <f aca="false">SUMPRODUCT((A타입_제작표!$G$2:$G$799=B38)/COUNTIFS(A타입_제작표!$G$2:$G$799,A타입_제작표!$G$2:$G$799,A타입_제작표!$D$2:$D$799,A타입_제작표!$D$2:$D$799))</f>
        <v>1</v>
      </c>
      <c r="I38" s="29" t="n">
        <f aca="false">ROUND(G38*안내!$C$6/60,1)</f>
        <v>2</v>
      </c>
      <c r="J38" s="29" t="n">
        <f aca="false">_xlfn.MINIFS(A타입_제작표!$A$2:$A$799,A타입_제작표!$G$2:$G$799,B38)</f>
        <v>513</v>
      </c>
      <c r="K38" s="29" t="n">
        <f aca="false">_xlfn.MAXIFS(A타입_제작표!$A$2:$A$799,A타입_제작표!$G$2:$G$799,B38)</f>
        <v>514</v>
      </c>
      <c r="L38" s="24" t="s">
        <v>7897</v>
      </c>
    </row>
    <row r="39" customFormat="false" ht="15" hidden="false" customHeight="false" outlineLevel="0" collapsed="false">
      <c r="A39" s="29" t="n">
        <v>38</v>
      </c>
      <c r="B39" s="24" t="s">
        <v>4881</v>
      </c>
      <c r="C39" s="23" t="s">
        <v>7939</v>
      </c>
      <c r="D39" s="23" t="s">
        <v>88</v>
      </c>
      <c r="E39" s="23" t="s">
        <v>7924</v>
      </c>
      <c r="F39" s="29" t="n">
        <v>14</v>
      </c>
      <c r="G39" s="29" t="n">
        <f aca="false">COUNTIF(A타입_제작표!$G$2:$G$799,B39)</f>
        <v>4</v>
      </c>
      <c r="H39" s="29" t="n">
        <f aca="false">SUMPRODUCT((A타입_제작표!$G$2:$G$799=B39)/COUNTIFS(A타입_제작표!$G$2:$G$799,A타입_제작표!$G$2:$G$799,A타입_제작표!$D$2:$D$799,A타입_제작표!$D$2:$D$799))</f>
        <v>1</v>
      </c>
      <c r="I39" s="29" t="n">
        <f aca="false">ROUND(G39*안내!$C$6/60,1)</f>
        <v>4</v>
      </c>
      <c r="J39" s="29" t="n">
        <f aca="false">_xlfn.MINIFS(A타입_제작표!$A$2:$A$799,A타입_제작표!$G$2:$G$799,B39)</f>
        <v>515</v>
      </c>
      <c r="K39" s="29" t="n">
        <f aca="false">_xlfn.MAXIFS(A타입_제작표!$A$2:$A$799,A타입_제작표!$G$2:$G$799,B39)</f>
        <v>518</v>
      </c>
      <c r="L39" s="24" t="s">
        <v>7897</v>
      </c>
    </row>
    <row r="40" customFormat="false" ht="15" hidden="false" customHeight="false" outlineLevel="0" collapsed="false">
      <c r="A40" s="29" t="n">
        <v>39</v>
      </c>
      <c r="B40" s="24" t="s">
        <v>4919</v>
      </c>
      <c r="C40" s="23" t="s">
        <v>7940</v>
      </c>
      <c r="D40" s="23" t="s">
        <v>88</v>
      </c>
      <c r="E40" s="23" t="s">
        <v>7924</v>
      </c>
      <c r="F40" s="29" t="n">
        <v>4</v>
      </c>
      <c r="G40" s="29" t="n">
        <f aca="false">COUNTIF(A타입_제작표!$G$2:$G$799,B40)</f>
        <v>3</v>
      </c>
      <c r="H40" s="29" t="n">
        <f aca="false">SUMPRODUCT((A타입_제작표!$G$2:$G$799=B40)/COUNTIFS(A타입_제작표!$G$2:$G$799,A타입_제작표!$G$2:$G$799,A타입_제작표!$D$2:$D$799,A타입_제작표!$D$2:$D$799))</f>
        <v>1</v>
      </c>
      <c r="I40" s="29" t="n">
        <f aca="false">ROUND(G40*안내!$C$6/60,1)</f>
        <v>3</v>
      </c>
      <c r="J40" s="29" t="n">
        <f aca="false">_xlfn.MINIFS(A타입_제작표!$A$2:$A$799,A타입_제작표!$G$2:$G$799,B40)</f>
        <v>519</v>
      </c>
      <c r="K40" s="29" t="n">
        <f aca="false">_xlfn.MAXIFS(A타입_제작표!$A$2:$A$799,A타입_제작표!$G$2:$G$799,B40)</f>
        <v>521</v>
      </c>
      <c r="L40" s="24" t="s">
        <v>7897</v>
      </c>
    </row>
    <row r="41" customFormat="false" ht="15" hidden="false" customHeight="false" outlineLevel="0" collapsed="false">
      <c r="A41" s="29" t="n">
        <v>40</v>
      </c>
      <c r="B41" s="24" t="s">
        <v>4951</v>
      </c>
      <c r="C41" s="23" t="s">
        <v>7941</v>
      </c>
      <c r="D41" s="23" t="s">
        <v>4950</v>
      </c>
      <c r="E41" s="23" t="s">
        <v>7942</v>
      </c>
      <c r="F41" s="29" t="n">
        <v>28</v>
      </c>
      <c r="G41" s="29" t="n">
        <f aca="false">COUNTIF(A타입_제작표!$G$2:$G$799,B41)</f>
        <v>55</v>
      </c>
      <c r="H41" s="29" t="n">
        <f aca="false">SUMPRODUCT((A타입_제작표!$G$2:$G$799=B41)/COUNTIFS(A타입_제작표!$G$2:$G$799,A타입_제작표!$G$2:$G$799,A타입_제작표!$D$2:$D$799,A타입_제작표!$D$2:$D$799))</f>
        <v>6</v>
      </c>
      <c r="I41" s="29" t="n">
        <f aca="false">ROUND(G41*안내!$C$6/60,1)</f>
        <v>55</v>
      </c>
      <c r="J41" s="29" t="n">
        <f aca="false">_xlfn.MINIFS(A타입_제작표!$A$2:$A$799,A타입_제작표!$G$2:$G$799,B41)</f>
        <v>522</v>
      </c>
      <c r="K41" s="29" t="n">
        <f aca="false">_xlfn.MAXIFS(A타입_제작표!$A$2:$A$799,A타입_제작표!$G$2:$G$799,B41)</f>
        <v>576</v>
      </c>
      <c r="L41" s="24" t="s">
        <v>7897</v>
      </c>
    </row>
    <row r="42" customFormat="false" ht="15" hidden="false" customHeight="false" outlineLevel="0" collapsed="false">
      <c r="A42" s="29" t="n">
        <v>41</v>
      </c>
      <c r="B42" s="24" t="s">
        <v>5458</v>
      </c>
      <c r="C42" s="23" t="s">
        <v>7943</v>
      </c>
      <c r="D42" s="23" t="s">
        <v>4950</v>
      </c>
      <c r="E42" s="23" t="s">
        <v>7942</v>
      </c>
      <c r="F42" s="29" t="n">
        <v>16</v>
      </c>
      <c r="G42" s="29" t="n">
        <f aca="false">COUNTIF(A타입_제작표!$G$2:$G$799,B42)</f>
        <v>12</v>
      </c>
      <c r="H42" s="29" t="n">
        <f aca="false">SUMPRODUCT((A타입_제작표!$G$2:$G$799=B42)/COUNTIFS(A타입_제작표!$G$2:$G$799,A타입_제작표!$G$2:$G$799,A타입_제작표!$D$2:$D$799,A타입_제작표!$D$2:$D$799))</f>
        <v>1</v>
      </c>
      <c r="I42" s="29" t="n">
        <f aca="false">ROUND(G42*안내!$C$6/60,1)</f>
        <v>12</v>
      </c>
      <c r="J42" s="29" t="n">
        <f aca="false">_xlfn.MINIFS(A타입_제작표!$A$2:$A$799,A타입_제작표!$G$2:$G$799,B42)</f>
        <v>577</v>
      </c>
      <c r="K42" s="29" t="n">
        <f aca="false">_xlfn.MAXIFS(A타입_제작표!$A$2:$A$799,A타입_제작표!$G$2:$G$799,B42)</f>
        <v>588</v>
      </c>
      <c r="L42" s="24" t="s">
        <v>7944</v>
      </c>
    </row>
    <row r="43" customFormat="false" ht="15" hidden="false" customHeight="false" outlineLevel="0" collapsed="false">
      <c r="A43" s="29" t="n">
        <v>42</v>
      </c>
      <c r="B43" s="24" t="s">
        <v>5571</v>
      </c>
      <c r="C43" s="23" t="s">
        <v>7945</v>
      </c>
      <c r="D43" s="23" t="s">
        <v>4950</v>
      </c>
      <c r="E43" s="23" t="s">
        <v>7942</v>
      </c>
      <c r="F43" s="29" t="n">
        <v>24</v>
      </c>
      <c r="G43" s="29" t="n">
        <f aca="false">COUNTIF(A타입_제작표!$G$2:$G$799,B43)</f>
        <v>28</v>
      </c>
      <c r="H43" s="29" t="n">
        <f aca="false">SUMPRODUCT((A타입_제작표!$G$2:$G$799=B43)/COUNTIFS(A타입_제작표!$G$2:$G$799,A타입_제작표!$G$2:$G$799,A타입_제작표!$D$2:$D$799,A타입_제작표!$D$2:$D$799))</f>
        <v>3</v>
      </c>
      <c r="I43" s="29" t="n">
        <f aca="false">ROUND(G43*안내!$C$6/60,1)</f>
        <v>28</v>
      </c>
      <c r="J43" s="29" t="n">
        <f aca="false">_xlfn.MINIFS(A타입_제작표!$A$2:$A$799,A타입_제작표!$G$2:$G$799,B43)</f>
        <v>589</v>
      </c>
      <c r="K43" s="29" t="n">
        <f aca="false">_xlfn.MAXIFS(A타입_제작표!$A$2:$A$799,A타입_제작표!$G$2:$G$799,B43)</f>
        <v>616</v>
      </c>
      <c r="L43" s="24" t="s">
        <v>7946</v>
      </c>
    </row>
    <row r="44" customFormat="false" ht="15" hidden="false" customHeight="false" outlineLevel="0" collapsed="false">
      <c r="A44" s="29" t="n">
        <v>43</v>
      </c>
      <c r="B44" s="24" t="s">
        <v>5829</v>
      </c>
      <c r="C44" s="23" t="s">
        <v>7947</v>
      </c>
      <c r="D44" s="23" t="s">
        <v>4950</v>
      </c>
      <c r="E44" s="23" t="s">
        <v>7942</v>
      </c>
      <c r="F44" s="29" t="n">
        <v>21</v>
      </c>
      <c r="G44" s="29" t="n">
        <f aca="false">COUNTIF(A타입_제작표!$G$2:$G$799,B44)</f>
        <v>30</v>
      </c>
      <c r="H44" s="29" t="n">
        <f aca="false">SUMPRODUCT((A타입_제작표!$G$2:$G$799=B44)/COUNTIFS(A타입_제작표!$G$2:$G$799,A타입_제작표!$G$2:$G$799,A타입_제작표!$D$2:$D$799,A타입_제작표!$D$2:$D$799))</f>
        <v>3</v>
      </c>
      <c r="I44" s="29" t="n">
        <f aca="false">ROUND(G44*안내!$C$6/60,1)</f>
        <v>30</v>
      </c>
      <c r="J44" s="29" t="n">
        <f aca="false">_xlfn.MINIFS(A타입_제작표!$A$2:$A$799,A타입_제작표!$G$2:$G$799,B44)</f>
        <v>617</v>
      </c>
      <c r="K44" s="29" t="n">
        <f aca="false">_xlfn.MAXIFS(A타입_제작표!$A$2:$A$799,A타입_제작표!$G$2:$G$799,B44)</f>
        <v>646</v>
      </c>
      <c r="L44" s="28" t="s">
        <v>7948</v>
      </c>
    </row>
    <row r="45" customFormat="false" ht="15" hidden="false" customHeight="false" outlineLevel="0" collapsed="false">
      <c r="A45" s="29" t="n">
        <v>44</v>
      </c>
      <c r="B45" s="24" t="s">
        <v>6103</v>
      </c>
      <c r="C45" s="23" t="s">
        <v>7949</v>
      </c>
      <c r="D45" s="23" t="s">
        <v>4950</v>
      </c>
      <c r="E45" s="23" t="s">
        <v>7903</v>
      </c>
      <c r="F45" s="29" t="n">
        <v>28</v>
      </c>
      <c r="G45" s="29" t="n">
        <f aca="false">COUNTIF(A타입_제작표!$G$2:$G$799,B45)</f>
        <v>38</v>
      </c>
      <c r="H45" s="29" t="n">
        <f aca="false">SUMPRODUCT((A타입_제작표!$G$2:$G$799=B45)/COUNTIFS(A타입_제작표!$G$2:$G$799,A타입_제작표!$G$2:$G$799,A타입_제작표!$D$2:$D$799,A타입_제작표!$D$2:$D$799))</f>
        <v>4</v>
      </c>
      <c r="I45" s="29" t="n">
        <f aca="false">ROUND(G45*안내!$C$6/60,1)</f>
        <v>38</v>
      </c>
      <c r="J45" s="29" t="n">
        <f aca="false">_xlfn.MINIFS(A타입_제작표!$A$2:$A$799,A타입_제작표!$G$2:$G$799,B45)</f>
        <v>647</v>
      </c>
      <c r="K45" s="29" t="n">
        <f aca="false">_xlfn.MAXIFS(A타입_제작표!$A$2:$A$799,A타입_제작표!$G$2:$G$799,B45)</f>
        <v>684</v>
      </c>
      <c r="L45" s="24" t="s">
        <v>7897</v>
      </c>
    </row>
    <row r="46" customFormat="false" ht="15" hidden="false" customHeight="false" outlineLevel="0" collapsed="false">
      <c r="A46" s="29" t="n">
        <v>45</v>
      </c>
      <c r="B46" s="24" t="s">
        <v>6460</v>
      </c>
      <c r="C46" s="23" t="s">
        <v>7950</v>
      </c>
      <c r="D46" s="23" t="s">
        <v>4950</v>
      </c>
      <c r="E46" s="23" t="s">
        <v>7951</v>
      </c>
      <c r="F46" s="29" t="n">
        <v>16</v>
      </c>
      <c r="G46" s="29" t="n">
        <f aca="false">COUNTIF(A타입_제작표!$G$2:$G$799,B46)</f>
        <v>13</v>
      </c>
      <c r="H46" s="29" t="n">
        <f aca="false">SUMPRODUCT((A타입_제작표!$G$2:$G$799=B46)/COUNTIFS(A타입_제작표!$G$2:$G$799,A타입_제작표!$G$2:$G$799,A타입_제작표!$D$2:$D$799,A타입_제작표!$D$2:$D$799))</f>
        <v>1</v>
      </c>
      <c r="I46" s="29" t="n">
        <f aca="false">ROUND(G46*안내!$C$6/60,1)</f>
        <v>13</v>
      </c>
      <c r="J46" s="29" t="n">
        <f aca="false">_xlfn.MINIFS(A타입_제작표!$A$2:$A$799,A타입_제작표!$G$2:$G$799,B46)</f>
        <v>685</v>
      </c>
      <c r="K46" s="29" t="n">
        <f aca="false">_xlfn.MAXIFS(A타입_제작표!$A$2:$A$799,A타입_제작표!$G$2:$G$799,B46)</f>
        <v>697</v>
      </c>
      <c r="L46" s="24" t="s">
        <v>7897</v>
      </c>
    </row>
    <row r="47" customFormat="false" ht="15" hidden="false" customHeight="false" outlineLevel="0" collapsed="false">
      <c r="A47" s="29" t="n">
        <v>46</v>
      </c>
      <c r="B47" s="24" t="s">
        <v>6575</v>
      </c>
      <c r="C47" s="23" t="s">
        <v>7952</v>
      </c>
      <c r="D47" s="23" t="s">
        <v>4950</v>
      </c>
      <c r="E47" s="23" t="s">
        <v>7951</v>
      </c>
      <c r="F47" s="29" t="n">
        <v>16</v>
      </c>
      <c r="G47" s="29" t="n">
        <f aca="false">COUNTIF(A타입_제작표!$G$2:$G$799,B47)</f>
        <v>10</v>
      </c>
      <c r="H47" s="29" t="n">
        <f aca="false">SUMPRODUCT((A타입_제작표!$G$2:$G$799=B47)/COUNTIFS(A타입_제작표!$G$2:$G$799,A타입_제작표!$G$2:$G$799,A타입_제작표!$D$2:$D$799,A타입_제작표!$D$2:$D$799))</f>
        <v>1</v>
      </c>
      <c r="I47" s="29" t="n">
        <f aca="false">ROUND(G47*안내!$C$6/60,1)</f>
        <v>10</v>
      </c>
      <c r="J47" s="29" t="n">
        <f aca="false">_xlfn.MINIFS(A타입_제작표!$A$2:$A$799,A타입_제작표!$G$2:$G$799,B47)</f>
        <v>698</v>
      </c>
      <c r="K47" s="29" t="n">
        <f aca="false">_xlfn.MAXIFS(A타입_제작표!$A$2:$A$799,A타입_제작표!$G$2:$G$799,B47)</f>
        <v>707</v>
      </c>
      <c r="L47" s="24" t="s">
        <v>7897</v>
      </c>
    </row>
    <row r="48" customFormat="false" ht="15" hidden="false" customHeight="false" outlineLevel="0" collapsed="false">
      <c r="A48" s="29" t="n">
        <v>47</v>
      </c>
      <c r="B48" s="24" t="s">
        <v>6668</v>
      </c>
      <c r="C48" s="23" t="s">
        <v>7953</v>
      </c>
      <c r="D48" s="23" t="s">
        <v>4950</v>
      </c>
      <c r="E48" s="23" t="s">
        <v>7951</v>
      </c>
      <c r="F48" s="29" t="n">
        <v>13</v>
      </c>
      <c r="G48" s="29" t="n">
        <f aca="false">COUNTIF(A타입_제작표!$G$2:$G$799,B48)</f>
        <v>6</v>
      </c>
      <c r="H48" s="29" t="n">
        <f aca="false">SUMPRODUCT((A타입_제작표!$G$2:$G$799=B48)/COUNTIFS(A타입_제작표!$G$2:$G$799,A타입_제작표!$G$2:$G$799,A타입_제작표!$D$2:$D$799,A타입_제작표!$D$2:$D$799))</f>
        <v>1</v>
      </c>
      <c r="I48" s="29" t="n">
        <f aca="false">ROUND(G48*안내!$C$6/60,1)</f>
        <v>6</v>
      </c>
      <c r="J48" s="29" t="n">
        <f aca="false">_xlfn.MINIFS(A타입_제작표!$A$2:$A$799,A타입_제작표!$G$2:$G$799,B48)</f>
        <v>708</v>
      </c>
      <c r="K48" s="29" t="n">
        <f aca="false">_xlfn.MAXIFS(A타입_제작표!$A$2:$A$799,A타입_제작표!$G$2:$G$799,B48)</f>
        <v>713</v>
      </c>
      <c r="L48" s="24" t="s">
        <v>7897</v>
      </c>
    </row>
    <row r="49" customFormat="false" ht="15" hidden="false" customHeight="false" outlineLevel="0" collapsed="false">
      <c r="A49" s="29" t="n">
        <v>48</v>
      </c>
      <c r="B49" s="24" t="s">
        <v>6719</v>
      </c>
      <c r="C49" s="23" t="s">
        <v>7954</v>
      </c>
      <c r="D49" s="23" t="s">
        <v>4950</v>
      </c>
      <c r="E49" s="23" t="s">
        <v>7951</v>
      </c>
      <c r="F49" s="29" t="n">
        <v>6</v>
      </c>
      <c r="G49" s="29" t="n">
        <f aca="false">COUNTIF(A타입_제작표!$G$2:$G$799,B49)</f>
        <v>5</v>
      </c>
      <c r="H49" s="29" t="n">
        <f aca="false">SUMPRODUCT((A타입_제작표!$G$2:$G$799=B49)/COUNTIFS(A타입_제작표!$G$2:$G$799,A타입_제작표!$G$2:$G$799,A타입_제작표!$D$2:$D$799,A타입_제작표!$D$2:$D$799))</f>
        <v>1</v>
      </c>
      <c r="I49" s="29" t="n">
        <f aca="false">ROUND(G49*안내!$C$6/60,1)</f>
        <v>5</v>
      </c>
      <c r="J49" s="29" t="n">
        <f aca="false">_xlfn.MINIFS(A타입_제작표!$A$2:$A$799,A타입_제작표!$G$2:$G$799,B49)</f>
        <v>714</v>
      </c>
      <c r="K49" s="29" t="n">
        <f aca="false">_xlfn.MAXIFS(A타입_제작표!$A$2:$A$799,A타입_제작표!$G$2:$G$799,B49)</f>
        <v>718</v>
      </c>
      <c r="L49" s="24" t="s">
        <v>7897</v>
      </c>
    </row>
    <row r="50" customFormat="false" ht="15" hidden="false" customHeight="false" outlineLevel="0" collapsed="false">
      <c r="A50" s="29" t="n">
        <v>49</v>
      </c>
      <c r="B50" s="24" t="s">
        <v>6765</v>
      </c>
      <c r="C50" s="23" t="s">
        <v>7955</v>
      </c>
      <c r="D50" s="23" t="s">
        <v>4950</v>
      </c>
      <c r="E50" s="23" t="s">
        <v>7951</v>
      </c>
      <c r="F50" s="29" t="n">
        <v>6</v>
      </c>
      <c r="G50" s="29" t="n">
        <f aca="false">COUNTIF(A타입_제작표!$G$2:$G$799,B50)</f>
        <v>6</v>
      </c>
      <c r="H50" s="29" t="n">
        <f aca="false">SUMPRODUCT((A타입_제작표!$G$2:$G$799=B50)/COUNTIFS(A타입_제작표!$G$2:$G$799,A타입_제작표!$G$2:$G$799,A타입_제작표!$D$2:$D$799,A타입_제작표!$D$2:$D$799))</f>
        <v>1</v>
      </c>
      <c r="I50" s="29" t="n">
        <f aca="false">ROUND(G50*안내!$C$6/60,1)</f>
        <v>6</v>
      </c>
      <c r="J50" s="29" t="n">
        <f aca="false">_xlfn.MINIFS(A타입_제작표!$A$2:$A$799,A타입_제작표!$G$2:$G$799,B50)</f>
        <v>719</v>
      </c>
      <c r="K50" s="29" t="n">
        <f aca="false">_xlfn.MAXIFS(A타입_제작표!$A$2:$A$799,A타입_제작표!$G$2:$G$799,B50)</f>
        <v>724</v>
      </c>
      <c r="L50" s="24" t="s">
        <v>7897</v>
      </c>
    </row>
    <row r="51" customFormat="false" ht="15" hidden="false" customHeight="false" outlineLevel="0" collapsed="false">
      <c r="A51" s="29" t="n">
        <v>50</v>
      </c>
      <c r="B51" s="24" t="s">
        <v>6819</v>
      </c>
      <c r="C51" s="23" t="s">
        <v>7956</v>
      </c>
      <c r="D51" s="23" t="s">
        <v>4950</v>
      </c>
      <c r="E51" s="23" t="s">
        <v>7951</v>
      </c>
      <c r="F51" s="29" t="n">
        <v>4</v>
      </c>
      <c r="G51" s="29" t="n">
        <f aca="false">COUNTIF(A타입_제작표!$G$2:$G$799,B51)</f>
        <v>4</v>
      </c>
      <c r="H51" s="29" t="n">
        <f aca="false">SUMPRODUCT((A타입_제작표!$G$2:$G$799=B51)/COUNTIFS(A타입_제작표!$G$2:$G$799,A타입_제작표!$G$2:$G$799,A타입_제작표!$D$2:$D$799,A타입_제작표!$D$2:$D$799))</f>
        <v>1</v>
      </c>
      <c r="I51" s="29" t="n">
        <f aca="false">ROUND(G51*안내!$C$6/60,1)</f>
        <v>4</v>
      </c>
      <c r="J51" s="29" t="n">
        <f aca="false">_xlfn.MINIFS(A타입_제작표!$A$2:$A$799,A타입_제작표!$G$2:$G$799,B51)</f>
        <v>725</v>
      </c>
      <c r="K51" s="29" t="n">
        <f aca="false">_xlfn.MAXIFS(A타입_제작표!$A$2:$A$799,A타입_제작표!$G$2:$G$799,B51)</f>
        <v>728</v>
      </c>
      <c r="L51" s="24" t="s">
        <v>7897</v>
      </c>
    </row>
    <row r="52" customFormat="false" ht="15" hidden="false" customHeight="false" outlineLevel="0" collapsed="false">
      <c r="A52" s="29" t="n">
        <v>51</v>
      </c>
      <c r="B52" s="24" t="s">
        <v>6857</v>
      </c>
      <c r="C52" s="23" t="s">
        <v>7957</v>
      </c>
      <c r="D52" s="23" t="s">
        <v>4950</v>
      </c>
      <c r="E52" s="23" t="s">
        <v>7951</v>
      </c>
      <c r="F52" s="29" t="n">
        <v>4</v>
      </c>
      <c r="G52" s="29" t="n">
        <f aca="false">COUNTIF(A타입_제작표!$G$2:$G$799,B52)</f>
        <v>4</v>
      </c>
      <c r="H52" s="29" t="n">
        <f aca="false">SUMPRODUCT((A타입_제작표!$G$2:$G$799=B52)/COUNTIFS(A타입_제작표!$G$2:$G$799,A타입_제작표!$G$2:$G$799,A타입_제작표!$D$2:$D$799,A타입_제작표!$D$2:$D$799))</f>
        <v>1</v>
      </c>
      <c r="I52" s="29" t="n">
        <f aca="false">ROUND(G52*안내!$C$6/60,1)</f>
        <v>4</v>
      </c>
      <c r="J52" s="29" t="n">
        <f aca="false">_xlfn.MINIFS(A타입_제작표!$A$2:$A$799,A타입_제작표!$G$2:$G$799,B52)</f>
        <v>729</v>
      </c>
      <c r="K52" s="29" t="n">
        <f aca="false">_xlfn.MAXIFS(A타입_제작표!$A$2:$A$799,A타입_제작표!$G$2:$G$799,B52)</f>
        <v>732</v>
      </c>
      <c r="L52" s="24" t="s">
        <v>7897</v>
      </c>
    </row>
    <row r="53" customFormat="false" ht="15" hidden="false" customHeight="false" outlineLevel="0" collapsed="false">
      <c r="A53" s="29" t="n">
        <v>52</v>
      </c>
      <c r="B53" s="24" t="s">
        <v>6891</v>
      </c>
      <c r="C53" s="23" t="s">
        <v>7958</v>
      </c>
      <c r="D53" s="23" t="s">
        <v>4950</v>
      </c>
      <c r="E53" s="23" t="s">
        <v>7951</v>
      </c>
      <c r="F53" s="29" t="n">
        <v>5</v>
      </c>
      <c r="G53" s="29" t="n">
        <f aca="false">COUNTIF(A타입_제작표!$G$2:$G$799,B53)</f>
        <v>3</v>
      </c>
      <c r="H53" s="29" t="n">
        <f aca="false">SUMPRODUCT((A타입_제작표!$G$2:$G$799=B53)/COUNTIFS(A타입_제작표!$G$2:$G$799,A타입_제작표!$G$2:$G$799,A타입_제작표!$D$2:$D$799,A타입_제작표!$D$2:$D$799))</f>
        <v>1</v>
      </c>
      <c r="I53" s="29" t="n">
        <f aca="false">ROUND(G53*안내!$C$6/60,1)</f>
        <v>3</v>
      </c>
      <c r="J53" s="29" t="n">
        <f aca="false">_xlfn.MINIFS(A타입_제작표!$A$2:$A$799,A타입_제작표!$G$2:$G$799,B53)</f>
        <v>733</v>
      </c>
      <c r="K53" s="29" t="n">
        <f aca="false">_xlfn.MAXIFS(A타입_제작표!$A$2:$A$799,A타입_제작표!$G$2:$G$799,B53)</f>
        <v>735</v>
      </c>
      <c r="L53" s="24" t="s">
        <v>7897</v>
      </c>
    </row>
    <row r="54" customFormat="false" ht="15" hidden="false" customHeight="false" outlineLevel="0" collapsed="false">
      <c r="A54" s="29" t="n">
        <v>53</v>
      </c>
      <c r="B54" s="24" t="s">
        <v>6918</v>
      </c>
      <c r="C54" s="23" t="s">
        <v>7959</v>
      </c>
      <c r="D54" s="23" t="s">
        <v>4950</v>
      </c>
      <c r="E54" s="23" t="s">
        <v>7951</v>
      </c>
      <c r="F54" s="29" t="n">
        <v>3</v>
      </c>
      <c r="G54" s="29" t="n">
        <f aca="false">COUNTIF(A타입_제작표!$G$2:$G$799,B54)</f>
        <v>2</v>
      </c>
      <c r="H54" s="29" t="n">
        <f aca="false">SUMPRODUCT((A타입_제작표!$G$2:$G$799=B54)/COUNTIFS(A타입_제작표!$G$2:$G$799,A타입_제작표!$G$2:$G$799,A타입_제작표!$D$2:$D$799,A타입_제작표!$D$2:$D$799))</f>
        <v>1</v>
      </c>
      <c r="I54" s="29" t="n">
        <f aca="false">ROUND(G54*안내!$C$6/60,1)</f>
        <v>2</v>
      </c>
      <c r="J54" s="29" t="n">
        <f aca="false">_xlfn.MINIFS(A타입_제작표!$A$2:$A$799,A타입_제작표!$G$2:$G$799,B54)</f>
        <v>736</v>
      </c>
      <c r="K54" s="29" t="n">
        <f aca="false">_xlfn.MAXIFS(A타입_제작표!$A$2:$A$799,A타입_제작표!$G$2:$G$799,B54)</f>
        <v>737</v>
      </c>
      <c r="L54" s="24" t="s">
        <v>7897</v>
      </c>
    </row>
    <row r="55" customFormat="false" ht="15" hidden="false" customHeight="false" outlineLevel="0" collapsed="false">
      <c r="A55" s="29" t="n">
        <v>54</v>
      </c>
      <c r="B55" s="24" t="s">
        <v>6938</v>
      </c>
      <c r="C55" s="23" t="s">
        <v>7960</v>
      </c>
      <c r="D55" s="23" t="s">
        <v>4950</v>
      </c>
      <c r="E55" s="23" t="s">
        <v>7961</v>
      </c>
      <c r="F55" s="29" t="n">
        <v>6</v>
      </c>
      <c r="G55" s="29" t="n">
        <f aca="false">COUNTIF(A타입_제작표!$G$2:$G$799,B55)</f>
        <v>4</v>
      </c>
      <c r="H55" s="29" t="n">
        <f aca="false">SUMPRODUCT((A타입_제작표!$G$2:$G$799=B55)/COUNTIFS(A타입_제작표!$G$2:$G$799,A타입_제작표!$G$2:$G$799,A타입_제작표!$D$2:$D$799,A타입_제작표!$D$2:$D$799))</f>
        <v>1</v>
      </c>
      <c r="I55" s="29" t="n">
        <f aca="false">ROUND(G55*안내!$C$6/60,1)</f>
        <v>4</v>
      </c>
      <c r="J55" s="29" t="n">
        <f aca="false">_xlfn.MINIFS(A타입_제작표!$A$2:$A$799,A타입_제작표!$G$2:$G$799,B55)</f>
        <v>738</v>
      </c>
      <c r="K55" s="29" t="n">
        <f aca="false">_xlfn.MAXIFS(A타입_제작표!$A$2:$A$799,A타입_제작표!$G$2:$G$799,B55)</f>
        <v>741</v>
      </c>
      <c r="L55" s="24" t="s">
        <v>7897</v>
      </c>
    </row>
    <row r="56" customFormat="false" ht="15" hidden="false" customHeight="false" outlineLevel="0" collapsed="false">
      <c r="A56" s="29" t="n">
        <v>55</v>
      </c>
      <c r="B56" s="24" t="s">
        <v>6975</v>
      </c>
      <c r="C56" s="23" t="s">
        <v>7962</v>
      </c>
      <c r="D56" s="23" t="s">
        <v>4950</v>
      </c>
      <c r="E56" s="23" t="s">
        <v>7961</v>
      </c>
      <c r="F56" s="29" t="n">
        <v>4</v>
      </c>
      <c r="G56" s="29" t="n">
        <f aca="false">COUNTIF(A타입_제작표!$G$2:$G$799,B56)</f>
        <v>3</v>
      </c>
      <c r="H56" s="29" t="n">
        <f aca="false">SUMPRODUCT((A타입_제작표!$G$2:$G$799=B56)/COUNTIFS(A타입_제작표!$G$2:$G$799,A타입_제작표!$G$2:$G$799,A타입_제작표!$D$2:$D$799,A타입_제작표!$D$2:$D$799))</f>
        <v>1</v>
      </c>
      <c r="I56" s="29" t="n">
        <f aca="false">ROUND(G56*안내!$C$6/60,1)</f>
        <v>3</v>
      </c>
      <c r="J56" s="29" t="n">
        <f aca="false">_xlfn.MINIFS(A타입_제작표!$A$2:$A$799,A타입_제작표!$G$2:$G$799,B56)</f>
        <v>742</v>
      </c>
      <c r="K56" s="29" t="n">
        <f aca="false">_xlfn.MAXIFS(A타입_제작표!$A$2:$A$799,A타입_제작표!$G$2:$G$799,B56)</f>
        <v>744</v>
      </c>
      <c r="L56" s="24" t="s">
        <v>7897</v>
      </c>
    </row>
    <row r="57" customFormat="false" ht="15" hidden="false" customHeight="false" outlineLevel="0" collapsed="false">
      <c r="A57" s="29" t="n">
        <v>56</v>
      </c>
      <c r="B57" s="24" t="s">
        <v>7002</v>
      </c>
      <c r="C57" s="23" t="s">
        <v>7963</v>
      </c>
      <c r="D57" s="23" t="s">
        <v>4950</v>
      </c>
      <c r="E57" s="23" t="s">
        <v>7961</v>
      </c>
      <c r="F57" s="29" t="n">
        <v>3</v>
      </c>
      <c r="G57" s="29" t="n">
        <f aca="false">COUNTIF(A타입_제작표!$G$2:$G$799,B57)</f>
        <v>2</v>
      </c>
      <c r="H57" s="29" t="n">
        <f aca="false">SUMPRODUCT((A타입_제작표!$G$2:$G$799=B57)/COUNTIFS(A타입_제작표!$G$2:$G$799,A타입_제작표!$G$2:$G$799,A타입_제작표!$D$2:$D$799,A타입_제작표!$D$2:$D$799))</f>
        <v>1</v>
      </c>
      <c r="I57" s="29" t="n">
        <f aca="false">ROUND(G57*안내!$C$6/60,1)</f>
        <v>2</v>
      </c>
      <c r="J57" s="29" t="n">
        <f aca="false">_xlfn.MINIFS(A타입_제작표!$A$2:$A$799,A타입_제작표!$G$2:$G$799,B57)</f>
        <v>745</v>
      </c>
      <c r="K57" s="29" t="n">
        <f aca="false">_xlfn.MAXIFS(A타입_제작표!$A$2:$A$799,A타입_제작표!$G$2:$G$799,B57)</f>
        <v>746</v>
      </c>
      <c r="L57" s="24" t="s">
        <v>7897</v>
      </c>
    </row>
    <row r="58" customFormat="false" ht="15" hidden="false" customHeight="false" outlineLevel="0" collapsed="false">
      <c r="A58" s="29" t="n">
        <v>57</v>
      </c>
      <c r="B58" s="24" t="s">
        <v>7020</v>
      </c>
      <c r="C58" s="23" t="s">
        <v>7964</v>
      </c>
      <c r="D58" s="23" t="s">
        <v>4950</v>
      </c>
      <c r="E58" s="23" t="s">
        <v>7965</v>
      </c>
      <c r="F58" s="29" t="n">
        <v>1</v>
      </c>
      <c r="G58" s="29" t="n">
        <f aca="false">COUNTIF(A타입_제작표!$G$2:$G$799,B58)</f>
        <v>1</v>
      </c>
      <c r="H58" s="29" t="n">
        <f aca="false">SUMPRODUCT((A타입_제작표!$G$2:$G$799=B58)/COUNTIFS(A타입_제작표!$G$2:$G$799,A타입_제작표!$G$2:$G$799,A타입_제작표!$D$2:$D$799,A타입_제작표!$D$2:$D$799))</f>
        <v>1</v>
      </c>
      <c r="I58" s="29" t="n">
        <f aca="false">ROUND(G58*안내!$C$6/60,1)</f>
        <v>1</v>
      </c>
      <c r="J58" s="29" t="n">
        <f aca="false">_xlfn.MINIFS(A타입_제작표!$A$2:$A$799,A타입_제작표!$G$2:$G$799,B58)</f>
        <v>747</v>
      </c>
      <c r="K58" s="29" t="n">
        <f aca="false">_xlfn.MAXIFS(A타입_제작표!$A$2:$A$799,A타입_제작표!$G$2:$G$799,B58)</f>
        <v>747</v>
      </c>
      <c r="L58" s="24" t="s">
        <v>7897</v>
      </c>
    </row>
    <row r="59" customFormat="false" ht="15" hidden="false" customHeight="false" outlineLevel="0" collapsed="false">
      <c r="A59" s="29" t="n">
        <v>58</v>
      </c>
      <c r="B59" s="24" t="s">
        <v>7033</v>
      </c>
      <c r="C59" s="23" t="s">
        <v>7966</v>
      </c>
      <c r="D59" s="23" t="s">
        <v>4950</v>
      </c>
      <c r="E59" s="23" t="s">
        <v>7967</v>
      </c>
      <c r="F59" s="29" t="n">
        <v>13</v>
      </c>
      <c r="G59" s="29" t="n">
        <f aca="false">COUNTIF(A타입_제작표!$G$2:$G$799,B59)</f>
        <v>10</v>
      </c>
      <c r="H59" s="29" t="n">
        <f aca="false">SUMPRODUCT((A타입_제작표!$G$2:$G$799=B59)/COUNTIFS(A타입_제작표!$G$2:$G$799,A타입_제작표!$G$2:$G$799,A타입_제작표!$D$2:$D$799,A타입_제작표!$D$2:$D$799))</f>
        <v>1</v>
      </c>
      <c r="I59" s="29" t="n">
        <f aca="false">ROUND(G59*안내!$C$6/60,1)</f>
        <v>10</v>
      </c>
      <c r="J59" s="29" t="n">
        <f aca="false">_xlfn.MINIFS(A타입_제작표!$A$2:$A$799,A타입_제작표!$G$2:$G$799,B59)</f>
        <v>748</v>
      </c>
      <c r="K59" s="29" t="n">
        <f aca="false">_xlfn.MAXIFS(A타입_제작표!$A$2:$A$799,A타입_제작표!$G$2:$G$799,B59)</f>
        <v>757</v>
      </c>
      <c r="L59" s="24" t="s">
        <v>7897</v>
      </c>
    </row>
    <row r="60" customFormat="false" ht="15" hidden="false" customHeight="false" outlineLevel="0" collapsed="false">
      <c r="A60" s="29" t="n">
        <v>59</v>
      </c>
      <c r="B60" s="24" t="s">
        <v>7128</v>
      </c>
      <c r="C60" s="23" t="s">
        <v>7968</v>
      </c>
      <c r="D60" s="23" t="s">
        <v>4950</v>
      </c>
      <c r="E60" s="23" t="s">
        <v>7967</v>
      </c>
      <c r="F60" s="29" t="n">
        <v>5</v>
      </c>
      <c r="G60" s="29" t="n">
        <f aca="false">COUNTIF(A타입_제작표!$G$2:$G$799,B60)</f>
        <v>5</v>
      </c>
      <c r="H60" s="29" t="n">
        <f aca="false">SUMPRODUCT((A타입_제작표!$G$2:$G$799=B60)/COUNTIFS(A타입_제작표!$G$2:$G$799,A타입_제작표!$G$2:$G$799,A타입_제작표!$D$2:$D$799,A타입_제작표!$D$2:$D$799))</f>
        <v>1</v>
      </c>
      <c r="I60" s="29" t="n">
        <f aca="false">ROUND(G60*안내!$C$6/60,1)</f>
        <v>5</v>
      </c>
      <c r="J60" s="29" t="n">
        <f aca="false">_xlfn.MINIFS(A타입_제작표!$A$2:$A$799,A타입_제작표!$G$2:$G$799,B60)</f>
        <v>758</v>
      </c>
      <c r="K60" s="29" t="n">
        <f aca="false">_xlfn.MAXIFS(A타입_제작표!$A$2:$A$799,A타입_제작표!$G$2:$G$799,B60)</f>
        <v>762</v>
      </c>
      <c r="L60" s="24" t="s">
        <v>7897</v>
      </c>
    </row>
    <row r="61" customFormat="false" ht="15" hidden="false" customHeight="false" outlineLevel="0" collapsed="false">
      <c r="A61" s="29" t="n">
        <v>60</v>
      </c>
      <c r="B61" s="24" t="s">
        <v>7174</v>
      </c>
      <c r="C61" s="23" t="s">
        <v>7969</v>
      </c>
      <c r="D61" s="23" t="s">
        <v>4950</v>
      </c>
      <c r="E61" s="23" t="s">
        <v>7967</v>
      </c>
      <c r="F61" s="29" t="n">
        <v>5</v>
      </c>
      <c r="G61" s="29" t="n">
        <f aca="false">COUNTIF(A타입_제작표!$G$2:$G$799,B61)</f>
        <v>4</v>
      </c>
      <c r="H61" s="29" t="n">
        <f aca="false">SUMPRODUCT((A타입_제작표!$G$2:$G$799=B61)/COUNTIFS(A타입_제작표!$G$2:$G$799,A타입_제작표!$G$2:$G$799,A타입_제작표!$D$2:$D$799,A타입_제작표!$D$2:$D$799))</f>
        <v>1</v>
      </c>
      <c r="I61" s="29" t="n">
        <f aca="false">ROUND(G61*안내!$C$6/60,1)</f>
        <v>4</v>
      </c>
      <c r="J61" s="29" t="n">
        <f aca="false">_xlfn.MINIFS(A타입_제작표!$A$2:$A$799,A타입_제작표!$G$2:$G$799,B61)</f>
        <v>763</v>
      </c>
      <c r="K61" s="29" t="n">
        <f aca="false">_xlfn.MAXIFS(A타입_제작표!$A$2:$A$799,A타입_제작표!$G$2:$G$799,B61)</f>
        <v>766</v>
      </c>
      <c r="L61" s="24" t="s">
        <v>7897</v>
      </c>
    </row>
    <row r="62" customFormat="false" ht="15" hidden="false" customHeight="false" outlineLevel="0" collapsed="false">
      <c r="A62" s="29" t="n">
        <v>61</v>
      </c>
      <c r="B62" s="24" t="s">
        <v>7210</v>
      </c>
      <c r="C62" s="23" t="s">
        <v>7970</v>
      </c>
      <c r="D62" s="23" t="s">
        <v>4950</v>
      </c>
      <c r="E62" s="23" t="s">
        <v>7967</v>
      </c>
      <c r="F62" s="29" t="n">
        <v>3</v>
      </c>
      <c r="G62" s="29" t="n">
        <f aca="false">COUNTIF(A타입_제작표!$G$2:$G$799,B62)</f>
        <v>3</v>
      </c>
      <c r="H62" s="29" t="n">
        <f aca="false">SUMPRODUCT((A타입_제작표!$G$2:$G$799=B62)/COUNTIFS(A타입_제작표!$G$2:$G$799,A타입_제작표!$G$2:$G$799,A타입_제작표!$D$2:$D$799,A타입_제작표!$D$2:$D$799))</f>
        <v>1</v>
      </c>
      <c r="I62" s="29" t="n">
        <f aca="false">ROUND(G62*안내!$C$6/60,1)</f>
        <v>3</v>
      </c>
      <c r="J62" s="29" t="n">
        <f aca="false">_xlfn.MINIFS(A타입_제작표!$A$2:$A$799,A타입_제작표!$G$2:$G$799,B62)</f>
        <v>767</v>
      </c>
      <c r="K62" s="29" t="n">
        <f aca="false">_xlfn.MAXIFS(A타입_제작표!$A$2:$A$799,A타입_제작표!$G$2:$G$799,B62)</f>
        <v>769</v>
      </c>
      <c r="L62" s="24" t="s">
        <v>7897</v>
      </c>
    </row>
    <row r="63" customFormat="false" ht="15" hidden="false" customHeight="false" outlineLevel="0" collapsed="false">
      <c r="A63" s="29" t="n">
        <v>62</v>
      </c>
      <c r="B63" s="24" t="s">
        <v>7240</v>
      </c>
      <c r="C63" s="23" t="s">
        <v>7971</v>
      </c>
      <c r="D63" s="23" t="s">
        <v>4950</v>
      </c>
      <c r="E63" s="23" t="s">
        <v>7967</v>
      </c>
      <c r="F63" s="29" t="n">
        <v>5</v>
      </c>
      <c r="G63" s="29" t="n">
        <f aca="false">COUNTIF(A타입_제작표!$G$2:$G$799,B63)</f>
        <v>4</v>
      </c>
      <c r="H63" s="29" t="n">
        <f aca="false">SUMPRODUCT((A타입_제작표!$G$2:$G$799=B63)/COUNTIFS(A타입_제작표!$G$2:$G$799,A타입_제작표!$G$2:$G$799,A타입_제작표!$D$2:$D$799,A타입_제작표!$D$2:$D$799))</f>
        <v>1</v>
      </c>
      <c r="I63" s="29" t="n">
        <f aca="false">ROUND(G63*안내!$C$6/60,1)</f>
        <v>4</v>
      </c>
      <c r="J63" s="29" t="n">
        <f aca="false">_xlfn.MINIFS(A타입_제작표!$A$2:$A$799,A타입_제작표!$G$2:$G$799,B63)</f>
        <v>770</v>
      </c>
      <c r="K63" s="29" t="n">
        <f aca="false">_xlfn.MAXIFS(A타입_제작표!$A$2:$A$799,A타입_제작표!$G$2:$G$799,B63)</f>
        <v>773</v>
      </c>
      <c r="L63" s="24" t="s">
        <v>7897</v>
      </c>
    </row>
    <row r="64" customFormat="false" ht="15" hidden="false" customHeight="false" outlineLevel="0" collapsed="false">
      <c r="A64" s="29" t="n">
        <v>63</v>
      </c>
      <c r="B64" s="24" t="s">
        <v>7276</v>
      </c>
      <c r="C64" s="23" t="s">
        <v>7972</v>
      </c>
      <c r="D64" s="23" t="s">
        <v>4950</v>
      </c>
      <c r="E64" s="23" t="s">
        <v>7967</v>
      </c>
      <c r="F64" s="29" t="n">
        <v>1</v>
      </c>
      <c r="G64" s="29" t="n">
        <f aca="false">COUNTIF(A타입_제작표!$G$2:$G$799,B64)</f>
        <v>1</v>
      </c>
      <c r="H64" s="29" t="n">
        <f aca="false">SUMPRODUCT((A타입_제작표!$G$2:$G$799=B64)/COUNTIFS(A타입_제작표!$G$2:$G$799,A타입_제작표!$G$2:$G$799,A타입_제작표!$D$2:$D$799,A타입_제작표!$D$2:$D$799))</f>
        <v>1</v>
      </c>
      <c r="I64" s="29" t="n">
        <f aca="false">ROUND(G64*안내!$C$6/60,1)</f>
        <v>1</v>
      </c>
      <c r="J64" s="29" t="n">
        <f aca="false">_xlfn.MINIFS(A타입_제작표!$A$2:$A$799,A타입_제작표!$G$2:$G$799,B64)</f>
        <v>774</v>
      </c>
      <c r="K64" s="29" t="n">
        <f aca="false">_xlfn.MAXIFS(A타입_제작표!$A$2:$A$799,A타입_제작표!$G$2:$G$799,B64)</f>
        <v>774</v>
      </c>
      <c r="L64" s="24" t="s">
        <v>7897</v>
      </c>
    </row>
    <row r="65" customFormat="false" ht="15" hidden="false" customHeight="false" outlineLevel="0" collapsed="false">
      <c r="A65" s="29" t="n">
        <v>64</v>
      </c>
      <c r="B65" s="24" t="s">
        <v>7287</v>
      </c>
      <c r="C65" s="23" t="s">
        <v>7973</v>
      </c>
      <c r="D65" s="23" t="s">
        <v>4950</v>
      </c>
      <c r="E65" s="23" t="s">
        <v>7967</v>
      </c>
      <c r="F65" s="29" t="n">
        <v>1</v>
      </c>
      <c r="G65" s="29" t="n">
        <f aca="false">COUNTIF(A타입_제작표!$G$2:$G$799,B65)</f>
        <v>1</v>
      </c>
      <c r="H65" s="29" t="n">
        <f aca="false">SUMPRODUCT((A타입_제작표!$G$2:$G$799=B65)/COUNTIFS(A타입_제작표!$G$2:$G$799,A타입_제작표!$G$2:$G$799,A타입_제작표!$D$2:$D$799,A타입_제작표!$D$2:$D$799))</f>
        <v>1</v>
      </c>
      <c r="I65" s="29" t="n">
        <f aca="false">ROUND(G65*안내!$C$6/60,1)</f>
        <v>1</v>
      </c>
      <c r="J65" s="29" t="n">
        <f aca="false">_xlfn.MINIFS(A타입_제작표!$A$2:$A$799,A타입_제작표!$G$2:$G$799,B65)</f>
        <v>775</v>
      </c>
      <c r="K65" s="29" t="n">
        <f aca="false">_xlfn.MAXIFS(A타입_제작표!$A$2:$A$799,A타입_제작표!$G$2:$G$799,B65)</f>
        <v>775</v>
      </c>
      <c r="L65" s="24" t="s">
        <v>7897</v>
      </c>
    </row>
    <row r="66" customFormat="false" ht="15" hidden="false" customHeight="false" outlineLevel="0" collapsed="false">
      <c r="A66" s="29" t="n">
        <v>65</v>
      </c>
      <c r="B66" s="24" t="s">
        <v>7298</v>
      </c>
      <c r="C66" s="23" t="s">
        <v>7974</v>
      </c>
      <c r="D66" s="23" t="s">
        <v>4950</v>
      </c>
      <c r="E66" s="23" t="s">
        <v>7967</v>
      </c>
      <c r="F66" s="29" t="n">
        <v>1</v>
      </c>
      <c r="G66" s="29" t="n">
        <f aca="false">COUNTIF(A타입_제작표!$G$2:$G$799,B66)</f>
        <v>1</v>
      </c>
      <c r="H66" s="29" t="n">
        <f aca="false">SUMPRODUCT((A타입_제작표!$G$2:$G$799=B66)/COUNTIFS(A타입_제작표!$G$2:$G$799,A타입_제작표!$G$2:$G$799,A타입_제작표!$D$2:$D$799,A타입_제작표!$D$2:$D$799))</f>
        <v>1</v>
      </c>
      <c r="I66" s="29" t="n">
        <f aca="false">ROUND(G66*안내!$C$6/60,1)</f>
        <v>1</v>
      </c>
      <c r="J66" s="29" t="n">
        <f aca="false">_xlfn.MINIFS(A타입_제작표!$A$2:$A$799,A타입_제작표!$G$2:$G$799,B66)</f>
        <v>776</v>
      </c>
      <c r="K66" s="29" t="n">
        <f aca="false">_xlfn.MAXIFS(A타입_제작표!$A$2:$A$799,A타입_제작표!$G$2:$G$799,B66)</f>
        <v>776</v>
      </c>
      <c r="L66" s="24" t="s">
        <v>7897</v>
      </c>
    </row>
    <row r="67" customFormat="false" ht="15" hidden="false" customHeight="false" outlineLevel="0" collapsed="false">
      <c r="A67" s="29" t="n">
        <v>66</v>
      </c>
      <c r="B67" s="24" t="s">
        <v>7311</v>
      </c>
      <c r="C67" s="23" t="s">
        <v>7975</v>
      </c>
      <c r="D67" s="23" t="s">
        <v>4950</v>
      </c>
      <c r="E67" s="23" t="s">
        <v>7976</v>
      </c>
      <c r="F67" s="29" t="n">
        <v>22</v>
      </c>
      <c r="G67" s="29" t="n">
        <f aca="false">COUNTIF(A타입_제작표!$G$2:$G$799,B67)</f>
        <v>22</v>
      </c>
      <c r="H67" s="29" t="n">
        <f aca="false">SUMPRODUCT((A타입_제작표!$G$2:$G$799=B67)/COUNTIFS(A타입_제작표!$G$2:$G$799,A타입_제작표!$G$2:$G$799,A타입_제작표!$D$2:$D$799,A타입_제작표!$D$2:$D$799))</f>
        <v>2</v>
      </c>
      <c r="I67" s="29" t="n">
        <f aca="false">ROUND(G67*안내!$C$6/60,1)</f>
        <v>22</v>
      </c>
      <c r="J67" s="29" t="n">
        <f aca="false">_xlfn.MINIFS(A타입_제작표!$A$2:$A$799,A타입_제작표!$G$2:$G$799,B67)</f>
        <v>777</v>
      </c>
      <c r="K67" s="29" t="n">
        <f aca="false">_xlfn.MAXIFS(A타입_제작표!$A$2:$A$799,A타입_제작표!$G$2:$G$799,B67)</f>
        <v>798</v>
      </c>
      <c r="L67" s="24" t="s">
        <v>7897</v>
      </c>
    </row>
    <row r="68" customFormat="false" ht="15" hidden="false" customHeight="false" outlineLevel="0" collapsed="false">
      <c r="A68" s="30"/>
      <c r="B68" s="31" t="s">
        <v>7977</v>
      </c>
      <c r="C68" s="30"/>
      <c r="D68" s="30"/>
      <c r="E68" s="30"/>
      <c r="F68" s="30" t="n">
        <f aca="false">SUM(F2:F67)</f>
        <v>1189</v>
      </c>
      <c r="G68" s="30" t="n">
        <f aca="false">SUM(G2:G67)</f>
        <v>798</v>
      </c>
      <c r="H68" s="30"/>
      <c r="I68" s="30" t="n">
        <f aca="false">SUM(I2:I67)</f>
        <v>798</v>
      </c>
      <c r="J68" s="30"/>
      <c r="K68" s="30"/>
      <c r="L68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</cols>
  <sheetData>
    <row r="1" customFormat="false" ht="30" hidden="false" customHeight="true" outlineLevel="0" collapsed="false">
      <c r="A1" s="19" t="s">
        <v>7978</v>
      </c>
      <c r="B1" s="18" t="s">
        <v>7979</v>
      </c>
      <c r="C1" s="18" t="s">
        <v>7980</v>
      </c>
      <c r="D1" s="18" t="s">
        <v>7981</v>
      </c>
      <c r="E1" s="18" t="s">
        <v>7982</v>
      </c>
      <c r="F1" s="18" t="s">
        <v>7983</v>
      </c>
      <c r="G1" s="18" t="s">
        <v>7984</v>
      </c>
      <c r="H1" s="18" t="s">
        <v>7985</v>
      </c>
      <c r="I1" s="18" t="s">
        <v>7986</v>
      </c>
      <c r="J1" s="18" t="s">
        <v>7987</v>
      </c>
      <c r="K1" s="18" t="s">
        <v>7988</v>
      </c>
    </row>
    <row r="2" customFormat="false" ht="39.55" hidden="false" customHeight="false" outlineLevel="0" collapsed="false">
      <c r="A2" s="29" t="s">
        <v>7989</v>
      </c>
      <c r="B2" s="24" t="s">
        <v>7990</v>
      </c>
      <c r="C2" s="23" t="s">
        <v>7991</v>
      </c>
      <c r="D2" s="23" t="s">
        <v>7992</v>
      </c>
      <c r="E2" s="24" t="s">
        <v>7993</v>
      </c>
      <c r="F2" s="28" t="s">
        <v>7994</v>
      </c>
      <c r="G2" s="32" t="s">
        <v>7995</v>
      </c>
      <c r="H2" s="32" t="s">
        <v>7996</v>
      </c>
      <c r="I2" s="24" t="s">
        <v>7997</v>
      </c>
      <c r="J2" s="24" t="s">
        <v>7998</v>
      </c>
      <c r="K2" s="29" t="n">
        <f aca="false">COUNTIF(A타입_제작표!$N$2:$N$799,"*"&amp;C2&amp;"*")</f>
        <v>31</v>
      </c>
    </row>
    <row r="3" customFormat="false" ht="39.55" hidden="false" customHeight="false" outlineLevel="0" collapsed="false">
      <c r="A3" s="29" t="s">
        <v>7999</v>
      </c>
      <c r="B3" s="24" t="s">
        <v>8000</v>
      </c>
      <c r="C3" s="23" t="s">
        <v>8001</v>
      </c>
      <c r="D3" s="23" t="s">
        <v>7992</v>
      </c>
      <c r="E3" s="24" t="s">
        <v>8002</v>
      </c>
      <c r="F3" s="24" t="s">
        <v>8003</v>
      </c>
      <c r="G3" s="33" t="s">
        <v>8004</v>
      </c>
      <c r="H3" s="32" t="s">
        <v>8005</v>
      </c>
      <c r="I3" s="24" t="s">
        <v>8006</v>
      </c>
      <c r="J3" s="24" t="s">
        <v>8007</v>
      </c>
      <c r="K3" s="29" t="n">
        <f aca="false">COUNTIF(A타입_제작표!$N$2:$N$799,"*"&amp;C3&amp;"*")</f>
        <v>103</v>
      </c>
    </row>
    <row r="4" customFormat="false" ht="26.85" hidden="false" customHeight="false" outlineLevel="0" collapsed="false">
      <c r="A4" s="29" t="s">
        <v>8008</v>
      </c>
      <c r="B4" s="24" t="s">
        <v>8009</v>
      </c>
      <c r="C4" s="23" t="s">
        <v>8009</v>
      </c>
      <c r="D4" s="23" t="s">
        <v>7992</v>
      </c>
      <c r="E4" s="24" t="s">
        <v>7993</v>
      </c>
      <c r="F4" s="28" t="s">
        <v>7994</v>
      </c>
      <c r="G4" s="32" t="s">
        <v>7995</v>
      </c>
      <c r="H4" s="32" t="s">
        <v>8010</v>
      </c>
      <c r="I4" s="28" t="s">
        <v>7994</v>
      </c>
      <c r="J4" s="24" t="s">
        <v>8011</v>
      </c>
      <c r="K4" s="29" t="n">
        <f aca="false">COUNTIF(A타입_제작표!$N$2:$N$799,"*"&amp;C4&amp;"*")</f>
        <v>1</v>
      </c>
    </row>
    <row r="5" customFormat="false" ht="26.85" hidden="false" customHeight="false" outlineLevel="0" collapsed="false">
      <c r="A5" s="29" t="s">
        <v>8012</v>
      </c>
      <c r="B5" s="24" t="s">
        <v>8013</v>
      </c>
      <c r="C5" s="23" t="s">
        <v>8014</v>
      </c>
      <c r="D5" s="23" t="s">
        <v>8015</v>
      </c>
      <c r="E5" s="24" t="s">
        <v>7993</v>
      </c>
      <c r="F5" s="28" t="s">
        <v>7994</v>
      </c>
      <c r="G5" s="32" t="s">
        <v>8016</v>
      </c>
      <c r="H5" s="32" t="s">
        <v>8017</v>
      </c>
      <c r="I5" s="24" t="s">
        <v>8018</v>
      </c>
      <c r="J5" s="24" t="s">
        <v>8019</v>
      </c>
      <c r="K5" s="29" t="n">
        <f aca="false">COUNTIF(A타입_제작표!$N$2:$N$799,"*"&amp;C5&amp;"*")</f>
        <v>20</v>
      </c>
    </row>
    <row r="6" customFormat="false" ht="26.85" hidden="false" customHeight="false" outlineLevel="0" collapsed="false">
      <c r="A6" s="29" t="s">
        <v>8020</v>
      </c>
      <c r="B6" s="24" t="s">
        <v>8021</v>
      </c>
      <c r="C6" s="23" t="s">
        <v>8022</v>
      </c>
      <c r="D6" s="23" t="s">
        <v>8015</v>
      </c>
      <c r="E6" s="24" t="s">
        <v>8023</v>
      </c>
      <c r="F6" s="28" t="s">
        <v>7994</v>
      </c>
      <c r="G6" s="32" t="s">
        <v>8024</v>
      </c>
      <c r="H6" s="33" t="s">
        <v>7994</v>
      </c>
      <c r="I6" s="24" t="s">
        <v>8025</v>
      </c>
      <c r="J6" s="24" t="s">
        <v>8026</v>
      </c>
      <c r="K6" s="29" t="n">
        <f aca="false">COUNTIF(A타입_제작표!$N$2:$N$799,"*"&amp;C6&amp;"*")</f>
        <v>2</v>
      </c>
    </row>
    <row r="7" customFormat="false" ht="26.85" hidden="false" customHeight="false" outlineLevel="0" collapsed="false">
      <c r="A7" s="29" t="s">
        <v>8027</v>
      </c>
      <c r="B7" s="24" t="s">
        <v>135</v>
      </c>
      <c r="C7" s="23" t="s">
        <v>135</v>
      </c>
      <c r="D7" s="23" t="s">
        <v>88</v>
      </c>
      <c r="E7" s="24" t="s">
        <v>8028</v>
      </c>
      <c r="F7" s="24" t="s">
        <v>8029</v>
      </c>
      <c r="G7" s="32" t="s">
        <v>8030</v>
      </c>
      <c r="H7" s="32" t="s">
        <v>8031</v>
      </c>
      <c r="I7" s="24" t="s">
        <v>8032</v>
      </c>
      <c r="J7" s="24" t="s">
        <v>8033</v>
      </c>
      <c r="K7" s="29" t="n">
        <f aca="false">COUNTIF(A타입_제작표!$N$2:$N$799,"*"&amp;C7&amp;"*")</f>
        <v>10</v>
      </c>
    </row>
    <row r="8" customFormat="false" ht="26.85" hidden="false" customHeight="false" outlineLevel="0" collapsed="false">
      <c r="A8" s="29" t="s">
        <v>8034</v>
      </c>
      <c r="B8" s="24" t="s">
        <v>8035</v>
      </c>
      <c r="C8" s="23" t="s">
        <v>8035</v>
      </c>
      <c r="D8" s="23" t="s">
        <v>88</v>
      </c>
      <c r="E8" s="24" t="s">
        <v>8036</v>
      </c>
      <c r="F8" s="24" t="s">
        <v>8037</v>
      </c>
      <c r="G8" s="32" t="s">
        <v>8038</v>
      </c>
      <c r="H8" s="32" t="s">
        <v>8039</v>
      </c>
      <c r="I8" s="24" t="s">
        <v>8040</v>
      </c>
      <c r="J8" s="24" t="s">
        <v>8041</v>
      </c>
      <c r="K8" s="29" t="n">
        <f aca="false">COUNTIF(A타입_제작표!$N$2:$N$799,"*"&amp;C8&amp;"*")</f>
        <v>6</v>
      </c>
    </row>
    <row r="9" customFormat="false" ht="26.85" hidden="false" customHeight="false" outlineLevel="0" collapsed="false">
      <c r="A9" s="29" t="s">
        <v>8042</v>
      </c>
      <c r="B9" s="24" t="s">
        <v>8043</v>
      </c>
      <c r="C9" s="23" t="s">
        <v>8044</v>
      </c>
      <c r="D9" s="23" t="s">
        <v>88</v>
      </c>
      <c r="E9" s="24" t="s">
        <v>8045</v>
      </c>
      <c r="F9" s="24" t="s">
        <v>8046</v>
      </c>
      <c r="G9" s="32" t="s">
        <v>8047</v>
      </c>
      <c r="H9" s="32" t="s">
        <v>8048</v>
      </c>
      <c r="I9" s="24" t="s">
        <v>8049</v>
      </c>
      <c r="J9" s="24" t="s">
        <v>8050</v>
      </c>
      <c r="K9" s="29" t="n">
        <f aca="false">COUNTIF(A타입_제작표!$N$2:$N$799,"*"&amp;C9&amp;"*")</f>
        <v>2</v>
      </c>
    </row>
    <row r="10" customFormat="false" ht="15" hidden="false" customHeight="false" outlineLevel="0" collapsed="false">
      <c r="A10" s="29" t="s">
        <v>8051</v>
      </c>
      <c r="B10" s="24" t="s">
        <v>232</v>
      </c>
      <c r="C10" s="23" t="s">
        <v>232</v>
      </c>
      <c r="D10" s="23" t="s">
        <v>88</v>
      </c>
      <c r="E10" s="24" t="s">
        <v>8052</v>
      </c>
      <c r="F10" s="28" t="s">
        <v>8053</v>
      </c>
      <c r="G10" s="32" t="s">
        <v>8054</v>
      </c>
      <c r="H10" s="32" t="s">
        <v>8055</v>
      </c>
      <c r="I10" s="24" t="s">
        <v>8056</v>
      </c>
      <c r="J10" s="28" t="s">
        <v>7994</v>
      </c>
      <c r="K10" s="29" t="n">
        <f aca="false">COUNTIF(A타입_제작표!$N$2:$N$799,"*"&amp;C10&amp;"*")</f>
        <v>10</v>
      </c>
    </row>
    <row r="11" customFormat="false" ht="15" hidden="false" customHeight="false" outlineLevel="0" collapsed="false">
      <c r="A11" s="29" t="s">
        <v>8057</v>
      </c>
      <c r="B11" s="24" t="s">
        <v>8058</v>
      </c>
      <c r="C11" s="23" t="s">
        <v>397</v>
      </c>
      <c r="D11" s="23" t="s">
        <v>88</v>
      </c>
      <c r="E11" s="24" t="s">
        <v>8059</v>
      </c>
      <c r="F11" s="28" t="s">
        <v>8060</v>
      </c>
      <c r="G11" s="32" t="s">
        <v>8061</v>
      </c>
      <c r="H11" s="32" t="s">
        <v>8062</v>
      </c>
      <c r="I11" s="24" t="s">
        <v>8063</v>
      </c>
      <c r="J11" s="24" t="s">
        <v>8064</v>
      </c>
      <c r="K11" s="29" t="n">
        <f aca="false">COUNTIF(A타입_제작표!$N$2:$N$799,"*"&amp;C11&amp;"*")</f>
        <v>15</v>
      </c>
    </row>
    <row r="12" customFormat="false" ht="15" hidden="false" customHeight="false" outlineLevel="0" collapsed="false">
      <c r="A12" s="29" t="s">
        <v>8065</v>
      </c>
      <c r="B12" s="24" t="s">
        <v>8066</v>
      </c>
      <c r="C12" s="23" t="s">
        <v>8067</v>
      </c>
      <c r="D12" s="23" t="s">
        <v>88</v>
      </c>
      <c r="E12" s="24" t="s">
        <v>8068</v>
      </c>
      <c r="F12" s="28" t="s">
        <v>8069</v>
      </c>
      <c r="G12" s="32" t="s">
        <v>8070</v>
      </c>
      <c r="H12" s="32" t="s">
        <v>8071</v>
      </c>
      <c r="I12" s="24" t="s">
        <v>8072</v>
      </c>
      <c r="J12" s="28" t="s">
        <v>7994</v>
      </c>
      <c r="K12" s="29" t="n">
        <f aca="false">COUNTIF(A타입_제작표!$N$2:$N$799,"*"&amp;C12&amp;"*")</f>
        <v>4</v>
      </c>
    </row>
    <row r="13" customFormat="false" ht="15" hidden="false" customHeight="false" outlineLevel="0" collapsed="false">
      <c r="A13" s="29" t="s">
        <v>8073</v>
      </c>
      <c r="B13" s="24" t="s">
        <v>8074</v>
      </c>
      <c r="C13" s="23" t="s">
        <v>8074</v>
      </c>
      <c r="D13" s="23" t="s">
        <v>88</v>
      </c>
      <c r="E13" s="24" t="s">
        <v>8075</v>
      </c>
      <c r="F13" s="24" t="s">
        <v>8076</v>
      </c>
      <c r="G13" s="32" t="s">
        <v>8077</v>
      </c>
      <c r="H13" s="32" t="s">
        <v>8078</v>
      </c>
      <c r="I13" s="24" t="s">
        <v>8079</v>
      </c>
      <c r="J13" s="24" t="s">
        <v>8080</v>
      </c>
      <c r="K13" s="29" t="n">
        <f aca="false">COUNTIF(A타입_제작표!$N$2:$N$799,"*"&amp;C13&amp;"*")</f>
        <v>10</v>
      </c>
    </row>
    <row r="14" customFormat="false" ht="15" hidden="false" customHeight="false" outlineLevel="0" collapsed="false">
      <c r="A14" s="29" t="s">
        <v>8081</v>
      </c>
      <c r="B14" s="24" t="s">
        <v>8082</v>
      </c>
      <c r="C14" s="23" t="s">
        <v>8082</v>
      </c>
      <c r="D14" s="23" t="s">
        <v>88</v>
      </c>
      <c r="E14" s="24" t="s">
        <v>8083</v>
      </c>
      <c r="F14" s="24" t="s">
        <v>8084</v>
      </c>
      <c r="G14" s="32" t="s">
        <v>8085</v>
      </c>
      <c r="H14" s="32" t="s">
        <v>8086</v>
      </c>
      <c r="I14" s="24" t="s">
        <v>8087</v>
      </c>
      <c r="J14" s="28" t="s">
        <v>7994</v>
      </c>
      <c r="K14" s="29" t="n">
        <f aca="false">COUNTIF(A타입_제작표!$N$2:$N$799,"*"&amp;C14&amp;"*")</f>
        <v>6</v>
      </c>
    </row>
    <row r="15" customFormat="false" ht="26.85" hidden="false" customHeight="false" outlineLevel="0" collapsed="false">
      <c r="A15" s="29" t="s">
        <v>8088</v>
      </c>
      <c r="B15" s="24" t="s">
        <v>8089</v>
      </c>
      <c r="C15" s="23" t="s">
        <v>8090</v>
      </c>
      <c r="D15" s="23" t="s">
        <v>88</v>
      </c>
      <c r="E15" s="24" t="s">
        <v>8091</v>
      </c>
      <c r="F15" s="24" t="s">
        <v>8092</v>
      </c>
      <c r="G15" s="32" t="s">
        <v>8093</v>
      </c>
      <c r="H15" s="32" t="s">
        <v>8094</v>
      </c>
      <c r="I15" s="24" t="s">
        <v>8095</v>
      </c>
      <c r="J15" s="24" t="s">
        <v>8096</v>
      </c>
      <c r="K15" s="29" t="n">
        <f aca="false">COUNTIF(A타입_제작표!$N$2:$N$799,"*"&amp;C15&amp;"*")</f>
        <v>21</v>
      </c>
    </row>
    <row r="16" customFormat="false" ht="15" hidden="false" customHeight="false" outlineLevel="0" collapsed="false">
      <c r="A16" s="29" t="s">
        <v>8097</v>
      </c>
      <c r="B16" s="24" t="s">
        <v>8098</v>
      </c>
      <c r="C16" s="23" t="s">
        <v>8098</v>
      </c>
      <c r="D16" s="23" t="s">
        <v>88</v>
      </c>
      <c r="E16" s="24" t="s">
        <v>8099</v>
      </c>
      <c r="F16" s="24" t="s">
        <v>8037</v>
      </c>
      <c r="G16" s="32" t="s">
        <v>8100</v>
      </c>
      <c r="H16" s="32" t="s">
        <v>8101</v>
      </c>
      <c r="I16" s="24" t="s">
        <v>8102</v>
      </c>
      <c r="J16" s="28" t="s">
        <v>7994</v>
      </c>
      <c r="K16" s="29" t="n">
        <f aca="false">COUNTIF(A타입_제작표!$N$2:$N$799,"*"&amp;C16&amp;"*")</f>
        <v>7</v>
      </c>
    </row>
    <row r="17" customFormat="false" ht="26.85" hidden="false" customHeight="false" outlineLevel="0" collapsed="false">
      <c r="A17" s="29" t="s">
        <v>8103</v>
      </c>
      <c r="B17" s="24" t="s">
        <v>8104</v>
      </c>
      <c r="C17" s="23" t="s">
        <v>8105</v>
      </c>
      <c r="D17" s="23" t="s">
        <v>88</v>
      </c>
      <c r="E17" s="24" t="s">
        <v>8106</v>
      </c>
      <c r="F17" s="24" t="s">
        <v>8046</v>
      </c>
      <c r="G17" s="32" t="s">
        <v>8107</v>
      </c>
      <c r="H17" s="32" t="s">
        <v>8108</v>
      </c>
      <c r="I17" s="24" t="s">
        <v>8109</v>
      </c>
      <c r="J17" s="24" t="s">
        <v>8110</v>
      </c>
      <c r="K17" s="29" t="n">
        <f aca="false">COUNTIF(A타입_제작표!$N$2:$N$799,"*"&amp;C17&amp;"*")</f>
        <v>4</v>
      </c>
    </row>
    <row r="18" customFormat="false" ht="26.85" hidden="false" customHeight="false" outlineLevel="0" collapsed="false">
      <c r="A18" s="29" t="s">
        <v>8111</v>
      </c>
      <c r="B18" s="24" t="s">
        <v>8112</v>
      </c>
      <c r="C18" s="23" t="s">
        <v>8113</v>
      </c>
      <c r="D18" s="23" t="s">
        <v>88</v>
      </c>
      <c r="E18" s="24" t="s">
        <v>8114</v>
      </c>
      <c r="F18" s="28" t="s">
        <v>8115</v>
      </c>
      <c r="G18" s="33" t="s">
        <v>8116</v>
      </c>
      <c r="H18" s="33" t="s">
        <v>8117</v>
      </c>
      <c r="I18" s="24" t="s">
        <v>8118</v>
      </c>
      <c r="J18" s="24" t="s">
        <v>8119</v>
      </c>
      <c r="K18" s="29" t="n">
        <f aca="false">COUNTIF(A타입_제작표!$N$2:$N$799,"*"&amp;C18&amp;"*")</f>
        <v>23</v>
      </c>
    </row>
    <row r="19" customFormat="false" ht="15" hidden="false" customHeight="false" outlineLevel="0" collapsed="false">
      <c r="A19" s="29" t="s">
        <v>8120</v>
      </c>
      <c r="B19" s="24" t="s">
        <v>8121</v>
      </c>
      <c r="C19" s="23" t="s">
        <v>7304</v>
      </c>
      <c r="D19" s="23" t="s">
        <v>88</v>
      </c>
      <c r="E19" s="24" t="s">
        <v>8114</v>
      </c>
      <c r="F19" s="24" t="s">
        <v>8037</v>
      </c>
      <c r="G19" s="32" t="s">
        <v>8122</v>
      </c>
      <c r="H19" s="32" t="s">
        <v>8123</v>
      </c>
      <c r="I19" s="24" t="s">
        <v>8124</v>
      </c>
      <c r="J19" s="24" t="s">
        <v>8125</v>
      </c>
      <c r="K19" s="29" t="n">
        <f aca="false">COUNTIF(A타입_제작표!$N$2:$N$799,"*"&amp;C19&amp;"*")</f>
        <v>14</v>
      </c>
    </row>
    <row r="20" customFormat="false" ht="26.85" hidden="false" customHeight="false" outlineLevel="0" collapsed="false">
      <c r="A20" s="29" t="s">
        <v>8126</v>
      </c>
      <c r="B20" s="24" t="s">
        <v>1139</v>
      </c>
      <c r="C20" s="23" t="s">
        <v>1139</v>
      </c>
      <c r="D20" s="23" t="s">
        <v>88</v>
      </c>
      <c r="E20" s="24" t="s">
        <v>8127</v>
      </c>
      <c r="F20" s="24" t="s">
        <v>8128</v>
      </c>
      <c r="G20" s="33" t="s">
        <v>8129</v>
      </c>
      <c r="H20" s="32" t="s">
        <v>8130</v>
      </c>
      <c r="I20" s="24" t="s">
        <v>8131</v>
      </c>
      <c r="J20" s="24" t="s">
        <v>8132</v>
      </c>
      <c r="K20" s="29" t="n">
        <f aca="false">COUNTIF(A타입_제작표!$N$2:$N$799,"*"&amp;C20&amp;"*")</f>
        <v>74</v>
      </c>
    </row>
    <row r="21" customFormat="false" ht="15" hidden="false" customHeight="false" outlineLevel="0" collapsed="false">
      <c r="A21" s="29" t="s">
        <v>8133</v>
      </c>
      <c r="B21" s="24" t="s">
        <v>8134</v>
      </c>
      <c r="C21" s="23" t="s">
        <v>8134</v>
      </c>
      <c r="D21" s="23" t="s">
        <v>88</v>
      </c>
      <c r="E21" s="24" t="s">
        <v>8135</v>
      </c>
      <c r="F21" s="28" t="s">
        <v>8136</v>
      </c>
      <c r="G21" s="32" t="s">
        <v>8137</v>
      </c>
      <c r="H21" s="32" t="s">
        <v>8138</v>
      </c>
      <c r="I21" s="24" t="s">
        <v>8139</v>
      </c>
      <c r="J21" s="24" t="s">
        <v>8140</v>
      </c>
      <c r="K21" s="29" t="n">
        <f aca="false">COUNTIF(A타입_제작표!$N$2:$N$799,"*"&amp;C21&amp;"*")</f>
        <v>22</v>
      </c>
    </row>
    <row r="22" customFormat="false" ht="15" hidden="false" customHeight="false" outlineLevel="0" collapsed="false">
      <c r="A22" s="29" t="s">
        <v>8141</v>
      </c>
      <c r="B22" s="24" t="s">
        <v>8142</v>
      </c>
      <c r="C22" s="23" t="s">
        <v>8142</v>
      </c>
      <c r="D22" s="23" t="s">
        <v>88</v>
      </c>
      <c r="E22" s="24" t="s">
        <v>8143</v>
      </c>
      <c r="F22" s="24" t="s">
        <v>8144</v>
      </c>
      <c r="G22" s="32" t="s">
        <v>8145</v>
      </c>
      <c r="H22" s="32" t="s">
        <v>8146</v>
      </c>
      <c r="I22" s="24" t="s">
        <v>8147</v>
      </c>
      <c r="J22" s="28" t="s">
        <v>7994</v>
      </c>
      <c r="K22" s="29" t="n">
        <f aca="false">COUNTIF(A타입_제작표!$N$2:$N$799,"*"&amp;C22&amp;"*")</f>
        <v>3</v>
      </c>
    </row>
    <row r="23" customFormat="false" ht="26.85" hidden="false" customHeight="false" outlineLevel="0" collapsed="false">
      <c r="A23" s="29" t="s">
        <v>8148</v>
      </c>
      <c r="B23" s="24" t="s">
        <v>8149</v>
      </c>
      <c r="C23" s="23" t="s">
        <v>8150</v>
      </c>
      <c r="D23" s="23" t="s">
        <v>88</v>
      </c>
      <c r="E23" s="24" t="s">
        <v>8151</v>
      </c>
      <c r="F23" s="24" t="s">
        <v>8152</v>
      </c>
      <c r="G23" s="32" t="s">
        <v>8153</v>
      </c>
      <c r="H23" s="32" t="s">
        <v>8154</v>
      </c>
      <c r="I23" s="24" t="s">
        <v>8155</v>
      </c>
      <c r="J23" s="24" t="s">
        <v>8156</v>
      </c>
      <c r="K23" s="29" t="n">
        <f aca="false">COUNTIF(A타입_제작표!$N$2:$N$799,"*"&amp;C23&amp;"*")</f>
        <v>17</v>
      </c>
    </row>
    <row r="24" customFormat="false" ht="15" hidden="false" customHeight="false" outlineLevel="0" collapsed="false">
      <c r="A24" s="29" t="s">
        <v>8157</v>
      </c>
      <c r="B24" s="24" t="s">
        <v>1665</v>
      </c>
      <c r="C24" s="23" t="s">
        <v>1665</v>
      </c>
      <c r="D24" s="23" t="s">
        <v>88</v>
      </c>
      <c r="E24" s="24" t="s">
        <v>8158</v>
      </c>
      <c r="F24" s="24" t="s">
        <v>8159</v>
      </c>
      <c r="G24" s="32" t="s">
        <v>8160</v>
      </c>
      <c r="H24" s="32" t="s">
        <v>8161</v>
      </c>
      <c r="I24" s="24" t="s">
        <v>8162</v>
      </c>
      <c r="J24" s="24" t="s">
        <v>1476</v>
      </c>
      <c r="K24" s="29" t="n">
        <f aca="false">COUNTIF(A타입_제작표!$N$2:$N$799,"*"&amp;C24&amp;"*")</f>
        <v>21</v>
      </c>
    </row>
    <row r="25" customFormat="false" ht="15" hidden="false" customHeight="false" outlineLevel="0" collapsed="false">
      <c r="A25" s="29" t="s">
        <v>8163</v>
      </c>
      <c r="B25" s="24" t="s">
        <v>8164</v>
      </c>
      <c r="C25" s="23" t="s">
        <v>8164</v>
      </c>
      <c r="D25" s="23" t="s">
        <v>88</v>
      </c>
      <c r="E25" s="24" t="s">
        <v>8165</v>
      </c>
      <c r="F25" s="28" t="s">
        <v>8166</v>
      </c>
      <c r="G25" s="33" t="s">
        <v>8167</v>
      </c>
      <c r="H25" s="32" t="s">
        <v>8168</v>
      </c>
      <c r="I25" s="24" t="s">
        <v>8169</v>
      </c>
      <c r="J25" s="28" t="s">
        <v>7994</v>
      </c>
      <c r="K25" s="29" t="n">
        <f aca="false">COUNTIF(A타입_제작표!$N$2:$N$799,"*"&amp;C25&amp;"*")</f>
        <v>3</v>
      </c>
    </row>
    <row r="26" customFormat="false" ht="15" hidden="false" customHeight="false" outlineLevel="0" collapsed="false">
      <c r="A26" s="29" t="s">
        <v>8170</v>
      </c>
      <c r="B26" s="24" t="s">
        <v>8171</v>
      </c>
      <c r="C26" s="23" t="s">
        <v>8171</v>
      </c>
      <c r="D26" s="23" t="s">
        <v>88</v>
      </c>
      <c r="E26" s="24" t="s">
        <v>8172</v>
      </c>
      <c r="F26" s="24" t="s">
        <v>8046</v>
      </c>
      <c r="G26" s="32" t="s">
        <v>8173</v>
      </c>
      <c r="H26" s="32" t="s">
        <v>8174</v>
      </c>
      <c r="I26" s="24" t="s">
        <v>8175</v>
      </c>
      <c r="J26" s="24" t="s">
        <v>8176</v>
      </c>
      <c r="K26" s="29" t="n">
        <f aca="false">COUNTIF(A타입_제작표!$N$2:$N$799,"*"&amp;C26&amp;"*")</f>
        <v>5</v>
      </c>
    </row>
    <row r="27" customFormat="false" ht="15" hidden="false" customHeight="false" outlineLevel="0" collapsed="false">
      <c r="A27" s="29" t="s">
        <v>8177</v>
      </c>
      <c r="B27" s="24" t="s">
        <v>8178</v>
      </c>
      <c r="C27" s="23" t="s">
        <v>8178</v>
      </c>
      <c r="D27" s="23" t="s">
        <v>88</v>
      </c>
      <c r="E27" s="24" t="s">
        <v>8179</v>
      </c>
      <c r="F27" s="24" t="s">
        <v>8152</v>
      </c>
      <c r="G27" s="32" t="s">
        <v>8180</v>
      </c>
      <c r="H27" s="32" t="s">
        <v>8181</v>
      </c>
      <c r="I27" s="24" t="s">
        <v>8182</v>
      </c>
      <c r="J27" s="28" t="s">
        <v>7994</v>
      </c>
      <c r="K27" s="29" t="n">
        <f aca="false">COUNTIF(A타입_제작표!$N$2:$N$799,"*"&amp;C27&amp;"*")</f>
        <v>2</v>
      </c>
    </row>
    <row r="28" customFormat="false" ht="15" hidden="false" customHeight="false" outlineLevel="0" collapsed="false">
      <c r="A28" s="29" t="s">
        <v>8183</v>
      </c>
      <c r="B28" s="24" t="s">
        <v>1877</v>
      </c>
      <c r="C28" s="23" t="s">
        <v>1877</v>
      </c>
      <c r="D28" s="23" t="s">
        <v>88</v>
      </c>
      <c r="E28" s="24" t="s">
        <v>8184</v>
      </c>
      <c r="F28" s="24" t="s">
        <v>8046</v>
      </c>
      <c r="G28" s="32" t="s">
        <v>8185</v>
      </c>
      <c r="H28" s="32" t="s">
        <v>8186</v>
      </c>
      <c r="I28" s="24" t="s">
        <v>8187</v>
      </c>
      <c r="J28" s="28" t="s">
        <v>7994</v>
      </c>
      <c r="K28" s="29" t="n">
        <f aca="false">COUNTIF(A타입_제작표!$N$2:$N$799,"*"&amp;C28&amp;"*")</f>
        <v>4</v>
      </c>
    </row>
    <row r="29" customFormat="false" ht="15" hidden="false" customHeight="false" outlineLevel="0" collapsed="false">
      <c r="A29" s="29" t="s">
        <v>8188</v>
      </c>
      <c r="B29" s="24" t="s">
        <v>8189</v>
      </c>
      <c r="C29" s="23" t="s">
        <v>8189</v>
      </c>
      <c r="D29" s="23" t="s">
        <v>88</v>
      </c>
      <c r="E29" s="24" t="s">
        <v>8190</v>
      </c>
      <c r="F29" s="24" t="s">
        <v>8046</v>
      </c>
      <c r="G29" s="32" t="s">
        <v>8191</v>
      </c>
      <c r="H29" s="32" t="s">
        <v>8192</v>
      </c>
      <c r="I29" s="24" t="s">
        <v>8193</v>
      </c>
      <c r="J29" s="24" t="s">
        <v>8194</v>
      </c>
      <c r="K29" s="29" t="n">
        <f aca="false">COUNTIF(A타입_제작표!$N$2:$N$799,"*"&amp;C29&amp;"*")</f>
        <v>4</v>
      </c>
    </row>
    <row r="30" customFormat="false" ht="26.85" hidden="false" customHeight="false" outlineLevel="0" collapsed="false">
      <c r="A30" s="29" t="s">
        <v>8195</v>
      </c>
      <c r="B30" s="24" t="s">
        <v>8196</v>
      </c>
      <c r="C30" s="23" t="s">
        <v>7905</v>
      </c>
      <c r="D30" s="23" t="s">
        <v>88</v>
      </c>
      <c r="E30" s="24" t="s">
        <v>2008</v>
      </c>
      <c r="F30" s="24" t="s">
        <v>8197</v>
      </c>
      <c r="G30" s="32" t="s">
        <v>8198</v>
      </c>
      <c r="H30" s="32" t="s">
        <v>8199</v>
      </c>
      <c r="I30" s="24" t="s">
        <v>8200</v>
      </c>
      <c r="J30" s="28" t="s">
        <v>7994</v>
      </c>
      <c r="K30" s="29" t="n">
        <f aca="false">COUNTIF(A타입_제작표!$N$2:$N$799,"*"&amp;C30&amp;"*")</f>
        <v>5</v>
      </c>
    </row>
    <row r="31" customFormat="false" ht="15" hidden="false" customHeight="false" outlineLevel="0" collapsed="false">
      <c r="A31" s="29" t="s">
        <v>8201</v>
      </c>
      <c r="B31" s="24" t="s">
        <v>8202</v>
      </c>
      <c r="C31" s="23" t="s">
        <v>8202</v>
      </c>
      <c r="D31" s="23" t="s">
        <v>88</v>
      </c>
      <c r="E31" s="24" t="s">
        <v>2008</v>
      </c>
      <c r="F31" s="24" t="s">
        <v>8152</v>
      </c>
      <c r="G31" s="32" t="s">
        <v>8203</v>
      </c>
      <c r="H31" s="32" t="s">
        <v>8204</v>
      </c>
      <c r="I31" s="24" t="s">
        <v>8205</v>
      </c>
      <c r="J31" s="28" t="s">
        <v>7994</v>
      </c>
      <c r="K31" s="29" t="n">
        <f aca="false">COUNTIF(A타입_제작표!$N$2:$N$799,"*"&amp;C31&amp;"*")</f>
        <v>4</v>
      </c>
    </row>
    <row r="32" customFormat="false" ht="15" hidden="false" customHeight="false" outlineLevel="0" collapsed="false">
      <c r="A32" s="29" t="s">
        <v>8206</v>
      </c>
      <c r="B32" s="24" t="s">
        <v>8207</v>
      </c>
      <c r="C32" s="23" t="s">
        <v>8207</v>
      </c>
      <c r="D32" s="23" t="s">
        <v>88</v>
      </c>
      <c r="E32" s="24" t="s">
        <v>8208</v>
      </c>
      <c r="F32" s="24" t="s">
        <v>8046</v>
      </c>
      <c r="G32" s="32" t="s">
        <v>8209</v>
      </c>
      <c r="H32" s="32" t="s">
        <v>8210</v>
      </c>
      <c r="I32" s="24" t="s">
        <v>8211</v>
      </c>
      <c r="J32" s="28" t="s">
        <v>7994</v>
      </c>
      <c r="K32" s="29" t="n">
        <f aca="false">COUNTIF(A타입_제작표!$N$2:$N$799,"*"&amp;C32&amp;"*")</f>
        <v>2</v>
      </c>
    </row>
    <row r="33" customFormat="false" ht="15" hidden="false" customHeight="false" outlineLevel="0" collapsed="false">
      <c r="A33" s="29" t="s">
        <v>8212</v>
      </c>
      <c r="B33" s="24" t="s">
        <v>8213</v>
      </c>
      <c r="C33" s="23" t="s">
        <v>8213</v>
      </c>
      <c r="D33" s="23" t="s">
        <v>88</v>
      </c>
      <c r="E33" s="24" t="s">
        <v>8214</v>
      </c>
      <c r="F33" s="24" t="s">
        <v>8076</v>
      </c>
      <c r="G33" s="32" t="s">
        <v>8215</v>
      </c>
      <c r="H33" s="32" t="s">
        <v>8216</v>
      </c>
      <c r="I33" s="24" t="s">
        <v>8217</v>
      </c>
      <c r="J33" s="24" t="s">
        <v>8218</v>
      </c>
      <c r="K33" s="29" t="n">
        <f aca="false">COUNTIF(A타입_제작표!$N$2:$N$799,"*"&amp;C33&amp;"*")</f>
        <v>9</v>
      </c>
    </row>
    <row r="34" customFormat="false" ht="15" hidden="false" customHeight="false" outlineLevel="0" collapsed="false">
      <c r="A34" s="29" t="s">
        <v>8219</v>
      </c>
      <c r="B34" s="24" t="s">
        <v>8220</v>
      </c>
      <c r="C34" s="23" t="s">
        <v>8220</v>
      </c>
      <c r="D34" s="23" t="s">
        <v>88</v>
      </c>
      <c r="E34" s="24" t="s">
        <v>8221</v>
      </c>
      <c r="F34" s="24" t="s">
        <v>8037</v>
      </c>
      <c r="G34" s="32" t="s">
        <v>8222</v>
      </c>
      <c r="H34" s="32" t="s">
        <v>8223</v>
      </c>
      <c r="I34" s="24" t="s">
        <v>8224</v>
      </c>
      <c r="J34" s="24" t="s">
        <v>8225</v>
      </c>
      <c r="K34" s="29" t="n">
        <f aca="false">COUNTIF(A타입_제작표!$N$2:$N$799,"*"&amp;C34&amp;"*")</f>
        <v>20</v>
      </c>
    </row>
    <row r="35" customFormat="false" ht="26.85" hidden="false" customHeight="false" outlineLevel="0" collapsed="false">
      <c r="A35" s="29" t="s">
        <v>8226</v>
      </c>
      <c r="B35" s="24" t="s">
        <v>3521</v>
      </c>
      <c r="C35" s="23" t="s">
        <v>3521</v>
      </c>
      <c r="D35" s="23" t="s">
        <v>88</v>
      </c>
      <c r="E35" s="24" t="s">
        <v>8227</v>
      </c>
      <c r="F35" s="24" t="s">
        <v>8228</v>
      </c>
      <c r="G35" s="32" t="s">
        <v>8229</v>
      </c>
      <c r="H35" s="32" t="s">
        <v>8230</v>
      </c>
      <c r="I35" s="24" t="s">
        <v>8231</v>
      </c>
      <c r="J35" s="24" t="s">
        <v>8232</v>
      </c>
      <c r="K35" s="29" t="n">
        <f aca="false">COUNTIF(A타입_제작표!$N$2:$N$799,"*"&amp;C35&amp;"*")</f>
        <v>53</v>
      </c>
    </row>
    <row r="36" customFormat="false" ht="15" hidden="false" customHeight="false" outlineLevel="0" collapsed="false">
      <c r="A36" s="29" t="s">
        <v>8233</v>
      </c>
      <c r="B36" s="24" t="s">
        <v>8234</v>
      </c>
      <c r="C36" s="23" t="s">
        <v>8234</v>
      </c>
      <c r="D36" s="23" t="s">
        <v>88</v>
      </c>
      <c r="E36" s="24" t="s">
        <v>8235</v>
      </c>
      <c r="F36" s="24" t="s">
        <v>8046</v>
      </c>
      <c r="G36" s="32" t="s">
        <v>8236</v>
      </c>
      <c r="H36" s="32" t="s">
        <v>8237</v>
      </c>
      <c r="I36" s="24" t="s">
        <v>8238</v>
      </c>
      <c r="J36" s="28" t="s">
        <v>7994</v>
      </c>
      <c r="K36" s="29" t="n">
        <f aca="false">COUNTIF(A타입_제작표!$N$2:$N$799,"*"&amp;C36&amp;"*")</f>
        <v>5</v>
      </c>
    </row>
    <row r="37" customFormat="false" ht="15" hidden="false" customHeight="false" outlineLevel="0" collapsed="false">
      <c r="A37" s="29" t="s">
        <v>8239</v>
      </c>
      <c r="B37" s="24" t="s">
        <v>8240</v>
      </c>
      <c r="C37" s="23" t="s">
        <v>8240</v>
      </c>
      <c r="D37" s="23" t="s">
        <v>88</v>
      </c>
      <c r="E37" s="24" t="s">
        <v>8241</v>
      </c>
      <c r="F37" s="24" t="s">
        <v>8152</v>
      </c>
      <c r="G37" s="32" t="s">
        <v>8242</v>
      </c>
      <c r="H37" s="32" t="s">
        <v>8243</v>
      </c>
      <c r="I37" s="24" t="s">
        <v>8244</v>
      </c>
      <c r="J37" s="24" t="s">
        <v>8245</v>
      </c>
      <c r="K37" s="29" t="n">
        <f aca="false">COUNTIF(A타입_제작표!$N$2:$N$799,"*"&amp;C37&amp;"*")</f>
        <v>2</v>
      </c>
    </row>
    <row r="38" customFormat="false" ht="15" hidden="false" customHeight="false" outlineLevel="0" collapsed="false">
      <c r="A38" s="29" t="s">
        <v>8246</v>
      </c>
      <c r="B38" s="24" t="s">
        <v>2561</v>
      </c>
      <c r="C38" s="23" t="s">
        <v>2561</v>
      </c>
      <c r="D38" s="23" t="s">
        <v>88</v>
      </c>
      <c r="E38" s="24" t="s">
        <v>8247</v>
      </c>
      <c r="F38" s="24" t="s">
        <v>8029</v>
      </c>
      <c r="G38" s="32" t="s">
        <v>8248</v>
      </c>
      <c r="H38" s="32" t="s">
        <v>8249</v>
      </c>
      <c r="I38" s="24" t="s">
        <v>8250</v>
      </c>
      <c r="J38" s="28" t="s">
        <v>7994</v>
      </c>
      <c r="K38" s="29" t="n">
        <f aca="false">COUNTIF(A타입_제작표!$N$2:$N$799,"*"&amp;C38&amp;"*")</f>
        <v>14</v>
      </c>
    </row>
    <row r="39" customFormat="false" ht="15" hidden="false" customHeight="false" outlineLevel="0" collapsed="false">
      <c r="A39" s="29" t="s">
        <v>8251</v>
      </c>
      <c r="B39" s="24" t="s">
        <v>8252</v>
      </c>
      <c r="C39" s="23" t="s">
        <v>8252</v>
      </c>
      <c r="D39" s="23" t="s">
        <v>88</v>
      </c>
      <c r="E39" s="24" t="s">
        <v>8253</v>
      </c>
      <c r="F39" s="24" t="s">
        <v>8152</v>
      </c>
      <c r="G39" s="32" t="s">
        <v>8254</v>
      </c>
      <c r="H39" s="32" t="s">
        <v>8255</v>
      </c>
      <c r="I39" s="24" t="s">
        <v>8256</v>
      </c>
      <c r="J39" s="24" t="s">
        <v>8257</v>
      </c>
      <c r="K39" s="29" t="n">
        <f aca="false">COUNTIF(A타입_제작표!$N$2:$N$799,"*"&amp;C39&amp;"*")</f>
        <v>11</v>
      </c>
    </row>
    <row r="40" customFormat="false" ht="15" hidden="false" customHeight="false" outlineLevel="0" collapsed="false">
      <c r="A40" s="29" t="s">
        <v>8258</v>
      </c>
      <c r="B40" s="24" t="s">
        <v>8259</v>
      </c>
      <c r="C40" s="23" t="s">
        <v>8259</v>
      </c>
      <c r="D40" s="23" t="s">
        <v>88</v>
      </c>
      <c r="E40" s="24" t="s">
        <v>8260</v>
      </c>
      <c r="F40" s="24" t="s">
        <v>8029</v>
      </c>
      <c r="G40" s="32" t="s">
        <v>8261</v>
      </c>
      <c r="H40" s="32" t="s">
        <v>8262</v>
      </c>
      <c r="I40" s="24" t="s">
        <v>8263</v>
      </c>
      <c r="J40" s="24" t="s">
        <v>8264</v>
      </c>
      <c r="K40" s="29" t="n">
        <f aca="false">COUNTIF(A타입_제작표!$N$2:$N$799,"*"&amp;C40&amp;"*")</f>
        <v>16</v>
      </c>
    </row>
    <row r="41" customFormat="false" ht="15" hidden="false" customHeight="false" outlineLevel="0" collapsed="false">
      <c r="A41" s="29" t="s">
        <v>8265</v>
      </c>
      <c r="B41" s="24" t="s">
        <v>8266</v>
      </c>
      <c r="C41" s="23" t="s">
        <v>8266</v>
      </c>
      <c r="D41" s="23" t="s">
        <v>88</v>
      </c>
      <c r="E41" s="24" t="s">
        <v>8267</v>
      </c>
      <c r="F41" s="24" t="s">
        <v>8152</v>
      </c>
      <c r="G41" s="32" t="s">
        <v>8268</v>
      </c>
      <c r="H41" s="32" t="s">
        <v>8269</v>
      </c>
      <c r="I41" s="24" t="s">
        <v>8270</v>
      </c>
      <c r="J41" s="24" t="s">
        <v>8271</v>
      </c>
      <c r="K41" s="29" t="n">
        <f aca="false">COUNTIF(A타입_제작표!$N$2:$N$799,"*"&amp;C41&amp;"*")</f>
        <v>2</v>
      </c>
    </row>
    <row r="42" customFormat="false" ht="15" hidden="false" customHeight="false" outlineLevel="0" collapsed="false">
      <c r="A42" s="29" t="s">
        <v>8272</v>
      </c>
      <c r="B42" s="24" t="s">
        <v>8273</v>
      </c>
      <c r="C42" s="23" t="s">
        <v>8274</v>
      </c>
      <c r="D42" s="23" t="s">
        <v>88</v>
      </c>
      <c r="E42" s="24" t="s">
        <v>8275</v>
      </c>
      <c r="F42" s="24" t="s">
        <v>8037</v>
      </c>
      <c r="G42" s="32" t="s">
        <v>8276</v>
      </c>
      <c r="H42" s="32" t="s">
        <v>8277</v>
      </c>
      <c r="I42" s="24" t="s">
        <v>8278</v>
      </c>
      <c r="J42" s="28" t="s">
        <v>7994</v>
      </c>
      <c r="K42" s="29" t="n">
        <f aca="false">COUNTIF(A타입_제작표!$N$2:$N$799,"*"&amp;C42&amp;"*")</f>
        <v>6</v>
      </c>
    </row>
    <row r="43" customFormat="false" ht="15" hidden="false" customHeight="false" outlineLevel="0" collapsed="false">
      <c r="A43" s="29" t="s">
        <v>8279</v>
      </c>
      <c r="B43" s="24" t="s">
        <v>3931</v>
      </c>
      <c r="C43" s="23" t="s">
        <v>3931</v>
      </c>
      <c r="D43" s="23" t="s">
        <v>88</v>
      </c>
      <c r="E43" s="24" t="s">
        <v>8280</v>
      </c>
      <c r="F43" s="24" t="s">
        <v>8152</v>
      </c>
      <c r="G43" s="32" t="s">
        <v>8281</v>
      </c>
      <c r="H43" s="32" t="s">
        <v>8282</v>
      </c>
      <c r="I43" s="24" t="s">
        <v>8283</v>
      </c>
      <c r="J43" s="28" t="s">
        <v>7994</v>
      </c>
      <c r="K43" s="29" t="n">
        <f aca="false">COUNTIF(A타입_제작표!$N$2:$N$799,"*"&amp;C43&amp;"*")</f>
        <v>23</v>
      </c>
    </row>
    <row r="44" customFormat="false" ht="15" hidden="false" customHeight="false" outlineLevel="0" collapsed="false">
      <c r="A44" s="29" t="s">
        <v>8284</v>
      </c>
      <c r="B44" s="24" t="s">
        <v>4173</v>
      </c>
      <c r="C44" s="23" t="s">
        <v>4173</v>
      </c>
      <c r="D44" s="23" t="s">
        <v>88</v>
      </c>
      <c r="E44" s="24" t="s">
        <v>8285</v>
      </c>
      <c r="F44" s="24" t="s">
        <v>8029</v>
      </c>
      <c r="G44" s="32" t="s">
        <v>8286</v>
      </c>
      <c r="H44" s="32" t="s">
        <v>8287</v>
      </c>
      <c r="I44" s="24" t="s">
        <v>8288</v>
      </c>
      <c r="J44" s="28" t="s">
        <v>7994</v>
      </c>
      <c r="K44" s="29" t="n">
        <f aca="false">COUNTIF(A타입_제작표!$N$2:$N$799,"*"&amp;C44&amp;"*")</f>
        <v>20</v>
      </c>
    </row>
    <row r="45" customFormat="false" ht="15" hidden="false" customHeight="false" outlineLevel="0" collapsed="false">
      <c r="A45" s="29" t="s">
        <v>8289</v>
      </c>
      <c r="B45" s="24" t="s">
        <v>4381</v>
      </c>
      <c r="C45" s="23" t="s">
        <v>4381</v>
      </c>
      <c r="D45" s="23" t="s">
        <v>88</v>
      </c>
      <c r="E45" s="24" t="s">
        <v>4381</v>
      </c>
      <c r="F45" s="28" t="s">
        <v>8290</v>
      </c>
      <c r="G45" s="32" t="s">
        <v>8291</v>
      </c>
      <c r="H45" s="32" t="s">
        <v>8292</v>
      </c>
      <c r="I45" s="24" t="s">
        <v>8293</v>
      </c>
      <c r="J45" s="24" t="s">
        <v>8294</v>
      </c>
      <c r="K45" s="29" t="n">
        <f aca="false">COUNTIF(A타입_제작표!$N$2:$N$799,"*"&amp;C45&amp;"*")</f>
        <v>14</v>
      </c>
    </row>
    <row r="46" customFormat="false" ht="15" hidden="false" customHeight="false" outlineLevel="0" collapsed="false">
      <c r="A46" s="29" t="s">
        <v>8295</v>
      </c>
      <c r="B46" s="24" t="s">
        <v>4507</v>
      </c>
      <c r="C46" s="23" t="s">
        <v>4507</v>
      </c>
      <c r="D46" s="23" t="s">
        <v>88</v>
      </c>
      <c r="E46" s="24" t="s">
        <v>4507</v>
      </c>
      <c r="F46" s="28" t="s">
        <v>8296</v>
      </c>
      <c r="G46" s="32" t="s">
        <v>8297</v>
      </c>
      <c r="H46" s="32" t="s">
        <v>8298</v>
      </c>
      <c r="I46" s="24" t="s">
        <v>8299</v>
      </c>
      <c r="J46" s="24" t="s">
        <v>8300</v>
      </c>
      <c r="K46" s="29" t="n">
        <f aca="false">COUNTIF(A타입_제작표!$N$2:$N$799,"*"&amp;C46&amp;"*")</f>
        <v>11</v>
      </c>
    </row>
    <row r="47" customFormat="false" ht="15" hidden="false" customHeight="false" outlineLevel="0" collapsed="false">
      <c r="A47" s="29" t="s">
        <v>8301</v>
      </c>
      <c r="B47" s="24" t="s">
        <v>8302</v>
      </c>
      <c r="C47" s="23" t="s">
        <v>8303</v>
      </c>
      <c r="D47" s="23" t="s">
        <v>88</v>
      </c>
      <c r="E47" s="24" t="s">
        <v>8304</v>
      </c>
      <c r="F47" s="24" t="s">
        <v>8046</v>
      </c>
      <c r="G47" s="32" t="s">
        <v>8305</v>
      </c>
      <c r="H47" s="32" t="s">
        <v>8306</v>
      </c>
      <c r="I47" s="24" t="s">
        <v>8307</v>
      </c>
      <c r="J47" s="24" t="s">
        <v>8308</v>
      </c>
      <c r="K47" s="29" t="n">
        <f aca="false">COUNTIF(A타입_제작표!$N$2:$N$799,"*"&amp;C47&amp;"*")</f>
        <v>2</v>
      </c>
    </row>
    <row r="48" customFormat="false" ht="15" hidden="false" customHeight="false" outlineLevel="0" collapsed="false">
      <c r="A48" s="29" t="s">
        <v>8309</v>
      </c>
      <c r="B48" s="24" t="s">
        <v>8310</v>
      </c>
      <c r="C48" s="23" t="s">
        <v>8310</v>
      </c>
      <c r="D48" s="23" t="s">
        <v>88</v>
      </c>
      <c r="E48" s="24" t="s">
        <v>8311</v>
      </c>
      <c r="F48" s="24" t="s">
        <v>8152</v>
      </c>
      <c r="G48" s="32" t="s">
        <v>8312</v>
      </c>
      <c r="H48" s="32" t="s">
        <v>8313</v>
      </c>
      <c r="I48" s="24" t="s">
        <v>8270</v>
      </c>
      <c r="J48" s="28" t="s">
        <v>7994</v>
      </c>
      <c r="K48" s="29" t="n">
        <f aca="false">COUNTIF(A타입_제작표!$N$2:$N$799,"*"&amp;C48&amp;"*")</f>
        <v>9</v>
      </c>
    </row>
    <row r="49" customFormat="false" ht="15" hidden="false" customHeight="false" outlineLevel="0" collapsed="false">
      <c r="A49" s="29" t="s">
        <v>8314</v>
      </c>
      <c r="B49" s="24" t="s">
        <v>3297</v>
      </c>
      <c r="C49" s="23" t="s">
        <v>3297</v>
      </c>
      <c r="D49" s="23" t="s">
        <v>88</v>
      </c>
      <c r="E49" s="24" t="s">
        <v>3297</v>
      </c>
      <c r="F49" s="24" t="s">
        <v>8046</v>
      </c>
      <c r="G49" s="32" t="s">
        <v>8315</v>
      </c>
      <c r="H49" s="32" t="s">
        <v>8316</v>
      </c>
      <c r="I49" s="24" t="s">
        <v>8317</v>
      </c>
      <c r="J49" s="24" t="s">
        <v>8318</v>
      </c>
      <c r="K49" s="29" t="n">
        <f aca="false">COUNTIF(A타입_제작표!$N$2:$N$799,"*"&amp;C49&amp;"*")</f>
        <v>7</v>
      </c>
    </row>
    <row r="50" customFormat="false" ht="26.85" hidden="false" customHeight="false" outlineLevel="0" collapsed="false">
      <c r="A50" s="29" t="s">
        <v>8319</v>
      </c>
      <c r="B50" s="24" t="s">
        <v>8320</v>
      </c>
      <c r="C50" s="23" t="s">
        <v>8321</v>
      </c>
      <c r="D50" s="23" t="s">
        <v>88</v>
      </c>
      <c r="E50" s="24" t="s">
        <v>3297</v>
      </c>
      <c r="F50" s="24" t="s">
        <v>8152</v>
      </c>
      <c r="G50" s="32" t="s">
        <v>8322</v>
      </c>
      <c r="H50" s="32" t="s">
        <v>8323</v>
      </c>
      <c r="I50" s="24" t="s">
        <v>8324</v>
      </c>
      <c r="J50" s="24" t="s">
        <v>8325</v>
      </c>
      <c r="K50" s="29" t="n">
        <f aca="false">COUNTIF(A타입_제작표!$N$2:$N$799,"*"&amp;C50&amp;"*")</f>
        <v>7</v>
      </c>
    </row>
    <row r="51" customFormat="false" ht="26.85" hidden="false" customHeight="false" outlineLevel="0" collapsed="false">
      <c r="A51" s="29" t="s">
        <v>8326</v>
      </c>
      <c r="B51" s="24" t="s">
        <v>8327</v>
      </c>
      <c r="C51" s="23" t="s">
        <v>3214</v>
      </c>
      <c r="D51" s="23" t="s">
        <v>88</v>
      </c>
      <c r="E51" s="24" t="s">
        <v>8328</v>
      </c>
      <c r="F51" s="24" t="s">
        <v>8152</v>
      </c>
      <c r="G51" s="32" t="s">
        <v>8329</v>
      </c>
      <c r="H51" s="32" t="s">
        <v>8330</v>
      </c>
      <c r="I51" s="24" t="s">
        <v>8331</v>
      </c>
      <c r="J51" s="28" t="s">
        <v>7994</v>
      </c>
      <c r="K51" s="29" t="n">
        <f aca="false">COUNTIF(A타입_제작표!$N$2:$N$799,"*"&amp;C51&amp;"*")</f>
        <v>7</v>
      </c>
    </row>
    <row r="52" customFormat="false" ht="15" hidden="false" customHeight="false" outlineLevel="0" collapsed="false">
      <c r="A52" s="29" t="s">
        <v>8332</v>
      </c>
      <c r="B52" s="24" t="s">
        <v>3426</v>
      </c>
      <c r="C52" s="23" t="s">
        <v>3426</v>
      </c>
      <c r="D52" s="23" t="s">
        <v>88</v>
      </c>
      <c r="E52" s="24" t="s">
        <v>3390</v>
      </c>
      <c r="F52" s="24" t="s">
        <v>8152</v>
      </c>
      <c r="G52" s="32" t="s">
        <v>8333</v>
      </c>
      <c r="H52" s="32" t="s">
        <v>8334</v>
      </c>
      <c r="I52" s="24" t="s">
        <v>8335</v>
      </c>
      <c r="J52" s="24" t="s">
        <v>8336</v>
      </c>
      <c r="K52" s="29" t="n">
        <f aca="false">COUNTIF(A타입_제작표!$N$2:$N$799,"*"&amp;C52&amp;"*")</f>
        <v>11</v>
      </c>
    </row>
    <row r="53" customFormat="false" ht="15" hidden="false" customHeight="false" outlineLevel="0" collapsed="false">
      <c r="A53" s="29" t="s">
        <v>8337</v>
      </c>
      <c r="B53" s="24" t="s">
        <v>4735</v>
      </c>
      <c r="C53" s="23" t="s">
        <v>4735</v>
      </c>
      <c r="D53" s="23" t="s">
        <v>88</v>
      </c>
      <c r="E53" s="24" t="s">
        <v>4735</v>
      </c>
      <c r="F53" s="24" t="s">
        <v>8152</v>
      </c>
      <c r="G53" s="32" t="s">
        <v>8338</v>
      </c>
      <c r="H53" s="32" t="s">
        <v>8339</v>
      </c>
      <c r="I53" s="24" t="s">
        <v>8340</v>
      </c>
      <c r="J53" s="24" t="s">
        <v>8341</v>
      </c>
      <c r="K53" s="29" t="n">
        <f aca="false">COUNTIF(A타입_제작표!$N$2:$N$799,"*"&amp;C53&amp;"*")</f>
        <v>10</v>
      </c>
    </row>
    <row r="54" customFormat="false" ht="15" hidden="false" customHeight="false" outlineLevel="0" collapsed="false">
      <c r="A54" s="29" t="s">
        <v>8342</v>
      </c>
      <c r="B54" s="24" t="s">
        <v>8343</v>
      </c>
      <c r="C54" s="23" t="s">
        <v>8344</v>
      </c>
      <c r="D54" s="23" t="s">
        <v>4950</v>
      </c>
      <c r="E54" s="24" t="s">
        <v>8345</v>
      </c>
      <c r="F54" s="28" t="s">
        <v>8346</v>
      </c>
      <c r="G54" s="32" t="s">
        <v>8347</v>
      </c>
      <c r="H54" s="32" t="s">
        <v>8348</v>
      </c>
      <c r="I54" s="24" t="s">
        <v>8349</v>
      </c>
      <c r="J54" s="24" t="s">
        <v>8350</v>
      </c>
      <c r="K54" s="29" t="n">
        <f aca="false">COUNTIF(A타입_제작표!$N$2:$N$799,"*"&amp;C54&amp;"*")</f>
        <v>20</v>
      </c>
    </row>
    <row r="55" customFormat="false" ht="15" hidden="false" customHeight="false" outlineLevel="0" collapsed="false">
      <c r="A55" s="29" t="s">
        <v>8351</v>
      </c>
      <c r="B55" s="24" t="s">
        <v>8352</v>
      </c>
      <c r="C55" s="23" t="s">
        <v>8113</v>
      </c>
      <c r="D55" s="23" t="s">
        <v>4950</v>
      </c>
      <c r="E55" s="24" t="s">
        <v>8353</v>
      </c>
      <c r="F55" s="24" t="s">
        <v>8046</v>
      </c>
      <c r="G55" s="32" t="s">
        <v>8354</v>
      </c>
      <c r="H55" s="32" t="s">
        <v>8355</v>
      </c>
      <c r="I55" s="24" t="s">
        <v>8356</v>
      </c>
      <c r="J55" s="24" t="s">
        <v>8357</v>
      </c>
      <c r="K55" s="29" t="n">
        <f aca="false">COUNTIF(A타입_제작표!$N$2:$N$799,"*"&amp;C55&amp;"*")</f>
        <v>23</v>
      </c>
    </row>
    <row r="56" customFormat="false" ht="15" hidden="false" customHeight="false" outlineLevel="0" collapsed="false">
      <c r="A56" s="29" t="s">
        <v>8358</v>
      </c>
      <c r="B56" s="24" t="s">
        <v>8359</v>
      </c>
      <c r="C56" s="23" t="s">
        <v>8359</v>
      </c>
      <c r="D56" s="23" t="s">
        <v>4950</v>
      </c>
      <c r="E56" s="24" t="s">
        <v>7942</v>
      </c>
      <c r="F56" s="28" t="s">
        <v>8360</v>
      </c>
      <c r="G56" s="32" t="s">
        <v>8361</v>
      </c>
      <c r="H56" s="32" t="s">
        <v>8362</v>
      </c>
      <c r="I56" s="24" t="s">
        <v>8363</v>
      </c>
      <c r="J56" s="24" t="s">
        <v>8245</v>
      </c>
      <c r="K56" s="29" t="n">
        <f aca="false">COUNTIF(A타입_제작표!$N$2:$N$799,"*"&amp;C56&amp;"*")</f>
        <v>5</v>
      </c>
    </row>
    <row r="57" customFormat="false" ht="15" hidden="false" customHeight="false" outlineLevel="0" collapsed="false">
      <c r="A57" s="29" t="s">
        <v>8364</v>
      </c>
      <c r="B57" s="24" t="s">
        <v>8365</v>
      </c>
      <c r="C57" s="23" t="s">
        <v>7180</v>
      </c>
      <c r="D57" s="23" t="s">
        <v>4950</v>
      </c>
      <c r="E57" s="24" t="s">
        <v>8366</v>
      </c>
      <c r="F57" s="28" t="s">
        <v>8367</v>
      </c>
      <c r="G57" s="32" t="s">
        <v>8368</v>
      </c>
      <c r="H57" s="32" t="s">
        <v>8369</v>
      </c>
      <c r="I57" s="24" t="s">
        <v>8370</v>
      </c>
      <c r="J57" s="24" t="s">
        <v>8371</v>
      </c>
      <c r="K57" s="29" t="n">
        <f aca="false">COUNTIF(A타입_제작표!$N$2:$N$799,"*"&amp;C57&amp;"*")</f>
        <v>32</v>
      </c>
    </row>
    <row r="58" customFormat="false" ht="15" hidden="false" customHeight="false" outlineLevel="0" collapsed="false">
      <c r="A58" s="29" t="s">
        <v>8372</v>
      </c>
      <c r="B58" s="24" t="s">
        <v>8373</v>
      </c>
      <c r="C58" s="23" t="s">
        <v>8374</v>
      </c>
      <c r="D58" s="23" t="s">
        <v>4950</v>
      </c>
      <c r="E58" s="24" t="s">
        <v>8002</v>
      </c>
      <c r="F58" s="28" t="s">
        <v>8375</v>
      </c>
      <c r="G58" s="32" t="s">
        <v>8376</v>
      </c>
      <c r="H58" s="32" t="s">
        <v>8377</v>
      </c>
      <c r="I58" s="24" t="s">
        <v>8378</v>
      </c>
      <c r="J58" s="24" t="s">
        <v>8379</v>
      </c>
      <c r="K58" s="29" t="n">
        <f aca="false">COUNTIF(A타입_제작표!$N$2:$N$799,"*"&amp;C58&amp;"*")</f>
        <v>30</v>
      </c>
    </row>
    <row r="59" customFormat="false" ht="26.85" hidden="false" customHeight="false" outlineLevel="0" collapsed="false">
      <c r="A59" s="29" t="s">
        <v>8380</v>
      </c>
      <c r="B59" s="24" t="s">
        <v>8381</v>
      </c>
      <c r="C59" s="23" t="s">
        <v>8382</v>
      </c>
      <c r="D59" s="23" t="s">
        <v>4950</v>
      </c>
      <c r="E59" s="24" t="s">
        <v>7942</v>
      </c>
      <c r="F59" s="28" t="s">
        <v>8383</v>
      </c>
      <c r="G59" s="32" t="s">
        <v>8384</v>
      </c>
      <c r="H59" s="32" t="s">
        <v>8385</v>
      </c>
      <c r="I59" s="28" t="s">
        <v>7994</v>
      </c>
      <c r="J59" s="28" t="s">
        <v>8386</v>
      </c>
      <c r="K59" s="29" t="n">
        <f aca="false">COUNTIF(A타입_제작표!$N$2:$N$799,"*"&amp;C59&amp;"*")</f>
        <v>33</v>
      </c>
    </row>
    <row r="60" customFormat="false" ht="15" hidden="false" customHeight="false" outlineLevel="0" collapsed="false">
      <c r="A60" s="29" t="s">
        <v>8387</v>
      </c>
      <c r="B60" s="24" t="s">
        <v>8388</v>
      </c>
      <c r="C60" s="23" t="s">
        <v>8388</v>
      </c>
      <c r="D60" s="23" t="s">
        <v>4950</v>
      </c>
      <c r="E60" s="24" t="s">
        <v>8345</v>
      </c>
      <c r="F60" s="28" t="s">
        <v>8389</v>
      </c>
      <c r="G60" s="32" t="s">
        <v>8390</v>
      </c>
      <c r="H60" s="32" t="s">
        <v>8391</v>
      </c>
      <c r="I60" s="24" t="s">
        <v>8392</v>
      </c>
      <c r="J60" s="24" t="s">
        <v>8393</v>
      </c>
      <c r="K60" s="29" t="n">
        <f aca="false">COUNTIF(A타입_제작표!$N$2:$N$799,"*"&amp;C60&amp;"*")</f>
        <v>0</v>
      </c>
    </row>
    <row r="61" customFormat="false" ht="26.85" hidden="false" customHeight="false" outlineLevel="0" collapsed="false">
      <c r="A61" s="29" t="s">
        <v>8394</v>
      </c>
      <c r="B61" s="24" t="s">
        <v>8395</v>
      </c>
      <c r="C61" s="23" t="s">
        <v>8396</v>
      </c>
      <c r="D61" s="23" t="s">
        <v>4950</v>
      </c>
      <c r="E61" s="24" t="s">
        <v>7942</v>
      </c>
      <c r="F61" s="24" t="s">
        <v>8037</v>
      </c>
      <c r="G61" s="32" t="s">
        <v>8397</v>
      </c>
      <c r="H61" s="32" t="s">
        <v>8398</v>
      </c>
      <c r="I61" s="28" t="s">
        <v>7994</v>
      </c>
      <c r="J61" s="24" t="s">
        <v>8399</v>
      </c>
      <c r="K61" s="29" t="n">
        <f aca="false">COUNTIF(A타입_제작표!$N$2:$N$799,"*"&amp;C61&amp;"*")</f>
        <v>2</v>
      </c>
    </row>
    <row r="62" customFormat="false" ht="26.85" hidden="false" customHeight="false" outlineLevel="0" collapsed="false">
      <c r="A62" s="29" t="s">
        <v>8400</v>
      </c>
      <c r="B62" s="24" t="s">
        <v>8401</v>
      </c>
      <c r="C62" s="23" t="s">
        <v>8402</v>
      </c>
      <c r="D62" s="23" t="s">
        <v>4950</v>
      </c>
      <c r="E62" s="24" t="s">
        <v>8403</v>
      </c>
      <c r="F62" s="24" t="s">
        <v>8152</v>
      </c>
      <c r="G62" s="32" t="s">
        <v>8404</v>
      </c>
      <c r="H62" s="32" t="s">
        <v>8405</v>
      </c>
      <c r="I62" s="24" t="s">
        <v>8406</v>
      </c>
      <c r="J62" s="28" t="s">
        <v>7994</v>
      </c>
      <c r="K62" s="29" t="n">
        <f aca="false">COUNTIF(A타입_제작표!$N$2:$N$799,"*"&amp;C62&amp;"*")</f>
        <v>1</v>
      </c>
    </row>
    <row r="63" customFormat="false" ht="15" hidden="false" customHeight="false" outlineLevel="0" collapsed="false">
      <c r="A63" s="29" t="s">
        <v>8407</v>
      </c>
      <c r="B63" s="24" t="s">
        <v>8408</v>
      </c>
      <c r="C63" s="23" t="s">
        <v>8409</v>
      </c>
      <c r="D63" s="23" t="s">
        <v>4950</v>
      </c>
      <c r="E63" s="24" t="s">
        <v>7942</v>
      </c>
      <c r="F63" s="24" t="s">
        <v>8152</v>
      </c>
      <c r="G63" s="32" t="s">
        <v>8410</v>
      </c>
      <c r="H63" s="32" t="s">
        <v>8411</v>
      </c>
      <c r="I63" s="24" t="s">
        <v>8412</v>
      </c>
      <c r="J63" s="28" t="s">
        <v>7994</v>
      </c>
      <c r="K63" s="29" t="n">
        <f aca="false">COUNTIF(A타입_제작표!$N$2:$N$799,"*"&amp;C63&amp;"*")</f>
        <v>2</v>
      </c>
    </row>
    <row r="64" customFormat="false" ht="26.85" hidden="false" customHeight="false" outlineLevel="0" collapsed="false">
      <c r="A64" s="29" t="s">
        <v>8413</v>
      </c>
      <c r="B64" s="24" t="s">
        <v>8414</v>
      </c>
      <c r="C64" s="23" t="s">
        <v>6466</v>
      </c>
      <c r="D64" s="23" t="s">
        <v>4950</v>
      </c>
      <c r="E64" s="24" t="s">
        <v>8415</v>
      </c>
      <c r="F64" s="24" t="s">
        <v>8029</v>
      </c>
      <c r="G64" s="32" t="s">
        <v>8416</v>
      </c>
      <c r="H64" s="32" t="s">
        <v>8417</v>
      </c>
      <c r="I64" s="24" t="s">
        <v>8418</v>
      </c>
      <c r="J64" s="24" t="s">
        <v>8419</v>
      </c>
      <c r="K64" s="29" t="n">
        <f aca="false">COUNTIF(A타입_제작표!$N$2:$N$799,"*"&amp;C64&amp;"*")</f>
        <v>82</v>
      </c>
    </row>
    <row r="65" customFormat="false" ht="26.85" hidden="false" customHeight="false" outlineLevel="0" collapsed="false">
      <c r="A65" s="29" t="s">
        <v>8420</v>
      </c>
      <c r="B65" s="24" t="s">
        <v>8421</v>
      </c>
      <c r="C65" s="23" t="s">
        <v>8422</v>
      </c>
      <c r="D65" s="23" t="s">
        <v>4950</v>
      </c>
      <c r="E65" s="24" t="s">
        <v>8423</v>
      </c>
      <c r="F65" s="24" t="s">
        <v>8037</v>
      </c>
      <c r="G65" s="32" t="s">
        <v>8424</v>
      </c>
      <c r="H65" s="32" t="s">
        <v>8425</v>
      </c>
      <c r="I65" s="24" t="s">
        <v>8426</v>
      </c>
      <c r="J65" s="28" t="s">
        <v>7994</v>
      </c>
      <c r="K65" s="29" t="n">
        <f aca="false">COUNTIF(A타입_제작표!$N$2:$N$799,"*"&amp;C65&amp;"*")</f>
        <v>7</v>
      </c>
    </row>
    <row r="66" customFormat="false" ht="15" hidden="false" customHeight="false" outlineLevel="0" collapsed="false">
      <c r="A66" s="29" t="s">
        <v>8427</v>
      </c>
      <c r="B66" s="24" t="s">
        <v>8428</v>
      </c>
      <c r="C66" s="23" t="s">
        <v>8429</v>
      </c>
      <c r="D66" s="23" t="s">
        <v>4950</v>
      </c>
      <c r="E66" s="24" t="s">
        <v>8430</v>
      </c>
      <c r="F66" s="24" t="s">
        <v>8046</v>
      </c>
      <c r="G66" s="32" t="s">
        <v>8431</v>
      </c>
      <c r="H66" s="32" t="s">
        <v>8432</v>
      </c>
      <c r="I66" s="24" t="s">
        <v>8307</v>
      </c>
      <c r="J66" s="24" t="s">
        <v>8433</v>
      </c>
      <c r="K66" s="29" t="n">
        <f aca="false">COUNTIF(A타입_제작표!$N$2:$N$799,"*"&amp;C66&amp;"*")</f>
        <v>2</v>
      </c>
    </row>
    <row r="67" customFormat="false" ht="26.85" hidden="false" customHeight="false" outlineLevel="0" collapsed="false">
      <c r="A67" s="29" t="s">
        <v>8434</v>
      </c>
      <c r="B67" s="24" t="s">
        <v>8435</v>
      </c>
      <c r="C67" s="23" t="s">
        <v>8436</v>
      </c>
      <c r="D67" s="23" t="s">
        <v>8437</v>
      </c>
      <c r="E67" s="28" t="s">
        <v>8438</v>
      </c>
      <c r="F67" s="24" t="s">
        <v>8439</v>
      </c>
      <c r="G67" s="32" t="s">
        <v>8440</v>
      </c>
      <c r="H67" s="32" t="s">
        <v>8441</v>
      </c>
      <c r="I67" s="24" t="s">
        <v>8442</v>
      </c>
      <c r="J67" s="24" t="s">
        <v>8443</v>
      </c>
      <c r="K67" s="29" t="n">
        <f aca="false">COUNTIF(A타입_제작표!$N$2:$N$799,"*"&amp;C67&amp;"*")</f>
        <v>0</v>
      </c>
    </row>
    <row r="68" customFormat="false" ht="26.85" hidden="false" customHeight="false" outlineLevel="0" collapsed="false">
      <c r="A68" s="29" t="s">
        <v>8444</v>
      </c>
      <c r="B68" s="24" t="s">
        <v>8445</v>
      </c>
      <c r="C68" s="23" t="s">
        <v>8446</v>
      </c>
      <c r="D68" s="23" t="s">
        <v>8437</v>
      </c>
      <c r="E68" s="28" t="s">
        <v>8438</v>
      </c>
      <c r="F68" s="24" t="s">
        <v>8447</v>
      </c>
      <c r="G68" s="32" t="s">
        <v>8440</v>
      </c>
      <c r="H68" s="32" t="s">
        <v>8441</v>
      </c>
      <c r="I68" s="24" t="s">
        <v>8448</v>
      </c>
      <c r="J68" s="24" t="s">
        <v>8443</v>
      </c>
      <c r="K68" s="29" t="n">
        <f aca="false">COUNTIF(A타입_제작표!$N$2:$N$799,"*"&amp;C68&amp;"*")</f>
        <v>0</v>
      </c>
    </row>
    <row r="69" customFormat="false" ht="26.85" hidden="false" customHeight="false" outlineLevel="0" collapsed="false">
      <c r="A69" s="29" t="s">
        <v>8449</v>
      </c>
      <c r="B69" s="24" t="s">
        <v>8450</v>
      </c>
      <c r="C69" s="23" t="s">
        <v>8451</v>
      </c>
      <c r="D69" s="23" t="s">
        <v>8437</v>
      </c>
      <c r="E69" s="28" t="s">
        <v>8452</v>
      </c>
      <c r="F69" s="28" t="s">
        <v>8453</v>
      </c>
      <c r="G69" s="32" t="s">
        <v>8440</v>
      </c>
      <c r="H69" s="32" t="s">
        <v>8454</v>
      </c>
      <c r="I69" s="24" t="s">
        <v>8455</v>
      </c>
      <c r="J69" s="24" t="s">
        <v>8456</v>
      </c>
      <c r="K69" s="29" t="n">
        <f aca="false">COUNTIF(A타입_제작표!$N$2:$N$799,"*"&amp;C69&amp;"*")</f>
        <v>0</v>
      </c>
    </row>
    <row r="71" customFormat="false" ht="15" hidden="false" customHeight="false" outlineLevel="0" collapsed="false">
      <c r="A71" s="17" t="s">
        <v>8457</v>
      </c>
    </row>
    <row r="72" customFormat="false" ht="15" hidden="false" customHeight="false" outlineLevel="0" collapsed="false">
      <c r="A72" s="8" t="s">
        <v>8458</v>
      </c>
    </row>
    <row r="73" customFormat="false" ht="15" hidden="false" customHeight="false" outlineLevel="0" collapsed="false">
      <c r="A73" s="7" t="s">
        <v>8459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8460</v>
      </c>
    </row>
    <row r="2" customFormat="false" ht="15" hidden="false" customHeight="false" outlineLevel="0" collapsed="false">
      <c r="A2" s="2" t="s">
        <v>8461</v>
      </c>
    </row>
    <row r="4" customFormat="false" ht="16.4" hidden="false" customHeight="false" outlineLevel="0" collapsed="false">
      <c r="A4" s="34" t="s">
        <v>8462</v>
      </c>
      <c r="B4" s="4"/>
      <c r="C4" s="4"/>
      <c r="D4" s="4"/>
    </row>
    <row r="5" customFormat="false" ht="15" hidden="false" customHeight="false" outlineLevel="0" collapsed="false">
      <c r="A5" s="35" t="s">
        <v>8463</v>
      </c>
      <c r="B5" s="35" t="s">
        <v>8464</v>
      </c>
    </row>
    <row r="6" customFormat="false" ht="26.85" hidden="false" customHeight="false" outlineLevel="0" collapsed="false">
      <c r="A6" s="24" t="s">
        <v>8465</v>
      </c>
      <c r="B6" s="24" t="s">
        <v>8466</v>
      </c>
    </row>
    <row r="7" customFormat="false" ht="26.85" hidden="false" customHeight="false" outlineLevel="0" collapsed="false">
      <c r="A7" s="24" t="s">
        <v>8467</v>
      </c>
      <c r="B7" s="24" t="s">
        <v>8468</v>
      </c>
    </row>
    <row r="8" customFormat="false" ht="26.85" hidden="false" customHeight="false" outlineLevel="0" collapsed="false">
      <c r="A8" s="24" t="s">
        <v>8469</v>
      </c>
      <c r="B8" s="24" t="s">
        <v>8470</v>
      </c>
    </row>
    <row r="9" customFormat="false" ht="26.85" hidden="false" customHeight="false" outlineLevel="0" collapsed="false">
      <c r="A9" s="24" t="s">
        <v>8471</v>
      </c>
      <c r="B9" s="24" t="s">
        <v>8472</v>
      </c>
    </row>
    <row r="11" customFormat="false" ht="16.4" hidden="false" customHeight="false" outlineLevel="0" collapsed="false">
      <c r="A11" s="34" t="s">
        <v>8473</v>
      </c>
      <c r="B11" s="4"/>
      <c r="C11" s="4"/>
      <c r="D11" s="4"/>
    </row>
    <row r="12" customFormat="false" ht="15" hidden="false" customHeight="false" outlineLevel="0" collapsed="false">
      <c r="A12" s="35" t="s">
        <v>8474</v>
      </c>
      <c r="B12" s="35" t="s">
        <v>8475</v>
      </c>
      <c r="C12" s="35" t="s">
        <v>8476</v>
      </c>
      <c r="D12" s="35" t="s">
        <v>8477</v>
      </c>
    </row>
    <row r="13" customFormat="false" ht="26.85" hidden="false" customHeight="false" outlineLevel="0" collapsed="false">
      <c r="A13" s="24" t="s">
        <v>8478</v>
      </c>
      <c r="B13" s="24" t="s">
        <v>8479</v>
      </c>
      <c r="C13" s="24" t="s">
        <v>8480</v>
      </c>
      <c r="D13" s="28" t="s">
        <v>8481</v>
      </c>
    </row>
    <row r="14" customFormat="false" ht="39.55" hidden="false" customHeight="false" outlineLevel="0" collapsed="false">
      <c r="A14" s="24" t="s">
        <v>8482</v>
      </c>
      <c r="B14" s="24" t="s">
        <v>8483</v>
      </c>
      <c r="C14" s="24" t="s">
        <v>8484</v>
      </c>
      <c r="D14" s="28" t="s">
        <v>8481</v>
      </c>
    </row>
    <row r="15" customFormat="false" ht="26.85" hidden="false" customHeight="false" outlineLevel="0" collapsed="false">
      <c r="A15" s="24" t="s">
        <v>6835</v>
      </c>
      <c r="B15" s="24" t="s">
        <v>8485</v>
      </c>
      <c r="C15" s="24" t="s">
        <v>8486</v>
      </c>
      <c r="D15" s="28" t="s">
        <v>8481</v>
      </c>
    </row>
    <row r="16" customFormat="false" ht="15" hidden="false" customHeight="false" outlineLevel="0" collapsed="false">
      <c r="A16" s="24" t="s">
        <v>8487</v>
      </c>
      <c r="B16" s="24" t="s">
        <v>8488</v>
      </c>
      <c r="C16" s="24" t="s">
        <v>8489</v>
      </c>
      <c r="D16" s="28" t="s">
        <v>8481</v>
      </c>
    </row>
    <row r="17" customFormat="false" ht="26.85" hidden="false" customHeight="false" outlineLevel="0" collapsed="false">
      <c r="A17" s="24" t="s">
        <v>8490</v>
      </c>
      <c r="B17" s="24" t="s">
        <v>8491</v>
      </c>
      <c r="C17" s="24" t="s">
        <v>8492</v>
      </c>
      <c r="D17" s="28" t="s">
        <v>8481</v>
      </c>
    </row>
    <row r="18" customFormat="false" ht="26.85" hidden="false" customHeight="false" outlineLevel="0" collapsed="false">
      <c r="A18" s="24" t="s">
        <v>8493</v>
      </c>
      <c r="B18" s="24" t="s">
        <v>8494</v>
      </c>
      <c r="C18" s="24" t="s">
        <v>8495</v>
      </c>
      <c r="D18" s="28" t="s">
        <v>8481</v>
      </c>
    </row>
    <row r="19" customFormat="false" ht="26.85" hidden="false" customHeight="false" outlineLevel="0" collapsed="false">
      <c r="A19" s="24" t="s">
        <v>8496</v>
      </c>
      <c r="B19" s="24" t="s">
        <v>8497</v>
      </c>
      <c r="C19" s="24" t="s">
        <v>8498</v>
      </c>
      <c r="D19" s="28" t="s">
        <v>8481</v>
      </c>
    </row>
    <row r="20" customFormat="false" ht="26.85" hidden="false" customHeight="false" outlineLevel="0" collapsed="false">
      <c r="A20" s="24" t="s">
        <v>8499</v>
      </c>
      <c r="B20" s="24" t="s">
        <v>8500</v>
      </c>
      <c r="C20" s="24" t="s">
        <v>8501</v>
      </c>
      <c r="D20" s="28" t="s">
        <v>8481</v>
      </c>
    </row>
    <row r="21" customFormat="false" ht="26.85" hidden="false" customHeight="false" outlineLevel="0" collapsed="false">
      <c r="A21" s="24" t="s">
        <v>8502</v>
      </c>
      <c r="B21" s="24" t="s">
        <v>8503</v>
      </c>
      <c r="C21" s="24" t="s">
        <v>8504</v>
      </c>
      <c r="D21" s="28" t="s">
        <v>8481</v>
      </c>
    </row>
    <row r="22" customFormat="false" ht="26.85" hidden="false" customHeight="false" outlineLevel="0" collapsed="false">
      <c r="A22" s="24" t="s">
        <v>8505</v>
      </c>
      <c r="B22" s="24" t="s">
        <v>8506</v>
      </c>
      <c r="C22" s="24" t="s">
        <v>8507</v>
      </c>
      <c r="D22" s="28" t="s">
        <v>8481</v>
      </c>
    </row>
    <row r="23" customFormat="false" ht="26.85" hidden="false" customHeight="false" outlineLevel="0" collapsed="false">
      <c r="A23" s="24" t="s">
        <v>8508</v>
      </c>
      <c r="B23" s="24" t="s">
        <v>8509</v>
      </c>
      <c r="C23" s="24" t="s">
        <v>8510</v>
      </c>
      <c r="D23" s="28" t="s">
        <v>8481</v>
      </c>
    </row>
    <row r="24" customFormat="false" ht="26.85" hidden="false" customHeight="false" outlineLevel="0" collapsed="false">
      <c r="A24" s="24" t="s">
        <v>8511</v>
      </c>
      <c r="B24" s="24" t="s">
        <v>8512</v>
      </c>
      <c r="C24" s="24" t="s">
        <v>8513</v>
      </c>
      <c r="D24" s="28" t="s">
        <v>8481</v>
      </c>
    </row>
    <row r="25" customFormat="false" ht="26.85" hidden="false" customHeight="false" outlineLevel="0" collapsed="false">
      <c r="A25" s="24" t="s">
        <v>6949</v>
      </c>
      <c r="B25" s="24" t="s">
        <v>6951</v>
      </c>
      <c r="C25" s="24" t="s">
        <v>8514</v>
      </c>
      <c r="D25" s="28" t="s">
        <v>8481</v>
      </c>
    </row>
    <row r="26" customFormat="false" ht="26.85" hidden="false" customHeight="false" outlineLevel="0" collapsed="false">
      <c r="A26" s="24" t="s">
        <v>37</v>
      </c>
      <c r="B26" s="24" t="s">
        <v>8515</v>
      </c>
      <c r="C26" s="24" t="s">
        <v>8516</v>
      </c>
      <c r="D26" s="28" t="s">
        <v>8481</v>
      </c>
    </row>
    <row r="28" customFormat="false" ht="16.4" hidden="false" customHeight="false" outlineLevel="0" collapsed="false">
      <c r="A28" s="34" t="s">
        <v>8517</v>
      </c>
      <c r="B28" s="4"/>
      <c r="C28" s="4"/>
      <c r="D28" s="4"/>
    </row>
    <row r="29" customFormat="false" ht="15" hidden="false" customHeight="false" outlineLevel="0" collapsed="false">
      <c r="A29" s="35" t="s">
        <v>8518</v>
      </c>
      <c r="B29" s="35" t="s">
        <v>8519</v>
      </c>
      <c r="C29" s="35" t="s">
        <v>8520</v>
      </c>
      <c r="D29" s="35" t="s">
        <v>8521</v>
      </c>
    </row>
    <row r="30" customFormat="false" ht="26.85" hidden="false" customHeight="false" outlineLevel="0" collapsed="false">
      <c r="A30" s="24" t="s">
        <v>8522</v>
      </c>
      <c r="B30" s="24" t="s">
        <v>8523</v>
      </c>
      <c r="C30" s="24" t="s">
        <v>8524</v>
      </c>
      <c r="D30" s="24" t="s">
        <v>8525</v>
      </c>
    </row>
    <row r="31" customFormat="false" ht="26.85" hidden="false" customHeight="false" outlineLevel="0" collapsed="false">
      <c r="A31" s="24" t="s">
        <v>8526</v>
      </c>
      <c r="B31" s="28" t="s">
        <v>8527</v>
      </c>
      <c r="C31" s="24" t="s">
        <v>8528</v>
      </c>
      <c r="D31" s="28" t="s">
        <v>8529</v>
      </c>
    </row>
    <row r="32" customFormat="false" ht="26.85" hidden="false" customHeight="false" outlineLevel="0" collapsed="false">
      <c r="A32" s="24" t="s">
        <v>8530</v>
      </c>
      <c r="B32" s="24" t="s">
        <v>8531</v>
      </c>
      <c r="C32" s="24" t="s">
        <v>8532</v>
      </c>
      <c r="D32" s="24" t="s">
        <v>8533</v>
      </c>
    </row>
    <row r="33" customFormat="false" ht="15" hidden="false" customHeight="false" outlineLevel="0" collapsed="false">
      <c r="A33" s="28" t="s">
        <v>8534</v>
      </c>
      <c r="B33" s="28" t="s">
        <v>8535</v>
      </c>
      <c r="C33" s="24" t="s">
        <v>8536</v>
      </c>
      <c r="D33" s="24" t="s">
        <v>8537</v>
      </c>
    </row>
    <row r="34" customFormat="false" ht="15" hidden="false" customHeight="false" outlineLevel="0" collapsed="false">
      <c r="A34" s="24" t="s">
        <v>8538</v>
      </c>
      <c r="B34" s="24" t="s">
        <v>8539</v>
      </c>
      <c r="C34" s="24" t="s">
        <v>8540</v>
      </c>
      <c r="D34" s="24" t="s">
        <v>8541</v>
      </c>
    </row>
    <row r="35" customFormat="false" ht="26.85" hidden="false" customHeight="false" outlineLevel="0" collapsed="false">
      <c r="A35" s="24" t="s">
        <v>8542</v>
      </c>
      <c r="B35" s="24" t="s">
        <v>8543</v>
      </c>
      <c r="C35" s="24" t="s">
        <v>8544</v>
      </c>
      <c r="D35" s="24" t="s">
        <v>8545</v>
      </c>
    </row>
    <row r="36" customFormat="false" ht="26.85" hidden="false" customHeight="false" outlineLevel="0" collapsed="false">
      <c r="A36" s="24" t="s">
        <v>8546</v>
      </c>
      <c r="B36" s="24" t="s">
        <v>8547</v>
      </c>
      <c r="C36" s="24" t="s">
        <v>8548</v>
      </c>
      <c r="D36" s="24" t="s">
        <v>8549</v>
      </c>
    </row>
    <row r="37" customFormat="false" ht="15" hidden="false" customHeight="false" outlineLevel="0" collapsed="false">
      <c r="A37" s="24" t="s">
        <v>8550</v>
      </c>
      <c r="B37" s="24" t="s">
        <v>8551</v>
      </c>
      <c r="C37" s="24" t="s">
        <v>8552</v>
      </c>
      <c r="D37" s="24" t="s">
        <v>8553</v>
      </c>
    </row>
    <row r="38" customFormat="false" ht="15" hidden="false" customHeight="false" outlineLevel="0" collapsed="false">
      <c r="A38" s="24" t="s">
        <v>8554</v>
      </c>
      <c r="B38" s="24" t="s">
        <v>8555</v>
      </c>
      <c r="C38" s="24" t="s">
        <v>8556</v>
      </c>
      <c r="D38" s="28" t="s">
        <v>8557</v>
      </c>
    </row>
    <row r="39" customFormat="false" ht="15" hidden="false" customHeight="false" outlineLevel="0" collapsed="false">
      <c r="A39" s="24" t="s">
        <v>8558</v>
      </c>
      <c r="B39" s="24" t="s">
        <v>8559</v>
      </c>
      <c r="C39" s="24" t="s">
        <v>8560</v>
      </c>
      <c r="D39" s="24" t="s">
        <v>8561</v>
      </c>
    </row>
    <row r="40" customFormat="false" ht="15" hidden="false" customHeight="false" outlineLevel="0" collapsed="false">
      <c r="A40" s="24" t="s">
        <v>8562</v>
      </c>
      <c r="B40" s="24" t="s">
        <v>8563</v>
      </c>
      <c r="C40" s="24" t="s">
        <v>8564</v>
      </c>
      <c r="D40" s="24" t="s">
        <v>8565</v>
      </c>
    </row>
    <row r="42" customFormat="false" ht="16.4" hidden="false" customHeight="false" outlineLevel="0" collapsed="false">
      <c r="A42" s="34" t="s">
        <v>8566</v>
      </c>
      <c r="B42" s="4"/>
      <c r="C42" s="4"/>
      <c r="D42" s="4"/>
    </row>
    <row r="43" customFormat="false" ht="15" hidden="false" customHeight="false" outlineLevel="0" collapsed="false">
      <c r="A43" s="35" t="s">
        <v>8567</v>
      </c>
      <c r="B43" s="35" t="s">
        <v>8568</v>
      </c>
    </row>
    <row r="44" customFormat="false" ht="26.85" hidden="false" customHeight="false" outlineLevel="0" collapsed="false">
      <c r="A44" s="24" t="s">
        <v>8569</v>
      </c>
      <c r="B44" s="24" t="s">
        <v>8570</v>
      </c>
    </row>
    <row r="45" customFormat="false" ht="26.85" hidden="false" customHeight="false" outlineLevel="0" collapsed="false">
      <c r="A45" s="24" t="s">
        <v>8571</v>
      </c>
      <c r="B45" s="24" t="s">
        <v>8572</v>
      </c>
    </row>
    <row r="46" customFormat="false" ht="26.85" hidden="false" customHeight="false" outlineLevel="0" collapsed="false">
      <c r="A46" s="24" t="s">
        <v>8573</v>
      </c>
      <c r="B46" s="24" t="s">
        <v>8574</v>
      </c>
    </row>
    <row r="47" customFormat="false" ht="26.85" hidden="false" customHeight="false" outlineLevel="0" collapsed="false">
      <c r="A47" s="24" t="s">
        <v>8575</v>
      </c>
      <c r="B47" s="24" t="s">
        <v>8576</v>
      </c>
    </row>
    <row r="48" customFormat="false" ht="26.85" hidden="false" customHeight="false" outlineLevel="0" collapsed="false">
      <c r="A48" s="24" t="s">
        <v>8577</v>
      </c>
      <c r="B48" s="24" t="s">
        <v>8578</v>
      </c>
    </row>
    <row r="49" customFormat="false" ht="26.85" hidden="false" customHeight="false" outlineLevel="0" collapsed="false">
      <c r="A49" s="24" t="s">
        <v>8579</v>
      </c>
      <c r="B49" s="24" t="s">
        <v>8580</v>
      </c>
    </row>
    <row r="50" customFormat="false" ht="26.85" hidden="false" customHeight="false" outlineLevel="0" collapsed="false">
      <c r="A50" s="24" t="s">
        <v>8581</v>
      </c>
      <c r="B50" s="28" t="s">
        <v>8582</v>
      </c>
    </row>
    <row r="51" customFormat="false" ht="26.85" hidden="false" customHeight="false" outlineLevel="0" collapsed="false">
      <c r="A51" s="24" t="s">
        <v>8583</v>
      </c>
      <c r="B51" s="24" t="s">
        <v>8584</v>
      </c>
    </row>
    <row r="53" customFormat="false" ht="16.4" hidden="false" customHeight="false" outlineLevel="0" collapsed="false">
      <c r="A53" s="34" t="s">
        <v>8585</v>
      </c>
      <c r="B53" s="4"/>
      <c r="C53" s="4"/>
      <c r="D53" s="4"/>
    </row>
    <row r="54" customFormat="false" ht="15" hidden="false" customHeight="false" outlineLevel="0" collapsed="false">
      <c r="A54" s="35" t="s">
        <v>8586</v>
      </c>
      <c r="B54" s="35" t="s">
        <v>8568</v>
      </c>
      <c r="C54" s="35" t="s">
        <v>8587</v>
      </c>
    </row>
    <row r="55" customFormat="false" ht="15" hidden="false" customHeight="false" outlineLevel="0" collapsed="false">
      <c r="A55" s="28" t="s">
        <v>8588</v>
      </c>
      <c r="B55" s="24" t="s">
        <v>8589</v>
      </c>
      <c r="C55" s="24" t="s">
        <v>8590</v>
      </c>
    </row>
    <row r="56" customFormat="false" ht="15" hidden="false" customHeight="false" outlineLevel="0" collapsed="false">
      <c r="A56" s="28" t="s">
        <v>8591</v>
      </c>
      <c r="B56" s="24" t="s">
        <v>8592</v>
      </c>
      <c r="C56" s="24" t="s">
        <v>8590</v>
      </c>
    </row>
    <row r="57" customFormat="false" ht="15" hidden="false" customHeight="false" outlineLevel="0" collapsed="false">
      <c r="A57" s="28" t="s">
        <v>8593</v>
      </c>
      <c r="B57" s="24" t="s">
        <v>8594</v>
      </c>
      <c r="C57" s="24" t="s">
        <v>8590</v>
      </c>
    </row>
    <row r="58" customFormat="false" ht="15" hidden="false" customHeight="false" outlineLevel="0" collapsed="false">
      <c r="A58" s="28" t="s">
        <v>8595</v>
      </c>
      <c r="B58" s="24" t="s">
        <v>8596</v>
      </c>
      <c r="C58" s="24" t="s">
        <v>8597</v>
      </c>
    </row>
    <row r="59" customFormat="false" ht="15" hidden="false" customHeight="false" outlineLevel="0" collapsed="false">
      <c r="A59" s="28" t="s">
        <v>8598</v>
      </c>
      <c r="B59" s="24" t="s">
        <v>8599</v>
      </c>
      <c r="C59" s="24" t="s">
        <v>8597</v>
      </c>
    </row>
    <row r="60" customFormat="false" ht="26.85" hidden="false" customHeight="false" outlineLevel="0" collapsed="false">
      <c r="A60" s="28" t="s">
        <v>8600</v>
      </c>
      <c r="B60" s="28" t="s">
        <v>8601</v>
      </c>
      <c r="C60" s="24" t="s">
        <v>8602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8603</v>
      </c>
    </row>
    <row r="2" customFormat="false" ht="15" hidden="false" customHeight="false" outlineLevel="0" collapsed="false">
      <c r="A2" s="36" t="s">
        <v>8604</v>
      </c>
    </row>
    <row r="4" customFormat="false" ht="16.4" hidden="false" customHeight="false" outlineLevel="0" collapsed="false">
      <c r="A4" s="34" t="s">
        <v>8605</v>
      </c>
      <c r="B4" s="4"/>
      <c r="C4" s="4"/>
      <c r="D4" s="4"/>
    </row>
    <row r="5" customFormat="false" ht="15" hidden="false" customHeight="false" outlineLevel="0" collapsed="false">
      <c r="A5" s="35" t="s">
        <v>8606</v>
      </c>
      <c r="B5" s="35" t="s">
        <v>8568</v>
      </c>
      <c r="C5" s="35" t="s">
        <v>8607</v>
      </c>
      <c r="D5" s="35" t="s">
        <v>8608</v>
      </c>
    </row>
    <row r="6" customFormat="false" ht="15" hidden="false" customHeight="false" outlineLevel="0" collapsed="false">
      <c r="A6" s="28" t="s">
        <v>8609</v>
      </c>
      <c r="B6" s="24" t="s">
        <v>8610</v>
      </c>
      <c r="C6" s="24" t="s">
        <v>8611</v>
      </c>
      <c r="D6" s="28" t="s">
        <v>8612</v>
      </c>
    </row>
    <row r="7" customFormat="false" ht="15" hidden="false" customHeight="false" outlineLevel="0" collapsed="false">
      <c r="A7" s="28" t="s">
        <v>8613</v>
      </c>
      <c r="B7" s="24" t="s">
        <v>8614</v>
      </c>
      <c r="C7" s="24" t="s">
        <v>8615</v>
      </c>
      <c r="D7" s="28" t="s">
        <v>8616</v>
      </c>
    </row>
    <row r="8" customFormat="false" ht="15" hidden="false" customHeight="false" outlineLevel="0" collapsed="false">
      <c r="A8" s="28" t="s">
        <v>8617</v>
      </c>
      <c r="B8" s="24" t="s">
        <v>8618</v>
      </c>
      <c r="C8" s="24" t="s">
        <v>66</v>
      </c>
      <c r="D8" s="28" t="s">
        <v>8619</v>
      </c>
    </row>
    <row r="9" customFormat="false" ht="15" hidden="false" customHeight="false" outlineLevel="0" collapsed="false">
      <c r="A9" s="28" t="s">
        <v>8620</v>
      </c>
      <c r="B9" s="24" t="s">
        <v>8621</v>
      </c>
      <c r="C9" s="24" t="s">
        <v>70</v>
      </c>
      <c r="D9" s="28" t="s">
        <v>8612</v>
      </c>
    </row>
    <row r="10" customFormat="false" ht="15" hidden="false" customHeight="false" outlineLevel="0" collapsed="false">
      <c r="A10" s="28" t="s">
        <v>8622</v>
      </c>
      <c r="B10" s="24" t="s">
        <v>8623</v>
      </c>
      <c r="C10" s="24" t="s">
        <v>71</v>
      </c>
      <c r="D10" s="28" t="s">
        <v>8612</v>
      </c>
    </row>
    <row r="11" customFormat="false" ht="15" hidden="false" customHeight="false" outlineLevel="0" collapsed="false">
      <c r="A11" s="28" t="s">
        <v>8624</v>
      </c>
      <c r="B11" s="24" t="s">
        <v>8625</v>
      </c>
      <c r="C11" s="24" t="s">
        <v>83</v>
      </c>
      <c r="D11" s="28" t="s">
        <v>8612</v>
      </c>
    </row>
    <row r="12" customFormat="false" ht="15" hidden="false" customHeight="false" outlineLevel="0" collapsed="false">
      <c r="A12" s="24" t="s">
        <v>8626</v>
      </c>
      <c r="B12" s="24" t="s">
        <v>8627</v>
      </c>
      <c r="C12" s="28" t="s">
        <v>7994</v>
      </c>
      <c r="D12" s="28" t="s">
        <v>8628</v>
      </c>
    </row>
    <row r="14" customFormat="false" ht="16.4" hidden="false" customHeight="false" outlineLevel="0" collapsed="false">
      <c r="A14" s="34" t="s">
        <v>8629</v>
      </c>
      <c r="B14" s="4"/>
      <c r="C14" s="4"/>
      <c r="D14" s="4"/>
    </row>
    <row r="15" customFormat="false" ht="15" hidden="false" customHeight="false" outlineLevel="0" collapsed="false">
      <c r="A15" s="35" t="s">
        <v>8606</v>
      </c>
      <c r="B15" s="35" t="s">
        <v>8568</v>
      </c>
      <c r="C15" s="35" t="s">
        <v>8607</v>
      </c>
      <c r="D15" s="35" t="s">
        <v>8630</v>
      </c>
    </row>
    <row r="16" customFormat="false" ht="15" hidden="false" customHeight="false" outlineLevel="0" collapsed="false">
      <c r="A16" s="24" t="s">
        <v>8631</v>
      </c>
      <c r="B16" s="24" t="s">
        <v>8632</v>
      </c>
      <c r="C16" s="28" t="s">
        <v>8633</v>
      </c>
      <c r="D16" s="24" t="s">
        <v>8634</v>
      </c>
    </row>
    <row r="17" customFormat="false" ht="26.85" hidden="false" customHeight="false" outlineLevel="0" collapsed="false">
      <c r="A17" s="24" t="s">
        <v>8635</v>
      </c>
      <c r="B17" s="28" t="s">
        <v>8636</v>
      </c>
      <c r="C17" s="28" t="s">
        <v>8637</v>
      </c>
      <c r="D17" s="24" t="s">
        <v>8638</v>
      </c>
    </row>
    <row r="18" customFormat="false" ht="15" hidden="false" customHeight="false" outlineLevel="0" collapsed="false">
      <c r="A18" s="24" t="s">
        <v>8639</v>
      </c>
      <c r="B18" s="28" t="s">
        <v>8640</v>
      </c>
      <c r="C18" s="28" t="s">
        <v>7994</v>
      </c>
      <c r="D18" s="24" t="s">
        <v>8641</v>
      </c>
    </row>
    <row r="19" customFormat="false" ht="15" hidden="false" customHeight="false" outlineLevel="0" collapsed="false">
      <c r="A19" s="24" t="s">
        <v>8642</v>
      </c>
      <c r="B19" s="24" t="s">
        <v>8643</v>
      </c>
      <c r="C19" s="28" t="s">
        <v>8644</v>
      </c>
      <c r="D19" s="24" t="s">
        <v>8645</v>
      </c>
    </row>
    <row r="20" customFormat="false" ht="15" hidden="false" customHeight="false" outlineLevel="0" collapsed="false">
      <c r="A20" s="24" t="s">
        <v>8646</v>
      </c>
      <c r="B20" s="24" t="s">
        <v>8647</v>
      </c>
      <c r="C20" s="28" t="s">
        <v>7994</v>
      </c>
      <c r="D20" s="28" t="s">
        <v>7994</v>
      </c>
    </row>
    <row r="22" customFormat="false" ht="16.4" hidden="false" customHeight="false" outlineLevel="0" collapsed="false">
      <c r="A22" s="34" t="s">
        <v>8648</v>
      </c>
      <c r="B22" s="4"/>
      <c r="C22" s="4"/>
      <c r="D22" s="4"/>
    </row>
    <row r="23" customFormat="false" ht="15" hidden="false" customHeight="false" outlineLevel="0" collapsed="false">
      <c r="A23" s="35" t="s">
        <v>8649</v>
      </c>
      <c r="B23" s="35" t="s">
        <v>8650</v>
      </c>
      <c r="C23" s="35" t="s">
        <v>8651</v>
      </c>
      <c r="D23" s="35" t="s">
        <v>8652</v>
      </c>
    </row>
    <row r="24" customFormat="false" ht="26.85" hidden="false" customHeight="false" outlineLevel="0" collapsed="false">
      <c r="A24" s="24" t="s">
        <v>8653</v>
      </c>
      <c r="B24" s="28" t="s">
        <v>8654</v>
      </c>
      <c r="C24" s="24" t="s">
        <v>8655</v>
      </c>
      <c r="D24" s="24" t="s">
        <v>8656</v>
      </c>
    </row>
    <row r="25" customFormat="false" ht="26.85" hidden="false" customHeight="false" outlineLevel="0" collapsed="false">
      <c r="A25" s="24" t="s">
        <v>8657</v>
      </c>
      <c r="B25" s="28" t="s">
        <v>8658</v>
      </c>
      <c r="C25" s="24" t="s">
        <v>8659</v>
      </c>
      <c r="D25" s="24" t="s">
        <v>8660</v>
      </c>
    </row>
    <row r="26" customFormat="false" ht="23.85" hidden="false" customHeight="false" outlineLevel="0" collapsed="false">
      <c r="A26" s="24" t="s">
        <v>8661</v>
      </c>
      <c r="B26" s="28" t="s">
        <v>8662</v>
      </c>
      <c r="C26" s="24" t="s">
        <v>8663</v>
      </c>
      <c r="D26" s="24" t="s">
        <v>8664</v>
      </c>
    </row>
    <row r="27" customFormat="false" ht="15" hidden="false" customHeight="false" outlineLevel="0" collapsed="false">
      <c r="A27" s="24" t="s">
        <v>8665</v>
      </c>
      <c r="B27" s="28" t="s">
        <v>8666</v>
      </c>
      <c r="C27" s="24" t="s">
        <v>8667</v>
      </c>
      <c r="D27" s="24" t="s">
        <v>8664</v>
      </c>
    </row>
    <row r="28" customFormat="false" ht="23.85" hidden="false" customHeight="false" outlineLevel="0" collapsed="false">
      <c r="A28" s="24" t="s">
        <v>8668</v>
      </c>
      <c r="B28" s="28" t="s">
        <v>8669</v>
      </c>
      <c r="C28" s="24" t="s">
        <v>8670</v>
      </c>
      <c r="D28" s="24" t="s">
        <v>8656</v>
      </c>
    </row>
    <row r="30" customFormat="false" ht="16.4" hidden="false" customHeight="false" outlineLevel="0" collapsed="false">
      <c r="A30" s="34" t="s">
        <v>8671</v>
      </c>
      <c r="B30" s="4"/>
      <c r="C30" s="4"/>
      <c r="D30" s="4"/>
    </row>
    <row r="31" customFormat="false" ht="15" hidden="false" customHeight="false" outlineLevel="0" collapsed="false">
      <c r="A31" s="35" t="s">
        <v>8463</v>
      </c>
      <c r="B31" s="35" t="s">
        <v>8672</v>
      </c>
      <c r="C31" s="35" t="s">
        <v>82</v>
      </c>
    </row>
    <row r="32" customFormat="false" ht="26.85" hidden="false" customHeight="false" outlineLevel="0" collapsed="false">
      <c r="A32" s="24" t="s">
        <v>8673</v>
      </c>
      <c r="B32" s="28" t="s">
        <v>8674</v>
      </c>
      <c r="C32" s="24" t="s">
        <v>8675</v>
      </c>
    </row>
    <row r="33" customFormat="false" ht="26.85" hidden="false" customHeight="false" outlineLevel="0" collapsed="false">
      <c r="A33" s="24" t="s">
        <v>8676</v>
      </c>
      <c r="B33" s="28" t="s">
        <v>8677</v>
      </c>
      <c r="C33" s="24" t="s">
        <v>8678</v>
      </c>
    </row>
    <row r="34" customFormat="false" ht="15" hidden="false" customHeight="false" outlineLevel="0" collapsed="false">
      <c r="A34" s="24" t="s">
        <v>8679</v>
      </c>
      <c r="B34" s="28" t="s">
        <v>8680</v>
      </c>
      <c r="C34" s="24" t="s">
        <v>8681</v>
      </c>
    </row>
    <row r="35" customFormat="false" ht="15" hidden="false" customHeight="false" outlineLevel="0" collapsed="false">
      <c r="A35" s="24" t="s">
        <v>8682</v>
      </c>
      <c r="B35" s="24" t="s">
        <v>8683</v>
      </c>
      <c r="C35" s="24" t="s">
        <v>8684</v>
      </c>
    </row>
    <row r="36" customFormat="false" ht="15" hidden="false" customHeight="false" outlineLevel="0" collapsed="false">
      <c r="A36" s="24" t="s">
        <v>8685</v>
      </c>
      <c r="B36" s="24" t="s">
        <v>8686</v>
      </c>
      <c r="C36" s="24" t="s">
        <v>8687</v>
      </c>
    </row>
    <row r="37" customFormat="false" ht="15" hidden="false" customHeight="false" outlineLevel="0" collapsed="false">
      <c r="A37" s="24" t="s">
        <v>8688</v>
      </c>
      <c r="B37" s="24" t="s">
        <v>8689</v>
      </c>
      <c r="C37" s="24" t="s">
        <v>8690</v>
      </c>
    </row>
    <row r="39" customFormat="false" ht="16.4" hidden="false" customHeight="false" outlineLevel="0" collapsed="false">
      <c r="A39" s="34" t="s">
        <v>8691</v>
      </c>
      <c r="B39" s="4"/>
      <c r="C39" s="4"/>
      <c r="D39" s="4"/>
    </row>
    <row r="40" customFormat="false" ht="15" hidden="false" customHeight="false" outlineLevel="0" collapsed="false">
      <c r="A40" s="35" t="s">
        <v>8463</v>
      </c>
      <c r="B40" s="35" t="s">
        <v>8692</v>
      </c>
      <c r="C40" s="35" t="s">
        <v>8693</v>
      </c>
    </row>
    <row r="41" customFormat="false" ht="15" hidden="false" customHeight="false" outlineLevel="0" collapsed="false">
      <c r="A41" s="24" t="s">
        <v>68</v>
      </c>
      <c r="B41" s="28" t="s">
        <v>8694</v>
      </c>
      <c r="C41" s="28" t="s">
        <v>8695</v>
      </c>
    </row>
    <row r="42" customFormat="false" ht="15" hidden="false" customHeight="false" outlineLevel="0" collapsed="false">
      <c r="A42" s="24" t="s">
        <v>8646</v>
      </c>
      <c r="B42" s="24" t="s">
        <v>8696</v>
      </c>
      <c r="C42" s="28" t="s">
        <v>7994</v>
      </c>
    </row>
    <row r="43" customFormat="false" ht="26.85" hidden="false" customHeight="false" outlineLevel="0" collapsed="false">
      <c r="A43" s="24" t="s">
        <v>8697</v>
      </c>
      <c r="B43" s="28" t="s">
        <v>8698</v>
      </c>
      <c r="C43" s="28" t="s">
        <v>8699</v>
      </c>
    </row>
    <row r="44" customFormat="false" ht="15" hidden="false" customHeight="false" outlineLevel="0" collapsed="false">
      <c r="A44" s="24" t="s">
        <v>8700</v>
      </c>
      <c r="B44" s="28" t="s">
        <v>8701</v>
      </c>
      <c r="C44" s="24" t="s">
        <v>8702</v>
      </c>
    </row>
    <row r="45" customFormat="false" ht="15" hidden="false" customHeight="false" outlineLevel="0" collapsed="false">
      <c r="A45" s="24" t="s">
        <v>8703</v>
      </c>
      <c r="B45" s="24" t="s">
        <v>8704</v>
      </c>
      <c r="C45" s="28" t="s">
        <v>7994</v>
      </c>
    </row>
    <row r="47" customFormat="false" ht="16.4" hidden="false" customHeight="false" outlineLevel="0" collapsed="false">
      <c r="A47" s="34" t="s">
        <v>8705</v>
      </c>
      <c r="B47" s="4"/>
      <c r="C47" s="4"/>
      <c r="D47" s="4"/>
    </row>
    <row r="48" customFormat="false" ht="15" hidden="false" customHeight="false" outlineLevel="0" collapsed="false">
      <c r="A48" s="35" t="s">
        <v>8477</v>
      </c>
      <c r="B48" s="35" t="s">
        <v>8463</v>
      </c>
    </row>
    <row r="49" customFormat="false" ht="15" hidden="false" customHeight="false" outlineLevel="0" collapsed="false">
      <c r="A49" s="28" t="s">
        <v>8481</v>
      </c>
      <c r="B49" s="24" t="s">
        <v>8706</v>
      </c>
    </row>
    <row r="50" customFormat="false" ht="15" hidden="false" customHeight="false" outlineLevel="0" collapsed="false">
      <c r="A50" s="28" t="s">
        <v>8481</v>
      </c>
      <c r="B50" s="24" t="s">
        <v>8707</v>
      </c>
    </row>
    <row r="51" customFormat="false" ht="15" hidden="false" customHeight="false" outlineLevel="0" collapsed="false">
      <c r="A51" s="28" t="s">
        <v>8481</v>
      </c>
      <c r="B51" s="24" t="s">
        <v>8708</v>
      </c>
    </row>
    <row r="52" customFormat="false" ht="15" hidden="false" customHeight="false" outlineLevel="0" collapsed="false">
      <c r="A52" s="28" t="s">
        <v>8481</v>
      </c>
      <c r="B52" s="24" t="s">
        <v>8709</v>
      </c>
    </row>
    <row r="53" customFormat="false" ht="26.85" hidden="false" customHeight="false" outlineLevel="0" collapsed="false">
      <c r="A53" s="28" t="s">
        <v>8481</v>
      </c>
      <c r="B53" s="28" t="s">
        <v>8710</v>
      </c>
    </row>
    <row r="54" customFormat="false" ht="15" hidden="false" customHeight="false" outlineLevel="0" collapsed="false">
      <c r="A54" s="28" t="s">
        <v>8481</v>
      </c>
      <c r="B54" s="24" t="s">
        <v>8711</v>
      </c>
    </row>
    <row r="56" customFormat="false" ht="16.4" hidden="false" customHeight="false" outlineLevel="0" collapsed="false">
      <c r="A56" s="34" t="s">
        <v>8712</v>
      </c>
      <c r="B56" s="4"/>
      <c r="C56" s="4"/>
      <c r="D56" s="4"/>
    </row>
    <row r="57" customFormat="false" ht="15" hidden="false" customHeight="false" outlineLevel="0" collapsed="false">
      <c r="A57" s="35" t="s">
        <v>8477</v>
      </c>
      <c r="B57" s="35" t="s">
        <v>8463</v>
      </c>
    </row>
    <row r="58" customFormat="false" ht="15" hidden="false" customHeight="false" outlineLevel="0" collapsed="false">
      <c r="A58" s="28" t="s">
        <v>8481</v>
      </c>
      <c r="B58" s="24" t="s">
        <v>8713</v>
      </c>
    </row>
    <row r="59" customFormat="false" ht="15" hidden="false" customHeight="false" outlineLevel="0" collapsed="false">
      <c r="A59" s="28" t="s">
        <v>8481</v>
      </c>
      <c r="B59" s="24" t="s">
        <v>8714</v>
      </c>
    </row>
    <row r="60" customFormat="false" ht="15" hidden="false" customHeight="false" outlineLevel="0" collapsed="false">
      <c r="A60" s="28" t="s">
        <v>8481</v>
      </c>
      <c r="B60" s="24" t="s">
        <v>8715</v>
      </c>
    </row>
    <row r="61" customFormat="false" ht="15" hidden="false" customHeight="false" outlineLevel="0" collapsed="false">
      <c r="A61" s="28" t="s">
        <v>8481</v>
      </c>
      <c r="B61" s="24" t="s">
        <v>8716</v>
      </c>
    </row>
    <row r="62" customFormat="false" ht="15" hidden="false" customHeight="false" outlineLevel="0" collapsed="false">
      <c r="A62" s="28" t="s">
        <v>8481</v>
      </c>
      <c r="B62" s="24" t="s">
        <v>8717</v>
      </c>
    </row>
    <row r="63" customFormat="false" ht="15" hidden="false" customHeight="false" outlineLevel="0" collapsed="false">
      <c r="A63" s="28" t="s">
        <v>8481</v>
      </c>
      <c r="B63" s="24" t="s">
        <v>8718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70"/>
  </cols>
  <sheetData>
    <row r="1" customFormat="false" ht="30" hidden="false" customHeight="true" outlineLevel="0" collapsed="false">
      <c r="A1" s="18" t="s">
        <v>8719</v>
      </c>
      <c r="B1" s="18" t="s">
        <v>8720</v>
      </c>
      <c r="C1" s="18" t="s">
        <v>8721</v>
      </c>
      <c r="D1" s="18" t="s">
        <v>8722</v>
      </c>
    </row>
    <row r="2" customFormat="false" ht="26.85" hidden="false" customHeight="false" outlineLevel="0" collapsed="false">
      <c r="A2" s="24" t="s">
        <v>8723</v>
      </c>
      <c r="B2" s="24" t="s">
        <v>8724</v>
      </c>
      <c r="C2" s="29" t="s">
        <v>8725</v>
      </c>
      <c r="D2" s="24" t="s">
        <v>8726</v>
      </c>
    </row>
    <row r="3" customFormat="false" ht="52.2" hidden="false" customHeight="false" outlineLevel="0" collapsed="false">
      <c r="A3" s="24" t="s">
        <v>8727</v>
      </c>
      <c r="B3" s="24" t="s">
        <v>8728</v>
      </c>
      <c r="C3" s="29" t="s">
        <v>8729</v>
      </c>
      <c r="D3" s="24" t="s">
        <v>8730</v>
      </c>
    </row>
    <row r="4" customFormat="false" ht="39.55" hidden="false" customHeight="false" outlineLevel="0" collapsed="false">
      <c r="A4" s="24" t="s">
        <v>8731</v>
      </c>
      <c r="B4" s="24" t="s">
        <v>8732</v>
      </c>
      <c r="C4" s="29" t="s">
        <v>8733</v>
      </c>
      <c r="D4" s="24" t="s">
        <v>8734</v>
      </c>
    </row>
    <row r="5" customFormat="false" ht="26.85" hidden="false" customHeight="false" outlineLevel="0" collapsed="false">
      <c r="A5" s="24" t="s">
        <v>8735</v>
      </c>
      <c r="B5" s="24" t="s">
        <v>8736</v>
      </c>
      <c r="C5" s="29" t="s">
        <v>8737</v>
      </c>
      <c r="D5" s="24" t="s">
        <v>8738</v>
      </c>
    </row>
    <row r="6" customFormat="false" ht="26.85" hidden="false" customHeight="false" outlineLevel="0" collapsed="false">
      <c r="A6" s="24" t="s">
        <v>8739</v>
      </c>
      <c r="B6" s="24" t="s">
        <v>8740</v>
      </c>
      <c r="C6" s="29" t="s">
        <v>8741</v>
      </c>
      <c r="D6" s="24" t="s">
        <v>8742</v>
      </c>
    </row>
    <row r="7" customFormat="false" ht="26.85" hidden="false" customHeight="false" outlineLevel="0" collapsed="false">
      <c r="A7" s="24" t="s">
        <v>8743</v>
      </c>
      <c r="B7" s="24" t="s">
        <v>8744</v>
      </c>
      <c r="C7" s="29" t="s">
        <v>8745</v>
      </c>
      <c r="D7" s="24" t="s">
        <v>8746</v>
      </c>
    </row>
    <row r="8" customFormat="false" ht="26.85" hidden="false" customHeight="false" outlineLevel="0" collapsed="false">
      <c r="A8" s="24" t="s">
        <v>8747</v>
      </c>
      <c r="B8" s="24" t="s">
        <v>8748</v>
      </c>
      <c r="C8" s="29" t="s">
        <v>8749</v>
      </c>
      <c r="D8" s="24" t="s">
        <v>8750</v>
      </c>
    </row>
    <row r="9" customFormat="false" ht="26.85" hidden="false" customHeight="false" outlineLevel="0" collapsed="false">
      <c r="A9" s="24" t="s">
        <v>8751</v>
      </c>
      <c r="B9" s="24" t="s">
        <v>8752</v>
      </c>
      <c r="C9" s="29" t="s">
        <v>8753</v>
      </c>
      <c r="D9" s="24" t="s">
        <v>8754</v>
      </c>
    </row>
    <row r="10" customFormat="false" ht="39.55" hidden="false" customHeight="false" outlineLevel="0" collapsed="false">
      <c r="A10" s="24" t="s">
        <v>8755</v>
      </c>
      <c r="B10" s="24" t="s">
        <v>8756</v>
      </c>
      <c r="C10" s="29" t="s">
        <v>8757</v>
      </c>
      <c r="D10" s="24" t="s">
        <v>8758</v>
      </c>
    </row>
    <row r="11" customFormat="false" ht="39.55" hidden="false" customHeight="false" outlineLevel="0" collapsed="false">
      <c r="A11" s="24" t="s">
        <v>8759</v>
      </c>
      <c r="B11" s="24" t="s">
        <v>8760</v>
      </c>
      <c r="C11" s="29" t="s">
        <v>8761</v>
      </c>
      <c r="D11" s="24" t="s">
        <v>8762</v>
      </c>
    </row>
    <row r="12" customFormat="false" ht="39.55" hidden="false" customHeight="false" outlineLevel="0" collapsed="false">
      <c r="A12" s="24" t="s">
        <v>8763</v>
      </c>
      <c r="B12" s="24" t="s">
        <v>8764</v>
      </c>
      <c r="C12" s="29" t="s">
        <v>8765</v>
      </c>
      <c r="D12" s="24" t="s">
        <v>8766</v>
      </c>
    </row>
    <row r="13" customFormat="false" ht="39.55" hidden="false" customHeight="false" outlineLevel="0" collapsed="false">
      <c r="A13" s="24" t="s">
        <v>8767</v>
      </c>
      <c r="B13" s="24" t="s">
        <v>8768</v>
      </c>
      <c r="C13" s="29" t="s">
        <v>8769</v>
      </c>
      <c r="D13" s="24" t="s">
        <v>8770</v>
      </c>
    </row>
    <row r="14" customFormat="false" ht="26.85" hidden="false" customHeight="false" outlineLevel="0" collapsed="false">
      <c r="A14" s="24" t="s">
        <v>8771</v>
      </c>
      <c r="B14" s="24" t="s">
        <v>8772</v>
      </c>
      <c r="C14" s="29" t="s">
        <v>8773</v>
      </c>
      <c r="D14" s="24" t="s">
        <v>8774</v>
      </c>
    </row>
    <row r="16" customFormat="false" ht="15" hidden="false" customHeight="false" outlineLevel="0" collapsed="false">
      <c r="A16" s="7" t="s">
        <v>8775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20.85" hidden="false" customHeight="false" outlineLevel="0" collapsed="false">
      <c r="A1" s="1" t="s">
        <v>8776</v>
      </c>
    </row>
    <row r="2" customFormat="false" ht="15" hidden="false" customHeight="false" outlineLevel="0" collapsed="false">
      <c r="A2" s="2" t="s">
        <v>8777</v>
      </c>
    </row>
    <row r="4" customFormat="false" ht="15" hidden="false" customHeight="false" outlineLevel="0" collapsed="false">
      <c r="A4" s="35" t="s">
        <v>8778</v>
      </c>
      <c r="B4" s="35" t="s">
        <v>8779</v>
      </c>
      <c r="C4" s="35" t="s">
        <v>82</v>
      </c>
    </row>
    <row r="5" customFormat="false" ht="15" hidden="false" customHeight="false" outlineLevel="0" collapsed="false">
      <c r="A5" s="24" t="s">
        <v>7991</v>
      </c>
      <c r="B5" s="24" t="s">
        <v>8780</v>
      </c>
      <c r="C5" s="24" t="s">
        <v>8781</v>
      </c>
    </row>
    <row r="6" customFormat="false" ht="15" hidden="false" customHeight="false" outlineLevel="0" collapsed="false">
      <c r="A6" s="24" t="s">
        <v>8782</v>
      </c>
      <c r="B6" s="24" t="s">
        <v>8783</v>
      </c>
      <c r="C6" s="24" t="s">
        <v>8784</v>
      </c>
    </row>
    <row r="7" customFormat="false" ht="15" hidden="false" customHeight="false" outlineLevel="0" collapsed="false">
      <c r="A7" s="24" t="s">
        <v>8009</v>
      </c>
      <c r="B7" s="24" t="s">
        <v>8785</v>
      </c>
      <c r="C7" s="28"/>
    </row>
    <row r="8" customFormat="false" ht="15" hidden="false" customHeight="false" outlineLevel="0" collapsed="false">
      <c r="A8" s="24" t="s">
        <v>8786</v>
      </c>
      <c r="B8" s="24" t="s">
        <v>8787</v>
      </c>
      <c r="C8" s="24" t="s">
        <v>8788</v>
      </c>
    </row>
    <row r="9" customFormat="false" ht="15" hidden="false" customHeight="false" outlineLevel="0" collapsed="false">
      <c r="A9" s="24" t="s">
        <v>8789</v>
      </c>
      <c r="B9" s="24" t="s">
        <v>8790</v>
      </c>
      <c r="C9" s="24" t="s">
        <v>8791</v>
      </c>
    </row>
    <row r="10" customFormat="false" ht="15" hidden="false" customHeight="false" outlineLevel="0" collapsed="false">
      <c r="A10" s="24" t="s">
        <v>8792</v>
      </c>
      <c r="B10" s="24" t="s">
        <v>8793</v>
      </c>
      <c r="C10" s="28"/>
    </row>
    <row r="11" customFormat="false" ht="15" hidden="false" customHeight="false" outlineLevel="0" collapsed="false">
      <c r="A11" s="24" t="s">
        <v>8794</v>
      </c>
      <c r="B11" s="24" t="s">
        <v>8795</v>
      </c>
      <c r="C11" s="24" t="s">
        <v>8796</v>
      </c>
    </row>
    <row r="12" customFormat="false" ht="15" hidden="false" customHeight="false" outlineLevel="0" collapsed="false">
      <c r="A12" s="24" t="s">
        <v>8797</v>
      </c>
      <c r="B12" s="24" t="s">
        <v>8798</v>
      </c>
      <c r="C12" s="28"/>
    </row>
    <row r="13" customFormat="false" ht="15" hidden="false" customHeight="false" outlineLevel="0" collapsed="false">
      <c r="A13" s="24" t="s">
        <v>8150</v>
      </c>
      <c r="B13" s="24" t="s">
        <v>8799</v>
      </c>
      <c r="C13" s="24" t="s">
        <v>8784</v>
      </c>
    </row>
    <row r="14" customFormat="false" ht="15" hidden="false" customHeight="false" outlineLevel="0" collapsed="false">
      <c r="A14" s="24" t="s">
        <v>827</v>
      </c>
      <c r="B14" s="24" t="s">
        <v>8800</v>
      </c>
      <c r="C14" s="24" t="s">
        <v>8801</v>
      </c>
    </row>
    <row r="15" customFormat="false" ht="15" hidden="false" customHeight="false" outlineLevel="0" collapsed="false">
      <c r="A15" s="24" t="s">
        <v>8802</v>
      </c>
      <c r="B15" s="24" t="s">
        <v>4096</v>
      </c>
      <c r="C15" s="24" t="s">
        <v>8803</v>
      </c>
    </row>
    <row r="16" customFormat="false" ht="15" hidden="false" customHeight="false" outlineLevel="0" collapsed="false">
      <c r="A16" s="24" t="s">
        <v>8804</v>
      </c>
      <c r="B16" s="24" t="s">
        <v>8805</v>
      </c>
      <c r="C16" s="28"/>
    </row>
    <row r="17" customFormat="false" ht="15" hidden="false" customHeight="false" outlineLevel="0" collapsed="false">
      <c r="A17" s="24" t="s">
        <v>8806</v>
      </c>
      <c r="B17" s="24" t="s">
        <v>8807</v>
      </c>
      <c r="C17" s="28"/>
    </row>
    <row r="18" customFormat="false" ht="15" hidden="false" customHeight="false" outlineLevel="0" collapsed="false">
      <c r="A18" s="24" t="s">
        <v>8808</v>
      </c>
      <c r="B18" s="24" t="s">
        <v>8809</v>
      </c>
      <c r="C18" s="24" t="s">
        <v>8810</v>
      </c>
    </row>
    <row r="19" customFormat="false" ht="15" hidden="false" customHeight="false" outlineLevel="0" collapsed="false">
      <c r="A19" s="24" t="s">
        <v>8811</v>
      </c>
      <c r="B19" s="24" t="s">
        <v>8812</v>
      </c>
      <c r="C19" s="24" t="s">
        <v>8784</v>
      </c>
    </row>
    <row r="20" customFormat="false" ht="15" hidden="false" customHeight="false" outlineLevel="0" collapsed="false">
      <c r="A20" s="24" t="s">
        <v>8813</v>
      </c>
      <c r="B20" s="24" t="s">
        <v>8814</v>
      </c>
      <c r="C20" s="28"/>
    </row>
    <row r="21" customFormat="false" ht="15" hidden="false" customHeight="false" outlineLevel="0" collapsed="false">
      <c r="A21" s="24" t="s">
        <v>8815</v>
      </c>
      <c r="B21" s="24" t="s">
        <v>8816</v>
      </c>
      <c r="C21" s="24" t="s">
        <v>8817</v>
      </c>
    </row>
    <row r="22" customFormat="false" ht="15" hidden="false" customHeight="false" outlineLevel="0" collapsed="false">
      <c r="A22" s="24" t="s">
        <v>8818</v>
      </c>
      <c r="B22" s="24" t="s">
        <v>8819</v>
      </c>
      <c r="C22" s="24" t="s">
        <v>8820</v>
      </c>
    </row>
    <row r="23" customFormat="false" ht="15" hidden="false" customHeight="false" outlineLevel="0" collapsed="false">
      <c r="A23" s="24" t="s">
        <v>8821</v>
      </c>
      <c r="B23" s="24" t="s">
        <v>8822</v>
      </c>
      <c r="C23" s="24" t="s">
        <v>8823</v>
      </c>
    </row>
    <row r="24" customFormat="false" ht="15" hidden="false" customHeight="false" outlineLevel="0" collapsed="false">
      <c r="A24" s="24" t="s">
        <v>8824</v>
      </c>
      <c r="B24" s="24" t="s">
        <v>8825</v>
      </c>
      <c r="C24" s="28"/>
    </row>
    <row r="25" customFormat="false" ht="15" hidden="false" customHeight="false" outlineLevel="0" collapsed="false">
      <c r="A25" s="24" t="s">
        <v>8826</v>
      </c>
      <c r="B25" s="24" t="s">
        <v>8827</v>
      </c>
      <c r="C25" s="24" t="s">
        <v>8828</v>
      </c>
    </row>
    <row r="26" customFormat="false" ht="15" hidden="false" customHeight="false" outlineLevel="0" collapsed="false">
      <c r="A26" s="24" t="s">
        <v>8829</v>
      </c>
      <c r="B26" s="24" t="s">
        <v>8830</v>
      </c>
      <c r="C26" s="24" t="s">
        <v>8831</v>
      </c>
    </row>
    <row r="27" customFormat="false" ht="15" hidden="false" customHeight="false" outlineLevel="0" collapsed="false">
      <c r="A27" s="24" t="s">
        <v>8344</v>
      </c>
      <c r="B27" s="24" t="s">
        <v>8832</v>
      </c>
      <c r="C27" s="24" t="s">
        <v>8833</v>
      </c>
    </row>
    <row r="28" customFormat="false" ht="26.85" hidden="false" customHeight="false" outlineLevel="0" collapsed="false">
      <c r="A28" s="24" t="s">
        <v>8834</v>
      </c>
      <c r="B28" s="24" t="s">
        <v>8835</v>
      </c>
      <c r="C28" s="24" t="s">
        <v>8784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2026-10-22T15:01:20Z</dcterms:created>
  <dc:creator>openpyxl</dc:creator>
  <dc:description/>
  <dc:language>en-US</dc:language>
  <cp:lastModifiedBy/>
  <dcterms:modified xsi:type="dcterms:W3CDTF">2026-10-22T15:01:22Z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